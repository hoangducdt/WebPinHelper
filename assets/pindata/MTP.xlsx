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hduchx.CCR\Downloads\Github\WebPinHelper\assets\pindata\"/>
    </mc:Choice>
  </mc:AlternateContent>
  <xr:revisionPtr revIDLastSave="0" documentId="13_ncr:1_{5EFAE757-6DD7-43DC-B3BB-D820CB059BFB}" xr6:coauthVersionLast="47" xr6:coauthVersionMax="47" xr10:uidLastSave="{00000000-0000-0000-0000-000000000000}"/>
  <bookViews>
    <workbookView xWindow="-120" yWindow="-120" windowWidth="29040" windowHeight="15720" tabRatio="870" activeTab="1" xr2:uid="{00000000-000D-0000-FFFF-FFFF00000000}"/>
  </bookViews>
  <sheets>
    <sheet name="History" sheetId="48" r:id="rId1"/>
    <sheet name="Sheet1" sheetId="117" r:id="rId2"/>
    <sheet name="SITE1" sheetId="25" r:id="rId3"/>
    <sheet name="SITE3" sheetId="97" r:id="rId4"/>
    <sheet name="CNV_M10" sheetId="103" r:id="rId5"/>
    <sheet name="PCIE_USB31M01" sheetId="78" r:id="rId6"/>
    <sheet name="DMI_M13" sheetId="105" r:id="rId7"/>
    <sheet name="CLKOUT_XTAL_M02" sheetId="106" r:id="rId8"/>
    <sheet name="JTAG_M03" sheetId="107" r:id="rId9"/>
    <sheet name="CLKOUT_SRC_M04" sheetId="108" r:id="rId10"/>
    <sheet name="XTAL_M06" sheetId="110" r:id="rId11"/>
    <sheet name="GPP_E_F_M07" sheetId="111" r:id="rId12"/>
    <sheet name="GPP_C_H_M08" sheetId="112" r:id="rId13"/>
    <sheet name="USB2" sheetId="113" r:id="rId14"/>
    <sheet name="DP" sheetId="114" r:id="rId15"/>
    <sheet name="Thermal" sheetId="46" r:id="rId16"/>
    <sheet name="SYNC" sheetId="116" r:id="rId17"/>
    <sheet name="TRIGGER" sheetId="93" r:id="rId18"/>
    <sheet name="POWER" sheetId="22" r:id="rId19"/>
    <sheet name="CHLINK" sheetId="13" r:id="rId20"/>
    <sheet name="TIME_DOMAIN" sheetId="36" r:id="rId21"/>
    <sheet name="ALL" sheetId="65" r:id="rId22"/>
  </sheets>
  <externalReferences>
    <externalReference r:id="rId23"/>
    <externalReference r:id="rId24"/>
    <externalReference r:id="rId25"/>
  </externalReferences>
  <definedNames>
    <definedName name="_xlnm._FilterDatabase" localSheetId="18" hidden="1">POWER!$B$7:$N$29</definedName>
    <definedName name="_xlnm._FilterDatabase" localSheetId="2" hidden="1">SITE1!$A$3:$J$1034</definedName>
    <definedName name="_xlnm._FilterDatabase" localSheetId="3" hidden="1">SITE3!$A$3:$V$1037</definedName>
    <definedName name="_xlnm._FilterDatabase" localSheetId="20" hidden="1">TIME_DOMAIN!$A$7:$BH$135</definedName>
    <definedName name="Diff_">[1]set_validations_!$A$2:$A$801</definedName>
    <definedName name="gang_">[1]set_validations_!$D$2:$D$801</definedName>
    <definedName name="Loop_back">[2]set_validations_!$E$2:$E$801</definedName>
    <definedName name="Match_">[1]set_validations_!$B$2:$B$801</definedName>
    <definedName name="Share_">[1]set_validations_!$C$2:$C$801</definedName>
    <definedName name="Time_Domain">[3]set_validations_!$F$2:$F$10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17" l="1"/>
  <c r="H3" i="117"/>
  <c r="H4" i="117"/>
  <c r="H5" i="117"/>
  <c r="H6" i="117"/>
  <c r="H7" i="117"/>
  <c r="H8" i="117"/>
  <c r="H9" i="117"/>
  <c r="H10" i="117"/>
  <c r="H11" i="117"/>
  <c r="H12" i="117"/>
  <c r="H13" i="117"/>
  <c r="H14" i="117"/>
  <c r="H15" i="117"/>
  <c r="H16" i="117"/>
  <c r="H17" i="117"/>
  <c r="H18" i="117"/>
  <c r="H19" i="117"/>
  <c r="H20" i="117"/>
  <c r="H21" i="117"/>
  <c r="H22" i="117"/>
  <c r="H23" i="117"/>
  <c r="H24" i="117"/>
  <c r="J24" i="117" s="1"/>
  <c r="H25" i="117"/>
  <c r="J25" i="117" s="1"/>
  <c r="H26" i="117"/>
  <c r="H27" i="117"/>
  <c r="H28" i="117"/>
  <c r="H29" i="117"/>
  <c r="H30" i="117"/>
  <c r="H31" i="117"/>
  <c r="J31" i="117" s="1"/>
  <c r="H32" i="117"/>
  <c r="J32" i="117" s="1"/>
  <c r="H33" i="117"/>
  <c r="H34" i="117"/>
  <c r="H35" i="117"/>
  <c r="H36" i="117"/>
  <c r="H37" i="117"/>
  <c r="H38" i="117"/>
  <c r="H39" i="117"/>
  <c r="J39" i="117" s="1"/>
  <c r="H40" i="117"/>
  <c r="J40" i="117" s="1"/>
  <c r="H41" i="117"/>
  <c r="H42" i="117"/>
  <c r="H43" i="117"/>
  <c r="H44" i="117"/>
  <c r="H45" i="117"/>
  <c r="H46" i="117"/>
  <c r="H47" i="117"/>
  <c r="H48" i="117"/>
  <c r="J48" i="117" s="1"/>
  <c r="H49" i="117"/>
  <c r="J49" i="117" s="1"/>
  <c r="H50" i="117"/>
  <c r="H51" i="117"/>
  <c r="H52" i="117"/>
  <c r="H53" i="117"/>
  <c r="H54" i="117"/>
  <c r="H55" i="117"/>
  <c r="J55" i="117" s="1"/>
  <c r="H56" i="117"/>
  <c r="J56" i="117" s="1"/>
  <c r="H57" i="117"/>
  <c r="H58" i="117"/>
  <c r="H59" i="117"/>
  <c r="H60" i="117"/>
  <c r="H61" i="117"/>
  <c r="H62" i="117"/>
  <c r="H63" i="117"/>
  <c r="H64" i="117"/>
  <c r="H65" i="117"/>
  <c r="H66" i="117"/>
  <c r="H67" i="117"/>
  <c r="H68" i="117"/>
  <c r="H69" i="117"/>
  <c r="H70" i="117"/>
  <c r="H71" i="117"/>
  <c r="H72" i="117"/>
  <c r="J72" i="117" s="1"/>
  <c r="H73" i="117"/>
  <c r="J73" i="117" s="1"/>
  <c r="H74" i="117"/>
  <c r="H75" i="117"/>
  <c r="H76" i="117"/>
  <c r="H77" i="117"/>
  <c r="H78" i="117"/>
  <c r="H79" i="117"/>
  <c r="H80" i="117"/>
  <c r="J80" i="117" s="1"/>
  <c r="H81" i="117"/>
  <c r="H82" i="117"/>
  <c r="H83" i="117"/>
  <c r="H84" i="117"/>
  <c r="H85" i="117"/>
  <c r="H86" i="117"/>
  <c r="H87" i="117"/>
  <c r="H88" i="117"/>
  <c r="H89" i="117"/>
  <c r="H90" i="117"/>
  <c r="H91" i="117"/>
  <c r="H92" i="117"/>
  <c r="H93" i="117"/>
  <c r="H94" i="117"/>
  <c r="H95" i="117"/>
  <c r="H96" i="117"/>
  <c r="J96" i="117" s="1"/>
  <c r="H97" i="117"/>
  <c r="J97" i="117" s="1"/>
  <c r="H98" i="117"/>
  <c r="H99" i="117"/>
  <c r="H100" i="117"/>
  <c r="H101" i="117"/>
  <c r="H102" i="117"/>
  <c r="H103" i="117"/>
  <c r="H104" i="117"/>
  <c r="J104" i="117" s="1"/>
  <c r="H105" i="117"/>
  <c r="H106" i="117"/>
  <c r="H107" i="117"/>
  <c r="H108" i="117"/>
  <c r="H109" i="117"/>
  <c r="J109" i="117" s="1"/>
  <c r="H110" i="117"/>
  <c r="J110" i="117" s="1"/>
  <c r="H111" i="117"/>
  <c r="J111" i="117" s="1"/>
  <c r="H112" i="117"/>
  <c r="J112" i="117" s="1"/>
  <c r="H113" i="117"/>
  <c r="J113" i="117" s="1"/>
  <c r="H114" i="117"/>
  <c r="H115" i="117"/>
  <c r="H116" i="117"/>
  <c r="H117" i="117"/>
  <c r="H118" i="117"/>
  <c r="H119" i="117"/>
  <c r="H120" i="117"/>
  <c r="J120" i="117" s="1"/>
  <c r="H121" i="117"/>
  <c r="J121" i="117" s="1"/>
  <c r="H122" i="117"/>
  <c r="H123" i="117"/>
  <c r="H124" i="117"/>
  <c r="H125" i="117"/>
  <c r="H126" i="117"/>
  <c r="H127" i="117"/>
  <c r="J127" i="117" s="1"/>
  <c r="H128" i="117"/>
  <c r="H129" i="117"/>
  <c r="H130" i="117"/>
  <c r="H131" i="117"/>
  <c r="H132" i="117"/>
  <c r="H133" i="117"/>
  <c r="H134" i="117"/>
  <c r="H135" i="117"/>
  <c r="H136" i="117"/>
  <c r="H137" i="117"/>
  <c r="H138" i="117"/>
  <c r="H139" i="117"/>
  <c r="H140" i="117"/>
  <c r="H141" i="117"/>
  <c r="H142" i="117"/>
  <c r="H143" i="117"/>
  <c r="H144" i="117"/>
  <c r="J144" i="117" s="1"/>
  <c r="H145" i="117"/>
  <c r="J145" i="117" s="1"/>
  <c r="H146" i="117"/>
  <c r="H147" i="117"/>
  <c r="H148" i="117"/>
  <c r="H149" i="117"/>
  <c r="H150" i="117"/>
  <c r="H151" i="117"/>
  <c r="J151" i="117" s="1"/>
  <c r="H152" i="117"/>
  <c r="J152" i="117" s="1"/>
  <c r="H153" i="117"/>
  <c r="H154" i="117"/>
  <c r="H155" i="117"/>
  <c r="H156" i="117"/>
  <c r="H157" i="117"/>
  <c r="H158" i="117"/>
  <c r="H159" i="117"/>
  <c r="H160" i="117"/>
  <c r="H161" i="117"/>
  <c r="H162" i="117"/>
  <c r="J162" i="117" s="1"/>
  <c r="H163" i="117"/>
  <c r="J163" i="117" s="1"/>
  <c r="H164" i="117"/>
  <c r="J164" i="117" s="1"/>
  <c r="H165" i="117"/>
  <c r="J165" i="117" s="1"/>
  <c r="H166" i="117"/>
  <c r="H167" i="117"/>
  <c r="H168" i="117"/>
  <c r="H169" i="117"/>
  <c r="J169" i="117" s="1"/>
  <c r="H170" i="117"/>
  <c r="H171" i="117"/>
  <c r="H172" i="117"/>
  <c r="H173" i="117"/>
  <c r="H174" i="117"/>
  <c r="H175" i="117"/>
  <c r="J175" i="117" s="1"/>
  <c r="H176" i="117"/>
  <c r="J176" i="117" s="1"/>
  <c r="H177" i="117"/>
  <c r="H178" i="117"/>
  <c r="H179" i="117"/>
  <c r="H180" i="117"/>
  <c r="H181" i="117"/>
  <c r="H182" i="117"/>
  <c r="H183" i="117"/>
  <c r="H184" i="117"/>
  <c r="H185" i="117"/>
  <c r="H186" i="117"/>
  <c r="H187" i="117"/>
  <c r="H188" i="117"/>
  <c r="H189" i="117"/>
  <c r="H190" i="117"/>
  <c r="H191" i="117"/>
  <c r="H192" i="117"/>
  <c r="H193" i="117"/>
  <c r="J193" i="117" s="1"/>
  <c r="H194" i="117"/>
  <c r="H195" i="117"/>
  <c r="H196" i="117"/>
  <c r="H197" i="117"/>
  <c r="H198" i="117"/>
  <c r="J198" i="117" s="1"/>
  <c r="H199" i="117"/>
  <c r="J199" i="117" s="1"/>
  <c r="H200" i="117"/>
  <c r="J200" i="117" s="1"/>
  <c r="H201" i="117"/>
  <c r="H202" i="117"/>
  <c r="H203" i="117"/>
  <c r="H204" i="117"/>
  <c r="H205" i="117"/>
  <c r="H206" i="117"/>
  <c r="H207" i="117"/>
  <c r="H208" i="117"/>
  <c r="H209" i="117"/>
  <c r="H210" i="117"/>
  <c r="H211" i="117"/>
  <c r="H212" i="117"/>
  <c r="H213" i="117"/>
  <c r="H214" i="117"/>
  <c r="H215" i="117"/>
  <c r="H216" i="117"/>
  <c r="J216" i="117" s="1"/>
  <c r="H217" i="117"/>
  <c r="J217" i="117" s="1"/>
  <c r="H218" i="117"/>
  <c r="H219" i="117"/>
  <c r="H220" i="117"/>
  <c r="H221" i="117"/>
  <c r="H222" i="117"/>
  <c r="H223" i="117"/>
  <c r="J223" i="117" s="1"/>
  <c r="H224" i="117"/>
  <c r="J224" i="117" s="1"/>
  <c r="H225" i="117"/>
  <c r="H226" i="117"/>
  <c r="H227" i="117"/>
  <c r="H228" i="117"/>
  <c r="H229" i="117"/>
  <c r="H230" i="117"/>
  <c r="H231" i="117"/>
  <c r="J231" i="117" s="1"/>
  <c r="H232" i="117"/>
  <c r="J232" i="117" s="1"/>
  <c r="H233" i="117"/>
  <c r="H234" i="117"/>
  <c r="H235" i="117"/>
  <c r="H236" i="117"/>
  <c r="H237" i="117"/>
  <c r="H238" i="117"/>
  <c r="H239" i="117"/>
  <c r="H240" i="117"/>
  <c r="J240" i="117" s="1"/>
  <c r="H241" i="117"/>
  <c r="H242" i="117"/>
  <c r="H243" i="117"/>
  <c r="H244" i="117"/>
  <c r="H245" i="117"/>
  <c r="H246" i="117"/>
  <c r="H247" i="117"/>
  <c r="H248" i="117"/>
  <c r="J248" i="117" s="1"/>
  <c r="H249" i="117"/>
  <c r="H250" i="117"/>
  <c r="H251" i="117"/>
  <c r="H252" i="117"/>
  <c r="H253" i="117"/>
  <c r="H254" i="117"/>
  <c r="H255" i="117"/>
  <c r="H256" i="117"/>
  <c r="H257" i="117"/>
  <c r="H258" i="117"/>
  <c r="H259" i="117"/>
  <c r="H260" i="117"/>
  <c r="H261" i="117"/>
  <c r="H262" i="117"/>
  <c r="H263" i="117"/>
  <c r="H264" i="117"/>
  <c r="J264" i="117" s="1"/>
  <c r="H265" i="117"/>
  <c r="J265" i="117" s="1"/>
  <c r="H266" i="117"/>
  <c r="H267" i="117"/>
  <c r="H268" i="117"/>
  <c r="H269" i="117"/>
  <c r="H270" i="117"/>
  <c r="H271" i="117"/>
  <c r="H272" i="117"/>
  <c r="H273" i="117"/>
  <c r="H274" i="117"/>
  <c r="H275" i="117"/>
  <c r="H276" i="117"/>
  <c r="H277" i="117"/>
  <c r="H278" i="117"/>
  <c r="H279" i="117"/>
  <c r="H280" i="117"/>
  <c r="H281" i="117"/>
  <c r="H282" i="117"/>
  <c r="H283" i="117"/>
  <c r="H284" i="117"/>
  <c r="H285" i="117"/>
  <c r="H286" i="117"/>
  <c r="H287" i="117"/>
  <c r="H288" i="117"/>
  <c r="J288" i="117" s="1"/>
  <c r="H289" i="117"/>
  <c r="J289" i="117" s="1"/>
  <c r="H290" i="117"/>
  <c r="H291" i="117"/>
  <c r="H292" i="117"/>
  <c r="H293" i="117"/>
  <c r="H294" i="117"/>
  <c r="J294" i="117" s="1"/>
  <c r="H295" i="117"/>
  <c r="J295" i="117" s="1"/>
  <c r="H296" i="117"/>
  <c r="H297" i="117"/>
  <c r="H298" i="117"/>
  <c r="H299" i="117"/>
  <c r="H300" i="117"/>
  <c r="H301" i="117"/>
  <c r="J301" i="117" s="1"/>
  <c r="H302" i="117"/>
  <c r="J302" i="117" s="1"/>
  <c r="H303" i="117"/>
  <c r="J303" i="117" s="1"/>
  <c r="H304" i="117"/>
  <c r="J304" i="117" s="1"/>
  <c r="H305" i="117"/>
  <c r="H306" i="117"/>
  <c r="H307" i="117"/>
  <c r="H308" i="117"/>
  <c r="J308" i="117" s="1"/>
  <c r="H309" i="117"/>
  <c r="J309" i="117" s="1"/>
  <c r="H310" i="117"/>
  <c r="J310" i="117" s="1"/>
  <c r="H311" i="117"/>
  <c r="H312" i="117"/>
  <c r="J312" i="117" s="1"/>
  <c r="H313" i="117"/>
  <c r="J313" i="117" s="1"/>
  <c r="H314" i="117"/>
  <c r="H315" i="117"/>
  <c r="H316" i="117"/>
  <c r="H317" i="117"/>
  <c r="H318" i="117"/>
  <c r="H319" i="117"/>
  <c r="H320" i="117"/>
  <c r="H321" i="117"/>
  <c r="H322" i="117"/>
  <c r="H323" i="117"/>
  <c r="H324" i="117"/>
  <c r="H325" i="117"/>
  <c r="H326" i="117"/>
  <c r="H327" i="117"/>
  <c r="H328" i="117"/>
  <c r="H329" i="117"/>
  <c r="H330" i="117"/>
  <c r="H331" i="117"/>
  <c r="H332" i="117"/>
  <c r="H333" i="117"/>
  <c r="H334" i="117"/>
  <c r="H335" i="117"/>
  <c r="H336" i="117"/>
  <c r="J336" i="117" s="1"/>
  <c r="H337" i="117"/>
  <c r="J337" i="117" s="1"/>
  <c r="H338" i="117"/>
  <c r="H339" i="117"/>
  <c r="H340" i="117"/>
  <c r="H341" i="117"/>
  <c r="H342" i="117"/>
  <c r="J342" i="117" s="1"/>
  <c r="H343" i="117"/>
  <c r="J343" i="117" s="1"/>
  <c r="H344" i="117"/>
  <c r="J344" i="117" s="1"/>
  <c r="H345" i="117"/>
  <c r="H346" i="117"/>
  <c r="H347" i="117"/>
  <c r="H348" i="117"/>
  <c r="H349" i="117"/>
  <c r="H350" i="117"/>
  <c r="H351" i="117"/>
  <c r="H352" i="117"/>
  <c r="H353" i="117"/>
  <c r="H354" i="117"/>
  <c r="H355" i="117"/>
  <c r="H356" i="117"/>
  <c r="H357" i="117"/>
  <c r="H358" i="117"/>
  <c r="H359" i="117"/>
  <c r="H360" i="117"/>
  <c r="J360" i="117" s="1"/>
  <c r="H361" i="117"/>
  <c r="J361" i="117" s="1"/>
  <c r="H362" i="117"/>
  <c r="H363" i="117"/>
  <c r="H364" i="117"/>
  <c r="H365" i="117"/>
  <c r="H366" i="117"/>
  <c r="H367" i="117"/>
  <c r="H368" i="117"/>
  <c r="J368" i="117" s="1"/>
  <c r="H369" i="117"/>
  <c r="H370" i="117"/>
  <c r="H371" i="117"/>
  <c r="J371" i="117" s="1"/>
  <c r="H372" i="117"/>
  <c r="J372" i="117" s="1"/>
  <c r="H373" i="117"/>
  <c r="J373" i="117" s="1"/>
  <c r="H374" i="117"/>
  <c r="J374" i="117" s="1"/>
  <c r="H375" i="117"/>
  <c r="J375" i="117" s="1"/>
  <c r="H376" i="117"/>
  <c r="H377" i="117"/>
  <c r="H378" i="117"/>
  <c r="H379" i="117"/>
  <c r="J379" i="117" s="1"/>
  <c r="H380" i="117"/>
  <c r="J380" i="117" s="1"/>
  <c r="H381" i="117"/>
  <c r="J381" i="117" s="1"/>
  <c r="H382" i="117"/>
  <c r="H383" i="117"/>
  <c r="H384" i="117"/>
  <c r="J384" i="117" s="1"/>
  <c r="H385" i="117"/>
  <c r="J385" i="117" s="1"/>
  <c r="H386" i="117"/>
  <c r="H387" i="117"/>
  <c r="H388" i="117"/>
  <c r="H389" i="117"/>
  <c r="H390" i="117"/>
  <c r="H391" i="117"/>
  <c r="H392" i="117"/>
  <c r="H393" i="117"/>
  <c r="H394" i="117"/>
  <c r="H395" i="117"/>
  <c r="H396" i="117"/>
  <c r="H397" i="117"/>
  <c r="H398" i="117"/>
  <c r="H399" i="117"/>
  <c r="H400" i="117"/>
  <c r="H401" i="117"/>
  <c r="H402" i="117"/>
  <c r="H403" i="117"/>
  <c r="H404" i="117"/>
  <c r="H405" i="117"/>
  <c r="H406" i="117"/>
  <c r="H407" i="117"/>
  <c r="H408" i="117"/>
  <c r="J408" i="117" s="1"/>
  <c r="H409" i="117"/>
  <c r="J409" i="117" s="1"/>
  <c r="H410" i="117"/>
  <c r="H411" i="117"/>
  <c r="H412" i="117"/>
  <c r="J412" i="117" s="1"/>
  <c r="H413" i="117"/>
  <c r="J413" i="117" s="1"/>
  <c r="H414" i="117"/>
  <c r="H415" i="117"/>
  <c r="J415" i="117" s="1"/>
  <c r="H416" i="117"/>
  <c r="J416" i="117" s="1"/>
  <c r="H417" i="117"/>
  <c r="H418" i="117"/>
  <c r="H419" i="117"/>
  <c r="H420" i="117"/>
  <c r="H421" i="117"/>
  <c r="J421" i="117" s="1"/>
  <c r="H422" i="117"/>
  <c r="J422" i="117" s="1"/>
  <c r="H423" i="117"/>
  <c r="H424" i="117"/>
  <c r="H425" i="117"/>
  <c r="H426" i="117"/>
  <c r="H427" i="117"/>
  <c r="H428" i="117"/>
  <c r="H429" i="117"/>
  <c r="H430" i="117"/>
  <c r="H431" i="117"/>
  <c r="H432" i="117"/>
  <c r="J432" i="117" s="1"/>
  <c r="H433" i="117"/>
  <c r="J433" i="117" s="1"/>
  <c r="H434" i="117"/>
  <c r="H435" i="117"/>
  <c r="H436" i="117"/>
  <c r="H437" i="117"/>
  <c r="H438" i="117"/>
  <c r="H439" i="117"/>
  <c r="H440" i="117"/>
  <c r="H441" i="117"/>
  <c r="H442" i="117"/>
  <c r="H443" i="117"/>
  <c r="H444" i="117"/>
  <c r="H445" i="117"/>
  <c r="J445" i="117" s="1"/>
  <c r="H446" i="117"/>
  <c r="J446" i="117" s="1"/>
  <c r="H447" i="117"/>
  <c r="J447" i="117" s="1"/>
  <c r="H448" i="117"/>
  <c r="H449" i="117"/>
  <c r="H450" i="117"/>
  <c r="H451" i="117"/>
  <c r="H452" i="117"/>
  <c r="H453" i="117"/>
  <c r="H454" i="117"/>
  <c r="H455" i="117"/>
  <c r="H456" i="117"/>
  <c r="J456" i="117" s="1"/>
  <c r="H457" i="117"/>
  <c r="J457" i="117" s="1"/>
  <c r="H458" i="117"/>
  <c r="H459" i="117"/>
  <c r="H460" i="117"/>
  <c r="H461" i="117"/>
  <c r="J461" i="117" s="1"/>
  <c r="H462" i="117"/>
  <c r="J462" i="117" s="1"/>
  <c r="H463" i="117"/>
  <c r="J463" i="117" s="1"/>
  <c r="H464" i="117"/>
  <c r="J464" i="117" s="1"/>
  <c r="H465" i="117"/>
  <c r="H466" i="117"/>
  <c r="H467" i="117"/>
  <c r="H468" i="117"/>
  <c r="H469" i="117"/>
  <c r="H470" i="117"/>
  <c r="H471" i="117"/>
  <c r="H472" i="117"/>
  <c r="H473" i="117"/>
  <c r="H474" i="117"/>
  <c r="H475" i="117"/>
  <c r="H476" i="117"/>
  <c r="H477" i="117"/>
  <c r="H478" i="117"/>
  <c r="H479" i="117"/>
  <c r="H480" i="117"/>
  <c r="H481" i="117"/>
  <c r="J481" i="117" s="1"/>
  <c r="H482" i="117"/>
  <c r="H483" i="117"/>
  <c r="H484" i="117"/>
  <c r="J484" i="117" s="1"/>
  <c r="H485" i="117"/>
  <c r="J485" i="117" s="1"/>
  <c r="H486" i="117"/>
  <c r="J486" i="117" s="1"/>
  <c r="H487" i="117"/>
  <c r="H488" i="117"/>
  <c r="J488" i="117" s="1"/>
  <c r="H489" i="117"/>
  <c r="H490" i="117"/>
  <c r="H491" i="117"/>
  <c r="H492" i="117"/>
  <c r="H493" i="117"/>
  <c r="J493" i="117" s="1"/>
  <c r="H494" i="117"/>
  <c r="H495" i="117"/>
  <c r="H496" i="117"/>
  <c r="H497" i="117"/>
  <c r="H498" i="117"/>
  <c r="H499" i="117"/>
  <c r="H500" i="117"/>
  <c r="H501" i="117"/>
  <c r="H502" i="117"/>
  <c r="H503" i="117"/>
  <c r="H504" i="117"/>
  <c r="J504" i="117" s="1"/>
  <c r="H505" i="117"/>
  <c r="J505" i="117" s="1"/>
  <c r="H506" i="117"/>
  <c r="H507" i="117"/>
  <c r="H508" i="117"/>
  <c r="H509" i="117"/>
  <c r="H510" i="117"/>
  <c r="H511" i="117"/>
  <c r="H512" i="117"/>
  <c r="J512" i="117" s="1"/>
  <c r="H513" i="117"/>
  <c r="H514" i="117"/>
  <c r="H515" i="117"/>
  <c r="H516" i="117"/>
  <c r="H517" i="117"/>
  <c r="J517" i="117" s="1"/>
  <c r="H518" i="117"/>
  <c r="J518" i="117" s="1"/>
  <c r="H519" i="117"/>
  <c r="J519" i="117" s="1"/>
  <c r="H520" i="117"/>
  <c r="J520" i="117" s="1"/>
  <c r="H521" i="117"/>
  <c r="J521" i="117" s="1"/>
  <c r="H522" i="117"/>
  <c r="J522" i="117" s="1"/>
  <c r="H523" i="117"/>
  <c r="H524" i="117"/>
  <c r="H525" i="117"/>
  <c r="H526" i="117"/>
  <c r="H527" i="117"/>
  <c r="H528" i="117"/>
  <c r="J528" i="117" s="1"/>
  <c r="H529" i="117"/>
  <c r="J529" i="117" s="1"/>
  <c r="H530" i="117"/>
  <c r="H531" i="117"/>
  <c r="H532" i="117"/>
  <c r="H533" i="117"/>
  <c r="H534" i="117"/>
  <c r="H535" i="117"/>
  <c r="H536" i="117"/>
  <c r="H537" i="117"/>
  <c r="H538" i="117"/>
  <c r="H539" i="117"/>
  <c r="H540" i="117"/>
  <c r="H541" i="117"/>
  <c r="H542" i="117"/>
  <c r="H543" i="117"/>
  <c r="H544" i="117"/>
  <c r="H545" i="117"/>
  <c r="H546" i="117"/>
  <c r="H547" i="117"/>
  <c r="H548" i="117"/>
  <c r="H549" i="117"/>
  <c r="H550" i="117"/>
  <c r="H551" i="117"/>
  <c r="H552" i="117"/>
  <c r="J552" i="117" s="1"/>
  <c r="H553" i="117"/>
  <c r="J553" i="117" s="1"/>
  <c r="H554" i="117"/>
  <c r="H555" i="117"/>
  <c r="H556" i="117"/>
  <c r="H557" i="117"/>
  <c r="H558" i="117"/>
  <c r="H559" i="117"/>
  <c r="H560" i="117"/>
  <c r="J560" i="117" s="1"/>
  <c r="H561" i="117"/>
  <c r="H562" i="117"/>
  <c r="H563" i="117"/>
  <c r="H564" i="117"/>
  <c r="H565" i="117"/>
  <c r="H566" i="117"/>
  <c r="H567" i="117"/>
  <c r="H568" i="117"/>
  <c r="H569" i="117"/>
  <c r="H570" i="117"/>
  <c r="H571" i="117"/>
  <c r="H572" i="117"/>
  <c r="H573" i="117"/>
  <c r="H574" i="117"/>
  <c r="H575" i="117"/>
  <c r="H576" i="117"/>
  <c r="J576" i="117" s="1"/>
  <c r="H577" i="117"/>
  <c r="J577" i="117" s="1"/>
  <c r="H578" i="117"/>
  <c r="H579" i="117"/>
  <c r="H580" i="117"/>
  <c r="H581" i="117"/>
  <c r="H582" i="117"/>
  <c r="H583" i="117"/>
  <c r="H584" i="117"/>
  <c r="H585" i="117"/>
  <c r="H586" i="117"/>
  <c r="H587" i="117"/>
  <c r="H588" i="117"/>
  <c r="J588" i="117" s="1"/>
  <c r="H589" i="117"/>
  <c r="J589" i="117" s="1"/>
  <c r="H590" i="117"/>
  <c r="J590" i="117" s="1"/>
  <c r="H591" i="117"/>
  <c r="J591" i="117" s="1"/>
  <c r="H592" i="117"/>
  <c r="J592" i="117" s="1"/>
  <c r="H593" i="117"/>
  <c r="H594" i="117"/>
  <c r="H595" i="117"/>
  <c r="H596" i="117"/>
  <c r="J596" i="117" s="1"/>
  <c r="H597" i="117"/>
  <c r="J597" i="117" s="1"/>
  <c r="H598" i="117"/>
  <c r="J598" i="117" s="1"/>
  <c r="H599" i="117"/>
  <c r="J599" i="117" s="1"/>
  <c r="H600" i="117"/>
  <c r="J600" i="117" s="1"/>
  <c r="H601" i="117"/>
  <c r="J601" i="117" s="1"/>
  <c r="H602" i="117"/>
  <c r="H603" i="117"/>
  <c r="H604" i="117"/>
  <c r="H605" i="117"/>
  <c r="H606" i="117"/>
  <c r="H607" i="117"/>
  <c r="H608" i="117"/>
  <c r="H609" i="117"/>
  <c r="H610" i="117"/>
  <c r="H611" i="117"/>
  <c r="H612" i="117"/>
  <c r="H613" i="117"/>
  <c r="H614" i="117"/>
  <c r="H615" i="117"/>
  <c r="H616" i="117"/>
  <c r="H617" i="117"/>
  <c r="H618" i="117"/>
  <c r="H619" i="117"/>
  <c r="H620" i="117"/>
  <c r="H621" i="117"/>
  <c r="H622" i="117"/>
  <c r="H623" i="117"/>
  <c r="H624" i="117"/>
  <c r="J624" i="117" s="1"/>
  <c r="H625" i="117"/>
  <c r="J625" i="117" s="1"/>
  <c r="H626" i="117"/>
  <c r="H627" i="117"/>
  <c r="H628" i="117"/>
  <c r="H629" i="117"/>
  <c r="H630" i="117"/>
  <c r="H631" i="117"/>
  <c r="J631" i="117" s="1"/>
  <c r="H632" i="117"/>
  <c r="J632" i="117" s="1"/>
  <c r="H633" i="117"/>
  <c r="H634" i="117"/>
  <c r="H635" i="117"/>
  <c r="H636" i="117"/>
  <c r="H637" i="117"/>
  <c r="H638" i="117"/>
  <c r="H639" i="117"/>
  <c r="H640" i="117"/>
  <c r="H641" i="117"/>
  <c r="H642" i="117"/>
  <c r="H643" i="117"/>
  <c r="H644" i="117"/>
  <c r="H645" i="117"/>
  <c r="H646" i="117"/>
  <c r="H647" i="117"/>
  <c r="H648" i="117"/>
  <c r="J648" i="117" s="1"/>
  <c r="H649" i="117"/>
  <c r="J649" i="117" s="1"/>
  <c r="H650" i="117"/>
  <c r="H651" i="117"/>
  <c r="H652" i="117"/>
  <c r="H653" i="117"/>
  <c r="H654" i="117"/>
  <c r="J654" i="117" s="1"/>
  <c r="H655" i="117"/>
  <c r="J655" i="117" s="1"/>
  <c r="H656" i="117"/>
  <c r="J656" i="117" s="1"/>
  <c r="H657" i="117"/>
  <c r="H658" i="117"/>
  <c r="H659" i="117"/>
  <c r="H660" i="117"/>
  <c r="H661" i="117"/>
  <c r="J661" i="117" s="1"/>
  <c r="H662" i="117"/>
  <c r="J662" i="117" s="1"/>
  <c r="H663" i="117"/>
  <c r="H664" i="117"/>
  <c r="H665" i="117"/>
  <c r="H666" i="117"/>
  <c r="H667" i="117"/>
  <c r="H668" i="117"/>
  <c r="H669" i="117"/>
  <c r="J669" i="117" s="1"/>
  <c r="H670" i="117"/>
  <c r="J670" i="117" s="1"/>
  <c r="H671" i="117"/>
  <c r="J671" i="117" s="1"/>
  <c r="H672" i="117"/>
  <c r="J672" i="117" s="1"/>
  <c r="H673" i="117"/>
  <c r="J673" i="117" s="1"/>
  <c r="H674" i="117"/>
  <c r="H675" i="117"/>
  <c r="H676" i="117"/>
  <c r="H677" i="117"/>
  <c r="H678" i="117"/>
  <c r="H679" i="117"/>
  <c r="H680" i="117"/>
  <c r="J680" i="117" s="1"/>
  <c r="H681" i="117"/>
  <c r="H682" i="117"/>
  <c r="H683" i="117"/>
  <c r="H684" i="117"/>
  <c r="H685" i="117"/>
  <c r="H686" i="117"/>
  <c r="H687" i="117"/>
  <c r="H688" i="117"/>
  <c r="H689" i="117"/>
  <c r="H690" i="117"/>
  <c r="H691" i="117"/>
  <c r="H692" i="117"/>
  <c r="H693" i="117"/>
  <c r="H694" i="117"/>
  <c r="H695" i="117"/>
  <c r="H696" i="117"/>
  <c r="J696" i="117" s="1"/>
  <c r="H697" i="117"/>
  <c r="J697" i="117" s="1"/>
  <c r="H698" i="117"/>
  <c r="H699" i="117"/>
  <c r="H700" i="117"/>
  <c r="H701" i="117"/>
  <c r="H702" i="117"/>
  <c r="H703" i="117"/>
  <c r="J703" i="117" s="1"/>
  <c r="H704" i="117"/>
  <c r="J704" i="117" s="1"/>
  <c r="H705" i="117"/>
  <c r="H706" i="117"/>
  <c r="H707" i="117"/>
  <c r="H708" i="117"/>
  <c r="H709" i="117"/>
  <c r="H710" i="117"/>
  <c r="H711" i="117"/>
  <c r="H712" i="117"/>
  <c r="H713" i="117"/>
  <c r="H714" i="117"/>
  <c r="H715" i="117"/>
  <c r="H716" i="117"/>
  <c r="H717" i="117"/>
  <c r="H718" i="117"/>
  <c r="H719" i="117"/>
  <c r="H720" i="117"/>
  <c r="J720" i="117" s="1"/>
  <c r="H721" i="117"/>
  <c r="J721" i="117" s="1"/>
  <c r="H722" i="117"/>
  <c r="H723" i="117"/>
  <c r="H724" i="117"/>
  <c r="H725" i="117"/>
  <c r="H726" i="117"/>
  <c r="H727" i="117"/>
  <c r="H728" i="117"/>
  <c r="J728" i="117" s="1"/>
  <c r="H729" i="117"/>
  <c r="H730" i="117"/>
  <c r="H731" i="117"/>
  <c r="H732" i="117"/>
  <c r="H733" i="117"/>
  <c r="J733" i="117" s="1"/>
  <c r="H734" i="117"/>
  <c r="J734" i="117" s="1"/>
  <c r="H735" i="117"/>
  <c r="H736" i="117"/>
  <c r="H737" i="117"/>
  <c r="H738" i="117"/>
  <c r="J738" i="117" s="1"/>
  <c r="H739" i="117"/>
  <c r="J739" i="117" s="1"/>
  <c r="H740" i="117"/>
  <c r="H741" i="117"/>
  <c r="H742" i="117"/>
  <c r="H743" i="117"/>
  <c r="H744" i="117"/>
  <c r="H745" i="117"/>
  <c r="J745" i="117" s="1"/>
  <c r="H746" i="117"/>
  <c r="H747" i="117"/>
  <c r="H748" i="117"/>
  <c r="H749" i="117"/>
  <c r="H750" i="117"/>
  <c r="H751" i="117"/>
  <c r="H752" i="117"/>
  <c r="J752" i="117" s="1"/>
  <c r="H753" i="117"/>
  <c r="H754" i="117"/>
  <c r="H755" i="117"/>
  <c r="H756" i="117"/>
  <c r="J756" i="117" s="1"/>
  <c r="H757" i="117"/>
  <c r="J757" i="117" s="1"/>
  <c r="H758" i="117"/>
  <c r="J758" i="117" s="1"/>
  <c r="H759" i="117"/>
  <c r="H760" i="117"/>
  <c r="H761" i="117"/>
  <c r="H762" i="117"/>
  <c r="H763" i="117"/>
  <c r="H764" i="117"/>
  <c r="H765" i="117"/>
  <c r="H766" i="117"/>
  <c r="H767" i="117"/>
  <c r="H768" i="117"/>
  <c r="H769" i="117"/>
  <c r="J769" i="117" s="1"/>
  <c r="H770" i="117"/>
  <c r="H771" i="117"/>
  <c r="H772" i="117"/>
  <c r="H773" i="117"/>
  <c r="H774" i="117"/>
  <c r="J774" i="117" s="1"/>
  <c r="H775" i="117"/>
  <c r="J775" i="117" s="1"/>
  <c r="H776" i="117"/>
  <c r="J776" i="117" s="1"/>
  <c r="H777" i="117"/>
  <c r="H778" i="117"/>
  <c r="H779" i="117"/>
  <c r="H780" i="117"/>
  <c r="H781" i="117"/>
  <c r="H782" i="117"/>
  <c r="H783" i="117"/>
  <c r="H784" i="117"/>
  <c r="H785" i="117"/>
  <c r="H786" i="117"/>
  <c r="H787" i="117"/>
  <c r="H788" i="117"/>
  <c r="H789" i="117"/>
  <c r="H790" i="117"/>
  <c r="H791" i="117"/>
  <c r="H792" i="117"/>
  <c r="J792" i="117" s="1"/>
  <c r="H793" i="117"/>
  <c r="J793" i="117" s="1"/>
  <c r="H794" i="117"/>
  <c r="H795" i="117"/>
  <c r="H796" i="117"/>
  <c r="J796" i="117" s="1"/>
  <c r="H797" i="117"/>
  <c r="J797" i="117" s="1"/>
  <c r="H798" i="117"/>
  <c r="J798" i="117" s="1"/>
  <c r="H799" i="117"/>
  <c r="J799" i="117" s="1"/>
  <c r="H800" i="117"/>
  <c r="H801" i="117"/>
  <c r="H802" i="117"/>
  <c r="H803" i="117"/>
  <c r="H804" i="117"/>
  <c r="H805" i="117"/>
  <c r="J805" i="117" s="1"/>
  <c r="H806" i="117"/>
  <c r="J806" i="117" s="1"/>
  <c r="H807" i="117"/>
  <c r="J807" i="117" s="1"/>
  <c r="H808" i="117"/>
  <c r="H809" i="117"/>
  <c r="H810" i="117"/>
  <c r="H811" i="117"/>
  <c r="H812" i="117"/>
  <c r="H813" i="117"/>
  <c r="H814" i="117"/>
  <c r="H815" i="117"/>
  <c r="H816" i="117"/>
  <c r="J816" i="117" s="1"/>
  <c r="H817" i="117"/>
  <c r="J817" i="117" s="1"/>
  <c r="H818" i="117"/>
  <c r="H819" i="117"/>
  <c r="H820" i="117"/>
  <c r="H821" i="117"/>
  <c r="H822" i="117"/>
  <c r="H823" i="117"/>
  <c r="H824" i="117"/>
  <c r="J824" i="117" s="1"/>
  <c r="H825" i="117"/>
  <c r="H826" i="117"/>
  <c r="H827" i="117"/>
  <c r="H828" i="117"/>
  <c r="H829" i="117"/>
  <c r="H830" i="117"/>
  <c r="J830" i="117" s="1"/>
  <c r="H831" i="117"/>
  <c r="J831" i="117" s="1"/>
  <c r="H832" i="117"/>
  <c r="J832" i="117" s="1"/>
  <c r="H833" i="117"/>
  <c r="J833" i="117" s="1"/>
  <c r="H834" i="117"/>
  <c r="J834" i="117" s="1"/>
  <c r="H835" i="117"/>
  <c r="J835" i="117" s="1"/>
  <c r="H836" i="117"/>
  <c r="J836" i="117" s="1"/>
  <c r="H837" i="117"/>
  <c r="H838" i="117"/>
  <c r="H839" i="117"/>
  <c r="H840" i="117"/>
  <c r="J840" i="117" s="1"/>
  <c r="H841" i="117"/>
  <c r="J841" i="117" s="1"/>
  <c r="H842" i="117"/>
  <c r="H843" i="117"/>
  <c r="H844" i="117"/>
  <c r="H845" i="117"/>
  <c r="H846" i="117"/>
  <c r="H847" i="117"/>
  <c r="H848" i="117"/>
  <c r="H849" i="117"/>
  <c r="H850" i="117"/>
  <c r="H851" i="117"/>
  <c r="H852" i="117"/>
  <c r="H853" i="117"/>
  <c r="H854" i="117"/>
  <c r="H855" i="117"/>
  <c r="H856" i="117"/>
  <c r="H857" i="117"/>
  <c r="H858" i="117"/>
  <c r="H859" i="117"/>
  <c r="H860" i="117"/>
  <c r="H861" i="117"/>
  <c r="H862" i="117"/>
  <c r="H863" i="117"/>
  <c r="H864" i="117"/>
  <c r="J864" i="117" s="1"/>
  <c r="H865" i="117"/>
  <c r="J865" i="117" s="1"/>
  <c r="H866" i="117"/>
  <c r="H867" i="117"/>
  <c r="H868" i="117"/>
  <c r="H869" i="117"/>
  <c r="H870" i="117"/>
  <c r="H871" i="117"/>
  <c r="H872" i="117"/>
  <c r="H873" i="117"/>
  <c r="H874" i="117"/>
  <c r="H875" i="117"/>
  <c r="H876" i="117"/>
  <c r="H877" i="117"/>
  <c r="H878" i="117"/>
  <c r="H879" i="117"/>
  <c r="H880" i="117"/>
  <c r="H881" i="117"/>
  <c r="H882" i="117"/>
  <c r="H883" i="117"/>
  <c r="H884" i="117"/>
  <c r="H885" i="117"/>
  <c r="H886" i="117"/>
  <c r="H887" i="117"/>
  <c r="H888" i="117"/>
  <c r="J888" i="117" s="1"/>
  <c r="H889" i="117"/>
  <c r="J889" i="117" s="1"/>
  <c r="H890" i="117"/>
  <c r="H891" i="117"/>
  <c r="H892" i="117"/>
  <c r="H893" i="117"/>
  <c r="H894" i="117"/>
  <c r="H895" i="117"/>
  <c r="H896" i="117"/>
  <c r="H897" i="117"/>
  <c r="H898" i="117"/>
  <c r="H899" i="117"/>
  <c r="H900" i="117"/>
  <c r="H901" i="117"/>
  <c r="H902" i="117"/>
  <c r="J902" i="117" s="1"/>
  <c r="H903" i="117"/>
  <c r="J903" i="117" s="1"/>
  <c r="H904" i="117"/>
  <c r="H905" i="117"/>
  <c r="H906" i="117"/>
  <c r="H907" i="117"/>
  <c r="J907" i="117" s="1"/>
  <c r="H908" i="117"/>
  <c r="J908" i="117" s="1"/>
  <c r="H909" i="117"/>
  <c r="J909" i="117" s="1"/>
  <c r="H910" i="117"/>
  <c r="J910" i="117" s="1"/>
  <c r="H911" i="117"/>
  <c r="J911" i="117" s="1"/>
  <c r="H912" i="117"/>
  <c r="J912" i="117" s="1"/>
  <c r="H913" i="117"/>
  <c r="J913" i="117" s="1"/>
  <c r="H914" i="117"/>
  <c r="H915" i="117"/>
  <c r="H916" i="117"/>
  <c r="H917" i="117"/>
  <c r="H918" i="117"/>
  <c r="H919" i="117"/>
  <c r="J919" i="117" s="1"/>
  <c r="H920" i="117"/>
  <c r="J920" i="117" s="1"/>
  <c r="H921" i="117"/>
  <c r="H922" i="117"/>
  <c r="H923" i="117"/>
  <c r="H924" i="117"/>
  <c r="H925" i="117"/>
  <c r="H926" i="117"/>
  <c r="H927" i="117"/>
  <c r="H928" i="117"/>
  <c r="H929" i="117"/>
  <c r="H930" i="117"/>
  <c r="H931" i="117"/>
  <c r="H932" i="117"/>
  <c r="H933" i="117"/>
  <c r="H934" i="117"/>
  <c r="H935" i="117"/>
  <c r="H936" i="117"/>
  <c r="J936" i="117" s="1"/>
  <c r="H937" i="117"/>
  <c r="J937" i="117" s="1"/>
  <c r="H938" i="117"/>
  <c r="H939" i="117"/>
  <c r="H940" i="117"/>
  <c r="H941" i="117"/>
  <c r="H942" i="117"/>
  <c r="H943" i="117"/>
  <c r="J943" i="117" s="1"/>
  <c r="H944" i="117"/>
  <c r="J944" i="117" s="1"/>
  <c r="H945" i="117"/>
  <c r="H946" i="117"/>
  <c r="H947" i="117"/>
  <c r="H948" i="117"/>
  <c r="H949" i="117"/>
  <c r="H950" i="117"/>
  <c r="H951" i="117"/>
  <c r="J951" i="117" s="1"/>
  <c r="H952" i="117"/>
  <c r="H953" i="117"/>
  <c r="H954" i="117"/>
  <c r="J954" i="117" s="1"/>
  <c r="H955" i="117"/>
  <c r="H956" i="117"/>
  <c r="H957" i="117"/>
  <c r="H958" i="117"/>
  <c r="H959" i="117"/>
  <c r="H960" i="117"/>
  <c r="J960" i="117" s="1"/>
  <c r="H961" i="117"/>
  <c r="J961" i="117" s="1"/>
  <c r="H962" i="117"/>
  <c r="H963" i="117"/>
  <c r="H964" i="117"/>
  <c r="H965" i="117"/>
  <c r="J965" i="117" s="1"/>
  <c r="H966" i="117"/>
  <c r="J966" i="117" s="1"/>
  <c r="H967" i="117"/>
  <c r="J967" i="117" s="1"/>
  <c r="H968" i="117"/>
  <c r="J968" i="117" s="1"/>
  <c r="H969" i="117"/>
  <c r="H970" i="117"/>
  <c r="H971" i="117"/>
  <c r="H972" i="117"/>
  <c r="H973" i="117"/>
  <c r="J973" i="117" s="1"/>
  <c r="H974" i="117"/>
  <c r="J974" i="117" s="1"/>
  <c r="H975" i="117"/>
  <c r="H976" i="117"/>
  <c r="H977" i="117"/>
  <c r="H978" i="117"/>
  <c r="H979" i="117"/>
  <c r="H980" i="117"/>
  <c r="H981" i="117"/>
  <c r="J981" i="117" s="1"/>
  <c r="H982" i="117"/>
  <c r="J982" i="117" s="1"/>
  <c r="H983" i="117"/>
  <c r="J983" i="117" s="1"/>
  <c r="H984" i="117"/>
  <c r="J984" i="117" s="1"/>
  <c r="H985" i="117"/>
  <c r="J985" i="117" s="1"/>
  <c r="H986" i="117"/>
  <c r="H987" i="117"/>
  <c r="H988" i="117"/>
  <c r="H989" i="117"/>
  <c r="H990" i="117"/>
  <c r="H991" i="117"/>
  <c r="H992" i="117"/>
  <c r="J992" i="117" s="1"/>
  <c r="H993" i="117"/>
  <c r="H994" i="117"/>
  <c r="H995" i="117"/>
  <c r="J995" i="117" s="1"/>
  <c r="H996" i="117"/>
  <c r="H997" i="117"/>
  <c r="H998" i="117"/>
  <c r="H999" i="117"/>
  <c r="H1000" i="117"/>
  <c r="H1001" i="117"/>
  <c r="H1002" i="117"/>
  <c r="H1003" i="117"/>
  <c r="H1004" i="117"/>
  <c r="H1005" i="117"/>
  <c r="H1006" i="117"/>
  <c r="H1007" i="117"/>
  <c r="H1008" i="117"/>
  <c r="J1008" i="117" s="1"/>
  <c r="H1009" i="117"/>
  <c r="J1009" i="117" s="1"/>
  <c r="H1010" i="117"/>
  <c r="H1011" i="117"/>
  <c r="H1012" i="117"/>
  <c r="H1013" i="117"/>
  <c r="J1013" i="117" s="1"/>
  <c r="H1014" i="117"/>
  <c r="J1014" i="117" s="1"/>
  <c r="H1015" i="117"/>
  <c r="J1015" i="117" s="1"/>
  <c r="H1016" i="117"/>
  <c r="H1017" i="117"/>
  <c r="H1018" i="117"/>
  <c r="H1019" i="117"/>
  <c r="H1020" i="117"/>
  <c r="H1021" i="117"/>
  <c r="H1022" i="117"/>
  <c r="H1023" i="117"/>
  <c r="H1024" i="117"/>
  <c r="H1025" i="117"/>
  <c r="H1" i="117"/>
  <c r="I2" i="117"/>
  <c r="I3" i="117"/>
  <c r="I4" i="117"/>
  <c r="I5" i="117"/>
  <c r="I6" i="117"/>
  <c r="I7" i="117"/>
  <c r="J7" i="117" s="1"/>
  <c r="I8" i="117"/>
  <c r="J8" i="117" s="1"/>
  <c r="I9" i="117"/>
  <c r="J9" i="117" s="1"/>
  <c r="I10" i="117"/>
  <c r="I11" i="117"/>
  <c r="J11" i="117" s="1"/>
  <c r="I12" i="117"/>
  <c r="J12" i="117" s="1"/>
  <c r="I13" i="117"/>
  <c r="J13" i="117" s="1"/>
  <c r="I14" i="117"/>
  <c r="J14" i="117" s="1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33" i="117"/>
  <c r="J33" i="117" s="1"/>
  <c r="I34" i="117"/>
  <c r="I35" i="117"/>
  <c r="I36" i="117"/>
  <c r="J36" i="117" s="1"/>
  <c r="I37" i="117"/>
  <c r="J37" i="117" s="1"/>
  <c r="I38" i="117"/>
  <c r="J38" i="117" s="1"/>
  <c r="I39" i="117"/>
  <c r="I40" i="117"/>
  <c r="I41" i="117"/>
  <c r="I42" i="117"/>
  <c r="I43" i="117"/>
  <c r="I44" i="117"/>
  <c r="I45" i="117"/>
  <c r="I46" i="117"/>
  <c r="I47" i="117"/>
  <c r="I48" i="117"/>
  <c r="I49" i="117"/>
  <c r="I50" i="117"/>
  <c r="I51" i="117"/>
  <c r="I52" i="117"/>
  <c r="J52" i="117" s="1"/>
  <c r="I53" i="117"/>
  <c r="J53" i="117" s="1"/>
  <c r="I54" i="117"/>
  <c r="J54" i="117" s="1"/>
  <c r="I55" i="117"/>
  <c r="I56" i="117"/>
  <c r="I57" i="117"/>
  <c r="J57" i="117" s="1"/>
  <c r="I58" i="117"/>
  <c r="I59" i="117"/>
  <c r="J59" i="117" s="1"/>
  <c r="I60" i="117"/>
  <c r="J60" i="117" s="1"/>
  <c r="I61" i="117"/>
  <c r="J61" i="117" s="1"/>
  <c r="I62" i="117"/>
  <c r="J62" i="117" s="1"/>
  <c r="I63" i="117"/>
  <c r="J63" i="117" s="1"/>
  <c r="I64" i="117"/>
  <c r="I65" i="117"/>
  <c r="I66" i="117"/>
  <c r="I67" i="117"/>
  <c r="I68" i="117"/>
  <c r="I69" i="117"/>
  <c r="I70" i="117"/>
  <c r="I71" i="117"/>
  <c r="I72" i="117"/>
  <c r="I73" i="117"/>
  <c r="I74" i="117"/>
  <c r="I75" i="117"/>
  <c r="I76" i="117"/>
  <c r="I77" i="117"/>
  <c r="I78" i="117"/>
  <c r="I79" i="117"/>
  <c r="I80" i="117"/>
  <c r="I81" i="117"/>
  <c r="J81" i="117" s="1"/>
  <c r="I82" i="117"/>
  <c r="I83" i="117"/>
  <c r="I84" i="117"/>
  <c r="I85" i="117"/>
  <c r="I86" i="117"/>
  <c r="J86" i="117" s="1"/>
  <c r="I87" i="117"/>
  <c r="J87" i="117" s="1"/>
  <c r="I88" i="117"/>
  <c r="I89" i="117"/>
  <c r="I90" i="117"/>
  <c r="I91" i="117"/>
  <c r="I92" i="117"/>
  <c r="I93" i="117"/>
  <c r="I94" i="117"/>
  <c r="I95" i="117"/>
  <c r="I96" i="117"/>
  <c r="I97" i="117"/>
  <c r="I98" i="117"/>
  <c r="I99" i="117"/>
  <c r="I100" i="117"/>
  <c r="J100" i="117" s="1"/>
  <c r="I101" i="117"/>
  <c r="J101" i="117" s="1"/>
  <c r="I102" i="117"/>
  <c r="J102" i="117" s="1"/>
  <c r="I103" i="117"/>
  <c r="I104" i="117"/>
  <c r="I105" i="117"/>
  <c r="J105" i="117" s="1"/>
  <c r="I106" i="117"/>
  <c r="I107" i="117"/>
  <c r="I108" i="117"/>
  <c r="I109" i="117"/>
  <c r="I110" i="117"/>
  <c r="I111" i="117"/>
  <c r="I112" i="117"/>
  <c r="I113" i="117"/>
  <c r="I114" i="117"/>
  <c r="I115" i="117"/>
  <c r="I116" i="117"/>
  <c r="I117" i="117"/>
  <c r="I118" i="117"/>
  <c r="I119" i="117"/>
  <c r="I120" i="117"/>
  <c r="I121" i="117"/>
  <c r="I122" i="117"/>
  <c r="I123" i="117"/>
  <c r="I124" i="117"/>
  <c r="J124" i="117" s="1"/>
  <c r="I125" i="117"/>
  <c r="J125" i="117" s="1"/>
  <c r="I126" i="117"/>
  <c r="J126" i="117" s="1"/>
  <c r="I127" i="117"/>
  <c r="I128" i="117"/>
  <c r="J128" i="117" s="1"/>
  <c r="I129" i="117"/>
  <c r="J129" i="117" s="1"/>
  <c r="I130" i="117"/>
  <c r="I131" i="117"/>
  <c r="J131" i="117" s="1"/>
  <c r="I132" i="117"/>
  <c r="J132" i="117" s="1"/>
  <c r="I133" i="117"/>
  <c r="J133" i="117" s="1"/>
  <c r="I134" i="117"/>
  <c r="J134" i="117" s="1"/>
  <c r="I135" i="117"/>
  <c r="J135" i="117" s="1"/>
  <c r="I136" i="117"/>
  <c r="I137" i="117"/>
  <c r="I138" i="117"/>
  <c r="I139" i="117"/>
  <c r="I140" i="117"/>
  <c r="I141" i="117"/>
  <c r="I142" i="117"/>
  <c r="I143" i="117"/>
  <c r="I144" i="117"/>
  <c r="I145" i="117"/>
  <c r="I146" i="117"/>
  <c r="I147" i="117"/>
  <c r="I148" i="117"/>
  <c r="I149" i="117"/>
  <c r="I150" i="117"/>
  <c r="I151" i="117"/>
  <c r="I152" i="117"/>
  <c r="I153" i="117"/>
  <c r="J153" i="117" s="1"/>
  <c r="I154" i="117"/>
  <c r="I155" i="117"/>
  <c r="J155" i="117" s="1"/>
  <c r="I156" i="117"/>
  <c r="J156" i="117" s="1"/>
  <c r="I157" i="117"/>
  <c r="J157" i="117" s="1"/>
  <c r="I158" i="117"/>
  <c r="J158" i="117" s="1"/>
  <c r="I159" i="117"/>
  <c r="J159" i="117" s="1"/>
  <c r="I160" i="117"/>
  <c r="I161" i="117"/>
  <c r="I162" i="117"/>
  <c r="I163" i="117"/>
  <c r="I164" i="117"/>
  <c r="I165" i="117"/>
  <c r="I166" i="117"/>
  <c r="I167" i="117"/>
  <c r="I168" i="117"/>
  <c r="I169" i="117"/>
  <c r="I170" i="117"/>
  <c r="I171" i="117"/>
  <c r="I172" i="117"/>
  <c r="I173" i="117"/>
  <c r="I174" i="117"/>
  <c r="J174" i="117" s="1"/>
  <c r="I175" i="117"/>
  <c r="I176" i="117"/>
  <c r="I177" i="117"/>
  <c r="J177" i="117" s="1"/>
  <c r="I178" i="117"/>
  <c r="I179" i="117"/>
  <c r="J179" i="117" s="1"/>
  <c r="I180" i="117"/>
  <c r="J180" i="117" s="1"/>
  <c r="I181" i="117"/>
  <c r="J181" i="117" s="1"/>
  <c r="I182" i="117"/>
  <c r="J182" i="117" s="1"/>
  <c r="I183" i="117"/>
  <c r="J183" i="117" s="1"/>
  <c r="I184" i="117"/>
  <c r="I185" i="117"/>
  <c r="I186" i="117"/>
  <c r="I187" i="117"/>
  <c r="I188" i="117"/>
  <c r="I189" i="117"/>
  <c r="I190" i="117"/>
  <c r="I191" i="117"/>
  <c r="I192" i="117"/>
  <c r="I193" i="117"/>
  <c r="I194" i="117"/>
  <c r="I195" i="117"/>
  <c r="I196" i="117"/>
  <c r="I197" i="117"/>
  <c r="I198" i="117"/>
  <c r="I199" i="117"/>
  <c r="I200" i="117"/>
  <c r="I201" i="117"/>
  <c r="J201" i="117" s="1"/>
  <c r="I202" i="117"/>
  <c r="I203" i="117"/>
  <c r="J203" i="117" s="1"/>
  <c r="I204" i="117"/>
  <c r="J204" i="117" s="1"/>
  <c r="I205" i="117"/>
  <c r="J205" i="117" s="1"/>
  <c r="I206" i="117"/>
  <c r="J206" i="117" s="1"/>
  <c r="I207" i="117"/>
  <c r="J207" i="117" s="1"/>
  <c r="I208" i="117"/>
  <c r="I209" i="117"/>
  <c r="I210" i="117"/>
  <c r="I211" i="117"/>
  <c r="I212" i="117"/>
  <c r="I213" i="117"/>
  <c r="I214" i="117"/>
  <c r="I215" i="117"/>
  <c r="I216" i="117"/>
  <c r="I217" i="117"/>
  <c r="I218" i="117"/>
  <c r="I219" i="117"/>
  <c r="I220" i="117"/>
  <c r="J220" i="117" s="1"/>
  <c r="I221" i="117"/>
  <c r="J221" i="117" s="1"/>
  <c r="I222" i="117"/>
  <c r="J222" i="117" s="1"/>
  <c r="I223" i="117"/>
  <c r="I224" i="117"/>
  <c r="I225" i="117"/>
  <c r="J225" i="117" s="1"/>
  <c r="I226" i="117"/>
  <c r="I227" i="117"/>
  <c r="I228" i="117"/>
  <c r="I229" i="117"/>
  <c r="I230" i="117"/>
  <c r="I231" i="117"/>
  <c r="I232" i="117"/>
  <c r="I233" i="117"/>
  <c r="I234" i="117"/>
  <c r="I235" i="117"/>
  <c r="I236" i="117"/>
  <c r="I237" i="117"/>
  <c r="I238" i="117"/>
  <c r="I239" i="117"/>
  <c r="I240" i="117"/>
  <c r="I241" i="117"/>
  <c r="I242" i="117"/>
  <c r="I243" i="117"/>
  <c r="I244" i="117"/>
  <c r="J244" i="117" s="1"/>
  <c r="I245" i="117"/>
  <c r="J245" i="117" s="1"/>
  <c r="I246" i="117"/>
  <c r="J246" i="117" s="1"/>
  <c r="I247" i="117"/>
  <c r="J247" i="117" s="1"/>
  <c r="I248" i="117"/>
  <c r="I249" i="117"/>
  <c r="J249" i="117" s="1"/>
  <c r="I250" i="117"/>
  <c r="I251" i="117"/>
  <c r="J251" i="117" s="1"/>
  <c r="I252" i="117"/>
  <c r="J252" i="117" s="1"/>
  <c r="I253" i="117"/>
  <c r="J253" i="117" s="1"/>
  <c r="I254" i="117"/>
  <c r="J254" i="117" s="1"/>
  <c r="I255" i="117"/>
  <c r="J255" i="117" s="1"/>
  <c r="I256" i="117"/>
  <c r="I257" i="117"/>
  <c r="I258" i="117"/>
  <c r="I259" i="117"/>
  <c r="I260" i="117"/>
  <c r="I261" i="117"/>
  <c r="I262" i="117"/>
  <c r="I263" i="117"/>
  <c r="I264" i="117"/>
  <c r="I265" i="117"/>
  <c r="I266" i="117"/>
  <c r="I267" i="117"/>
  <c r="I268" i="117"/>
  <c r="J268" i="117" s="1"/>
  <c r="I269" i="117"/>
  <c r="J269" i="117" s="1"/>
  <c r="I270" i="117"/>
  <c r="J270" i="117" s="1"/>
  <c r="I271" i="117"/>
  <c r="J271" i="117" s="1"/>
  <c r="I272" i="117"/>
  <c r="J272" i="117" s="1"/>
  <c r="I273" i="117"/>
  <c r="J273" i="117" s="1"/>
  <c r="I274" i="117"/>
  <c r="I275" i="117"/>
  <c r="J275" i="117" s="1"/>
  <c r="I276" i="117"/>
  <c r="J276" i="117" s="1"/>
  <c r="I277" i="117"/>
  <c r="J277" i="117" s="1"/>
  <c r="I278" i="117"/>
  <c r="J278" i="117" s="1"/>
  <c r="I279" i="117"/>
  <c r="J279" i="117" s="1"/>
  <c r="I280" i="117"/>
  <c r="I281" i="117"/>
  <c r="I282" i="117"/>
  <c r="I283" i="117"/>
  <c r="I284" i="117"/>
  <c r="I285" i="117"/>
  <c r="I286" i="117"/>
  <c r="I287" i="117"/>
  <c r="I288" i="117"/>
  <c r="I289" i="117"/>
  <c r="I290" i="117"/>
  <c r="I291" i="117"/>
  <c r="I292" i="117"/>
  <c r="I293" i="117"/>
  <c r="I294" i="117"/>
  <c r="I295" i="117"/>
  <c r="I296" i="117"/>
  <c r="J296" i="117" s="1"/>
  <c r="I297" i="117"/>
  <c r="J297" i="117" s="1"/>
  <c r="I298" i="117"/>
  <c r="I299" i="117"/>
  <c r="J299" i="117" s="1"/>
  <c r="I300" i="117"/>
  <c r="J300" i="117" s="1"/>
  <c r="I301" i="117"/>
  <c r="I302" i="117"/>
  <c r="I303" i="117"/>
  <c r="I304" i="117"/>
  <c r="I305" i="117"/>
  <c r="I306" i="117"/>
  <c r="I307" i="117"/>
  <c r="I308" i="117"/>
  <c r="I309" i="117"/>
  <c r="I310" i="117"/>
  <c r="I311" i="117"/>
  <c r="I312" i="117"/>
  <c r="I313" i="117"/>
  <c r="I314" i="117"/>
  <c r="I315" i="117"/>
  <c r="I316" i="117"/>
  <c r="J316" i="117" s="1"/>
  <c r="I317" i="117"/>
  <c r="J317" i="117" s="1"/>
  <c r="I318" i="117"/>
  <c r="J318" i="117" s="1"/>
  <c r="I319" i="117"/>
  <c r="I320" i="117"/>
  <c r="I321" i="117"/>
  <c r="J321" i="117" s="1"/>
  <c r="I322" i="117"/>
  <c r="I323" i="117"/>
  <c r="J323" i="117" s="1"/>
  <c r="I324" i="117"/>
  <c r="J324" i="117" s="1"/>
  <c r="I325" i="117"/>
  <c r="J325" i="117" s="1"/>
  <c r="I326" i="117"/>
  <c r="J326" i="117" s="1"/>
  <c r="I327" i="117"/>
  <c r="J327" i="117" s="1"/>
  <c r="I328" i="117"/>
  <c r="I329" i="117"/>
  <c r="I330" i="117"/>
  <c r="I331" i="117"/>
  <c r="I332" i="117"/>
  <c r="I333" i="117"/>
  <c r="I334" i="117"/>
  <c r="I335" i="117"/>
  <c r="I336" i="117"/>
  <c r="I337" i="117"/>
  <c r="I338" i="117"/>
  <c r="I339" i="117"/>
  <c r="I340" i="117"/>
  <c r="I341" i="117"/>
  <c r="I342" i="117"/>
  <c r="I343" i="117"/>
  <c r="I344" i="117"/>
  <c r="I345" i="117"/>
  <c r="J345" i="117" s="1"/>
  <c r="I346" i="117"/>
  <c r="I347" i="117"/>
  <c r="J347" i="117" s="1"/>
  <c r="I348" i="117"/>
  <c r="J348" i="117" s="1"/>
  <c r="I349" i="117"/>
  <c r="J349" i="117" s="1"/>
  <c r="I350" i="117"/>
  <c r="J350" i="117" s="1"/>
  <c r="I351" i="117"/>
  <c r="J351" i="117" s="1"/>
  <c r="I352" i="117"/>
  <c r="I353" i="117"/>
  <c r="I354" i="117"/>
  <c r="I355" i="117"/>
  <c r="I356" i="117"/>
  <c r="I357" i="117"/>
  <c r="I358" i="117"/>
  <c r="I359" i="117"/>
  <c r="I360" i="117"/>
  <c r="I361" i="117"/>
  <c r="I362" i="117"/>
  <c r="I363" i="117"/>
  <c r="I364" i="117"/>
  <c r="J364" i="117" s="1"/>
  <c r="I365" i="117"/>
  <c r="J365" i="117" s="1"/>
  <c r="I366" i="117"/>
  <c r="I367" i="117"/>
  <c r="I368" i="117"/>
  <c r="I369" i="117"/>
  <c r="J369" i="117" s="1"/>
  <c r="I370" i="117"/>
  <c r="I371" i="117"/>
  <c r="I372" i="117"/>
  <c r="I373" i="117"/>
  <c r="I374" i="117"/>
  <c r="I375" i="117"/>
  <c r="I376" i="117"/>
  <c r="I377" i="117"/>
  <c r="I378" i="117"/>
  <c r="I379" i="117"/>
  <c r="I380" i="117"/>
  <c r="I381" i="117"/>
  <c r="I382" i="117"/>
  <c r="I383" i="117"/>
  <c r="I384" i="117"/>
  <c r="I385" i="117"/>
  <c r="I386" i="117"/>
  <c r="I387" i="117"/>
  <c r="I388" i="117"/>
  <c r="J388" i="117" s="1"/>
  <c r="I389" i="117"/>
  <c r="J389" i="117" s="1"/>
  <c r="I390" i="117"/>
  <c r="J390" i="117" s="1"/>
  <c r="I391" i="117"/>
  <c r="I392" i="117"/>
  <c r="J392" i="117" s="1"/>
  <c r="I393" i="117"/>
  <c r="J393" i="117" s="1"/>
  <c r="I394" i="117"/>
  <c r="I395" i="117"/>
  <c r="J395" i="117" s="1"/>
  <c r="I396" i="117"/>
  <c r="J396" i="117" s="1"/>
  <c r="I397" i="117"/>
  <c r="J397" i="117" s="1"/>
  <c r="I398" i="117"/>
  <c r="J398" i="117" s="1"/>
  <c r="I399" i="117"/>
  <c r="J399" i="117" s="1"/>
  <c r="I400" i="117"/>
  <c r="I401" i="117"/>
  <c r="I402" i="117"/>
  <c r="I403" i="117"/>
  <c r="I404" i="117"/>
  <c r="I405" i="117"/>
  <c r="I406" i="117"/>
  <c r="I407" i="117"/>
  <c r="I408" i="117"/>
  <c r="I409" i="117"/>
  <c r="I410" i="117"/>
  <c r="I411" i="117"/>
  <c r="I412" i="117"/>
  <c r="I413" i="117"/>
  <c r="I414" i="117"/>
  <c r="J414" i="117" s="1"/>
  <c r="I415" i="117"/>
  <c r="I416" i="117"/>
  <c r="I417" i="117"/>
  <c r="J417" i="117" s="1"/>
  <c r="I418" i="117"/>
  <c r="I419" i="117"/>
  <c r="J419" i="117" s="1"/>
  <c r="I420" i="117"/>
  <c r="I421" i="117"/>
  <c r="I422" i="117"/>
  <c r="I423" i="117"/>
  <c r="J423" i="117" s="1"/>
  <c r="I424" i="117"/>
  <c r="I425" i="117"/>
  <c r="I426" i="117"/>
  <c r="I427" i="117"/>
  <c r="I428" i="117"/>
  <c r="I429" i="117"/>
  <c r="I430" i="117"/>
  <c r="I431" i="117"/>
  <c r="I432" i="117"/>
  <c r="I433" i="117"/>
  <c r="I434" i="117"/>
  <c r="I435" i="117"/>
  <c r="I436" i="117"/>
  <c r="I437" i="117"/>
  <c r="J437" i="117" s="1"/>
  <c r="I438" i="117"/>
  <c r="J438" i="117" s="1"/>
  <c r="I439" i="117"/>
  <c r="I440" i="117"/>
  <c r="I441" i="117"/>
  <c r="J441" i="117" s="1"/>
  <c r="I442" i="117"/>
  <c r="I443" i="117"/>
  <c r="I444" i="117"/>
  <c r="I445" i="117"/>
  <c r="I446" i="117"/>
  <c r="I447" i="117"/>
  <c r="I448" i="117"/>
  <c r="I449" i="117"/>
  <c r="I450" i="117"/>
  <c r="I451" i="117"/>
  <c r="I452" i="117"/>
  <c r="I453" i="117"/>
  <c r="I454" i="117"/>
  <c r="I455" i="117"/>
  <c r="I456" i="117"/>
  <c r="I457" i="117"/>
  <c r="I458" i="117"/>
  <c r="I459" i="117"/>
  <c r="I460" i="117"/>
  <c r="I461" i="117"/>
  <c r="I462" i="117"/>
  <c r="I463" i="117"/>
  <c r="I464" i="117"/>
  <c r="I465" i="117"/>
  <c r="J465" i="117" s="1"/>
  <c r="I466" i="117"/>
  <c r="I467" i="117"/>
  <c r="J467" i="117" s="1"/>
  <c r="I468" i="117"/>
  <c r="J468" i="117" s="1"/>
  <c r="I469" i="117"/>
  <c r="J469" i="117" s="1"/>
  <c r="I470" i="117"/>
  <c r="J470" i="117" s="1"/>
  <c r="I471" i="117"/>
  <c r="J471" i="117" s="1"/>
  <c r="I472" i="117"/>
  <c r="I473" i="117"/>
  <c r="I474" i="117"/>
  <c r="I475" i="117"/>
  <c r="I476" i="117"/>
  <c r="I477" i="117"/>
  <c r="I478" i="117"/>
  <c r="I479" i="117"/>
  <c r="I480" i="117"/>
  <c r="I481" i="117"/>
  <c r="I482" i="117"/>
  <c r="I483" i="117"/>
  <c r="I484" i="117"/>
  <c r="I485" i="117"/>
  <c r="I486" i="117"/>
  <c r="I487" i="117"/>
  <c r="I488" i="117"/>
  <c r="I489" i="117"/>
  <c r="J489" i="117" s="1"/>
  <c r="I490" i="117"/>
  <c r="I491" i="117"/>
  <c r="I492" i="117"/>
  <c r="I493" i="117"/>
  <c r="I494" i="117"/>
  <c r="J494" i="117" s="1"/>
  <c r="I495" i="117"/>
  <c r="J495" i="117" s="1"/>
  <c r="I496" i="117"/>
  <c r="I497" i="117"/>
  <c r="I498" i="117"/>
  <c r="I499" i="117"/>
  <c r="I500" i="117"/>
  <c r="I501" i="117"/>
  <c r="I502" i="117"/>
  <c r="I503" i="117"/>
  <c r="I504" i="117"/>
  <c r="I505" i="117"/>
  <c r="I506" i="117"/>
  <c r="I507" i="117"/>
  <c r="I508" i="117"/>
  <c r="J508" i="117" s="1"/>
  <c r="I509" i="117"/>
  <c r="J509" i="117" s="1"/>
  <c r="I510" i="117"/>
  <c r="J510" i="117" s="1"/>
  <c r="I511" i="117"/>
  <c r="I512" i="117"/>
  <c r="I513" i="117"/>
  <c r="J513" i="117" s="1"/>
  <c r="I514" i="117"/>
  <c r="I515" i="117"/>
  <c r="I516" i="117"/>
  <c r="I517" i="117"/>
  <c r="I518" i="117"/>
  <c r="I519" i="117"/>
  <c r="I520" i="117"/>
  <c r="I521" i="117"/>
  <c r="I522" i="117"/>
  <c r="I523" i="117"/>
  <c r="I524" i="117"/>
  <c r="I525" i="117"/>
  <c r="I526" i="117"/>
  <c r="I527" i="117"/>
  <c r="I528" i="117"/>
  <c r="I529" i="117"/>
  <c r="I530" i="117"/>
  <c r="I531" i="117"/>
  <c r="I532" i="117"/>
  <c r="J532" i="117" s="1"/>
  <c r="I533" i="117"/>
  <c r="J533" i="117" s="1"/>
  <c r="I534" i="117"/>
  <c r="J534" i="117" s="1"/>
  <c r="I535" i="117"/>
  <c r="J535" i="117" s="1"/>
  <c r="I536" i="117"/>
  <c r="J536" i="117" s="1"/>
  <c r="I537" i="117"/>
  <c r="J537" i="117" s="1"/>
  <c r="I538" i="117"/>
  <c r="I539" i="117"/>
  <c r="J539" i="117" s="1"/>
  <c r="I540" i="117"/>
  <c r="J540" i="117" s="1"/>
  <c r="I541" i="117"/>
  <c r="J541" i="117" s="1"/>
  <c r="I542" i="117"/>
  <c r="J542" i="117" s="1"/>
  <c r="I543" i="117"/>
  <c r="J543" i="117" s="1"/>
  <c r="I544" i="117"/>
  <c r="I545" i="117"/>
  <c r="I546" i="117"/>
  <c r="I547" i="117"/>
  <c r="I548" i="117"/>
  <c r="I549" i="117"/>
  <c r="I550" i="117"/>
  <c r="I551" i="117"/>
  <c r="I552" i="117"/>
  <c r="I553" i="117"/>
  <c r="I554" i="117"/>
  <c r="I555" i="117"/>
  <c r="I556" i="117"/>
  <c r="I557" i="117"/>
  <c r="I558" i="117"/>
  <c r="J558" i="117" s="1"/>
  <c r="I559" i="117"/>
  <c r="J559" i="117" s="1"/>
  <c r="I560" i="117"/>
  <c r="I561" i="117"/>
  <c r="J561" i="117" s="1"/>
  <c r="I562" i="117"/>
  <c r="I563" i="117"/>
  <c r="J563" i="117" s="1"/>
  <c r="I564" i="117"/>
  <c r="J564" i="117" s="1"/>
  <c r="I565" i="117"/>
  <c r="J565" i="117" s="1"/>
  <c r="I566" i="117"/>
  <c r="J566" i="117" s="1"/>
  <c r="I567" i="117"/>
  <c r="J567" i="117" s="1"/>
  <c r="I568" i="117"/>
  <c r="I569" i="117"/>
  <c r="I570" i="117"/>
  <c r="I571" i="117"/>
  <c r="I572" i="117"/>
  <c r="I573" i="117"/>
  <c r="I574" i="117"/>
  <c r="I575" i="117"/>
  <c r="I576" i="117"/>
  <c r="I577" i="117"/>
  <c r="I578" i="117"/>
  <c r="I579" i="117"/>
  <c r="I580" i="117"/>
  <c r="I581" i="117"/>
  <c r="I582" i="117"/>
  <c r="I583" i="117"/>
  <c r="I584" i="117"/>
  <c r="J584" i="117" s="1"/>
  <c r="I585" i="117"/>
  <c r="J585" i="117" s="1"/>
  <c r="I586" i="117"/>
  <c r="I587" i="117"/>
  <c r="J587" i="117" s="1"/>
  <c r="I588" i="117"/>
  <c r="I589" i="117"/>
  <c r="I590" i="117"/>
  <c r="I591" i="117"/>
  <c r="I592" i="117"/>
  <c r="I593" i="117"/>
  <c r="I594" i="117"/>
  <c r="I595" i="117"/>
  <c r="I596" i="117"/>
  <c r="I597" i="117"/>
  <c r="I598" i="117"/>
  <c r="I599" i="117"/>
  <c r="I600" i="117"/>
  <c r="I601" i="117"/>
  <c r="I602" i="117"/>
  <c r="I603" i="117"/>
  <c r="I604" i="117"/>
  <c r="J604" i="117" s="1"/>
  <c r="I605" i="117"/>
  <c r="J605" i="117" s="1"/>
  <c r="I606" i="117"/>
  <c r="I607" i="117"/>
  <c r="I608" i="117"/>
  <c r="I609" i="117"/>
  <c r="J609" i="117" s="1"/>
  <c r="I610" i="117"/>
  <c r="I611" i="117"/>
  <c r="J611" i="117" s="1"/>
  <c r="I612" i="117"/>
  <c r="J612" i="117" s="1"/>
  <c r="I613" i="117"/>
  <c r="J613" i="117" s="1"/>
  <c r="I614" i="117"/>
  <c r="J614" i="117" s="1"/>
  <c r="I615" i="117"/>
  <c r="J615" i="117" s="1"/>
  <c r="I616" i="117"/>
  <c r="I617" i="117"/>
  <c r="I618" i="117"/>
  <c r="I619" i="117"/>
  <c r="I620" i="117"/>
  <c r="I621" i="117"/>
  <c r="I622" i="117"/>
  <c r="I623" i="117"/>
  <c r="I624" i="117"/>
  <c r="I625" i="117"/>
  <c r="I626" i="117"/>
  <c r="I627" i="117"/>
  <c r="I628" i="117"/>
  <c r="I629" i="117"/>
  <c r="I630" i="117"/>
  <c r="I631" i="117"/>
  <c r="I632" i="117"/>
  <c r="I633" i="117"/>
  <c r="J633" i="117" s="1"/>
  <c r="I634" i="117"/>
  <c r="I635" i="117"/>
  <c r="J635" i="117" s="1"/>
  <c r="I636" i="117"/>
  <c r="J636" i="117" s="1"/>
  <c r="I637" i="117"/>
  <c r="J637" i="117" s="1"/>
  <c r="I638" i="117"/>
  <c r="J638" i="117" s="1"/>
  <c r="I639" i="117"/>
  <c r="J639" i="117" s="1"/>
  <c r="I640" i="117"/>
  <c r="I641" i="117"/>
  <c r="I642" i="117"/>
  <c r="I643" i="117"/>
  <c r="I644" i="117"/>
  <c r="I645" i="117"/>
  <c r="I646" i="117"/>
  <c r="I647" i="117"/>
  <c r="I648" i="117"/>
  <c r="I649" i="117"/>
  <c r="I650" i="117"/>
  <c r="I651" i="117"/>
  <c r="I652" i="117"/>
  <c r="I653" i="117"/>
  <c r="I654" i="117"/>
  <c r="I655" i="117"/>
  <c r="I656" i="117"/>
  <c r="I657" i="117"/>
  <c r="J657" i="117" s="1"/>
  <c r="I658" i="117"/>
  <c r="I659" i="117"/>
  <c r="I660" i="117"/>
  <c r="I661" i="117"/>
  <c r="I662" i="117"/>
  <c r="I663" i="117"/>
  <c r="J663" i="117" s="1"/>
  <c r="I664" i="117"/>
  <c r="I665" i="117"/>
  <c r="I666" i="117"/>
  <c r="I667" i="117"/>
  <c r="I668" i="117"/>
  <c r="I669" i="117"/>
  <c r="I670" i="117"/>
  <c r="I671" i="117"/>
  <c r="I672" i="117"/>
  <c r="I673" i="117"/>
  <c r="I674" i="117"/>
  <c r="I675" i="117"/>
  <c r="I676" i="117"/>
  <c r="I677" i="117"/>
  <c r="J677" i="117" s="1"/>
  <c r="I678" i="117"/>
  <c r="J678" i="117" s="1"/>
  <c r="I679" i="117"/>
  <c r="J679" i="117" s="1"/>
  <c r="I680" i="117"/>
  <c r="I681" i="117"/>
  <c r="J681" i="117" s="1"/>
  <c r="I682" i="117"/>
  <c r="I683" i="117"/>
  <c r="J683" i="117" s="1"/>
  <c r="I684" i="117"/>
  <c r="J684" i="117" s="1"/>
  <c r="I685" i="117"/>
  <c r="J685" i="117" s="1"/>
  <c r="I686" i="117"/>
  <c r="J686" i="117" s="1"/>
  <c r="I687" i="117"/>
  <c r="J687" i="117" s="1"/>
  <c r="I688" i="117"/>
  <c r="I689" i="117"/>
  <c r="I690" i="117"/>
  <c r="I691" i="117"/>
  <c r="I692" i="117"/>
  <c r="I693" i="117"/>
  <c r="I694" i="117"/>
  <c r="I695" i="117"/>
  <c r="I696" i="117"/>
  <c r="I697" i="117"/>
  <c r="I698" i="117"/>
  <c r="I699" i="117"/>
  <c r="I700" i="117"/>
  <c r="I701" i="117"/>
  <c r="I702" i="117"/>
  <c r="I703" i="117"/>
  <c r="I704" i="117"/>
  <c r="I705" i="117"/>
  <c r="J705" i="117" s="1"/>
  <c r="I706" i="117"/>
  <c r="I707" i="117"/>
  <c r="J707" i="117" s="1"/>
  <c r="I708" i="117"/>
  <c r="J708" i="117" s="1"/>
  <c r="I709" i="117"/>
  <c r="J709" i="117" s="1"/>
  <c r="I710" i="117"/>
  <c r="J710" i="117" s="1"/>
  <c r="I711" i="117"/>
  <c r="J711" i="117" s="1"/>
  <c r="I712" i="117"/>
  <c r="I713" i="117"/>
  <c r="I714" i="117"/>
  <c r="I715" i="117"/>
  <c r="I716" i="117"/>
  <c r="I717" i="117"/>
  <c r="I718" i="117"/>
  <c r="I719" i="117"/>
  <c r="I720" i="117"/>
  <c r="I721" i="117"/>
  <c r="I722" i="117"/>
  <c r="I723" i="117"/>
  <c r="I724" i="117"/>
  <c r="I725" i="117"/>
  <c r="I726" i="117"/>
  <c r="I727" i="117"/>
  <c r="I728" i="117"/>
  <c r="I729" i="117"/>
  <c r="J729" i="117" s="1"/>
  <c r="I730" i="117"/>
  <c r="I731" i="117"/>
  <c r="J731" i="117" s="1"/>
  <c r="I732" i="117"/>
  <c r="J732" i="117" s="1"/>
  <c r="I733" i="117"/>
  <c r="I734" i="117"/>
  <c r="I735" i="117"/>
  <c r="J735" i="117" s="1"/>
  <c r="I736" i="117"/>
  <c r="I737" i="117"/>
  <c r="I738" i="117"/>
  <c r="I739" i="117"/>
  <c r="I740" i="117"/>
  <c r="I741" i="117"/>
  <c r="I742" i="117"/>
  <c r="I743" i="117"/>
  <c r="I744" i="117"/>
  <c r="I745" i="117"/>
  <c r="I746" i="117"/>
  <c r="I747" i="117"/>
  <c r="I748" i="117"/>
  <c r="I749" i="117"/>
  <c r="J749" i="117" s="1"/>
  <c r="I750" i="117"/>
  <c r="J750" i="117" s="1"/>
  <c r="I751" i="117"/>
  <c r="I752" i="117"/>
  <c r="I753" i="117"/>
  <c r="J753" i="117" s="1"/>
  <c r="I754" i="117"/>
  <c r="I755" i="117"/>
  <c r="I756" i="117"/>
  <c r="I757" i="117"/>
  <c r="I758" i="117"/>
  <c r="I759" i="117"/>
  <c r="I760" i="117"/>
  <c r="I761" i="117"/>
  <c r="I762" i="117"/>
  <c r="I763" i="117"/>
  <c r="I764" i="117"/>
  <c r="I765" i="117"/>
  <c r="I766" i="117"/>
  <c r="I767" i="117"/>
  <c r="I768" i="117"/>
  <c r="I769" i="117"/>
  <c r="I770" i="117"/>
  <c r="I771" i="117"/>
  <c r="I772" i="117"/>
  <c r="I773" i="117"/>
  <c r="I774" i="117"/>
  <c r="I775" i="117"/>
  <c r="I776" i="117"/>
  <c r="I777" i="117"/>
  <c r="J777" i="117" s="1"/>
  <c r="I778" i="117"/>
  <c r="I779" i="117"/>
  <c r="I780" i="117"/>
  <c r="J780" i="117" s="1"/>
  <c r="I781" i="117"/>
  <c r="J781" i="117" s="1"/>
  <c r="I782" i="117"/>
  <c r="J782" i="117" s="1"/>
  <c r="I783" i="117"/>
  <c r="J783" i="117" s="1"/>
  <c r="I784" i="117"/>
  <c r="I785" i="117"/>
  <c r="I786" i="117"/>
  <c r="I787" i="117"/>
  <c r="I788" i="117"/>
  <c r="I789" i="117"/>
  <c r="I790" i="117"/>
  <c r="I791" i="117"/>
  <c r="I792" i="117"/>
  <c r="I793" i="117"/>
  <c r="I794" i="117"/>
  <c r="I795" i="117"/>
  <c r="I796" i="117"/>
  <c r="I797" i="117"/>
  <c r="I798" i="117"/>
  <c r="I799" i="117"/>
  <c r="I800" i="117"/>
  <c r="I801" i="117"/>
  <c r="J801" i="117" s="1"/>
  <c r="I802" i="117"/>
  <c r="I803" i="117"/>
  <c r="I804" i="117"/>
  <c r="I805" i="117"/>
  <c r="I806" i="117"/>
  <c r="I807" i="117"/>
  <c r="I808" i="117"/>
  <c r="I809" i="117"/>
  <c r="I810" i="117"/>
  <c r="I811" i="117"/>
  <c r="I812" i="117"/>
  <c r="I813" i="117"/>
  <c r="I814" i="117"/>
  <c r="I815" i="117"/>
  <c r="I816" i="117"/>
  <c r="I817" i="117"/>
  <c r="I818" i="117"/>
  <c r="I819" i="117"/>
  <c r="I820" i="117"/>
  <c r="J820" i="117" s="1"/>
  <c r="I821" i="117"/>
  <c r="J821" i="117" s="1"/>
  <c r="I822" i="117"/>
  <c r="J822" i="117" s="1"/>
  <c r="I823" i="117"/>
  <c r="I824" i="117"/>
  <c r="I825" i="117"/>
  <c r="J825" i="117" s="1"/>
  <c r="I826" i="117"/>
  <c r="I827" i="117"/>
  <c r="I828" i="117"/>
  <c r="I829" i="117"/>
  <c r="I830" i="117"/>
  <c r="I831" i="117"/>
  <c r="I832" i="117"/>
  <c r="I833" i="117"/>
  <c r="I834" i="117"/>
  <c r="I835" i="117"/>
  <c r="I836" i="117"/>
  <c r="I837" i="117"/>
  <c r="I838" i="117"/>
  <c r="I839" i="117"/>
  <c r="I840" i="117"/>
  <c r="I841" i="117"/>
  <c r="I842" i="117"/>
  <c r="I843" i="117"/>
  <c r="I844" i="117"/>
  <c r="J844" i="117" s="1"/>
  <c r="I845" i="117"/>
  <c r="J845" i="117" s="1"/>
  <c r="I846" i="117"/>
  <c r="J846" i="117" s="1"/>
  <c r="I847" i="117"/>
  <c r="J847" i="117" s="1"/>
  <c r="I848" i="117"/>
  <c r="J848" i="117" s="1"/>
  <c r="I849" i="117"/>
  <c r="J849" i="117" s="1"/>
  <c r="I850" i="117"/>
  <c r="I851" i="117"/>
  <c r="J851" i="117" s="1"/>
  <c r="I852" i="117"/>
  <c r="J852" i="117" s="1"/>
  <c r="I853" i="117"/>
  <c r="J853" i="117" s="1"/>
  <c r="I854" i="117"/>
  <c r="J854" i="117" s="1"/>
  <c r="I855" i="117"/>
  <c r="J855" i="117" s="1"/>
  <c r="I856" i="117"/>
  <c r="I857" i="117"/>
  <c r="I858" i="117"/>
  <c r="I859" i="117"/>
  <c r="I860" i="117"/>
  <c r="I861" i="117"/>
  <c r="I862" i="117"/>
  <c r="I863" i="117"/>
  <c r="I864" i="117"/>
  <c r="I865" i="117"/>
  <c r="I866" i="117"/>
  <c r="I867" i="117"/>
  <c r="I868" i="117"/>
  <c r="I869" i="117"/>
  <c r="I870" i="117"/>
  <c r="I871" i="117"/>
  <c r="I872" i="117"/>
  <c r="J872" i="117" s="1"/>
  <c r="I873" i="117"/>
  <c r="J873" i="117" s="1"/>
  <c r="I874" i="117"/>
  <c r="I875" i="117"/>
  <c r="J875" i="117" s="1"/>
  <c r="I876" i="117"/>
  <c r="J876" i="117" s="1"/>
  <c r="I877" i="117"/>
  <c r="J877" i="117" s="1"/>
  <c r="I878" i="117"/>
  <c r="J878" i="117" s="1"/>
  <c r="I879" i="117"/>
  <c r="J879" i="117" s="1"/>
  <c r="I880" i="117"/>
  <c r="I881" i="117"/>
  <c r="I882" i="117"/>
  <c r="I883" i="117"/>
  <c r="I884" i="117"/>
  <c r="I885" i="117"/>
  <c r="I886" i="117"/>
  <c r="I887" i="117"/>
  <c r="I888" i="117"/>
  <c r="I889" i="117"/>
  <c r="I890" i="117"/>
  <c r="I891" i="117"/>
  <c r="I892" i="117"/>
  <c r="I893" i="117"/>
  <c r="I894" i="117"/>
  <c r="I895" i="117"/>
  <c r="I896" i="117"/>
  <c r="I897" i="117"/>
  <c r="J897" i="117" s="1"/>
  <c r="I898" i="117"/>
  <c r="I899" i="117"/>
  <c r="I900" i="117"/>
  <c r="J900" i="117" s="1"/>
  <c r="I901" i="117"/>
  <c r="J901" i="117" s="1"/>
  <c r="I902" i="117"/>
  <c r="I903" i="117"/>
  <c r="I904" i="117"/>
  <c r="I905" i="117"/>
  <c r="I906" i="117"/>
  <c r="I907" i="117"/>
  <c r="I908" i="117"/>
  <c r="I909" i="117"/>
  <c r="I910" i="117"/>
  <c r="I911" i="117"/>
  <c r="I912" i="117"/>
  <c r="I913" i="117"/>
  <c r="I914" i="117"/>
  <c r="I915" i="117"/>
  <c r="I916" i="117"/>
  <c r="J916" i="117" s="1"/>
  <c r="I917" i="117"/>
  <c r="J917" i="117" s="1"/>
  <c r="I918" i="117"/>
  <c r="J918" i="117" s="1"/>
  <c r="I919" i="117"/>
  <c r="I920" i="117"/>
  <c r="I921" i="117"/>
  <c r="J921" i="117" s="1"/>
  <c r="I922" i="117"/>
  <c r="I923" i="117"/>
  <c r="I924" i="117"/>
  <c r="J924" i="117" s="1"/>
  <c r="I925" i="117"/>
  <c r="J925" i="117" s="1"/>
  <c r="I926" i="117"/>
  <c r="J926" i="117" s="1"/>
  <c r="I927" i="117"/>
  <c r="J927" i="117" s="1"/>
  <c r="I928" i="117"/>
  <c r="I929" i="117"/>
  <c r="I930" i="117"/>
  <c r="I931" i="117"/>
  <c r="I932" i="117"/>
  <c r="I933" i="117"/>
  <c r="I934" i="117"/>
  <c r="I935" i="117"/>
  <c r="I936" i="117"/>
  <c r="I937" i="117"/>
  <c r="I938" i="117"/>
  <c r="I939" i="117"/>
  <c r="I940" i="117"/>
  <c r="I941" i="117"/>
  <c r="I942" i="117"/>
  <c r="I943" i="117"/>
  <c r="I944" i="117"/>
  <c r="I945" i="117"/>
  <c r="J945" i="117" s="1"/>
  <c r="I946" i="117"/>
  <c r="I947" i="117"/>
  <c r="I948" i="117"/>
  <c r="J948" i="117" s="1"/>
  <c r="I949" i="117"/>
  <c r="J949" i="117" s="1"/>
  <c r="I950" i="117"/>
  <c r="J950" i="117" s="1"/>
  <c r="I951" i="117"/>
  <c r="I952" i="117"/>
  <c r="I953" i="117"/>
  <c r="I954" i="117"/>
  <c r="I955" i="117"/>
  <c r="I956" i="117"/>
  <c r="I957" i="117"/>
  <c r="I958" i="117"/>
  <c r="I959" i="117"/>
  <c r="I960" i="117"/>
  <c r="I961" i="117"/>
  <c r="I962" i="117"/>
  <c r="I963" i="117"/>
  <c r="I964" i="117"/>
  <c r="I965" i="117"/>
  <c r="I966" i="117"/>
  <c r="I967" i="117"/>
  <c r="I968" i="117"/>
  <c r="I969" i="117"/>
  <c r="J969" i="117" s="1"/>
  <c r="I970" i="117"/>
  <c r="I971" i="117"/>
  <c r="I972" i="117"/>
  <c r="I973" i="117"/>
  <c r="I974" i="117"/>
  <c r="I975" i="117"/>
  <c r="I976" i="117"/>
  <c r="I977" i="117"/>
  <c r="I978" i="117"/>
  <c r="I979" i="117"/>
  <c r="I980" i="117"/>
  <c r="I981" i="117"/>
  <c r="I982" i="117"/>
  <c r="I983" i="117"/>
  <c r="I984" i="117"/>
  <c r="I985" i="117"/>
  <c r="I986" i="117"/>
  <c r="I987" i="117"/>
  <c r="I988" i="117"/>
  <c r="J988" i="117" s="1"/>
  <c r="I989" i="117"/>
  <c r="J989" i="117" s="1"/>
  <c r="I990" i="117"/>
  <c r="J990" i="117" s="1"/>
  <c r="I991" i="117"/>
  <c r="I992" i="117"/>
  <c r="I993" i="117"/>
  <c r="J993" i="117" s="1"/>
  <c r="I994" i="117"/>
  <c r="I995" i="117"/>
  <c r="I996" i="117"/>
  <c r="J996" i="117" s="1"/>
  <c r="I997" i="117"/>
  <c r="J997" i="117" s="1"/>
  <c r="I998" i="117"/>
  <c r="J998" i="117" s="1"/>
  <c r="I999" i="117"/>
  <c r="J999" i="117" s="1"/>
  <c r="I1000" i="117"/>
  <c r="I1001" i="117"/>
  <c r="I1002" i="117"/>
  <c r="I1003" i="117"/>
  <c r="I1004" i="117"/>
  <c r="I1005" i="117"/>
  <c r="I1006" i="117"/>
  <c r="I1007" i="117"/>
  <c r="I1008" i="117"/>
  <c r="I1009" i="117"/>
  <c r="I1010" i="117"/>
  <c r="I1011" i="117"/>
  <c r="I1012" i="117"/>
  <c r="I1013" i="117"/>
  <c r="I1014" i="117"/>
  <c r="I1015" i="117"/>
  <c r="I1016" i="117"/>
  <c r="J1016" i="117" s="1"/>
  <c r="I1017" i="117"/>
  <c r="J1017" i="117" s="1"/>
  <c r="I1018" i="117"/>
  <c r="I1019" i="117"/>
  <c r="J1019" i="117" s="1"/>
  <c r="I1020" i="117"/>
  <c r="I1021" i="117"/>
  <c r="J1021" i="117" s="1"/>
  <c r="I1022" i="117"/>
  <c r="J1022" i="117" s="1"/>
  <c r="I1023" i="117"/>
  <c r="J1023" i="117" s="1"/>
  <c r="I1024" i="117"/>
  <c r="I1025" i="117"/>
  <c r="I1" i="117"/>
  <c r="J2" i="117"/>
  <c r="J3" i="117"/>
  <c r="J4" i="117"/>
  <c r="J5" i="117"/>
  <c r="J6" i="117"/>
  <c r="J15" i="117"/>
  <c r="J16" i="117"/>
  <c r="J26" i="117"/>
  <c r="J27" i="117"/>
  <c r="J28" i="117"/>
  <c r="J29" i="117"/>
  <c r="J30" i="117"/>
  <c r="J35" i="117"/>
  <c r="J50" i="117"/>
  <c r="J51" i="117"/>
  <c r="J74" i="117"/>
  <c r="J75" i="117"/>
  <c r="J76" i="117"/>
  <c r="J77" i="117"/>
  <c r="J78" i="117"/>
  <c r="J79" i="117"/>
  <c r="J83" i="117"/>
  <c r="J84" i="117"/>
  <c r="J85" i="117"/>
  <c r="J98" i="117"/>
  <c r="J99" i="117"/>
  <c r="J103" i="117"/>
  <c r="J107" i="117"/>
  <c r="J108" i="117"/>
  <c r="J122" i="117"/>
  <c r="J123" i="117"/>
  <c r="J146" i="117"/>
  <c r="J147" i="117"/>
  <c r="J148" i="117"/>
  <c r="J149" i="117"/>
  <c r="J150" i="117"/>
  <c r="J170" i="117"/>
  <c r="J171" i="117"/>
  <c r="J172" i="117"/>
  <c r="J173" i="117"/>
  <c r="J194" i="117"/>
  <c r="J195" i="117"/>
  <c r="J196" i="117"/>
  <c r="J197" i="117"/>
  <c r="J218" i="117"/>
  <c r="J219" i="117"/>
  <c r="J227" i="117"/>
  <c r="J228" i="117"/>
  <c r="J229" i="117"/>
  <c r="J230" i="117"/>
  <c r="J241" i="117"/>
  <c r="J242" i="117"/>
  <c r="J243" i="117"/>
  <c r="J266" i="117"/>
  <c r="J267" i="117"/>
  <c r="J290" i="117"/>
  <c r="J291" i="117"/>
  <c r="J292" i="117"/>
  <c r="J293" i="117"/>
  <c r="J314" i="117"/>
  <c r="J315" i="117"/>
  <c r="J319" i="117"/>
  <c r="J320" i="117"/>
  <c r="J338" i="117"/>
  <c r="J339" i="117"/>
  <c r="J340" i="117"/>
  <c r="J341" i="117"/>
  <c r="J362" i="117"/>
  <c r="J363" i="117"/>
  <c r="J366" i="117"/>
  <c r="J367" i="117"/>
  <c r="J386" i="117"/>
  <c r="J387" i="117"/>
  <c r="J391" i="117"/>
  <c r="J410" i="117"/>
  <c r="J411" i="117"/>
  <c r="J420" i="117"/>
  <c r="J434" i="117"/>
  <c r="J435" i="117"/>
  <c r="J436" i="117"/>
  <c r="J439" i="117"/>
  <c r="J440" i="117"/>
  <c r="J443" i="117"/>
  <c r="J444" i="117"/>
  <c r="J458" i="117"/>
  <c r="J459" i="117"/>
  <c r="J460" i="117"/>
  <c r="J482" i="117"/>
  <c r="J483" i="117"/>
  <c r="J487" i="117"/>
  <c r="J491" i="117"/>
  <c r="J492" i="117"/>
  <c r="J506" i="117"/>
  <c r="J507" i="117"/>
  <c r="J511" i="117"/>
  <c r="J515" i="117"/>
  <c r="J516" i="117"/>
  <c r="J530" i="117"/>
  <c r="J531" i="117"/>
  <c r="J554" i="117"/>
  <c r="J555" i="117"/>
  <c r="J556" i="117"/>
  <c r="J557" i="117"/>
  <c r="J578" i="117"/>
  <c r="J579" i="117"/>
  <c r="J580" i="117"/>
  <c r="J581" i="117"/>
  <c r="J582" i="117"/>
  <c r="J583" i="117"/>
  <c r="J602" i="117"/>
  <c r="J603" i="117"/>
  <c r="J606" i="117"/>
  <c r="J607" i="117"/>
  <c r="J608" i="117"/>
  <c r="J626" i="117"/>
  <c r="J627" i="117"/>
  <c r="J628" i="117"/>
  <c r="J629" i="117"/>
  <c r="J630" i="117"/>
  <c r="J650" i="117"/>
  <c r="J651" i="117"/>
  <c r="J652" i="117"/>
  <c r="J653" i="117"/>
  <c r="J659" i="117"/>
  <c r="J660" i="117"/>
  <c r="J674" i="117"/>
  <c r="J675" i="117"/>
  <c r="J676" i="117"/>
  <c r="J698" i="117"/>
  <c r="J699" i="117"/>
  <c r="J700" i="117"/>
  <c r="J701" i="117"/>
  <c r="J702" i="117"/>
  <c r="J722" i="117"/>
  <c r="J723" i="117"/>
  <c r="J724" i="117"/>
  <c r="J725" i="117"/>
  <c r="J726" i="117"/>
  <c r="J727" i="117"/>
  <c r="J740" i="117"/>
  <c r="J741" i="117"/>
  <c r="J744" i="117"/>
  <c r="J746" i="117"/>
  <c r="J747" i="117"/>
  <c r="J748" i="117"/>
  <c r="J751" i="117"/>
  <c r="J755" i="117"/>
  <c r="J759" i="117"/>
  <c r="J770" i="117"/>
  <c r="J771" i="117"/>
  <c r="J772" i="117"/>
  <c r="J773" i="117"/>
  <c r="J779" i="117"/>
  <c r="J794" i="117"/>
  <c r="J795" i="117"/>
  <c r="J800" i="117"/>
  <c r="J803" i="117"/>
  <c r="J804" i="117"/>
  <c r="J818" i="117"/>
  <c r="J819" i="117"/>
  <c r="J823" i="117"/>
  <c r="J827" i="117"/>
  <c r="J828" i="117"/>
  <c r="J829" i="117"/>
  <c r="J842" i="117"/>
  <c r="J843" i="117"/>
  <c r="J866" i="117"/>
  <c r="J867" i="117"/>
  <c r="J868" i="117"/>
  <c r="J869" i="117"/>
  <c r="J870" i="117"/>
  <c r="J871" i="117"/>
  <c r="J890" i="117"/>
  <c r="J891" i="117"/>
  <c r="J892" i="117"/>
  <c r="J893" i="117"/>
  <c r="J894" i="117"/>
  <c r="J895" i="117"/>
  <c r="J896" i="117"/>
  <c r="J899" i="117"/>
  <c r="J914" i="117"/>
  <c r="J915" i="117"/>
  <c r="J923" i="117"/>
  <c r="J938" i="117"/>
  <c r="J939" i="117"/>
  <c r="J940" i="117"/>
  <c r="J941" i="117"/>
  <c r="J942" i="117"/>
  <c r="J947" i="117"/>
  <c r="J962" i="117"/>
  <c r="J963" i="117"/>
  <c r="J964" i="117"/>
  <c r="J971" i="117"/>
  <c r="J972" i="117"/>
  <c r="J975" i="117"/>
  <c r="J986" i="117"/>
  <c r="J987" i="117"/>
  <c r="J991" i="117"/>
  <c r="J1010" i="117"/>
  <c r="J1011" i="117"/>
  <c r="J1012" i="117"/>
  <c r="J1020" i="117"/>
  <c r="J1" i="117"/>
  <c r="G2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32" i="117"/>
  <c r="G33" i="117"/>
  <c r="G34" i="117"/>
  <c r="G35" i="117"/>
  <c r="G36" i="117"/>
  <c r="G37" i="117"/>
  <c r="G38" i="117"/>
  <c r="G39" i="117"/>
  <c r="G40" i="117"/>
  <c r="G41" i="117"/>
  <c r="G42" i="117"/>
  <c r="G43" i="117"/>
  <c r="G44" i="117"/>
  <c r="G45" i="117"/>
  <c r="G46" i="117"/>
  <c r="G47" i="117"/>
  <c r="G48" i="117"/>
  <c r="G49" i="117"/>
  <c r="G50" i="117"/>
  <c r="G51" i="117"/>
  <c r="G52" i="117"/>
  <c r="G53" i="117"/>
  <c r="G54" i="117"/>
  <c r="G55" i="117"/>
  <c r="G56" i="117"/>
  <c r="G57" i="117"/>
  <c r="G58" i="117"/>
  <c r="G59" i="117"/>
  <c r="G60" i="117"/>
  <c r="G61" i="117"/>
  <c r="G62" i="117"/>
  <c r="G63" i="117"/>
  <c r="G64" i="117"/>
  <c r="G65" i="117"/>
  <c r="G66" i="117"/>
  <c r="G67" i="117"/>
  <c r="G68" i="117"/>
  <c r="G69" i="117"/>
  <c r="G70" i="117"/>
  <c r="G71" i="117"/>
  <c r="G72" i="117"/>
  <c r="G73" i="117"/>
  <c r="G74" i="117"/>
  <c r="G75" i="117"/>
  <c r="G76" i="117"/>
  <c r="G77" i="117"/>
  <c r="G78" i="117"/>
  <c r="G79" i="117"/>
  <c r="G80" i="117"/>
  <c r="G81" i="117"/>
  <c r="G82" i="117"/>
  <c r="G83" i="117"/>
  <c r="G84" i="117"/>
  <c r="G85" i="117"/>
  <c r="G86" i="117"/>
  <c r="G87" i="117"/>
  <c r="G88" i="117"/>
  <c r="G89" i="117"/>
  <c r="G90" i="117"/>
  <c r="G91" i="117"/>
  <c r="G92" i="117"/>
  <c r="G93" i="117"/>
  <c r="G94" i="117"/>
  <c r="G95" i="117"/>
  <c r="G96" i="117"/>
  <c r="G97" i="117"/>
  <c r="G98" i="117"/>
  <c r="G99" i="117"/>
  <c r="G100" i="117"/>
  <c r="G101" i="117"/>
  <c r="G102" i="117"/>
  <c r="G103" i="117"/>
  <c r="G104" i="117"/>
  <c r="G105" i="117"/>
  <c r="G106" i="117"/>
  <c r="G107" i="117"/>
  <c r="G108" i="117"/>
  <c r="G109" i="117"/>
  <c r="G110" i="117"/>
  <c r="G111" i="117"/>
  <c r="G112" i="117"/>
  <c r="G113" i="117"/>
  <c r="G114" i="117"/>
  <c r="G115" i="117"/>
  <c r="G116" i="117"/>
  <c r="G117" i="117"/>
  <c r="G118" i="117"/>
  <c r="G119" i="117"/>
  <c r="G120" i="117"/>
  <c r="G121" i="117"/>
  <c r="G122" i="117"/>
  <c r="G123" i="117"/>
  <c r="G124" i="117"/>
  <c r="G125" i="117"/>
  <c r="G126" i="117"/>
  <c r="G127" i="117"/>
  <c r="G128" i="117"/>
  <c r="G129" i="117"/>
  <c r="G130" i="117"/>
  <c r="G131" i="117"/>
  <c r="G132" i="117"/>
  <c r="G133" i="117"/>
  <c r="G134" i="117"/>
  <c r="G135" i="117"/>
  <c r="G136" i="117"/>
  <c r="G137" i="117"/>
  <c r="G138" i="117"/>
  <c r="G139" i="117"/>
  <c r="G140" i="117"/>
  <c r="G141" i="117"/>
  <c r="G142" i="117"/>
  <c r="G143" i="117"/>
  <c r="G144" i="117"/>
  <c r="G145" i="117"/>
  <c r="G146" i="117"/>
  <c r="G147" i="117"/>
  <c r="G148" i="117"/>
  <c r="G149" i="117"/>
  <c r="G150" i="117"/>
  <c r="G151" i="117"/>
  <c r="G152" i="117"/>
  <c r="G153" i="117"/>
  <c r="G154" i="117"/>
  <c r="G155" i="117"/>
  <c r="G156" i="117"/>
  <c r="G157" i="117"/>
  <c r="G158" i="117"/>
  <c r="G159" i="117"/>
  <c r="G160" i="117"/>
  <c r="G161" i="117"/>
  <c r="G162" i="117"/>
  <c r="G163" i="117"/>
  <c r="G164" i="117"/>
  <c r="G165" i="117"/>
  <c r="G166" i="117"/>
  <c r="G167" i="117"/>
  <c r="G168" i="117"/>
  <c r="G169" i="117"/>
  <c r="G170" i="117"/>
  <c r="G171" i="117"/>
  <c r="G172" i="117"/>
  <c r="G173" i="117"/>
  <c r="G174" i="117"/>
  <c r="G175" i="117"/>
  <c r="G176" i="117"/>
  <c r="G177" i="117"/>
  <c r="G178" i="117"/>
  <c r="G179" i="117"/>
  <c r="G180" i="117"/>
  <c r="G181" i="117"/>
  <c r="G182" i="117"/>
  <c r="G183" i="117"/>
  <c r="G184" i="117"/>
  <c r="G185" i="117"/>
  <c r="G186" i="117"/>
  <c r="G187" i="117"/>
  <c r="G188" i="117"/>
  <c r="G189" i="117"/>
  <c r="G190" i="117"/>
  <c r="G191" i="117"/>
  <c r="G192" i="117"/>
  <c r="G193" i="117"/>
  <c r="G194" i="117"/>
  <c r="G195" i="117"/>
  <c r="G196" i="117"/>
  <c r="G197" i="117"/>
  <c r="G198" i="117"/>
  <c r="G199" i="117"/>
  <c r="G200" i="117"/>
  <c r="G201" i="117"/>
  <c r="G202" i="117"/>
  <c r="G203" i="117"/>
  <c r="G204" i="117"/>
  <c r="G205" i="117"/>
  <c r="G206" i="117"/>
  <c r="G207" i="117"/>
  <c r="G208" i="117"/>
  <c r="G209" i="117"/>
  <c r="G210" i="117"/>
  <c r="G211" i="117"/>
  <c r="G212" i="117"/>
  <c r="G213" i="117"/>
  <c r="G214" i="117"/>
  <c r="G215" i="117"/>
  <c r="G216" i="117"/>
  <c r="G217" i="117"/>
  <c r="G218" i="117"/>
  <c r="G219" i="117"/>
  <c r="G220" i="117"/>
  <c r="G221" i="117"/>
  <c r="G222" i="117"/>
  <c r="G223" i="117"/>
  <c r="G224" i="117"/>
  <c r="G225" i="117"/>
  <c r="G226" i="117"/>
  <c r="G227" i="117"/>
  <c r="G228" i="117"/>
  <c r="G229" i="117"/>
  <c r="G230" i="117"/>
  <c r="G231" i="117"/>
  <c r="G232" i="117"/>
  <c r="G233" i="117"/>
  <c r="G234" i="117"/>
  <c r="G235" i="117"/>
  <c r="G236" i="117"/>
  <c r="G237" i="117"/>
  <c r="G238" i="117"/>
  <c r="G239" i="117"/>
  <c r="G240" i="117"/>
  <c r="G241" i="117"/>
  <c r="G242" i="117"/>
  <c r="G243" i="117"/>
  <c r="G244" i="117"/>
  <c r="G245" i="117"/>
  <c r="G246" i="117"/>
  <c r="G247" i="117"/>
  <c r="G248" i="117"/>
  <c r="G249" i="117"/>
  <c r="G250" i="117"/>
  <c r="G251" i="117"/>
  <c r="G252" i="117"/>
  <c r="G253" i="117"/>
  <c r="G254" i="117"/>
  <c r="G255" i="117"/>
  <c r="G256" i="117"/>
  <c r="G257" i="117"/>
  <c r="G258" i="117"/>
  <c r="G259" i="117"/>
  <c r="G260" i="117"/>
  <c r="G261" i="117"/>
  <c r="G262" i="117"/>
  <c r="G263" i="117"/>
  <c r="G264" i="117"/>
  <c r="G265" i="117"/>
  <c r="G266" i="117"/>
  <c r="G267" i="117"/>
  <c r="G268" i="117"/>
  <c r="G269" i="117"/>
  <c r="G270" i="117"/>
  <c r="G271" i="117"/>
  <c r="G272" i="117"/>
  <c r="G273" i="117"/>
  <c r="G274" i="117"/>
  <c r="G275" i="117"/>
  <c r="G276" i="117"/>
  <c r="G277" i="117"/>
  <c r="G278" i="117"/>
  <c r="G279" i="117"/>
  <c r="G280" i="117"/>
  <c r="G281" i="117"/>
  <c r="G282" i="117"/>
  <c r="G283" i="117"/>
  <c r="G284" i="117"/>
  <c r="G285" i="117"/>
  <c r="G286" i="117"/>
  <c r="G287" i="117"/>
  <c r="G288" i="117"/>
  <c r="G289" i="117"/>
  <c r="G290" i="117"/>
  <c r="G291" i="117"/>
  <c r="G292" i="117"/>
  <c r="G293" i="117"/>
  <c r="G294" i="117"/>
  <c r="G295" i="117"/>
  <c r="G296" i="117"/>
  <c r="G297" i="117"/>
  <c r="G298" i="117"/>
  <c r="G299" i="117"/>
  <c r="G300" i="117"/>
  <c r="G301" i="117"/>
  <c r="G302" i="117"/>
  <c r="G303" i="117"/>
  <c r="G304" i="117"/>
  <c r="G305" i="117"/>
  <c r="G306" i="117"/>
  <c r="G307" i="117"/>
  <c r="G308" i="117"/>
  <c r="G309" i="117"/>
  <c r="G310" i="117"/>
  <c r="G311" i="117"/>
  <c r="G312" i="117"/>
  <c r="G313" i="117"/>
  <c r="G314" i="117"/>
  <c r="G315" i="117"/>
  <c r="G316" i="117"/>
  <c r="G317" i="117"/>
  <c r="G318" i="117"/>
  <c r="G319" i="117"/>
  <c r="G320" i="117"/>
  <c r="G321" i="117"/>
  <c r="G322" i="117"/>
  <c r="G323" i="117"/>
  <c r="G324" i="117"/>
  <c r="G325" i="117"/>
  <c r="G326" i="117"/>
  <c r="G327" i="117"/>
  <c r="G328" i="117"/>
  <c r="G329" i="117"/>
  <c r="G330" i="117"/>
  <c r="G331" i="117"/>
  <c r="G332" i="117"/>
  <c r="G333" i="117"/>
  <c r="G334" i="117"/>
  <c r="G335" i="117"/>
  <c r="G336" i="117"/>
  <c r="G337" i="117"/>
  <c r="G338" i="117"/>
  <c r="G339" i="117"/>
  <c r="G340" i="117"/>
  <c r="G341" i="117"/>
  <c r="G342" i="117"/>
  <c r="G343" i="117"/>
  <c r="G344" i="117"/>
  <c r="G345" i="117"/>
  <c r="G346" i="117"/>
  <c r="G347" i="117"/>
  <c r="G348" i="117"/>
  <c r="G349" i="117"/>
  <c r="G350" i="117"/>
  <c r="G351" i="117"/>
  <c r="G352" i="117"/>
  <c r="G353" i="117"/>
  <c r="G354" i="117"/>
  <c r="G355" i="117"/>
  <c r="G356" i="117"/>
  <c r="G357" i="117"/>
  <c r="G358" i="117"/>
  <c r="G359" i="117"/>
  <c r="G360" i="117"/>
  <c r="G361" i="117"/>
  <c r="G362" i="117"/>
  <c r="G363" i="117"/>
  <c r="G364" i="117"/>
  <c r="G365" i="117"/>
  <c r="G366" i="117"/>
  <c r="G367" i="117"/>
  <c r="G368" i="117"/>
  <c r="G369" i="117"/>
  <c r="G370" i="117"/>
  <c r="G371" i="117"/>
  <c r="G372" i="117"/>
  <c r="G373" i="117"/>
  <c r="G374" i="117"/>
  <c r="G375" i="117"/>
  <c r="G376" i="117"/>
  <c r="G377" i="117"/>
  <c r="G378" i="117"/>
  <c r="G379" i="117"/>
  <c r="G380" i="117"/>
  <c r="G381" i="117"/>
  <c r="G382" i="117"/>
  <c r="G383" i="117"/>
  <c r="G384" i="117"/>
  <c r="G385" i="117"/>
  <c r="G386" i="117"/>
  <c r="G387" i="117"/>
  <c r="G388" i="117"/>
  <c r="G389" i="117"/>
  <c r="G390" i="117"/>
  <c r="G391" i="117"/>
  <c r="G392" i="117"/>
  <c r="G393" i="117"/>
  <c r="G394" i="117"/>
  <c r="G395" i="117"/>
  <c r="G396" i="117"/>
  <c r="G397" i="117"/>
  <c r="G398" i="117"/>
  <c r="G399" i="117"/>
  <c r="G400" i="117"/>
  <c r="G401" i="117"/>
  <c r="G402" i="117"/>
  <c r="G403" i="117"/>
  <c r="G404" i="117"/>
  <c r="G405" i="117"/>
  <c r="G406" i="117"/>
  <c r="G407" i="117"/>
  <c r="G408" i="117"/>
  <c r="G409" i="117"/>
  <c r="G410" i="117"/>
  <c r="G411" i="117"/>
  <c r="G412" i="117"/>
  <c r="G413" i="117"/>
  <c r="G414" i="117"/>
  <c r="G415" i="117"/>
  <c r="G416" i="117"/>
  <c r="G417" i="117"/>
  <c r="G418" i="117"/>
  <c r="G419" i="117"/>
  <c r="G420" i="117"/>
  <c r="G421" i="117"/>
  <c r="G422" i="117"/>
  <c r="G423" i="117"/>
  <c r="G424" i="117"/>
  <c r="G425" i="117"/>
  <c r="G426" i="117"/>
  <c r="G427" i="117"/>
  <c r="G428" i="117"/>
  <c r="G429" i="117"/>
  <c r="G430" i="117"/>
  <c r="G431" i="117"/>
  <c r="G432" i="117"/>
  <c r="G433" i="117"/>
  <c r="G434" i="117"/>
  <c r="G435" i="117"/>
  <c r="G436" i="117"/>
  <c r="G437" i="117"/>
  <c r="G438" i="117"/>
  <c r="G439" i="117"/>
  <c r="G440" i="117"/>
  <c r="G441" i="117"/>
  <c r="G442" i="117"/>
  <c r="G443" i="117"/>
  <c r="G444" i="117"/>
  <c r="G445" i="117"/>
  <c r="G446" i="117"/>
  <c r="G447" i="117"/>
  <c r="G448" i="117"/>
  <c r="G449" i="117"/>
  <c r="G450" i="117"/>
  <c r="G451" i="117"/>
  <c r="G452" i="117"/>
  <c r="G453" i="117"/>
  <c r="G454" i="117"/>
  <c r="G455" i="117"/>
  <c r="G456" i="117"/>
  <c r="G457" i="117"/>
  <c r="G458" i="117"/>
  <c r="G459" i="117"/>
  <c r="G460" i="117"/>
  <c r="G461" i="117"/>
  <c r="G462" i="117"/>
  <c r="G463" i="117"/>
  <c r="G464" i="117"/>
  <c r="G465" i="117"/>
  <c r="G466" i="117"/>
  <c r="G467" i="117"/>
  <c r="G468" i="117"/>
  <c r="G469" i="117"/>
  <c r="G470" i="117"/>
  <c r="G471" i="117"/>
  <c r="G472" i="117"/>
  <c r="G473" i="117"/>
  <c r="G474" i="117"/>
  <c r="G475" i="117"/>
  <c r="G476" i="117"/>
  <c r="G477" i="117"/>
  <c r="G478" i="117"/>
  <c r="G479" i="117"/>
  <c r="G480" i="117"/>
  <c r="G481" i="117"/>
  <c r="G482" i="117"/>
  <c r="G483" i="117"/>
  <c r="G484" i="117"/>
  <c r="G485" i="117"/>
  <c r="G486" i="117"/>
  <c r="G487" i="117"/>
  <c r="G488" i="117"/>
  <c r="G489" i="117"/>
  <c r="G490" i="117"/>
  <c r="G491" i="117"/>
  <c r="G492" i="117"/>
  <c r="G493" i="117"/>
  <c r="G494" i="117"/>
  <c r="G495" i="117"/>
  <c r="G496" i="117"/>
  <c r="G497" i="117"/>
  <c r="G498" i="117"/>
  <c r="G499" i="117"/>
  <c r="G500" i="117"/>
  <c r="G501" i="117"/>
  <c r="G502" i="117"/>
  <c r="G503" i="117"/>
  <c r="G504" i="117"/>
  <c r="G505" i="117"/>
  <c r="G506" i="117"/>
  <c r="G507" i="117"/>
  <c r="G508" i="117"/>
  <c r="G509" i="117"/>
  <c r="G510" i="117"/>
  <c r="G511" i="117"/>
  <c r="G512" i="117"/>
  <c r="G513" i="117"/>
  <c r="G514" i="117"/>
  <c r="G515" i="117"/>
  <c r="G516" i="117"/>
  <c r="G517" i="117"/>
  <c r="G518" i="117"/>
  <c r="G519" i="117"/>
  <c r="G520" i="117"/>
  <c r="G521" i="117"/>
  <c r="G522" i="117"/>
  <c r="G523" i="117"/>
  <c r="G524" i="117"/>
  <c r="G525" i="117"/>
  <c r="G526" i="117"/>
  <c r="G527" i="117"/>
  <c r="G528" i="117"/>
  <c r="G529" i="117"/>
  <c r="G530" i="117"/>
  <c r="G531" i="117"/>
  <c r="G532" i="117"/>
  <c r="G533" i="117"/>
  <c r="G534" i="117"/>
  <c r="G535" i="117"/>
  <c r="G536" i="117"/>
  <c r="G537" i="117"/>
  <c r="G538" i="117"/>
  <c r="G539" i="117"/>
  <c r="G540" i="117"/>
  <c r="G541" i="117"/>
  <c r="G542" i="117"/>
  <c r="G543" i="117"/>
  <c r="G544" i="117"/>
  <c r="G545" i="117"/>
  <c r="G546" i="117"/>
  <c r="G547" i="117"/>
  <c r="G548" i="117"/>
  <c r="G549" i="117"/>
  <c r="G550" i="117"/>
  <c r="G551" i="117"/>
  <c r="G552" i="117"/>
  <c r="G553" i="117"/>
  <c r="G554" i="117"/>
  <c r="G555" i="117"/>
  <c r="G556" i="117"/>
  <c r="G557" i="117"/>
  <c r="G558" i="117"/>
  <c r="G559" i="117"/>
  <c r="G560" i="117"/>
  <c r="G561" i="117"/>
  <c r="G562" i="117"/>
  <c r="G563" i="117"/>
  <c r="G564" i="117"/>
  <c r="G565" i="117"/>
  <c r="G566" i="117"/>
  <c r="G567" i="117"/>
  <c r="G568" i="117"/>
  <c r="G569" i="117"/>
  <c r="G570" i="117"/>
  <c r="G571" i="117"/>
  <c r="G572" i="117"/>
  <c r="G573" i="117"/>
  <c r="G574" i="117"/>
  <c r="G575" i="117"/>
  <c r="G576" i="117"/>
  <c r="G577" i="117"/>
  <c r="G578" i="117"/>
  <c r="G579" i="117"/>
  <c r="G580" i="117"/>
  <c r="G581" i="117"/>
  <c r="G582" i="117"/>
  <c r="G583" i="117"/>
  <c r="G584" i="117"/>
  <c r="G585" i="117"/>
  <c r="G586" i="117"/>
  <c r="G587" i="117"/>
  <c r="G588" i="117"/>
  <c r="G589" i="117"/>
  <c r="G590" i="117"/>
  <c r="G591" i="117"/>
  <c r="G592" i="117"/>
  <c r="G593" i="117"/>
  <c r="G594" i="117"/>
  <c r="G595" i="117"/>
  <c r="G596" i="117"/>
  <c r="G597" i="117"/>
  <c r="G598" i="117"/>
  <c r="G599" i="117"/>
  <c r="G600" i="117"/>
  <c r="G601" i="117"/>
  <c r="G602" i="117"/>
  <c r="G603" i="117"/>
  <c r="G604" i="117"/>
  <c r="G605" i="117"/>
  <c r="G606" i="117"/>
  <c r="G607" i="117"/>
  <c r="G608" i="117"/>
  <c r="G609" i="117"/>
  <c r="G610" i="117"/>
  <c r="G611" i="117"/>
  <c r="G612" i="117"/>
  <c r="G613" i="117"/>
  <c r="G614" i="117"/>
  <c r="G615" i="117"/>
  <c r="G616" i="117"/>
  <c r="G617" i="117"/>
  <c r="G618" i="117"/>
  <c r="G619" i="117"/>
  <c r="G620" i="117"/>
  <c r="G621" i="117"/>
  <c r="G622" i="117"/>
  <c r="G623" i="117"/>
  <c r="G624" i="117"/>
  <c r="G625" i="117"/>
  <c r="G626" i="117"/>
  <c r="G627" i="117"/>
  <c r="G628" i="117"/>
  <c r="G629" i="117"/>
  <c r="G630" i="117"/>
  <c r="G631" i="117"/>
  <c r="G632" i="117"/>
  <c r="G633" i="117"/>
  <c r="G634" i="117"/>
  <c r="G635" i="117"/>
  <c r="G636" i="117"/>
  <c r="G637" i="117"/>
  <c r="G638" i="117"/>
  <c r="G639" i="117"/>
  <c r="G640" i="117"/>
  <c r="G641" i="117"/>
  <c r="G642" i="117"/>
  <c r="G643" i="117"/>
  <c r="G644" i="117"/>
  <c r="G645" i="117"/>
  <c r="G646" i="117"/>
  <c r="G647" i="117"/>
  <c r="G648" i="117"/>
  <c r="G649" i="117"/>
  <c r="G650" i="117"/>
  <c r="G651" i="117"/>
  <c r="G652" i="117"/>
  <c r="G653" i="117"/>
  <c r="G654" i="117"/>
  <c r="G655" i="117"/>
  <c r="G656" i="117"/>
  <c r="G657" i="117"/>
  <c r="G658" i="117"/>
  <c r="G659" i="117"/>
  <c r="G660" i="117"/>
  <c r="G661" i="117"/>
  <c r="G662" i="117"/>
  <c r="G663" i="117"/>
  <c r="G664" i="117"/>
  <c r="G665" i="117"/>
  <c r="G666" i="117"/>
  <c r="G667" i="117"/>
  <c r="G668" i="117"/>
  <c r="G669" i="117"/>
  <c r="G670" i="117"/>
  <c r="G671" i="117"/>
  <c r="G672" i="117"/>
  <c r="G673" i="117"/>
  <c r="G674" i="117"/>
  <c r="G675" i="117"/>
  <c r="G676" i="117"/>
  <c r="G677" i="117"/>
  <c r="G678" i="117"/>
  <c r="G679" i="117"/>
  <c r="G680" i="117"/>
  <c r="G681" i="117"/>
  <c r="G682" i="117"/>
  <c r="G683" i="117"/>
  <c r="G684" i="117"/>
  <c r="G685" i="117"/>
  <c r="G686" i="117"/>
  <c r="G687" i="117"/>
  <c r="G688" i="117"/>
  <c r="G689" i="117"/>
  <c r="G690" i="117"/>
  <c r="G691" i="117"/>
  <c r="G692" i="117"/>
  <c r="G693" i="117"/>
  <c r="G694" i="117"/>
  <c r="G695" i="117"/>
  <c r="G696" i="117"/>
  <c r="G697" i="117"/>
  <c r="G698" i="117"/>
  <c r="G699" i="117"/>
  <c r="G700" i="117"/>
  <c r="G701" i="117"/>
  <c r="G702" i="117"/>
  <c r="G703" i="117"/>
  <c r="G704" i="117"/>
  <c r="G705" i="117"/>
  <c r="G706" i="117"/>
  <c r="G707" i="117"/>
  <c r="G708" i="117"/>
  <c r="G709" i="117"/>
  <c r="G710" i="117"/>
  <c r="G711" i="117"/>
  <c r="G712" i="117"/>
  <c r="G713" i="117"/>
  <c r="G714" i="117"/>
  <c r="G715" i="117"/>
  <c r="G716" i="117"/>
  <c r="G717" i="117"/>
  <c r="G718" i="117"/>
  <c r="G719" i="117"/>
  <c r="G720" i="117"/>
  <c r="G721" i="117"/>
  <c r="G722" i="117"/>
  <c r="G723" i="117"/>
  <c r="G724" i="117"/>
  <c r="G725" i="117"/>
  <c r="G726" i="117"/>
  <c r="G727" i="117"/>
  <c r="G728" i="117"/>
  <c r="G729" i="117"/>
  <c r="G730" i="117"/>
  <c r="G731" i="117"/>
  <c r="G732" i="117"/>
  <c r="G733" i="117"/>
  <c r="G734" i="117"/>
  <c r="G735" i="117"/>
  <c r="G736" i="117"/>
  <c r="G737" i="117"/>
  <c r="G738" i="117"/>
  <c r="G739" i="117"/>
  <c r="G740" i="117"/>
  <c r="G741" i="117"/>
  <c r="G742" i="117"/>
  <c r="G743" i="117"/>
  <c r="G744" i="117"/>
  <c r="G745" i="117"/>
  <c r="G746" i="117"/>
  <c r="G747" i="117"/>
  <c r="G748" i="117"/>
  <c r="G749" i="117"/>
  <c r="G750" i="117"/>
  <c r="G751" i="117"/>
  <c r="G752" i="117"/>
  <c r="G753" i="117"/>
  <c r="G754" i="117"/>
  <c r="G755" i="117"/>
  <c r="G756" i="117"/>
  <c r="G757" i="117"/>
  <c r="G758" i="117"/>
  <c r="G759" i="117"/>
  <c r="G760" i="117"/>
  <c r="G761" i="117"/>
  <c r="G762" i="117"/>
  <c r="G763" i="117"/>
  <c r="G764" i="117"/>
  <c r="G765" i="117"/>
  <c r="G766" i="117"/>
  <c r="G767" i="117"/>
  <c r="G768" i="117"/>
  <c r="G769" i="117"/>
  <c r="G770" i="117"/>
  <c r="G771" i="117"/>
  <c r="G772" i="117"/>
  <c r="G773" i="117"/>
  <c r="G774" i="117"/>
  <c r="G775" i="117"/>
  <c r="G776" i="117"/>
  <c r="G777" i="117"/>
  <c r="G778" i="117"/>
  <c r="G779" i="117"/>
  <c r="G780" i="117"/>
  <c r="G781" i="117"/>
  <c r="G782" i="117"/>
  <c r="G783" i="117"/>
  <c r="G784" i="117"/>
  <c r="G785" i="117"/>
  <c r="G786" i="117"/>
  <c r="G787" i="117"/>
  <c r="G788" i="117"/>
  <c r="G789" i="117"/>
  <c r="G790" i="117"/>
  <c r="G791" i="117"/>
  <c r="G792" i="117"/>
  <c r="G793" i="117"/>
  <c r="G794" i="117"/>
  <c r="G795" i="117"/>
  <c r="G796" i="117"/>
  <c r="G797" i="117"/>
  <c r="G798" i="117"/>
  <c r="G799" i="117"/>
  <c r="G800" i="117"/>
  <c r="G801" i="117"/>
  <c r="G802" i="117"/>
  <c r="G803" i="117"/>
  <c r="G804" i="117"/>
  <c r="G805" i="117"/>
  <c r="G806" i="117"/>
  <c r="G807" i="117"/>
  <c r="G808" i="117"/>
  <c r="G809" i="117"/>
  <c r="G810" i="117"/>
  <c r="G811" i="117"/>
  <c r="G812" i="117"/>
  <c r="G813" i="117"/>
  <c r="G814" i="117"/>
  <c r="G815" i="117"/>
  <c r="G816" i="117"/>
  <c r="G817" i="117"/>
  <c r="G818" i="117"/>
  <c r="G819" i="117"/>
  <c r="G820" i="117"/>
  <c r="G821" i="117"/>
  <c r="G822" i="117"/>
  <c r="G823" i="117"/>
  <c r="G824" i="117"/>
  <c r="G825" i="117"/>
  <c r="G826" i="117"/>
  <c r="G827" i="117"/>
  <c r="G828" i="117"/>
  <c r="G829" i="117"/>
  <c r="G830" i="117"/>
  <c r="G831" i="117"/>
  <c r="G832" i="117"/>
  <c r="G833" i="117"/>
  <c r="G834" i="117"/>
  <c r="G835" i="117"/>
  <c r="G836" i="117"/>
  <c r="G837" i="117"/>
  <c r="G838" i="117"/>
  <c r="G839" i="117"/>
  <c r="G840" i="117"/>
  <c r="G841" i="117"/>
  <c r="G842" i="117"/>
  <c r="G843" i="117"/>
  <c r="G844" i="117"/>
  <c r="G845" i="117"/>
  <c r="G846" i="117"/>
  <c r="G847" i="117"/>
  <c r="G848" i="117"/>
  <c r="G849" i="117"/>
  <c r="G850" i="117"/>
  <c r="G851" i="117"/>
  <c r="G852" i="117"/>
  <c r="G853" i="117"/>
  <c r="G854" i="117"/>
  <c r="G855" i="117"/>
  <c r="G856" i="117"/>
  <c r="G857" i="117"/>
  <c r="G858" i="117"/>
  <c r="G859" i="117"/>
  <c r="G860" i="117"/>
  <c r="G861" i="117"/>
  <c r="G862" i="117"/>
  <c r="G863" i="117"/>
  <c r="G864" i="117"/>
  <c r="G865" i="117"/>
  <c r="G866" i="117"/>
  <c r="G867" i="117"/>
  <c r="G868" i="117"/>
  <c r="G869" i="117"/>
  <c r="G870" i="117"/>
  <c r="G871" i="117"/>
  <c r="G872" i="117"/>
  <c r="G873" i="117"/>
  <c r="G874" i="117"/>
  <c r="G875" i="117"/>
  <c r="G876" i="117"/>
  <c r="G877" i="117"/>
  <c r="G878" i="117"/>
  <c r="G879" i="117"/>
  <c r="G880" i="117"/>
  <c r="G881" i="117"/>
  <c r="G882" i="117"/>
  <c r="G883" i="117"/>
  <c r="G884" i="117"/>
  <c r="G885" i="117"/>
  <c r="G886" i="117"/>
  <c r="G887" i="117"/>
  <c r="G888" i="117"/>
  <c r="G889" i="117"/>
  <c r="G890" i="117"/>
  <c r="G891" i="117"/>
  <c r="G892" i="117"/>
  <c r="G893" i="117"/>
  <c r="G894" i="117"/>
  <c r="G895" i="117"/>
  <c r="G896" i="117"/>
  <c r="G897" i="117"/>
  <c r="G898" i="117"/>
  <c r="G899" i="117"/>
  <c r="G900" i="117"/>
  <c r="G901" i="117"/>
  <c r="G902" i="117"/>
  <c r="G903" i="117"/>
  <c r="G904" i="117"/>
  <c r="G905" i="117"/>
  <c r="G906" i="117"/>
  <c r="G907" i="117"/>
  <c r="G908" i="117"/>
  <c r="G909" i="117"/>
  <c r="G910" i="117"/>
  <c r="G911" i="117"/>
  <c r="G912" i="117"/>
  <c r="G913" i="117"/>
  <c r="G914" i="117"/>
  <c r="G915" i="117"/>
  <c r="G916" i="117"/>
  <c r="G917" i="117"/>
  <c r="G918" i="117"/>
  <c r="G919" i="117"/>
  <c r="G920" i="117"/>
  <c r="G921" i="117"/>
  <c r="G922" i="117"/>
  <c r="G923" i="117"/>
  <c r="G924" i="117"/>
  <c r="G925" i="117"/>
  <c r="G926" i="117"/>
  <c r="G927" i="117"/>
  <c r="G928" i="117"/>
  <c r="G929" i="117"/>
  <c r="G930" i="117"/>
  <c r="G931" i="117"/>
  <c r="G932" i="117"/>
  <c r="G933" i="117"/>
  <c r="G934" i="117"/>
  <c r="G935" i="117"/>
  <c r="G936" i="117"/>
  <c r="G937" i="117"/>
  <c r="G938" i="117"/>
  <c r="G939" i="117"/>
  <c r="G940" i="117"/>
  <c r="G941" i="117"/>
  <c r="G942" i="117"/>
  <c r="G943" i="117"/>
  <c r="G944" i="117"/>
  <c r="G945" i="117"/>
  <c r="G946" i="117"/>
  <c r="G947" i="117"/>
  <c r="G948" i="117"/>
  <c r="G949" i="117"/>
  <c r="G950" i="117"/>
  <c r="G951" i="117"/>
  <c r="G952" i="117"/>
  <c r="G953" i="117"/>
  <c r="G954" i="117"/>
  <c r="G955" i="117"/>
  <c r="G956" i="117"/>
  <c r="G957" i="117"/>
  <c r="G958" i="117"/>
  <c r="G959" i="117"/>
  <c r="G960" i="117"/>
  <c r="G961" i="117"/>
  <c r="G962" i="117"/>
  <c r="G963" i="117"/>
  <c r="G964" i="117"/>
  <c r="G965" i="117"/>
  <c r="G966" i="117"/>
  <c r="G967" i="117"/>
  <c r="G968" i="117"/>
  <c r="G969" i="117"/>
  <c r="G970" i="117"/>
  <c r="G971" i="117"/>
  <c r="G972" i="117"/>
  <c r="G973" i="117"/>
  <c r="G974" i="117"/>
  <c r="G975" i="117"/>
  <c r="G976" i="117"/>
  <c r="G977" i="117"/>
  <c r="G978" i="117"/>
  <c r="G979" i="117"/>
  <c r="G980" i="117"/>
  <c r="G981" i="117"/>
  <c r="G982" i="117"/>
  <c r="G983" i="117"/>
  <c r="G984" i="117"/>
  <c r="G985" i="117"/>
  <c r="G986" i="117"/>
  <c r="G987" i="117"/>
  <c r="G988" i="117"/>
  <c r="G989" i="117"/>
  <c r="G990" i="117"/>
  <c r="G991" i="117"/>
  <c r="G992" i="117"/>
  <c r="G993" i="117"/>
  <c r="G994" i="117"/>
  <c r="G995" i="117"/>
  <c r="G996" i="117"/>
  <c r="G997" i="117"/>
  <c r="G998" i="117"/>
  <c r="G999" i="117"/>
  <c r="G1000" i="117"/>
  <c r="G1001" i="117"/>
  <c r="G1002" i="117"/>
  <c r="G1003" i="117"/>
  <c r="G1004" i="117"/>
  <c r="G1005" i="117"/>
  <c r="G1006" i="117"/>
  <c r="G1007" i="117"/>
  <c r="G1008" i="117"/>
  <c r="G1009" i="117"/>
  <c r="G1010" i="117"/>
  <c r="G1011" i="117"/>
  <c r="G1012" i="117"/>
  <c r="G1013" i="117"/>
  <c r="G1014" i="117"/>
  <c r="G1015" i="117"/>
  <c r="G1016" i="117"/>
  <c r="G1017" i="117"/>
  <c r="G1018" i="117"/>
  <c r="G1019" i="117"/>
  <c r="G1020" i="117"/>
  <c r="G1021" i="117"/>
  <c r="G1022" i="117"/>
  <c r="G1023" i="117"/>
  <c r="G1024" i="117"/>
  <c r="G1025" i="117"/>
  <c r="G1" i="117"/>
  <c r="F2" i="117"/>
  <c r="F3" i="117"/>
  <c r="F4" i="117"/>
  <c r="F5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F22" i="117"/>
  <c r="F23" i="117"/>
  <c r="F24" i="117"/>
  <c r="F25" i="117"/>
  <c r="F26" i="117"/>
  <c r="F27" i="117"/>
  <c r="F28" i="117"/>
  <c r="F29" i="117"/>
  <c r="F30" i="117"/>
  <c r="F31" i="117"/>
  <c r="F32" i="117"/>
  <c r="F33" i="117"/>
  <c r="F34" i="117"/>
  <c r="F35" i="117"/>
  <c r="F36" i="117"/>
  <c r="F37" i="117"/>
  <c r="F38" i="117"/>
  <c r="F39" i="117"/>
  <c r="F40" i="117"/>
  <c r="F41" i="117"/>
  <c r="F42" i="117"/>
  <c r="F43" i="117"/>
  <c r="F44" i="117"/>
  <c r="F45" i="117"/>
  <c r="F46" i="117"/>
  <c r="F47" i="117"/>
  <c r="F48" i="117"/>
  <c r="F49" i="117"/>
  <c r="F50" i="117"/>
  <c r="F51" i="117"/>
  <c r="F52" i="117"/>
  <c r="F53" i="117"/>
  <c r="F54" i="117"/>
  <c r="F55" i="117"/>
  <c r="F56" i="117"/>
  <c r="F57" i="117"/>
  <c r="F58" i="117"/>
  <c r="F59" i="117"/>
  <c r="F60" i="117"/>
  <c r="F61" i="117"/>
  <c r="F62" i="117"/>
  <c r="F63" i="117"/>
  <c r="F64" i="117"/>
  <c r="F65" i="117"/>
  <c r="F66" i="117"/>
  <c r="F67" i="117"/>
  <c r="F68" i="117"/>
  <c r="F69" i="117"/>
  <c r="F70" i="117"/>
  <c r="F71" i="117"/>
  <c r="F72" i="117"/>
  <c r="F73" i="117"/>
  <c r="F74" i="117"/>
  <c r="F75" i="117"/>
  <c r="F76" i="117"/>
  <c r="F77" i="117"/>
  <c r="F78" i="117"/>
  <c r="F79" i="117"/>
  <c r="F80" i="117"/>
  <c r="F81" i="117"/>
  <c r="F82" i="117"/>
  <c r="F83" i="117"/>
  <c r="F84" i="117"/>
  <c r="F85" i="117"/>
  <c r="F86" i="117"/>
  <c r="F87" i="117"/>
  <c r="F88" i="117"/>
  <c r="F89" i="117"/>
  <c r="F90" i="117"/>
  <c r="F91" i="117"/>
  <c r="F92" i="117"/>
  <c r="F93" i="117"/>
  <c r="F94" i="117"/>
  <c r="F95" i="117"/>
  <c r="F96" i="117"/>
  <c r="F97" i="117"/>
  <c r="F98" i="117"/>
  <c r="F99" i="117"/>
  <c r="F100" i="117"/>
  <c r="F101" i="117"/>
  <c r="F102" i="117"/>
  <c r="F103" i="117"/>
  <c r="F104" i="117"/>
  <c r="F105" i="117"/>
  <c r="F106" i="117"/>
  <c r="F107" i="117"/>
  <c r="F108" i="117"/>
  <c r="F109" i="117"/>
  <c r="F110" i="117"/>
  <c r="F111" i="117"/>
  <c r="F112" i="117"/>
  <c r="F113" i="117"/>
  <c r="F114" i="117"/>
  <c r="F115" i="117"/>
  <c r="F116" i="117"/>
  <c r="F117" i="117"/>
  <c r="F118" i="117"/>
  <c r="F119" i="117"/>
  <c r="F120" i="117"/>
  <c r="F121" i="117"/>
  <c r="F122" i="117"/>
  <c r="F123" i="117"/>
  <c r="F124" i="117"/>
  <c r="F125" i="117"/>
  <c r="F126" i="117"/>
  <c r="F127" i="117"/>
  <c r="F128" i="117"/>
  <c r="F129" i="117"/>
  <c r="F130" i="117"/>
  <c r="F131" i="117"/>
  <c r="F132" i="117"/>
  <c r="F133" i="117"/>
  <c r="F134" i="117"/>
  <c r="F135" i="117"/>
  <c r="F136" i="117"/>
  <c r="F137" i="117"/>
  <c r="F138" i="117"/>
  <c r="F139" i="117"/>
  <c r="F140" i="117"/>
  <c r="F141" i="117"/>
  <c r="F142" i="117"/>
  <c r="F143" i="117"/>
  <c r="F144" i="117"/>
  <c r="F145" i="117"/>
  <c r="F146" i="117"/>
  <c r="F147" i="117"/>
  <c r="F148" i="117"/>
  <c r="F149" i="117"/>
  <c r="F150" i="117"/>
  <c r="F151" i="117"/>
  <c r="F152" i="117"/>
  <c r="F153" i="117"/>
  <c r="F154" i="117"/>
  <c r="F155" i="117"/>
  <c r="F156" i="117"/>
  <c r="F157" i="117"/>
  <c r="F158" i="117"/>
  <c r="F159" i="117"/>
  <c r="F160" i="117"/>
  <c r="F161" i="117"/>
  <c r="F162" i="117"/>
  <c r="F163" i="117"/>
  <c r="F164" i="117"/>
  <c r="F165" i="117"/>
  <c r="F166" i="117"/>
  <c r="F167" i="117"/>
  <c r="F168" i="117"/>
  <c r="F169" i="117"/>
  <c r="F170" i="117"/>
  <c r="F171" i="117"/>
  <c r="F172" i="117"/>
  <c r="F173" i="117"/>
  <c r="F174" i="117"/>
  <c r="F175" i="117"/>
  <c r="F176" i="117"/>
  <c r="F177" i="117"/>
  <c r="F178" i="117"/>
  <c r="F179" i="117"/>
  <c r="F180" i="117"/>
  <c r="F181" i="117"/>
  <c r="F182" i="117"/>
  <c r="F183" i="117"/>
  <c r="F184" i="117"/>
  <c r="F185" i="117"/>
  <c r="F186" i="117"/>
  <c r="F187" i="117"/>
  <c r="F188" i="117"/>
  <c r="F189" i="117"/>
  <c r="F190" i="117"/>
  <c r="F191" i="117"/>
  <c r="F192" i="117"/>
  <c r="F193" i="117"/>
  <c r="F194" i="117"/>
  <c r="F195" i="117"/>
  <c r="F196" i="117"/>
  <c r="F197" i="117"/>
  <c r="F198" i="117"/>
  <c r="F199" i="117"/>
  <c r="F200" i="117"/>
  <c r="F201" i="117"/>
  <c r="F202" i="117"/>
  <c r="F203" i="117"/>
  <c r="F204" i="117"/>
  <c r="F205" i="117"/>
  <c r="F206" i="117"/>
  <c r="F207" i="117"/>
  <c r="F208" i="117"/>
  <c r="F209" i="117"/>
  <c r="F210" i="117"/>
  <c r="F211" i="117"/>
  <c r="F212" i="117"/>
  <c r="F213" i="117"/>
  <c r="F214" i="117"/>
  <c r="F215" i="117"/>
  <c r="F216" i="117"/>
  <c r="F217" i="117"/>
  <c r="F218" i="117"/>
  <c r="F219" i="117"/>
  <c r="F220" i="117"/>
  <c r="F221" i="117"/>
  <c r="F222" i="117"/>
  <c r="F223" i="117"/>
  <c r="F224" i="117"/>
  <c r="F225" i="117"/>
  <c r="F226" i="117"/>
  <c r="F227" i="117"/>
  <c r="F228" i="117"/>
  <c r="F229" i="117"/>
  <c r="F230" i="117"/>
  <c r="F231" i="117"/>
  <c r="F232" i="117"/>
  <c r="F233" i="117"/>
  <c r="F234" i="117"/>
  <c r="F235" i="117"/>
  <c r="F236" i="117"/>
  <c r="F237" i="117"/>
  <c r="F238" i="117"/>
  <c r="F239" i="117"/>
  <c r="F240" i="117"/>
  <c r="F241" i="117"/>
  <c r="F242" i="117"/>
  <c r="F243" i="117"/>
  <c r="F244" i="117"/>
  <c r="F245" i="117"/>
  <c r="F246" i="117"/>
  <c r="F247" i="117"/>
  <c r="F248" i="117"/>
  <c r="F249" i="117"/>
  <c r="F250" i="117"/>
  <c r="F251" i="117"/>
  <c r="F252" i="117"/>
  <c r="F253" i="117"/>
  <c r="F254" i="117"/>
  <c r="F255" i="117"/>
  <c r="F256" i="117"/>
  <c r="F257" i="117"/>
  <c r="F258" i="117"/>
  <c r="F259" i="117"/>
  <c r="F260" i="117"/>
  <c r="F261" i="117"/>
  <c r="F262" i="117"/>
  <c r="F263" i="117"/>
  <c r="F264" i="117"/>
  <c r="F265" i="117"/>
  <c r="F266" i="117"/>
  <c r="F267" i="117"/>
  <c r="F268" i="117"/>
  <c r="F269" i="117"/>
  <c r="F270" i="117"/>
  <c r="F271" i="117"/>
  <c r="F272" i="117"/>
  <c r="F273" i="117"/>
  <c r="F274" i="117"/>
  <c r="F275" i="117"/>
  <c r="F276" i="117"/>
  <c r="F277" i="117"/>
  <c r="F278" i="117"/>
  <c r="F279" i="117"/>
  <c r="F280" i="117"/>
  <c r="F281" i="117"/>
  <c r="F282" i="117"/>
  <c r="F283" i="117"/>
  <c r="F284" i="117"/>
  <c r="F285" i="117"/>
  <c r="F286" i="117"/>
  <c r="F287" i="117"/>
  <c r="F288" i="117"/>
  <c r="F289" i="117"/>
  <c r="F290" i="117"/>
  <c r="F291" i="117"/>
  <c r="F292" i="117"/>
  <c r="F293" i="117"/>
  <c r="F294" i="117"/>
  <c r="F295" i="117"/>
  <c r="F296" i="117"/>
  <c r="F297" i="117"/>
  <c r="F298" i="117"/>
  <c r="F299" i="117"/>
  <c r="F300" i="117"/>
  <c r="F301" i="117"/>
  <c r="F302" i="117"/>
  <c r="F303" i="117"/>
  <c r="F304" i="117"/>
  <c r="F305" i="117"/>
  <c r="F306" i="117"/>
  <c r="F307" i="117"/>
  <c r="F308" i="117"/>
  <c r="F309" i="117"/>
  <c r="F310" i="117"/>
  <c r="F311" i="117"/>
  <c r="F312" i="117"/>
  <c r="F313" i="117"/>
  <c r="F314" i="117"/>
  <c r="F315" i="117"/>
  <c r="F316" i="117"/>
  <c r="F317" i="117"/>
  <c r="F318" i="117"/>
  <c r="F319" i="117"/>
  <c r="F320" i="117"/>
  <c r="F321" i="117"/>
  <c r="F322" i="117"/>
  <c r="F323" i="117"/>
  <c r="F324" i="117"/>
  <c r="F325" i="117"/>
  <c r="F326" i="117"/>
  <c r="F327" i="117"/>
  <c r="F328" i="117"/>
  <c r="F329" i="117"/>
  <c r="F330" i="117"/>
  <c r="F331" i="117"/>
  <c r="F332" i="117"/>
  <c r="F333" i="117"/>
  <c r="F334" i="117"/>
  <c r="F335" i="117"/>
  <c r="F336" i="117"/>
  <c r="F337" i="117"/>
  <c r="F338" i="117"/>
  <c r="F339" i="117"/>
  <c r="F340" i="117"/>
  <c r="F341" i="117"/>
  <c r="F342" i="117"/>
  <c r="F343" i="117"/>
  <c r="F344" i="117"/>
  <c r="F345" i="117"/>
  <c r="F346" i="117"/>
  <c r="F347" i="117"/>
  <c r="F348" i="117"/>
  <c r="F349" i="117"/>
  <c r="F350" i="117"/>
  <c r="F351" i="117"/>
  <c r="F352" i="117"/>
  <c r="F353" i="117"/>
  <c r="F354" i="117"/>
  <c r="F355" i="117"/>
  <c r="F356" i="117"/>
  <c r="F357" i="117"/>
  <c r="F358" i="117"/>
  <c r="F359" i="117"/>
  <c r="F360" i="117"/>
  <c r="F361" i="117"/>
  <c r="F362" i="117"/>
  <c r="F363" i="117"/>
  <c r="F364" i="117"/>
  <c r="F365" i="117"/>
  <c r="F366" i="117"/>
  <c r="F367" i="117"/>
  <c r="F368" i="117"/>
  <c r="F369" i="117"/>
  <c r="F370" i="117"/>
  <c r="F371" i="117"/>
  <c r="F372" i="117"/>
  <c r="F373" i="117"/>
  <c r="F374" i="117"/>
  <c r="F375" i="117"/>
  <c r="F376" i="117"/>
  <c r="F377" i="117"/>
  <c r="F378" i="117"/>
  <c r="F379" i="117"/>
  <c r="F380" i="117"/>
  <c r="F381" i="117"/>
  <c r="F382" i="117"/>
  <c r="F383" i="117"/>
  <c r="F384" i="117"/>
  <c r="F385" i="117"/>
  <c r="F386" i="117"/>
  <c r="F387" i="117"/>
  <c r="F388" i="117"/>
  <c r="F389" i="117"/>
  <c r="F390" i="117"/>
  <c r="F391" i="117"/>
  <c r="F392" i="117"/>
  <c r="F393" i="117"/>
  <c r="F394" i="117"/>
  <c r="F395" i="117"/>
  <c r="F396" i="117"/>
  <c r="F397" i="117"/>
  <c r="F398" i="117"/>
  <c r="F399" i="117"/>
  <c r="F400" i="117"/>
  <c r="F401" i="117"/>
  <c r="F402" i="117"/>
  <c r="F403" i="117"/>
  <c r="F404" i="117"/>
  <c r="F405" i="117"/>
  <c r="F406" i="117"/>
  <c r="F407" i="117"/>
  <c r="F408" i="117"/>
  <c r="F409" i="117"/>
  <c r="F410" i="117"/>
  <c r="F411" i="117"/>
  <c r="F412" i="117"/>
  <c r="F413" i="117"/>
  <c r="F414" i="117"/>
  <c r="F415" i="117"/>
  <c r="F416" i="117"/>
  <c r="F417" i="117"/>
  <c r="F418" i="117"/>
  <c r="F419" i="117"/>
  <c r="F420" i="117"/>
  <c r="F421" i="117"/>
  <c r="F422" i="117"/>
  <c r="F423" i="117"/>
  <c r="F424" i="117"/>
  <c r="F425" i="117"/>
  <c r="F426" i="117"/>
  <c r="F427" i="117"/>
  <c r="F428" i="117"/>
  <c r="F429" i="117"/>
  <c r="F430" i="117"/>
  <c r="F431" i="117"/>
  <c r="F432" i="117"/>
  <c r="F433" i="117"/>
  <c r="F434" i="117"/>
  <c r="F435" i="117"/>
  <c r="F436" i="117"/>
  <c r="F437" i="117"/>
  <c r="F438" i="117"/>
  <c r="F439" i="117"/>
  <c r="F440" i="117"/>
  <c r="F441" i="117"/>
  <c r="F442" i="117"/>
  <c r="F443" i="117"/>
  <c r="F444" i="117"/>
  <c r="F445" i="117"/>
  <c r="F446" i="117"/>
  <c r="F447" i="117"/>
  <c r="F448" i="117"/>
  <c r="F449" i="117"/>
  <c r="F450" i="117"/>
  <c r="F451" i="117"/>
  <c r="F452" i="117"/>
  <c r="F453" i="117"/>
  <c r="F454" i="117"/>
  <c r="F455" i="117"/>
  <c r="F456" i="117"/>
  <c r="F457" i="117"/>
  <c r="F458" i="117"/>
  <c r="F459" i="117"/>
  <c r="F460" i="117"/>
  <c r="F461" i="117"/>
  <c r="F462" i="117"/>
  <c r="F463" i="117"/>
  <c r="F464" i="117"/>
  <c r="F465" i="117"/>
  <c r="F466" i="117"/>
  <c r="F467" i="117"/>
  <c r="F468" i="117"/>
  <c r="F469" i="117"/>
  <c r="F470" i="117"/>
  <c r="F471" i="117"/>
  <c r="F472" i="117"/>
  <c r="F473" i="117"/>
  <c r="F474" i="117"/>
  <c r="F475" i="117"/>
  <c r="F476" i="117"/>
  <c r="F477" i="117"/>
  <c r="F478" i="117"/>
  <c r="F479" i="117"/>
  <c r="F480" i="117"/>
  <c r="F481" i="117"/>
  <c r="F482" i="117"/>
  <c r="F483" i="117"/>
  <c r="F484" i="117"/>
  <c r="F485" i="117"/>
  <c r="F486" i="117"/>
  <c r="F487" i="117"/>
  <c r="F488" i="117"/>
  <c r="F489" i="117"/>
  <c r="F490" i="117"/>
  <c r="F491" i="117"/>
  <c r="F492" i="117"/>
  <c r="F493" i="117"/>
  <c r="F494" i="117"/>
  <c r="F495" i="117"/>
  <c r="F496" i="117"/>
  <c r="F497" i="117"/>
  <c r="F498" i="117"/>
  <c r="F499" i="117"/>
  <c r="F500" i="117"/>
  <c r="F501" i="117"/>
  <c r="F502" i="117"/>
  <c r="F503" i="117"/>
  <c r="F504" i="117"/>
  <c r="F505" i="117"/>
  <c r="F506" i="117"/>
  <c r="F507" i="117"/>
  <c r="F508" i="117"/>
  <c r="F509" i="117"/>
  <c r="F510" i="117"/>
  <c r="F511" i="117"/>
  <c r="F512" i="117"/>
  <c r="F513" i="117"/>
  <c r="F514" i="117"/>
  <c r="F515" i="117"/>
  <c r="F516" i="117"/>
  <c r="F517" i="117"/>
  <c r="F518" i="117"/>
  <c r="F519" i="117"/>
  <c r="F520" i="117"/>
  <c r="F521" i="117"/>
  <c r="F522" i="117"/>
  <c r="F523" i="117"/>
  <c r="F524" i="117"/>
  <c r="F525" i="117"/>
  <c r="F526" i="117"/>
  <c r="F527" i="117"/>
  <c r="F528" i="117"/>
  <c r="F529" i="117"/>
  <c r="F530" i="117"/>
  <c r="F531" i="117"/>
  <c r="F532" i="117"/>
  <c r="F533" i="117"/>
  <c r="F534" i="117"/>
  <c r="F535" i="117"/>
  <c r="F536" i="117"/>
  <c r="F537" i="117"/>
  <c r="F538" i="117"/>
  <c r="F539" i="117"/>
  <c r="F540" i="117"/>
  <c r="F541" i="117"/>
  <c r="F542" i="117"/>
  <c r="F543" i="117"/>
  <c r="F544" i="117"/>
  <c r="F545" i="117"/>
  <c r="F546" i="117"/>
  <c r="F547" i="117"/>
  <c r="F548" i="117"/>
  <c r="F549" i="117"/>
  <c r="F550" i="117"/>
  <c r="F551" i="117"/>
  <c r="F552" i="117"/>
  <c r="F553" i="117"/>
  <c r="F554" i="117"/>
  <c r="F555" i="117"/>
  <c r="F556" i="117"/>
  <c r="F557" i="117"/>
  <c r="F558" i="117"/>
  <c r="F559" i="117"/>
  <c r="F560" i="117"/>
  <c r="F561" i="117"/>
  <c r="F562" i="117"/>
  <c r="F563" i="117"/>
  <c r="F564" i="117"/>
  <c r="F565" i="117"/>
  <c r="F566" i="117"/>
  <c r="F567" i="117"/>
  <c r="F568" i="117"/>
  <c r="F569" i="117"/>
  <c r="F570" i="117"/>
  <c r="F571" i="117"/>
  <c r="F572" i="117"/>
  <c r="F573" i="117"/>
  <c r="F574" i="117"/>
  <c r="F575" i="117"/>
  <c r="F576" i="117"/>
  <c r="F577" i="117"/>
  <c r="F578" i="117"/>
  <c r="F579" i="117"/>
  <c r="F580" i="117"/>
  <c r="F581" i="117"/>
  <c r="F582" i="117"/>
  <c r="F583" i="117"/>
  <c r="F584" i="117"/>
  <c r="F585" i="117"/>
  <c r="F586" i="117"/>
  <c r="F587" i="117"/>
  <c r="F588" i="117"/>
  <c r="F589" i="117"/>
  <c r="F590" i="117"/>
  <c r="F591" i="117"/>
  <c r="F592" i="117"/>
  <c r="F593" i="117"/>
  <c r="F594" i="117"/>
  <c r="F595" i="117"/>
  <c r="F596" i="117"/>
  <c r="F597" i="117"/>
  <c r="F598" i="117"/>
  <c r="F599" i="117"/>
  <c r="F600" i="117"/>
  <c r="F601" i="117"/>
  <c r="F602" i="117"/>
  <c r="F603" i="117"/>
  <c r="F604" i="117"/>
  <c r="F605" i="117"/>
  <c r="F606" i="117"/>
  <c r="F607" i="117"/>
  <c r="F608" i="117"/>
  <c r="F609" i="117"/>
  <c r="F610" i="117"/>
  <c r="F611" i="117"/>
  <c r="F612" i="117"/>
  <c r="F613" i="117"/>
  <c r="F614" i="117"/>
  <c r="F615" i="117"/>
  <c r="F616" i="117"/>
  <c r="F617" i="117"/>
  <c r="F618" i="117"/>
  <c r="F619" i="117"/>
  <c r="F620" i="117"/>
  <c r="F621" i="117"/>
  <c r="F622" i="117"/>
  <c r="F623" i="117"/>
  <c r="F624" i="117"/>
  <c r="F625" i="117"/>
  <c r="F626" i="117"/>
  <c r="F627" i="117"/>
  <c r="F628" i="117"/>
  <c r="F629" i="117"/>
  <c r="F630" i="117"/>
  <c r="F631" i="117"/>
  <c r="F632" i="117"/>
  <c r="F633" i="117"/>
  <c r="F634" i="117"/>
  <c r="F635" i="117"/>
  <c r="F636" i="117"/>
  <c r="F637" i="117"/>
  <c r="F638" i="117"/>
  <c r="F639" i="117"/>
  <c r="F640" i="117"/>
  <c r="F641" i="117"/>
  <c r="F642" i="117"/>
  <c r="F643" i="117"/>
  <c r="F644" i="117"/>
  <c r="F645" i="117"/>
  <c r="F646" i="117"/>
  <c r="F647" i="117"/>
  <c r="F648" i="117"/>
  <c r="F649" i="117"/>
  <c r="F650" i="117"/>
  <c r="F651" i="117"/>
  <c r="F652" i="117"/>
  <c r="F653" i="117"/>
  <c r="F654" i="117"/>
  <c r="F655" i="117"/>
  <c r="F656" i="117"/>
  <c r="F657" i="117"/>
  <c r="F658" i="117"/>
  <c r="F659" i="117"/>
  <c r="F660" i="117"/>
  <c r="F661" i="117"/>
  <c r="F662" i="117"/>
  <c r="F663" i="117"/>
  <c r="F664" i="117"/>
  <c r="F665" i="117"/>
  <c r="F666" i="117"/>
  <c r="F667" i="117"/>
  <c r="F668" i="117"/>
  <c r="F669" i="117"/>
  <c r="F670" i="117"/>
  <c r="F671" i="117"/>
  <c r="F672" i="117"/>
  <c r="F673" i="117"/>
  <c r="F674" i="117"/>
  <c r="F675" i="117"/>
  <c r="F676" i="117"/>
  <c r="F677" i="117"/>
  <c r="F678" i="117"/>
  <c r="F679" i="117"/>
  <c r="F680" i="117"/>
  <c r="F681" i="117"/>
  <c r="F682" i="117"/>
  <c r="F683" i="117"/>
  <c r="F684" i="117"/>
  <c r="F685" i="117"/>
  <c r="F686" i="117"/>
  <c r="F687" i="117"/>
  <c r="F688" i="117"/>
  <c r="F689" i="117"/>
  <c r="F690" i="117"/>
  <c r="F691" i="117"/>
  <c r="F692" i="117"/>
  <c r="F693" i="117"/>
  <c r="F694" i="117"/>
  <c r="F695" i="117"/>
  <c r="F696" i="117"/>
  <c r="F697" i="117"/>
  <c r="F698" i="117"/>
  <c r="F699" i="117"/>
  <c r="F700" i="117"/>
  <c r="F701" i="117"/>
  <c r="F702" i="117"/>
  <c r="F703" i="117"/>
  <c r="F704" i="117"/>
  <c r="F705" i="117"/>
  <c r="F706" i="117"/>
  <c r="F707" i="117"/>
  <c r="F708" i="117"/>
  <c r="F709" i="117"/>
  <c r="F710" i="117"/>
  <c r="F711" i="117"/>
  <c r="F712" i="117"/>
  <c r="F713" i="117"/>
  <c r="F714" i="117"/>
  <c r="F715" i="117"/>
  <c r="F716" i="117"/>
  <c r="F717" i="117"/>
  <c r="F718" i="117"/>
  <c r="F719" i="117"/>
  <c r="F720" i="117"/>
  <c r="F721" i="117"/>
  <c r="F722" i="117"/>
  <c r="F723" i="117"/>
  <c r="F724" i="117"/>
  <c r="F725" i="117"/>
  <c r="F726" i="117"/>
  <c r="F727" i="117"/>
  <c r="F728" i="117"/>
  <c r="F729" i="117"/>
  <c r="F730" i="117"/>
  <c r="F731" i="117"/>
  <c r="F732" i="117"/>
  <c r="F733" i="117"/>
  <c r="F734" i="117"/>
  <c r="F735" i="117"/>
  <c r="F736" i="117"/>
  <c r="F737" i="117"/>
  <c r="F738" i="117"/>
  <c r="F739" i="117"/>
  <c r="F740" i="117"/>
  <c r="F741" i="117"/>
  <c r="F742" i="117"/>
  <c r="F743" i="117"/>
  <c r="F744" i="117"/>
  <c r="F745" i="117"/>
  <c r="F746" i="117"/>
  <c r="F747" i="117"/>
  <c r="F748" i="117"/>
  <c r="F749" i="117"/>
  <c r="F750" i="117"/>
  <c r="F751" i="117"/>
  <c r="F752" i="117"/>
  <c r="F753" i="117"/>
  <c r="F754" i="117"/>
  <c r="F755" i="117"/>
  <c r="F756" i="117"/>
  <c r="F757" i="117"/>
  <c r="F758" i="117"/>
  <c r="F759" i="117"/>
  <c r="F760" i="117"/>
  <c r="F761" i="117"/>
  <c r="F762" i="117"/>
  <c r="F763" i="117"/>
  <c r="F764" i="117"/>
  <c r="F765" i="117"/>
  <c r="F766" i="117"/>
  <c r="F767" i="117"/>
  <c r="F768" i="117"/>
  <c r="F769" i="117"/>
  <c r="F770" i="117"/>
  <c r="F771" i="117"/>
  <c r="F772" i="117"/>
  <c r="F773" i="117"/>
  <c r="F774" i="117"/>
  <c r="F775" i="117"/>
  <c r="F776" i="117"/>
  <c r="F777" i="117"/>
  <c r="F778" i="117"/>
  <c r="F779" i="117"/>
  <c r="F780" i="117"/>
  <c r="F781" i="117"/>
  <c r="F782" i="117"/>
  <c r="F783" i="117"/>
  <c r="F784" i="117"/>
  <c r="F785" i="117"/>
  <c r="F786" i="117"/>
  <c r="F787" i="117"/>
  <c r="F788" i="117"/>
  <c r="F789" i="117"/>
  <c r="F790" i="117"/>
  <c r="F791" i="117"/>
  <c r="F792" i="117"/>
  <c r="F793" i="117"/>
  <c r="F794" i="117"/>
  <c r="F795" i="117"/>
  <c r="F796" i="117"/>
  <c r="F797" i="117"/>
  <c r="F798" i="117"/>
  <c r="F799" i="117"/>
  <c r="F800" i="117"/>
  <c r="F801" i="117"/>
  <c r="F802" i="117"/>
  <c r="F803" i="117"/>
  <c r="F804" i="117"/>
  <c r="F805" i="117"/>
  <c r="F806" i="117"/>
  <c r="F807" i="117"/>
  <c r="F808" i="117"/>
  <c r="F809" i="117"/>
  <c r="F810" i="117"/>
  <c r="F811" i="117"/>
  <c r="F812" i="117"/>
  <c r="F813" i="117"/>
  <c r="F814" i="117"/>
  <c r="F815" i="117"/>
  <c r="F816" i="117"/>
  <c r="F817" i="117"/>
  <c r="F818" i="117"/>
  <c r="F819" i="117"/>
  <c r="F820" i="117"/>
  <c r="F821" i="117"/>
  <c r="F822" i="117"/>
  <c r="F823" i="117"/>
  <c r="F824" i="117"/>
  <c r="F825" i="117"/>
  <c r="F826" i="117"/>
  <c r="F827" i="117"/>
  <c r="F828" i="117"/>
  <c r="F829" i="117"/>
  <c r="F830" i="117"/>
  <c r="F831" i="117"/>
  <c r="F832" i="117"/>
  <c r="F833" i="117"/>
  <c r="F834" i="117"/>
  <c r="F835" i="117"/>
  <c r="F836" i="117"/>
  <c r="F837" i="117"/>
  <c r="F838" i="117"/>
  <c r="F839" i="117"/>
  <c r="F840" i="117"/>
  <c r="F841" i="117"/>
  <c r="F842" i="117"/>
  <c r="F843" i="117"/>
  <c r="F844" i="117"/>
  <c r="F845" i="117"/>
  <c r="F846" i="117"/>
  <c r="F847" i="117"/>
  <c r="F848" i="117"/>
  <c r="F849" i="117"/>
  <c r="F850" i="117"/>
  <c r="F851" i="117"/>
  <c r="F852" i="117"/>
  <c r="F853" i="117"/>
  <c r="F854" i="117"/>
  <c r="F855" i="117"/>
  <c r="F856" i="117"/>
  <c r="F857" i="117"/>
  <c r="F858" i="117"/>
  <c r="F859" i="117"/>
  <c r="F860" i="117"/>
  <c r="F861" i="117"/>
  <c r="F862" i="117"/>
  <c r="F863" i="117"/>
  <c r="F864" i="117"/>
  <c r="F865" i="117"/>
  <c r="F866" i="117"/>
  <c r="F867" i="117"/>
  <c r="F868" i="117"/>
  <c r="F869" i="117"/>
  <c r="F870" i="117"/>
  <c r="F871" i="117"/>
  <c r="F872" i="117"/>
  <c r="F873" i="117"/>
  <c r="F874" i="117"/>
  <c r="F875" i="117"/>
  <c r="F876" i="117"/>
  <c r="F877" i="117"/>
  <c r="F878" i="117"/>
  <c r="F879" i="117"/>
  <c r="F880" i="117"/>
  <c r="F881" i="117"/>
  <c r="F882" i="117"/>
  <c r="F883" i="117"/>
  <c r="F884" i="117"/>
  <c r="F885" i="117"/>
  <c r="F886" i="117"/>
  <c r="F887" i="117"/>
  <c r="F888" i="117"/>
  <c r="F889" i="117"/>
  <c r="F890" i="117"/>
  <c r="F891" i="117"/>
  <c r="F892" i="117"/>
  <c r="F893" i="117"/>
  <c r="F894" i="117"/>
  <c r="F895" i="117"/>
  <c r="F896" i="117"/>
  <c r="F897" i="117"/>
  <c r="F898" i="117"/>
  <c r="F899" i="117"/>
  <c r="F900" i="117"/>
  <c r="F901" i="117"/>
  <c r="F902" i="117"/>
  <c r="F903" i="117"/>
  <c r="F904" i="117"/>
  <c r="F905" i="117"/>
  <c r="F906" i="117"/>
  <c r="F907" i="117"/>
  <c r="F908" i="117"/>
  <c r="F909" i="117"/>
  <c r="F910" i="117"/>
  <c r="F911" i="117"/>
  <c r="F912" i="117"/>
  <c r="F913" i="117"/>
  <c r="F914" i="117"/>
  <c r="F915" i="117"/>
  <c r="F916" i="117"/>
  <c r="F917" i="117"/>
  <c r="F918" i="117"/>
  <c r="F919" i="117"/>
  <c r="F920" i="117"/>
  <c r="F921" i="117"/>
  <c r="F922" i="117"/>
  <c r="F923" i="117"/>
  <c r="F924" i="117"/>
  <c r="F925" i="117"/>
  <c r="F926" i="117"/>
  <c r="F927" i="117"/>
  <c r="F928" i="117"/>
  <c r="F929" i="117"/>
  <c r="F930" i="117"/>
  <c r="F931" i="117"/>
  <c r="F932" i="117"/>
  <c r="F933" i="117"/>
  <c r="F934" i="117"/>
  <c r="F935" i="117"/>
  <c r="F936" i="117"/>
  <c r="F937" i="117"/>
  <c r="F938" i="117"/>
  <c r="F939" i="117"/>
  <c r="F940" i="117"/>
  <c r="F941" i="117"/>
  <c r="F942" i="117"/>
  <c r="F943" i="117"/>
  <c r="F944" i="117"/>
  <c r="F945" i="117"/>
  <c r="F946" i="117"/>
  <c r="F947" i="117"/>
  <c r="F948" i="117"/>
  <c r="F949" i="117"/>
  <c r="F950" i="117"/>
  <c r="F951" i="117"/>
  <c r="F952" i="117"/>
  <c r="F953" i="117"/>
  <c r="F954" i="117"/>
  <c r="F955" i="117"/>
  <c r="F956" i="117"/>
  <c r="F957" i="117"/>
  <c r="F958" i="117"/>
  <c r="F959" i="117"/>
  <c r="F960" i="117"/>
  <c r="F961" i="117"/>
  <c r="F962" i="117"/>
  <c r="F963" i="117"/>
  <c r="F964" i="117"/>
  <c r="F965" i="117"/>
  <c r="F966" i="117"/>
  <c r="F967" i="117"/>
  <c r="F968" i="117"/>
  <c r="F969" i="117"/>
  <c r="F970" i="117"/>
  <c r="F971" i="117"/>
  <c r="F972" i="117"/>
  <c r="F973" i="117"/>
  <c r="F974" i="117"/>
  <c r="F975" i="117"/>
  <c r="F976" i="117"/>
  <c r="F977" i="117"/>
  <c r="F978" i="117"/>
  <c r="F979" i="117"/>
  <c r="F980" i="117"/>
  <c r="F981" i="117"/>
  <c r="F982" i="117"/>
  <c r="F983" i="117"/>
  <c r="F984" i="117"/>
  <c r="F985" i="117"/>
  <c r="F986" i="117"/>
  <c r="F987" i="117"/>
  <c r="F988" i="117"/>
  <c r="F989" i="117"/>
  <c r="F990" i="117"/>
  <c r="F991" i="117"/>
  <c r="F992" i="117"/>
  <c r="F993" i="117"/>
  <c r="F994" i="117"/>
  <c r="F995" i="117"/>
  <c r="F996" i="117"/>
  <c r="F997" i="117"/>
  <c r="F998" i="117"/>
  <c r="F999" i="117"/>
  <c r="F1000" i="117"/>
  <c r="F1001" i="117"/>
  <c r="F1002" i="117"/>
  <c r="F1003" i="117"/>
  <c r="F1004" i="117"/>
  <c r="F1005" i="117"/>
  <c r="F1006" i="117"/>
  <c r="F1007" i="117"/>
  <c r="F1008" i="117"/>
  <c r="F1009" i="117"/>
  <c r="F1010" i="117"/>
  <c r="F1011" i="117"/>
  <c r="F1012" i="117"/>
  <c r="F1013" i="117"/>
  <c r="F1014" i="117"/>
  <c r="F1015" i="117"/>
  <c r="F1016" i="117"/>
  <c r="F1017" i="117"/>
  <c r="F1018" i="117"/>
  <c r="F1019" i="117"/>
  <c r="F1020" i="117"/>
  <c r="F1021" i="117"/>
  <c r="F1022" i="117"/>
  <c r="F1023" i="117"/>
  <c r="F1024" i="117"/>
  <c r="F1025" i="117"/>
  <c r="F1" i="117"/>
  <c r="C2" i="117" a="1"/>
  <c r="C2" i="117"/>
  <c r="C3" i="117" a="1"/>
  <c r="C3" i="117"/>
  <c r="C4" i="117" a="1"/>
  <c r="C4" i="117"/>
  <c r="C5" i="117" a="1"/>
  <c r="C5" i="117"/>
  <c r="C6" i="117" a="1"/>
  <c r="C6" i="117" s="1"/>
  <c r="C7" i="117" a="1"/>
  <c r="C7" i="117" s="1"/>
  <c r="C8" i="117" a="1"/>
  <c r="C8" i="117"/>
  <c r="C9" i="117" a="1"/>
  <c r="C9" i="117"/>
  <c r="C10" i="117" a="1"/>
  <c r="C10" i="117"/>
  <c r="C11" i="117" a="1"/>
  <c r="C11" i="117"/>
  <c r="C12" i="117" a="1"/>
  <c r="C12" i="117"/>
  <c r="C13" i="117" a="1"/>
  <c r="C13" i="117"/>
  <c r="C14" i="117" a="1"/>
  <c r="C14" i="117" s="1"/>
  <c r="C15" i="117" a="1"/>
  <c r="C15" i="117"/>
  <c r="C16" i="117" a="1"/>
  <c r="C16" i="117"/>
  <c r="C17" i="117" a="1"/>
  <c r="C17" i="117"/>
  <c r="C18" i="117" a="1"/>
  <c r="C18" i="117" s="1"/>
  <c r="C19" i="117" a="1"/>
  <c r="C19" i="117" s="1"/>
  <c r="C20" i="117" a="1"/>
  <c r="C20" i="117"/>
  <c r="C21" i="117" a="1"/>
  <c r="C21" i="117"/>
  <c r="C22" i="117" a="1"/>
  <c r="C22" i="117"/>
  <c r="C23" i="117" a="1"/>
  <c r="C23" i="117"/>
  <c r="C24" i="117" a="1"/>
  <c r="C24" i="117"/>
  <c r="C25" i="117" a="1"/>
  <c r="C25" i="117"/>
  <c r="C26" i="117" a="1"/>
  <c r="C26" i="117"/>
  <c r="C27" i="117" a="1"/>
  <c r="C27" i="117"/>
  <c r="C28" i="117" a="1"/>
  <c r="C28" i="117"/>
  <c r="C29" i="117" a="1"/>
  <c r="C29" i="117"/>
  <c r="C30" i="117" a="1"/>
  <c r="C30" i="117" s="1"/>
  <c r="C31" i="117" a="1"/>
  <c r="C31" i="117"/>
  <c r="C32" i="117" a="1"/>
  <c r="C32" i="117" s="1"/>
  <c r="C33" i="117" a="1"/>
  <c r="C33" i="117"/>
  <c r="C34" i="117" a="1"/>
  <c r="C34" i="117"/>
  <c r="C35" i="117" a="1"/>
  <c r="C35" i="117"/>
  <c r="C36" i="117" a="1"/>
  <c r="C36" i="117"/>
  <c r="C37" i="117" a="1"/>
  <c r="C37" i="117"/>
  <c r="C38" i="117" a="1"/>
  <c r="C38" i="117"/>
  <c r="C39" i="117" a="1"/>
  <c r="C39" i="117" s="1"/>
  <c r="C40" i="117" a="1"/>
  <c r="C40" i="117"/>
  <c r="C41" i="117" a="1"/>
  <c r="C41" i="117"/>
  <c r="C42" i="117" a="1"/>
  <c r="C42" i="117" s="1"/>
  <c r="C43" i="117" a="1"/>
  <c r="C43" i="117"/>
  <c r="C44" i="117" a="1"/>
  <c r="C44" i="117" s="1"/>
  <c r="C45" i="117" a="1"/>
  <c r="C45" i="117"/>
  <c r="C46" i="117" a="1"/>
  <c r="C46" i="117"/>
  <c r="C47" i="117" a="1"/>
  <c r="C47" i="117"/>
  <c r="C48" i="117" a="1"/>
  <c r="C48" i="117"/>
  <c r="C49" i="117" a="1"/>
  <c r="C49" i="117"/>
  <c r="C50" i="117" a="1"/>
  <c r="C50" i="117"/>
  <c r="C51" i="117" a="1"/>
  <c r="C51" i="117"/>
  <c r="C52" i="117" a="1"/>
  <c r="C52" i="117"/>
  <c r="C53" i="117" a="1"/>
  <c r="C53" i="117"/>
  <c r="C54" i="117" a="1"/>
  <c r="C54" i="117" s="1"/>
  <c r="C55" i="117" a="1"/>
  <c r="C55" i="117"/>
  <c r="C56" i="117" a="1"/>
  <c r="C56" i="117"/>
  <c r="C57" i="117" a="1"/>
  <c r="C57" i="117" s="1"/>
  <c r="C58" i="117" a="1"/>
  <c r="C58" i="117"/>
  <c r="C59" i="117" a="1"/>
  <c r="C59" i="117"/>
  <c r="C60" i="117" a="1"/>
  <c r="C60" i="117"/>
  <c r="C61" i="117" a="1"/>
  <c r="C61" i="117"/>
  <c r="C62" i="117" a="1"/>
  <c r="C62" i="117"/>
  <c r="C63" i="117" a="1"/>
  <c r="C63" i="117"/>
  <c r="C64" i="117" a="1"/>
  <c r="C64" i="117" s="1"/>
  <c r="C65" i="117" a="1"/>
  <c r="C65" i="117"/>
  <c r="C66" i="117" a="1"/>
  <c r="C66" i="117" s="1"/>
  <c r="C67" i="117" a="1"/>
  <c r="C67" i="117"/>
  <c r="C68" i="117" a="1"/>
  <c r="C68" i="117"/>
  <c r="C69" i="117" a="1"/>
  <c r="C69" i="117" s="1"/>
  <c r="C70" i="117" a="1"/>
  <c r="C70" i="117"/>
  <c r="C71" i="117" a="1"/>
  <c r="C71" i="117"/>
  <c r="C72" i="117" a="1"/>
  <c r="C72" i="117"/>
  <c r="C73" i="117" a="1"/>
  <c r="C73" i="117"/>
  <c r="C74" i="117" a="1"/>
  <c r="C74" i="117"/>
  <c r="C75" i="117" a="1"/>
  <c r="C75" i="117"/>
  <c r="C76" i="117" a="1"/>
  <c r="C76" i="117"/>
  <c r="C77" i="117" a="1"/>
  <c r="C77" i="117"/>
  <c r="C78" i="117" a="1"/>
  <c r="C78" i="117" s="1"/>
  <c r="C79" i="117" a="1"/>
  <c r="C79" i="117"/>
  <c r="C80" i="117" a="1"/>
  <c r="C80" i="117"/>
  <c r="C81" i="117" a="1"/>
  <c r="C81" i="117"/>
  <c r="C82" i="117" a="1"/>
  <c r="C82" i="117" s="1"/>
  <c r="C83" i="117" a="1"/>
  <c r="C83" i="117"/>
  <c r="C84" i="117" a="1"/>
  <c r="C84" i="117"/>
  <c r="C85" i="117" a="1"/>
  <c r="C85" i="117"/>
  <c r="C86" i="117" a="1"/>
  <c r="C86" i="117"/>
  <c r="C87" i="117" a="1"/>
  <c r="C87" i="117"/>
  <c r="C88" i="117" a="1"/>
  <c r="C88" i="117"/>
  <c r="C89" i="117" a="1"/>
  <c r="C89" i="117" s="1"/>
  <c r="C90" i="117" a="1"/>
  <c r="C90" i="117" s="1"/>
  <c r="C91" i="117" a="1"/>
  <c r="C91" i="117"/>
  <c r="C92" i="117" a="1"/>
  <c r="C92" i="117"/>
  <c r="C93" i="117" a="1"/>
  <c r="C93" i="117"/>
  <c r="C94" i="117" a="1"/>
  <c r="C94" i="117" s="1"/>
  <c r="C95" i="117" a="1"/>
  <c r="C95" i="117"/>
  <c r="C96" i="117" a="1"/>
  <c r="C96" i="117"/>
  <c r="C97" i="117" a="1"/>
  <c r="C97" i="117"/>
  <c r="C98" i="117" a="1"/>
  <c r="C98" i="117"/>
  <c r="C99" i="117" a="1"/>
  <c r="C99" i="117"/>
  <c r="C100" i="117" a="1"/>
  <c r="C100" i="117"/>
  <c r="C101" i="117" a="1"/>
  <c r="C101" i="117"/>
  <c r="C102" i="117" a="1"/>
  <c r="C102" i="117" s="1"/>
  <c r="C103" i="117" a="1"/>
  <c r="C103" i="117"/>
  <c r="C104" i="117" a="1"/>
  <c r="C104" i="117"/>
  <c r="C105" i="117" a="1"/>
  <c r="C105" i="117"/>
  <c r="C106" i="117" a="1"/>
  <c r="C106" i="117"/>
  <c r="C107" i="117" a="1"/>
  <c r="C107" i="117" s="1"/>
  <c r="C108" i="117" a="1"/>
  <c r="C108" i="117"/>
  <c r="C109" i="117" a="1"/>
  <c r="C109" i="117"/>
  <c r="C110" i="117" a="1"/>
  <c r="C110" i="117"/>
  <c r="C111" i="117" a="1"/>
  <c r="C111" i="117"/>
  <c r="C112" i="117" a="1"/>
  <c r="C112" i="117"/>
  <c r="C113" i="117" a="1"/>
  <c r="C113" i="117"/>
  <c r="C114" i="117" a="1"/>
  <c r="C114" i="117" s="1"/>
  <c r="C115" i="117" a="1"/>
  <c r="C115" i="117"/>
  <c r="C116" i="117" a="1"/>
  <c r="C116" i="117"/>
  <c r="C117" i="117" a="1"/>
  <c r="C117" i="117"/>
  <c r="C118" i="117" a="1"/>
  <c r="C118" i="117"/>
  <c r="C119" i="117" a="1"/>
  <c r="C119" i="117" s="1"/>
  <c r="C120" i="117" a="1"/>
  <c r="C120" i="117"/>
  <c r="C121" i="117" a="1"/>
  <c r="C121" i="117"/>
  <c r="C122" i="117" a="1"/>
  <c r="C122" i="117"/>
  <c r="C123" i="117" a="1"/>
  <c r="C123" i="117"/>
  <c r="C124" i="117" a="1"/>
  <c r="C124" i="117"/>
  <c r="C125" i="117" a="1"/>
  <c r="C125" i="117"/>
  <c r="C126" i="117" a="1"/>
  <c r="C126" i="117" s="1"/>
  <c r="C127" i="117" a="1"/>
  <c r="C127" i="117" s="1"/>
  <c r="C128" i="117" a="1"/>
  <c r="C128" i="117"/>
  <c r="C129" i="117" a="1"/>
  <c r="C129" i="117"/>
  <c r="C130" i="117" a="1"/>
  <c r="C130" i="117"/>
  <c r="C131" i="117" a="1"/>
  <c r="C131" i="117"/>
  <c r="C132" i="117" a="1"/>
  <c r="C132" i="117" s="1"/>
  <c r="C133" i="117" a="1"/>
  <c r="C133" i="117"/>
  <c r="C134" i="117" a="1"/>
  <c r="C134" i="117"/>
  <c r="C135" i="117" a="1"/>
  <c r="C135" i="117"/>
  <c r="C136" i="117" a="1"/>
  <c r="C136" i="117"/>
  <c r="C137" i="117" a="1"/>
  <c r="C137" i="117"/>
  <c r="C138" i="117" a="1"/>
  <c r="C138" i="117" s="1"/>
  <c r="C139" i="117" a="1"/>
  <c r="C139" i="117"/>
  <c r="C140" i="117" a="1"/>
  <c r="C140" i="117"/>
  <c r="C141" i="117" a="1"/>
  <c r="C141" i="117"/>
  <c r="C142" i="117" a="1"/>
  <c r="C142" i="117"/>
  <c r="C143" i="117" a="1"/>
  <c r="C143" i="117"/>
  <c r="C144" i="117" a="1"/>
  <c r="C144" i="117" s="1"/>
  <c r="C145" i="117" a="1"/>
  <c r="C145" i="117"/>
  <c r="C146" i="117" a="1"/>
  <c r="C146" i="117"/>
  <c r="C147" i="117" a="1"/>
  <c r="C147" i="117"/>
  <c r="C148" i="117" a="1"/>
  <c r="C148" i="117"/>
  <c r="C149" i="117" a="1"/>
  <c r="C149" i="117"/>
  <c r="C150" i="117" a="1"/>
  <c r="C150" i="117" s="1"/>
  <c r="C151" i="117" a="1"/>
  <c r="C151" i="117"/>
  <c r="C152" i="117" a="1"/>
  <c r="C152" i="117" s="1"/>
  <c r="C153" i="117" a="1"/>
  <c r="C153" i="117"/>
  <c r="C154" i="117" a="1"/>
  <c r="C154" i="117"/>
  <c r="C155" i="117" a="1"/>
  <c r="C155" i="117"/>
  <c r="C156" i="117" a="1"/>
  <c r="C156" i="117"/>
  <c r="C157" i="117" a="1"/>
  <c r="C157" i="117" s="1"/>
  <c r="C158" i="117" a="1"/>
  <c r="C158" i="117"/>
  <c r="C159" i="117" a="1"/>
  <c r="C159" i="117"/>
  <c r="C160" i="117" a="1"/>
  <c r="C160" i="117"/>
  <c r="C161" i="117" a="1"/>
  <c r="C161" i="117"/>
  <c r="C162" i="117" a="1"/>
  <c r="C162" i="117" s="1"/>
  <c r="C163" i="117" a="1"/>
  <c r="C163" i="117"/>
  <c r="C164" i="117" a="1"/>
  <c r="C164" i="117"/>
  <c r="C165" i="117" a="1"/>
  <c r="C165" i="117"/>
  <c r="C166" i="117" a="1"/>
  <c r="C166" i="117"/>
  <c r="C167" i="117" a="1"/>
  <c r="C167" i="117"/>
  <c r="C168" i="117" a="1"/>
  <c r="C168" i="117"/>
  <c r="C169" i="117" a="1"/>
  <c r="C169" i="117" s="1"/>
  <c r="C170" i="117" a="1"/>
  <c r="C170" i="117"/>
  <c r="C171" i="117" a="1"/>
  <c r="C171" i="117"/>
  <c r="C172" i="117" a="1"/>
  <c r="C172" i="117"/>
  <c r="C173" i="117" a="1"/>
  <c r="C173" i="117"/>
  <c r="C174" i="117" a="1"/>
  <c r="C174" i="117" s="1"/>
  <c r="C175" i="117" a="1"/>
  <c r="C175" i="117"/>
  <c r="C176" i="117" a="1"/>
  <c r="C176" i="117"/>
  <c r="C177" i="117" a="1"/>
  <c r="C177" i="117" s="1"/>
  <c r="C178" i="117" a="1"/>
  <c r="C178" i="117"/>
  <c r="C179" i="117" a="1"/>
  <c r="C179" i="117"/>
  <c r="C180" i="117" a="1"/>
  <c r="C180" i="117"/>
  <c r="C181" i="117" a="1"/>
  <c r="C181" i="117"/>
  <c r="C182" i="117" a="1"/>
  <c r="C182" i="117"/>
  <c r="C183" i="117" a="1"/>
  <c r="C183" i="117"/>
  <c r="C184" i="117" a="1"/>
  <c r="C184" i="117"/>
  <c r="C185" i="117" a="1"/>
  <c r="C185" i="117"/>
  <c r="C186" i="117" a="1"/>
  <c r="C186" i="117" s="1"/>
  <c r="C187" i="117" a="1"/>
  <c r="C187" i="117"/>
  <c r="C188" i="117" a="1"/>
  <c r="C188" i="117"/>
  <c r="C189" i="117" a="1"/>
  <c r="C189" i="117"/>
  <c r="C190" i="117" a="1"/>
  <c r="C190" i="117"/>
  <c r="C191" i="117" a="1"/>
  <c r="C191" i="117"/>
  <c r="C192" i="117" a="1"/>
  <c r="C192" i="117"/>
  <c r="C193" i="117" a="1"/>
  <c r="C193" i="117"/>
  <c r="C194" i="117" a="1"/>
  <c r="C194" i="117" s="1"/>
  <c r="C195" i="117" a="1"/>
  <c r="C195" i="117"/>
  <c r="C196" i="117" a="1"/>
  <c r="C196" i="117"/>
  <c r="C197" i="117" a="1"/>
  <c r="C197" i="117"/>
  <c r="C198" i="117" a="1"/>
  <c r="C198" i="117" s="1"/>
  <c r="C199" i="117" a="1"/>
  <c r="C199" i="117"/>
  <c r="C200" i="117" a="1"/>
  <c r="C200" i="117"/>
  <c r="C201" i="117" a="1"/>
  <c r="C201" i="117"/>
  <c r="C202" i="117" a="1"/>
  <c r="C202" i="117" s="1"/>
  <c r="C203" i="117" a="1"/>
  <c r="C203" i="117"/>
  <c r="C204" i="117" a="1"/>
  <c r="C204" i="117"/>
  <c r="C205" i="117" a="1"/>
  <c r="C205" i="117"/>
  <c r="C206" i="117" a="1"/>
  <c r="C206" i="117"/>
  <c r="C207" i="117" a="1"/>
  <c r="C207" i="117"/>
  <c r="C208" i="117" a="1"/>
  <c r="C208" i="117"/>
  <c r="C209" i="117" a="1"/>
  <c r="C209" i="117"/>
  <c r="C210" i="117" a="1"/>
  <c r="C210" i="117" s="1"/>
  <c r="C211" i="117" a="1"/>
  <c r="C211" i="117"/>
  <c r="C212" i="117" a="1"/>
  <c r="C212" i="117"/>
  <c r="C213" i="117" a="1"/>
  <c r="C213" i="117"/>
  <c r="C214" i="117" a="1"/>
  <c r="C214" i="117"/>
  <c r="C215" i="117" a="1"/>
  <c r="C215" i="117"/>
  <c r="C216" i="117" a="1"/>
  <c r="C216" i="117"/>
  <c r="C217" i="117" a="1"/>
  <c r="C217" i="117"/>
  <c r="C218" i="117" a="1"/>
  <c r="C218" i="117"/>
  <c r="C219" i="117" a="1"/>
  <c r="C219" i="117" s="1"/>
  <c r="C220" i="117" a="1"/>
  <c r="C220" i="117"/>
  <c r="C221" i="117" a="1"/>
  <c r="C221" i="117"/>
  <c r="C222" i="117" a="1"/>
  <c r="C222" i="117" s="1"/>
  <c r="C223" i="117" a="1"/>
  <c r="C223" i="117"/>
  <c r="C224" i="117" a="1"/>
  <c r="C224" i="117"/>
  <c r="C225" i="117" a="1"/>
  <c r="C225" i="117"/>
  <c r="C226" i="117" a="1"/>
  <c r="C226" i="117"/>
  <c r="C227" i="117" a="1"/>
  <c r="C227" i="117" s="1"/>
  <c r="C228" i="117" a="1"/>
  <c r="C228" i="117"/>
  <c r="C229" i="117" a="1"/>
  <c r="C229" i="117"/>
  <c r="C230" i="117" a="1"/>
  <c r="C230" i="117"/>
  <c r="C231" i="117" a="1"/>
  <c r="C231" i="117"/>
  <c r="C232" i="117" a="1"/>
  <c r="C232" i="117"/>
  <c r="C233" i="117" a="1"/>
  <c r="C233" i="117"/>
  <c r="C234" i="117" a="1"/>
  <c r="C234" i="117" s="1"/>
  <c r="C235" i="117" a="1"/>
  <c r="C235" i="117"/>
  <c r="C236" i="117" a="1"/>
  <c r="C236" i="117"/>
  <c r="C237" i="117" a="1"/>
  <c r="C237" i="117"/>
  <c r="C238" i="117" a="1"/>
  <c r="C238" i="117"/>
  <c r="C239" i="117" a="1"/>
  <c r="C239" i="117"/>
  <c r="C240" i="117" a="1"/>
  <c r="C240" i="117"/>
  <c r="C241" i="117" a="1"/>
  <c r="C241" i="117"/>
  <c r="C242" i="117" a="1"/>
  <c r="C242" i="117"/>
  <c r="C243" i="117" a="1"/>
  <c r="C243" i="117"/>
  <c r="C244" i="117" a="1"/>
  <c r="C244" i="117" s="1"/>
  <c r="C245" i="117" a="1"/>
  <c r="C245" i="117"/>
  <c r="C246" i="117" a="1"/>
  <c r="C246" i="117" s="1"/>
  <c r="C247" i="117" a="1"/>
  <c r="C247" i="117"/>
  <c r="C248" i="117" a="1"/>
  <c r="C248" i="117"/>
  <c r="C249" i="117" a="1"/>
  <c r="C249" i="117"/>
  <c r="C250" i="117" a="1"/>
  <c r="C250" i="117"/>
  <c r="C251" i="117" a="1"/>
  <c r="C251" i="117"/>
  <c r="C252" i="117" a="1"/>
  <c r="C252" i="117" s="1"/>
  <c r="C253" i="117" a="1"/>
  <c r="C253" i="117"/>
  <c r="C254" i="117" a="1"/>
  <c r="C254" i="117"/>
  <c r="C255" i="117" a="1"/>
  <c r="C255" i="117"/>
  <c r="C256" i="117" a="1"/>
  <c r="C256" i="117"/>
  <c r="C257" i="117" a="1"/>
  <c r="C257" i="117"/>
  <c r="C258" i="117" a="1"/>
  <c r="C258" i="117" s="1"/>
  <c r="C259" i="117" a="1"/>
  <c r="C259" i="117"/>
  <c r="C260" i="117" a="1"/>
  <c r="C260" i="117"/>
  <c r="C261" i="117" a="1"/>
  <c r="C261" i="117"/>
  <c r="C262" i="117" a="1"/>
  <c r="C262" i="117"/>
  <c r="C263" i="117" a="1"/>
  <c r="C263" i="117"/>
  <c r="C264" i="117" a="1"/>
  <c r="C264" i="117"/>
  <c r="C265" i="117" a="1"/>
  <c r="C265" i="117"/>
  <c r="C266" i="117" a="1"/>
  <c r="C266" i="117"/>
  <c r="C267" i="117" a="1"/>
  <c r="C267" i="117"/>
  <c r="C268" i="117" a="1"/>
  <c r="C268" i="117"/>
  <c r="C269" i="117" a="1"/>
  <c r="C269" i="117" s="1"/>
  <c r="C270" i="117" a="1"/>
  <c r="C270" i="117" s="1"/>
  <c r="C271" i="117" a="1"/>
  <c r="C271" i="117"/>
  <c r="C272" i="117" a="1"/>
  <c r="C272" i="117"/>
  <c r="C273" i="117" a="1"/>
  <c r="C273" i="117"/>
  <c r="C274" i="117" a="1"/>
  <c r="C274" i="117"/>
  <c r="C275" i="117" a="1"/>
  <c r="C275" i="117"/>
  <c r="C276" i="117" a="1"/>
  <c r="C276" i="117"/>
  <c r="C277" i="117" a="1"/>
  <c r="C277" i="117" s="1"/>
  <c r="C278" i="117" a="1"/>
  <c r="C278" i="117"/>
  <c r="C279" i="117" a="1"/>
  <c r="C279" i="117"/>
  <c r="C280" i="117" a="1"/>
  <c r="C280" i="117"/>
  <c r="C281" i="117" a="1"/>
  <c r="C281" i="117"/>
  <c r="C282" i="117" a="1"/>
  <c r="C282" i="117" s="1"/>
  <c r="C283" i="117" a="1"/>
  <c r="C283" i="117"/>
  <c r="C284" i="117" a="1"/>
  <c r="C284" i="117"/>
  <c r="C285" i="117" a="1"/>
  <c r="C285" i="117"/>
  <c r="C286" i="117" a="1"/>
  <c r="C286" i="117"/>
  <c r="C287" i="117" a="1"/>
  <c r="C287" i="117"/>
  <c r="C288" i="117" a="1"/>
  <c r="C288" i="117"/>
  <c r="C289" i="117" a="1"/>
  <c r="C289" i="117"/>
  <c r="C290" i="117" a="1"/>
  <c r="C290" i="117"/>
  <c r="C291" i="117" a="1"/>
  <c r="C291" i="117"/>
  <c r="C292" i="117" a="1"/>
  <c r="C292" i="117"/>
  <c r="C293" i="117" a="1"/>
  <c r="C293" i="117"/>
  <c r="C294" i="117" a="1"/>
  <c r="C294" i="117" s="1"/>
  <c r="C295" i="117" a="1"/>
  <c r="C295" i="117" s="1"/>
  <c r="C296" i="117" a="1"/>
  <c r="C296" i="117"/>
  <c r="C297" i="117" a="1"/>
  <c r="C297" i="117"/>
  <c r="C298" i="117" a="1"/>
  <c r="C298" i="117"/>
  <c r="C299" i="117" a="1"/>
  <c r="C299" i="117"/>
  <c r="C300" i="117" a="1"/>
  <c r="C300" i="117"/>
  <c r="C301" i="117" a="1"/>
  <c r="C301" i="117"/>
  <c r="C302" i="117" a="1"/>
  <c r="C302" i="117" s="1"/>
  <c r="C303" i="117" a="1"/>
  <c r="C303" i="117"/>
  <c r="C304" i="117" a="1"/>
  <c r="C304" i="117"/>
  <c r="C305" i="117" a="1"/>
  <c r="C305" i="117"/>
  <c r="C306" i="117" a="1"/>
  <c r="C306" i="117" s="1"/>
  <c r="C307" i="117" a="1"/>
  <c r="C307" i="117" s="1"/>
  <c r="C308" i="117" a="1"/>
  <c r="C308" i="117"/>
  <c r="C309" i="117" a="1"/>
  <c r="C309" i="117"/>
  <c r="C310" i="117" a="1"/>
  <c r="C310" i="117"/>
  <c r="C311" i="117" a="1"/>
  <c r="C311" i="117"/>
  <c r="C312" i="117" a="1"/>
  <c r="C312" i="117"/>
  <c r="C313" i="117" a="1"/>
  <c r="C313" i="117"/>
  <c r="C314" i="117" a="1"/>
  <c r="C314" i="117"/>
  <c r="C315" i="117" a="1"/>
  <c r="C315" i="117"/>
  <c r="C316" i="117" a="1"/>
  <c r="C316" i="117"/>
  <c r="C317" i="117" a="1"/>
  <c r="C317" i="117"/>
  <c r="C318" i="117" a="1"/>
  <c r="C318" i="117" s="1"/>
  <c r="C319" i="117" a="1"/>
  <c r="C319" i="117"/>
  <c r="C320" i="117" a="1"/>
  <c r="C320" i="117" s="1"/>
  <c r="C321" i="117" a="1"/>
  <c r="C321" i="117"/>
  <c r="C322" i="117" a="1"/>
  <c r="C322" i="117"/>
  <c r="C323" i="117" a="1"/>
  <c r="C323" i="117"/>
  <c r="C324" i="117" a="1"/>
  <c r="C324" i="117"/>
  <c r="C325" i="117" a="1"/>
  <c r="C325" i="117"/>
  <c r="C326" i="117" a="1"/>
  <c r="C326" i="117"/>
  <c r="C327" i="117" a="1"/>
  <c r="C327" i="117" s="1"/>
  <c r="C328" i="117" a="1"/>
  <c r="C328" i="117"/>
  <c r="C329" i="117" a="1"/>
  <c r="C329" i="117"/>
  <c r="C330" i="117" a="1"/>
  <c r="C330" i="117" s="1"/>
  <c r="C331" i="117" a="1"/>
  <c r="C331" i="117"/>
  <c r="C332" i="117" a="1"/>
  <c r="C332" i="117" s="1"/>
  <c r="C333" i="117" a="1"/>
  <c r="C333" i="117"/>
  <c r="C334" i="117" a="1"/>
  <c r="C334" i="117"/>
  <c r="C335" i="117" a="1"/>
  <c r="C335" i="117"/>
  <c r="C336" i="117" a="1"/>
  <c r="C336" i="117"/>
  <c r="C337" i="117" a="1"/>
  <c r="C337" i="117"/>
  <c r="C338" i="117" a="1"/>
  <c r="C338" i="117"/>
  <c r="C339" i="117" a="1"/>
  <c r="C339" i="117"/>
  <c r="C340" i="117" a="1"/>
  <c r="C340" i="117"/>
  <c r="C341" i="117" a="1"/>
  <c r="C341" i="117"/>
  <c r="C342" i="117" a="1"/>
  <c r="C342" i="117" s="1"/>
  <c r="C343" i="117" a="1"/>
  <c r="C343" i="117"/>
  <c r="C344" i="117" a="1"/>
  <c r="C344" i="117"/>
  <c r="C345" i="117" a="1"/>
  <c r="C345" i="117" s="1"/>
  <c r="C346" i="117" a="1"/>
  <c r="C346" i="117"/>
  <c r="C347" i="117" a="1"/>
  <c r="C347" i="117"/>
  <c r="C348" i="117" a="1"/>
  <c r="C348" i="117"/>
  <c r="C349" i="117" a="1"/>
  <c r="C349" i="117"/>
  <c r="C350" i="117" a="1"/>
  <c r="C350" i="117"/>
  <c r="C351" i="117" a="1"/>
  <c r="C351" i="117"/>
  <c r="C352" i="117" a="1"/>
  <c r="C352" i="117" s="1"/>
  <c r="C353" i="117" a="1"/>
  <c r="C353" i="117"/>
  <c r="C354" i="117" a="1"/>
  <c r="C354" i="117" s="1"/>
  <c r="C355" i="117" a="1"/>
  <c r="C355" i="117"/>
  <c r="C356" i="117" a="1"/>
  <c r="C356" i="117"/>
  <c r="C357" i="117" a="1"/>
  <c r="C357" i="117" s="1"/>
  <c r="C358" i="117" a="1"/>
  <c r="C358" i="117"/>
  <c r="C359" i="117" a="1"/>
  <c r="C359" i="117"/>
  <c r="C360" i="117" a="1"/>
  <c r="C360" i="117"/>
  <c r="C361" i="117" a="1"/>
  <c r="C361" i="117"/>
  <c r="C362" i="117" a="1"/>
  <c r="C362" i="117"/>
  <c r="C363" i="117" a="1"/>
  <c r="C363" i="117"/>
  <c r="C364" i="117" a="1"/>
  <c r="C364" i="117"/>
  <c r="C365" i="117" a="1"/>
  <c r="C365" i="117"/>
  <c r="C366" i="117" a="1"/>
  <c r="C366" i="117" s="1"/>
  <c r="C367" i="117" a="1"/>
  <c r="C367" i="117"/>
  <c r="C368" i="117" a="1"/>
  <c r="C368" i="117"/>
  <c r="C369" i="117" a="1"/>
  <c r="C369" i="117"/>
  <c r="C370" i="117" a="1"/>
  <c r="C370" i="117" s="1"/>
  <c r="C371" i="117" a="1"/>
  <c r="C371" i="117"/>
  <c r="C372" i="117" a="1"/>
  <c r="C372" i="117"/>
  <c r="C373" i="117" a="1"/>
  <c r="C373" i="117"/>
  <c r="C374" i="117" a="1"/>
  <c r="C374" i="117"/>
  <c r="C375" i="117" a="1"/>
  <c r="C375" i="117"/>
  <c r="C376" i="117" a="1"/>
  <c r="C376" i="117"/>
  <c r="C377" i="117" a="1"/>
  <c r="C377" i="117" s="1"/>
  <c r="C378" i="117" a="1"/>
  <c r="C378" i="117" s="1"/>
  <c r="C379" i="117" a="1"/>
  <c r="C379" i="117"/>
  <c r="C380" i="117" a="1"/>
  <c r="C380" i="117"/>
  <c r="C381" i="117" a="1"/>
  <c r="C381" i="117"/>
  <c r="C382" i="117" a="1"/>
  <c r="C382" i="117" s="1"/>
  <c r="C383" i="117" a="1"/>
  <c r="C383" i="117"/>
  <c r="C384" i="117" a="1"/>
  <c r="C384" i="117"/>
  <c r="C385" i="117" a="1"/>
  <c r="C385" i="117"/>
  <c r="C386" i="117" a="1"/>
  <c r="C386" i="117"/>
  <c r="C387" i="117" a="1"/>
  <c r="C387" i="117"/>
  <c r="C388" i="117" a="1"/>
  <c r="C388" i="117"/>
  <c r="C389" i="117" a="1"/>
  <c r="C389" i="117"/>
  <c r="C390" i="117" a="1"/>
  <c r="C390" i="117" s="1"/>
  <c r="C391" i="117" a="1"/>
  <c r="C391" i="117"/>
  <c r="C392" i="117" a="1"/>
  <c r="C392" i="117"/>
  <c r="C393" i="117" a="1"/>
  <c r="C393" i="117"/>
  <c r="C394" i="117" a="1"/>
  <c r="C394" i="117"/>
  <c r="C395" i="117" a="1"/>
  <c r="C395" i="117" s="1"/>
  <c r="C396" i="117" a="1"/>
  <c r="C396" i="117"/>
  <c r="C397" i="117" a="1"/>
  <c r="C397" i="117"/>
  <c r="C398" i="117" a="1"/>
  <c r="C398" i="117"/>
  <c r="C399" i="117" a="1"/>
  <c r="C399" i="117"/>
  <c r="C400" i="117" a="1"/>
  <c r="C400" i="117"/>
  <c r="C401" i="117" a="1"/>
  <c r="C401" i="117"/>
  <c r="C402" i="117" a="1"/>
  <c r="C402" i="117" s="1"/>
  <c r="C403" i="117" a="1"/>
  <c r="C403" i="117"/>
  <c r="C404" i="117" a="1"/>
  <c r="C404" i="117"/>
  <c r="C405" i="117" a="1"/>
  <c r="C405" i="117"/>
  <c r="C406" i="117" a="1"/>
  <c r="C406" i="117"/>
  <c r="C407" i="117" a="1"/>
  <c r="C407" i="117" s="1"/>
  <c r="C408" i="117" a="1"/>
  <c r="C408" i="117"/>
  <c r="C409" i="117" a="1"/>
  <c r="C409" i="117"/>
  <c r="C410" i="117" a="1"/>
  <c r="C410" i="117"/>
  <c r="C411" i="117" a="1"/>
  <c r="C411" i="117"/>
  <c r="C412" i="117" a="1"/>
  <c r="C412" i="117"/>
  <c r="C413" i="117" a="1"/>
  <c r="C413" i="117"/>
  <c r="C414" i="117" a="1"/>
  <c r="C414" i="117" s="1"/>
  <c r="C415" i="117" a="1"/>
  <c r="C415" i="117" s="1"/>
  <c r="C416" i="117" a="1"/>
  <c r="C416" i="117"/>
  <c r="C417" i="117" a="1"/>
  <c r="C417" i="117"/>
  <c r="C418" i="117" a="1"/>
  <c r="C418" i="117"/>
  <c r="C419" i="117" a="1"/>
  <c r="C419" i="117"/>
  <c r="C420" i="117" a="1"/>
  <c r="C420" i="117" s="1"/>
  <c r="C421" i="117" a="1"/>
  <c r="C421" i="117"/>
  <c r="C422" i="117" a="1"/>
  <c r="C422" i="117"/>
  <c r="C423" i="117" a="1"/>
  <c r="C423" i="117"/>
  <c r="C424" i="117" a="1"/>
  <c r="C424" i="117"/>
  <c r="C425" i="117" a="1"/>
  <c r="C425" i="117"/>
  <c r="C426" i="117" a="1"/>
  <c r="C426" i="117" s="1"/>
  <c r="C427" i="117" a="1"/>
  <c r="C427" i="117"/>
  <c r="C428" i="117" a="1"/>
  <c r="C428" i="117"/>
  <c r="C429" i="117" a="1"/>
  <c r="C429" i="117"/>
  <c r="C430" i="117" a="1"/>
  <c r="C430" i="117"/>
  <c r="C431" i="117" a="1"/>
  <c r="C431" i="117"/>
  <c r="C432" i="117" a="1"/>
  <c r="C432" i="117" s="1"/>
  <c r="C433" i="117" a="1"/>
  <c r="C433" i="117"/>
  <c r="C434" i="117" a="1"/>
  <c r="C434" i="117"/>
  <c r="C435" i="117" a="1"/>
  <c r="C435" i="117"/>
  <c r="C436" i="117" a="1"/>
  <c r="C436" i="117"/>
  <c r="C437" i="117" a="1"/>
  <c r="C437" i="117"/>
  <c r="C438" i="117" a="1"/>
  <c r="C438" i="117" s="1"/>
  <c r="C439" i="117" a="1"/>
  <c r="C439" i="117"/>
  <c r="C440" i="117" a="1"/>
  <c r="C440" i="117" s="1"/>
  <c r="C441" i="117" a="1"/>
  <c r="C441" i="117"/>
  <c r="C442" i="117" a="1"/>
  <c r="C442" i="117"/>
  <c r="C443" i="117" a="1"/>
  <c r="C443" i="117"/>
  <c r="C444" i="117" a="1"/>
  <c r="C444" i="117"/>
  <c r="C445" i="117" a="1"/>
  <c r="C445" i="117" s="1"/>
  <c r="C446" i="117" a="1"/>
  <c r="C446" i="117"/>
  <c r="C447" i="117" a="1"/>
  <c r="C447" i="117"/>
  <c r="C448" i="117" a="1"/>
  <c r="C448" i="117"/>
  <c r="C449" i="117" a="1"/>
  <c r="C449" i="117"/>
  <c r="C450" i="117" a="1"/>
  <c r="C450" i="117" s="1"/>
  <c r="C451" i="117" a="1"/>
  <c r="C451" i="117"/>
  <c r="C452" i="117" a="1"/>
  <c r="C452" i="117"/>
  <c r="C453" i="117" a="1"/>
  <c r="C453" i="117"/>
  <c r="C454" i="117" a="1"/>
  <c r="C454" i="117"/>
  <c r="C455" i="117" a="1"/>
  <c r="C455" i="117"/>
  <c r="C456" i="117" a="1"/>
  <c r="C456" i="117"/>
  <c r="C457" i="117" a="1"/>
  <c r="C457" i="117" s="1"/>
  <c r="C458" i="117" a="1"/>
  <c r="C458" i="117"/>
  <c r="C459" i="117" a="1"/>
  <c r="C459" i="117"/>
  <c r="C460" i="117" a="1"/>
  <c r="C460" i="117"/>
  <c r="C461" i="117" a="1"/>
  <c r="C461" i="117"/>
  <c r="C462" i="117" a="1"/>
  <c r="C462" i="117" s="1"/>
  <c r="C463" i="117" a="1"/>
  <c r="C463" i="117"/>
  <c r="C464" i="117" a="1"/>
  <c r="C464" i="117"/>
  <c r="C465" i="117" a="1"/>
  <c r="C465" i="117" s="1"/>
  <c r="C466" i="117" a="1"/>
  <c r="C466" i="117"/>
  <c r="C467" i="117" a="1"/>
  <c r="C467" i="117"/>
  <c r="C468" i="117" a="1"/>
  <c r="C468" i="117"/>
  <c r="C469" i="117" a="1"/>
  <c r="C469" i="117"/>
  <c r="C470" i="117" a="1"/>
  <c r="C470" i="117" s="1"/>
  <c r="C471" i="117" a="1"/>
  <c r="C471" i="117"/>
  <c r="C472" i="117" a="1"/>
  <c r="C472" i="117"/>
  <c r="C473" i="117" a="1"/>
  <c r="C473" i="117"/>
  <c r="C474" i="117" a="1"/>
  <c r="C474" i="117" s="1"/>
  <c r="C475" i="117" a="1"/>
  <c r="C475" i="117"/>
  <c r="C476" i="117" a="1"/>
  <c r="C476" i="117"/>
  <c r="C477" i="117" a="1"/>
  <c r="C477" i="117"/>
  <c r="C478" i="117" a="1"/>
  <c r="C478" i="117"/>
  <c r="C479" i="117" a="1"/>
  <c r="C479" i="117"/>
  <c r="C480" i="117" a="1"/>
  <c r="C480" i="117"/>
  <c r="C481" i="117" a="1"/>
  <c r="C481" i="117"/>
  <c r="C482" i="117" a="1"/>
  <c r="C482" i="117" s="1"/>
  <c r="C483" i="117" a="1"/>
  <c r="C483" i="117"/>
  <c r="C484" i="117" a="1"/>
  <c r="C484" i="117"/>
  <c r="C485" i="117" a="1"/>
  <c r="C485" i="117"/>
  <c r="C486" i="117" a="1"/>
  <c r="C486" i="117" s="1"/>
  <c r="C487" i="117" a="1"/>
  <c r="C487" i="117"/>
  <c r="C488" i="117" a="1"/>
  <c r="C488" i="117"/>
  <c r="C489" i="117" a="1"/>
  <c r="C489" i="117"/>
  <c r="C490" i="117" a="1"/>
  <c r="C490" i="117" s="1"/>
  <c r="C491" i="117" a="1"/>
  <c r="C491" i="117"/>
  <c r="C492" i="117" a="1"/>
  <c r="C492" i="117"/>
  <c r="C493" i="117" a="1"/>
  <c r="C493" i="117"/>
  <c r="C494" i="117" a="1"/>
  <c r="C494" i="117"/>
  <c r="C495" i="117" a="1"/>
  <c r="C495" i="117" s="1"/>
  <c r="C496" i="117" a="1"/>
  <c r="C496" i="117"/>
  <c r="C497" i="117" a="1"/>
  <c r="C497" i="117"/>
  <c r="C498" i="117" a="1"/>
  <c r="C498" i="117" s="1"/>
  <c r="C499" i="117" a="1"/>
  <c r="C499" i="117"/>
  <c r="C500" i="117" a="1"/>
  <c r="C500" i="117"/>
  <c r="C501" i="117" a="1"/>
  <c r="C501" i="117"/>
  <c r="C502" i="117" a="1"/>
  <c r="C502" i="117"/>
  <c r="C503" i="117" a="1"/>
  <c r="C503" i="117"/>
  <c r="C504" i="117" a="1"/>
  <c r="C504" i="117"/>
  <c r="C505" i="117" a="1"/>
  <c r="C505" i="117"/>
  <c r="C506" i="117" a="1"/>
  <c r="C506" i="117"/>
  <c r="C507" i="117" a="1"/>
  <c r="C507" i="117" s="1"/>
  <c r="C508" i="117" a="1"/>
  <c r="C508" i="117"/>
  <c r="C509" i="117" a="1"/>
  <c r="C509" i="117"/>
  <c r="C510" i="117" a="1"/>
  <c r="C510" i="117" s="1"/>
  <c r="C511" i="117" a="1"/>
  <c r="C511" i="117"/>
  <c r="C512" i="117" a="1"/>
  <c r="C512" i="117"/>
  <c r="C513" i="117" a="1"/>
  <c r="C513" i="117"/>
  <c r="C514" i="117" a="1"/>
  <c r="C514" i="117"/>
  <c r="C515" i="117" a="1"/>
  <c r="C515" i="117" s="1"/>
  <c r="C516" i="117" a="1"/>
  <c r="C516" i="117"/>
  <c r="C517" i="117" a="1"/>
  <c r="C517" i="117"/>
  <c r="C518" i="117" a="1"/>
  <c r="C518" i="117"/>
  <c r="C519" i="117" a="1"/>
  <c r="C519" i="117"/>
  <c r="C520" i="117" a="1"/>
  <c r="C520" i="117" s="1"/>
  <c r="C521" i="117" a="1"/>
  <c r="C521" i="117"/>
  <c r="C522" i="117" a="1"/>
  <c r="C522" i="117" s="1"/>
  <c r="C523" i="117" a="1"/>
  <c r="C523" i="117"/>
  <c r="C524" i="117" a="1"/>
  <c r="C524" i="117"/>
  <c r="C525" i="117" a="1"/>
  <c r="C525" i="117"/>
  <c r="C526" i="117" a="1"/>
  <c r="C526" i="117"/>
  <c r="C527" i="117" a="1"/>
  <c r="C527" i="117"/>
  <c r="C528" i="117" a="1"/>
  <c r="C528" i="117"/>
  <c r="C529" i="117" a="1"/>
  <c r="C529" i="117"/>
  <c r="C530" i="117" a="1"/>
  <c r="C530" i="117"/>
  <c r="C531" i="117" a="1"/>
  <c r="C531" i="117"/>
  <c r="C532" i="117" a="1"/>
  <c r="C532" i="117" s="1"/>
  <c r="C533" i="117" a="1"/>
  <c r="C533" i="117"/>
  <c r="C534" i="117" a="1"/>
  <c r="C534" i="117" s="1"/>
  <c r="C535" i="117" a="1"/>
  <c r="C535" i="117"/>
  <c r="C536" i="117" a="1"/>
  <c r="C536" i="117"/>
  <c r="C537" i="117" a="1"/>
  <c r="C537" i="117"/>
  <c r="C538" i="117" a="1"/>
  <c r="C538" i="117"/>
  <c r="C539" i="117" a="1"/>
  <c r="C539" i="117"/>
  <c r="C540" i="117" a="1"/>
  <c r="C540" i="117" s="1"/>
  <c r="C541" i="117" a="1"/>
  <c r="C541" i="117"/>
  <c r="C542" i="117" a="1"/>
  <c r="C542" i="117"/>
  <c r="C543" i="117" a="1"/>
  <c r="C543" i="117"/>
  <c r="C544" i="117" a="1"/>
  <c r="C544" i="117"/>
  <c r="C545" i="117" a="1"/>
  <c r="C545" i="117" s="1"/>
  <c r="C546" i="117" a="1"/>
  <c r="C546" i="117" s="1"/>
  <c r="C547" i="117" a="1"/>
  <c r="C547" i="117"/>
  <c r="C548" i="117" a="1"/>
  <c r="C548" i="117"/>
  <c r="C549" i="117" a="1"/>
  <c r="C549" i="117"/>
  <c r="C550" i="117" a="1"/>
  <c r="C550" i="117"/>
  <c r="C551" i="117" a="1"/>
  <c r="C551" i="117"/>
  <c r="C552" i="117" a="1"/>
  <c r="C552" i="117"/>
  <c r="C553" i="117" a="1"/>
  <c r="C553" i="117"/>
  <c r="C554" i="117" a="1"/>
  <c r="C554" i="117"/>
  <c r="C555" i="117" a="1"/>
  <c r="C555" i="117"/>
  <c r="C556" i="117" a="1"/>
  <c r="C556" i="117"/>
  <c r="C557" i="117" a="1"/>
  <c r="C557" i="117" s="1"/>
  <c r="C558" i="117" a="1"/>
  <c r="C558" i="117" s="1"/>
  <c r="C559" i="117" a="1"/>
  <c r="C559" i="117"/>
  <c r="C560" i="117" a="1"/>
  <c r="C560" i="117"/>
  <c r="C561" i="117" a="1"/>
  <c r="C561" i="117"/>
  <c r="C562" i="117" a="1"/>
  <c r="C562" i="117"/>
  <c r="C563" i="117" a="1"/>
  <c r="C563" i="117"/>
  <c r="C564" i="117" a="1"/>
  <c r="C564" i="117"/>
  <c r="C565" i="117" a="1"/>
  <c r="C565" i="117" s="1"/>
  <c r="C566" i="117" a="1"/>
  <c r="C566" i="117"/>
  <c r="C567" i="117" a="1"/>
  <c r="C567" i="117"/>
  <c r="C568" i="117" a="1"/>
  <c r="C568" i="117"/>
  <c r="C569" i="117" a="1"/>
  <c r="C569" i="117"/>
  <c r="C570" i="117" a="1"/>
  <c r="C570" i="117" s="1"/>
  <c r="C571" i="117" a="1"/>
  <c r="C571" i="117"/>
  <c r="C572" i="117" a="1"/>
  <c r="C572" i="117"/>
  <c r="C573" i="117" a="1"/>
  <c r="C573" i="117"/>
  <c r="C574" i="117" a="1"/>
  <c r="C574" i="117"/>
  <c r="C575" i="117" a="1"/>
  <c r="C575" i="117"/>
  <c r="C576" i="117" a="1"/>
  <c r="C576" i="117"/>
  <c r="C577" i="117" a="1"/>
  <c r="C577" i="117"/>
  <c r="C578" i="117" a="1"/>
  <c r="C578" i="117"/>
  <c r="C579" i="117" a="1"/>
  <c r="C579" i="117"/>
  <c r="C580" i="117" a="1"/>
  <c r="C580" i="117"/>
  <c r="C581" i="117" a="1"/>
  <c r="C581" i="117"/>
  <c r="C582" i="117" a="1"/>
  <c r="C582" i="117" s="1"/>
  <c r="C583" i="117" a="1"/>
  <c r="C583" i="117" s="1"/>
  <c r="C584" i="117" a="1"/>
  <c r="C584" i="117"/>
  <c r="C585" i="117" a="1"/>
  <c r="C585" i="117"/>
  <c r="C586" i="117" a="1"/>
  <c r="C586" i="117"/>
  <c r="C587" i="117" a="1"/>
  <c r="C587" i="117"/>
  <c r="C588" i="117" a="1"/>
  <c r="C588" i="117"/>
  <c r="C589" i="117" a="1"/>
  <c r="C589" i="117"/>
  <c r="C590" i="117" a="1"/>
  <c r="C590" i="117" s="1"/>
  <c r="C591" i="117" a="1"/>
  <c r="C591" i="117"/>
  <c r="C592" i="117" a="1"/>
  <c r="C592" i="117"/>
  <c r="C593" i="117" a="1"/>
  <c r="C593" i="117"/>
  <c r="C594" i="117" a="1"/>
  <c r="C594" i="117" s="1"/>
  <c r="C595" i="117" a="1"/>
  <c r="C595" i="117" s="1"/>
  <c r="C596" i="117" a="1"/>
  <c r="C596" i="117"/>
  <c r="C597" i="117" a="1"/>
  <c r="C597" i="117"/>
  <c r="C598" i="117" a="1"/>
  <c r="C598" i="117"/>
  <c r="C599" i="117" a="1"/>
  <c r="C599" i="117"/>
  <c r="C600" i="117" a="1"/>
  <c r="C600" i="117"/>
  <c r="C601" i="117" a="1"/>
  <c r="C601" i="117"/>
  <c r="C602" i="117" a="1"/>
  <c r="C602" i="117"/>
  <c r="C603" i="117" a="1"/>
  <c r="C603" i="117"/>
  <c r="C604" i="117" a="1"/>
  <c r="C604" i="117"/>
  <c r="C605" i="117" a="1"/>
  <c r="C605" i="117"/>
  <c r="C606" i="117" a="1"/>
  <c r="C606" i="117" s="1"/>
  <c r="C607" i="117" a="1"/>
  <c r="C607" i="117"/>
  <c r="C608" i="117" a="1"/>
  <c r="C608" i="117" s="1"/>
  <c r="C609" i="117" a="1"/>
  <c r="C609" i="117"/>
  <c r="C610" i="117" a="1"/>
  <c r="C610" i="117"/>
  <c r="C611" i="117" a="1"/>
  <c r="C611" i="117"/>
  <c r="C612" i="117" a="1"/>
  <c r="C612" i="117"/>
  <c r="C613" i="117" a="1"/>
  <c r="C613" i="117"/>
  <c r="C614" i="117" a="1"/>
  <c r="C614" i="117"/>
  <c r="C615" i="117" a="1"/>
  <c r="C615" i="117" s="1"/>
  <c r="C616" i="117" a="1"/>
  <c r="C616" i="117"/>
  <c r="C617" i="117" a="1"/>
  <c r="C617" i="117"/>
  <c r="C618" i="117" a="1"/>
  <c r="C618" i="117" s="1"/>
  <c r="C619" i="117" a="1"/>
  <c r="C619" i="117"/>
  <c r="C620" i="117" a="1"/>
  <c r="C620" i="117" s="1"/>
  <c r="C621" i="117" a="1"/>
  <c r="C621" i="117"/>
  <c r="C622" i="117" a="1"/>
  <c r="C622" i="117"/>
  <c r="C623" i="117" a="1"/>
  <c r="C623" i="117"/>
  <c r="C624" i="117" a="1"/>
  <c r="C624" i="117"/>
  <c r="C625" i="117" a="1"/>
  <c r="C625" i="117"/>
  <c r="C626" i="117" a="1"/>
  <c r="C626" i="117"/>
  <c r="C627" i="117" a="1"/>
  <c r="C627" i="117"/>
  <c r="C628" i="117" a="1"/>
  <c r="C628" i="117"/>
  <c r="C629" i="117" a="1"/>
  <c r="C629" i="117"/>
  <c r="C630" i="117" a="1"/>
  <c r="C630" i="117" s="1"/>
  <c r="C631" i="117" a="1"/>
  <c r="C631" i="117"/>
  <c r="C632" i="117" a="1"/>
  <c r="C632" i="117"/>
  <c r="C633" i="117" a="1"/>
  <c r="C633" i="117" s="1"/>
  <c r="C634" i="117" a="1"/>
  <c r="C634" i="117"/>
  <c r="C635" i="117" a="1"/>
  <c r="C635" i="117"/>
  <c r="C636" i="117" a="1"/>
  <c r="C636" i="117"/>
  <c r="C637" i="117" a="1"/>
  <c r="C637" i="117"/>
  <c r="C638" i="117" a="1"/>
  <c r="C638" i="117"/>
  <c r="C639" i="117" a="1"/>
  <c r="C639" i="117"/>
  <c r="C640" i="117" a="1"/>
  <c r="C640" i="117" s="1"/>
  <c r="C641" i="117" a="1"/>
  <c r="C641" i="117"/>
  <c r="C642" i="117" a="1"/>
  <c r="C642" i="117" s="1"/>
  <c r="C643" i="117" a="1"/>
  <c r="C643" i="117"/>
  <c r="C644" i="117" a="1"/>
  <c r="C644" i="117"/>
  <c r="C645" i="117" a="1"/>
  <c r="C645" i="117" s="1"/>
  <c r="C646" i="117" a="1"/>
  <c r="C646" i="117"/>
  <c r="C647" i="117" a="1"/>
  <c r="C647" i="117"/>
  <c r="C648" i="117" a="1"/>
  <c r="C648" i="117"/>
  <c r="C649" i="117" a="1"/>
  <c r="C649" i="117"/>
  <c r="C650" i="117" a="1"/>
  <c r="C650" i="117"/>
  <c r="C651" i="117" a="1"/>
  <c r="C651" i="117"/>
  <c r="C652" i="117" a="1"/>
  <c r="C652" i="117"/>
  <c r="C653" i="117" a="1"/>
  <c r="C653" i="117"/>
  <c r="C654" i="117" a="1"/>
  <c r="C654" i="117" s="1"/>
  <c r="C655" i="117" a="1"/>
  <c r="C655" i="117"/>
  <c r="C656" i="117" a="1"/>
  <c r="C656" i="117"/>
  <c r="C657" i="117" a="1"/>
  <c r="C657" i="117"/>
  <c r="C658" i="117" a="1"/>
  <c r="C658" i="117" s="1"/>
  <c r="C659" i="117" a="1"/>
  <c r="C659" i="117"/>
  <c r="C660" i="117" a="1"/>
  <c r="C660" i="117"/>
  <c r="C661" i="117" a="1"/>
  <c r="C661" i="117"/>
  <c r="C662" i="117" a="1"/>
  <c r="C662" i="117"/>
  <c r="C663" i="117" a="1"/>
  <c r="C663" i="117"/>
  <c r="C664" i="117" a="1"/>
  <c r="C664" i="117"/>
  <c r="C665" i="117" a="1"/>
  <c r="C665" i="117" s="1"/>
  <c r="C666" i="117" a="1"/>
  <c r="C666" i="117" s="1"/>
  <c r="C667" i="117" a="1"/>
  <c r="C667" i="117"/>
  <c r="C668" i="117" a="1"/>
  <c r="C668" i="117"/>
  <c r="C669" i="117" a="1"/>
  <c r="C669" i="117"/>
  <c r="C670" i="117" a="1"/>
  <c r="C670" i="117" s="1"/>
  <c r="C671" i="117" a="1"/>
  <c r="C671" i="117"/>
  <c r="C672" i="117" a="1"/>
  <c r="C672" i="117"/>
  <c r="C673" i="117" a="1"/>
  <c r="C673" i="117"/>
  <c r="C674" i="117" a="1"/>
  <c r="C674" i="117"/>
  <c r="C675" i="117" a="1"/>
  <c r="C675" i="117"/>
  <c r="C676" i="117" a="1"/>
  <c r="C676" i="117"/>
  <c r="C677" i="117" a="1"/>
  <c r="C677" i="117"/>
  <c r="C678" i="117" a="1"/>
  <c r="C678" i="117" s="1"/>
  <c r="C679" i="117" a="1"/>
  <c r="C679" i="117"/>
  <c r="C680" i="117" a="1"/>
  <c r="C680" i="117"/>
  <c r="C681" i="117" a="1"/>
  <c r="C681" i="117"/>
  <c r="C682" i="117" a="1"/>
  <c r="C682" i="117"/>
  <c r="C683" i="117" a="1"/>
  <c r="C683" i="117" s="1"/>
  <c r="C684" i="117" a="1"/>
  <c r="C684" i="117"/>
  <c r="C685" i="117" a="1"/>
  <c r="C685" i="117"/>
  <c r="C686" i="117" a="1"/>
  <c r="C686" i="117"/>
  <c r="C687" i="117" a="1"/>
  <c r="C687" i="117"/>
  <c r="C688" i="117" a="1"/>
  <c r="C688" i="117"/>
  <c r="C689" i="117" a="1"/>
  <c r="C689" i="117"/>
  <c r="C690" i="117" a="1"/>
  <c r="C690" i="117" s="1"/>
  <c r="C691" i="117" a="1"/>
  <c r="C691" i="117"/>
  <c r="C692" i="117" a="1"/>
  <c r="C692" i="117"/>
  <c r="C693" i="117" a="1"/>
  <c r="C693" i="117"/>
  <c r="C694" i="117" a="1"/>
  <c r="C694" i="117"/>
  <c r="C695" i="117" a="1"/>
  <c r="C695" i="117" s="1"/>
  <c r="C696" i="117" a="1"/>
  <c r="C696" i="117"/>
  <c r="C697" i="117" a="1"/>
  <c r="C697" i="117"/>
  <c r="C698" i="117" a="1"/>
  <c r="C698" i="117"/>
  <c r="C699" i="117" a="1"/>
  <c r="C699" i="117"/>
  <c r="C700" i="117" a="1"/>
  <c r="C700" i="117"/>
  <c r="C701" i="117" a="1"/>
  <c r="C701" i="117"/>
  <c r="C702" i="117" a="1"/>
  <c r="C702" i="117" s="1"/>
  <c r="C703" i="117" a="1"/>
  <c r="C703" i="117" s="1"/>
  <c r="C704" i="117" a="1"/>
  <c r="C704" i="117"/>
  <c r="C705" i="117" a="1"/>
  <c r="C705" i="117"/>
  <c r="C706" i="117" a="1"/>
  <c r="C706" i="117"/>
  <c r="C707" i="117" a="1"/>
  <c r="C707" i="117"/>
  <c r="C708" i="117" a="1"/>
  <c r="C708" i="117" s="1"/>
  <c r="C709" i="117" a="1"/>
  <c r="C709" i="117"/>
  <c r="C710" i="117" a="1"/>
  <c r="C710" i="117"/>
  <c r="C711" i="117" a="1"/>
  <c r="C711" i="117"/>
  <c r="C712" i="117" a="1"/>
  <c r="C712" i="117"/>
  <c r="C713" i="117" a="1"/>
  <c r="C713" i="117"/>
  <c r="C714" i="117" a="1"/>
  <c r="C714" i="117" s="1"/>
  <c r="C715" i="117" a="1"/>
  <c r="C715" i="117"/>
  <c r="C716" i="117" a="1"/>
  <c r="C716" i="117"/>
  <c r="C717" i="117" a="1"/>
  <c r="C717" i="117"/>
  <c r="C718" i="117" a="1"/>
  <c r="C718" i="117"/>
  <c r="C719" i="117" a="1"/>
  <c r="C719" i="117"/>
  <c r="C720" i="117" a="1"/>
  <c r="C720" i="117" s="1"/>
  <c r="C721" i="117" a="1"/>
  <c r="C721" i="117"/>
  <c r="C722" i="117" a="1"/>
  <c r="C722" i="117"/>
  <c r="C723" i="117" a="1"/>
  <c r="C723" i="117"/>
  <c r="C724" i="117" a="1"/>
  <c r="C724" i="117"/>
  <c r="C725" i="117" a="1"/>
  <c r="C725" i="117"/>
  <c r="C726" i="117" a="1"/>
  <c r="C726" i="117" s="1"/>
  <c r="C727" i="117" a="1"/>
  <c r="C727" i="117"/>
  <c r="C728" i="117" a="1"/>
  <c r="C728" i="117" s="1"/>
  <c r="C729" i="117" a="1"/>
  <c r="C729" i="117"/>
  <c r="C730" i="117" a="1"/>
  <c r="C730" i="117"/>
  <c r="C731" i="117" a="1"/>
  <c r="C731" i="117"/>
  <c r="C732" i="117" a="1"/>
  <c r="C732" i="117"/>
  <c r="C733" i="117" a="1"/>
  <c r="C733" i="117" s="1"/>
  <c r="C734" i="117" a="1"/>
  <c r="C734" i="117"/>
  <c r="C735" i="117" a="1"/>
  <c r="C735" i="117"/>
  <c r="C736" i="117" a="1"/>
  <c r="C736" i="117"/>
  <c r="C737" i="117" a="1"/>
  <c r="C737" i="117"/>
  <c r="C738" i="117" a="1"/>
  <c r="C738" i="117" s="1"/>
  <c r="C739" i="117" a="1"/>
  <c r="C739" i="117"/>
  <c r="C740" i="117" a="1"/>
  <c r="C740" i="117"/>
  <c r="C741" i="117" a="1"/>
  <c r="C741" i="117"/>
  <c r="C742" i="117" a="1"/>
  <c r="C742" i="117"/>
  <c r="C743" i="117" a="1"/>
  <c r="C743" i="117"/>
  <c r="C744" i="117" a="1"/>
  <c r="C744" i="117"/>
  <c r="C745" i="117" a="1"/>
  <c r="C745" i="117" s="1"/>
  <c r="C746" i="117" a="1"/>
  <c r="C746" i="117"/>
  <c r="C747" i="117" a="1"/>
  <c r="C747" i="117"/>
  <c r="C748" i="117" a="1"/>
  <c r="C748" i="117"/>
  <c r="C749" i="117" a="1"/>
  <c r="C749" i="117"/>
  <c r="C750" i="117" a="1"/>
  <c r="C750" i="117" s="1"/>
  <c r="C751" i="117" a="1"/>
  <c r="C751" i="117"/>
  <c r="C752" i="117" a="1"/>
  <c r="C752" i="117"/>
  <c r="C753" i="117" a="1"/>
  <c r="C753" i="117" s="1"/>
  <c r="C754" i="117" a="1"/>
  <c r="C754" i="117"/>
  <c r="C755" i="117" a="1"/>
  <c r="C755" i="117"/>
  <c r="C756" i="117" a="1"/>
  <c r="C756" i="117"/>
  <c r="C757" i="117" a="1"/>
  <c r="C757" i="117"/>
  <c r="C758" i="117" a="1"/>
  <c r="C758" i="117" s="1"/>
  <c r="C759" i="117" a="1"/>
  <c r="C759" i="117"/>
  <c r="C760" i="117" a="1"/>
  <c r="C760" i="117"/>
  <c r="C761" i="117" a="1"/>
  <c r="C761" i="117"/>
  <c r="C762" i="117" a="1"/>
  <c r="C762" i="117" s="1"/>
  <c r="C763" i="117" a="1"/>
  <c r="C763" i="117"/>
  <c r="C764" i="117" a="1"/>
  <c r="C764" i="117"/>
  <c r="C765" i="117" a="1"/>
  <c r="C765" i="117"/>
  <c r="C766" i="117" a="1"/>
  <c r="C766" i="117"/>
  <c r="C767" i="117" a="1"/>
  <c r="C767" i="117"/>
  <c r="C768" i="117" a="1"/>
  <c r="C768" i="117"/>
  <c r="C769" i="117" a="1"/>
  <c r="C769" i="117"/>
  <c r="C770" i="117" a="1"/>
  <c r="C770" i="117" s="1"/>
  <c r="C771" i="117" a="1"/>
  <c r="C771" i="117"/>
  <c r="C772" i="117" a="1"/>
  <c r="C772" i="117"/>
  <c r="C773" i="117" a="1"/>
  <c r="C773" i="117"/>
  <c r="C774" i="117" a="1"/>
  <c r="C774" i="117" s="1"/>
  <c r="C775" i="117" a="1"/>
  <c r="C775" i="117"/>
  <c r="C776" i="117" a="1"/>
  <c r="C776" i="117"/>
  <c r="C777" i="117" a="1"/>
  <c r="C777" i="117"/>
  <c r="C778" i="117" a="1"/>
  <c r="C778" i="117" s="1"/>
  <c r="C779" i="117" a="1"/>
  <c r="C779" i="117"/>
  <c r="C780" i="117" a="1"/>
  <c r="C780" i="117"/>
  <c r="C781" i="117" a="1"/>
  <c r="C781" i="117"/>
  <c r="C782" i="117" a="1"/>
  <c r="C782" i="117"/>
  <c r="C783" i="117" a="1"/>
  <c r="C783" i="117" s="1"/>
  <c r="C784" i="117" a="1"/>
  <c r="C784" i="117"/>
  <c r="C785" i="117" a="1"/>
  <c r="C785" i="117"/>
  <c r="C786" i="117" a="1"/>
  <c r="C786" i="117" s="1"/>
  <c r="C787" i="117" a="1"/>
  <c r="C787" i="117"/>
  <c r="C788" i="117" a="1"/>
  <c r="C788" i="117"/>
  <c r="C789" i="117" a="1"/>
  <c r="C789" i="117"/>
  <c r="C790" i="117" a="1"/>
  <c r="C790" i="117"/>
  <c r="C791" i="117" a="1"/>
  <c r="C791" i="117"/>
  <c r="C792" i="117" a="1"/>
  <c r="C792" i="117"/>
  <c r="C793" i="117" a="1"/>
  <c r="C793" i="117"/>
  <c r="C794" i="117" a="1"/>
  <c r="C794" i="117"/>
  <c r="C795" i="117" a="1"/>
  <c r="C795" i="117" s="1"/>
  <c r="C796" i="117" a="1"/>
  <c r="C796" i="117"/>
  <c r="C797" i="117" a="1"/>
  <c r="C797" i="117"/>
  <c r="C798" i="117" a="1"/>
  <c r="C798" i="117" s="1"/>
  <c r="C799" i="117" a="1"/>
  <c r="C799" i="117"/>
  <c r="C800" i="117" a="1"/>
  <c r="C800" i="117"/>
  <c r="C801" i="117" a="1"/>
  <c r="C801" i="117"/>
  <c r="C802" i="117" a="1"/>
  <c r="C802" i="117"/>
  <c r="C803" i="117" a="1"/>
  <c r="C803" i="117" s="1"/>
  <c r="C804" i="117" a="1"/>
  <c r="C804" i="117"/>
  <c r="C805" i="117" a="1"/>
  <c r="C805" i="117"/>
  <c r="C806" i="117" a="1"/>
  <c r="C806" i="117"/>
  <c r="C807" i="117" a="1"/>
  <c r="C807" i="117"/>
  <c r="C808" i="117" a="1"/>
  <c r="C808" i="117" s="1"/>
  <c r="C809" i="117" a="1"/>
  <c r="C809" i="117"/>
  <c r="C810" i="117" a="1"/>
  <c r="C810" i="117" s="1"/>
  <c r="C811" i="117" a="1"/>
  <c r="C811" i="117"/>
  <c r="C812" i="117" a="1"/>
  <c r="C812" i="117"/>
  <c r="C813" i="117" a="1"/>
  <c r="C813" i="117"/>
  <c r="C814" i="117" a="1"/>
  <c r="C814" i="117"/>
  <c r="C815" i="117" a="1"/>
  <c r="C815" i="117"/>
  <c r="C816" i="117" a="1"/>
  <c r="C816" i="117"/>
  <c r="C817" i="117" a="1"/>
  <c r="C817" i="117"/>
  <c r="C818" i="117" a="1"/>
  <c r="C818" i="117"/>
  <c r="C819" i="117" a="1"/>
  <c r="C819" i="117"/>
  <c r="C820" i="117" a="1"/>
  <c r="C820" i="117" s="1"/>
  <c r="C821" i="117" a="1"/>
  <c r="C821" i="117"/>
  <c r="C822" i="117" a="1"/>
  <c r="C822" i="117" s="1"/>
  <c r="C823" i="117" a="1"/>
  <c r="C823" i="117"/>
  <c r="C824" i="117" a="1"/>
  <c r="C824" i="117"/>
  <c r="C825" i="117" a="1"/>
  <c r="C825" i="117"/>
  <c r="C826" i="117" a="1"/>
  <c r="C826" i="117"/>
  <c r="C827" i="117" a="1"/>
  <c r="C827" i="117"/>
  <c r="C828" i="117" a="1"/>
  <c r="C828" i="117" s="1"/>
  <c r="C829" i="117" a="1"/>
  <c r="C829" i="117"/>
  <c r="C830" i="117" a="1"/>
  <c r="C830" i="117"/>
  <c r="C831" i="117" a="1"/>
  <c r="C831" i="117"/>
  <c r="C832" i="117" a="1"/>
  <c r="C832" i="117"/>
  <c r="C833" i="117" a="1"/>
  <c r="C833" i="117" s="1"/>
  <c r="C834" i="117" a="1"/>
  <c r="C834" i="117" s="1"/>
  <c r="C835" i="117" a="1"/>
  <c r="C835" i="117"/>
  <c r="C836" i="117" a="1"/>
  <c r="C836" i="117"/>
  <c r="C837" i="117" a="1"/>
  <c r="C837" i="117"/>
  <c r="C838" i="117" a="1"/>
  <c r="C838" i="117"/>
  <c r="C839" i="117" a="1"/>
  <c r="C839" i="117"/>
  <c r="C840" i="117" a="1"/>
  <c r="C840" i="117"/>
  <c r="C841" i="117" a="1"/>
  <c r="C841" i="117"/>
  <c r="C842" i="117" a="1"/>
  <c r="C842" i="117"/>
  <c r="C843" i="117" a="1"/>
  <c r="C843" i="117"/>
  <c r="C844" i="117" a="1"/>
  <c r="C844" i="117"/>
  <c r="C845" i="117" a="1"/>
  <c r="C845" i="117" s="1"/>
  <c r="C846" i="117" a="1"/>
  <c r="C846" i="117" s="1"/>
  <c r="C847" i="117" a="1"/>
  <c r="C847" i="117"/>
  <c r="C848" i="117" a="1"/>
  <c r="C848" i="117"/>
  <c r="C849" i="117" a="1"/>
  <c r="C849" i="117"/>
  <c r="C850" i="117" a="1"/>
  <c r="C850" i="117"/>
  <c r="C851" i="117" a="1"/>
  <c r="C851" i="117"/>
  <c r="C852" i="117" a="1"/>
  <c r="C852" i="117"/>
  <c r="C853" i="117" a="1"/>
  <c r="C853" i="117" s="1"/>
  <c r="C854" i="117" a="1"/>
  <c r="C854" i="117"/>
  <c r="C855" i="117" a="1"/>
  <c r="C855" i="117"/>
  <c r="C856" i="117" a="1"/>
  <c r="C856" i="117"/>
  <c r="C857" i="117" a="1"/>
  <c r="C857" i="117"/>
  <c r="C858" i="117" a="1"/>
  <c r="C858" i="117" s="1"/>
  <c r="C859" i="117" a="1"/>
  <c r="C859" i="117"/>
  <c r="C860" i="117" a="1"/>
  <c r="C860" i="117"/>
  <c r="C861" i="117" a="1"/>
  <c r="C861" i="117"/>
  <c r="C862" i="117" a="1"/>
  <c r="C862" i="117"/>
  <c r="C863" i="117" a="1"/>
  <c r="C863" i="117"/>
  <c r="C864" i="117" a="1"/>
  <c r="C864" i="117"/>
  <c r="C865" i="117" a="1"/>
  <c r="C865" i="117"/>
  <c r="C866" i="117" a="1"/>
  <c r="C866" i="117"/>
  <c r="C867" i="117" a="1"/>
  <c r="C867" i="117"/>
  <c r="C868" i="117" a="1"/>
  <c r="C868" i="117"/>
  <c r="C869" i="117" a="1"/>
  <c r="C869" i="117"/>
  <c r="C870" i="117" a="1"/>
  <c r="C870" i="117" s="1"/>
  <c r="C871" i="117" a="1"/>
  <c r="C871" i="117" s="1"/>
  <c r="C872" i="117" a="1"/>
  <c r="C872" i="117"/>
  <c r="C873" i="117" a="1"/>
  <c r="C873" i="117"/>
  <c r="C874" i="117" a="1"/>
  <c r="C874" i="117"/>
  <c r="C875" i="117" a="1"/>
  <c r="C875" i="117"/>
  <c r="C876" i="117" a="1"/>
  <c r="C876" i="117"/>
  <c r="C877" i="117" a="1"/>
  <c r="C877" i="117"/>
  <c r="C878" i="117" a="1"/>
  <c r="C878" i="117" s="1"/>
  <c r="C879" i="117" a="1"/>
  <c r="C879" i="117"/>
  <c r="C880" i="117" a="1"/>
  <c r="C880" i="117"/>
  <c r="C881" i="117" a="1"/>
  <c r="C881" i="117"/>
  <c r="C882" i="117" a="1"/>
  <c r="C882" i="117" s="1"/>
  <c r="C883" i="117" a="1"/>
  <c r="C883" i="117" s="1"/>
  <c r="C884" i="117" a="1"/>
  <c r="C884" i="117"/>
  <c r="C885" i="117" a="1"/>
  <c r="C885" i="117"/>
  <c r="C886" i="117" a="1"/>
  <c r="C886" i="117"/>
  <c r="C887" i="117" a="1"/>
  <c r="C887" i="117"/>
  <c r="C888" i="117" a="1"/>
  <c r="C888" i="117"/>
  <c r="C889" i="117" a="1"/>
  <c r="C889" i="117"/>
  <c r="C890" i="117" a="1"/>
  <c r="C890" i="117"/>
  <c r="C891" i="117" a="1"/>
  <c r="C891" i="117"/>
  <c r="C892" i="117" a="1"/>
  <c r="C892" i="117"/>
  <c r="C893" i="117" a="1"/>
  <c r="C893" i="117"/>
  <c r="C894" i="117" a="1"/>
  <c r="C894" i="117" s="1"/>
  <c r="C895" i="117" a="1"/>
  <c r="C895" i="117"/>
  <c r="C896" i="117" a="1"/>
  <c r="C896" i="117" s="1"/>
  <c r="C897" i="117" a="1"/>
  <c r="C897" i="117"/>
  <c r="C898" i="117" a="1"/>
  <c r="C898" i="117"/>
  <c r="C899" i="117" a="1"/>
  <c r="C899" i="117"/>
  <c r="C900" i="117" a="1"/>
  <c r="C900" i="117"/>
  <c r="C901" i="117" a="1"/>
  <c r="C901" i="117"/>
  <c r="C902" i="117" a="1"/>
  <c r="C902" i="117"/>
  <c r="C903" i="117" a="1"/>
  <c r="C903" i="117" s="1"/>
  <c r="C904" i="117" a="1"/>
  <c r="C904" i="117"/>
  <c r="C905" i="117" a="1"/>
  <c r="C905" i="117"/>
  <c r="C906" i="117" a="1"/>
  <c r="C906" i="117" s="1"/>
  <c r="C907" i="117" a="1"/>
  <c r="C907" i="117"/>
  <c r="C908" i="117" a="1"/>
  <c r="C908" i="117" s="1"/>
  <c r="C909" i="117" a="1"/>
  <c r="C909" i="117"/>
  <c r="C910" i="117" a="1"/>
  <c r="C910" i="117"/>
  <c r="C911" i="117" a="1"/>
  <c r="C911" i="117"/>
  <c r="C912" i="117" a="1"/>
  <c r="C912" i="117"/>
  <c r="C913" i="117" a="1"/>
  <c r="C913" i="117"/>
  <c r="C914" i="117" a="1"/>
  <c r="C914" i="117"/>
  <c r="C915" i="117" a="1"/>
  <c r="C915" i="117"/>
  <c r="C916" i="117" a="1"/>
  <c r="C916" i="117"/>
  <c r="C917" i="117" a="1"/>
  <c r="C917" i="117"/>
  <c r="C918" i="117" a="1"/>
  <c r="C918" i="117" s="1"/>
  <c r="C919" i="117" a="1"/>
  <c r="C919" i="117"/>
  <c r="C920" i="117" a="1"/>
  <c r="C920" i="117"/>
  <c r="C921" i="117" a="1"/>
  <c r="C921" i="117" s="1"/>
  <c r="C922" i="117" a="1"/>
  <c r="C922" i="117"/>
  <c r="C923" i="117" a="1"/>
  <c r="C923" i="117"/>
  <c r="C924" i="117" a="1"/>
  <c r="C924" i="117"/>
  <c r="C925" i="117" a="1"/>
  <c r="C925" i="117"/>
  <c r="C926" i="117" a="1"/>
  <c r="C926" i="117"/>
  <c r="C927" i="117" a="1"/>
  <c r="C927" i="117"/>
  <c r="C928" i="117" a="1"/>
  <c r="C928" i="117" s="1"/>
  <c r="C929" i="117" a="1"/>
  <c r="C929" i="117"/>
  <c r="C930" i="117" a="1"/>
  <c r="C930" i="117" s="1"/>
  <c r="C931" i="117" a="1"/>
  <c r="C931" i="117"/>
  <c r="C932" i="117" a="1"/>
  <c r="C932" i="117"/>
  <c r="C933" i="117" a="1"/>
  <c r="C933" i="117" s="1"/>
  <c r="C934" i="117" a="1"/>
  <c r="C934" i="117"/>
  <c r="C935" i="117" a="1"/>
  <c r="C935" i="117"/>
  <c r="C936" i="117" a="1"/>
  <c r="C936" i="117"/>
  <c r="C937" i="117" a="1"/>
  <c r="C937" i="117"/>
  <c r="C938" i="117" a="1"/>
  <c r="C938" i="117"/>
  <c r="C939" i="117" a="1"/>
  <c r="C939" i="117"/>
  <c r="C940" i="117" a="1"/>
  <c r="C940" i="117"/>
  <c r="C941" i="117" a="1"/>
  <c r="C941" i="117"/>
  <c r="C942" i="117" a="1"/>
  <c r="C942" i="117" s="1"/>
  <c r="C943" i="117" a="1"/>
  <c r="C943" i="117"/>
  <c r="C944" i="117" a="1"/>
  <c r="C944" i="117"/>
  <c r="C945" i="117" a="1"/>
  <c r="C945" i="117"/>
  <c r="C946" i="117" a="1"/>
  <c r="C946" i="117" s="1"/>
  <c r="C947" i="117" a="1"/>
  <c r="C947" i="117"/>
  <c r="C948" i="117" a="1"/>
  <c r="C948" i="117"/>
  <c r="C949" i="117" a="1"/>
  <c r="C949" i="117"/>
  <c r="C950" i="117" a="1"/>
  <c r="C950" i="117"/>
  <c r="C951" i="117" a="1"/>
  <c r="C951" i="117"/>
  <c r="C952" i="117" a="1"/>
  <c r="C952" i="117"/>
  <c r="C953" i="117" a="1"/>
  <c r="C953" i="117" s="1"/>
  <c r="C954" i="117" a="1"/>
  <c r="C954" i="117" s="1"/>
  <c r="C955" i="117" a="1"/>
  <c r="C955" i="117"/>
  <c r="C956" i="117" a="1"/>
  <c r="C956" i="117"/>
  <c r="C957" i="117" a="1"/>
  <c r="C957" i="117"/>
  <c r="C958" i="117" a="1"/>
  <c r="C958" i="117" s="1"/>
  <c r="C959" i="117" a="1"/>
  <c r="C959" i="117"/>
  <c r="C960" i="117" a="1"/>
  <c r="C960" i="117"/>
  <c r="C961" i="117" a="1"/>
  <c r="C961" i="117"/>
  <c r="C962" i="117" a="1"/>
  <c r="C962" i="117"/>
  <c r="C963" i="117" a="1"/>
  <c r="C963" i="117"/>
  <c r="C964" i="117" a="1"/>
  <c r="C964" i="117"/>
  <c r="C965" i="117" a="1"/>
  <c r="C965" i="117"/>
  <c r="C966" i="117" a="1"/>
  <c r="C966" i="117" s="1"/>
  <c r="C967" i="117" a="1"/>
  <c r="C967" i="117"/>
  <c r="C968" i="117" a="1"/>
  <c r="C968" i="117"/>
  <c r="C969" i="117" a="1"/>
  <c r="C969" i="117"/>
  <c r="C970" i="117" a="1"/>
  <c r="C970" i="117"/>
  <c r="C971" i="117" a="1"/>
  <c r="C971" i="117" s="1"/>
  <c r="C972" i="117" a="1"/>
  <c r="C972" i="117"/>
  <c r="C973" i="117" a="1"/>
  <c r="C973" i="117"/>
  <c r="C974" i="117" a="1"/>
  <c r="C974" i="117"/>
  <c r="C975" i="117" a="1"/>
  <c r="C975" i="117"/>
  <c r="C976" i="117" a="1"/>
  <c r="C976" i="117"/>
  <c r="C977" i="117" a="1"/>
  <c r="C977" i="117"/>
  <c r="C978" i="117" a="1"/>
  <c r="C978" i="117" s="1"/>
  <c r="C979" i="117" a="1"/>
  <c r="C979" i="117"/>
  <c r="C980" i="117" a="1"/>
  <c r="C980" i="117"/>
  <c r="C981" i="117" a="1"/>
  <c r="C981" i="117"/>
  <c r="C982" i="117" a="1"/>
  <c r="C982" i="117"/>
  <c r="C983" i="117" a="1"/>
  <c r="C983" i="117" s="1"/>
  <c r="C984" i="117" a="1"/>
  <c r="C984" i="117"/>
  <c r="C985" i="117" a="1"/>
  <c r="C985" i="117"/>
  <c r="C986" i="117" a="1"/>
  <c r="C986" i="117"/>
  <c r="C987" i="117" a="1"/>
  <c r="C987" i="117"/>
  <c r="C988" i="117" a="1"/>
  <c r="C988" i="117"/>
  <c r="C989" i="117" a="1"/>
  <c r="C989" i="117"/>
  <c r="C990" i="117" a="1"/>
  <c r="C990" i="117" s="1"/>
  <c r="C991" i="117" a="1"/>
  <c r="C991" i="117" s="1"/>
  <c r="C992" i="117" a="1"/>
  <c r="C992" i="117"/>
  <c r="C993" i="117" a="1"/>
  <c r="C993" i="117"/>
  <c r="C994" i="117" a="1"/>
  <c r="C994" i="117"/>
  <c r="C995" i="117" a="1"/>
  <c r="C995" i="117"/>
  <c r="C996" i="117" a="1"/>
  <c r="C996" i="117" s="1"/>
  <c r="C997" i="117" a="1"/>
  <c r="C997" i="117"/>
  <c r="C998" i="117" a="1"/>
  <c r="C998" i="117"/>
  <c r="C999" i="117" a="1"/>
  <c r="C999" i="117"/>
  <c r="C1000" i="117" a="1"/>
  <c r="C1000" i="117"/>
  <c r="C1001" i="117" a="1"/>
  <c r="C1001" i="117"/>
  <c r="C1002" i="117" a="1"/>
  <c r="C1002" i="117" s="1"/>
  <c r="C1003" i="117" a="1"/>
  <c r="C1003" i="117"/>
  <c r="C1004" i="117" a="1"/>
  <c r="C1004" i="117"/>
  <c r="C1005" i="117" a="1"/>
  <c r="C1005" i="117"/>
  <c r="C1006" i="117" a="1"/>
  <c r="C1006" i="117"/>
  <c r="C1007" i="117" a="1"/>
  <c r="C1007" i="117"/>
  <c r="C1008" i="117" a="1"/>
  <c r="C1008" i="117" s="1"/>
  <c r="C1009" i="117" a="1"/>
  <c r="C1009" i="117"/>
  <c r="C1010" i="117" a="1"/>
  <c r="C1010" i="117"/>
  <c r="C1011" i="117" a="1"/>
  <c r="C1011" i="117"/>
  <c r="C1012" i="117" a="1"/>
  <c r="C1012" i="117"/>
  <c r="C1013" i="117" a="1"/>
  <c r="C1013" i="117"/>
  <c r="C1014" i="117" a="1"/>
  <c r="C1014" i="117" s="1"/>
  <c r="C1015" i="117" a="1"/>
  <c r="C1015" i="117"/>
  <c r="C1016" i="117" a="1"/>
  <c r="C1016" i="117" s="1"/>
  <c r="C1017" i="117" a="1"/>
  <c r="C1017" i="117"/>
  <c r="C1018" i="117" a="1"/>
  <c r="C1018" i="117"/>
  <c r="C1019" i="117" a="1"/>
  <c r="C1019" i="117"/>
  <c r="C1020" i="117" a="1"/>
  <c r="C1020" i="117"/>
  <c r="C1021" i="117" a="1"/>
  <c r="C1021" i="117" s="1"/>
  <c r="C1022" i="117" a="1"/>
  <c r="C1022" i="117"/>
  <c r="C1023" i="117" a="1"/>
  <c r="C1023" i="117"/>
  <c r="C1024" i="117" a="1"/>
  <c r="C1024" i="117"/>
  <c r="C1025" i="117" a="1"/>
  <c r="C1025" i="117"/>
  <c r="C1" i="117" a="1"/>
  <c r="C1" i="117" s="1"/>
  <c r="B1" i="117"/>
  <c r="B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B33" i="117"/>
  <c r="B34" i="117"/>
  <c r="B35" i="117"/>
  <c r="B36" i="117"/>
  <c r="B37" i="117"/>
  <c r="B38" i="117"/>
  <c r="B39" i="117"/>
  <c r="B40" i="117"/>
  <c r="B41" i="117"/>
  <c r="B42" i="117"/>
  <c r="B43" i="117"/>
  <c r="B44" i="117"/>
  <c r="B45" i="117"/>
  <c r="B46" i="117"/>
  <c r="B47" i="117"/>
  <c r="B48" i="117"/>
  <c r="B49" i="117"/>
  <c r="B50" i="117"/>
  <c r="B51" i="117"/>
  <c r="B52" i="117"/>
  <c r="B53" i="117"/>
  <c r="B54" i="117"/>
  <c r="B55" i="117"/>
  <c r="B56" i="117"/>
  <c r="B57" i="117"/>
  <c r="B58" i="117"/>
  <c r="B59" i="117"/>
  <c r="B60" i="117"/>
  <c r="B61" i="117"/>
  <c r="B62" i="117"/>
  <c r="B63" i="117"/>
  <c r="B64" i="117"/>
  <c r="B65" i="117"/>
  <c r="B66" i="117"/>
  <c r="B67" i="117"/>
  <c r="B68" i="117"/>
  <c r="B69" i="117"/>
  <c r="B70" i="117"/>
  <c r="B71" i="117"/>
  <c r="B72" i="117"/>
  <c r="B73" i="117"/>
  <c r="B74" i="117"/>
  <c r="B75" i="117"/>
  <c r="B76" i="117"/>
  <c r="B77" i="117"/>
  <c r="B78" i="117"/>
  <c r="B79" i="117"/>
  <c r="B80" i="117"/>
  <c r="B81" i="117"/>
  <c r="B82" i="117"/>
  <c r="B83" i="117"/>
  <c r="B84" i="117"/>
  <c r="B85" i="117"/>
  <c r="B86" i="117"/>
  <c r="B87" i="117"/>
  <c r="B88" i="117"/>
  <c r="B89" i="117"/>
  <c r="B90" i="117"/>
  <c r="B91" i="117"/>
  <c r="B92" i="117"/>
  <c r="B93" i="117"/>
  <c r="B94" i="117"/>
  <c r="B95" i="117"/>
  <c r="B96" i="117"/>
  <c r="B97" i="117"/>
  <c r="B98" i="117"/>
  <c r="B99" i="117"/>
  <c r="B100" i="117"/>
  <c r="B101" i="117"/>
  <c r="B102" i="117"/>
  <c r="B103" i="117"/>
  <c r="B104" i="117"/>
  <c r="B105" i="117"/>
  <c r="B106" i="117"/>
  <c r="B107" i="117"/>
  <c r="B108" i="117"/>
  <c r="B109" i="117"/>
  <c r="B110" i="117"/>
  <c r="B111" i="117"/>
  <c r="B112" i="117"/>
  <c r="B113" i="117"/>
  <c r="B114" i="117"/>
  <c r="B115" i="117"/>
  <c r="B116" i="117"/>
  <c r="B117" i="117"/>
  <c r="B118" i="117"/>
  <c r="B119" i="117"/>
  <c r="B120" i="117"/>
  <c r="B121" i="117"/>
  <c r="B122" i="117"/>
  <c r="B123" i="117"/>
  <c r="B124" i="117"/>
  <c r="B125" i="117"/>
  <c r="B126" i="117"/>
  <c r="B127" i="117"/>
  <c r="B128" i="117"/>
  <c r="B129" i="117"/>
  <c r="B130" i="117"/>
  <c r="B131" i="117"/>
  <c r="B132" i="117"/>
  <c r="B133" i="117"/>
  <c r="B134" i="117"/>
  <c r="B135" i="117"/>
  <c r="B136" i="117"/>
  <c r="B137" i="117"/>
  <c r="B138" i="117"/>
  <c r="B139" i="117"/>
  <c r="B140" i="117"/>
  <c r="B141" i="117"/>
  <c r="B142" i="117"/>
  <c r="B143" i="117"/>
  <c r="B144" i="117"/>
  <c r="B145" i="117"/>
  <c r="B146" i="117"/>
  <c r="B147" i="117"/>
  <c r="B148" i="117"/>
  <c r="B149" i="117"/>
  <c r="B150" i="117"/>
  <c r="B151" i="117"/>
  <c r="B152" i="117"/>
  <c r="B153" i="117"/>
  <c r="B154" i="117"/>
  <c r="B155" i="117"/>
  <c r="B156" i="117"/>
  <c r="B157" i="117"/>
  <c r="B158" i="117"/>
  <c r="B159" i="117"/>
  <c r="B160" i="117"/>
  <c r="B161" i="117"/>
  <c r="B162" i="117"/>
  <c r="B163" i="117"/>
  <c r="B164" i="117"/>
  <c r="B165" i="117"/>
  <c r="B166" i="117"/>
  <c r="B167" i="117"/>
  <c r="B168" i="117"/>
  <c r="B169" i="117"/>
  <c r="B170" i="117"/>
  <c r="B171" i="117"/>
  <c r="B172" i="117"/>
  <c r="B173" i="117"/>
  <c r="B174" i="117"/>
  <c r="B175" i="117"/>
  <c r="B176" i="117"/>
  <c r="B177" i="117"/>
  <c r="B178" i="117"/>
  <c r="B179" i="117"/>
  <c r="B180" i="117"/>
  <c r="B181" i="117"/>
  <c r="B182" i="117"/>
  <c r="B183" i="117"/>
  <c r="B184" i="117"/>
  <c r="B185" i="117"/>
  <c r="B186" i="117"/>
  <c r="B187" i="117"/>
  <c r="B188" i="117"/>
  <c r="B189" i="117"/>
  <c r="B190" i="117"/>
  <c r="B191" i="117"/>
  <c r="B192" i="117"/>
  <c r="B193" i="117"/>
  <c r="B194" i="117"/>
  <c r="B195" i="117"/>
  <c r="B196" i="117"/>
  <c r="B197" i="117"/>
  <c r="B198" i="117"/>
  <c r="B199" i="117"/>
  <c r="B200" i="117"/>
  <c r="B201" i="117"/>
  <c r="B202" i="117"/>
  <c r="B203" i="117"/>
  <c r="B204" i="117"/>
  <c r="B205" i="117"/>
  <c r="B206" i="117"/>
  <c r="B207" i="117"/>
  <c r="B208" i="117"/>
  <c r="B209" i="117"/>
  <c r="B210" i="117"/>
  <c r="B211" i="117"/>
  <c r="B212" i="117"/>
  <c r="B213" i="117"/>
  <c r="B214" i="117"/>
  <c r="B215" i="117"/>
  <c r="B216" i="117"/>
  <c r="B217" i="117"/>
  <c r="B218" i="117"/>
  <c r="B219" i="117"/>
  <c r="B220" i="117"/>
  <c r="B221" i="117"/>
  <c r="B222" i="117"/>
  <c r="B223" i="117"/>
  <c r="B224" i="117"/>
  <c r="B225" i="117"/>
  <c r="B226" i="117"/>
  <c r="B227" i="117"/>
  <c r="B228" i="117"/>
  <c r="B229" i="117"/>
  <c r="B230" i="117"/>
  <c r="B231" i="117"/>
  <c r="B232" i="117"/>
  <c r="B233" i="117"/>
  <c r="B234" i="117"/>
  <c r="B235" i="117"/>
  <c r="B236" i="117"/>
  <c r="B237" i="117"/>
  <c r="B238" i="117"/>
  <c r="B239" i="117"/>
  <c r="B240" i="117"/>
  <c r="B241" i="117"/>
  <c r="B242" i="117"/>
  <c r="B243" i="117"/>
  <c r="B244" i="117"/>
  <c r="B245" i="117"/>
  <c r="B246" i="117"/>
  <c r="B247" i="117"/>
  <c r="B248" i="117"/>
  <c r="B249" i="117"/>
  <c r="B250" i="117"/>
  <c r="B251" i="117"/>
  <c r="B252" i="117"/>
  <c r="B253" i="117"/>
  <c r="B254" i="117"/>
  <c r="B255" i="117"/>
  <c r="B256" i="117"/>
  <c r="B257" i="117"/>
  <c r="B258" i="117"/>
  <c r="B259" i="117"/>
  <c r="B260" i="117"/>
  <c r="B261" i="117"/>
  <c r="B262" i="117"/>
  <c r="B263" i="117"/>
  <c r="B264" i="117"/>
  <c r="B265" i="117"/>
  <c r="B266" i="117"/>
  <c r="B267" i="117"/>
  <c r="B268" i="117"/>
  <c r="B269" i="117"/>
  <c r="B270" i="117"/>
  <c r="B271" i="117"/>
  <c r="B272" i="117"/>
  <c r="B273" i="117"/>
  <c r="B274" i="117"/>
  <c r="B275" i="117"/>
  <c r="B276" i="117"/>
  <c r="B277" i="117"/>
  <c r="B278" i="117"/>
  <c r="B279" i="117"/>
  <c r="B280" i="117"/>
  <c r="B281" i="117"/>
  <c r="B282" i="117"/>
  <c r="B283" i="117"/>
  <c r="B284" i="117"/>
  <c r="B285" i="117"/>
  <c r="B286" i="117"/>
  <c r="B287" i="117"/>
  <c r="B288" i="117"/>
  <c r="B289" i="117"/>
  <c r="B290" i="117"/>
  <c r="B291" i="117"/>
  <c r="B292" i="117"/>
  <c r="B293" i="117"/>
  <c r="B294" i="117"/>
  <c r="B295" i="117"/>
  <c r="B296" i="117"/>
  <c r="B297" i="117"/>
  <c r="B298" i="117"/>
  <c r="B299" i="117"/>
  <c r="B300" i="117"/>
  <c r="B301" i="117"/>
  <c r="B302" i="117"/>
  <c r="B303" i="117"/>
  <c r="B304" i="117"/>
  <c r="B305" i="117"/>
  <c r="B306" i="117"/>
  <c r="B307" i="117"/>
  <c r="B308" i="117"/>
  <c r="B309" i="117"/>
  <c r="B310" i="117"/>
  <c r="B311" i="117"/>
  <c r="B312" i="117"/>
  <c r="B313" i="117"/>
  <c r="B314" i="117"/>
  <c r="B315" i="117"/>
  <c r="B316" i="117"/>
  <c r="B317" i="117"/>
  <c r="B318" i="117"/>
  <c r="B319" i="117"/>
  <c r="B320" i="117"/>
  <c r="B321" i="117"/>
  <c r="B322" i="117"/>
  <c r="B323" i="117"/>
  <c r="B324" i="117"/>
  <c r="B325" i="117"/>
  <c r="B326" i="117"/>
  <c r="B327" i="117"/>
  <c r="B328" i="117"/>
  <c r="B329" i="117"/>
  <c r="B330" i="117"/>
  <c r="B331" i="117"/>
  <c r="B332" i="117"/>
  <c r="B333" i="117"/>
  <c r="B334" i="117"/>
  <c r="B335" i="117"/>
  <c r="B336" i="117"/>
  <c r="B337" i="117"/>
  <c r="B338" i="117"/>
  <c r="B339" i="117"/>
  <c r="B340" i="117"/>
  <c r="B341" i="117"/>
  <c r="B342" i="117"/>
  <c r="B343" i="117"/>
  <c r="B344" i="117"/>
  <c r="B345" i="117"/>
  <c r="B346" i="117"/>
  <c r="B347" i="117"/>
  <c r="B348" i="117"/>
  <c r="B349" i="117"/>
  <c r="B350" i="117"/>
  <c r="B351" i="117"/>
  <c r="B352" i="117"/>
  <c r="B353" i="117"/>
  <c r="B354" i="117"/>
  <c r="B355" i="117"/>
  <c r="B356" i="117"/>
  <c r="B357" i="117"/>
  <c r="B358" i="117"/>
  <c r="B359" i="117"/>
  <c r="B360" i="117"/>
  <c r="B361" i="117"/>
  <c r="B362" i="117"/>
  <c r="B363" i="117"/>
  <c r="B364" i="117"/>
  <c r="B365" i="117"/>
  <c r="B366" i="117"/>
  <c r="B367" i="117"/>
  <c r="B368" i="117"/>
  <c r="B369" i="117"/>
  <c r="B370" i="117"/>
  <c r="B371" i="117"/>
  <c r="B372" i="117"/>
  <c r="B373" i="117"/>
  <c r="B374" i="117"/>
  <c r="B375" i="117"/>
  <c r="B376" i="117"/>
  <c r="B377" i="117"/>
  <c r="B378" i="117"/>
  <c r="B379" i="117"/>
  <c r="B380" i="117"/>
  <c r="B381" i="117"/>
  <c r="B382" i="117"/>
  <c r="B383" i="117"/>
  <c r="B384" i="117"/>
  <c r="B385" i="117"/>
  <c r="B386" i="117"/>
  <c r="B387" i="117"/>
  <c r="B388" i="117"/>
  <c r="B389" i="117"/>
  <c r="B390" i="117"/>
  <c r="B391" i="117"/>
  <c r="B392" i="117"/>
  <c r="B393" i="117"/>
  <c r="B394" i="117"/>
  <c r="B395" i="117"/>
  <c r="B396" i="117"/>
  <c r="B397" i="117"/>
  <c r="B398" i="117"/>
  <c r="B399" i="117"/>
  <c r="B400" i="117"/>
  <c r="B401" i="117"/>
  <c r="B402" i="117"/>
  <c r="B403" i="117"/>
  <c r="B404" i="117"/>
  <c r="B405" i="117"/>
  <c r="B406" i="117"/>
  <c r="B407" i="117"/>
  <c r="B408" i="117"/>
  <c r="B409" i="117"/>
  <c r="B410" i="117"/>
  <c r="B411" i="117"/>
  <c r="B412" i="117"/>
  <c r="B413" i="117"/>
  <c r="B414" i="117"/>
  <c r="B415" i="117"/>
  <c r="B416" i="117"/>
  <c r="B417" i="117"/>
  <c r="B418" i="117"/>
  <c r="B419" i="117"/>
  <c r="B420" i="117"/>
  <c r="B421" i="117"/>
  <c r="B422" i="117"/>
  <c r="B423" i="117"/>
  <c r="B424" i="117"/>
  <c r="B425" i="117"/>
  <c r="B426" i="117"/>
  <c r="B427" i="117"/>
  <c r="B428" i="117"/>
  <c r="B429" i="117"/>
  <c r="B430" i="117"/>
  <c r="B431" i="117"/>
  <c r="B432" i="117"/>
  <c r="B433" i="117"/>
  <c r="B434" i="117"/>
  <c r="B435" i="117"/>
  <c r="B436" i="117"/>
  <c r="B437" i="117"/>
  <c r="B438" i="117"/>
  <c r="B439" i="117"/>
  <c r="B440" i="117"/>
  <c r="B441" i="117"/>
  <c r="B442" i="117"/>
  <c r="B443" i="117"/>
  <c r="B444" i="117"/>
  <c r="B445" i="117"/>
  <c r="B446" i="117"/>
  <c r="B447" i="117"/>
  <c r="B448" i="117"/>
  <c r="B449" i="117"/>
  <c r="B450" i="117"/>
  <c r="B451" i="117"/>
  <c r="B452" i="117"/>
  <c r="B453" i="117"/>
  <c r="B454" i="117"/>
  <c r="B455" i="117"/>
  <c r="B456" i="117"/>
  <c r="B457" i="117"/>
  <c r="B458" i="117"/>
  <c r="B459" i="117"/>
  <c r="B460" i="117"/>
  <c r="B461" i="117"/>
  <c r="B462" i="117"/>
  <c r="B463" i="117"/>
  <c r="B464" i="117"/>
  <c r="B465" i="117"/>
  <c r="B466" i="117"/>
  <c r="B467" i="117"/>
  <c r="B468" i="117"/>
  <c r="B469" i="117"/>
  <c r="B470" i="117"/>
  <c r="B471" i="117"/>
  <c r="B472" i="117"/>
  <c r="B473" i="117"/>
  <c r="B474" i="117"/>
  <c r="B475" i="117"/>
  <c r="B476" i="117"/>
  <c r="B477" i="117"/>
  <c r="B478" i="117"/>
  <c r="B479" i="117"/>
  <c r="B480" i="117"/>
  <c r="B481" i="117"/>
  <c r="B482" i="117"/>
  <c r="B483" i="117"/>
  <c r="B484" i="117"/>
  <c r="B485" i="117"/>
  <c r="B486" i="117"/>
  <c r="B487" i="117"/>
  <c r="B488" i="117"/>
  <c r="B489" i="117"/>
  <c r="B490" i="117"/>
  <c r="B491" i="117"/>
  <c r="B492" i="117"/>
  <c r="B493" i="117"/>
  <c r="B494" i="117"/>
  <c r="B495" i="117"/>
  <c r="B496" i="117"/>
  <c r="B497" i="117"/>
  <c r="B498" i="117"/>
  <c r="B499" i="117"/>
  <c r="B500" i="117"/>
  <c r="B501" i="117"/>
  <c r="B502" i="117"/>
  <c r="B503" i="117"/>
  <c r="B504" i="117"/>
  <c r="B505" i="117"/>
  <c r="B506" i="117"/>
  <c r="B507" i="117"/>
  <c r="B508" i="117"/>
  <c r="B509" i="117"/>
  <c r="B510" i="117"/>
  <c r="B511" i="117"/>
  <c r="B512" i="117"/>
  <c r="B513" i="117"/>
  <c r="B514" i="117"/>
  <c r="B515" i="117"/>
  <c r="B516" i="117"/>
  <c r="B517" i="117"/>
  <c r="B518" i="117"/>
  <c r="B519" i="117"/>
  <c r="B520" i="117"/>
  <c r="B521" i="117"/>
  <c r="B522" i="117"/>
  <c r="B523" i="117"/>
  <c r="B524" i="117"/>
  <c r="B525" i="117"/>
  <c r="B526" i="117"/>
  <c r="B527" i="117"/>
  <c r="B528" i="117"/>
  <c r="B529" i="117"/>
  <c r="B530" i="117"/>
  <c r="B531" i="117"/>
  <c r="B532" i="117"/>
  <c r="B533" i="117"/>
  <c r="B534" i="117"/>
  <c r="B535" i="117"/>
  <c r="B536" i="117"/>
  <c r="B537" i="117"/>
  <c r="B538" i="117"/>
  <c r="B539" i="117"/>
  <c r="B540" i="117"/>
  <c r="B541" i="117"/>
  <c r="B542" i="117"/>
  <c r="B543" i="117"/>
  <c r="B544" i="117"/>
  <c r="B545" i="117"/>
  <c r="B546" i="117"/>
  <c r="B547" i="117"/>
  <c r="B548" i="117"/>
  <c r="B549" i="117"/>
  <c r="B550" i="117"/>
  <c r="B551" i="117"/>
  <c r="B552" i="117"/>
  <c r="B553" i="117"/>
  <c r="B554" i="117"/>
  <c r="B555" i="117"/>
  <c r="B556" i="117"/>
  <c r="B557" i="117"/>
  <c r="B558" i="117"/>
  <c r="B559" i="117"/>
  <c r="B560" i="117"/>
  <c r="B561" i="117"/>
  <c r="B562" i="117"/>
  <c r="B563" i="117"/>
  <c r="B564" i="117"/>
  <c r="B565" i="117"/>
  <c r="B566" i="117"/>
  <c r="B567" i="117"/>
  <c r="B568" i="117"/>
  <c r="B569" i="117"/>
  <c r="B570" i="117"/>
  <c r="B571" i="117"/>
  <c r="B572" i="117"/>
  <c r="B573" i="117"/>
  <c r="B574" i="117"/>
  <c r="B575" i="117"/>
  <c r="B576" i="117"/>
  <c r="B577" i="117"/>
  <c r="B578" i="117"/>
  <c r="B579" i="117"/>
  <c r="B580" i="117"/>
  <c r="B581" i="117"/>
  <c r="B582" i="117"/>
  <c r="B583" i="117"/>
  <c r="B584" i="117"/>
  <c r="B585" i="117"/>
  <c r="B586" i="117"/>
  <c r="B587" i="117"/>
  <c r="B588" i="117"/>
  <c r="B589" i="117"/>
  <c r="B590" i="117"/>
  <c r="B591" i="117"/>
  <c r="B592" i="117"/>
  <c r="B593" i="117"/>
  <c r="B594" i="117"/>
  <c r="B595" i="117"/>
  <c r="B596" i="117"/>
  <c r="B597" i="117"/>
  <c r="B598" i="117"/>
  <c r="B599" i="117"/>
  <c r="B600" i="117"/>
  <c r="B601" i="117"/>
  <c r="B602" i="117"/>
  <c r="B603" i="117"/>
  <c r="B604" i="117"/>
  <c r="B605" i="117"/>
  <c r="B606" i="117"/>
  <c r="B607" i="117"/>
  <c r="B608" i="117"/>
  <c r="B609" i="117"/>
  <c r="B610" i="117"/>
  <c r="B611" i="117"/>
  <c r="B612" i="117"/>
  <c r="B613" i="117"/>
  <c r="B614" i="117"/>
  <c r="B615" i="117"/>
  <c r="B616" i="117"/>
  <c r="B617" i="117"/>
  <c r="B618" i="117"/>
  <c r="B619" i="117"/>
  <c r="B620" i="117"/>
  <c r="B621" i="117"/>
  <c r="B622" i="117"/>
  <c r="B623" i="117"/>
  <c r="B624" i="117"/>
  <c r="B625" i="117"/>
  <c r="B626" i="117"/>
  <c r="B627" i="117"/>
  <c r="B628" i="117"/>
  <c r="B629" i="117"/>
  <c r="B630" i="117"/>
  <c r="B631" i="117"/>
  <c r="B632" i="117"/>
  <c r="B633" i="117"/>
  <c r="B634" i="117"/>
  <c r="B635" i="117"/>
  <c r="B636" i="117"/>
  <c r="B637" i="117"/>
  <c r="B638" i="117"/>
  <c r="B639" i="117"/>
  <c r="B640" i="117"/>
  <c r="B641" i="117"/>
  <c r="B642" i="117"/>
  <c r="B643" i="117"/>
  <c r="B644" i="117"/>
  <c r="B645" i="117"/>
  <c r="B646" i="117"/>
  <c r="B647" i="117"/>
  <c r="B648" i="117"/>
  <c r="B649" i="117"/>
  <c r="B650" i="117"/>
  <c r="B651" i="117"/>
  <c r="B652" i="117"/>
  <c r="B653" i="117"/>
  <c r="B654" i="117"/>
  <c r="B655" i="117"/>
  <c r="B656" i="117"/>
  <c r="B657" i="117"/>
  <c r="B658" i="117"/>
  <c r="B659" i="117"/>
  <c r="B660" i="117"/>
  <c r="B661" i="117"/>
  <c r="B662" i="117"/>
  <c r="B663" i="117"/>
  <c r="B664" i="117"/>
  <c r="B665" i="117"/>
  <c r="B666" i="117"/>
  <c r="B667" i="117"/>
  <c r="B668" i="117"/>
  <c r="B669" i="117"/>
  <c r="B670" i="117"/>
  <c r="B671" i="117"/>
  <c r="B672" i="117"/>
  <c r="B673" i="117"/>
  <c r="B674" i="117"/>
  <c r="B675" i="117"/>
  <c r="B676" i="117"/>
  <c r="B677" i="117"/>
  <c r="B678" i="117"/>
  <c r="B679" i="117"/>
  <c r="B680" i="117"/>
  <c r="B681" i="117"/>
  <c r="B682" i="117"/>
  <c r="B683" i="117"/>
  <c r="B684" i="117"/>
  <c r="B685" i="117"/>
  <c r="B686" i="117"/>
  <c r="B687" i="117"/>
  <c r="B688" i="117"/>
  <c r="B689" i="117"/>
  <c r="B690" i="117"/>
  <c r="B691" i="117"/>
  <c r="B692" i="117"/>
  <c r="B693" i="117"/>
  <c r="B694" i="117"/>
  <c r="B695" i="117"/>
  <c r="B696" i="117"/>
  <c r="B697" i="117"/>
  <c r="B698" i="117"/>
  <c r="B699" i="117"/>
  <c r="B700" i="117"/>
  <c r="B701" i="117"/>
  <c r="B702" i="117"/>
  <c r="B703" i="117"/>
  <c r="B704" i="117"/>
  <c r="B705" i="117"/>
  <c r="B706" i="117"/>
  <c r="B707" i="117"/>
  <c r="B708" i="117"/>
  <c r="B709" i="117"/>
  <c r="B710" i="117"/>
  <c r="B711" i="117"/>
  <c r="B712" i="117"/>
  <c r="B713" i="117"/>
  <c r="B714" i="117"/>
  <c r="B715" i="117"/>
  <c r="B716" i="117"/>
  <c r="B717" i="117"/>
  <c r="B718" i="117"/>
  <c r="B719" i="117"/>
  <c r="B720" i="117"/>
  <c r="B721" i="117"/>
  <c r="B722" i="117"/>
  <c r="B723" i="117"/>
  <c r="B724" i="117"/>
  <c r="B725" i="117"/>
  <c r="B726" i="117"/>
  <c r="B727" i="117"/>
  <c r="B728" i="117"/>
  <c r="B729" i="117"/>
  <c r="B730" i="117"/>
  <c r="B731" i="117"/>
  <c r="B732" i="117"/>
  <c r="B733" i="117"/>
  <c r="B734" i="117"/>
  <c r="B735" i="117"/>
  <c r="B736" i="117"/>
  <c r="B737" i="117"/>
  <c r="B738" i="117"/>
  <c r="B739" i="117"/>
  <c r="B740" i="117"/>
  <c r="B741" i="117"/>
  <c r="B742" i="117"/>
  <c r="B743" i="117"/>
  <c r="B744" i="117"/>
  <c r="B745" i="117"/>
  <c r="B746" i="117"/>
  <c r="B747" i="117"/>
  <c r="B748" i="117"/>
  <c r="B749" i="117"/>
  <c r="B750" i="117"/>
  <c r="B751" i="117"/>
  <c r="B752" i="117"/>
  <c r="B753" i="117"/>
  <c r="B754" i="117"/>
  <c r="B755" i="117"/>
  <c r="B756" i="117"/>
  <c r="B757" i="117"/>
  <c r="B758" i="117"/>
  <c r="B759" i="117"/>
  <c r="B760" i="117"/>
  <c r="B761" i="117"/>
  <c r="B762" i="117"/>
  <c r="B763" i="117"/>
  <c r="B764" i="117"/>
  <c r="B765" i="117"/>
  <c r="B766" i="117"/>
  <c r="B767" i="117"/>
  <c r="B768" i="117"/>
  <c r="B769" i="117"/>
  <c r="B770" i="117"/>
  <c r="B771" i="117"/>
  <c r="B772" i="117"/>
  <c r="B773" i="117"/>
  <c r="B774" i="117"/>
  <c r="B775" i="117"/>
  <c r="B776" i="117"/>
  <c r="B777" i="117"/>
  <c r="B778" i="117"/>
  <c r="B779" i="117"/>
  <c r="B780" i="117"/>
  <c r="B781" i="117"/>
  <c r="B782" i="117"/>
  <c r="B783" i="117"/>
  <c r="B784" i="117"/>
  <c r="B785" i="117"/>
  <c r="B786" i="117"/>
  <c r="B787" i="117"/>
  <c r="B788" i="117"/>
  <c r="B789" i="117"/>
  <c r="B790" i="117"/>
  <c r="B791" i="117"/>
  <c r="B792" i="117"/>
  <c r="B793" i="117"/>
  <c r="B794" i="117"/>
  <c r="B795" i="117"/>
  <c r="B796" i="117"/>
  <c r="B797" i="117"/>
  <c r="B798" i="117"/>
  <c r="B799" i="117"/>
  <c r="B800" i="117"/>
  <c r="B801" i="117"/>
  <c r="B802" i="117"/>
  <c r="B803" i="117"/>
  <c r="B804" i="117"/>
  <c r="B805" i="117"/>
  <c r="B806" i="117"/>
  <c r="B807" i="117"/>
  <c r="B808" i="117"/>
  <c r="B809" i="117"/>
  <c r="B810" i="117"/>
  <c r="B811" i="117"/>
  <c r="B812" i="117"/>
  <c r="B813" i="117"/>
  <c r="B814" i="117"/>
  <c r="B815" i="117"/>
  <c r="B816" i="117"/>
  <c r="B817" i="117"/>
  <c r="B818" i="117"/>
  <c r="B819" i="117"/>
  <c r="B820" i="117"/>
  <c r="B821" i="117"/>
  <c r="B822" i="117"/>
  <c r="B823" i="117"/>
  <c r="B824" i="117"/>
  <c r="B825" i="117"/>
  <c r="B826" i="117"/>
  <c r="B827" i="117"/>
  <c r="B828" i="117"/>
  <c r="B829" i="117"/>
  <c r="B830" i="117"/>
  <c r="B831" i="117"/>
  <c r="B832" i="117"/>
  <c r="B833" i="117"/>
  <c r="B834" i="117"/>
  <c r="B835" i="117"/>
  <c r="B836" i="117"/>
  <c r="B837" i="117"/>
  <c r="B838" i="117"/>
  <c r="B839" i="117"/>
  <c r="B840" i="117"/>
  <c r="B841" i="117"/>
  <c r="B842" i="117"/>
  <c r="B843" i="117"/>
  <c r="B844" i="117"/>
  <c r="B845" i="117"/>
  <c r="B846" i="117"/>
  <c r="B847" i="117"/>
  <c r="B848" i="117"/>
  <c r="B849" i="117"/>
  <c r="B850" i="117"/>
  <c r="B851" i="117"/>
  <c r="B852" i="117"/>
  <c r="B853" i="117"/>
  <c r="B854" i="117"/>
  <c r="B855" i="117"/>
  <c r="B856" i="117"/>
  <c r="B857" i="117"/>
  <c r="B858" i="117"/>
  <c r="B859" i="117"/>
  <c r="B860" i="117"/>
  <c r="B861" i="117"/>
  <c r="B862" i="117"/>
  <c r="B863" i="117"/>
  <c r="B864" i="117"/>
  <c r="B865" i="117"/>
  <c r="B866" i="117"/>
  <c r="B867" i="117"/>
  <c r="B868" i="117"/>
  <c r="B869" i="117"/>
  <c r="B870" i="117"/>
  <c r="B871" i="117"/>
  <c r="B872" i="117"/>
  <c r="B873" i="117"/>
  <c r="B874" i="117"/>
  <c r="B875" i="117"/>
  <c r="B876" i="117"/>
  <c r="B877" i="117"/>
  <c r="B878" i="117"/>
  <c r="B879" i="117"/>
  <c r="B880" i="117"/>
  <c r="B881" i="117"/>
  <c r="B882" i="117"/>
  <c r="B883" i="117"/>
  <c r="B884" i="117"/>
  <c r="B885" i="117"/>
  <c r="B886" i="117"/>
  <c r="B887" i="117"/>
  <c r="B888" i="117"/>
  <c r="B889" i="117"/>
  <c r="B890" i="117"/>
  <c r="B891" i="117"/>
  <c r="B892" i="117"/>
  <c r="B893" i="117"/>
  <c r="B894" i="117"/>
  <c r="B895" i="117"/>
  <c r="B896" i="117"/>
  <c r="B897" i="117"/>
  <c r="B898" i="117"/>
  <c r="B899" i="117"/>
  <c r="B900" i="117"/>
  <c r="B901" i="117"/>
  <c r="B902" i="117"/>
  <c r="B903" i="117"/>
  <c r="B904" i="117"/>
  <c r="B905" i="117"/>
  <c r="B906" i="117"/>
  <c r="B907" i="117"/>
  <c r="B908" i="117"/>
  <c r="B909" i="117"/>
  <c r="B910" i="117"/>
  <c r="B911" i="117"/>
  <c r="B912" i="117"/>
  <c r="B913" i="117"/>
  <c r="B914" i="117"/>
  <c r="B915" i="117"/>
  <c r="B916" i="117"/>
  <c r="B917" i="117"/>
  <c r="B918" i="117"/>
  <c r="B919" i="117"/>
  <c r="B920" i="117"/>
  <c r="B921" i="117"/>
  <c r="B922" i="117"/>
  <c r="B923" i="117"/>
  <c r="B924" i="117"/>
  <c r="B925" i="117"/>
  <c r="B926" i="117"/>
  <c r="B927" i="117"/>
  <c r="B928" i="117"/>
  <c r="B929" i="117"/>
  <c r="B930" i="117"/>
  <c r="B931" i="117"/>
  <c r="B932" i="117"/>
  <c r="B933" i="117"/>
  <c r="B934" i="117"/>
  <c r="B935" i="117"/>
  <c r="B936" i="117"/>
  <c r="B937" i="117"/>
  <c r="B938" i="117"/>
  <c r="B939" i="117"/>
  <c r="B940" i="117"/>
  <c r="B941" i="117"/>
  <c r="B942" i="117"/>
  <c r="B943" i="117"/>
  <c r="B944" i="117"/>
  <c r="B945" i="117"/>
  <c r="B946" i="117"/>
  <c r="B947" i="117"/>
  <c r="B948" i="117"/>
  <c r="B949" i="117"/>
  <c r="B950" i="117"/>
  <c r="B951" i="117"/>
  <c r="B952" i="117"/>
  <c r="B953" i="117"/>
  <c r="B954" i="117"/>
  <c r="B955" i="117"/>
  <c r="B956" i="117"/>
  <c r="B957" i="117"/>
  <c r="B958" i="117"/>
  <c r="B959" i="117"/>
  <c r="B960" i="117"/>
  <c r="B961" i="117"/>
  <c r="B962" i="117"/>
  <c r="B963" i="117"/>
  <c r="B964" i="117"/>
  <c r="B965" i="117"/>
  <c r="B966" i="117"/>
  <c r="B967" i="117"/>
  <c r="B968" i="117"/>
  <c r="B969" i="117"/>
  <c r="B970" i="117"/>
  <c r="B971" i="117"/>
  <c r="B972" i="117"/>
  <c r="B973" i="117"/>
  <c r="B974" i="117"/>
  <c r="B975" i="117"/>
  <c r="B976" i="117"/>
  <c r="B977" i="117"/>
  <c r="B978" i="117"/>
  <c r="B979" i="117"/>
  <c r="B980" i="117"/>
  <c r="B981" i="117"/>
  <c r="B982" i="117"/>
  <c r="B983" i="117"/>
  <c r="B984" i="117"/>
  <c r="B985" i="117"/>
  <c r="B986" i="117"/>
  <c r="B987" i="117"/>
  <c r="B988" i="117"/>
  <c r="B989" i="117"/>
  <c r="B990" i="117"/>
  <c r="B991" i="117"/>
  <c r="B992" i="117"/>
  <c r="B993" i="117"/>
  <c r="B994" i="117"/>
  <c r="B995" i="117"/>
  <c r="B996" i="117"/>
  <c r="B997" i="117"/>
  <c r="B998" i="117"/>
  <c r="B999" i="117"/>
  <c r="B1000" i="117"/>
  <c r="B1001" i="117"/>
  <c r="B1002" i="117"/>
  <c r="B1003" i="117"/>
  <c r="B1004" i="117"/>
  <c r="B1005" i="117"/>
  <c r="B1006" i="117"/>
  <c r="B1007" i="117"/>
  <c r="B1008" i="117"/>
  <c r="B1009" i="117"/>
  <c r="B1010" i="117"/>
  <c r="B1011" i="117"/>
  <c r="B1012" i="117"/>
  <c r="B1013" i="117"/>
  <c r="B1014" i="117"/>
  <c r="B1015" i="117"/>
  <c r="B1016" i="117"/>
  <c r="B1017" i="117"/>
  <c r="B1018" i="117"/>
  <c r="B1019" i="117"/>
  <c r="B1020" i="117"/>
  <c r="B1021" i="117"/>
  <c r="B1022" i="117"/>
  <c r="B1023" i="117"/>
  <c r="B1024" i="117"/>
  <c r="B1025" i="117"/>
  <c r="J1007" i="117" l="1"/>
  <c r="J863" i="117"/>
  <c r="J815" i="117"/>
  <c r="J719" i="117"/>
  <c r="J647" i="117"/>
  <c r="J575" i="117"/>
  <c r="J527" i="117"/>
  <c r="J431" i="117"/>
  <c r="J383" i="117"/>
  <c r="J335" i="117"/>
  <c r="J287" i="117"/>
  <c r="J239" i="117"/>
  <c r="J167" i="117"/>
  <c r="J95" i="117"/>
  <c r="J958" i="117"/>
  <c r="J934" i="117"/>
  <c r="J862" i="117"/>
  <c r="J814" i="117"/>
  <c r="J766" i="117"/>
  <c r="J718" i="117"/>
  <c r="J646" i="117"/>
  <c r="J574" i="117"/>
  <c r="J526" i="117"/>
  <c r="J478" i="117"/>
  <c r="J430" i="117"/>
  <c r="J382" i="117"/>
  <c r="J334" i="117"/>
  <c r="J262" i="117"/>
  <c r="J214" i="117"/>
  <c r="J142" i="117"/>
  <c r="J94" i="117"/>
  <c r="J46" i="117"/>
  <c r="J957" i="117"/>
  <c r="J885" i="117"/>
  <c r="J861" i="117"/>
  <c r="J887" i="117"/>
  <c r="J839" i="117"/>
  <c r="J743" i="117"/>
  <c r="J695" i="117"/>
  <c r="J623" i="117"/>
  <c r="J551" i="117"/>
  <c r="J479" i="117"/>
  <c r="J407" i="117"/>
  <c r="J359" i="117"/>
  <c r="J311" i="117"/>
  <c r="J263" i="117"/>
  <c r="J215" i="117"/>
  <c r="J191" i="117"/>
  <c r="J143" i="117"/>
  <c r="J119" i="117"/>
  <c r="J71" i="117"/>
  <c r="J47" i="117"/>
  <c r="J23" i="117"/>
  <c r="J1006" i="117"/>
  <c r="J886" i="117"/>
  <c r="J838" i="117"/>
  <c r="J790" i="117"/>
  <c r="J742" i="117"/>
  <c r="J694" i="117"/>
  <c r="J622" i="117"/>
  <c r="J550" i="117"/>
  <c r="J502" i="117"/>
  <c r="J454" i="117"/>
  <c r="J406" i="117"/>
  <c r="J358" i="117"/>
  <c r="J286" i="117"/>
  <c r="J238" i="117"/>
  <c r="J190" i="117"/>
  <c r="J166" i="117"/>
  <c r="J118" i="117"/>
  <c r="J70" i="117"/>
  <c r="J22" i="117"/>
  <c r="J1005" i="117"/>
  <c r="J933" i="117"/>
  <c r="J837" i="117"/>
  <c r="J192" i="117"/>
  <c r="J935" i="117"/>
  <c r="J791" i="117"/>
  <c r="J455" i="117"/>
  <c r="J768" i="117"/>
  <c r="J480" i="117"/>
  <c r="J168" i="117"/>
  <c r="J959" i="117"/>
  <c r="J767" i="117"/>
  <c r="J503" i="117"/>
  <c r="J813" i="117"/>
  <c r="J765" i="117"/>
  <c r="J693" i="117"/>
  <c r="J621" i="117"/>
  <c r="J549" i="117"/>
  <c r="J477" i="117"/>
  <c r="J429" i="117"/>
  <c r="J333" i="117"/>
  <c r="J285" i="117"/>
  <c r="J213" i="117"/>
  <c r="J141" i="117"/>
  <c r="J69" i="117"/>
  <c r="J980" i="117"/>
  <c r="J932" i="117"/>
  <c r="J860" i="117"/>
  <c r="J788" i="117"/>
  <c r="J764" i="117"/>
  <c r="J692" i="117"/>
  <c r="J644" i="117"/>
  <c r="J572" i="117"/>
  <c r="J524" i="117"/>
  <c r="J476" i="117"/>
  <c r="J452" i="117"/>
  <c r="J404" i="117"/>
  <c r="J332" i="117"/>
  <c r="J260" i="117"/>
  <c r="J212" i="117"/>
  <c r="J188" i="117"/>
  <c r="J140" i="117"/>
  <c r="J116" i="117"/>
  <c r="J92" i="117"/>
  <c r="J44" i="117"/>
  <c r="J20" i="117"/>
  <c r="J1003" i="117"/>
  <c r="J979" i="117"/>
  <c r="J955" i="117"/>
  <c r="J931" i="117"/>
  <c r="J883" i="117"/>
  <c r="J859" i="117"/>
  <c r="J811" i="117"/>
  <c r="J787" i="117"/>
  <c r="J763" i="117"/>
  <c r="J715" i="117"/>
  <c r="J691" i="117"/>
  <c r="J667" i="117"/>
  <c r="J643" i="117"/>
  <c r="J619" i="117"/>
  <c r="J595" i="117"/>
  <c r="J571" i="117"/>
  <c r="J547" i="117"/>
  <c r="J523" i="117"/>
  <c r="J499" i="117"/>
  <c r="J475" i="117"/>
  <c r="J451" i="117"/>
  <c r="J427" i="117"/>
  <c r="J403" i="117"/>
  <c r="J355" i="117"/>
  <c r="J331" i="117"/>
  <c r="J307" i="117"/>
  <c r="J283" i="117"/>
  <c r="J789" i="117"/>
  <c r="J717" i="117"/>
  <c r="J645" i="117"/>
  <c r="J573" i="117"/>
  <c r="J525" i="117"/>
  <c r="J501" i="117"/>
  <c r="J453" i="117"/>
  <c r="J405" i="117"/>
  <c r="J357" i="117"/>
  <c r="J261" i="117"/>
  <c r="J237" i="117"/>
  <c r="J189" i="117"/>
  <c r="J117" i="117"/>
  <c r="J93" i="117"/>
  <c r="J45" i="117"/>
  <c r="J21" i="117"/>
  <c r="J1004" i="117"/>
  <c r="J956" i="117"/>
  <c r="J884" i="117"/>
  <c r="J812" i="117"/>
  <c r="J716" i="117"/>
  <c r="J668" i="117"/>
  <c r="J620" i="117"/>
  <c r="J548" i="117"/>
  <c r="J500" i="117"/>
  <c r="J428" i="117"/>
  <c r="J356" i="117"/>
  <c r="J284" i="117"/>
  <c r="J236" i="117"/>
  <c r="J68" i="117"/>
  <c r="J235" i="117"/>
  <c r="J211" i="117"/>
  <c r="J115" i="117"/>
  <c r="J67" i="117"/>
  <c r="J978" i="117"/>
  <c r="J906" i="117"/>
  <c r="J858" i="117"/>
  <c r="J786" i="117"/>
  <c r="J714" i="117"/>
  <c r="J666" i="117"/>
  <c r="J618" i="117"/>
  <c r="J570" i="117"/>
  <c r="J498" i="117"/>
  <c r="J450" i="117"/>
  <c r="J402" i="117"/>
  <c r="J354" i="117"/>
  <c r="J306" i="117"/>
  <c r="J258" i="117"/>
  <c r="J210" i="117"/>
  <c r="J186" i="117"/>
  <c r="J138" i="117"/>
  <c r="J90" i="117"/>
  <c r="J66" i="117"/>
  <c r="J42" i="117"/>
  <c r="J18" i="117"/>
  <c r="J1025" i="117"/>
  <c r="J1001" i="117"/>
  <c r="J977" i="117"/>
  <c r="J953" i="117"/>
  <c r="J929" i="117"/>
  <c r="J905" i="117"/>
  <c r="J881" i="117"/>
  <c r="J857" i="117"/>
  <c r="J809" i="117"/>
  <c r="J785" i="117"/>
  <c r="J761" i="117"/>
  <c r="J737" i="117"/>
  <c r="J713" i="117"/>
  <c r="J689" i="117"/>
  <c r="J665" i="117"/>
  <c r="J641" i="117"/>
  <c r="J617" i="117"/>
  <c r="J593" i="117"/>
  <c r="J569" i="117"/>
  <c r="J545" i="117"/>
  <c r="J497" i="117"/>
  <c r="J473" i="117"/>
  <c r="J449" i="117"/>
  <c r="J425" i="117"/>
  <c r="J401" i="117"/>
  <c r="J377" i="117"/>
  <c r="J353" i="117"/>
  <c r="J329" i="117"/>
  <c r="J305" i="117"/>
  <c r="J281" i="117"/>
  <c r="J257" i="117"/>
  <c r="J233" i="117"/>
  <c r="J209" i="117"/>
  <c r="J185" i="117"/>
  <c r="J161" i="117"/>
  <c r="J137" i="117"/>
  <c r="J89" i="117"/>
  <c r="J65" i="117"/>
  <c r="J41" i="117"/>
  <c r="J17" i="117"/>
  <c r="J259" i="117"/>
  <c r="J187" i="117"/>
  <c r="J139" i="117"/>
  <c r="J91" i="117"/>
  <c r="J43" i="117"/>
  <c r="J19" i="117"/>
  <c r="J1002" i="117"/>
  <c r="J930" i="117"/>
  <c r="J882" i="117"/>
  <c r="J810" i="117"/>
  <c r="J762" i="117"/>
  <c r="J690" i="117"/>
  <c r="J642" i="117"/>
  <c r="J594" i="117"/>
  <c r="J546" i="117"/>
  <c r="J474" i="117"/>
  <c r="J426" i="117"/>
  <c r="J378" i="117"/>
  <c r="J330" i="117"/>
  <c r="J282" i="117"/>
  <c r="J234" i="117"/>
  <c r="J114" i="117"/>
  <c r="J1024" i="117"/>
  <c r="J1000" i="117"/>
  <c r="J976" i="117"/>
  <c r="J952" i="117"/>
  <c r="J928" i="117"/>
  <c r="J904" i="117"/>
  <c r="J880" i="117"/>
  <c r="J856" i="117"/>
  <c r="J808" i="117"/>
  <c r="J784" i="117"/>
  <c r="J760" i="117"/>
  <c r="J736" i="117"/>
  <c r="J712" i="117"/>
  <c r="J688" i="117"/>
  <c r="J664" i="117"/>
  <c r="J640" i="117"/>
  <c r="J616" i="117"/>
  <c r="J568" i="117"/>
  <c r="J544" i="117"/>
  <c r="J496" i="117"/>
  <c r="J472" i="117"/>
  <c r="J448" i="117"/>
  <c r="J424" i="117"/>
  <c r="J400" i="117"/>
  <c r="J376" i="117"/>
  <c r="J352" i="117"/>
  <c r="J328" i="117"/>
  <c r="J280" i="117"/>
  <c r="J256" i="117"/>
  <c r="J208" i="117"/>
  <c r="J184" i="117"/>
  <c r="J160" i="117"/>
  <c r="J136" i="117"/>
  <c r="J88" i="117"/>
  <c r="J64" i="117"/>
  <c r="J1018" i="117"/>
  <c r="J994" i="117"/>
  <c r="J970" i="117"/>
  <c r="J946" i="117"/>
  <c r="J922" i="117"/>
  <c r="J898" i="117"/>
  <c r="J874" i="117"/>
  <c r="J850" i="117"/>
  <c r="J826" i="117"/>
  <c r="J802" i="117"/>
  <c r="J778" i="117"/>
  <c r="J754" i="117"/>
  <c r="J730" i="117"/>
  <c r="J706" i="117"/>
  <c r="J682" i="117"/>
  <c r="J658" i="117"/>
  <c r="J634" i="117"/>
  <c r="J610" i="117"/>
  <c r="J586" i="117"/>
  <c r="J562" i="117"/>
  <c r="J538" i="117"/>
  <c r="J514" i="117"/>
  <c r="J490" i="117"/>
  <c r="J466" i="117"/>
  <c r="J442" i="117"/>
  <c r="J418" i="117"/>
  <c r="J394" i="117"/>
  <c r="J370" i="117"/>
  <c r="J346" i="117"/>
  <c r="J322" i="117"/>
  <c r="J298" i="117"/>
  <c r="J274" i="117"/>
  <c r="J250" i="117"/>
  <c r="J226" i="117"/>
  <c r="J202" i="117"/>
  <c r="J178" i="117"/>
  <c r="J154" i="117"/>
  <c r="J130" i="117"/>
  <c r="J106" i="117"/>
  <c r="J82" i="117"/>
  <c r="J58" i="117"/>
  <c r="J34" i="117"/>
  <c r="J10" i="117"/>
  <c r="K8" i="110" l="1"/>
  <c r="K8" i="106" l="1"/>
  <c r="W8" i="78"/>
  <c r="N8" i="78"/>
  <c r="L8" i="103"/>
  <c r="S8" i="103"/>
  <c r="N8" i="105"/>
  <c r="L8" i="105"/>
  <c r="L7" i="107"/>
  <c r="K8" i="108"/>
  <c r="K8" i="111"/>
  <c r="K8" i="112"/>
  <c r="K8" i="113"/>
  <c r="M8" i="108" l="1"/>
  <c r="P8" i="105"/>
  <c r="R686" i="97" l="1"/>
  <c r="R850" i="97"/>
  <c r="R1018" i="97"/>
  <c r="R689" i="97"/>
  <c r="R608" i="97"/>
  <c r="R560" i="97"/>
  <c r="R733" i="97"/>
  <c r="R617" i="97"/>
  <c r="R671" i="97"/>
  <c r="R878" i="97"/>
  <c r="R770" i="97"/>
  <c r="R825" i="97"/>
  <c r="R682" i="97"/>
  <c r="R742" i="97"/>
  <c r="R775" i="97"/>
  <c r="R792" i="97"/>
  <c r="R600" i="97"/>
  <c r="R903" i="97"/>
  <c r="R1012" i="97"/>
  <c r="R822" i="97"/>
  <c r="R887" i="97"/>
  <c r="R692" i="97"/>
  <c r="R888" i="97"/>
  <c r="R774" i="97"/>
  <c r="R776" i="97"/>
  <c r="R734" i="97"/>
  <c r="R639" i="97"/>
  <c r="R667" i="97"/>
  <c r="R699" i="97"/>
  <c r="R793" i="97"/>
  <c r="R823" i="97"/>
  <c r="R856" i="97"/>
  <c r="R865" i="97"/>
  <c r="R732" i="97"/>
  <c r="R753" i="97"/>
  <c r="R964" i="97"/>
  <c r="R737" i="97"/>
  <c r="R854" i="97"/>
  <c r="R879" i="97"/>
  <c r="R800" i="97"/>
  <c r="R955" i="97"/>
  <c r="R583" i="97"/>
  <c r="R591" i="97"/>
  <c r="R589" i="97"/>
  <c r="R605" i="97"/>
  <c r="R655" i="97"/>
  <c r="R665" i="97"/>
  <c r="R678" i="97"/>
  <c r="R558" i="97"/>
  <c r="R574" i="97"/>
  <c r="R590" i="97"/>
  <c r="R581" i="97"/>
  <c r="R597" i="97"/>
  <c r="R613" i="97"/>
  <c r="R572" i="97"/>
  <c r="R588" i="97"/>
  <c r="R604" i="97"/>
  <c r="R579" i="97"/>
  <c r="R595" i="97"/>
  <c r="R631" i="97"/>
  <c r="R664" i="97"/>
  <c r="R640" i="97"/>
  <c r="R859" i="97"/>
  <c r="R745" i="97"/>
  <c r="R773" i="97"/>
  <c r="R809" i="97"/>
  <c r="R845" i="97"/>
  <c r="R764" i="97"/>
  <c r="R898" i="97"/>
  <c r="R779" i="97"/>
  <c r="R834" i="97"/>
  <c r="R728" i="97"/>
  <c r="R760" i="97"/>
  <c r="R784" i="97"/>
  <c r="R827" i="97"/>
  <c r="R839" i="97"/>
  <c r="R801" i="97"/>
  <c r="R868" i="97"/>
  <c r="R885" i="97"/>
  <c r="R920" i="97"/>
  <c r="R1016" i="97"/>
  <c r="R989" i="97"/>
  <c r="R1005" i="97"/>
  <c r="R923" i="97"/>
  <c r="R987" i="97"/>
  <c r="R1019" i="97"/>
  <c r="R930" i="97"/>
  <c r="R962" i="97"/>
  <c r="R1010" i="97"/>
  <c r="R953" i="97"/>
  <c r="R969" i="97"/>
  <c r="R985" i="97"/>
  <c r="R1001" i="97"/>
  <c r="R1017" i="97"/>
  <c r="R919" i="97"/>
  <c r="R935" i="97"/>
  <c r="R983" i="97"/>
  <c r="R999" i="97"/>
  <c r="R1015" i="97"/>
  <c r="R926" i="97"/>
  <c r="R942" i="97"/>
  <c r="R933" i="97"/>
  <c r="R949" i="97"/>
  <c r="R965" i="97"/>
  <c r="R956" i="97"/>
  <c r="R972" i="97"/>
  <c r="R988" i="97"/>
  <c r="R1004" i="97"/>
  <c r="R1020" i="97"/>
  <c r="R915" i="97"/>
  <c r="R931" i="97"/>
  <c r="R947" i="97"/>
  <c r="R979" i="97"/>
  <c r="R995" i="97"/>
  <c r="R1011" i="97"/>
  <c r="R1028" i="97" l="1"/>
  <c r="R876" i="97"/>
  <c r="R642" i="97"/>
  <c r="R719" i="97"/>
  <c r="R756" i="97"/>
  <c r="R905" i="97"/>
  <c r="R789" i="97"/>
  <c r="R614" i="97"/>
  <c r="R723" i="97"/>
  <c r="R780" i="97"/>
  <c r="R687" i="97"/>
  <c r="R971" i="97"/>
  <c r="R1006" i="97"/>
  <c r="R941" i="97"/>
  <c r="R785" i="97"/>
  <c r="R978" i="97"/>
  <c r="R570" i="97"/>
  <c r="R901" i="97"/>
  <c r="R984" i="97"/>
  <c r="R1003" i="97"/>
  <c r="R957" i="97"/>
  <c r="R752" i="97"/>
  <c r="R598" i="97"/>
  <c r="R939" i="97"/>
  <c r="R970" i="97"/>
  <c r="R909" i="97"/>
  <c r="R986" i="97"/>
  <c r="R638" i="97"/>
  <c r="R846" i="97"/>
  <c r="R554" i="97"/>
  <c r="R726" i="97"/>
  <c r="R928" i="97"/>
  <c r="R974" i="97"/>
  <c r="R696" i="97"/>
  <c r="R761" i="97"/>
  <c r="R824" i="97"/>
  <c r="R628" i="97"/>
  <c r="R725" i="97"/>
  <c r="R724" i="97"/>
  <c r="R817" i="97"/>
  <c r="R705" i="97"/>
  <c r="R818" i="97"/>
  <c r="R847" i="97"/>
  <c r="R735" i="97"/>
  <c r="R670" i="97"/>
  <c r="R1026" i="97"/>
  <c r="R772" i="97"/>
  <c r="R924" i="97"/>
  <c r="R1013" i="97"/>
  <c r="R738" i="97"/>
  <c r="R951" i="97"/>
  <c r="R556" i="97"/>
  <c r="R606" i="97"/>
  <c r="R607" i="97"/>
  <c r="R709" i="97"/>
  <c r="R828" i="97"/>
  <c r="R820" i="97"/>
  <c r="R582" i="97"/>
  <c r="R552" i="97"/>
  <c r="R892" i="97"/>
  <c r="R843" i="97"/>
  <c r="R990" i="97"/>
  <c r="R917" i="97"/>
  <c r="R994" i="97"/>
  <c r="R837" i="97"/>
  <c r="R1000" i="97"/>
  <c r="R557" i="97"/>
  <c r="R882" i="97"/>
  <c r="R863" i="97"/>
  <c r="R563" i="97"/>
  <c r="R708" i="97"/>
  <c r="R744" i="97"/>
  <c r="R707" i="97"/>
  <c r="R680" i="97"/>
  <c r="R829" i="97"/>
  <c r="R886" i="97"/>
  <c r="R1029" i="97"/>
  <c r="R741" i="97"/>
  <c r="R795" i="97"/>
  <c r="R714" i="97"/>
  <c r="R938" i="97"/>
  <c r="R889" i="97"/>
  <c r="R832" i="97"/>
  <c r="R702" i="97"/>
  <c r="R799" i="97"/>
  <c r="R693" i="97"/>
  <c r="R870" i="97"/>
  <c r="R980" i="97"/>
  <c r="R657" i="97"/>
  <c r="R683" i="97"/>
  <c r="R685" i="97"/>
  <c r="R786" i="97"/>
  <c r="R717" i="97"/>
  <c r="R997" i="97"/>
  <c r="R948" i="97"/>
  <c r="R796" i="97"/>
  <c r="R897" i="97"/>
  <c r="R904" i="97"/>
  <c r="R703" i="97"/>
  <c r="R718" i="97"/>
  <c r="R715" i="97"/>
  <c r="R653" i="97"/>
  <c r="R625" i="97"/>
  <c r="R757" i="97"/>
  <c r="R954" i="97"/>
  <c r="R750" i="97"/>
  <c r="R710" i="97"/>
  <c r="R844" i="97"/>
  <c r="R721" i="97"/>
  <c r="R647" i="97"/>
  <c r="R561" i="97"/>
  <c r="R916" i="97"/>
  <c r="R830" i="97"/>
  <c r="R1022" i="97"/>
  <c r="R925" i="97"/>
  <c r="R1002" i="97"/>
  <c r="R656" i="97"/>
  <c r="R602" i="97"/>
  <c r="R701" i="97"/>
  <c r="R900" i="97"/>
  <c r="R729" i="97"/>
  <c r="R841" i="97"/>
  <c r="R643" i="97"/>
  <c r="R958" i="97"/>
  <c r="R765" i="97"/>
  <c r="R599" i="97"/>
  <c r="R902" i="97"/>
  <c r="R813" i="97"/>
  <c r="R676" i="97"/>
  <c r="R575" i="97"/>
  <c r="R593" i="97"/>
  <c r="R805" i="97"/>
  <c r="R755" i="97"/>
  <c r="R749" i="97"/>
  <c r="R996" i="97"/>
  <c r="R777" i="97"/>
  <c r="R694" i="97"/>
  <c r="R654" i="97"/>
  <c r="R932" i="97"/>
  <c r="R861" i="97"/>
  <c r="R798" i="97"/>
  <c r="R673" i="97"/>
  <c r="R967" i="97"/>
  <c r="R981" i="97"/>
  <c r="R1021" i="97"/>
  <c r="R952" i="97"/>
  <c r="R806" i="97"/>
  <c r="R946" i="97"/>
  <c r="R894" i="97"/>
  <c r="R866" i="97"/>
  <c r="R611" i="97"/>
  <c r="R1027" i="97"/>
  <c r="R860" i="97"/>
  <c r="R908" i="97"/>
  <c r="R963" i="97"/>
  <c r="R840" i="97"/>
  <c r="R788" i="97"/>
  <c r="R910" i="97"/>
  <c r="R731" i="97"/>
  <c r="R573" i="97"/>
  <c r="R808" i="97"/>
  <c r="R937" i="97"/>
  <c r="R973" i="97"/>
  <c r="R833" i="97"/>
  <c r="R592" i="97"/>
  <c r="R797" i="97"/>
  <c r="R940" i="97"/>
  <c r="R896" i="97"/>
  <c r="R853" i="97"/>
  <c r="R877" i="97"/>
  <c r="R712" i="97"/>
  <c r="R669" i="97"/>
  <c r="R864" i="97"/>
  <c r="R713" i="97"/>
  <c r="R816" i="97"/>
  <c r="R722" i="97"/>
  <c r="R821" i="97"/>
  <c r="R966" i="97"/>
  <c r="R1023" i="97"/>
  <c r="R634" i="97"/>
  <c r="R674" i="97"/>
  <c r="R636" i="97"/>
  <c r="R706" i="97"/>
  <c r="R936" i="97"/>
  <c r="R867" i="97"/>
  <c r="R576" i="97"/>
  <c r="R668" i="97"/>
  <c r="R736" i="97"/>
  <c r="R907" i="97"/>
  <c r="R700" i="97"/>
  <c r="R684" i="97"/>
  <c r="R610" i="97"/>
  <c r="R852" i="97"/>
  <c r="R594" i="97"/>
  <c r="R632" i="97"/>
  <c r="R571" i="97"/>
  <c r="R960" i="97"/>
  <c r="R630" i="97"/>
  <c r="R982" i="97"/>
  <c r="R895" i="97"/>
  <c r="R869" i="97"/>
  <c r="R679" i="97"/>
  <c r="R790" i="97"/>
  <c r="R849" i="97"/>
  <c r="R562" i="97"/>
  <c r="R768" i="97"/>
  <c r="R826" i="97"/>
  <c r="R629" i="97"/>
  <c r="R746" i="97"/>
  <c r="R553" i="97"/>
  <c r="R635" i="97"/>
  <c r="R586" i="97"/>
  <c r="R690" i="97"/>
  <c r="R559" i="97"/>
  <c r="R922" i="97"/>
  <c r="R652" i="97"/>
  <c r="R1024" i="97"/>
  <c r="R754" i="97"/>
  <c r="R641" i="97"/>
  <c r="R585" i="97"/>
  <c r="R720" i="97"/>
  <c r="R340" i="97"/>
  <c r="R998" i="97"/>
  <c r="R838" i="97"/>
  <c r="R968" i="97"/>
  <c r="R763" i="97"/>
  <c r="R812" i="97"/>
  <c r="R651" i="97"/>
  <c r="R804" i="97"/>
  <c r="R912" i="97"/>
  <c r="R855" i="97"/>
  <c r="R716" i="97"/>
  <c r="R871" i="97"/>
  <c r="R836" i="97"/>
  <c r="R899" i="97"/>
  <c r="R555" i="97"/>
  <c r="R781" i="97"/>
  <c r="R918" i="97"/>
  <c r="R596" i="97"/>
  <c r="R811" i="97"/>
  <c r="R874" i="97"/>
  <c r="R893" i="97"/>
  <c r="R921" i="97"/>
  <c r="R681" i="97"/>
  <c r="R927" i="97"/>
  <c r="R711" i="97"/>
  <c r="R778" i="97"/>
  <c r="R646" i="97"/>
  <c r="R587" i="97"/>
  <c r="R663" i="97"/>
  <c r="R743" i="97"/>
  <c r="R991" i="97"/>
  <c r="R616" i="97"/>
  <c r="R584" i="97"/>
  <c r="R1007" i="97"/>
  <c r="R975" i="97"/>
  <c r="R943" i="97"/>
  <c r="R751" i="97"/>
  <c r="R934" i="97"/>
  <c r="R649" i="97"/>
  <c r="R698" i="97"/>
  <c r="R704" i="97"/>
  <c r="R815" i="97"/>
  <c r="R637" i="97"/>
  <c r="R762" i="97"/>
  <c r="R748" i="97"/>
  <c r="R659" i="97"/>
  <c r="R782" i="97"/>
  <c r="R609" i="97"/>
  <c r="R695" i="97"/>
  <c r="R803" i="97"/>
  <c r="R551" i="97"/>
  <c r="R612" i="97"/>
  <c r="R580" i="97"/>
  <c r="R661" i="97"/>
  <c r="R881" i="97"/>
  <c r="R727" i="97"/>
  <c r="R624" i="97"/>
  <c r="R783" i="97"/>
  <c r="R890" i="97"/>
  <c r="R794" i="97"/>
  <c r="R819" i="97"/>
  <c r="R883" i="97"/>
  <c r="R802" i="97"/>
  <c r="R814" i="97"/>
  <c r="R961" i="97"/>
  <c r="R858" i="97"/>
  <c r="R914" i="97"/>
  <c r="R633" i="97"/>
  <c r="R677" i="97"/>
  <c r="R658" i="97"/>
  <c r="R977" i="97"/>
  <c r="R810" i="97"/>
  <c r="R697" i="97"/>
  <c r="R564" i="97"/>
  <c r="R759" i="97"/>
  <c r="R857" i="97"/>
  <c r="R807" i="97"/>
  <c r="R740" i="97"/>
  <c r="R339" i="97"/>
  <c r="R835" i="97"/>
  <c r="R791" i="97"/>
  <c r="R891" i="97"/>
  <c r="R603" i="97"/>
  <c r="R618" i="97"/>
  <c r="R862" i="97"/>
  <c r="R601" i="97"/>
  <c r="R944" i="97"/>
  <c r="R1009" i="97"/>
  <c r="R880" i="97"/>
  <c r="R787" i="97"/>
  <c r="R851" i="97"/>
  <c r="R730" i="97"/>
  <c r="R660" i="97"/>
  <c r="R873" i="97"/>
  <c r="R648" i="97"/>
  <c r="R842" i="97"/>
  <c r="R1008" i="97"/>
  <c r="R993" i="97"/>
  <c r="R675" i="97"/>
  <c r="R688" i="97"/>
  <c r="R626" i="97"/>
  <c r="R645" i="97"/>
  <c r="R769" i="97"/>
  <c r="R578" i="97"/>
  <c r="R831" i="97"/>
  <c r="R992" i="97"/>
  <c r="R959" i="97"/>
  <c r="R644" i="97"/>
  <c r="R672" i="97"/>
  <c r="R1014" i="97"/>
  <c r="R615" i="97"/>
  <c r="R771" i="97"/>
  <c r="R976" i="97"/>
  <c r="R758" i="97"/>
  <c r="R913" i="97"/>
  <c r="R577" i="97"/>
  <c r="R662" i="97"/>
  <c r="R766" i="97"/>
  <c r="R1025" i="97"/>
  <c r="R884" i="97"/>
  <c r="R872" i="97"/>
  <c r="R950" i="97"/>
  <c r="R739" i="97"/>
  <c r="R691" i="97"/>
  <c r="R911" i="97"/>
  <c r="R650" i="97"/>
  <c r="R945" i="97"/>
  <c r="R875" i="97"/>
  <c r="R929" i="97"/>
  <c r="R906" i="97"/>
  <c r="R767" i="97"/>
  <c r="R666" i="97"/>
  <c r="R747" i="97"/>
  <c r="R848" i="97"/>
  <c r="H20" i="116" l="1"/>
  <c r="H17" i="116" l="1"/>
  <c r="H16" i="116"/>
  <c r="H18" i="116" l="1"/>
  <c r="H21" i="116" s="1"/>
  <c r="H11" i="116"/>
  <c r="B1" i="116"/>
  <c r="O23" i="46" l="1"/>
  <c r="O24" i="46" s="1"/>
  <c r="M24" i="46"/>
  <c r="K24" i="46"/>
  <c r="O8" i="46"/>
  <c r="O9" i="46" s="1"/>
  <c r="K20" i="46" l="1"/>
  <c r="K21" i="46"/>
  <c r="K22" i="46" l="1"/>
  <c r="K25" i="46" s="1"/>
  <c r="N8" i="114" l="1"/>
  <c r="O8" i="114" s="1"/>
  <c r="N5" i="114"/>
  <c r="O5" i="114" s="1"/>
  <c r="B1" i="114"/>
  <c r="M8" i="113"/>
  <c r="M9" i="113" s="1"/>
  <c r="K9" i="113"/>
  <c r="B1" i="113"/>
  <c r="K9" i="112"/>
  <c r="B1" i="112"/>
  <c r="K9" i="111"/>
  <c r="B1" i="111"/>
  <c r="O22" i="110"/>
  <c r="K9" i="110"/>
  <c r="B1" i="110"/>
  <c r="M9" i="108" l="1"/>
  <c r="K9" i="108"/>
  <c r="B1" i="108"/>
  <c r="L5" i="107"/>
  <c r="M5" i="107" s="1"/>
  <c r="M7" i="107"/>
  <c r="B1" i="107"/>
  <c r="K9" i="106"/>
  <c r="M8" i="106"/>
  <c r="M9" i="106" s="1"/>
  <c r="B1" i="106"/>
  <c r="P9" i="105"/>
  <c r="N9" i="78"/>
  <c r="N9" i="105"/>
  <c r="Y9" i="105" l="1"/>
  <c r="R9" i="105"/>
  <c r="W8" i="105"/>
  <c r="W9" i="105" s="1"/>
  <c r="L9" i="105"/>
  <c r="B1" i="105"/>
  <c r="N9" i="103"/>
  <c r="U9" i="103"/>
  <c r="S9" i="103"/>
  <c r="L9" i="103"/>
  <c r="B1" i="103"/>
  <c r="Y9" i="78"/>
  <c r="W9" i="78"/>
  <c r="O31" i="105" l="1"/>
  <c r="M24" i="105"/>
  <c r="P9" i="78"/>
  <c r="O43" i="105" l="1"/>
  <c r="O23" i="105"/>
  <c r="O35" i="105"/>
  <c r="O19" i="105"/>
  <c r="M34" i="105"/>
  <c r="P23" i="105"/>
  <c r="M42" i="105"/>
  <c r="O38" i="105"/>
  <c r="M30" i="105"/>
  <c r="M18" i="105"/>
  <c r="O22" i="105"/>
  <c r="M22" i="105"/>
  <c r="M40" i="105"/>
  <c r="P42" i="105"/>
  <c r="N34" i="105"/>
  <c r="P34" i="105"/>
  <c r="N18" i="105"/>
  <c r="P18" i="105"/>
  <c r="N24" i="105"/>
  <c r="N44" i="105"/>
  <c r="P19" i="105"/>
  <c r="N20" i="105"/>
  <c r="Q22" i="105" l="1"/>
  <c r="R18" i="105"/>
  <c r="R884" i="25" l="1"/>
  <c r="R871" i="25"/>
  <c r="R636" i="25"/>
  <c r="R644" i="25"/>
  <c r="R890" i="25"/>
  <c r="R816" i="25"/>
  <c r="R889" i="25"/>
  <c r="R800" i="25"/>
  <c r="R643" i="25"/>
  <c r="R635" i="25"/>
  <c r="B1" i="46" l="1"/>
  <c r="N30" i="46" l="1"/>
  <c r="O30" i="46"/>
  <c r="O32" i="46"/>
  <c r="W45" i="105"/>
  <c r="W30" i="105"/>
  <c r="V23" i="105"/>
  <c r="V45" i="105"/>
  <c r="V37" i="105"/>
  <c r="V30" i="105"/>
  <c r="W44" i="105"/>
  <c r="Y44" i="105" s="1"/>
  <c r="V22" i="105"/>
  <c r="V14" i="105"/>
  <c r="W36" i="105"/>
  <c r="W21" i="105"/>
  <c r="V21" i="105"/>
  <c r="V43" i="105"/>
  <c r="W35" i="105"/>
  <c r="V28" i="105"/>
  <c r="W20" i="105"/>
  <c r="W42" i="105"/>
  <c r="V35" i="105"/>
  <c r="W27" i="105"/>
  <c r="V42" i="105"/>
  <c r="W34" i="105"/>
  <c r="V27" i="105"/>
  <c r="W19" i="105"/>
  <c r="V34" i="105"/>
  <c r="V19" i="105"/>
  <c r="V41" i="105"/>
  <c r="W33" i="105"/>
  <c r="W18" i="105"/>
  <c r="V33" i="105"/>
  <c r="W25" i="105"/>
  <c r="V18" i="105"/>
  <c r="V40" i="105"/>
  <c r="V25" i="105"/>
  <c r="W39" i="105"/>
  <c r="V17" i="105"/>
  <c r="W24" i="105"/>
  <c r="V24" i="105"/>
  <c r="V38" i="105"/>
  <c r="V31" i="105"/>
  <c r="W23" i="105"/>
  <c r="W15" i="105"/>
  <c r="N27" i="110" l="1"/>
  <c r="Y24" i="105"/>
  <c r="Y20" i="105"/>
  <c r="Y18" i="105"/>
  <c r="Y34" i="105"/>
  <c r="L34" i="108"/>
  <c r="O27" i="110"/>
  <c r="M14" i="113"/>
  <c r="M32" i="113"/>
  <c r="M16" i="114"/>
  <c r="M34" i="113"/>
  <c r="L20" i="113"/>
  <c r="L16" i="114"/>
  <c r="L30" i="113"/>
  <c r="L38" i="108"/>
  <c r="M18" i="113"/>
  <c r="M16" i="113"/>
  <c r="M26" i="113"/>
  <c r="L18" i="113"/>
  <c r="X24" i="105"/>
  <c r="M14" i="108"/>
  <c r="X22" i="105"/>
  <c r="M20" i="113"/>
  <c r="M30" i="113"/>
  <c r="L22" i="113"/>
  <c r="X40" i="105"/>
  <c r="M30" i="108"/>
  <c r="L24" i="108"/>
  <c r="L16" i="113"/>
  <c r="M28" i="113"/>
  <c r="M20" i="114"/>
  <c r="L26" i="113"/>
  <c r="M38" i="113"/>
  <c r="X18" i="105"/>
  <c r="L36" i="113"/>
  <c r="X34" i="105"/>
  <c r="M14" i="106"/>
  <c r="L40" i="113"/>
  <c r="L22" i="108"/>
  <c r="L26" i="108"/>
  <c r="L30" i="108"/>
  <c r="L18" i="108"/>
  <c r="M16" i="108"/>
  <c r="X30" i="105"/>
  <c r="M20" i="108"/>
  <c r="V153" i="78"/>
  <c r="M24" i="108"/>
  <c r="M28" i="108"/>
  <c r="V151" i="78"/>
  <c r="M32" i="108"/>
  <c r="M14" i="114"/>
  <c r="W154" i="78"/>
  <c r="M36" i="108"/>
  <c r="L14" i="114"/>
  <c r="M18" i="114"/>
  <c r="O14" i="105"/>
  <c r="W152" i="78"/>
  <c r="M40" i="108"/>
  <c r="M22" i="113"/>
  <c r="L18" i="114"/>
  <c r="K6" i="111"/>
  <c r="K5" i="111"/>
  <c r="S15" i="103"/>
  <c r="M18" i="108"/>
  <c r="L14" i="113"/>
  <c r="K5" i="113"/>
  <c r="K6" i="113"/>
  <c r="V154" i="78"/>
  <c r="P15" i="105"/>
  <c r="X42" i="105"/>
  <c r="M22" i="108"/>
  <c r="L16" i="108"/>
  <c r="N28" i="110"/>
  <c r="O28" i="110"/>
  <c r="M26" i="108"/>
  <c r="L20" i="108"/>
  <c r="M24" i="113"/>
  <c r="P30" i="105"/>
  <c r="P35" i="105"/>
  <c r="R34" i="105" s="1"/>
  <c r="V152" i="78"/>
  <c r="K6" i="107"/>
  <c r="K5" i="107"/>
  <c r="M34" i="108"/>
  <c r="L28" i="108"/>
  <c r="M38" i="108"/>
  <c r="L32" i="108"/>
  <c r="K5" i="112"/>
  <c r="K6" i="112"/>
  <c r="L24" i="113"/>
  <c r="M36" i="113"/>
  <c r="L20" i="114"/>
  <c r="L34" i="113"/>
  <c r="O29" i="46"/>
  <c r="P14" i="105"/>
  <c r="W153" i="78"/>
  <c r="L14" i="106"/>
  <c r="K6" i="106"/>
  <c r="K5" i="106"/>
  <c r="L36" i="108"/>
  <c r="L28" i="113"/>
  <c r="M40" i="113"/>
  <c r="L38" i="113"/>
  <c r="N32" i="46"/>
  <c r="N31" i="46"/>
  <c r="L40" i="108"/>
  <c r="L32" i="113"/>
  <c r="O31" i="46"/>
  <c r="W151" i="78"/>
  <c r="K5" i="108"/>
  <c r="K6" i="108"/>
  <c r="L14" i="108"/>
  <c r="K6" i="110"/>
  <c r="K5" i="110"/>
  <c r="O15" i="46"/>
  <c r="N15" i="46"/>
  <c r="O17" i="46"/>
  <c r="N17" i="46"/>
  <c r="O16" i="46"/>
  <c r="N16" i="46"/>
  <c r="M5" i="106" l="1"/>
  <c r="M10" i="106" s="1"/>
  <c r="R25" i="103"/>
  <c r="O19" i="110"/>
  <c r="S21" i="103"/>
  <c r="O18" i="110"/>
  <c r="S19" i="103"/>
  <c r="M5" i="108"/>
  <c r="M10" i="108" s="1"/>
  <c r="S25" i="103"/>
  <c r="R14" i="105"/>
  <c r="W41" i="105"/>
  <c r="P39" i="105"/>
  <c r="W29" i="105"/>
  <c r="P27" i="105"/>
  <c r="W17" i="105"/>
  <c r="M136" i="78"/>
  <c r="M94" i="78"/>
  <c r="M82" i="78"/>
  <c r="N146" i="78"/>
  <c r="N40" i="78"/>
  <c r="W139" i="78"/>
  <c r="N126" i="78"/>
  <c r="M132" i="78"/>
  <c r="W126" i="78"/>
  <c r="M78" i="78"/>
  <c r="M60" i="78"/>
  <c r="N58" i="78"/>
  <c r="M26" i="78"/>
  <c r="N50" i="78"/>
  <c r="N14" i="78"/>
  <c r="W81" i="78"/>
  <c r="M50" i="78"/>
  <c r="W75" i="78"/>
  <c r="V56" i="78"/>
  <c r="M18" i="78"/>
  <c r="N46" i="78"/>
  <c r="N94" i="78"/>
  <c r="N76" i="78"/>
  <c r="W149" i="78"/>
  <c r="N32" i="78"/>
  <c r="N38" i="78"/>
  <c r="M130" i="78"/>
  <c r="M24" i="78"/>
  <c r="M38" i="78"/>
  <c r="V62" i="78"/>
  <c r="N120" i="78"/>
  <c r="N18" i="78"/>
  <c r="M52" i="78"/>
  <c r="W60" i="78"/>
  <c r="N130" i="78"/>
  <c r="N96" i="78"/>
  <c r="V14" i="78"/>
  <c r="N108" i="78"/>
  <c r="M98" i="78"/>
  <c r="M106" i="78"/>
  <c r="M126" i="78"/>
  <c r="N36" i="78"/>
  <c r="N26" i="78"/>
  <c r="M134" i="78"/>
  <c r="V135" i="78"/>
  <c r="W49" i="78"/>
  <c r="V37" i="78"/>
  <c r="M44" i="78"/>
  <c r="V44" i="78"/>
  <c r="S23" i="103"/>
  <c r="M8" i="114"/>
  <c r="P8" i="114" s="1"/>
  <c r="M5" i="113"/>
  <c r="M10" i="113" s="1"/>
  <c r="S17" i="103"/>
  <c r="R335" i="97"/>
  <c r="M36" i="78"/>
  <c r="Y151" i="78"/>
  <c r="V16" i="105"/>
  <c r="X16" i="105" s="1"/>
  <c r="R17" i="103"/>
  <c r="M140" i="78"/>
  <c r="V39" i="105"/>
  <c r="X38" i="105" s="1"/>
  <c r="V20" i="105"/>
  <c r="X20" i="105" s="1"/>
  <c r="M32" i="105"/>
  <c r="O30" i="105"/>
  <c r="Q30" i="105" s="1"/>
  <c r="M36" i="105"/>
  <c r="O34" i="105"/>
  <c r="Q34" i="105" s="1"/>
  <c r="M44" i="105"/>
  <c r="O42" i="105"/>
  <c r="Q42" i="105" s="1"/>
  <c r="V15" i="105"/>
  <c r="X14" i="105" s="1"/>
  <c r="M28" i="105"/>
  <c r="O27" i="105"/>
  <c r="L5" i="105"/>
  <c r="L6" i="105"/>
  <c r="M16" i="105"/>
  <c r="M20" i="105"/>
  <c r="O18" i="105"/>
  <c r="Q18" i="105" s="1"/>
  <c r="K7" i="111"/>
  <c r="K10" i="111" s="1"/>
  <c r="M5" i="114"/>
  <c r="P5" i="114" s="1"/>
  <c r="M24" i="103"/>
  <c r="Y153" i="78"/>
  <c r="R23" i="103"/>
  <c r="W43" i="105"/>
  <c r="Y42" i="105" s="1"/>
  <c r="P43" i="105"/>
  <c r="R42" i="105" s="1"/>
  <c r="N42" i="105"/>
  <c r="M26" i="105"/>
  <c r="O26" i="105"/>
  <c r="Q26" i="105" s="1"/>
  <c r="V36" i="105"/>
  <c r="X36" i="105" s="1"/>
  <c r="W32" i="105"/>
  <c r="Y32" i="105" s="1"/>
  <c r="N32" i="105"/>
  <c r="V44" i="105"/>
  <c r="X44" i="105" s="1"/>
  <c r="W28" i="105"/>
  <c r="N28" i="105"/>
  <c r="V29" i="105"/>
  <c r="X28" i="105" s="1"/>
  <c r="W16" i="105"/>
  <c r="N16" i="105"/>
  <c r="P38" i="105"/>
  <c r="N38" i="105"/>
  <c r="W38" i="105"/>
  <c r="Y38" i="105" s="1"/>
  <c r="P22" i="105"/>
  <c r="R22" i="105" s="1"/>
  <c r="N22" i="105"/>
  <c r="W22" i="105"/>
  <c r="Y22" i="105" s="1"/>
  <c r="O39" i="105"/>
  <c r="Q38" i="105" s="1"/>
  <c r="M38" i="105"/>
  <c r="W37" i="105"/>
  <c r="Y36" i="105" s="1"/>
  <c r="N36" i="105"/>
  <c r="O15" i="105"/>
  <c r="Q14" i="105" s="1"/>
  <c r="M14" i="105"/>
  <c r="N14" i="105"/>
  <c r="W14" i="105"/>
  <c r="W31" i="105"/>
  <c r="Y30" i="105" s="1"/>
  <c r="P31" i="105"/>
  <c r="R30" i="105" s="1"/>
  <c r="N30" i="105"/>
  <c r="W40" i="105"/>
  <c r="N40" i="105"/>
  <c r="N26" i="105"/>
  <c r="P26" i="105"/>
  <c r="R26" i="105" s="1"/>
  <c r="W26" i="105"/>
  <c r="Y26" i="105" s="1"/>
  <c r="V26" i="105"/>
  <c r="X26" i="105" s="1"/>
  <c r="V32" i="105"/>
  <c r="X32" i="105" s="1"/>
  <c r="R16" i="103"/>
  <c r="R18" i="103"/>
  <c r="K7" i="110"/>
  <c r="K10" i="110" s="1"/>
  <c r="K7" i="108"/>
  <c r="K10" i="108" s="1"/>
  <c r="K7" i="112"/>
  <c r="K10" i="112" s="1"/>
  <c r="R21" i="103"/>
  <c r="R15" i="103"/>
  <c r="X151" i="78"/>
  <c r="R20" i="103"/>
  <c r="M16" i="103"/>
  <c r="L5" i="103"/>
  <c r="S14" i="103"/>
  <c r="U14" i="103" s="1"/>
  <c r="N14" i="103"/>
  <c r="K7" i="106"/>
  <c r="K10" i="106" s="1"/>
  <c r="R19" i="103"/>
  <c r="N74" i="78"/>
  <c r="N42" i="78"/>
  <c r="M18" i="103"/>
  <c r="M64" i="78"/>
  <c r="N84" i="78"/>
  <c r="N102" i="78"/>
  <c r="M72" i="78"/>
  <c r="N16" i="78"/>
  <c r="R22" i="103"/>
  <c r="M22" i="103"/>
  <c r="N138" i="78"/>
  <c r="N22" i="103"/>
  <c r="S22" i="103"/>
  <c r="N116" i="78"/>
  <c r="N16" i="103"/>
  <c r="S16" i="103"/>
  <c r="O20" i="110"/>
  <c r="O23" i="110" s="1"/>
  <c r="K7" i="113"/>
  <c r="K10" i="113" s="1"/>
  <c r="S18" i="103"/>
  <c r="N18" i="103"/>
  <c r="X153" i="78"/>
  <c r="N5" i="107"/>
  <c r="K7" i="107"/>
  <c r="N7" i="107" s="1"/>
  <c r="N90" i="78"/>
  <c r="M20" i="103"/>
  <c r="N78" i="78"/>
  <c r="R14" i="103"/>
  <c r="M14" i="103"/>
  <c r="L6" i="103"/>
  <c r="N92" i="78"/>
  <c r="R24" i="103"/>
  <c r="N112" i="78"/>
  <c r="M80" i="78"/>
  <c r="N98" i="78"/>
  <c r="M84" i="78"/>
  <c r="S20" i="103"/>
  <c r="U20" i="103" s="1"/>
  <c r="N20" i="103"/>
  <c r="M21" i="46"/>
  <c r="N29" i="46"/>
  <c r="M20" i="46"/>
  <c r="N24" i="103"/>
  <c r="S24" i="103"/>
  <c r="U24" i="103" s="1"/>
  <c r="N14" i="46"/>
  <c r="O14" i="46"/>
  <c r="U18" i="103" l="1"/>
  <c r="V90" i="78"/>
  <c r="W29" i="78"/>
  <c r="W133" i="78"/>
  <c r="V39" i="78"/>
  <c r="W87" i="78"/>
  <c r="W145" i="78"/>
  <c r="W77" i="78"/>
  <c r="V143" i="78"/>
  <c r="V120" i="78"/>
  <c r="W98" i="78"/>
  <c r="V109" i="78"/>
  <c r="V88" i="78"/>
  <c r="W36" i="78"/>
  <c r="V22" i="78"/>
  <c r="V134" i="78"/>
  <c r="V89" i="78"/>
  <c r="V72" i="78"/>
  <c r="M70" i="78"/>
  <c r="W124" i="78"/>
  <c r="Y28" i="105"/>
  <c r="M118" i="78"/>
  <c r="N64" i="78"/>
  <c r="M62" i="78"/>
  <c r="N136" i="78"/>
  <c r="N60" i="78"/>
  <c r="M58" i="78"/>
  <c r="O58" i="78" s="1"/>
  <c r="V31" i="78"/>
  <c r="N80" i="78"/>
  <c r="P78" i="78" s="1"/>
  <c r="W56" i="78"/>
  <c r="W143" i="78"/>
  <c r="Y143" i="78" s="1"/>
  <c r="N22" i="78"/>
  <c r="W116" i="78"/>
  <c r="W73" i="78"/>
  <c r="M96" i="78"/>
  <c r="O94" i="78" s="1"/>
  <c r="V42" i="78"/>
  <c r="N44" i="78"/>
  <c r="M68" i="78"/>
  <c r="V129" i="78"/>
  <c r="W61" i="78"/>
  <c r="M30" i="78"/>
  <c r="M88" i="78"/>
  <c r="N142" i="78"/>
  <c r="M16" i="78"/>
  <c r="N122" i="78"/>
  <c r="M46" i="78"/>
  <c r="W18" i="78"/>
  <c r="W108" i="78"/>
  <c r="W71" i="78"/>
  <c r="W118" i="78"/>
  <c r="M112" i="78"/>
  <c r="W109" i="78"/>
  <c r="W66" i="78"/>
  <c r="W20" i="78"/>
  <c r="M142" i="78"/>
  <c r="N134" i="78"/>
  <c r="W28" i="78"/>
  <c r="W82" i="78"/>
  <c r="M102" i="78"/>
  <c r="M74" i="78"/>
  <c r="N62" i="78"/>
  <c r="P62" i="78" s="1"/>
  <c r="M104" i="78"/>
  <c r="O102" i="78" s="1"/>
  <c r="M22" i="78"/>
  <c r="O22" i="78" s="1"/>
  <c r="W57" i="78"/>
  <c r="M120" i="78"/>
  <c r="M122" i="78"/>
  <c r="W111" i="78"/>
  <c r="N20" i="78"/>
  <c r="P18" i="78" s="1"/>
  <c r="M56" i="78"/>
  <c r="M110" i="78"/>
  <c r="O110" i="78" s="1"/>
  <c r="N54" i="78"/>
  <c r="W115" i="78"/>
  <c r="W117" i="78"/>
  <c r="V104" i="78"/>
  <c r="N30" i="78"/>
  <c r="P30" i="78" s="1"/>
  <c r="W59" i="78"/>
  <c r="V100" i="78"/>
  <c r="V35" i="78"/>
  <c r="X35" i="78" s="1"/>
  <c r="M76" i="78"/>
  <c r="O74" i="78" s="1"/>
  <c r="N124" i="78"/>
  <c r="W37" i="78"/>
  <c r="V106" i="78"/>
  <c r="M100" i="78"/>
  <c r="M34" i="78"/>
  <c r="O34" i="78" s="1"/>
  <c r="W48" i="78"/>
  <c r="W80" i="78"/>
  <c r="W140" i="78"/>
  <c r="W65" i="78"/>
  <c r="W45" i="78"/>
  <c r="V69" i="78"/>
  <c r="M40" i="78"/>
  <c r="O38" i="78" s="1"/>
  <c r="W136" i="78"/>
  <c r="W58" i="78"/>
  <c r="Y58" i="78" s="1"/>
  <c r="W112" i="78"/>
  <c r="N132" i="78"/>
  <c r="P130" i="78" s="1"/>
  <c r="V113" i="78"/>
  <c r="W74" i="78"/>
  <c r="M14" i="78"/>
  <c r="W79" i="78"/>
  <c r="Y79" i="78" s="1"/>
  <c r="W38" i="78"/>
  <c r="N28" i="78"/>
  <c r="P26" i="78" s="1"/>
  <c r="W125" i="78"/>
  <c r="N110" i="78"/>
  <c r="P110" i="78" s="1"/>
  <c r="W105" i="78"/>
  <c r="W93" i="78"/>
  <c r="V48" i="78"/>
  <c r="V102" i="78"/>
  <c r="X102" i="78" s="1"/>
  <c r="V74" i="78"/>
  <c r="W30" i="78"/>
  <c r="V29" i="78"/>
  <c r="V96" i="78"/>
  <c r="W55" i="78"/>
  <c r="Y55" i="78" s="1"/>
  <c r="N88" i="78"/>
  <c r="W15" i="78"/>
  <c r="W107" i="78"/>
  <c r="Y107" i="78" s="1"/>
  <c r="N148" i="78"/>
  <c r="N34" i="78"/>
  <c r="P34" i="78" s="1"/>
  <c r="M138" i="78"/>
  <c r="O138" i="78" s="1"/>
  <c r="N56" i="78"/>
  <c r="M86" i="78"/>
  <c r="Y16" i="105"/>
  <c r="W39" i="78"/>
  <c r="M116" i="78"/>
  <c r="M42" i="78"/>
  <c r="O42" i="78" s="1"/>
  <c r="N86" i="78"/>
  <c r="N104" i="78"/>
  <c r="P102" i="78" s="1"/>
  <c r="W128" i="78"/>
  <c r="Y126" i="78" s="1"/>
  <c r="N128" i="78"/>
  <c r="P126" i="78" s="1"/>
  <c r="W114" i="78"/>
  <c r="V47" i="78"/>
  <c r="N114" i="78"/>
  <c r="M28" i="78"/>
  <c r="O26" i="78" s="1"/>
  <c r="M90" i="78"/>
  <c r="V75" i="78"/>
  <c r="W89" i="78"/>
  <c r="Y87" i="78" s="1"/>
  <c r="W97" i="78"/>
  <c r="W99" i="78"/>
  <c r="V54" i="78"/>
  <c r="X54" i="78" s="1"/>
  <c r="V65" i="78"/>
  <c r="V146" i="78"/>
  <c r="W134" i="78"/>
  <c r="W113" i="78"/>
  <c r="V41" i="78"/>
  <c r="W68" i="78"/>
  <c r="V92" i="78"/>
  <c r="X90" i="78" s="1"/>
  <c r="W121" i="78"/>
  <c r="W91" i="78"/>
  <c r="V27" i="78"/>
  <c r="W41" i="78"/>
  <c r="V105" i="78"/>
  <c r="V38" i="78"/>
  <c r="M124" i="78"/>
  <c r="V73" i="78"/>
  <c r="V128" i="78"/>
  <c r="W146" i="78"/>
  <c r="N72" i="78"/>
  <c r="M66" i="78"/>
  <c r="O66" i="78" s="1"/>
  <c r="M148" i="78"/>
  <c r="N24" i="78"/>
  <c r="P22" i="78" s="1"/>
  <c r="N66" i="78"/>
  <c r="N70" i="78"/>
  <c r="U16" i="103"/>
  <c r="V118" i="78"/>
  <c r="X118" i="78" s="1"/>
  <c r="V40" i="78"/>
  <c r="V18" i="78"/>
  <c r="W52" i="78"/>
  <c r="V60" i="78"/>
  <c r="V93" i="78"/>
  <c r="V63" i="78"/>
  <c r="W141" i="78"/>
  <c r="Y139" i="78" s="1"/>
  <c r="W64" i="78"/>
  <c r="W23" i="78"/>
  <c r="W40" i="78"/>
  <c r="Y38" i="78" s="1"/>
  <c r="W147" i="78"/>
  <c r="Y147" i="78" s="1"/>
  <c r="W67" i="78"/>
  <c r="W106" i="78"/>
  <c r="Y106" i="78" s="1"/>
  <c r="W17" i="78"/>
  <c r="Y15" i="78" s="1"/>
  <c r="V125" i="78"/>
  <c r="W100" i="78"/>
  <c r="W110" i="78"/>
  <c r="M144" i="78"/>
  <c r="V32" i="78"/>
  <c r="W83" i="78"/>
  <c r="W144" i="78"/>
  <c r="V52" i="78"/>
  <c r="M114" i="78"/>
  <c r="V61" i="78"/>
  <c r="V78" i="78"/>
  <c r="M92" i="78"/>
  <c r="W85" i="78"/>
  <c r="V81" i="78"/>
  <c r="V127" i="78"/>
  <c r="W88" i="78"/>
  <c r="M48" i="78"/>
  <c r="W62" i="78"/>
  <c r="W129" i="78"/>
  <c r="W14" i="78"/>
  <c r="N82" i="78"/>
  <c r="P82" i="78" s="1"/>
  <c r="T18" i="103"/>
  <c r="W148" i="78"/>
  <c r="W35" i="78"/>
  <c r="V139" i="78"/>
  <c r="V49" i="78"/>
  <c r="W44" i="78"/>
  <c r="V68" i="78"/>
  <c r="W47" i="78"/>
  <c r="Y47" i="78" s="1"/>
  <c r="V116" i="78"/>
  <c r="V145" i="78"/>
  <c r="X143" i="78" s="1"/>
  <c r="V87" i="78"/>
  <c r="V67" i="78"/>
  <c r="V149" i="78"/>
  <c r="W25" i="78"/>
  <c r="V76" i="78"/>
  <c r="W86" i="78"/>
  <c r="W21" i="78"/>
  <c r="V117" i="78"/>
  <c r="W104" i="78"/>
  <c r="W31" i="78"/>
  <c r="V133" i="78"/>
  <c r="V123" i="78"/>
  <c r="V46" i="78"/>
  <c r="X46" i="78" s="1"/>
  <c r="W123" i="78"/>
  <c r="V111" i="78"/>
  <c r="X111" i="78" s="1"/>
  <c r="V107" i="78"/>
  <c r="X107" i="78" s="1"/>
  <c r="V30" i="78"/>
  <c r="V119" i="78"/>
  <c r="W94" i="78"/>
  <c r="N48" i="78"/>
  <c r="P46" i="78" s="1"/>
  <c r="V34" i="78"/>
  <c r="N140" i="78"/>
  <c r="P138" i="78" s="1"/>
  <c r="V21" i="78"/>
  <c r="V53" i="78"/>
  <c r="W135" i="78"/>
  <c r="V23" i="78"/>
  <c r="W16" i="78"/>
  <c r="V147" i="78"/>
  <c r="V57" i="78"/>
  <c r="V26" i="78"/>
  <c r="W53" i="78"/>
  <c r="V77" i="78"/>
  <c r="W127" i="78"/>
  <c r="V95" i="78"/>
  <c r="V58" i="78"/>
  <c r="V36" i="78"/>
  <c r="W132" i="78"/>
  <c r="V115" i="78"/>
  <c r="V59" i="78"/>
  <c r="W32" i="78"/>
  <c r="V101" i="78"/>
  <c r="V28" i="78"/>
  <c r="V112" i="78"/>
  <c r="V82" i="78"/>
  <c r="W76" i="78"/>
  <c r="V91" i="78"/>
  <c r="W34" i="78"/>
  <c r="Y34" i="78" s="1"/>
  <c r="V138" i="78"/>
  <c r="W103" i="78"/>
  <c r="W43" i="78"/>
  <c r="V15" i="78"/>
  <c r="V141" i="78"/>
  <c r="W92" i="78"/>
  <c r="V132" i="78"/>
  <c r="V85" i="78"/>
  <c r="V19" i="78"/>
  <c r="V79" i="78"/>
  <c r="V20" i="78"/>
  <c r="W96" i="78"/>
  <c r="W120" i="78"/>
  <c r="W69" i="78"/>
  <c r="V51" i="78"/>
  <c r="V70" i="78"/>
  <c r="V137" i="78"/>
  <c r="X135" i="78" s="1"/>
  <c r="V83" i="78"/>
  <c r="V86" i="78"/>
  <c r="X86" i="78" s="1"/>
  <c r="V136" i="78"/>
  <c r="W90" i="78"/>
  <c r="W84" i="78"/>
  <c r="Y82" i="78" s="1"/>
  <c r="V121" i="78"/>
  <c r="V24" i="78"/>
  <c r="X22" i="78" s="1"/>
  <c r="V43" i="78"/>
  <c r="W27" i="78"/>
  <c r="V98" i="78"/>
  <c r="V122" i="78"/>
  <c r="V108" i="78"/>
  <c r="V126" i="78"/>
  <c r="W33" i="78"/>
  <c r="W19" i="78"/>
  <c r="W63" i="78"/>
  <c r="V144" i="78"/>
  <c r="V66" i="78"/>
  <c r="V17" i="78"/>
  <c r="V103" i="78"/>
  <c r="V142" i="78"/>
  <c r="V130" i="78"/>
  <c r="X130" i="78" s="1"/>
  <c r="V50" i="78"/>
  <c r="W131" i="78"/>
  <c r="Y131" i="78" s="1"/>
  <c r="O130" i="78"/>
  <c r="M108" i="78"/>
  <c r="O106" i="78" s="1"/>
  <c r="V114" i="78"/>
  <c r="W138" i="78"/>
  <c r="N100" i="78"/>
  <c r="P98" i="78" s="1"/>
  <c r="V33" i="78"/>
  <c r="X31" i="78" s="1"/>
  <c r="W119" i="78"/>
  <c r="W22" i="78"/>
  <c r="M146" i="78"/>
  <c r="W51" i="78"/>
  <c r="N68" i="78"/>
  <c r="M32" i="78"/>
  <c r="N144" i="78"/>
  <c r="P142" i="78" s="1"/>
  <c r="W130" i="78"/>
  <c r="N118" i="78"/>
  <c r="P118" i="78" s="1"/>
  <c r="V124" i="78"/>
  <c r="V94" i="78"/>
  <c r="W95" i="78"/>
  <c r="W142" i="78"/>
  <c r="V110" i="78"/>
  <c r="W72" i="78"/>
  <c r="W46" i="78"/>
  <c r="V148" i="78"/>
  <c r="V99" i="78"/>
  <c r="W70" i="78"/>
  <c r="V25" i="78"/>
  <c r="V16" i="78"/>
  <c r="X14" i="78" s="1"/>
  <c r="W54" i="78"/>
  <c r="V64" i="78"/>
  <c r="X62" i="78" s="1"/>
  <c r="W42" i="78"/>
  <c r="V140" i="78"/>
  <c r="W137" i="78"/>
  <c r="V97" i="78"/>
  <c r="V55" i="78"/>
  <c r="V84" i="78"/>
  <c r="W26" i="78"/>
  <c r="W78" i="78"/>
  <c r="Y78" i="78" s="1"/>
  <c r="W24" i="78"/>
  <c r="W122" i="78"/>
  <c r="Y122" i="78" s="1"/>
  <c r="V131" i="78"/>
  <c r="V71" i="78"/>
  <c r="W101" i="78"/>
  <c r="M128" i="78"/>
  <c r="O126" i="78" s="1"/>
  <c r="V45" i="78"/>
  <c r="W50" i="78"/>
  <c r="Y50" i="78" s="1"/>
  <c r="V80" i="78"/>
  <c r="W102" i="78"/>
  <c r="Y40" i="105"/>
  <c r="R38" i="105"/>
  <c r="R5" i="105" s="1"/>
  <c r="R10" i="105" s="1"/>
  <c r="N106" i="78"/>
  <c r="P106" i="78" s="1"/>
  <c r="U22" i="103"/>
  <c r="N52" i="78"/>
  <c r="P50" i="78" s="1"/>
  <c r="Y115" i="78"/>
  <c r="Y75" i="78"/>
  <c r="M20" i="78"/>
  <c r="O18" i="78" s="1"/>
  <c r="M54" i="78"/>
  <c r="Y59" i="78"/>
  <c r="O70" i="78"/>
  <c r="X42" i="78"/>
  <c r="T22" i="103"/>
  <c r="T16" i="103"/>
  <c r="N5" i="105"/>
  <c r="N10" i="105" s="1"/>
  <c r="O50" i="78"/>
  <c r="Y14" i="105"/>
  <c r="W6" i="105"/>
  <c r="W5" i="105"/>
  <c r="P5" i="105"/>
  <c r="P10" i="105" s="1"/>
  <c r="L7" i="105"/>
  <c r="L10" i="105" s="1"/>
  <c r="O62" i="78"/>
  <c r="P94" i="78"/>
  <c r="T24" i="103"/>
  <c r="O82" i="78"/>
  <c r="O134" i="78"/>
  <c r="P58" i="78"/>
  <c r="P90" i="78"/>
  <c r="P146" i="78"/>
  <c r="O98" i="78"/>
  <c r="T20" i="103"/>
  <c r="M22" i="46"/>
  <c r="M25" i="46" s="1"/>
  <c r="P38" i="78"/>
  <c r="P14" i="78"/>
  <c r="P114" i="78"/>
  <c r="N5" i="103"/>
  <c r="N10" i="103" s="1"/>
  <c r="O21" i="46"/>
  <c r="O20" i="46"/>
  <c r="L7" i="103"/>
  <c r="L10" i="103" s="1"/>
  <c r="P42" i="78"/>
  <c r="T14" i="103"/>
  <c r="S5" i="103"/>
  <c r="S6" i="103"/>
  <c r="O78" i="78"/>
  <c r="P74" i="78"/>
  <c r="O6" i="46"/>
  <c r="O5" i="46"/>
  <c r="P122" i="78" l="1"/>
  <c r="X39" i="78"/>
  <c r="Y27" i="78"/>
  <c r="Y98" i="78"/>
  <c r="P134" i="78"/>
  <c r="X38" i="78"/>
  <c r="X87" i="78"/>
  <c r="Y114" i="78"/>
  <c r="O14" i="78"/>
  <c r="Y18" i="78"/>
  <c r="P54" i="78"/>
  <c r="O90" i="78"/>
  <c r="O118" i="78"/>
  <c r="Y54" i="78"/>
  <c r="O30" i="78"/>
  <c r="X134" i="78"/>
  <c r="O46" i="78"/>
  <c r="X70" i="78"/>
  <c r="Y110" i="78"/>
  <c r="X27" i="78"/>
  <c r="Y119" i="78"/>
  <c r="X127" i="78"/>
  <c r="Y66" i="78"/>
  <c r="Y71" i="78"/>
  <c r="Y39" i="78"/>
  <c r="O122" i="78"/>
  <c r="O86" i="78"/>
  <c r="Y46" i="78"/>
  <c r="Y123" i="78"/>
  <c r="X98" i="78"/>
  <c r="O142" i="78"/>
  <c r="Y43" i="78"/>
  <c r="X67" i="78"/>
  <c r="X146" i="78"/>
  <c r="Y74" i="78"/>
  <c r="Y26" i="78"/>
  <c r="Y138" i="78"/>
  <c r="X106" i="78"/>
  <c r="Y118" i="78"/>
  <c r="X126" i="78"/>
  <c r="Y111" i="78"/>
  <c r="Y135" i="78"/>
  <c r="O54" i="78"/>
  <c r="Y91" i="78"/>
  <c r="X99" i="78"/>
  <c r="X94" i="78"/>
  <c r="Y35" i="78"/>
  <c r="Y30" i="78"/>
  <c r="X74" i="78"/>
  <c r="Y70" i="78"/>
  <c r="Y103" i="78"/>
  <c r="X131" i="78"/>
  <c r="Y63" i="78"/>
  <c r="X75" i="78"/>
  <c r="P70" i="78"/>
  <c r="Y134" i="78"/>
  <c r="P86" i="78"/>
  <c r="X79" i="78"/>
  <c r="X82" i="78"/>
  <c r="X119" i="78"/>
  <c r="X71" i="78"/>
  <c r="Y127" i="78"/>
  <c r="X55" i="78"/>
  <c r="X103" i="78"/>
  <c r="Y23" i="78"/>
  <c r="X30" i="78"/>
  <c r="Y99" i="78"/>
  <c r="Y22" i="78"/>
  <c r="Y94" i="78"/>
  <c r="Y14" i="78"/>
  <c r="X47" i="78"/>
  <c r="Y95" i="78"/>
  <c r="X18" i="78"/>
  <c r="X139" i="78"/>
  <c r="Y62" i="78"/>
  <c r="X43" i="78"/>
  <c r="X19" i="78"/>
  <c r="Y146" i="78"/>
  <c r="X63" i="78"/>
  <c r="X78" i="78"/>
  <c r="Y42" i="78"/>
  <c r="Y130" i="78"/>
  <c r="X115" i="78"/>
  <c r="Y83" i="78"/>
  <c r="X66" i="78"/>
  <c r="O146" i="78"/>
  <c r="X83" i="78"/>
  <c r="Y19" i="78"/>
  <c r="Y31" i="78"/>
  <c r="X51" i="78"/>
  <c r="X91" i="78"/>
  <c r="O114" i="78"/>
  <c r="X142" i="78"/>
  <c r="P66" i="78"/>
  <c r="X95" i="78"/>
  <c r="X138" i="78"/>
  <c r="Y142" i="78"/>
  <c r="X114" i="78"/>
  <c r="Y51" i="78"/>
  <c r="W6" i="78"/>
  <c r="X26" i="78"/>
  <c r="Y67" i="78"/>
  <c r="X110" i="78"/>
  <c r="X123" i="78"/>
  <c r="N5" i="78"/>
  <c r="N6" i="78"/>
  <c r="Y102" i="78"/>
  <c r="X50" i="78"/>
  <c r="X59" i="78"/>
  <c r="Y86" i="78"/>
  <c r="X58" i="78"/>
  <c r="Y90" i="78"/>
  <c r="X34" i="78"/>
  <c r="X15" i="78"/>
  <c r="X147" i="78"/>
  <c r="X122" i="78"/>
  <c r="X23" i="78"/>
  <c r="Y5" i="105"/>
  <c r="Y10" i="105" s="1"/>
  <c r="W5" i="78"/>
  <c r="U5" i="103"/>
  <c r="U10" i="103" s="1"/>
  <c r="W7" i="105"/>
  <c r="W10" i="105" s="1"/>
  <c r="O22" i="46"/>
  <c r="O25" i="46" s="1"/>
  <c r="S7" i="103"/>
  <c r="S10" i="103" s="1"/>
  <c r="O7" i="46"/>
  <c r="O10" i="46" s="1"/>
  <c r="P5" i="78" l="1"/>
  <c r="P10" i="78" s="1"/>
  <c r="Y5" i="78"/>
  <c r="Y10" i="78" s="1"/>
  <c r="N7" i="78"/>
  <c r="N10" i="78" s="1"/>
  <c r="W7" i="78"/>
  <c r="W10" i="78" s="1"/>
  <c r="B1" i="78" l="1"/>
  <c r="R196" i="97" l="1"/>
  <c r="R539" i="97"/>
  <c r="R167" i="97"/>
  <c r="R107" i="97"/>
  <c r="R406" i="97"/>
  <c r="R108" i="97"/>
  <c r="R542" i="97"/>
  <c r="R271" i="97"/>
  <c r="R251" i="97"/>
  <c r="R402" i="97"/>
  <c r="R421" i="97"/>
  <c r="R301" i="97"/>
  <c r="R253" i="97"/>
  <c r="R269" i="97"/>
  <c r="R170" i="97"/>
  <c r="R24" i="97"/>
  <c r="R94" i="97"/>
  <c r="R359" i="97"/>
  <c r="R306" i="97"/>
  <c r="R166" i="97"/>
  <c r="R423" i="97"/>
  <c r="R427" i="97"/>
  <c r="R447" i="97"/>
  <c r="R550" i="97"/>
  <c r="R200" i="97"/>
  <c r="R494" i="97" l="1"/>
  <c r="R440" i="97"/>
  <c r="R265" i="97"/>
  <c r="R430" i="97"/>
  <c r="R474" i="97"/>
  <c r="R282" i="97"/>
  <c r="R332" i="97"/>
  <c r="R212" i="97"/>
  <c r="R277" i="97"/>
  <c r="R149" i="97"/>
  <c r="R434" i="97"/>
  <c r="R395" i="97"/>
  <c r="R266" i="97"/>
  <c r="R75" i="97"/>
  <c r="R480" i="97"/>
  <c r="R375" i="97"/>
  <c r="R222" i="97"/>
  <c r="R49" i="97"/>
  <c r="R245" i="97"/>
  <c r="R528" i="97"/>
  <c r="R135" i="97"/>
  <c r="R438" i="97"/>
  <c r="R619" i="97"/>
  <c r="R426" i="97"/>
  <c r="R457" i="97"/>
  <c r="R475" i="97"/>
  <c r="R380" i="97"/>
  <c r="R549" i="97"/>
  <c r="R365" i="97"/>
  <c r="R136" i="97"/>
  <c r="R479" i="97"/>
  <c r="R153" i="97"/>
  <c r="R344" i="97"/>
  <c r="R622" i="97"/>
  <c r="R327" i="97"/>
  <c r="R89" i="97"/>
  <c r="R441" i="97"/>
  <c r="R535" i="97"/>
  <c r="R150" i="97"/>
  <c r="R508" i="97"/>
  <c r="R478" i="97"/>
  <c r="R433" i="97"/>
  <c r="R229" i="97"/>
  <c r="R345" i="97"/>
  <c r="R288" i="97"/>
  <c r="R29" i="97"/>
  <c r="R39" i="97"/>
  <c r="R231" i="97"/>
  <c r="R93" i="97"/>
  <c r="R469" i="97"/>
  <c r="R240" i="97"/>
  <c r="R58" i="97"/>
  <c r="R43" i="97"/>
  <c r="R38" i="97"/>
  <c r="R122" i="97"/>
  <c r="R425" i="97"/>
  <c r="R417" i="97"/>
  <c r="R55" i="97"/>
  <c r="R178" i="97"/>
  <c r="R472" i="97"/>
  <c r="R137" i="97"/>
  <c r="R376" i="97"/>
  <c r="R565" i="97"/>
  <c r="R368" i="97"/>
  <c r="R520" i="97"/>
  <c r="R186" i="97"/>
  <c r="R195" i="97"/>
  <c r="R326" i="97"/>
  <c r="R422" i="97"/>
  <c r="R175" i="97"/>
  <c r="R172" i="97"/>
  <c r="R397" i="97"/>
  <c r="R491" i="97"/>
  <c r="R37" i="97"/>
  <c r="R286" i="97"/>
  <c r="R28" i="97"/>
  <c r="R374" i="97"/>
  <c r="R31" i="97"/>
  <c r="R377" i="97"/>
  <c r="R504" i="97"/>
  <c r="R315" i="97"/>
  <c r="R405" i="97"/>
  <c r="R382" i="97"/>
  <c r="R227" i="97"/>
  <c r="R52" i="97"/>
  <c r="R268" i="97"/>
  <c r="R401" i="97"/>
  <c r="R71" i="97"/>
  <c r="R461" i="97"/>
  <c r="R413" i="97"/>
  <c r="R85" i="97"/>
  <c r="R414" i="97"/>
  <c r="R211" i="97"/>
  <c r="R48" i="97"/>
  <c r="R398" i="97"/>
  <c r="R512" i="97"/>
  <c r="R517" i="97"/>
  <c r="R331" i="97"/>
  <c r="R341" i="97"/>
  <c r="R522" i="97"/>
  <c r="R308" i="97"/>
  <c r="R443" i="97"/>
  <c r="R68" i="97"/>
  <c r="R458" i="97"/>
  <c r="R536" i="97"/>
  <c r="R346" i="97"/>
  <c r="R201" i="97"/>
  <c r="R67" i="97"/>
  <c r="R460" i="97"/>
  <c r="R177" i="97"/>
  <c r="R140" i="97"/>
  <c r="R133" i="97"/>
  <c r="R445" i="97"/>
  <c r="R182" i="97"/>
  <c r="R236" i="97"/>
  <c r="R181" i="97"/>
  <c r="R16" i="97"/>
  <c r="R220" i="97"/>
  <c r="R72" i="97"/>
  <c r="R621" i="97"/>
  <c r="R206" i="97"/>
  <c r="R483" i="97"/>
  <c r="R486" i="97"/>
  <c r="R14" i="97"/>
  <c r="R302" i="97"/>
  <c r="R490" i="97"/>
  <c r="R487" i="97"/>
  <c r="R210" i="97"/>
  <c r="R256" i="97"/>
  <c r="R627" i="97"/>
  <c r="R298" i="97"/>
  <c r="R10" i="97"/>
  <c r="R147" i="97"/>
  <c r="R264" i="97"/>
  <c r="R224" i="97"/>
  <c r="R148" i="97"/>
  <c r="R79" i="97"/>
  <c r="R304" i="97"/>
  <c r="R151" i="97"/>
  <c r="R233" i="97"/>
  <c r="R106" i="97"/>
  <c r="R513" i="97"/>
  <c r="R484" i="97"/>
  <c r="R466" i="97"/>
  <c r="R309" i="97"/>
  <c r="R173" i="97"/>
  <c r="R144" i="97"/>
  <c r="R78" i="97"/>
  <c r="R393" i="97"/>
  <c r="R191" i="97"/>
  <c r="R537" i="97"/>
  <c r="R566" i="97"/>
  <c r="R462" i="97"/>
  <c r="R169" i="97"/>
  <c r="R318" i="97"/>
  <c r="R316" i="97"/>
  <c r="R130" i="97"/>
  <c r="R488" i="97"/>
  <c r="R60" i="97"/>
  <c r="R292" i="97"/>
  <c r="R203" i="97"/>
  <c r="R373" i="97"/>
  <c r="R295" i="97"/>
  <c r="R324" i="97"/>
  <c r="R291" i="97"/>
  <c r="R44" i="97"/>
  <c r="R363" i="97"/>
  <c r="R567" i="97"/>
  <c r="R99" i="97"/>
  <c r="R86" i="97"/>
  <c r="R372" i="97"/>
  <c r="R162" i="97"/>
  <c r="R168" i="97"/>
  <c r="R8" i="97"/>
  <c r="R250" i="97"/>
  <c r="R105" i="97"/>
  <c r="R190" i="97"/>
  <c r="R450" i="97"/>
  <c r="R333" i="97"/>
  <c r="R214" i="97"/>
  <c r="R146" i="97"/>
  <c r="R126" i="97"/>
  <c r="R120" i="97"/>
  <c r="R519" i="97"/>
  <c r="R257" i="97"/>
  <c r="R27" i="97"/>
  <c r="R500" i="97"/>
  <c r="R509" i="97"/>
  <c r="R307" i="97"/>
  <c r="R319" i="97"/>
  <c r="R449" i="97"/>
  <c r="R303" i="97"/>
  <c r="R226" i="97"/>
  <c r="R139" i="97"/>
  <c r="R1033" i="97"/>
  <c r="R408" i="97"/>
  <c r="R435" i="97"/>
  <c r="R6" i="97"/>
  <c r="R219" i="97"/>
  <c r="R294" i="97"/>
  <c r="R198" i="97"/>
  <c r="R193" i="97"/>
  <c r="R296" i="97"/>
  <c r="R109" i="97"/>
  <c r="R280" i="97"/>
  <c r="R41" i="97"/>
  <c r="R390" i="97"/>
  <c r="R485" i="97"/>
  <c r="R439" i="97"/>
  <c r="R117" i="97"/>
  <c r="R548" i="97"/>
  <c r="R358" i="97"/>
  <c r="R392" i="97"/>
  <c r="R40" i="97"/>
  <c r="R187" i="97"/>
  <c r="R70" i="97"/>
  <c r="R255" i="97"/>
  <c r="R12" i="97"/>
  <c r="R543" i="97"/>
  <c r="R530" i="97"/>
  <c r="R354" i="97"/>
  <c r="R1030" i="97"/>
  <c r="R129" i="97"/>
  <c r="R276" i="97"/>
  <c r="R424" i="97"/>
  <c r="R442" i="97"/>
  <c r="R64" i="97"/>
  <c r="R225" i="97"/>
  <c r="R394" i="97"/>
  <c r="R243" i="97"/>
  <c r="R258" i="97"/>
  <c r="R284" i="97"/>
  <c r="R274" i="97"/>
  <c r="R143" i="97"/>
  <c r="R176" i="97"/>
  <c r="R367" i="97"/>
  <c r="R541" i="97"/>
  <c r="R342" i="97"/>
  <c r="R471" i="97"/>
  <c r="R11" i="97"/>
  <c r="R493" i="97"/>
  <c r="R237" i="97"/>
  <c r="R35" i="97"/>
  <c r="R334" i="97"/>
  <c r="R83" i="97"/>
  <c r="R22" i="97"/>
  <c r="R92" i="97"/>
  <c r="R511" i="97"/>
  <c r="R110" i="97"/>
  <c r="R88" i="97"/>
  <c r="R525" i="97"/>
  <c r="R156" i="97"/>
  <c r="R121" i="97"/>
  <c r="R103" i="97"/>
  <c r="R159" i="97"/>
  <c r="R113" i="97"/>
  <c r="R329" i="97"/>
  <c r="R132" i="97"/>
  <c r="R97" i="97"/>
  <c r="R1032" i="97"/>
  <c r="R96" i="97"/>
  <c r="R50" i="97"/>
  <c r="R289" i="97"/>
  <c r="R127" i="97"/>
  <c r="R515" i="97"/>
  <c r="R506" i="97"/>
  <c r="R100" i="97"/>
  <c r="R230" i="97"/>
  <c r="R311" i="97"/>
  <c r="R124" i="97"/>
  <c r="R77" i="97"/>
  <c r="R23" i="97"/>
  <c r="R518" i="97"/>
  <c r="R155" i="97"/>
  <c r="R119" i="97"/>
  <c r="R317" i="97"/>
  <c r="R161" i="97"/>
  <c r="R300" i="97"/>
  <c r="R215" i="97"/>
  <c r="R419" i="97"/>
  <c r="R163" i="97"/>
  <c r="R114" i="97"/>
  <c r="R357" i="97"/>
  <c r="R455" i="97"/>
  <c r="R17" i="97"/>
  <c r="R30" i="97"/>
  <c r="R420" i="97"/>
  <c r="R131" i="97"/>
  <c r="R145" i="97"/>
  <c r="R281" i="97"/>
  <c r="R232" i="97"/>
  <c r="R249" i="97"/>
  <c r="R116" i="97"/>
  <c r="R385" i="97"/>
  <c r="R343" i="97"/>
  <c r="R546" i="97"/>
  <c r="R407" i="97"/>
  <c r="R246" i="97"/>
  <c r="R259" i="97"/>
  <c r="R13" i="97"/>
  <c r="R273" i="97"/>
  <c r="R352" i="97"/>
  <c r="R185" i="97"/>
  <c r="R410" i="97"/>
  <c r="R278" i="97"/>
  <c r="R238" i="97"/>
  <c r="R76" i="97"/>
  <c r="R204" i="97"/>
  <c r="R404" i="97"/>
  <c r="R18" i="97"/>
  <c r="R499" i="97"/>
  <c r="R351" i="97"/>
  <c r="R477" i="97"/>
  <c r="R503" i="97"/>
  <c r="R476" i="97"/>
  <c r="R202" i="97"/>
  <c r="R418" i="97"/>
  <c r="R134" i="97"/>
  <c r="R437" i="97"/>
  <c r="R505" i="97"/>
  <c r="R510" i="97"/>
  <c r="R473" i="97"/>
  <c r="R115" i="97"/>
  <c r="R514" i="97"/>
  <c r="R532" i="97"/>
  <c r="R7" i="97"/>
  <c r="R521" i="97"/>
  <c r="R290" i="97"/>
  <c r="R194" i="97"/>
  <c r="R568" i="97"/>
  <c r="R242" i="97"/>
  <c r="R496" i="97"/>
  <c r="R221" i="97"/>
  <c r="R464" i="97"/>
  <c r="R101" i="97"/>
  <c r="R207" i="97"/>
  <c r="R526" i="97"/>
  <c r="R36" i="97"/>
  <c r="R80" i="97"/>
  <c r="R347" i="97"/>
  <c r="R312" i="97"/>
  <c r="R275" i="97"/>
  <c r="R216" i="97"/>
  <c r="R21" i="97"/>
  <c r="R321" i="97"/>
  <c r="R448" i="97"/>
  <c r="R261" i="97"/>
  <c r="R436" i="97"/>
  <c r="R73" i="97"/>
  <c r="R497" i="97"/>
  <c r="R353" i="97"/>
  <c r="R158" i="97"/>
  <c r="R223" i="97"/>
  <c r="R184" i="97"/>
  <c r="R432" i="97"/>
  <c r="R409" i="97"/>
  <c r="R446" i="97"/>
  <c r="R355" i="97"/>
  <c r="R323" i="97"/>
  <c r="R26" i="97"/>
  <c r="R192" i="97"/>
  <c r="R383" i="97"/>
  <c r="R154" i="97"/>
  <c r="R320" i="97"/>
  <c r="R299" i="97"/>
  <c r="R362" i="97"/>
  <c r="R529" i="97"/>
  <c r="R350" i="97"/>
  <c r="R66" i="97"/>
  <c r="R57" i="97"/>
  <c r="R533" i="97"/>
  <c r="R416" i="97"/>
  <c r="R569" i="97"/>
  <c r="R142" i="97"/>
  <c r="R429" i="97"/>
  <c r="R234" i="97"/>
  <c r="R244" i="97"/>
  <c r="R84" i="97"/>
  <c r="R501" i="97"/>
  <c r="R325" i="97"/>
  <c r="R379" i="97"/>
  <c r="R61" i="97"/>
  <c r="R125" i="97"/>
  <c r="R314" i="97"/>
  <c r="R283" i="97"/>
  <c r="R366" i="97"/>
  <c r="R287" i="97"/>
  <c r="R59" i="97"/>
  <c r="R217" i="97"/>
  <c r="R74" i="97"/>
  <c r="R128" i="97"/>
  <c r="R218" i="97"/>
  <c r="R228" i="97"/>
  <c r="R391" i="97"/>
  <c r="R531" i="97"/>
  <c r="R209" i="97"/>
  <c r="R262" i="97"/>
  <c r="R165" i="97"/>
  <c r="R53" i="97"/>
  <c r="R1031" i="97"/>
  <c r="R45" i="97"/>
  <c r="R534" i="97"/>
  <c r="R415" i="97"/>
  <c r="R547" i="97"/>
  <c r="R463" i="97"/>
  <c r="R112" i="97"/>
  <c r="R98" i="97"/>
  <c r="R25" i="97"/>
  <c r="R20" i="97"/>
  <c r="R279" i="97"/>
  <c r="R160" i="97"/>
  <c r="R400" i="97"/>
  <c r="R524" i="97"/>
  <c r="R492" i="97"/>
  <c r="R481" i="97"/>
  <c r="R5" i="97"/>
  <c r="R208" i="97"/>
  <c r="R489" i="97"/>
  <c r="R91" i="97"/>
  <c r="R451" i="97"/>
  <c r="R495" i="97"/>
  <c r="R507" i="97"/>
  <c r="R540" i="97"/>
  <c r="R62" i="97"/>
  <c r="R386" i="97"/>
  <c r="R371" i="97"/>
  <c r="R459" i="97"/>
  <c r="R213" i="97"/>
  <c r="R313" i="97"/>
  <c r="R623" i="97"/>
  <c r="R111" i="97"/>
  <c r="R95" i="97"/>
  <c r="R389" i="97"/>
  <c r="R241" i="97"/>
  <c r="R384" i="97"/>
  <c r="R378" i="97"/>
  <c r="R456" i="97"/>
  <c r="R470" i="97"/>
  <c r="R152" i="97"/>
  <c r="R235" i="97"/>
  <c r="R337" i="97"/>
  <c r="R46" i="97"/>
  <c r="R527" i="97"/>
  <c r="R465" i="97"/>
  <c r="R81" i="97"/>
  <c r="R252" i="97"/>
  <c r="R33" i="97"/>
  <c r="R164" i="97"/>
  <c r="R336" i="97"/>
  <c r="R498" i="97"/>
  <c r="R205" i="97"/>
  <c r="R431" i="97"/>
  <c r="R348" i="97"/>
  <c r="R305" i="97"/>
  <c r="R360" i="97"/>
  <c r="R183" i="97"/>
  <c r="R47" i="97"/>
  <c r="R545" i="97"/>
  <c r="R338" i="97"/>
  <c r="R15" i="97"/>
  <c r="R388" i="97"/>
  <c r="R82" i="97"/>
  <c r="R9" i="97"/>
  <c r="R620" i="97"/>
  <c r="R516" i="97"/>
  <c r="R411" i="97"/>
  <c r="R428" i="97"/>
  <c r="R272" i="97"/>
  <c r="R180" i="97"/>
  <c r="R369" i="97"/>
  <c r="R141" i="97"/>
  <c r="R523" i="97"/>
  <c r="R1034" i="97"/>
  <c r="R293" i="97"/>
  <c r="R297" i="97"/>
  <c r="R538" i="97"/>
  <c r="R87" i="97"/>
  <c r="R328" i="97"/>
  <c r="R254" i="97"/>
  <c r="R263" i="97"/>
  <c r="R349" i="97"/>
  <c r="R330" i="97"/>
  <c r="R248" i="97"/>
  <c r="R399" i="97"/>
  <c r="R69" i="97"/>
  <c r="R157" i="97"/>
  <c r="R403" i="97"/>
  <c r="R179" i="97"/>
  <c r="R174" i="97"/>
  <c r="R138" i="97"/>
  <c r="R370" i="97"/>
  <c r="R239" i="97"/>
  <c r="R361" i="97"/>
  <c r="R387" i="97"/>
  <c r="R189" i="97"/>
  <c r="R32" i="97"/>
  <c r="R396" i="97"/>
  <c r="R381" i="97"/>
  <c r="R322" i="97"/>
  <c r="R199" i="97"/>
  <c r="R19" i="97"/>
  <c r="R123" i="97"/>
  <c r="R197" i="97"/>
  <c r="R412" i="97"/>
  <c r="R171" i="97"/>
  <c r="R267" i="97"/>
  <c r="R42" i="97"/>
  <c r="R4" i="97"/>
  <c r="R247" i="97"/>
  <c r="R51" i="97"/>
  <c r="R118" i="97"/>
  <c r="R56" i="97"/>
  <c r="R310" i="97"/>
  <c r="R285" i="97"/>
  <c r="R54" i="97"/>
  <c r="R502" i="97"/>
  <c r="R452" i="97"/>
  <c r="R260" i="97"/>
  <c r="R364" i="97"/>
  <c r="R482" i="97"/>
  <c r="R90" i="97"/>
  <c r="R270" i="97"/>
  <c r="R544" i="97"/>
  <c r="R34" i="97"/>
  <c r="R468" i="97"/>
  <c r="R188" i="97"/>
  <c r="R104" i="97"/>
  <c r="R356" i="97"/>
  <c r="R63" i="97"/>
  <c r="R65" i="97"/>
  <c r="R985" i="25"/>
  <c r="R553" i="25"/>
  <c r="R596" i="25"/>
  <c r="H8" i="116" l="1"/>
  <c r="H7" i="116"/>
  <c r="R605" i="25"/>
  <c r="R1030" i="25"/>
  <c r="R913" i="25"/>
  <c r="R781" i="25"/>
  <c r="R811" i="25"/>
  <c r="R227" i="25"/>
  <c r="R729" i="25"/>
  <c r="R993" i="25"/>
  <c r="R752" i="25"/>
  <c r="R1023" i="25"/>
  <c r="R583" i="25"/>
  <c r="R663" i="25"/>
  <c r="R710" i="25"/>
  <c r="R659" i="25"/>
  <c r="R656" i="25"/>
  <c r="R703" i="25"/>
  <c r="R292" i="25"/>
  <c r="R205" i="25"/>
  <c r="R410" i="25"/>
  <c r="R274" i="25"/>
  <c r="R172" i="25"/>
  <c r="R192" i="25"/>
  <c r="R176" i="25"/>
  <c r="R414" i="25"/>
  <c r="R369" i="25"/>
  <c r="R260" i="25"/>
  <c r="R329" i="25"/>
  <c r="R678" i="25"/>
  <c r="R271" i="25"/>
  <c r="R615" i="25"/>
  <c r="R112" i="25"/>
  <c r="R116" i="25"/>
  <c r="R83" i="25"/>
  <c r="R362" i="25"/>
  <c r="R526" i="25"/>
  <c r="R256" i="25"/>
  <c r="R533" i="25"/>
  <c r="R300" i="25"/>
  <c r="R420" i="25"/>
  <c r="R779" i="25"/>
  <c r="R573" i="25"/>
  <c r="R173" i="25"/>
  <c r="R452" i="25"/>
  <c r="R258" i="25"/>
  <c r="R411" i="25"/>
  <c r="R217" i="25"/>
  <c r="R282" i="25"/>
  <c r="R97" i="25"/>
  <c r="R264" i="25"/>
  <c r="R64" i="25"/>
  <c r="R344" i="25"/>
  <c r="R134" i="25"/>
  <c r="R194" i="25"/>
  <c r="R75" i="25"/>
  <c r="R919" i="25"/>
  <c r="R1036" i="97"/>
  <c r="R758" i="25"/>
  <c r="R904" i="25"/>
  <c r="R676" i="25"/>
  <c r="R732" i="25"/>
  <c r="R609" i="25"/>
  <c r="R167" i="25"/>
  <c r="R958" i="25"/>
  <c r="R957" i="25"/>
  <c r="R848" i="25"/>
  <c r="R380" i="25"/>
  <c r="R153" i="25"/>
  <c r="R538" i="25"/>
  <c r="R843" i="25"/>
  <c r="R125" i="25"/>
  <c r="R669" i="25"/>
  <c r="R436" i="25"/>
  <c r="R483" i="25"/>
  <c r="R547" i="25"/>
  <c r="R540" i="25"/>
  <c r="R107" i="25"/>
  <c r="R42" i="25"/>
  <c r="R567" i="25"/>
  <c r="R263" i="25"/>
  <c r="R844" i="25"/>
  <c r="R266" i="25"/>
  <c r="R138" i="25"/>
  <c r="R96" i="25"/>
  <c r="R530" i="25"/>
  <c r="R50" i="25"/>
  <c r="R836" i="25"/>
  <c r="R688" i="25"/>
  <c r="R581" i="25"/>
  <c r="R850" i="25"/>
  <c r="R158" i="25"/>
  <c r="R513" i="25"/>
  <c r="R213" i="25"/>
  <c r="R218" i="25"/>
  <c r="R255" i="25"/>
  <c r="R220" i="25"/>
  <c r="R535" i="25"/>
  <c r="R629" i="25"/>
  <c r="R287" i="25"/>
  <c r="R24" i="25"/>
  <c r="R447" i="25"/>
  <c r="R141" i="25"/>
  <c r="R68" i="25"/>
  <c r="R549" i="25"/>
  <c r="R195" i="25"/>
  <c r="R449" i="25"/>
  <c r="R308" i="25"/>
  <c r="R56" i="25"/>
  <c r="R372" i="25"/>
  <c r="R249" i="25"/>
  <c r="R464" i="25"/>
  <c r="R93" i="25"/>
  <c r="R822" i="25"/>
  <c r="R348" i="25"/>
  <c r="R849" i="25"/>
  <c r="R803" i="25"/>
  <c r="R599" i="25"/>
  <c r="R696" i="25"/>
  <c r="R1018" i="25"/>
  <c r="R1012" i="25"/>
  <c r="R775" i="25"/>
  <c r="R1010" i="25"/>
  <c r="R704" i="25"/>
  <c r="R907" i="25"/>
  <c r="R925" i="25"/>
  <c r="R750" i="25"/>
  <c r="R706" i="25"/>
  <c r="R353" i="25"/>
  <c r="R85" i="25"/>
  <c r="R591" i="25"/>
  <c r="R998" i="25"/>
  <c r="R731" i="25"/>
  <c r="R585" i="25"/>
  <c r="R102" i="97"/>
  <c r="R273" i="25"/>
  <c r="R147" i="25"/>
  <c r="R519" i="25"/>
  <c r="R294" i="25"/>
  <c r="R119" i="25"/>
  <c r="R707" i="25"/>
  <c r="R454" i="97"/>
  <c r="R459" i="25"/>
  <c r="R520" i="25"/>
  <c r="R240" i="25"/>
  <c r="R495" i="25"/>
  <c r="R208" i="25"/>
  <c r="R451" i="25"/>
  <c r="R224" i="25"/>
  <c r="R48" i="25"/>
  <c r="R771" i="25"/>
  <c r="R454" i="25"/>
  <c r="R136" i="25"/>
  <c r="R246" i="25"/>
  <c r="R70" i="25"/>
  <c r="R105" i="25"/>
  <c r="R460" i="25"/>
  <c r="R682" i="25"/>
  <c r="R740" i="25"/>
  <c r="R651" i="25"/>
  <c r="R666" i="25"/>
  <c r="R983" i="25"/>
  <c r="R1037" i="25"/>
  <c r="R751" i="25"/>
  <c r="R763" i="25"/>
  <c r="R879" i="25"/>
  <c r="R722" i="25"/>
  <c r="R720" i="25"/>
  <c r="R718" i="25"/>
  <c r="R536" i="25"/>
  <c r="R232" i="25"/>
  <c r="R157" i="25"/>
  <c r="R7" i="25"/>
  <c r="R546" i="25"/>
  <c r="R182" i="25"/>
  <c r="R692" i="25"/>
  <c r="R769" i="25"/>
  <c r="R787" i="25"/>
  <c r="R640" i="25"/>
  <c r="R976" i="25"/>
  <c r="R892" i="25"/>
  <c r="R881" i="25"/>
  <c r="R994" i="25"/>
  <c r="R598" i="25"/>
  <c r="R1000" i="25"/>
  <c r="R486" i="25"/>
  <c r="R44" i="25"/>
  <c r="R406" i="25"/>
  <c r="R755" i="25"/>
  <c r="R701" i="25"/>
  <c r="R20" i="25"/>
  <c r="R900" i="25"/>
  <c r="R873" i="25"/>
  <c r="R794" i="25"/>
  <c r="R759" i="25"/>
  <c r="R974" i="25"/>
  <c r="R808" i="25"/>
  <c r="R557" i="25"/>
  <c r="R607" i="25"/>
  <c r="R423" i="25"/>
  <c r="R92" i="25"/>
  <c r="R604" i="25"/>
  <c r="R715" i="25"/>
  <c r="R672" i="25"/>
  <c r="R941" i="25"/>
  <c r="R817" i="25"/>
  <c r="R878" i="25"/>
  <c r="R986" i="25"/>
  <c r="R699" i="25"/>
  <c r="R855" i="25"/>
  <c r="R944" i="25"/>
  <c r="R949" i="25"/>
  <c r="R594" i="25"/>
  <c r="R674" i="25"/>
  <c r="R776" i="25"/>
  <c r="R820" i="25"/>
  <c r="R862" i="25"/>
  <c r="R835" i="25"/>
  <c r="R796" i="25"/>
  <c r="R1032" i="25"/>
  <c r="R662" i="25"/>
  <c r="R597" i="25"/>
  <c r="R846" i="25"/>
  <c r="R106" i="25"/>
  <c r="R912" i="25"/>
  <c r="R608" i="25"/>
  <c r="R146" i="25"/>
  <c r="R624" i="25"/>
  <c r="R330" i="25"/>
  <c r="R345" i="25"/>
  <c r="R725" i="25"/>
  <c r="R982" i="25"/>
  <c r="R508" i="25"/>
  <c r="R1024" i="25"/>
  <c r="R955" i="25"/>
  <c r="R265" i="25"/>
  <c r="R364" i="25"/>
  <c r="R472" i="25"/>
  <c r="R435" i="25"/>
  <c r="R79" i="25"/>
  <c r="R528" i="25"/>
  <c r="R403" i="25"/>
  <c r="R88" i="25"/>
  <c r="R724" i="25"/>
  <c r="R834" i="25"/>
  <c r="R626" i="25"/>
  <c r="R956" i="25"/>
  <c r="R969" i="25"/>
  <c r="R863" i="25"/>
  <c r="R375" i="25"/>
  <c r="R518" i="25"/>
  <c r="R577" i="25"/>
  <c r="R966" i="25"/>
  <c r="R655" i="25"/>
  <c r="R639" i="25"/>
  <c r="R933" i="25"/>
  <c r="R992" i="25"/>
  <c r="R468" i="25"/>
  <c r="R402" i="25"/>
  <c r="R269" i="25"/>
  <c r="R409" i="25"/>
  <c r="R466" i="25"/>
  <c r="R565" i="25"/>
  <c r="R541" i="25"/>
  <c r="R261" i="25"/>
  <c r="R18" i="25"/>
  <c r="R110" i="25"/>
  <c r="R333" i="25"/>
  <c r="R229" i="25"/>
  <c r="R275" i="25"/>
  <c r="R977" i="25"/>
  <c r="R654" i="25"/>
  <c r="R630" i="25"/>
  <c r="R932" i="25"/>
  <c r="R579" i="25"/>
  <c r="R600" i="25"/>
  <c r="R575" i="25"/>
  <c r="R457" i="25"/>
  <c r="R1003" i="25"/>
  <c r="R714" i="25"/>
  <c r="R499" i="25"/>
  <c r="R791" i="25"/>
  <c r="R749" i="25"/>
  <c r="R415" i="25"/>
  <c r="R491" i="25"/>
  <c r="R387" i="25"/>
  <c r="R111" i="25"/>
  <c r="R129" i="25"/>
  <c r="R481" i="25"/>
  <c r="R439" i="25"/>
  <c r="R28" i="25"/>
  <c r="R309" i="25"/>
  <c r="R450" i="25"/>
  <c r="R512" i="25"/>
  <c r="R328" i="25"/>
  <c r="R473" i="25"/>
  <c r="R432" i="25"/>
  <c r="R40" i="25"/>
  <c r="R251" i="25"/>
  <c r="R522" i="25"/>
  <c r="R186" i="25"/>
  <c r="R252" i="25"/>
  <c r="R262" i="25"/>
  <c r="R566" i="25"/>
  <c r="R539" i="25"/>
  <c r="R401" i="25"/>
  <c r="R359" i="25"/>
  <c r="R342" i="25"/>
  <c r="R446" i="25"/>
  <c r="R184" i="25"/>
  <c r="R885" i="25"/>
  <c r="R603" i="25"/>
  <c r="R671" i="25"/>
  <c r="R747" i="25"/>
  <c r="R717" i="25"/>
  <c r="R339" i="25"/>
  <c r="R833" i="25"/>
  <c r="R948" i="25"/>
  <c r="R923" i="25"/>
  <c r="R620" i="25"/>
  <c r="R1022" i="25"/>
  <c r="R744" i="25"/>
  <c r="R737" i="25"/>
  <c r="R723" i="25"/>
  <c r="R690" i="25"/>
  <c r="R831" i="25"/>
  <c r="R888" i="25"/>
  <c r="R675" i="25"/>
  <c r="R845" i="25"/>
  <c r="R1025" i="25"/>
  <c r="R745" i="25"/>
  <c r="R668" i="25"/>
  <c r="R612" i="25"/>
  <c r="R812" i="25"/>
  <c r="R793" i="25"/>
  <c r="R708" i="25"/>
  <c r="R989" i="25"/>
  <c r="R602" i="25"/>
  <c r="R467" i="97"/>
  <c r="R199" i="25"/>
  <c r="R510" i="25"/>
  <c r="R126" i="25"/>
  <c r="R268" i="25"/>
  <c r="R34" i="25"/>
  <c r="R280" i="25"/>
  <c r="R38" i="25"/>
  <c r="R357" i="25"/>
  <c r="R99" i="25"/>
  <c r="R128" i="25"/>
  <c r="R22" i="25"/>
  <c r="R98" i="25"/>
  <c r="R11" i="25"/>
  <c r="R354" i="25"/>
  <c r="R320" i="25"/>
  <c r="R209" i="25"/>
  <c r="R137" i="25"/>
  <c r="R259" i="25"/>
  <c r="R487" i="25"/>
  <c r="R277" i="25"/>
  <c r="R49" i="25"/>
  <c r="R57" i="25"/>
  <c r="R673" i="25"/>
  <c r="R798" i="25"/>
  <c r="R951" i="25"/>
  <c r="R584" i="25"/>
  <c r="R664" i="25"/>
  <c r="R999" i="25"/>
  <c r="R837" i="25"/>
  <c r="R637" i="25"/>
  <c r="R735" i="25"/>
  <c r="R272" i="25"/>
  <c r="R179" i="25"/>
  <c r="R385" i="25"/>
  <c r="R177" i="25"/>
  <c r="R319" i="25"/>
  <c r="R250" i="25"/>
  <c r="R482" i="25"/>
  <c r="R352" i="25"/>
  <c r="R247" i="25"/>
  <c r="R570" i="25"/>
  <c r="R76" i="25"/>
  <c r="R661" i="25"/>
  <c r="R852" i="25"/>
  <c r="R587" i="25"/>
  <c r="R827" i="25"/>
  <c r="R954" i="25"/>
  <c r="R768" i="25"/>
  <c r="R118" i="25"/>
  <c r="R367" i="25"/>
  <c r="R140" i="25"/>
  <c r="R427" i="25"/>
  <c r="R469" i="25"/>
  <c r="R448" i="25"/>
  <c r="R279" i="25"/>
  <c r="R489" i="25"/>
  <c r="R163" i="25"/>
  <c r="R231" i="25"/>
  <c r="R310" i="25"/>
  <c r="R295" i="25"/>
  <c r="R214" i="25"/>
  <c r="R19" i="25"/>
  <c r="R296" i="25"/>
  <c r="R5" i="25"/>
  <c r="R144" i="25"/>
  <c r="R376" i="25"/>
  <c r="R374" i="25"/>
  <c r="R465" i="25"/>
  <c r="R416" i="25"/>
  <c r="R511" i="25"/>
  <c r="R54" i="25"/>
  <c r="R545" i="25"/>
  <c r="R920" i="25"/>
  <c r="R762" i="25"/>
  <c r="R804" i="25"/>
  <c r="R726" i="25"/>
  <c r="R1008" i="25"/>
  <c r="R968" i="25"/>
  <c r="R785" i="25"/>
  <c r="R371" i="25"/>
  <c r="R212" i="25"/>
  <c r="R293" i="25"/>
  <c r="R41" i="25"/>
  <c r="R698" i="25"/>
  <c r="R931" i="25"/>
  <c r="R903" i="25"/>
  <c r="R963" i="25"/>
  <c r="R916" i="25"/>
  <c r="R211" i="25"/>
  <c r="R196" i="25"/>
  <c r="R66" i="25"/>
  <c r="R159" i="25"/>
  <c r="R290" i="25"/>
  <c r="R622" i="25"/>
  <c r="R21" i="25"/>
  <c r="R288" i="25"/>
  <c r="R961" i="25"/>
  <c r="R658" i="25"/>
  <c r="R886" i="25"/>
  <c r="R619" i="25"/>
  <c r="R1017" i="25"/>
  <c r="R479" i="25"/>
  <c r="R971" i="25"/>
  <c r="R926" i="25"/>
  <c r="R679" i="25"/>
  <c r="R680" i="25"/>
  <c r="R560" i="25"/>
  <c r="R610" i="25"/>
  <c r="R934" i="25"/>
  <c r="R828" i="25"/>
  <c r="R593" i="25"/>
  <c r="R778" i="25"/>
  <c r="R392" i="25"/>
  <c r="R131" i="25"/>
  <c r="R223" i="25"/>
  <c r="R27" i="25"/>
  <c r="R198" i="25"/>
  <c r="R283" i="25"/>
  <c r="R62" i="25"/>
  <c r="R542" i="25"/>
  <c r="R52" i="25"/>
  <c r="R237" i="25"/>
  <c r="R363" i="25"/>
  <c r="R210" i="25"/>
  <c r="R532" i="25"/>
  <c r="R1004" i="25"/>
  <c r="R709" i="25"/>
  <c r="R901" i="25"/>
  <c r="R563" i="25"/>
  <c r="R922" i="25"/>
  <c r="R694" i="25"/>
  <c r="R691" i="25"/>
  <c r="R914" i="25"/>
  <c r="R444" i="97"/>
  <c r="R241" i="25"/>
  <c r="R284" i="25"/>
  <c r="R245" i="25"/>
  <c r="R378" i="25"/>
  <c r="R578" i="25"/>
  <c r="R650" i="25"/>
  <c r="R313" i="25"/>
  <c r="R321" i="25"/>
  <c r="R399" i="25"/>
  <c r="R270" i="25"/>
  <c r="R400" i="25"/>
  <c r="R505" i="25"/>
  <c r="R350" i="25"/>
  <c r="R109" i="25"/>
  <c r="R17" i="25"/>
  <c r="R278" i="25"/>
  <c r="R187" i="25"/>
  <c r="R89" i="25"/>
  <c r="R185" i="25"/>
  <c r="R940" i="25"/>
  <c r="R896" i="25"/>
  <c r="R582" i="25"/>
  <c r="R810" i="25"/>
  <c r="R453" i="97"/>
  <c r="R419" i="25"/>
  <c r="R386" i="25"/>
  <c r="R548" i="25"/>
  <c r="R82" i="25"/>
  <c r="R276" i="25"/>
  <c r="R437" i="25"/>
  <c r="R59" i="25"/>
  <c r="R174" i="25"/>
  <c r="R201" i="25"/>
  <c r="R498" i="25"/>
  <c r="R305" i="25"/>
  <c r="R312" i="25"/>
  <c r="R529" i="25"/>
  <c r="R188" i="25"/>
  <c r="R63" i="25"/>
  <c r="R139" i="25"/>
  <c r="R219" i="25"/>
  <c r="R521" i="25"/>
  <c r="R503" i="25"/>
  <c r="R160" i="25"/>
  <c r="R170" i="25"/>
  <c r="R424" i="25"/>
  <c r="R13" i="25"/>
  <c r="R501" i="25"/>
  <c r="R55" i="25"/>
  <c r="R191" i="25"/>
  <c r="R104" i="25"/>
  <c r="R506" i="25"/>
  <c r="R434" i="25"/>
  <c r="R405" i="25"/>
  <c r="R316" i="25"/>
  <c r="R346" i="25"/>
  <c r="R442" i="25"/>
  <c r="R14" i="25"/>
  <c r="R86" i="25"/>
  <c r="R318" i="25"/>
  <c r="R10" i="25"/>
  <c r="R408" i="25"/>
  <c r="R388" i="25"/>
  <c r="R151" i="25"/>
  <c r="R145" i="25"/>
  <c r="R475" i="25"/>
  <c r="R323" i="25"/>
  <c r="R33" i="25"/>
  <c r="R382" i="25"/>
  <c r="R37" i="25"/>
  <c r="R189" i="25"/>
  <c r="R471" i="25"/>
  <c r="R485" i="25"/>
  <c r="R514" i="25"/>
  <c r="R114" i="25"/>
  <c r="R235" i="25"/>
  <c r="R456" i="25"/>
  <c r="R430" i="25"/>
  <c r="R494" i="25"/>
  <c r="R121" i="25"/>
  <c r="R26" i="25"/>
  <c r="R571" i="25"/>
  <c r="R222" i="25"/>
  <c r="R254" i="25"/>
  <c r="R233" i="25"/>
  <c r="R16" i="25"/>
  <c r="R525" i="25"/>
  <c r="R78" i="25"/>
  <c r="R524" i="25"/>
  <c r="R193" i="25"/>
  <c r="R221" i="25"/>
  <c r="R390" i="25"/>
  <c r="R625" i="25"/>
  <c r="R244" i="25"/>
  <c r="R467" i="25"/>
  <c r="R306" i="25"/>
  <c r="R307" i="25"/>
  <c r="R322" i="25"/>
  <c r="R248" i="25"/>
  <c r="R623" i="25"/>
  <c r="R343" i="25"/>
  <c r="R302" i="25"/>
  <c r="R228" i="25"/>
  <c r="R148" i="25"/>
  <c r="R365" i="25"/>
  <c r="R338" i="25"/>
  <c r="R203" i="25"/>
  <c r="R35" i="25"/>
  <c r="R289" i="25"/>
  <c r="R81" i="25"/>
  <c r="R327" i="25"/>
  <c r="R230" i="25"/>
  <c r="R150" i="25"/>
  <c r="R347" i="25"/>
  <c r="R61" i="25"/>
  <c r="R181" i="25"/>
  <c r="R426" i="25"/>
  <c r="R461" i="25"/>
  <c r="R421" i="25"/>
  <c r="R360" i="25"/>
  <c r="R39" i="25"/>
  <c r="R123" i="25"/>
  <c r="R370" i="25"/>
  <c r="R143" i="25"/>
  <c r="R234" i="25"/>
  <c r="R285" i="25"/>
  <c r="R453" i="25"/>
  <c r="R216" i="25"/>
  <c r="R91" i="25"/>
  <c r="R476" i="25"/>
  <c r="R226" i="25"/>
  <c r="R384" i="25"/>
  <c r="R516" i="25"/>
  <c r="R298" i="25"/>
  <c r="R197" i="25"/>
  <c r="R523" i="25"/>
  <c r="R568" i="25"/>
  <c r="R438" i="25"/>
  <c r="R515" i="25"/>
  <c r="R207" i="25"/>
  <c r="R32" i="25"/>
  <c r="R25" i="25"/>
  <c r="R291" i="25"/>
  <c r="R51" i="25"/>
  <c r="R267" i="25"/>
  <c r="R477" i="25"/>
  <c r="R550" i="25"/>
  <c r="R87" i="25"/>
  <c r="R394" i="25"/>
  <c r="R204" i="25"/>
  <c r="R349" i="25"/>
  <c r="R46" i="25"/>
  <c r="R303" i="25"/>
  <c r="R31" i="25"/>
  <c r="R9" i="25"/>
  <c r="R127" i="25"/>
  <c r="R242" i="25"/>
  <c r="R36" i="25"/>
  <c r="R418" i="25"/>
  <c r="R90" i="25"/>
  <c r="R324" i="25"/>
  <c r="R381" i="25"/>
  <c r="R253" i="25"/>
  <c r="R165" i="25"/>
  <c r="R544" i="25"/>
  <c r="R700" i="25"/>
  <c r="R953" i="25"/>
  <c r="R823" i="25"/>
  <c r="R902" i="25"/>
  <c r="R783" i="25"/>
  <c r="R1034" i="25"/>
  <c r="R859" i="25"/>
  <c r="R649" i="25"/>
  <c r="R641" i="25"/>
  <c r="R102" i="25"/>
  <c r="R869" i="25"/>
  <c r="R917" i="25"/>
  <c r="R559" i="25"/>
  <c r="R906" i="25"/>
  <c r="R790" i="25"/>
  <c r="R552" i="25"/>
  <c r="R677" i="25"/>
  <c r="R851" i="25"/>
  <c r="R911" i="25"/>
  <c r="R340" i="25"/>
  <c r="R805" i="25"/>
  <c r="R867" i="25"/>
  <c r="R236" i="25"/>
  <c r="R180" i="25"/>
  <c r="R183" i="25"/>
  <c r="R527" i="25"/>
  <c r="R130" i="25"/>
  <c r="R164" i="25"/>
  <c r="R396" i="25"/>
  <c r="R72" i="25"/>
  <c r="R166" i="25"/>
  <c r="R537" i="25"/>
  <c r="R215" i="25"/>
  <c r="R428" i="25"/>
  <c r="R29" i="25"/>
  <c r="R975" i="25"/>
  <c r="R741" i="25"/>
  <c r="R964" i="25"/>
  <c r="R824" i="25"/>
  <c r="R930" i="25"/>
  <c r="R616" i="25"/>
  <c r="R825" i="25"/>
  <c r="R782" i="25"/>
  <c r="R738" i="25"/>
  <c r="R617" i="25"/>
  <c r="R924" i="25"/>
  <c r="R788" i="25"/>
  <c r="R588" i="25"/>
  <c r="R1026" i="25"/>
  <c r="R301" i="25"/>
  <c r="R470" i="25"/>
  <c r="R368" i="25"/>
  <c r="R569" i="25"/>
  <c r="R429" i="25"/>
  <c r="R154" i="25"/>
  <c r="R462" i="25"/>
  <c r="R431" i="25"/>
  <c r="R393" i="25"/>
  <c r="R509" i="25"/>
  <c r="R397" i="25"/>
  <c r="R417" i="25"/>
  <c r="R335" i="25"/>
  <c r="R257" i="25"/>
  <c r="R74" i="25"/>
  <c r="R8" i="25"/>
  <c r="R490" i="25"/>
  <c r="R531" i="25"/>
  <c r="R202" i="25"/>
  <c r="R488" i="25"/>
  <c r="R133" i="25"/>
  <c r="R383" i="25"/>
  <c r="R58" i="25"/>
  <c r="R445" i="25"/>
  <c r="R311" i="25"/>
  <c r="R558" i="25"/>
  <c r="R772" i="25"/>
  <c r="R910" i="25"/>
  <c r="R813" i="25"/>
  <c r="R877" i="25"/>
  <c r="R905" i="25"/>
  <c r="R1028" i="25"/>
  <c r="R554" i="25"/>
  <c r="R1013" i="25"/>
  <c r="R589" i="25"/>
  <c r="R939" i="25"/>
  <c r="R555" i="25"/>
  <c r="R653" i="25"/>
  <c r="R646" i="25"/>
  <c r="R713" i="25"/>
  <c r="R819" i="25"/>
  <c r="R786" i="25"/>
  <c r="R712" i="25"/>
  <c r="R872" i="25"/>
  <c r="R935" i="25"/>
  <c r="R854" i="25"/>
  <c r="R861" i="25"/>
  <c r="R1019" i="25"/>
  <c r="R943" i="25"/>
  <c r="R561" i="25"/>
  <c r="R927" i="25"/>
  <c r="R870" i="25"/>
  <c r="R614" i="25"/>
  <c r="R178" i="25"/>
  <c r="R53" i="25"/>
  <c r="R120" i="25"/>
  <c r="R135" i="25"/>
  <c r="R168" i="25"/>
  <c r="R332" i="25"/>
  <c r="R161" i="25"/>
  <c r="R695" i="25"/>
  <c r="R1015" i="25"/>
  <c r="R795" i="25"/>
  <c r="R826" i="25"/>
  <c r="R853" i="25"/>
  <c r="R1006" i="25"/>
  <c r="R962" i="25"/>
  <c r="R739" i="25"/>
  <c r="R929" i="25"/>
  <c r="R840" i="25"/>
  <c r="R952" i="25"/>
  <c r="R838" i="25"/>
  <c r="R857" i="25"/>
  <c r="R947" i="25"/>
  <c r="R938" i="25"/>
  <c r="R670" i="25"/>
  <c r="R979" i="25"/>
  <c r="R1002" i="25"/>
  <c r="R761" i="25"/>
  <c r="R893" i="25"/>
  <c r="R891" i="25"/>
  <c r="R946" i="25"/>
  <c r="R574" i="25"/>
  <c r="R1027" i="25"/>
  <c r="R807" i="25"/>
  <c r="R765" i="25"/>
  <c r="R981" i="25"/>
  <c r="R719" i="25"/>
  <c r="R356" i="25"/>
  <c r="R238" i="25"/>
  <c r="R373" i="25"/>
  <c r="R517" i="25"/>
  <c r="R67" i="25"/>
  <c r="R895" i="25"/>
  <c r="R950" i="25"/>
  <c r="R1005" i="25"/>
  <c r="R1029" i="25"/>
  <c r="R478" i="25"/>
  <c r="R572" i="25"/>
  <c r="R882" i="25"/>
  <c r="R683" i="25"/>
  <c r="R921" i="25"/>
  <c r="R866" i="25"/>
  <c r="R631" i="25"/>
  <c r="R818" i="25"/>
  <c r="R832" i="25"/>
  <c r="R611" i="25"/>
  <c r="R767" i="25"/>
  <c r="R648" i="25"/>
  <c r="R865" i="25"/>
  <c r="R984" i="25"/>
  <c r="R909" i="25"/>
  <c r="R711" i="25"/>
  <c r="R1036" i="25"/>
  <c r="R200" i="25"/>
  <c r="R398" i="25"/>
  <c r="R425" i="25"/>
  <c r="R101" i="25"/>
  <c r="R325" i="25"/>
  <c r="R391" i="25"/>
  <c r="R175" i="25"/>
  <c r="R115" i="25"/>
  <c r="R366" i="25"/>
  <c r="R206" i="25"/>
  <c r="R433" i="25"/>
  <c r="R6" i="25"/>
  <c r="R334" i="25"/>
  <c r="R304" i="25"/>
  <c r="R314" i="25"/>
  <c r="R413" i="25"/>
  <c r="R65" i="25"/>
  <c r="R162" i="25"/>
  <c r="R326" i="25"/>
  <c r="R733" i="25"/>
  <c r="R842" i="25"/>
  <c r="R1014" i="25"/>
  <c r="R858" i="25"/>
  <c r="R773" i="25"/>
  <c r="R996" i="25"/>
  <c r="R875" i="25"/>
  <c r="R84" i="25"/>
  <c r="R493" i="25"/>
  <c r="R108" i="25"/>
  <c r="R77" i="25"/>
  <c r="R169" i="25"/>
  <c r="R389" i="25"/>
  <c r="R100" i="25"/>
  <c r="R358" i="25"/>
  <c r="R455" i="25"/>
  <c r="R395" i="25"/>
  <c r="R69" i="25"/>
  <c r="R331" i="25"/>
  <c r="R286" i="25"/>
  <c r="R281" i="25"/>
  <c r="R239" i="25"/>
  <c r="R443" i="25"/>
  <c r="R507" i="25"/>
  <c r="R351" i="25"/>
  <c r="R113" i="25"/>
  <c r="R12" i="25"/>
  <c r="R500" i="25"/>
  <c r="R45" i="25"/>
  <c r="R336" i="25"/>
  <c r="R681" i="25"/>
  <c r="R864" i="25"/>
  <c r="R685" i="25"/>
  <c r="R764" i="25"/>
  <c r="R595" i="25"/>
  <c r="R806" i="25"/>
  <c r="R965" i="25"/>
  <c r="R978" i="25"/>
  <c r="R915" i="25"/>
  <c r="R777" i="25"/>
  <c r="R780" i="25"/>
  <c r="R841" i="25"/>
  <c r="R592" i="25"/>
  <c r="R959" i="25"/>
  <c r="R60" i="25"/>
  <c r="R156" i="25"/>
  <c r="R297" i="25"/>
  <c r="R299" i="25"/>
  <c r="R497" i="25"/>
  <c r="R847" i="25"/>
  <c r="R980" i="25"/>
  <c r="R665" i="25"/>
  <c r="R754" i="25"/>
  <c r="R562" i="25"/>
  <c r="R590" i="25"/>
  <c r="R988" i="25"/>
  <c r="R973" i="25"/>
  <c r="R945" i="25"/>
  <c r="R746" i="25"/>
  <c r="R618" i="25"/>
  <c r="R687" i="25"/>
  <c r="R942" i="25"/>
  <c r="R760" i="25"/>
  <c r="R876" i="25"/>
  <c r="R821" i="25"/>
  <c r="R972" i="25"/>
  <c r="R936" i="25"/>
  <c r="R601" i="25"/>
  <c r="R441" i="25"/>
  <c r="R960" i="25"/>
  <c r="R1016" i="25"/>
  <c r="R814" i="25"/>
  <c r="R734" i="25"/>
  <c r="R580" i="25"/>
  <c r="R742" i="25"/>
  <c r="R799" i="25"/>
  <c r="R634" i="25"/>
  <c r="R801" i="25"/>
  <c r="R860" i="25"/>
  <c r="R874" i="25"/>
  <c r="R789" i="25"/>
  <c r="R564" i="25"/>
  <c r="R766" i="25"/>
  <c r="R705" i="25"/>
  <c r="R606" i="25"/>
  <c r="R1031" i="25"/>
  <c r="R997" i="25"/>
  <c r="R756" i="25"/>
  <c r="R995" i="25"/>
  <c r="R667" i="25"/>
  <c r="R991" i="25"/>
  <c r="R937" i="25"/>
  <c r="R797" i="25"/>
  <c r="R918" i="25"/>
  <c r="R815" i="25"/>
  <c r="R613" i="25"/>
  <c r="R341" i="25"/>
  <c r="R458" i="25"/>
  <c r="R47" i="25"/>
  <c r="R337" i="25"/>
  <c r="R95" i="25"/>
  <c r="R124" i="25"/>
  <c r="R103" i="25"/>
  <c r="R377" i="25"/>
  <c r="R15" i="25"/>
  <c r="R632" i="25"/>
  <c r="R770" i="25"/>
  <c r="R990" i="25"/>
  <c r="R899" i="25"/>
  <c r="R684" i="25"/>
  <c r="R967" i="25"/>
  <c r="R1001" i="25"/>
  <c r="R887" i="25"/>
  <c r="R1033" i="25"/>
  <c r="R440" i="25"/>
  <c r="R736" i="25"/>
  <c r="R730" i="25"/>
  <c r="R728" i="25"/>
  <c r="R908" i="25"/>
  <c r="R633" i="25"/>
  <c r="R702" i="25"/>
  <c r="R970" i="25"/>
  <c r="R809" i="25"/>
  <c r="R928" i="25"/>
  <c r="R1007" i="25"/>
  <c r="R792" i="25"/>
  <c r="R412" i="25"/>
  <c r="R645" i="25"/>
  <c r="R743" i="25"/>
  <c r="R727" i="25"/>
  <c r="R627" i="25"/>
  <c r="R774" i="25"/>
  <c r="R987" i="25"/>
  <c r="R628" i="25"/>
  <c r="R1037" i="97"/>
  <c r="R152" i="25"/>
  <c r="R117" i="25"/>
  <c r="R355" i="25"/>
  <c r="R496" i="25"/>
  <c r="R243" i="25"/>
  <c r="R502" i="25"/>
  <c r="R155" i="25"/>
  <c r="R171" i="25"/>
  <c r="R142" i="25"/>
  <c r="R463" i="25"/>
  <c r="R379" i="25"/>
  <c r="R361" i="25"/>
  <c r="R315" i="25"/>
  <c r="R71" i="25"/>
  <c r="R621" i="25"/>
  <c r="R43" i="25"/>
  <c r="R422" i="25"/>
  <c r="R492" i="25"/>
  <c r="R404" i="25"/>
  <c r="R132" i="25"/>
  <c r="R1011" i="25"/>
  <c r="R829" i="25"/>
  <c r="R716" i="25"/>
  <c r="R638" i="25"/>
  <c r="R689" i="25"/>
  <c r="R784" i="25"/>
  <c r="R748" i="25"/>
  <c r="R894" i="25"/>
  <c r="R576" i="25"/>
  <c r="R721" i="25"/>
  <c r="R839" i="25"/>
  <c r="R697" i="25"/>
  <c r="R657" i="25"/>
  <c r="R883" i="25"/>
  <c r="R856" i="25"/>
  <c r="R830" i="25"/>
  <c r="R753" i="25"/>
  <c r="R660" i="25"/>
  <c r="R686" i="25"/>
  <c r="R897" i="25"/>
  <c r="R693" i="25"/>
  <c r="R647" i="25"/>
  <c r="R551" i="25"/>
  <c r="R868" i="25"/>
  <c r="R23" i="25"/>
  <c r="R480" i="25"/>
  <c r="R534" i="25"/>
  <c r="R484" i="25"/>
  <c r="R407" i="25"/>
  <c r="R543" i="25"/>
  <c r="R94" i="25"/>
  <c r="R317" i="25"/>
  <c r="R474" i="25"/>
  <c r="R122" i="25"/>
  <c r="R444" i="25"/>
  <c r="R504" i="25"/>
  <c r="R30" i="25"/>
  <c r="R80" i="25"/>
  <c r="R73" i="25"/>
  <c r="R190" i="25"/>
  <c r="R225" i="25"/>
  <c r="R149" i="25"/>
  <c r="R642" i="25"/>
  <c r="R757" i="25"/>
  <c r="R1020" i="25"/>
  <c r="R898" i="25"/>
  <c r="R1021" i="25"/>
  <c r="R652" i="25"/>
  <c r="R880" i="25"/>
  <c r="R586" i="25"/>
  <c r="R1009" i="25"/>
  <c r="R556" i="25"/>
  <c r="R802" i="25"/>
  <c r="R4" i="25"/>
  <c r="H9" i="116" l="1"/>
  <c r="H12" i="11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<sst xmlns="http://schemas.openxmlformats.org/spreadsheetml/2006/main" count="41714" uniqueCount="7263">
  <si>
    <t>Date</t>
  </si>
  <si>
    <t>Revision</t>
  </si>
  <si>
    <t>Author</t>
    <phoneticPr fontId="4"/>
  </si>
  <si>
    <t>Changes</t>
    <phoneticPr fontId="3"/>
  </si>
  <si>
    <t>Rev0</t>
    <phoneticPr fontId="20"/>
  </si>
  <si>
    <t>Kunihiro.Matsuura</t>
  </si>
  <si>
    <t>First draft.</t>
    <phoneticPr fontId="4"/>
  </si>
  <si>
    <t>Rev1</t>
    <phoneticPr fontId="20"/>
  </si>
  <si>
    <t>Changed TDAU TC assignment and routing. (SITE1,SITE3,Thermal TAB)</t>
    <phoneticPr fontId="3"/>
  </si>
  <si>
    <t>ITTO-620-0190 Meteor Lake PCH X4</t>
    <phoneticPr fontId="3"/>
  </si>
  <si>
    <t>SITE1</t>
    <phoneticPr fontId="4"/>
  </si>
  <si>
    <t>Function</t>
  </si>
  <si>
    <t>Land#</t>
  </si>
  <si>
    <t>Channel/Tester No</t>
  </si>
  <si>
    <t>Components</t>
  </si>
  <si>
    <t>Minor Length</t>
  </si>
  <si>
    <t>Major Length</t>
  </si>
  <si>
    <t>Total Length</t>
  </si>
  <si>
    <t>Trace Layer</t>
  </si>
  <si>
    <t>Pin Name</t>
  </si>
  <si>
    <t>Pin Location</t>
  </si>
  <si>
    <t>X-Coord</t>
  </si>
  <si>
    <t>Y-Coord</t>
  </si>
  <si>
    <t>Power, GND
or IO
(Pin Type)</t>
  </si>
  <si>
    <t>Top/Bottom
Pin</t>
  </si>
  <si>
    <t>Interface</t>
  </si>
  <si>
    <t>Channel
link
(CMT
DM250 and
DM800 only)</t>
  </si>
  <si>
    <t>Channel
count</t>
  </si>
  <si>
    <t>Time
Domain</t>
  </si>
  <si>
    <t>Min Trace Length
(mils)</t>
  </si>
  <si>
    <t>Max
Trace
Length
(mils)</t>
  </si>
  <si>
    <t>Diff
pair
number</t>
  </si>
  <si>
    <t>Diff
phase
tolerance
(+/- mils)</t>
  </si>
  <si>
    <t>Differential
impedance
(Ohm)</t>
  </si>
  <si>
    <t>Match Group</t>
  </si>
  <si>
    <t>Match Group
tolerance
(+/- mils)</t>
  </si>
  <si>
    <t>Share
channel
(match
required)</t>
  </si>
  <si>
    <t>Loop
back</t>
  </si>
  <si>
    <t>RCOMP Groups</t>
  </si>
  <si>
    <t>Test
point
needed</t>
  </si>
  <si>
    <t>Signal Speed (MHz)
Pins</t>
  </si>
  <si>
    <t>PCB
 Routing
 Instruction</t>
  </si>
  <si>
    <t>D1_TC_M04_DP01_TD02__CLKOUT_SRC_N_0</t>
  </si>
  <si>
    <t>R10</t>
  </si>
  <si>
    <t>J1609.DS6</t>
  </si>
  <si>
    <t>J1609PIN102</t>
  </si>
  <si>
    <t/>
  </si>
  <si>
    <t>L30_HSIO6</t>
  </si>
  <si>
    <t>CLKOUT_SRC_N_0</t>
  </si>
  <si>
    <t>IO</t>
  </si>
  <si>
    <t>Bottom</t>
  </si>
  <si>
    <t>DM800</t>
  </si>
  <si>
    <t>TD02</t>
  </si>
  <si>
    <t>DP01</t>
  </si>
  <si>
    <t>M04</t>
  </si>
  <si>
    <t>Differential. Site-to-Site match.</t>
  </si>
  <si>
    <t>D1_TC_M04_DP02_TD02__CLKOUT_SRC_N_1</t>
  </si>
  <si>
    <t>G3</t>
  </si>
  <si>
    <t>J1609.AS3</t>
  </si>
  <si>
    <t>J1609PIN114</t>
  </si>
  <si>
    <t>L9_INT1</t>
  </si>
  <si>
    <t>CLKOUT_SRC_N_1</t>
  </si>
  <si>
    <t>DP02</t>
  </si>
  <si>
    <t>D1_TC_M04_DP03_TD02__CLKOUT_SRC_N_10</t>
  </si>
  <si>
    <t>H5</t>
  </si>
  <si>
    <t>J1609.CS1</t>
  </si>
  <si>
    <t>J1609PIN109</t>
  </si>
  <si>
    <t>L11_INT2</t>
  </si>
  <si>
    <t>CLKOUT_SRC_N_10</t>
  </si>
  <si>
    <t>DP03</t>
  </si>
  <si>
    <t>D1_TC_M04_DP04_TD02__CLKOUT_SRC_N_11</t>
  </si>
  <si>
    <t>K6</t>
  </si>
  <si>
    <t>J1608.CS2</t>
  </si>
  <si>
    <t>J1608PIN063</t>
  </si>
  <si>
    <t>L13_INT3</t>
  </si>
  <si>
    <t>CLKOUT_SRC_N_11</t>
  </si>
  <si>
    <t>DP04</t>
  </si>
  <si>
    <t>D1_TC_M04_DP05_TD02__CLKOUT_SRC_N_12</t>
  </si>
  <si>
    <t>N6</t>
  </si>
  <si>
    <t>J1607.AS5</t>
  </si>
  <si>
    <t>J1607PIN030</t>
  </si>
  <si>
    <t>CLKOUT_SRC_N_12</t>
  </si>
  <si>
    <t>DP05</t>
  </si>
  <si>
    <t>D1_TC_M04_DP06_TD02__CLKOUT_SRC_N_13</t>
  </si>
  <si>
    <t>V10</t>
  </si>
  <si>
    <t>J1609.BS2</t>
  </si>
  <si>
    <t>J1609PIN111</t>
  </si>
  <si>
    <t>CLKOUT_SRC_N_13</t>
  </si>
  <si>
    <t>DP06</t>
  </si>
  <si>
    <t>D1_TC_M04_DP07_TD02__CLKOUT_SRC_N_2</t>
  </si>
  <si>
    <t>J2</t>
  </si>
  <si>
    <t>J1608.DS3</t>
  </si>
  <si>
    <t>J1608PIN062</t>
  </si>
  <si>
    <t>CLKOUT_SRC_N_2</t>
  </si>
  <si>
    <t>DP07</t>
  </si>
  <si>
    <t>D1_TC_M04_DP08_TD02__CLKOUT_SRC_N_3</t>
  </si>
  <si>
    <t>K2</t>
  </si>
  <si>
    <t>J1607.DS2</t>
  </si>
  <si>
    <t>J1607PIN020</t>
  </si>
  <si>
    <t>CLKOUT_SRC_N_3</t>
  </si>
  <si>
    <t>DP08</t>
  </si>
  <si>
    <t>D1_TC_M04_DP09_TD02__CLKOUT_SRC_N_4</t>
  </si>
  <si>
    <t>M3</t>
  </si>
  <si>
    <t>J1608.CS4</t>
  </si>
  <si>
    <t>J1608PIN059</t>
  </si>
  <si>
    <t>CLKOUT_SRC_N_4</t>
  </si>
  <si>
    <t>DP09</t>
  </si>
  <si>
    <t>D1_TC_M04_DP10_TD02__CLKOUT_SRC_N_5</t>
  </si>
  <si>
    <t>M4</t>
  </si>
  <si>
    <t>J1607.DS7</t>
  </si>
  <si>
    <t>J1607PIN012</t>
  </si>
  <si>
    <t>CLKOUT_SRC_N_5</t>
  </si>
  <si>
    <t>DP10</t>
  </si>
  <si>
    <t>D1_TC_M04_DP11_TD02__CLKOUT_SRC_N_6</t>
  </si>
  <si>
    <t>N3</t>
  </si>
  <si>
    <t>J1608.AS3</t>
  </si>
  <si>
    <t>J1608PIN070</t>
  </si>
  <si>
    <t>CLKOUT_SRC_N_6</t>
  </si>
  <si>
    <t>DP11</t>
  </si>
  <si>
    <t>D1_TC_M04_DP12_TD02__CLKOUT_SRC_N_7</t>
  </si>
  <si>
    <t>R2</t>
  </si>
  <si>
    <t>J1607.CS4</t>
  </si>
  <si>
    <t>J1607PIN015</t>
  </si>
  <si>
    <t>CLKOUT_SRC_N_7</t>
  </si>
  <si>
    <t>DP12</t>
  </si>
  <si>
    <t>D1_TC_M04_DP13_TD02__CLKOUT_SRC_N_8</t>
  </si>
  <si>
    <t>R3</t>
  </si>
  <si>
    <t>J1607.DS4</t>
  </si>
  <si>
    <t>J1607PIN016</t>
  </si>
  <si>
    <t>CLKOUT_SRC_N_8</t>
  </si>
  <si>
    <t>DP13</t>
  </si>
  <si>
    <t>J7</t>
  </si>
  <si>
    <t>J1608.BS2</t>
  </si>
  <si>
    <t>J1608PIN067</t>
  </si>
  <si>
    <t>CLKOUT_SRC_N_9</t>
  </si>
  <si>
    <t>DP14</t>
  </si>
  <si>
    <t>D1_TC_M04_DP01_TD02__CLKOUT_SRC_P_0</t>
  </si>
  <si>
    <t>R12</t>
  </si>
  <si>
    <t>J1609.DS7</t>
  </si>
  <si>
    <t>J1609PIN100</t>
  </si>
  <si>
    <t>CLKOUT_SRC_P_0</t>
  </si>
  <si>
    <t>D1_TC_M04_DP02_TD02__CLKOUT_SRC_P_1</t>
  </si>
  <si>
    <t>G2</t>
  </si>
  <si>
    <t>J1609.AS2</t>
  </si>
  <si>
    <t>J1609PIN112</t>
  </si>
  <si>
    <t>CLKOUT_SRC_P_1</t>
  </si>
  <si>
    <t>D1_TC_M04_DP03_TD02__CLKOUT_SRC_P_10</t>
  </si>
  <si>
    <t>F5</t>
  </si>
  <si>
    <t>J1609.CS2</t>
  </si>
  <si>
    <t>J1609PIN107</t>
  </si>
  <si>
    <t>CLKOUT_SRC_P_10</t>
  </si>
  <si>
    <t>D1_TC_M04_DP04_TD02__CLKOUT_SRC_P_11</t>
  </si>
  <si>
    <t>L7</t>
  </si>
  <si>
    <t>J1608.CS1</t>
  </si>
  <si>
    <t>J1608PIN065</t>
  </si>
  <si>
    <t>CLKOUT_SRC_P_11</t>
  </si>
  <si>
    <t>D1_TC_M04_DP05_TD02__CLKOUT_SRC_P_12</t>
  </si>
  <si>
    <t>N7</t>
  </si>
  <si>
    <t>J1607.AS4</t>
  </si>
  <si>
    <t>J1607PIN028</t>
  </si>
  <si>
    <t>CLKOUT_SRC_P_12</t>
  </si>
  <si>
    <t>D1_TC_M04_DP06_TD02__CLKOUT_SRC_P_13</t>
  </si>
  <si>
    <t>V12</t>
  </si>
  <si>
    <t>J1609.BS3</t>
  </si>
  <si>
    <t>J1609PIN113</t>
  </si>
  <si>
    <t>CLKOUT_SRC_P_13</t>
  </si>
  <si>
    <t>D1_TC_M04_DP07_TD02__CLKOUT_SRC_P_2</t>
  </si>
  <si>
    <t>J3</t>
  </si>
  <si>
    <t>J1608.DS4</t>
  </si>
  <si>
    <t>J1608PIN060</t>
  </si>
  <si>
    <t>CLKOUT_SRC_P_2</t>
  </si>
  <si>
    <t>D1_TC_M04_DP08_TD02__CLKOUT_SRC_P_3</t>
  </si>
  <si>
    <t>L3</t>
  </si>
  <si>
    <t>J1607.DS1</t>
  </si>
  <si>
    <t>J1607PIN022</t>
  </si>
  <si>
    <t>CLKOUT_SRC_P_3</t>
  </si>
  <si>
    <t>D1_TC_M04_DP09_TD02__CLKOUT_SRC_P_4</t>
  </si>
  <si>
    <t>M2</t>
  </si>
  <si>
    <t>J1608.CS3</t>
  </si>
  <si>
    <t>J1608PIN061</t>
  </si>
  <si>
    <t>CLKOUT_SRC_P_4</t>
  </si>
  <si>
    <t>D1_TC_M04_DP10_TD02__CLKOUT_SRC_P_5</t>
  </si>
  <si>
    <t>M5</t>
  </si>
  <si>
    <t>J1607.DS6</t>
  </si>
  <si>
    <t>J1607PIN014</t>
  </si>
  <si>
    <t>CLKOUT_SRC_P_5</t>
  </si>
  <si>
    <t>D1_TC_M04_DP11_TD02__CLKOUT_SRC_P_6</t>
  </si>
  <si>
    <t>N2</t>
  </si>
  <si>
    <t>J1608.AS2</t>
  </si>
  <si>
    <t>J1608PIN068</t>
  </si>
  <si>
    <t>CLKOUT_SRC_P_6</t>
  </si>
  <si>
    <t>D1_TC_M04_DP12_TD02__CLKOUT_SRC_P_7</t>
  </si>
  <si>
    <t>P3</t>
  </si>
  <si>
    <t>J1607.CS3</t>
  </si>
  <si>
    <t>J1607PIN017</t>
  </si>
  <si>
    <t>CLKOUT_SRC_P_7</t>
  </si>
  <si>
    <t>D1_TC_M04_DP13_TD02__CLKOUT_SRC_P_8</t>
  </si>
  <si>
    <t>T3</t>
  </si>
  <si>
    <t>J1607.DS3</t>
  </si>
  <si>
    <t>J1607PIN018</t>
  </si>
  <si>
    <t>CLKOUT_SRC_P_8</t>
  </si>
  <si>
    <t>D1_TC_M04_DP14_TD02__CLKOUT_SRC_P_9</t>
  </si>
  <si>
    <t>H6</t>
  </si>
  <si>
    <t>J1608.BS3</t>
  </si>
  <si>
    <t>J1608PIN069</t>
  </si>
  <si>
    <t>CLKOUT_SRC_P_9</t>
  </si>
  <si>
    <t>D1_TC_M02_DP15_TD02__CLKOUT_XTAL_N</t>
  </si>
  <si>
    <t>C7</t>
  </si>
  <si>
    <t>J1609.DS2</t>
  </si>
  <si>
    <t>J1609PIN108</t>
  </si>
  <si>
    <t>CLKOUT_XTAL_N</t>
  </si>
  <si>
    <t>DP15</t>
  </si>
  <si>
    <t>M02</t>
  </si>
  <si>
    <t>D1_TC_M02_DP15_TD02__CLKOUT_XTAL_P</t>
  </si>
  <si>
    <t>B6</t>
  </si>
  <si>
    <t>J1609.DS1</t>
  </si>
  <si>
    <t>J1609PIN110</t>
  </si>
  <si>
    <t>CLKOUT_XTAL_P</t>
  </si>
  <si>
    <t>D1_TC_M10_DP16_L88_TD01__CNV_WR_CLKN</t>
  </si>
  <si>
    <t>BB15</t>
  </si>
  <si>
    <t>J1602.BS5</t>
  </si>
  <si>
    <t>J1602PIN073</t>
  </si>
  <si>
    <t>UA121.8</t>
  </si>
  <si>
    <t>UA121.18</t>
  </si>
  <si>
    <t>L30_HSIO6/L26_HSIO4</t>
  </si>
  <si>
    <t>CNV_WR_CLKN</t>
  </si>
  <si>
    <t>TD01</t>
  </si>
  <si>
    <t>DP16</t>
  </si>
  <si>
    <t>M10</t>
  </si>
  <si>
    <t>L88</t>
  </si>
  <si>
    <t>2.56 Gbs</t>
  </si>
  <si>
    <t>Refer to "HSIO" Tab</t>
  </si>
  <si>
    <t>D1_TC_M10_DP16_L87_TD01__CNV_WR_CLKP</t>
  </si>
  <si>
    <t>BC15</t>
  </si>
  <si>
    <t>J1602.BS4</t>
  </si>
  <si>
    <t>J1602PIN071</t>
  </si>
  <si>
    <t>UA121.2</t>
  </si>
  <si>
    <t>UA121.24</t>
  </si>
  <si>
    <t>CNV_WR_CLKP</t>
  </si>
  <si>
    <t>L87</t>
  </si>
  <si>
    <t>D1_TC_M10_DP17_L90_TD01__CNV_WR_D0N</t>
  </si>
  <si>
    <t>AV16</t>
  </si>
  <si>
    <t>J1601.BS4</t>
  </si>
  <si>
    <t>J1601PIN027</t>
  </si>
  <si>
    <t>UA122.8</t>
  </si>
  <si>
    <t>UA122.18</t>
  </si>
  <si>
    <t>CNV_WR_D0N</t>
  </si>
  <si>
    <t>DP17</t>
  </si>
  <si>
    <t>L90</t>
  </si>
  <si>
    <t xml:space="preserve">Dphy 2.5G (DC CoupleD -  Relays and Relay switches will be added. </t>
  </si>
  <si>
    <t>D1_TC_M10_DP17_L89_TD01__CNV_WR_D0P</t>
  </si>
  <si>
    <t>BA16</t>
  </si>
  <si>
    <t>J1601.BS5</t>
  </si>
  <si>
    <t>J1601PIN029</t>
  </si>
  <si>
    <t>UA122.2</t>
  </si>
  <si>
    <t>UA122.24</t>
  </si>
  <si>
    <t>CNV_WR_D0P</t>
  </si>
  <si>
    <t>L89</t>
  </si>
  <si>
    <t>D1_TC_M10_DP18_L92_TD01__CNV_WR_D1N</t>
  </si>
  <si>
    <t>BA14</t>
  </si>
  <si>
    <t>J1601.DS6</t>
  </si>
  <si>
    <t>J1601PIN014</t>
  </si>
  <si>
    <t>UA123.8</t>
  </si>
  <si>
    <t>UA123.18</t>
  </si>
  <si>
    <t>L30_HSIO6/L22_HSIO2</t>
  </si>
  <si>
    <t>CNV_WR_D1N</t>
  </si>
  <si>
    <t>DP18</t>
  </si>
  <si>
    <t>L92</t>
  </si>
  <si>
    <t>D1_TC_M10_DP18_L91_TD01__CNV_WR_D1P</t>
  </si>
  <si>
    <t>BB13</t>
  </si>
  <si>
    <t>J1601.DS7</t>
  </si>
  <si>
    <t>J1601PIN012</t>
  </si>
  <si>
    <t>UA123.2</t>
  </si>
  <si>
    <t>UA123.24</t>
  </si>
  <si>
    <t>CNV_WR_D1P</t>
  </si>
  <si>
    <t>L91</t>
  </si>
  <si>
    <t>D1_TC_M10_DP19_L88_TD01__CNV_WT_CLKN</t>
  </si>
  <si>
    <t>BF14</t>
  </si>
  <si>
    <t>J1603.AS2</t>
  </si>
  <si>
    <t>J1603PIN112</t>
  </si>
  <si>
    <t>UA121.7</t>
  </si>
  <si>
    <t>UA121.19</t>
  </si>
  <si>
    <t>L20_HSIO1/L26_HSIO4</t>
  </si>
  <si>
    <t>CNV_WT_CLKN</t>
  </si>
  <si>
    <t>DP19</t>
  </si>
  <si>
    <t>D1_TC_M10_DP19_L87_TD01__CNV_WT_CLKP</t>
  </si>
  <si>
    <t>BG14</t>
  </si>
  <si>
    <t>J1603.AS3</t>
  </si>
  <si>
    <t>J1603PIN114</t>
  </si>
  <si>
    <t>UA121.1</t>
  </si>
  <si>
    <t>UA121.25</t>
  </si>
  <si>
    <t>CNV_WT_CLKP</t>
  </si>
  <si>
    <t>D1_TC_M10_DP20_L90_TD01__CNV_WT_D0N</t>
  </si>
  <si>
    <t>BF16</t>
  </si>
  <si>
    <t>J1606.CS12</t>
  </si>
  <si>
    <t>J1606PIN089</t>
  </si>
  <si>
    <t>UA122.7</t>
  </si>
  <si>
    <t>RA121.1</t>
  </si>
  <si>
    <t>UA122.19</t>
  </si>
  <si>
    <t>L28_HSIO5/L26_HSIO4</t>
  </si>
  <si>
    <t>CNV_WT_D0N</t>
  </si>
  <si>
    <t>DP20</t>
  </si>
  <si>
    <t>D1_TC_M10_DP20_L89_TD01__CNV_WT_D0P</t>
  </si>
  <si>
    <t>BG16</t>
  </si>
  <si>
    <t>J1606.CS11</t>
  </si>
  <si>
    <t>J1606PIN091</t>
  </si>
  <si>
    <t>UA122.1</t>
  </si>
  <si>
    <t>KA121.3</t>
  </si>
  <si>
    <t>UA122.25</t>
  </si>
  <si>
    <t>CNV_WT_D0P</t>
  </si>
  <si>
    <t>D1_TC_M10_DP21_L92_TD01__CNV_WT_D1N</t>
  </si>
  <si>
    <t>BE15</t>
  </si>
  <si>
    <t>J1605.CS9</t>
  </si>
  <si>
    <t>J1605PIN051</t>
  </si>
  <si>
    <t>UA123.7</t>
  </si>
  <si>
    <t>RA122.1</t>
  </si>
  <si>
    <t>UA123.19</t>
  </si>
  <si>
    <t>L28_HSIO5/L22_HSIO2</t>
  </si>
  <si>
    <t>CNV_WT_D1N</t>
  </si>
  <si>
    <t>DP21</t>
  </si>
  <si>
    <t>D1_TC_M10_DP21_L91_TD01__CNV_WT_D1P</t>
  </si>
  <si>
    <t>BF15</t>
  </si>
  <si>
    <t>J1605.CS8</t>
  </si>
  <si>
    <t>J1605PIN053</t>
  </si>
  <si>
    <t>UA123.1</t>
  </si>
  <si>
    <t>KA122.3</t>
  </si>
  <si>
    <t>UA123.25</t>
  </si>
  <si>
    <t>CNV_WT_D1P</t>
  </si>
  <si>
    <t>D1_TC_TD01__CPU_TRSTB</t>
  </si>
  <si>
    <t>AK13</t>
  </si>
  <si>
    <t>J1702.AS3</t>
  </si>
  <si>
    <t>J1702PIN070</t>
  </si>
  <si>
    <t>CPU_TRSTB</t>
  </si>
  <si>
    <t>direct route to TC</t>
  </si>
  <si>
    <t>D1_TC_TD02__CPUPWRGD</t>
  </si>
  <si>
    <t>AH2</t>
  </si>
  <si>
    <t>J1608.DS1</t>
  </si>
  <si>
    <t>J1608PIN066</t>
  </si>
  <si>
    <t>L28_HSIO5</t>
  </si>
  <si>
    <t>CPUPWRGD</t>
  </si>
  <si>
    <t>D1_TC_TD01__CRASHLOG_TRIG_N</t>
  </si>
  <si>
    <t>AB5</t>
  </si>
  <si>
    <t>J1701.CS6</t>
  </si>
  <si>
    <t>J1701PIN101</t>
  </si>
  <si>
    <t>L24_HSIO3</t>
  </si>
  <si>
    <t>CRASHLOG_TRIG_N</t>
  </si>
  <si>
    <t>D1_TC_TD01__DBG_PMODE</t>
  </si>
  <si>
    <t>AF2</t>
  </si>
  <si>
    <t>J1606.DS8</t>
  </si>
  <si>
    <t>J1606PIN098</t>
  </si>
  <si>
    <t>DBG_PMODE</t>
  </si>
  <si>
    <t>D1_TC_TD01__DIR_ESPI_ALERTB</t>
  </si>
  <si>
    <t>G56</t>
  </si>
  <si>
    <t>J1709.DS7</t>
  </si>
  <si>
    <t>J1709PIN012</t>
  </si>
  <si>
    <t>DIR_ESPI_ALERTB</t>
  </si>
  <si>
    <t>D1_TC_TD01__DIR_ESPI_CLK</t>
  </si>
  <si>
    <t>F55</t>
  </si>
  <si>
    <t>J1703.DS1</t>
  </si>
  <si>
    <t>J1703PIN022</t>
  </si>
  <si>
    <t>DIR_ESPI_CLK</t>
  </si>
  <si>
    <t>D1_TC_TD01__DIR_ESPI_CSB</t>
  </si>
  <si>
    <t>B52</t>
  </si>
  <si>
    <t>J1709.BS2</t>
  </si>
  <si>
    <t>J1709PIN023</t>
  </si>
  <si>
    <t>DIR_ESPI_CSB</t>
  </si>
  <si>
    <t>D1_TC_TD01__DIR_ESPI_IO_0</t>
  </si>
  <si>
    <t>D54</t>
  </si>
  <si>
    <t>J1709.BS3</t>
  </si>
  <si>
    <t>J1709PIN025</t>
  </si>
  <si>
    <t>DIR_ESPI_IO_0</t>
  </si>
  <si>
    <t>D1_TC_TD01__DIR_ESPI_IO_1</t>
  </si>
  <si>
    <t>C55</t>
  </si>
  <si>
    <t>J1709.CS6</t>
  </si>
  <si>
    <t>J1709PIN013</t>
  </si>
  <si>
    <t>DIR_ESPI_IO_1</t>
  </si>
  <si>
    <t>D1_TC_TD01__DIR_ESPI_IO_2</t>
  </si>
  <si>
    <t>G54</t>
  </si>
  <si>
    <t>J1706.DS1</t>
  </si>
  <si>
    <t>J1706PIN022</t>
  </si>
  <si>
    <t>DIR_ESPI_IO_2</t>
  </si>
  <si>
    <t>D1_TC_TD01__DIR_ESPI_IO_3</t>
  </si>
  <si>
    <t>F53</t>
  </si>
  <si>
    <t>J1709.DS6</t>
  </si>
  <si>
    <t>J1709PIN014</t>
  </si>
  <si>
    <t>DIR_ESPI_IO_3</t>
  </si>
  <si>
    <t>D1_TC_TD01__DIR_ESPI_RCLK</t>
  </si>
  <si>
    <t>C53</t>
  </si>
  <si>
    <t>J1708.DS14</t>
  </si>
  <si>
    <t>J1708PIN042</t>
  </si>
  <si>
    <t>DIR_ESPI_RCLK</t>
  </si>
  <si>
    <t>D1_TC_TD01__DIR_ESPI_RESETB</t>
  </si>
  <si>
    <t>G55</t>
  </si>
  <si>
    <t>J1709.AS8</t>
  </si>
  <si>
    <t>J1709PIN036</t>
  </si>
  <si>
    <t>L15_INT4</t>
  </si>
  <si>
    <t>DIR_ESPI_RESETB</t>
  </si>
  <si>
    <t>D1_TC_M13_DP22_SL07_TD01__DMI_0_RXN__TXN</t>
  </si>
  <si>
    <t>E48</t>
  </si>
  <si>
    <t>J1708.BS5</t>
  </si>
  <si>
    <t>J1708PIN073</t>
  </si>
  <si>
    <t>LA353.1</t>
  </si>
  <si>
    <t>LA353.2</t>
  </si>
  <si>
    <t>DMI_0_RXN</t>
  </si>
  <si>
    <t>DP22</t>
  </si>
  <si>
    <t>M13</t>
  </si>
  <si>
    <t>SL07</t>
  </si>
  <si>
    <t>Gen4  16G (DC Coupled) - 1.2uH</t>
  </si>
  <si>
    <t>Refer to the "HSIO" Tab</t>
  </si>
  <si>
    <t>D1_TC_M13_DP22_SL08_TD01__DMI_0_RXP__TXP</t>
  </si>
  <si>
    <t>G48</t>
  </si>
  <si>
    <t>J1708.BS4</t>
  </si>
  <si>
    <t>J1708PIN071</t>
  </si>
  <si>
    <t>LA354.1</t>
  </si>
  <si>
    <t>LA354.2</t>
  </si>
  <si>
    <t>DMI_0_RXP</t>
  </si>
  <si>
    <t>SL08</t>
  </si>
  <si>
    <t>C51</t>
  </si>
  <si>
    <t>DMI_0_TXN</t>
  </si>
  <si>
    <t>DP23</t>
  </si>
  <si>
    <t>C50</t>
  </si>
  <si>
    <t>DMI_0_TXP</t>
  </si>
  <si>
    <t>D1_TC_M01_DP86_L77_TD01__USB31_6_TXN</t>
  </si>
  <si>
    <t>C24</t>
  </si>
  <si>
    <t>J1708.DS2</t>
  </si>
  <si>
    <t>J1708PIN064</t>
  </si>
  <si>
    <t>CA212.1</t>
  </si>
  <si>
    <t>LA223.1</t>
  </si>
  <si>
    <t>LA223.2</t>
  </si>
  <si>
    <t>L30_HSIO6/L28_HSIO5</t>
  </si>
  <si>
    <t>USB31_6_TXN</t>
  </si>
  <si>
    <t>DP86</t>
  </si>
  <si>
    <t>M01</t>
  </si>
  <si>
    <t>L77</t>
  </si>
  <si>
    <t>USB3.2 lanes (10gbps)</t>
  </si>
  <si>
    <t>D1_TC_M13_DP24_SL10_TD01__DMI_1_RXP__TXP</t>
  </si>
  <si>
    <t>G45</t>
  </si>
  <si>
    <t>J1709.DS8</t>
  </si>
  <si>
    <t>J1709PIN010</t>
  </si>
  <si>
    <t>LA356.1</t>
  </si>
  <si>
    <t>LA356.2</t>
  </si>
  <si>
    <t>L28_HSIO5/L24_HSIO3</t>
  </si>
  <si>
    <t>DMI_1_RXP</t>
  </si>
  <si>
    <t>DP24</t>
  </si>
  <si>
    <t>SL10</t>
  </si>
  <si>
    <t>D1_TC_M01_DP89_L84_TD01__USB31_9_RXP</t>
  </si>
  <si>
    <t>K28</t>
  </si>
  <si>
    <t>J1708.DS3</t>
  </si>
  <si>
    <t>J1708PIN062</t>
  </si>
  <si>
    <t>CA217.2</t>
  </si>
  <si>
    <t>LA234.1</t>
  </si>
  <si>
    <t>LA234.2</t>
  </si>
  <si>
    <t>L22_HSIO2/L20_HSIO1</t>
  </si>
  <si>
    <t>USB31_9_RXP</t>
  </si>
  <si>
    <t>DP89</t>
  </si>
  <si>
    <t>L84</t>
  </si>
  <si>
    <t>A49</t>
  </si>
  <si>
    <t>DMI_1_TXP</t>
  </si>
  <si>
    <t>DP25</t>
  </si>
  <si>
    <t>D1_TC_M13_DP26_SL11_TD01__DMI_2_RXN__TXN</t>
  </si>
  <si>
    <t>G42</t>
  </si>
  <si>
    <t>J1706.DS2</t>
  </si>
  <si>
    <t>J1706PIN020</t>
  </si>
  <si>
    <t>LA357.1</t>
  </si>
  <si>
    <t>LA357.2</t>
  </si>
  <si>
    <t>L20_HSIO1/L22_HSIO2</t>
  </si>
  <si>
    <t>DMI_2_RXN</t>
  </si>
  <si>
    <t>DP26</t>
  </si>
  <si>
    <t>SL11</t>
  </si>
  <si>
    <t>D1_TC_M13_DP26_SL12_TD01__DMI_2_RXP__TXP</t>
  </si>
  <si>
    <t>F42</t>
  </si>
  <si>
    <t>J1706.DS3</t>
  </si>
  <si>
    <t>J1706PIN018</t>
  </si>
  <si>
    <t>LA358.1</t>
  </si>
  <si>
    <t>LA358.2</t>
  </si>
  <si>
    <t>DMI_2_RXP</t>
  </si>
  <si>
    <t>SL12</t>
  </si>
  <si>
    <t>C48</t>
  </si>
  <si>
    <t>DMI_2_TXN</t>
  </si>
  <si>
    <t>DP27</t>
  </si>
  <si>
    <t>C47</t>
  </si>
  <si>
    <t>DMI_2_TXP</t>
  </si>
  <si>
    <t>D1_TC_M13_DP28_SL13_TD01__DMI_3_RXN__TXN</t>
  </si>
  <si>
    <t>K42</t>
  </si>
  <si>
    <t>J1706.BS5</t>
  </si>
  <si>
    <t>J1706PIN029</t>
  </si>
  <si>
    <t>LA359.1</t>
  </si>
  <si>
    <t>LA359.2</t>
  </si>
  <si>
    <t>L28_HSIO5/L20_HSIO1</t>
  </si>
  <si>
    <t>DMI_3_RXN</t>
  </si>
  <si>
    <t>DP28</t>
  </si>
  <si>
    <t>SL13</t>
  </si>
  <si>
    <t>D1_TC_M13_DP28_SL14_TD01__DMI_3_RXP__TXP</t>
  </si>
  <si>
    <t>M42</t>
  </si>
  <si>
    <t>J1706.BS4</t>
  </si>
  <si>
    <t>J1706PIN027</t>
  </si>
  <si>
    <t>LA360.1</t>
  </si>
  <si>
    <t>LA360.2</t>
  </si>
  <si>
    <t>DMI_3_RXP</t>
  </si>
  <si>
    <t>SL14</t>
  </si>
  <si>
    <t>A47</t>
  </si>
  <si>
    <t>DMI_3_TXN</t>
  </si>
  <si>
    <t>DP29</t>
  </si>
  <si>
    <t>A46</t>
  </si>
  <si>
    <t>DMI_3_TXP</t>
  </si>
  <si>
    <t>D1_TC_M13_DP30_SL15_TD01__DMI_4_RXN__TXN</t>
  </si>
  <si>
    <t>F39</t>
  </si>
  <si>
    <t>J1709.AS4</t>
  </si>
  <si>
    <t>J1709PIN028</t>
  </si>
  <si>
    <t>LA361.1</t>
  </si>
  <si>
    <t>LA361.2</t>
  </si>
  <si>
    <t>DMI_4_RXN</t>
  </si>
  <si>
    <t>DP30</t>
  </si>
  <si>
    <t>SL15</t>
  </si>
  <si>
    <t>D1_TC_M13_DP30_SL16_TD01__DMI_4_RXP__TXP</t>
  </si>
  <si>
    <t>G39</t>
  </si>
  <si>
    <t>J1709.AS5</t>
  </si>
  <si>
    <t>J1709PIN030</t>
  </si>
  <si>
    <t>LA362.1</t>
  </si>
  <si>
    <t>LA362.2</t>
  </si>
  <si>
    <t>DMI_4_RXP</t>
  </si>
  <si>
    <t>SL16</t>
  </si>
  <si>
    <t>C45</t>
  </si>
  <si>
    <t>DMI_4_TXN</t>
  </si>
  <si>
    <t>DP31</t>
  </si>
  <si>
    <t>C44</t>
  </si>
  <si>
    <t>DMI_4_TXP</t>
  </si>
  <si>
    <t>D1_TC_M13_DP32_SL17_TD01__DMI_5_RXN__TXN</t>
  </si>
  <si>
    <t>K39</t>
  </si>
  <si>
    <t>J1706.BS6</t>
  </si>
  <si>
    <t>J1706PIN031</t>
  </si>
  <si>
    <t>LA363.1</t>
  </si>
  <si>
    <t>LA363.2</t>
  </si>
  <si>
    <t>DMI_5_RXN</t>
  </si>
  <si>
    <t>DP32</t>
  </si>
  <si>
    <t>SL17</t>
  </si>
  <si>
    <t>D1_TC_M13_DP32_SL18_TD01__DMI_5_RXP__TXP</t>
  </si>
  <si>
    <t>M39</t>
  </si>
  <si>
    <t>J1706.BS7</t>
  </si>
  <si>
    <t>J1706PIN033</t>
  </si>
  <si>
    <t>LA364.1</t>
  </si>
  <si>
    <t>LA364.2</t>
  </si>
  <si>
    <t>DMI_5_RXP</t>
  </si>
  <si>
    <t>SL18</t>
  </si>
  <si>
    <t>A44</t>
  </si>
  <si>
    <t>DMI_5_TXN</t>
  </si>
  <si>
    <t>DP33</t>
  </si>
  <si>
    <t>A43</t>
  </si>
  <si>
    <t>DMI_5_TXP</t>
  </si>
  <si>
    <t>D1_TC_M13_DP34_SL19_TD01__DMI_6_RXN__TXN</t>
  </si>
  <si>
    <t>J36</t>
  </si>
  <si>
    <t>J1709.BS9</t>
  </si>
  <si>
    <t>J1709PIN037</t>
  </si>
  <si>
    <t>LA365.1</t>
  </si>
  <si>
    <t>LA365.2</t>
  </si>
  <si>
    <t>DMI_6_RXN</t>
  </si>
  <si>
    <t>DP34</t>
  </si>
  <si>
    <t>SL19</t>
  </si>
  <si>
    <t>D1_TC_M13_DP34_SL20_TD01__DMI_6_RXP__TXP</t>
  </si>
  <si>
    <t>K36</t>
  </si>
  <si>
    <t>J1709.BS8</t>
  </si>
  <si>
    <t>J1709PIN035</t>
  </si>
  <si>
    <t>LA366.1</t>
  </si>
  <si>
    <t>LA366.2</t>
  </si>
  <si>
    <t>DMI_6_RXP</t>
  </si>
  <si>
    <t>SL20</t>
  </si>
  <si>
    <t>C42</t>
  </si>
  <si>
    <t>DMI_6_TXN</t>
  </si>
  <si>
    <t>DP35</t>
  </si>
  <si>
    <t>C41</t>
  </si>
  <si>
    <t>DMI_6_TXP</t>
  </si>
  <si>
    <t>D1_TC_M13_DP36_SL21_TD01__DMI_7_RXN__TXN</t>
  </si>
  <si>
    <t>N36</t>
  </si>
  <si>
    <t>J1707.DS2</t>
  </si>
  <si>
    <t>J1707PIN108</t>
  </si>
  <si>
    <t>LA367.1</t>
  </si>
  <si>
    <t>LA367.2</t>
  </si>
  <si>
    <t>DMI_7_RXN</t>
  </si>
  <si>
    <t>DP36</t>
  </si>
  <si>
    <t>SL21</t>
  </si>
  <si>
    <t>D1_TC_M13_DP36_SL22_TD01__DMI_7_RXP__TXP</t>
  </si>
  <si>
    <t>R36</t>
  </si>
  <si>
    <t>J1707.DS1</t>
  </si>
  <si>
    <t>J1707PIN110</t>
  </si>
  <si>
    <t>LA368.1</t>
  </si>
  <si>
    <t>LA368.2</t>
  </si>
  <si>
    <t>DMI_7_RXP</t>
  </si>
  <si>
    <t>SL22</t>
  </si>
  <si>
    <t>A41</t>
  </si>
  <si>
    <t>DMI_7_TXN</t>
  </si>
  <si>
    <t>DP37</t>
  </si>
  <si>
    <t>A40</t>
  </si>
  <si>
    <t>DMI_7_TXP</t>
  </si>
  <si>
    <t>D1_TC_TD01__DMI_CLKREQB</t>
  </si>
  <si>
    <t>G51</t>
  </si>
  <si>
    <t>J1709.CS10</t>
  </si>
  <si>
    <t>J1709PIN005</t>
  </si>
  <si>
    <t>DMI_CLKREQB</t>
  </si>
  <si>
    <t>D1_TC_TD01__DMI_PERSTB</t>
  </si>
  <si>
    <t>E53</t>
  </si>
  <si>
    <t>J1707.DS14</t>
  </si>
  <si>
    <t>J1707PIN086</t>
  </si>
  <si>
    <t>DMI_PERSTB</t>
  </si>
  <si>
    <t>D1_Z__DMI_RCOMP</t>
  </si>
  <si>
    <t>B32</t>
  </si>
  <si>
    <t>-</t>
  </si>
  <si>
    <t>RA135.2</t>
  </si>
  <si>
    <t>DMI_RCOMP</t>
  </si>
  <si>
    <t>DUT to GND through 200 Ohm resistor, see RCOMP tab</t>
  </si>
  <si>
    <t>D1_TC_DP38_TD01__DMI_REFCLKN</t>
  </si>
  <si>
    <t>R28</t>
  </si>
  <si>
    <t>J1704.CS1</t>
  </si>
  <si>
    <t>J1704PIN109</t>
  </si>
  <si>
    <t>DMI_REFCLKN</t>
  </si>
  <si>
    <t>DP38</t>
  </si>
  <si>
    <t>D1_TC_DP38_TD01__DMI_REFCLKP</t>
  </si>
  <si>
    <t>T28</t>
  </si>
  <si>
    <t>J1704.CS2</t>
  </si>
  <si>
    <t>J1704PIN107</t>
  </si>
  <si>
    <t>DMI_REFCLKP</t>
  </si>
  <si>
    <t>D1_TC_TD01__DSW_PWROK</t>
  </si>
  <si>
    <t>AH5</t>
  </si>
  <si>
    <t>J1701.CS4</t>
  </si>
  <si>
    <t>J1701PIN103</t>
  </si>
  <si>
    <t>DSW_PWROK</t>
  </si>
  <si>
    <t>D1_TC_TD01_TP__EDM1</t>
  </si>
  <si>
    <t>Y17</t>
  </si>
  <si>
    <t>J1605.DS14</t>
  </si>
  <si>
    <t>J1605PIN042</t>
  </si>
  <si>
    <t>RA524.1</t>
  </si>
  <si>
    <t>TPA610.1</t>
  </si>
  <si>
    <t>JA3.1</t>
  </si>
  <si>
    <t>JA3.2</t>
  </si>
  <si>
    <t>RA524.2</t>
  </si>
  <si>
    <t>L24_HSIO3/L28_HSIO5/L11_INT2/L30_HSIO6</t>
  </si>
  <si>
    <t>EDM1</t>
  </si>
  <si>
    <t>TP</t>
  </si>
  <si>
    <t>See EDM1 Tab for EDM1 Header Config</t>
  </si>
  <si>
    <t>D1_TC_TD01_TP__EDM2</t>
  </si>
  <si>
    <t>Y19</t>
  </si>
  <si>
    <t>J1606.DS14</t>
  </si>
  <si>
    <t>J1606PIN086</t>
  </si>
  <si>
    <t>TPA609.1</t>
  </si>
  <si>
    <t>L11_INT2/L30_HSIO6</t>
  </si>
  <si>
    <t>EDM2</t>
  </si>
  <si>
    <t>direct route to TC with TP</t>
  </si>
  <si>
    <t>D1_TC_DP39_TD01_TP__EXT_INJ_PHY_N_PAD</t>
  </si>
  <si>
    <t>E2</t>
  </si>
  <si>
    <t>J1605.CS4</t>
  </si>
  <si>
    <t>J1605PIN059</t>
  </si>
  <si>
    <t>TPA608.1</t>
  </si>
  <si>
    <t>EXT_INJ_PHY_N_PAD</t>
  </si>
  <si>
    <t>DP39</t>
  </si>
  <si>
    <t>Match lengths between P and N. Direct route to TC with TP, see Component Debug Tab</t>
  </si>
  <si>
    <t>D1_TC_DP39_TD01_TP__EXT_INJ_PHY_P_PAD</t>
  </si>
  <si>
    <t>F3</t>
  </si>
  <si>
    <t>J1605.CS3</t>
  </si>
  <si>
    <t>J1605PIN061</t>
  </si>
  <si>
    <t>TPA607.1</t>
  </si>
  <si>
    <t>EXT_INJ_PHY_P_PAD</t>
  </si>
  <si>
    <t>D1_TC_TD01__FBRK_OUT_N</t>
  </si>
  <si>
    <t>AE3</t>
  </si>
  <si>
    <t>J1603.DS9</t>
  </si>
  <si>
    <t>J1603PIN096</t>
  </si>
  <si>
    <t>FBRK_OUT_N</t>
  </si>
  <si>
    <t>D1_P__VLC7_1_FOLD</t>
  </si>
  <si>
    <t>ZZZ5</t>
  </si>
  <si>
    <t>Fold Circuit</t>
  </si>
  <si>
    <t>Power</t>
  </si>
  <si>
    <t>DPS150</t>
  </si>
  <si>
    <t>DPS150_3_LCDPS_5</t>
  </si>
  <si>
    <t>D1_TC_TD01__GPD_0_BATLOWB</t>
  </si>
  <si>
    <t>AM13</t>
  </si>
  <si>
    <t>J1701.AS7</t>
  </si>
  <si>
    <t>J1701PIN122</t>
  </si>
  <si>
    <t>GPD_0_BATLOWB</t>
  </si>
  <si>
    <t>D1_TC_TD01__GPD_1_ACPRESENT</t>
  </si>
  <si>
    <t>AM10</t>
  </si>
  <si>
    <t>J1602.CS1</t>
  </si>
  <si>
    <t>J1602PIN065</t>
  </si>
  <si>
    <t>GPD_1_ACPRESENT</t>
  </si>
  <si>
    <t>D1_TC_TD01__GPD_10_SLP_S5B</t>
  </si>
  <si>
    <t>AK7</t>
  </si>
  <si>
    <t>J1703.CS6</t>
  </si>
  <si>
    <t>J1703PIN013</t>
  </si>
  <si>
    <t>L26_HSIO4</t>
  </si>
  <si>
    <t>GPD_10_SLP_S5B</t>
  </si>
  <si>
    <t>D1_TC_TD01__GPD_11_LANPHYPC</t>
  </si>
  <si>
    <t>AM9</t>
  </si>
  <si>
    <t>J1703.CS4</t>
  </si>
  <si>
    <t>J1703PIN015</t>
  </si>
  <si>
    <t>GPD_11_LANPHYPC</t>
  </si>
  <si>
    <t>D1_TC_TD01__GPD_12</t>
  </si>
  <si>
    <t>AK9</t>
  </si>
  <si>
    <t>J1701.CS3</t>
  </si>
  <si>
    <t>J1701PIN105</t>
  </si>
  <si>
    <t>GPD_12</t>
  </si>
  <si>
    <t>D1_TC_TD01__GPD_2_LAN_WAKEB</t>
  </si>
  <si>
    <t>AK6</t>
  </si>
  <si>
    <t>J1703.DS6</t>
  </si>
  <si>
    <t>J1703PIN014</t>
  </si>
  <si>
    <t>GPD_2_LAN_WAKEB</t>
  </si>
  <si>
    <t>D1_TC_TD01__GPD_3_PWRBTNB</t>
  </si>
  <si>
    <t>AJ3</t>
  </si>
  <si>
    <t>J1604.AS2</t>
  </si>
  <si>
    <t>J1604PIN024</t>
  </si>
  <si>
    <t>L20_HSIO1</t>
  </si>
  <si>
    <t>GPD_3_PWRBTNB</t>
  </si>
  <si>
    <t>D1_TC_TD01__GPD_4_SLP_S3B</t>
  </si>
  <si>
    <t>AM14</t>
  </si>
  <si>
    <t>J1703.AS3</t>
  </si>
  <si>
    <t>J1703PIN026</t>
  </si>
  <si>
    <t>GPD_4_SLP_S3B</t>
  </si>
  <si>
    <t>D1_TC_TD01__GPD_5_SLP_S4B</t>
  </si>
  <si>
    <t>AJ10</t>
  </si>
  <si>
    <t>J1602.CS2</t>
  </si>
  <si>
    <t>J1602PIN063</t>
  </si>
  <si>
    <t>GPD_5_SLP_S4B</t>
  </si>
  <si>
    <t>D1_TC_TD01__GPD_6_SLP_AB</t>
  </si>
  <si>
    <t>AN7</t>
  </si>
  <si>
    <t>J1703.CS7</t>
  </si>
  <si>
    <t>J1703PIN011</t>
  </si>
  <si>
    <t>GPD_6_SLP_AB</t>
  </si>
  <si>
    <t>D1_TC_TD01__GPD_7</t>
  </si>
  <si>
    <t>AK3</t>
  </si>
  <si>
    <t>J1603.CS13</t>
  </si>
  <si>
    <t>J1603PIN087</t>
  </si>
  <si>
    <t>GPD_7</t>
  </si>
  <si>
    <t>D1_TC_TD01__GPD_8_SUSCLK</t>
  </si>
  <si>
    <t>AK4</t>
  </si>
  <si>
    <t>J1603.DS11</t>
  </si>
  <si>
    <t>J1603PIN092</t>
  </si>
  <si>
    <t>L22_HSIO2</t>
  </si>
  <si>
    <t>GPD_8_SUSCLK</t>
  </si>
  <si>
    <t>D1_TC_TD01__GPD_9_SLP_WLANB</t>
  </si>
  <si>
    <t>AL2</t>
  </si>
  <si>
    <t>J1606.BS5</t>
  </si>
  <si>
    <t>J1606PIN117</t>
  </si>
  <si>
    <t>GPD_9_SLP_WLANB</t>
  </si>
  <si>
    <t>D1_TC_TD01__GPP_A_0_ESPI_IO_0</t>
  </si>
  <si>
    <t>M56</t>
  </si>
  <si>
    <t>J1702.BS2</t>
  </si>
  <si>
    <t>J1702PIN067</t>
  </si>
  <si>
    <t>GPP_A_0_ESPI_IO_0</t>
  </si>
  <si>
    <t>D1_TC_TD01__GPP_A_1_ESPI_IO_1</t>
  </si>
  <si>
    <t>N56</t>
  </si>
  <si>
    <t>J1702.DS2</t>
  </si>
  <si>
    <t>J1702PIN064</t>
  </si>
  <si>
    <t>GPP_A_1_ESPI_IO_1</t>
  </si>
  <si>
    <t>D1_TC_TD01__GPP_A_10_ESPI_ALERT0B</t>
  </si>
  <si>
    <t>K56</t>
  </si>
  <si>
    <t>J1706.DS4</t>
  </si>
  <si>
    <t>J1706PIN016</t>
  </si>
  <si>
    <t>GPP_A_10_ESPI_ALERT0B</t>
  </si>
  <si>
    <t>D1_TC_TD01__GPP_A_11_ESPI_ALERT1B</t>
  </si>
  <si>
    <t>M53</t>
  </si>
  <si>
    <t>J1702.CS9</t>
  </si>
  <si>
    <t>J1702PIN051</t>
  </si>
  <si>
    <t>GPP_A_11_ESPI_ALERT1B</t>
  </si>
  <si>
    <t>D1_TC_TD01__GPP_A_12_ESPI_ALERT2B</t>
  </si>
  <si>
    <t>L54</t>
  </si>
  <si>
    <t>J1708.AS6</t>
  </si>
  <si>
    <t>J1708PIN076</t>
  </si>
  <si>
    <t>GPP_A_12_ESPI_ALERT2B</t>
  </si>
  <si>
    <t>D1_TC_TD01__GPP_A_13_ESPI_ALERT3B</t>
  </si>
  <si>
    <t>P55</t>
  </si>
  <si>
    <t>J1705.DS10</t>
  </si>
  <si>
    <t>J1705PIN050</t>
  </si>
  <si>
    <t>GPP_A_13_ESPI_ALERT3B</t>
  </si>
  <si>
    <t>D1_TC_TD01__GPP_A_2_ESPI_IO_2_SUSWARNB_SUSPWRDNACK</t>
  </si>
  <si>
    <t>L55</t>
  </si>
  <si>
    <t>J1708.CS6</t>
  </si>
  <si>
    <t>J1708PIN057</t>
  </si>
  <si>
    <t>GPP_A_2_ESPI_IO_2_SUSWARNB_SUSPWRDNACK</t>
  </si>
  <si>
    <t>D1_TC_TD01__GPP_A_3_ESPI_IO_3_SUSACKB</t>
  </si>
  <si>
    <t>N55</t>
  </si>
  <si>
    <t>J1708.DS8</t>
  </si>
  <si>
    <t>J1708PIN054</t>
  </si>
  <si>
    <t>GPP_A_3_ESPI_IO_3_SUSACKB</t>
  </si>
  <si>
    <t>D1_TC_TD01__GPP_A_4_ESPI_CS0B</t>
  </si>
  <si>
    <t>M55</t>
  </si>
  <si>
    <t>J1705.CS9</t>
  </si>
  <si>
    <t>J1705PIN051</t>
  </si>
  <si>
    <t>GPP_A_4_ESPI_CS0B</t>
  </si>
  <si>
    <t>D1_TC_TD01__GPP_A_5_ESPI_CLK</t>
  </si>
  <si>
    <t>R56</t>
  </si>
  <si>
    <t>J1702.DS1</t>
  </si>
  <si>
    <t>J1702PIN066</t>
  </si>
  <si>
    <t>GPP_A_5_ESPI_CLK</t>
  </si>
  <si>
    <t>D1_TC_TD01__GPP_A_6_ESPI_RESETB</t>
  </si>
  <si>
    <t>J55</t>
  </si>
  <si>
    <t>J1708.AS2</t>
  </si>
  <si>
    <t>J1708PIN068</t>
  </si>
  <si>
    <t>GPP_A_6_ESPI_RESETB</t>
  </si>
  <si>
    <t>D1_TC_TD01__GPP_A_7_ESPI_CS1B</t>
  </si>
  <si>
    <t>K55</t>
  </si>
  <si>
    <t>J1709.AS7</t>
  </si>
  <si>
    <t>J1709PIN034</t>
  </si>
  <si>
    <t>GPP_A_7_ESPI_CS1B</t>
  </si>
  <si>
    <t>D1_TC_TD01__GPP_A_8_ESPI_CS2B</t>
  </si>
  <si>
    <t>J56</t>
  </si>
  <si>
    <t>J1702.AS2</t>
  </si>
  <si>
    <t>J1702PIN068</t>
  </si>
  <si>
    <t>GPP_A_8_ESPI_CS2B</t>
  </si>
  <si>
    <t>D1_TC_TD01__GPP_A_9_ESPI_CS3B</t>
  </si>
  <si>
    <t>M54</t>
  </si>
  <si>
    <t>J1709.BS6</t>
  </si>
  <si>
    <t>J1709PIN031</t>
  </si>
  <si>
    <t>GPP_A_9_ESPI_CS3B</t>
  </si>
  <si>
    <t>D1_TC_TD01__GPP_B_0_PCIE_LNK_DOWN</t>
  </si>
  <si>
    <t>N52</t>
  </si>
  <si>
    <t>J1706.AS3</t>
  </si>
  <si>
    <t>J1706PIN026</t>
  </si>
  <si>
    <t>GPP_B_0_PCIE_LNK_DOWN</t>
  </si>
  <si>
    <t>D1_TC_TD01__GPP_B_1_ISH_UART0_RTSB_GSPI2_CS1B</t>
  </si>
  <si>
    <t>V49</t>
  </si>
  <si>
    <t>J1709.CS7</t>
  </si>
  <si>
    <t>J1709PIN011</t>
  </si>
  <si>
    <t>GPP_B_1_ISH_UART0_RTSB_GSPI2_CS1B</t>
  </si>
  <si>
    <t>D1_TC_TD01__GPP_B_10_ISH_GP_2</t>
  </si>
  <si>
    <t>R48</t>
  </si>
  <si>
    <t>J1702.AS7</t>
  </si>
  <si>
    <t>J1702PIN078</t>
  </si>
  <si>
    <t>GPP_B_10_ISH_GP_2</t>
  </si>
  <si>
    <t>D1_TC_TD01__GPP_B_11_I2S_MCLK</t>
  </si>
  <si>
    <t>V56</t>
  </si>
  <si>
    <t>J1704.DS13</t>
  </si>
  <si>
    <t>J1704PIN088</t>
  </si>
  <si>
    <t>GPP_B_11_I2S_MCLK</t>
  </si>
  <si>
    <t>D1_TC_TD01__GPP_B_12</t>
  </si>
  <si>
    <t>Y52</t>
  </si>
  <si>
    <t>J1701.CS7</t>
  </si>
  <si>
    <t>J1701PIN099</t>
  </si>
  <si>
    <t>GPP_B_12</t>
  </si>
  <si>
    <t>D1_TC_TD01__GPP_B_13_PLTRSTB</t>
  </si>
  <si>
    <t>U53</t>
  </si>
  <si>
    <t>J1709.BS4</t>
  </si>
  <si>
    <t>J1709PIN027</t>
  </si>
  <si>
    <t>GPP_B_13_PLTRSTB</t>
  </si>
  <si>
    <t>D1_TC_TD01__GPP_B_14</t>
  </si>
  <si>
    <t>V55</t>
  </si>
  <si>
    <t>J1701.BS4</t>
  </si>
  <si>
    <t>J1701PIN115</t>
  </si>
  <si>
    <t>GPP_B_14</t>
  </si>
  <si>
    <t>D1_TC_TD01__GPP_B_15_ISH_GP_3</t>
  </si>
  <si>
    <t>T55</t>
  </si>
  <si>
    <t>J1707.AS4</t>
  </si>
  <si>
    <t>J1707PIN116</t>
  </si>
  <si>
    <t>GPP_B_15_ISH_GP_3</t>
  </si>
  <si>
    <t>D1_TC_TD01__GPP_B_16_ISH_GP_4</t>
  </si>
  <si>
    <t>T45</t>
  </si>
  <si>
    <t>J1702.AS5</t>
  </si>
  <si>
    <t>J1702PIN074</t>
  </si>
  <si>
    <t>GPP_B_16_ISH_GP_4</t>
  </si>
  <si>
    <t>D1_TC_TD01__GPP_B_17_ISH_GP_5</t>
  </si>
  <si>
    <t>V44</t>
  </si>
  <si>
    <t>J1701.DS9</t>
  </si>
  <si>
    <t>J1701PIN096</t>
  </si>
  <si>
    <t>GPP_B_17_ISH_GP_5</t>
  </si>
  <si>
    <t>D1_TC_TD01__GPP_B_18_PMCALERTB</t>
  </si>
  <si>
    <t>W55</t>
  </si>
  <si>
    <t>J1707.AS5</t>
  </si>
  <si>
    <t>J1707PIN118</t>
  </si>
  <si>
    <t>GPP_B_18_PMCALERTB</t>
  </si>
  <si>
    <t>D1_TC_TD01__GPP_B_19_FUSA_DIAGTEST_EN</t>
  </si>
  <si>
    <t>T56</t>
  </si>
  <si>
    <t>J1701.AS3</t>
  </si>
  <si>
    <t>J1701PIN114</t>
  </si>
  <si>
    <t>GPP_B_19_FUSA_DIAGTEST_EN</t>
  </si>
  <si>
    <t>D1_TC_TD01__GPP_B_2_ISH_GP_8</t>
  </si>
  <si>
    <t>T52</t>
  </si>
  <si>
    <t>J1701.BS5</t>
  </si>
  <si>
    <t>J1701PIN117</t>
  </si>
  <si>
    <t>GPP_B_2_ISH_GP_8</t>
  </si>
  <si>
    <t>D1_TC_TD01__GPP_B_20_FUSA_DIAGTEST_MODE</t>
  </si>
  <si>
    <t>U51</t>
  </si>
  <si>
    <t>J1701.BS8</t>
  </si>
  <si>
    <t>J1701PIN123</t>
  </si>
  <si>
    <t>GPP_B_20_FUSA_DIAGTEST_MODE</t>
  </si>
  <si>
    <t>D1_TC_TD01__GPP_B_21_SML1ALERTB_PCHHOTB</t>
  </si>
  <si>
    <t>T54</t>
  </si>
  <si>
    <t>J1702.DS10</t>
  </si>
  <si>
    <t>J1702PIN050</t>
  </si>
  <si>
    <t>GPP_B_21_SML1ALERTB_PCHHOTB</t>
  </si>
  <si>
    <t>D1_TC_TD01__GPP_B_3_CPU_GP_2</t>
  </si>
  <si>
    <t>V45</t>
  </si>
  <si>
    <t>J1706.CS7</t>
  </si>
  <si>
    <t>J1706PIN011</t>
  </si>
  <si>
    <t>GPP_B_3_CPU_GP_2</t>
  </si>
  <si>
    <t>D1_TC_TD01__GPP_B_4_CPU_GP_3</t>
  </si>
  <si>
    <t>T44</t>
  </si>
  <si>
    <t>J1702.AS6</t>
  </si>
  <si>
    <t>J1702PIN076</t>
  </si>
  <si>
    <t>GPP_B_4_CPU_GP_3</t>
  </si>
  <si>
    <t>D1_TC_TD01__GPP_B_5_SX_EXIT_HOLDOFFB_ISH_GP_6_IEH_FATAL_ERR2B</t>
  </si>
  <si>
    <t>R55</t>
  </si>
  <si>
    <t>J1704.CS13</t>
  </si>
  <si>
    <t>J1704PIN087</t>
  </si>
  <si>
    <t>GPP_B_5_SX_EXIT_HOLDOFFB_ISH_GP_6_IEH_FATAL_ERR2B</t>
  </si>
  <si>
    <t>D1_TC_TD01__GPP_B_6</t>
  </si>
  <si>
    <t>U54</t>
  </si>
  <si>
    <t>J1706.CS8</t>
  </si>
  <si>
    <t>J1706PIN009</t>
  </si>
  <si>
    <t>GPP_B_6</t>
  </si>
  <si>
    <t>D1_TC_TD01__GPP_B_7_ISH_GP_7</t>
  </si>
  <si>
    <t>V48</t>
  </si>
  <si>
    <t>J1709.DS3</t>
  </si>
  <si>
    <t>J1709PIN018</t>
  </si>
  <si>
    <t>GPP_B_7_ISH_GP_7</t>
  </si>
  <si>
    <t>D1_TC_TD01__GPP_B_8_ISH_GP_0</t>
  </si>
  <si>
    <t>N51</t>
  </si>
  <si>
    <t>J1708.AS5</t>
  </si>
  <si>
    <t>J1708PIN074</t>
  </si>
  <si>
    <t>GPP_B_8_ISH_GP_0</t>
  </si>
  <si>
    <t>D1_TC_TD01__GPP_B_9_ISH_GP_1</t>
  </si>
  <si>
    <t>P49</t>
  </si>
  <si>
    <t>J1709.BS5</t>
  </si>
  <si>
    <t>J1709PIN029</t>
  </si>
  <si>
    <t>GPP_B_9_ISH_GP_1</t>
  </si>
  <si>
    <t>D1_TC_TD01__GPP_C_0_SMBCLK</t>
  </si>
  <si>
    <t>AE56</t>
  </si>
  <si>
    <t>J1703.DS10</t>
  </si>
  <si>
    <t>J1703PIN006</t>
  </si>
  <si>
    <t>GPP_C_0_SMBCLK</t>
  </si>
  <si>
    <t>D1_TC_TD01__GPP_C_1_SMBDATA</t>
  </si>
  <si>
    <t>AD55</t>
  </si>
  <si>
    <t>J1703.CS10</t>
  </si>
  <si>
    <t>J1703PIN005</t>
  </si>
  <si>
    <t>GPP_C_1_SMBDATA</t>
  </si>
  <si>
    <t>D1_TC_M08_SC4_TD01__GPP_C_10_UART0_RTSB</t>
  </si>
  <si>
    <t>Y49</t>
  </si>
  <si>
    <t>J1706.DS10</t>
  </si>
  <si>
    <t>J1706PIN006</t>
  </si>
  <si>
    <t>GPP_C_10_UART0_RTSB</t>
  </si>
  <si>
    <t>SC4</t>
  </si>
  <si>
    <t>M08</t>
  </si>
  <si>
    <t>direct route to TC with channel link requirement</t>
  </si>
  <si>
    <t>D1_TC_M08_SC4_TD01__GPP_C_11_UART0_CTSB</t>
  </si>
  <si>
    <t>Y51</t>
  </si>
  <si>
    <t>J1705.DS11</t>
  </si>
  <si>
    <t>J1705PIN048</t>
  </si>
  <si>
    <t>GPP_C_11_UART0_CTSB</t>
  </si>
  <si>
    <t>D1_TC_M08_SC4_TD01__GPP_C_12_UART1_RXD_ISH_UART1_RXD</t>
  </si>
  <si>
    <t>AB55</t>
  </si>
  <si>
    <t>J1704.BS9</t>
  </si>
  <si>
    <t>J1704PIN125</t>
  </si>
  <si>
    <t>GPP_C_12_UART1_RXD_ISH_UART1_RXD</t>
  </si>
  <si>
    <t>D1_TC_M08_SC4_TD01__GPP_C_13_UART1_TXD_ISH_UART1_TXD</t>
  </si>
  <si>
    <t>AB56</t>
  </si>
  <si>
    <t>J1701.DS1</t>
  </si>
  <si>
    <t>J1701PIN110</t>
  </si>
  <si>
    <t>GPP_C_13_UART1_TXD_ISH_UART1_TXD</t>
  </si>
  <si>
    <t>D1_TC_M08_SC4_TD01__GPP_C_14_UART1_RTSB_ISH_UART1_RTSB</t>
  </si>
  <si>
    <t>AB53</t>
  </si>
  <si>
    <t>J1701.AS5</t>
  </si>
  <si>
    <t>J1701PIN118</t>
  </si>
  <si>
    <t>GPP_C_14_UART1_RTSB_ISH_UART1_RTSB</t>
  </si>
  <si>
    <t>D1_TC_M08_SC4_TD01__GPP_C_15_UART1_CTSB_ISH_UART1_CTSB</t>
  </si>
  <si>
    <t>AA54</t>
  </si>
  <si>
    <t>J1705.BS7</t>
  </si>
  <si>
    <t>J1705PIN077</t>
  </si>
  <si>
    <t>GPP_C_15_UART1_CTSB_ISH_UART1_CTSB</t>
  </si>
  <si>
    <t>D1_TC_M08_SC4_TD01__GPP_C_16_USB2_OCB_4_I2C4_SDA</t>
  </si>
  <si>
    <t>AA56</t>
  </si>
  <si>
    <t>J1701.BS3</t>
  </si>
  <si>
    <t>J1701PIN113</t>
  </si>
  <si>
    <t>GPP_C_16_USB2_OCB_4_I2C4_SDA</t>
  </si>
  <si>
    <t>D1_TC_M08_SC4_TD01__GPP_C_17_USB2_OCB_5_I2C4_SCL</t>
  </si>
  <si>
    <t>AA55</t>
  </si>
  <si>
    <t>J1703.CS1</t>
  </si>
  <si>
    <t>J1703PIN021</t>
  </si>
  <si>
    <t>GPP_C_17_USB2_OCB_5_I2C4_SCL</t>
  </si>
  <si>
    <t>D1_TC_M08_SC4_TD01__GPP_C_18_USB2_OCB_6_I2C5_SDA</t>
  </si>
  <si>
    <t>Y55</t>
  </si>
  <si>
    <t>J1704.AS6</t>
  </si>
  <si>
    <t>J1704PIN120</t>
  </si>
  <si>
    <t>GPP_C_18_USB2_OCB_6_I2C5_SDA</t>
  </si>
  <si>
    <t>D1_TC_M08_SC4_TD01__GPP_C_19_USB2_OCB_7_I2C5_SCL</t>
  </si>
  <si>
    <t>Y54</t>
  </si>
  <si>
    <t>J1705.DS12</t>
  </si>
  <si>
    <t>J1705PIN046</t>
  </si>
  <si>
    <t>GPP_C_19_USB2_OCB_7_I2C5_SCL</t>
  </si>
  <si>
    <t>D1_TC_TD01__GPP_C_2_SMBALERTB</t>
  </si>
  <si>
    <t>AD56</t>
  </si>
  <si>
    <t>J1707.DS9</t>
  </si>
  <si>
    <t>J1707PIN096</t>
  </si>
  <si>
    <t>GPP_C_2_SMBALERTB</t>
  </si>
  <si>
    <t>D1_TC_M08_SC4_TD01__GPP_C_20_UART2_RXD_CNV_MFUART0_RXD</t>
  </si>
  <si>
    <t>AD48</t>
  </si>
  <si>
    <t>J1704.DS6</t>
  </si>
  <si>
    <t>J1704PIN102</t>
  </si>
  <si>
    <t>GPP_C_20_UART2_RXD_CNV_MFUART0_RXD</t>
  </si>
  <si>
    <t>D1_TC_M08_SC4_TD01__GPP_C_21_UART2_TXD_CNV_MFUART0_TXD</t>
  </si>
  <si>
    <t>AD49</t>
  </si>
  <si>
    <t>J1701.BS9</t>
  </si>
  <si>
    <t>J1701PIN125</t>
  </si>
  <si>
    <t>GPP_C_21_UART2_TXD_CNV_MFUART0_TXD</t>
  </si>
  <si>
    <t>D1_TC_TD01__GPP_C_22_UART2_RTSB_CNV_MFUART0_RTS_B</t>
  </si>
  <si>
    <t>AD51</t>
  </si>
  <si>
    <t>J1708.AS3</t>
  </si>
  <si>
    <t>J1708PIN070</t>
  </si>
  <si>
    <t>GPP_C_22_UART2_RTSB_CNV_MFUART0_RTS_B</t>
  </si>
  <si>
    <t>D1_TC_TD01__GPP_C_23_UART2_CTSB_CNV_MFUART0_CTS_B</t>
  </si>
  <si>
    <t>AD52</t>
  </si>
  <si>
    <t>J1707.CS6</t>
  </si>
  <si>
    <t>J1707PIN101</t>
  </si>
  <si>
    <t>GPP_C_23_UART2_CTSB_CNV_MFUART0_CTS_B</t>
  </si>
  <si>
    <t>D1_TC_TD01__GPP_C_3_ISH_UART0_RXD_SML0BDATA_I2C2_SDA</t>
  </si>
  <si>
    <t>AB44</t>
  </si>
  <si>
    <t>J1601.BS14</t>
  </si>
  <si>
    <t>J1601PIN039</t>
  </si>
  <si>
    <t>GPP_C_3_ISH_UART0_RXD_SML0BDATA_I2C2_SDA</t>
  </si>
  <si>
    <t>D1_TC_TD01__GPP_C_4_ISH_UART0_TXD_SML0BCLK_I2C2_SCL</t>
  </si>
  <si>
    <t>AB42</t>
  </si>
  <si>
    <t>J1704.BS5</t>
  </si>
  <si>
    <t>J1704PIN117</t>
  </si>
  <si>
    <t>GPP_C_4_ISH_UART0_TXD_SML0BCLK_I2C2_SCL</t>
  </si>
  <si>
    <t>D1_TC_TD01__GPP_C_5_SML0ALERTB</t>
  </si>
  <si>
    <t>W56</t>
  </si>
  <si>
    <t>J1701.AS2</t>
  </si>
  <si>
    <t>J1701PIN112</t>
  </si>
  <si>
    <t>GPP_C_5_SML0ALERTB</t>
  </si>
  <si>
    <t>D1_TC_TD01__GPP_C_6_ISH_I2C2_SDA_I2C3_SDA</t>
  </si>
  <si>
    <t>AB45</t>
  </si>
  <si>
    <t>J1708.AS4</t>
  </si>
  <si>
    <t>J1708PIN072</t>
  </si>
  <si>
    <t>GPP_C_6_ISH_I2C2_SDA_I2C3_SDA</t>
  </si>
  <si>
    <t>D1_TC_M08_SC4_TD01__GPP_C_7_ISH_I2C2_SCL_I2C3_SCL</t>
  </si>
  <si>
    <t>Y45</t>
  </si>
  <si>
    <t>J1705.CS7</t>
  </si>
  <si>
    <t>J1705PIN055</t>
  </si>
  <si>
    <t>GPP_C_7_ISH_I2C2_SCL_I2C3_SCL</t>
  </si>
  <si>
    <t>D1_TC_M08_SC4_TD01__GPP_C_8_UART0_RXD</t>
  </si>
  <si>
    <t>Y44</t>
  </si>
  <si>
    <t>J1705.BS8</t>
  </si>
  <si>
    <t>J1705PIN079</t>
  </si>
  <si>
    <t>GPP_C_8_UART0_RXD</t>
  </si>
  <si>
    <t>D1_TC_M08_SC4_TD01__GPP_C_9_UART0_TXD</t>
  </si>
  <si>
    <t>AA48</t>
  </si>
  <si>
    <t>J1705.CS6</t>
  </si>
  <si>
    <t>J1705PIN057</t>
  </si>
  <si>
    <t>GPP_C_9_UART0_TXD</t>
  </si>
  <si>
    <t>D1_TC_TD01__GPP_D_0_SRCCLKREQB_0</t>
  </si>
  <si>
    <t>BB6</t>
  </si>
  <si>
    <t>J1602.CS6</t>
  </si>
  <si>
    <t>J1602PIN057</t>
  </si>
  <si>
    <t>GPP_D_0_SRCCLKREQB_0</t>
  </si>
  <si>
    <t>D1_TC_TD01__GPP_D_1_SRCCLKREQB_1</t>
  </si>
  <si>
    <t>BF7</t>
  </si>
  <si>
    <t>J1605.AS4</t>
  </si>
  <si>
    <t>J1605PIN072</t>
  </si>
  <si>
    <t>GPP_D_1_SRCCLKREQB_1</t>
  </si>
  <si>
    <t>D1_TC_TD01__GPP_D_10_SML0DATA</t>
  </si>
  <si>
    <t>BG11</t>
  </si>
  <si>
    <t>J1605.AS5</t>
  </si>
  <si>
    <t>J1605PIN074</t>
  </si>
  <si>
    <t>GPP_D_10_SML0DATA</t>
  </si>
  <si>
    <t>D1_TC_TD01__GPP_D_11_SRCCLKREQB_4</t>
  </si>
  <si>
    <t>BF11</t>
  </si>
  <si>
    <t>J1603.CS7</t>
  </si>
  <si>
    <t>J1603PIN099</t>
  </si>
  <si>
    <t>GPP_D_11_SRCCLKREQB_4</t>
  </si>
  <si>
    <t>D1_TC_TD01__GPP_D_12_SRCCLKREQB_5</t>
  </si>
  <si>
    <t>BE5</t>
  </si>
  <si>
    <t>J1605.CS7</t>
  </si>
  <si>
    <t>J1605PIN055</t>
  </si>
  <si>
    <t>GPP_D_12_SRCCLKREQB_5</t>
  </si>
  <si>
    <t>D1_TC_TD01__GPP_D_13_SRCCLKREQB_6</t>
  </si>
  <si>
    <t>AV9</t>
  </si>
  <si>
    <t>J1701.BS2</t>
  </si>
  <si>
    <t>J1701PIN111</t>
  </si>
  <si>
    <t>GPP_D_13_SRCCLKREQB_6</t>
  </si>
  <si>
    <t>D1_TC_TD01__GPP_D_14_SRCCLKREQB_7</t>
  </si>
  <si>
    <t>BG8</t>
  </si>
  <si>
    <t>J1605.AS8</t>
  </si>
  <si>
    <t>J1605PIN080</t>
  </si>
  <si>
    <t>GPP_D_14_SRCCLKREQB_7</t>
  </si>
  <si>
    <t>D1_TC_TD01__GPP_D_15_SML1DATA</t>
  </si>
  <si>
    <t>BA11</t>
  </si>
  <si>
    <t>J1601.DS3</t>
  </si>
  <si>
    <t>J1601PIN018</t>
  </si>
  <si>
    <t>GPP_D_15_SML1DATA</t>
  </si>
  <si>
    <t>D1_TC_TD01__GPP_D_16_GSPI3_CS0B_THC1_SPI2_CSB</t>
  </si>
  <si>
    <t>BG9</t>
  </si>
  <si>
    <t>J1604.CS4</t>
  </si>
  <si>
    <t>J1604PIN015</t>
  </si>
  <si>
    <t>GPP_D_16_GSPI3_CS0B_THC1_SPI2_CSB</t>
  </si>
  <si>
    <t>D1_TC_TD01__GPP_D_17_GSPI3_CLK_THC1_SPI2_CLK</t>
  </si>
  <si>
    <t>BF9</t>
  </si>
  <si>
    <t>J1602.AS5</t>
  </si>
  <si>
    <t>J1602PIN074</t>
  </si>
  <si>
    <t>GPP_D_17_GSPI3_CLK_THC1_SPI2_CLK</t>
  </si>
  <si>
    <t>D1_TC_TD01__GPP_D_18_GSPI3_MISO_THC1_SPI2_IO_0</t>
  </si>
  <si>
    <t>BF10</t>
  </si>
  <si>
    <t>J1601.CS6</t>
  </si>
  <si>
    <t>J1601PIN013</t>
  </si>
  <si>
    <t>GPP_D_18_GSPI3_MISO_THC1_SPI2_IO_0</t>
  </si>
  <si>
    <t>D1_TC_TD01__GPP_D_19_GSPI3_MOSI_THC1_SPI2_IO_1</t>
  </si>
  <si>
    <t>BE10</t>
  </si>
  <si>
    <t>J1603.CS8</t>
  </si>
  <si>
    <t>J1603PIN097</t>
  </si>
  <si>
    <t>GPP_D_19_GSPI3_MOSI_THC1_SPI2_IO_1</t>
  </si>
  <si>
    <t>D1_TC_TD01__GPP_D_2_SRCCLKREQB_2</t>
  </si>
  <si>
    <t>BG13</t>
  </si>
  <si>
    <t>J1604.BS3</t>
  </si>
  <si>
    <t>J1604PIN025</t>
  </si>
  <si>
    <t>GPP_D_2_SRCCLKREQB_2</t>
  </si>
  <si>
    <t>D1_TC_TD01__GPP_D_20_UART3_RXD_THC1_SPI2_IO_2</t>
  </si>
  <si>
    <t>BE7</t>
  </si>
  <si>
    <t>J1603.DS8</t>
  </si>
  <si>
    <t>J1603PIN098</t>
  </si>
  <si>
    <t>GPP_D_20_UART3_RXD_THC1_SPI2_IO_2</t>
  </si>
  <si>
    <t>D1_TC_TD01__GPP_D_21_UART3_TXD_THC1_SPI2_IO_3</t>
  </si>
  <si>
    <t>BC7</t>
  </si>
  <si>
    <t>J1602.BS6</t>
  </si>
  <si>
    <t>J1602PIN075</t>
  </si>
  <si>
    <t>GPP_D_21_UART3_TXD_THC1_SPI2_IO_3</t>
  </si>
  <si>
    <t>D1_TC_TD01__GPP_D_22_UART3_RTSB_THC1_SPI2_RSTB</t>
  </si>
  <si>
    <t>BF8</t>
  </si>
  <si>
    <t>J1605.BS5</t>
  </si>
  <si>
    <t>J1605PIN073</t>
  </si>
  <si>
    <t>GPP_D_22_UART3_RTSB_THC1_SPI2_RSTB</t>
  </si>
  <si>
    <t>D1_TC_TD01__GPP_D_23_UART3_CTSB_THC1_SPI2_INTB</t>
  </si>
  <si>
    <t>BD12</t>
  </si>
  <si>
    <t>J1604.AS4</t>
  </si>
  <si>
    <t>J1604PIN028</t>
  </si>
  <si>
    <t>GPP_D_23_UART3_CTSB_THC1_SPI2_INTB</t>
  </si>
  <si>
    <t>D1_TC_TD01__GPP_D_3_SRCCLKREQB_3</t>
  </si>
  <si>
    <t>AV12</t>
  </si>
  <si>
    <t>J1605.BS4</t>
  </si>
  <si>
    <t>J1605PIN071</t>
  </si>
  <si>
    <t>GPP_D_3_SRCCLKREQB_3</t>
  </si>
  <si>
    <t>D1_TC_TD01__GPP_D_4_SML1CLK</t>
  </si>
  <si>
    <t>BD5</t>
  </si>
  <si>
    <t>J1604.AS6</t>
  </si>
  <si>
    <t>J1604PIN032</t>
  </si>
  <si>
    <t>GPP_D_4_SML1CLK</t>
  </si>
  <si>
    <t>D1_TC_TD01__GPP_D_5_I2S2_SFRM_CNV_RF_RESET_B_DMIC_DATA_0</t>
  </si>
  <si>
    <t>BB10</t>
  </si>
  <si>
    <t>J1602.DS10</t>
  </si>
  <si>
    <t>J1602PIN050</t>
  </si>
  <si>
    <t>GPP_D_5_I2S2_SFRM_CNV_RF_RESET_B_DMIC_DATA_0</t>
  </si>
  <si>
    <t>D1_TC_TD01__GPP_D_6_I2S2_TXD_MODEM_CLKREQ_DMIC_CLK_B_0</t>
  </si>
  <si>
    <t>AV10</t>
  </si>
  <si>
    <t>J1602.DS9</t>
  </si>
  <si>
    <t>J1602PIN052</t>
  </si>
  <si>
    <t>GPP_D_6_I2S2_TXD_MODEM_CLKREQ_DMIC_CLK_B_0</t>
  </si>
  <si>
    <t>D1_TC_TD01__GPP_D_7_I2S2_RXD_DMIC_DATA_1</t>
  </si>
  <si>
    <t>BB8</t>
  </si>
  <si>
    <t>J1602.AS4</t>
  </si>
  <si>
    <t>J1602PIN072</t>
  </si>
  <si>
    <t>GPP_D_7_I2S2_RXD_DMIC_DATA_1</t>
  </si>
  <si>
    <t>D1_TC_TD01__GPP_D_8_I2S2_SCLK_DMIC_CLK_A_0</t>
  </si>
  <si>
    <t>BC10</t>
  </si>
  <si>
    <t>J1601.CS7</t>
  </si>
  <si>
    <t>J1601PIN011</t>
  </si>
  <si>
    <t>GPP_D_8_I2S2_SCLK_DMIC_CLK_A_0</t>
  </si>
  <si>
    <t>D1_TC_TD01__GPP_D_9_SML0CLK</t>
  </si>
  <si>
    <t>BE11</t>
  </si>
  <si>
    <t>J1604.AS14</t>
  </si>
  <si>
    <t>J1604PIN040</t>
  </si>
  <si>
    <t>GPP_D_9_SML0CLK</t>
  </si>
  <si>
    <t>D1_TC_M07_SC4_TD01__GPP_E_0_SATAXPCIE_0_SATAGP_0</t>
  </si>
  <si>
    <t>BC54</t>
  </si>
  <si>
    <t>J1707.CS8</t>
  </si>
  <si>
    <t>J1707PIN097</t>
  </si>
  <si>
    <t>GPP_E_0_SATAXPCIE_0_SATAGP_0</t>
  </si>
  <si>
    <t>M07</t>
  </si>
  <si>
    <t>D1_TC_M07_SC4_TD01__GPP_E_1_SATAXPCIE_1_SATAGP_1</t>
  </si>
  <si>
    <t>BB48</t>
  </si>
  <si>
    <t>J1705.BS9</t>
  </si>
  <si>
    <t>J1705PIN081</t>
  </si>
  <si>
    <t>GPP_E_1_SATAXPCIE_1_SATAGP_1</t>
  </si>
  <si>
    <t>D1_TC_M07_SC4_TD01__GPP_E_10_SRCCLKREQB_13</t>
  </si>
  <si>
    <t>BC48</t>
  </si>
  <si>
    <t>J1601.BS6</t>
  </si>
  <si>
    <t>J1601PIN031</t>
  </si>
  <si>
    <t>GPP_E_10_SRCCLKREQB_13</t>
  </si>
  <si>
    <t>D1_TC_M07_SC4_TD01__GPP_E_11_ISH_GP_9</t>
  </si>
  <si>
    <t>BF51</t>
  </si>
  <si>
    <t>J1705.CS1</t>
  </si>
  <si>
    <t>J1705PIN065</t>
  </si>
  <si>
    <t>GPP_E_11_ISH_GP_9</t>
  </si>
  <si>
    <t>D1_TC_M07_SC4_TD01__GPP_E_12_ISH_GP_10</t>
  </si>
  <si>
    <t>BG50</t>
  </si>
  <si>
    <t>J1602.DS2</t>
  </si>
  <si>
    <t>J1602PIN064</t>
  </si>
  <si>
    <t>GPP_E_12_ISH_GP_10</t>
  </si>
  <si>
    <t>D1_TC_M07_SC4_TD01__GPP_E_13_THC0_SPI1_CSB</t>
  </si>
  <si>
    <t>BE53</t>
  </si>
  <si>
    <t>J1601.BS8</t>
  </si>
  <si>
    <t>J1601PIN035</t>
  </si>
  <si>
    <t>GPP_E_13_THC0_SPI1_CSB</t>
  </si>
  <si>
    <t>D1_TC_M07_SC4_TD01__GPP_E_14_THC0_SPI1_CLK</t>
  </si>
  <si>
    <t>BG53</t>
  </si>
  <si>
    <t>J1705.AS2</t>
  </si>
  <si>
    <t>J1705PIN068</t>
  </si>
  <si>
    <t>GPP_E_14_THC0_SPI1_CLK</t>
  </si>
  <si>
    <t>D1_TC_M07_SC4_TD01__GPP_E_15_THC0_SPI1_IO_1</t>
  </si>
  <si>
    <t>BB50</t>
  </si>
  <si>
    <t>J1707.DS13</t>
  </si>
  <si>
    <t>J1707PIN088</t>
  </si>
  <si>
    <t>GPP_E_15_THC0_SPI1_IO_1</t>
  </si>
  <si>
    <t>D1_TC_M07_SC4_TD01__GPP_E_16_THC0_SPI1_IO_0</t>
  </si>
  <si>
    <t>BD53</t>
  </si>
  <si>
    <t>J1707.DS8</t>
  </si>
  <si>
    <t>J1707PIN098</t>
  </si>
  <si>
    <t>GPP_E_16_THC0_SPI1_IO_0</t>
  </si>
  <si>
    <t>D1_TC_SC4_TD01__GPP_E_17_THC0_SPI1_IO_2</t>
  </si>
  <si>
    <t>BD51</t>
  </si>
  <si>
    <t>J1706.AS5</t>
  </si>
  <si>
    <t>J1706PIN030</t>
  </si>
  <si>
    <t>GPP_E_17_THC0_SPI1_IO_2</t>
  </si>
  <si>
    <t>D1_TC_M07_SC4_TD01__GPP_E_18_THC0_SPI1_IO_3</t>
  </si>
  <si>
    <t>AV48</t>
  </si>
  <si>
    <t>J1702.AS8</t>
  </si>
  <si>
    <t>J1702PIN080</t>
  </si>
  <si>
    <t>GPP_E_18_THC0_SPI1_IO_3</t>
  </si>
  <si>
    <t>D1_TC_M07_SC4_TD01__GPP_E_19_THC0_SPI1_RSTB</t>
  </si>
  <si>
    <t>BH52</t>
  </si>
  <si>
    <t>J1601.BS7</t>
  </si>
  <si>
    <t>J1601PIN033</t>
  </si>
  <si>
    <t>GPP_E_19_THC0_SPI1_RSTB</t>
  </si>
  <si>
    <t>D1_TC_M07_SC4_TD01__GPP_E_2_SATAXPCIE_2_SATAGP_2</t>
  </si>
  <si>
    <t>BA46</t>
  </si>
  <si>
    <t>J1602.BS14</t>
  </si>
  <si>
    <t>J1602PIN083</t>
  </si>
  <si>
    <t>GPP_E_2_SATAXPCIE_2_SATAGP_2</t>
  </si>
  <si>
    <t>D1_TC_M07_SC4_TD01__GPP_E_20_THC0_SPI1_INTB</t>
  </si>
  <si>
    <t>BG51</t>
  </si>
  <si>
    <t>J1602.DS3</t>
  </si>
  <si>
    <t>J1602PIN062</t>
  </si>
  <si>
    <t>GPP_E_20_THC0_SPI1_INTB</t>
  </si>
  <si>
    <t>D1_TC_M07_SC4_TD01__GPP_E_21_ISH_UART0_CTSB_SML0BALERTB</t>
  </si>
  <si>
    <t>BE51</t>
  </si>
  <si>
    <t>J1702.CS11</t>
  </si>
  <si>
    <t>J1702PIN047</t>
  </si>
  <si>
    <t>GPP_E_21_ISH_UART0_CTSB_SML0BALERTB</t>
  </si>
  <si>
    <t>D1_TC_M07_SC4_TD01__GPP_E_3_CPU_GP_0</t>
  </si>
  <si>
    <t>BA47</t>
  </si>
  <si>
    <t>J1705.CS8</t>
  </si>
  <si>
    <t>J1705PIN053</t>
  </si>
  <si>
    <t>GPP_E_3_CPU_GP_0</t>
  </si>
  <si>
    <t>D1_TC_M07_SC4_TD01__GPP_E_4_SATA_DEVSLP_0</t>
  </si>
  <si>
    <t>BE55</t>
  </si>
  <si>
    <t>J1601.CS10</t>
  </si>
  <si>
    <t>J1601PIN005</t>
  </si>
  <si>
    <t>GPP_E_4_SATA_DEVSLP_0</t>
  </si>
  <si>
    <t>D1_TC_M07_SC4_TD01__GPP_E_5_SATA_DEVSLP_1</t>
  </si>
  <si>
    <t>BC55</t>
  </si>
  <si>
    <t>J1602.AS14</t>
  </si>
  <si>
    <t>J1602PIN084</t>
  </si>
  <si>
    <t>GPP_E_5_SATA_DEVSLP_1</t>
  </si>
  <si>
    <t>D1_TC_M07_SC4_TD01__GPP_E_6_SATA_DEVSLP_2</t>
  </si>
  <si>
    <t>BC56</t>
  </si>
  <si>
    <t>J1602.AS3</t>
  </si>
  <si>
    <t>J1602PIN070</t>
  </si>
  <si>
    <t>GPP_E_6_SATA_DEVSLP_2</t>
  </si>
  <si>
    <t>D1_TC_M07_SC4_TD01__GPP_E_7_CPU_GP_1</t>
  </si>
  <si>
    <t>BC51</t>
  </si>
  <si>
    <t>J1602.AS2</t>
  </si>
  <si>
    <t>J1602PIN068</t>
  </si>
  <si>
    <t>GPP_E_7_CPU_GP_1</t>
  </si>
  <si>
    <t>D1_TC_M07_SC4_TD01__GPP_E_8_SATA_LEDB</t>
  </si>
  <si>
    <t>BF54</t>
  </si>
  <si>
    <t>J1706.AS4</t>
  </si>
  <si>
    <t>J1706PIN028</t>
  </si>
  <si>
    <t>GPP_E_8_SATA_LEDB</t>
  </si>
  <si>
    <t>D1_TC_M07_SC4_TD01__GPP_E_9_SRCCLKREQB_12</t>
  </si>
  <si>
    <t>BC46</t>
  </si>
  <si>
    <t>J1704.CS6</t>
  </si>
  <si>
    <t>J1704PIN101</t>
  </si>
  <si>
    <t>GPP_E_9_SRCCLKREQB_12</t>
  </si>
  <si>
    <t>D1_TC_TD01__GPP_F_0_SATAXPCIE_3_SATAGP_3</t>
  </si>
  <si>
    <t>AN51</t>
  </si>
  <si>
    <t>J1708.CS7</t>
  </si>
  <si>
    <t>J1708PIN055</t>
  </si>
  <si>
    <t>GPP_F_0_SATAXPCIE_3_SATAGP_3</t>
  </si>
  <si>
    <t>D1_TC_TD01__GPP_F_1_SATAXPCIE_4_SATAGP_4</t>
  </si>
  <si>
    <t>AP55</t>
  </si>
  <si>
    <t>J1707.AS8</t>
  </si>
  <si>
    <t>J1707PIN124</t>
  </si>
  <si>
    <t>GPP_F_1_SATAXPCIE_4_SATAGP_4</t>
  </si>
  <si>
    <t>D1_TC_M07_SC4_TD01__GPP_F_10_SATA_SCLOCK_DIR_ESPI_NMI</t>
  </si>
  <si>
    <t>AP52</t>
  </si>
  <si>
    <t>J1703.CS8</t>
  </si>
  <si>
    <t>J1703PIN009</t>
  </si>
  <si>
    <t>GPP_F_10_SATA_SCLOCK_DIR_ESPI_NMI</t>
  </si>
  <si>
    <t>D1_TC_M07_SC4_TD01__GPP_F_11_SATA_SLOAD_DIR_ESPI_IRQ</t>
  </si>
  <si>
    <t>AU56</t>
  </si>
  <si>
    <t>J1601.CS4</t>
  </si>
  <si>
    <t>J1601PIN015</t>
  </si>
  <si>
    <t>GPP_F_11_SATA_SLOAD_DIR_ESPI_IRQ</t>
  </si>
  <si>
    <t>D1_TC_M07_SC4_TD01__GPP_F_12_SATA_SDATAOUT1_DIR_ESPI_WAKE</t>
  </si>
  <si>
    <t>AW51</t>
  </si>
  <si>
    <t>J1702.BS9</t>
  </si>
  <si>
    <t>J1702PIN081</t>
  </si>
  <si>
    <t>GPP_F_12_SATA_SDATAOUT1_DIR_ESPI_WAKE</t>
  </si>
  <si>
    <t>D1_TC_M07_SC4_TD01__GPP_F_13_SATA_SDATAOUT0_DIR_ESPI_SCI</t>
  </si>
  <si>
    <t>AV53</t>
  </si>
  <si>
    <t>J1702.BS8</t>
  </si>
  <si>
    <t>J1702PIN079</t>
  </si>
  <si>
    <t>GPP_F_13_SATA_SDATAOUT0_DIR_ESPI_SCI</t>
  </si>
  <si>
    <t>D1_TC_M07_SC4_TD01__GPP_F_14</t>
  </si>
  <si>
    <t>AV56</t>
  </si>
  <si>
    <t>J1601.DS4</t>
  </si>
  <si>
    <t>J1601PIN016</t>
  </si>
  <si>
    <t>GPP_F_14</t>
  </si>
  <si>
    <t>D1_TC_M07_SC4_TD01__GPP_F_15</t>
  </si>
  <si>
    <t>AU52</t>
  </si>
  <si>
    <t>J1703.CS9</t>
  </si>
  <si>
    <t>J1703PIN007</t>
  </si>
  <si>
    <t>GPP_F_15</t>
  </si>
  <si>
    <t>D1_TC_M07_SC4_TD01__GPP_F_16</t>
  </si>
  <si>
    <t>AP54</t>
  </si>
  <si>
    <t>J1703.BS9</t>
  </si>
  <si>
    <t>J1703PIN037</t>
  </si>
  <si>
    <t>GPP_F_16</t>
  </si>
  <si>
    <t>D1_TC_M07_SC4_TD01__GPP_F_17</t>
  </si>
  <si>
    <t>AP56</t>
  </si>
  <si>
    <t>J1601.AS2</t>
  </si>
  <si>
    <t>J1601PIN024</t>
  </si>
  <si>
    <t>GPP_F_17</t>
  </si>
  <si>
    <t>D1_TC_M07_SC4_TD01__GPP_F_18</t>
  </si>
  <si>
    <t>AT49</t>
  </si>
  <si>
    <t>J1702.BS3</t>
  </si>
  <si>
    <t>J1702PIN069</t>
  </si>
  <si>
    <t>GPP_F_18</t>
  </si>
  <si>
    <t>D1_TC_M07_SC4_TD01__GPP_F_19_DNX_FORCE_RELOAD</t>
  </si>
  <si>
    <t>AY52</t>
  </si>
  <si>
    <t>J1706.CS10</t>
  </si>
  <si>
    <t>J1706PIN005</t>
  </si>
  <si>
    <t>GPP_F_19_DNX_FORCE_RELOAD</t>
  </si>
  <si>
    <t>D1_TC_TD01__GPP_F_2_SATAXPCIE_5_SATAGP_5</t>
  </si>
  <si>
    <t>AT55</t>
  </si>
  <si>
    <t>J1707.AS7</t>
  </si>
  <si>
    <t>J1707PIN122</t>
  </si>
  <si>
    <t>GPP_F_2_SATAXPCIE_5_SATAGP_5</t>
  </si>
  <si>
    <t>D1_TC_SC4_TD01__GPP_F_20_GMII_MDC_0</t>
  </si>
  <si>
    <t>AV54</t>
  </si>
  <si>
    <t>J1706.CS9</t>
  </si>
  <si>
    <t>J1706PIN007</t>
  </si>
  <si>
    <t>GPP_F_20_GMII_MDC_0</t>
  </si>
  <si>
    <t>D1_TC_TD01__GPP_F_21_GMII_MDIO_0</t>
  </si>
  <si>
    <t>AN54</t>
  </si>
  <si>
    <t>J1701.DS10</t>
  </si>
  <si>
    <t>J1701PIN094</t>
  </si>
  <si>
    <t>GPP_F_21_GMII_MDIO_0</t>
  </si>
  <si>
    <t>D1_TC_TD01__GPP_F_22_IEH_CORR_ERR0B</t>
  </si>
  <si>
    <t>AP45</t>
  </si>
  <si>
    <t>J1603.BS5</t>
  </si>
  <si>
    <t>J1603PIN117</t>
  </si>
  <si>
    <t>GPP_F_22_IEH_CORR_ERR0B</t>
  </si>
  <si>
    <t>D1_TC_TD01__GPP_F_23_IEH_NONFATAL_ERR1B</t>
  </si>
  <si>
    <t>AN53</t>
  </si>
  <si>
    <t>J1708.DS9</t>
  </si>
  <si>
    <t>J1708PIN052</t>
  </si>
  <si>
    <t>GPP_F_23_IEH_NONFATAL_ERR1B</t>
  </si>
  <si>
    <t>D1_TC_TD01__GPP_F_3_SATAXPCIE_6_SATAGP_6</t>
  </si>
  <si>
    <t>AR48</t>
  </si>
  <si>
    <t>J1603.AS4</t>
  </si>
  <si>
    <t>J1603PIN116</t>
  </si>
  <si>
    <t>GPP_F_3_SATAXPCIE_6_SATAGP_6</t>
  </si>
  <si>
    <t>D1_TC_TD01__GPP_F_4_SATAXPCIE_7_SATAGP_7</t>
  </si>
  <si>
    <t>AM46</t>
  </si>
  <si>
    <t>J1603.BS4</t>
  </si>
  <si>
    <t>J1603PIN115</t>
  </si>
  <si>
    <t>GPP_F_4_SATAXPCIE_7_SATAGP_7</t>
  </si>
  <si>
    <t>D1_TC_TD01__GPP_F_5_SATA_DEVSLP_3</t>
  </si>
  <si>
    <t>AM49</t>
  </si>
  <si>
    <t>J1701.CS12</t>
  </si>
  <si>
    <t>J1701PIN089</t>
  </si>
  <si>
    <t>GPP_F_5_SATA_DEVSLP_3</t>
  </si>
  <si>
    <t>D1_TC_TD01__GPP_F_6_SATA_DEVSLP_4</t>
  </si>
  <si>
    <t>AU51</t>
  </si>
  <si>
    <t>J1708.DS10</t>
  </si>
  <si>
    <t>J1708PIN050</t>
  </si>
  <si>
    <t>GPP_F_6_SATA_DEVSLP_4</t>
  </si>
  <si>
    <t>D1_TC_M07_SC4_TD01__GPP_F_7_SATA_DEVSLP_5</t>
  </si>
  <si>
    <t>AR56</t>
  </si>
  <si>
    <t>J1702.DS7</t>
  </si>
  <si>
    <t>J1702PIN056</t>
  </si>
  <si>
    <t>GPP_F_7_SATA_DEVSLP_5</t>
  </si>
  <si>
    <t>D1_TC_M07_SC4_TD01__GPP_F_8_SATA_DEVSLP_6</t>
  </si>
  <si>
    <t>AR55</t>
  </si>
  <si>
    <t>J1706.BS8</t>
  </si>
  <si>
    <t>J1706PIN035</t>
  </si>
  <si>
    <t>GPP_F_8_SATA_DEVSLP_6</t>
  </si>
  <si>
    <t>D1_TC_M07_SC4_TD01__GPP_F_9_SATA_DEVSLP_7_DIR_ESPI_SMI</t>
  </si>
  <si>
    <t>AU55</t>
  </si>
  <si>
    <t>J1701.AS4</t>
  </si>
  <si>
    <t>J1701PIN116</t>
  </si>
  <si>
    <t>GPP_F_9_SATA_DEVSLP_7_DIR_ESPI_SMI</t>
  </si>
  <si>
    <t>D1_TC_M08_SC4_TD01__GPP_H_0</t>
  </si>
  <si>
    <t>AM48</t>
  </si>
  <si>
    <t>J1703.BS6</t>
  </si>
  <si>
    <t>J1703PIN031</t>
  </si>
  <si>
    <t>GPP_H_0</t>
  </si>
  <si>
    <t>D1_TC_M08_SC4_TD01__GPP_H_1_SRCCLKREQB_8</t>
  </si>
  <si>
    <t>AM45</t>
  </si>
  <si>
    <t>J1601.DS8</t>
  </si>
  <si>
    <t>J1601PIN010</t>
  </si>
  <si>
    <t>GPP_H_1_SRCCLKREQB_8</t>
  </si>
  <si>
    <t>D1_TC_M08_SC4_TD01__GPP_H_10_SML2DATA</t>
  </si>
  <si>
    <t>AK54</t>
  </si>
  <si>
    <t>J1703.BS8</t>
  </si>
  <si>
    <t>J1703PIN035</t>
  </si>
  <si>
    <t>GPP_H_10_SML2DATA</t>
  </si>
  <si>
    <t>D1_TC_M08_SC4_TD01__GPP_H_11_SML2ALERTB</t>
  </si>
  <si>
    <t>AJ55</t>
  </si>
  <si>
    <t>J1701.CS2</t>
  </si>
  <si>
    <t>J1701PIN107</t>
  </si>
  <si>
    <t>GPP_H_11_SML2ALERTB</t>
  </si>
  <si>
    <t>D1_TC_M08_SC4_TD01__GPP_H_12_SML3CLK</t>
  </si>
  <si>
    <t>AJ56</t>
  </si>
  <si>
    <t>J1601.AS7</t>
  </si>
  <si>
    <t>J1601PIN034</t>
  </si>
  <si>
    <t>GPP_H_12_SML3CLK</t>
  </si>
  <si>
    <t>D1_TC_M08_SC4_TD01__GPP_H_13_SML3DATA</t>
  </si>
  <si>
    <t>AJ54</t>
  </si>
  <si>
    <t>J1704.DS12</t>
  </si>
  <si>
    <t>J1704PIN090</t>
  </si>
  <si>
    <t>GPP_H_13_SML3DATA</t>
  </si>
  <si>
    <t>D1_TC_M08_SC4_TD01__GPP_H_14_SML3ALERTB</t>
  </si>
  <si>
    <t>AH53</t>
  </si>
  <si>
    <t>J1701.CS8</t>
  </si>
  <si>
    <t>J1701PIN097</t>
  </si>
  <si>
    <t>GPP_H_14_SML3ALERTB</t>
  </si>
  <si>
    <t>D1_TC_M08_SC4_TD01__GPP_H_15_SML4CLK</t>
  </si>
  <si>
    <t>AH56</t>
  </si>
  <si>
    <t>J1701.CS11</t>
  </si>
  <si>
    <t>J1701PIN091</t>
  </si>
  <si>
    <t>GPP_H_15_SML4CLK</t>
  </si>
  <si>
    <t>D1_TC_M08_SC4_TD01__GPP_H_16_SML4DATA</t>
  </si>
  <si>
    <t>AH55</t>
  </si>
  <si>
    <t>J1702.BS7</t>
  </si>
  <si>
    <t>J1702PIN077</t>
  </si>
  <si>
    <t>GPP_H_16_SML4DATA</t>
  </si>
  <si>
    <t>D1_TC_M08_SC4_TD01__GPP_H_17_SML4ALERTB</t>
  </si>
  <si>
    <t>AF55</t>
  </si>
  <si>
    <t>J1703.AS2</t>
  </si>
  <si>
    <t>J1703PIN024</t>
  </si>
  <si>
    <t>GPP_H_17_SML4ALERTB</t>
  </si>
  <si>
    <t>D1_TC_M08_SC4_TD01__GPP_H_18_ISH_I2C1_SDA_SMIB</t>
  </si>
  <si>
    <t>AF56</t>
  </si>
  <si>
    <t>J1701.CS10</t>
  </si>
  <si>
    <t>J1701PIN093</t>
  </si>
  <si>
    <t>GPP_H_18_ISH_I2C1_SDA_SMIB</t>
  </si>
  <si>
    <t>D1_TC_M08_SC4_TD01__GPP_H_19_ISH_I2C1_SCL_NMIB</t>
  </si>
  <si>
    <t>AE55</t>
  </si>
  <si>
    <t>J1701.DS2</t>
  </si>
  <si>
    <t>J1701PIN108</t>
  </si>
  <si>
    <t>GPP_H_19_ISH_I2C1_SCL_NMIB</t>
  </si>
  <si>
    <t>D1_TC_SC4_TD01__GPP_H_2_SRCCLKREQB_9</t>
  </si>
  <si>
    <t>AK51</t>
  </si>
  <si>
    <t>J1704.DS7</t>
  </si>
  <si>
    <t>J1704PIN100</t>
  </si>
  <si>
    <t>GPP_H_2_SRCCLKREQB_9</t>
  </si>
  <si>
    <t>D1_TC_M08_SC4_TD01__GPP_H_3_SRCCLKREQB_10</t>
  </si>
  <si>
    <t>AK52</t>
  </si>
  <si>
    <t>J1701.CS9</t>
  </si>
  <si>
    <t>J1701PIN095</t>
  </si>
  <si>
    <t>GPP_H_3_SRCCLKREQB_10</t>
  </si>
  <si>
    <t>D1_TC_M08_SC4_TD01__GPP_H_4_SRCCLKREQB_11</t>
  </si>
  <si>
    <t>AM44</t>
  </si>
  <si>
    <t>J1602.DS14</t>
  </si>
  <si>
    <t>J1602PIN042</t>
  </si>
  <si>
    <t>GPP_H_4_SRCCLKREQB_11</t>
  </si>
  <si>
    <t>D1_TC_M08_SC4_TD01__GPP_H_5_USB2_OCB_0</t>
  </si>
  <si>
    <t>AM56</t>
  </si>
  <si>
    <t>J1706.AS2</t>
  </si>
  <si>
    <t>J1706PIN024</t>
  </si>
  <si>
    <t>GPP_H_5_USB2_OCB_0</t>
  </si>
  <si>
    <t>D1_TC_M08_SC4_TD01__GPP_H_6_USB2_OCB_1</t>
  </si>
  <si>
    <t>AM55</t>
  </si>
  <si>
    <t>J1702.DS6</t>
  </si>
  <si>
    <t>J1702PIN058</t>
  </si>
  <si>
    <t>GPP_H_6_USB2_OCB_1</t>
  </si>
  <si>
    <t>D1_TC_M08_SC4_TD01__GPP_H_7_USB2_OCB_2_GMII_MDC_1</t>
  </si>
  <si>
    <t>AL55</t>
  </si>
  <si>
    <t>J1703.AS6</t>
  </si>
  <si>
    <t>J1703PIN032</t>
  </si>
  <si>
    <t>GPP_H_7_USB2_OCB_2_GMII_MDC_1</t>
  </si>
  <si>
    <t>D1_TC_M08_SC4_TD01__GPP_H_8_USB2_OCB_3_GMII_MDIO_1</t>
  </si>
  <si>
    <t>AL56</t>
  </si>
  <si>
    <t>J1601.AS3</t>
  </si>
  <si>
    <t>J1601PIN026</t>
  </si>
  <si>
    <t>GPP_H_8_USB2_OCB_3_GMII_MDIO_1</t>
  </si>
  <si>
    <t>D1_TC_M08_SC4_TD01__GPP_H_9_SML2CLK</t>
  </si>
  <si>
    <t>AK55</t>
  </si>
  <si>
    <t>J1702.CS10</t>
  </si>
  <si>
    <t>J1702PIN049</t>
  </si>
  <si>
    <t>GPP_H_9_SML2CLK</t>
  </si>
  <si>
    <t>D1_TC_TD01__GPP_I_0_GSPI0_CS1B</t>
  </si>
  <si>
    <t>AA12</t>
  </si>
  <si>
    <t>J1704.CS7</t>
  </si>
  <si>
    <t>J1704PIN099</t>
  </si>
  <si>
    <t>GPP_I_0_GSPI0_CS1B</t>
  </si>
  <si>
    <t>D1_TC_TD01__GPP_I_1_GSPI1_CS1B</t>
  </si>
  <si>
    <t>AA10</t>
  </si>
  <si>
    <t>J1701.DS4</t>
  </si>
  <si>
    <t>J1701PIN104</t>
  </si>
  <si>
    <t>GPP_I_1_GSPI1_CS1B</t>
  </si>
  <si>
    <t>D1_TC_TD01__GPP_I_10_GSPI1_CS0B</t>
  </si>
  <si>
    <t>W3</t>
  </si>
  <si>
    <t>J1604.BS14</t>
  </si>
  <si>
    <t>J1604PIN039</t>
  </si>
  <si>
    <t>GPP_I_10_GSPI1_CS0B</t>
  </si>
  <si>
    <t>D1_TC_TD01__GPP_I_11_GSPI1_CLK_NFC_CLK</t>
  </si>
  <si>
    <t>W2</t>
  </si>
  <si>
    <t>J1606.CS9</t>
  </si>
  <si>
    <t>J1606PIN095</t>
  </si>
  <si>
    <t>GPP_I_11_GSPI1_CLK_NFC_CLK</t>
  </si>
  <si>
    <t>D1_TC_TD01__GPP_I_12_GSPI1_MISO_NFC_CLKREQ</t>
  </si>
  <si>
    <t>Y4</t>
  </si>
  <si>
    <t>J1701.BS7</t>
  </si>
  <si>
    <t>J1701PIN121</t>
  </si>
  <si>
    <t>GPP_I_12_GSPI1_MISO_NFC_CLKREQ</t>
  </si>
  <si>
    <t>D1_TC_TD01__GPP_I_13_GSPI1_MOSI</t>
  </si>
  <si>
    <t>Y3</t>
  </si>
  <si>
    <t>J1604.BS4</t>
  </si>
  <si>
    <t>J1604PIN027</t>
  </si>
  <si>
    <t>GPP_I_13_GSPI1_MOSI</t>
  </si>
  <si>
    <t>D1_TC_TD01__GPP_I_14_ISH_I2C0_SDA_ISH_I3C0_SDA</t>
  </si>
  <si>
    <t>AA3</t>
  </si>
  <si>
    <t>J1606.CS10</t>
  </si>
  <si>
    <t>J1606PIN093</t>
  </si>
  <si>
    <t>GPP_I_14_ISH_I2C0_SDA_ISH_I3C0_SDA</t>
  </si>
  <si>
    <t>D1_TC_TD01__GPP_I_15_ISH_I2C0_SCL_ISH_I3C0_SCL</t>
  </si>
  <si>
    <t>AA4</t>
  </si>
  <si>
    <t>J1604.BS5</t>
  </si>
  <si>
    <t>J1604PIN029</t>
  </si>
  <si>
    <t>GPP_I_15_ISH_I2C0_SCL_ISH_I3C0_SCL</t>
  </si>
  <si>
    <t>D1_TC_TD01__GPP_I_16_ISH_GP_11</t>
  </si>
  <si>
    <t>AA2</t>
  </si>
  <si>
    <t>J1603.DS10</t>
  </si>
  <si>
    <t>J1603PIN094</t>
  </si>
  <si>
    <t>GPP_I_16_ISH_GP_11</t>
  </si>
  <si>
    <t>D1_TC_TD01__GPP_I_2_I2C0_SDA_I3C0_SDA</t>
  </si>
  <si>
    <t>AD9</t>
  </si>
  <si>
    <t>J1701.DS3</t>
  </si>
  <si>
    <t>J1701PIN106</t>
  </si>
  <si>
    <t>GPP_I_2_I2C0_SDA_I3C0_SDA</t>
  </si>
  <si>
    <t>D1_TC_TD01__GPP_I_3_I2C0_SCL_I3C0_SCL</t>
  </si>
  <si>
    <t>AD10</t>
  </si>
  <si>
    <t>J1702.AS9</t>
  </si>
  <si>
    <t>J1702PIN082</t>
  </si>
  <si>
    <t>GPP_I_3_I2C0_SCL_I3C0_SCL</t>
  </si>
  <si>
    <t>D1_TC_TD01__GPP_I_4_I2C1_SDA</t>
  </si>
  <si>
    <t>AD7</t>
  </si>
  <si>
    <t>J1603.DS12</t>
  </si>
  <si>
    <t>J1603PIN090</t>
  </si>
  <si>
    <t>GPP_I_4_I2C1_SDA</t>
  </si>
  <si>
    <t>D1_TC_TD01__GPP_I_5_I2C1_SCL</t>
  </si>
  <si>
    <t>AD6</t>
  </si>
  <si>
    <t>J1604.CS3</t>
  </si>
  <si>
    <t>J1604PIN017</t>
  </si>
  <si>
    <t>GPP_I_5_I2C1_SCL</t>
  </si>
  <si>
    <t>D1_TC_TD01__GPP_I_6_GSPI0_CS0B</t>
  </si>
  <si>
    <t>U4</t>
  </si>
  <si>
    <t>J1606.DS10</t>
  </si>
  <si>
    <t>J1606PIN094</t>
  </si>
  <si>
    <t>GPP_I_6_GSPI0_CS0B</t>
  </si>
  <si>
    <t>D1_TC_TD01__GPP_I_7_GSPI0_CLK</t>
  </si>
  <si>
    <t>V3</t>
  </si>
  <si>
    <t>J1604.DS13</t>
  </si>
  <si>
    <t>J1604PIN004</t>
  </si>
  <si>
    <t>GPP_I_7_GSPI0_CLK</t>
  </si>
  <si>
    <t>D1_TC_TD01__GPP_I_8_GSPI0_MISO</t>
  </si>
  <si>
    <t>U5</t>
  </si>
  <si>
    <t>J1604.CS7</t>
  </si>
  <si>
    <t>J1604PIN011</t>
  </si>
  <si>
    <t>GPP_I_8_GSPI0_MISO</t>
  </si>
  <si>
    <t>D1_TC_TD01__GPP_I_9_GSPI0_MOSI</t>
  </si>
  <si>
    <t>V2</t>
  </si>
  <si>
    <t>J1604.CS8</t>
  </si>
  <si>
    <t>J1604PIN009</t>
  </si>
  <si>
    <t>GPP_I_9_GSPI0_MOSI</t>
  </si>
  <si>
    <t>D1_TC_TD01__GPP_J_0_CNV_PA_BLANKING</t>
  </si>
  <si>
    <t>AU2</t>
  </si>
  <si>
    <t>J1606.AS4</t>
  </si>
  <si>
    <t>J1606PIN116</t>
  </si>
  <si>
    <t>GPP_J_0_CNV_PA_BLANKING</t>
  </si>
  <si>
    <t>D1_TC_TD01__GPP_J_1_CNV_BRI_DT_UART0_RTSB</t>
  </si>
  <si>
    <t>AT3</t>
  </si>
  <si>
    <t>J1605.DS12</t>
  </si>
  <si>
    <t>J1605PIN046</t>
  </si>
  <si>
    <t>GPP_J_1_CNV_BRI_DT_UART0_RTSB</t>
  </si>
  <si>
    <t>D1_TC_TD01__GPP_J_10_BPKI3C_SCL</t>
  </si>
  <si>
    <t>AP2</t>
  </si>
  <si>
    <t>J1606.BS4</t>
  </si>
  <si>
    <t>J1606PIN115</t>
  </si>
  <si>
    <t>GPP_J_10_BPKI3C_SCL</t>
  </si>
  <si>
    <t>D1_TC_TD01__GPP_J_11_DAM</t>
  </si>
  <si>
    <t>AP4</t>
  </si>
  <si>
    <t>J1603.CS3</t>
  </si>
  <si>
    <t>J1603PIN105</t>
  </si>
  <si>
    <t>GPP_J_11_DAM</t>
  </si>
  <si>
    <t>D1_TC_TD01__GPP_J_12_HDACPU_SDI</t>
  </si>
  <si>
    <t>AU7</t>
  </si>
  <si>
    <t>J1701.AS6</t>
  </si>
  <si>
    <t>J1701PIN120</t>
  </si>
  <si>
    <t>GPP_J_12_HDACPU_SDI</t>
  </si>
  <si>
    <t>D1_TC_TD01__GPP_J_13_HDACPU_SDO</t>
  </si>
  <si>
    <t>AT9</t>
  </si>
  <si>
    <t>J1602.DS12</t>
  </si>
  <si>
    <t>J1602PIN046</t>
  </si>
  <si>
    <t>GPP_J_13_HDACPU_SDO</t>
  </si>
  <si>
    <t>D1_TC_TD01__GPP_J_14_HDACPU_BCLK</t>
  </si>
  <si>
    <t>AR10</t>
  </si>
  <si>
    <t>J1702.AS4</t>
  </si>
  <si>
    <t>J1702PIN072</t>
  </si>
  <si>
    <t>GPP_J_14_HDACPU_BCLK</t>
  </si>
  <si>
    <t>D1_TC_TD01__GPP_J_15_AUX_PWRGD</t>
  </si>
  <si>
    <t>AT14</t>
  </si>
  <si>
    <t>J1601.CS3</t>
  </si>
  <si>
    <t>J1601PIN017</t>
  </si>
  <si>
    <t>GPP_J_15_AUX_PWRGD</t>
  </si>
  <si>
    <t>D1_TC_TD01__GPP_J_16_GLB_RST_WARN_B</t>
  </si>
  <si>
    <t>AT13</t>
  </si>
  <si>
    <t>J1602.DS8</t>
  </si>
  <si>
    <t>J1602PIN054</t>
  </si>
  <si>
    <t>GPP_J_16_GLB_RST_WARN_B</t>
  </si>
  <si>
    <t>D1_TC_TD01__GPP_J_2_CNV_BRI_RSP_UART0_RXD</t>
  </si>
  <si>
    <t>AP3</t>
  </si>
  <si>
    <t>J1606.CS8</t>
  </si>
  <si>
    <t>J1606PIN097</t>
  </si>
  <si>
    <t>GPP_J_2_CNV_BRI_RSP_UART0_RXD</t>
  </si>
  <si>
    <t>D1_TC_TD01__GPP_J_3_CNV_RGI_DT_UART0_TXD</t>
  </si>
  <si>
    <t>AU3</t>
  </si>
  <si>
    <t>J1603.BS6</t>
  </si>
  <si>
    <t>J1603PIN119</t>
  </si>
  <si>
    <t>GPP_J_3_CNV_RGI_DT_UART0_TXD</t>
  </si>
  <si>
    <t>D1_TC_TD01__GPP_J_4_CNV_RGI_RSP_UART0_CTSB</t>
  </si>
  <si>
    <t>AP14</t>
  </si>
  <si>
    <t>J1604.AS3</t>
  </si>
  <si>
    <t>J1604PIN026</t>
  </si>
  <si>
    <t>GPP_J_4_CNV_RGI_RSP_UART0_CTSB</t>
  </si>
  <si>
    <t>D1_TC_TD01__GPP_J_5_CNV_MFUART2_RXD</t>
  </si>
  <si>
    <t>AP13</t>
  </si>
  <si>
    <t>J1701.CS1</t>
  </si>
  <si>
    <t>J1701PIN109</t>
  </si>
  <si>
    <t>GPP_J_5_CNV_MFUART2_RXD</t>
  </si>
  <si>
    <t>D1_TC_TD01__GPP_J_6_CNV_MFUART2_TXD</t>
  </si>
  <si>
    <t>AR3</t>
  </si>
  <si>
    <t>J1606.AS9</t>
  </si>
  <si>
    <t>J1606PIN126</t>
  </si>
  <si>
    <t>GPP_J_6_CNV_MFUART2_TXD</t>
  </si>
  <si>
    <t>D1_TC_TD01__GPP_J_7_BOOTHALT_B</t>
  </si>
  <si>
    <t>AV5</t>
  </si>
  <si>
    <t>J1701.BS6</t>
  </si>
  <si>
    <t>J1701PIN119</t>
  </si>
  <si>
    <t>GPP_J_7_BOOTHALT_B</t>
  </si>
  <si>
    <t>D1_TC_TD01__GPP_J_8_RTCCLKOUT</t>
  </si>
  <si>
    <t>AR2</t>
  </si>
  <si>
    <t>J1606.AS5</t>
  </si>
  <si>
    <t>J1606PIN118</t>
  </si>
  <si>
    <t>GPP_J_8_RTCCLKOUT</t>
  </si>
  <si>
    <t>D1_TC_TD01__GPP_J_9_BPKI3C_SDA</t>
  </si>
  <si>
    <t>AP6</t>
  </si>
  <si>
    <t>J1602.DS13</t>
  </si>
  <si>
    <t>J1602PIN044</t>
  </si>
  <si>
    <t>GPP_J_9_BPKI3C_SDA</t>
  </si>
  <si>
    <t>D1_TC_TD01__GPP_K_0_GSXDOUT</t>
  </si>
  <si>
    <t>AY55</t>
  </si>
  <si>
    <t>J1707.AS9</t>
  </si>
  <si>
    <t>J1707PIN126</t>
  </si>
  <si>
    <t>GPP_K_0_GSXDOUT</t>
  </si>
  <si>
    <t>D1_TC_TD01__GPP_K_1_GSXSLOAD</t>
  </si>
  <si>
    <t>BA55</t>
  </si>
  <si>
    <t>J1707.CS7</t>
  </si>
  <si>
    <t>J1707PIN099</t>
  </si>
  <si>
    <t>GPP_K_1_GSXSLOAD</t>
  </si>
  <si>
    <t>D1_TC_TD01__GPP_K_2_GSXDIN</t>
  </si>
  <si>
    <t>AY56</t>
  </si>
  <si>
    <t>J1701.CS13</t>
  </si>
  <si>
    <t>J1701PIN087</t>
  </si>
  <si>
    <t>GPP_K_2_GSXDIN</t>
  </si>
  <si>
    <t>D1_TC_TD01__GPP_K_3_GSXSRESETB</t>
  </si>
  <si>
    <t>BA56</t>
  </si>
  <si>
    <t>J1701.CS14</t>
  </si>
  <si>
    <t>J1701PIN085</t>
  </si>
  <si>
    <t>GPP_K_3_GSXSRESETB</t>
  </si>
  <si>
    <t>D1_TC_TD01__GPP_K_4_GSXCLK</t>
  </si>
  <si>
    <t>BB53</t>
  </si>
  <si>
    <t>J1701.AS14</t>
  </si>
  <si>
    <t>J1701PIN128</t>
  </si>
  <si>
    <t>GPP_K_4_GSXCLK</t>
  </si>
  <si>
    <t>D1_TC_TD01__GPP_K_5_ADR_COMPLETE</t>
  </si>
  <si>
    <t>AW55</t>
  </si>
  <si>
    <t>J1707.CS9</t>
  </si>
  <si>
    <t>J1707PIN095</t>
  </si>
  <si>
    <t>GPP_K_5_ADR_COMPLETE</t>
  </si>
  <si>
    <t>D1_TC_TD01__GPP_K_8_CORE_VID_0</t>
  </si>
  <si>
    <t>AV55</t>
  </si>
  <si>
    <t>J1707.AS6</t>
  </si>
  <si>
    <t>J1707PIN120</t>
  </si>
  <si>
    <t>GPP_K_8_CORE_VID_0</t>
  </si>
  <si>
    <t>D1_TC_TD01__GPP_K_9_CORE_VID_1</t>
  </si>
  <si>
    <t>AW54</t>
  </si>
  <si>
    <t>J1708.DS11</t>
  </si>
  <si>
    <t>J1708PIN048</t>
  </si>
  <si>
    <t>GPP_K_9_CORE_VID_1</t>
  </si>
  <si>
    <t>D1_TC_TD01__GPP_R_0_HDA_BCLK_I2S0_SCLK_HDACPU_BCLK_DMIC_CLK_A_1</t>
  </si>
  <si>
    <t>AY6</t>
  </si>
  <si>
    <t>J1601.CS9</t>
  </si>
  <si>
    <t>J1601PIN007</t>
  </si>
  <si>
    <t>GPP_R_0_HDA_BCLK_I2S0_SCLK_HDACPU_BCLK_DMIC_CLK_A_1</t>
  </si>
  <si>
    <t>D1_TC_TD01__GPP_R_1_HDA_SYNC_I2S0_SFRM_DMIC_CLK_B_1</t>
  </si>
  <si>
    <t>BD3</t>
  </si>
  <si>
    <t>J1605.DS9</t>
  </si>
  <si>
    <t>J1605PIN052</t>
  </si>
  <si>
    <t>GPP_R_1_HDA_SYNC_I2S0_SFRM_DMIC_CLK_B_1</t>
  </si>
  <si>
    <t>D1_TC_TD01__GPP_R_10_ISH_SPI_CLK_GSPI2_CLK</t>
  </si>
  <si>
    <t>AY2</t>
  </si>
  <si>
    <t>J1605.DS8</t>
  </si>
  <si>
    <t>J1605PIN054</t>
  </si>
  <si>
    <t>GPP_R_10_ISH_SPI_CLK_GSPI2_CLK</t>
  </si>
  <si>
    <t>D1_TC_TD01__GPP_R_11_ISH_SPI_MISO_GSPI2_MISO</t>
  </si>
  <si>
    <t>AW3</t>
  </si>
  <si>
    <t>J1603.AS14</t>
  </si>
  <si>
    <t>J1603PIN128</t>
  </si>
  <si>
    <t>GPP_R_11_ISH_SPI_MISO_GSPI2_MISO</t>
  </si>
  <si>
    <t>D1_TC_TD01__GPP_R_12_ISH_SPI_MOSI_GSPI2_MOSI</t>
  </si>
  <si>
    <t>AV4</t>
  </si>
  <si>
    <t>J1602.AS8</t>
  </si>
  <si>
    <t>J1602PIN080</t>
  </si>
  <si>
    <t>GPP_R_12_ISH_SPI_MOSI_GSPI2_MOSI</t>
  </si>
  <si>
    <t>D1_TC_TD01__GPP_R_2_HDA_SDO_I2S0_TXD_HDACPU_SDO</t>
  </si>
  <si>
    <t>BC2</t>
  </si>
  <si>
    <t>J1604.AS5</t>
  </si>
  <si>
    <t>J1604PIN030</t>
  </si>
  <si>
    <t>GPP_R_2_HDA_SDO_I2S0_TXD_HDACPU_SDO</t>
  </si>
  <si>
    <t>D1_TC_TD01__GPP_R_3_HDA_SDI_0_I2S0_RXD_HDACPU_SDI</t>
  </si>
  <si>
    <t>BC3</t>
  </si>
  <si>
    <t>J1602.DS4</t>
  </si>
  <si>
    <t>J1602PIN060</t>
  </si>
  <si>
    <t>GPP_R_3_HDA_SDI_0_I2S0_RXD_HDACPU_SDI</t>
  </si>
  <si>
    <t>D1_TC_TD01__GPP_R_4_HDA_RSTB</t>
  </si>
  <si>
    <t>BA2</t>
  </si>
  <si>
    <t>J1605.CS6</t>
  </si>
  <si>
    <t>J1605PIN057</t>
  </si>
  <si>
    <t>GPP_R_4_HDA_RSTB</t>
  </si>
  <si>
    <t>D1_TC_TD01__GPP_R_5_HDA_SDI_1_I2S1_RXD</t>
  </si>
  <si>
    <t>BA3</t>
  </si>
  <si>
    <t>J1606.AS7</t>
  </si>
  <si>
    <t>J1606PIN122</t>
  </si>
  <si>
    <t>GPP_R_5_HDA_SDI_1_I2S1_RXD</t>
  </si>
  <si>
    <t>D1_TC_TD01__GPP_R_6_I2S1_TXD</t>
  </si>
  <si>
    <t>AV3</t>
  </si>
  <si>
    <t>J1604.DS8</t>
  </si>
  <si>
    <t>J1604PIN010</t>
  </si>
  <si>
    <t>GPP_R_6_I2S1_TXD</t>
  </si>
  <si>
    <t>D1_TC_TD01__GPP_R_7_I2S1_SFRM</t>
  </si>
  <si>
    <t>AW7</t>
  </si>
  <si>
    <t>J1603.CS1</t>
  </si>
  <si>
    <t>J1603PIN109</t>
  </si>
  <si>
    <t>GPP_R_7_I2S1_SFRM</t>
  </si>
  <si>
    <t>D1_TC_TD01__GPP_R_8_I2S1_SCLK</t>
  </si>
  <si>
    <t>AV2</t>
  </si>
  <si>
    <t>J1606.AS6</t>
  </si>
  <si>
    <t>J1606PIN120</t>
  </si>
  <si>
    <t>GPP_R_8_I2S1_SCLK</t>
  </si>
  <si>
    <t>D1_TC_TD01__GPP_R_9_ISH_SPI_CSB_GSPI2_CS0B</t>
  </si>
  <si>
    <t>AW4</t>
  </si>
  <si>
    <t>J1603.CS2</t>
  </si>
  <si>
    <t>J1603PIN107</t>
  </si>
  <si>
    <t>GPP_R_9_ISH_SPI_CSB_GSPI2_CS0B</t>
  </si>
  <si>
    <t>D1_TC_TD01__GPP_S_0_SNDW0_CLK_RGMII_AUXTS_0</t>
  </si>
  <si>
    <t>BE47</t>
  </si>
  <si>
    <t>J1704.BS8</t>
  </si>
  <si>
    <t>J1704PIN123</t>
  </si>
  <si>
    <t>GPP_S_0_SNDW0_CLK_RGMII_AUXTS_0</t>
  </si>
  <si>
    <t>D1_TC_TD01__GPP_S_1_SNDW0_DATA0_RGMII_INT_0</t>
  </si>
  <si>
    <t>BJ46</t>
  </si>
  <si>
    <t>J1603.AS5</t>
  </si>
  <si>
    <t>J1603PIN118</t>
  </si>
  <si>
    <t>GPP_S_1_SNDW0_DATA0_RGMII_INT_0</t>
  </si>
  <si>
    <t>D1_TC_TD01__GPP_S_2_SNDW1_CLK_DMIC_CLK_A_0_RGMII_RESET_0_SNDW0_DATA1</t>
  </si>
  <si>
    <t>BG47</t>
  </si>
  <si>
    <t>J1705.DS13</t>
  </si>
  <si>
    <t>J1705PIN044</t>
  </si>
  <si>
    <t>GPP_S_2_SNDW1_CLK_DMIC_CLK_A_0_RGMII_RESET_0_SNDW0_DATA1</t>
  </si>
  <si>
    <t>D1_TC_TD01__GPP_S_3_SNDW1_DATA_DMIC_DATA_0_RGMII_PPS_0_SNDW0_DATA2</t>
  </si>
  <si>
    <t>BF47</t>
  </si>
  <si>
    <t>J1601.AS4</t>
  </si>
  <si>
    <t>J1601PIN028</t>
  </si>
  <si>
    <t>GPP_S_3_SNDW1_DATA_DMIC_DATA_0_RGMII_PPS_0_SNDW0_DATA2</t>
  </si>
  <si>
    <t>D1_TC_TD01__GPP_S_4_SNDW2_CLK_DMIC_CLK_B_0_RGMII_AUXTS_1_SNDW0_DATA3</t>
  </si>
  <si>
    <t>BF48</t>
  </si>
  <si>
    <t>J1602.DS1</t>
  </si>
  <si>
    <t>J1602PIN066</t>
  </si>
  <si>
    <t>GPP_S_4_SNDW2_CLK_DMIC_CLK_B_0_RGMII_AUXTS_1_SNDW0_DATA3</t>
  </si>
  <si>
    <t>D1_TC_TD01__GPP_S_5_SNDW2_DATA_DMIC_CLK_B_1_RGMII_INT_1</t>
  </si>
  <si>
    <t>BE48</t>
  </si>
  <si>
    <t>J1706.CS14</t>
  </si>
  <si>
    <t>J1706PIN001</t>
  </si>
  <si>
    <t>GPP_S_5_SNDW2_DATA_DMIC_CLK_B_1_RGMII_INT_1</t>
  </si>
  <si>
    <t>D1_TC_TD01__GPP_S_6_SNDW3_CLK_DMIC_CLK_A_1_RGMII_RESET_1</t>
  </si>
  <si>
    <t>BG49</t>
  </si>
  <si>
    <t>J1705.CS2</t>
  </si>
  <si>
    <t>J1705PIN063</t>
  </si>
  <si>
    <t>GPP_S_6_SNDW3_CLK_DMIC_CLK_A_1_RGMII_RESET_1</t>
  </si>
  <si>
    <t>D1_TC_TD01__GPP_S_7_SNDW3_DATA_DMIC_DATA_1_RGMII_PPS_1</t>
  </si>
  <si>
    <t>BF49</t>
  </si>
  <si>
    <t>J1601.AS5</t>
  </si>
  <si>
    <t>J1601PIN030</t>
  </si>
  <si>
    <t>GPP_S_7_SNDW3_DATA_DMIC_DATA_1_RGMII_PPS_1</t>
  </si>
  <si>
    <t>D1_TC_TD02__INTRUDERB</t>
  </si>
  <si>
    <t>AH14</t>
  </si>
  <si>
    <t>J1609.DS3</t>
  </si>
  <si>
    <t>J1609PIN106</t>
  </si>
  <si>
    <t>INTRUDERB</t>
  </si>
  <si>
    <t>D1_TC_M03_TD01__JTAG_TCK</t>
  </si>
  <si>
    <t>AD2</t>
  </si>
  <si>
    <t>J1701.DS7</t>
  </si>
  <si>
    <t>J1701PIN100</t>
  </si>
  <si>
    <t>RA516.1</t>
  </si>
  <si>
    <t>L24_HSIO3/L30_HSIO6</t>
  </si>
  <si>
    <t>JTAG_TCK</t>
  </si>
  <si>
    <t>M03</t>
  </si>
  <si>
    <t>Tester Channel and Connector connection.  Refer to the JTAG Tab</t>
  </si>
  <si>
    <t>D1_TC_M03_TD01__JTAG_TDI</t>
  </si>
  <si>
    <t>AB2</t>
  </si>
  <si>
    <t>J1606.CS14</t>
  </si>
  <si>
    <t>J1606PIN085</t>
  </si>
  <si>
    <t>RA517.1</t>
  </si>
  <si>
    <t>L22_HSIO2/L28_HSIO5</t>
  </si>
  <si>
    <t>JTAG_TDI</t>
  </si>
  <si>
    <t>D1_TC_M03_TD01__JTAG_TDO</t>
  </si>
  <si>
    <t>AB3</t>
  </si>
  <si>
    <t>J1606.DS13</t>
  </si>
  <si>
    <t>J1606PIN088</t>
  </si>
  <si>
    <t>RA518.1</t>
  </si>
  <si>
    <t>L22_HSIO2/L30_HSIO6</t>
  </si>
  <si>
    <t>JTAG_TDO</t>
  </si>
  <si>
    <t>D1_TC_M03_TD01__JTAG_TMS</t>
  </si>
  <si>
    <t>AD3</t>
  </si>
  <si>
    <t>J1605.BS14</t>
  </si>
  <si>
    <t>J1605PIN083</t>
  </si>
  <si>
    <t>RA519.1</t>
  </si>
  <si>
    <t>L15_INT4/L28_HSIO5</t>
  </si>
  <si>
    <t>JTAG_TMS</t>
  </si>
  <si>
    <t>D1_TC_M03_TD01__JTAGX</t>
  </si>
  <si>
    <t>AE2</t>
  </si>
  <si>
    <t>J1605.CS14</t>
  </si>
  <si>
    <t>J1605PIN041</t>
  </si>
  <si>
    <t>RA520.1</t>
  </si>
  <si>
    <t>L15_INT4/L30_HSIO6</t>
  </si>
  <si>
    <t>JTAGX</t>
  </si>
  <si>
    <t>D1_TC_TD01_TD02__MATCHLOOP</t>
  </si>
  <si>
    <t>ZZZ1</t>
  </si>
  <si>
    <t>J1609.DS14</t>
  </si>
  <si>
    <t>J1609PIN086</t>
  </si>
  <si>
    <t>SMAA1.1</t>
  </si>
  <si>
    <t>L9_INT1/L11_INT2</t>
  </si>
  <si>
    <t>Matchloop</t>
  </si>
  <si>
    <t>Tester Channel Required for Matchloop. Please refer to "Sync" Tab</t>
  </si>
  <si>
    <t>D1_TC_TD02__MLK_CLK</t>
  </si>
  <si>
    <t>AM2</t>
  </si>
  <si>
    <t>J1607.DS8</t>
  </si>
  <si>
    <t>J1607PIN010</t>
  </si>
  <si>
    <t>MLK_CLK</t>
  </si>
  <si>
    <t>D1_TC_TD02__MLK_DATA</t>
  </si>
  <si>
    <t>AN5</t>
  </si>
  <si>
    <t>J1607.BS2</t>
  </si>
  <si>
    <t>J1607PIN023</t>
  </si>
  <si>
    <t>MLK_DATA</t>
  </si>
  <si>
    <t>D1_TC_TD02__MLK_RSTB</t>
  </si>
  <si>
    <t>AH45</t>
  </si>
  <si>
    <t>J1607.AS9</t>
  </si>
  <si>
    <t>J1607PIN038</t>
  </si>
  <si>
    <t>MLK_RSTB</t>
  </si>
  <si>
    <t>D1_P__OTP0_VPP</t>
  </si>
  <si>
    <t>AP36</t>
  </si>
  <si>
    <t>OTP0_VPP</t>
  </si>
  <si>
    <t>DPS150_3_LCDPS_6</t>
  </si>
  <si>
    <t>D1_P__OTP1_VPP</t>
  </si>
  <si>
    <t>AR36</t>
  </si>
  <si>
    <t>OTP1_VPP</t>
  </si>
  <si>
    <t>DPS150_3_LCDPS_3</t>
  </si>
  <si>
    <t>D1_TC_TD01__PCH_PWROK</t>
  </si>
  <si>
    <t>AH13</t>
  </si>
  <si>
    <t>J1703.DS2</t>
  </si>
  <si>
    <t>J1703PIN020</t>
  </si>
  <si>
    <t>PCH_PWROK</t>
  </si>
  <si>
    <t>D1_TC_M01_DP40_L11_TD01__PCIE_1_RXN</t>
  </si>
  <si>
    <t>BC19</t>
  </si>
  <si>
    <t>J1702.CS3</t>
  </si>
  <si>
    <t>J1702PIN061</t>
  </si>
  <si>
    <t>CA222.2</t>
  </si>
  <si>
    <t>LA244.1</t>
  </si>
  <si>
    <t>LA244.2</t>
  </si>
  <si>
    <t>L26_HSIO4/L20_HSIO1</t>
  </si>
  <si>
    <t>PCIE_1_RXN</t>
  </si>
  <si>
    <t>DP40</t>
  </si>
  <si>
    <t>L11</t>
  </si>
  <si>
    <t>Gen 4 - 16 G (AC CoupleD)</t>
  </si>
  <si>
    <t>D1_TC_M01_DP40_L12_TD01__PCIE_1_RXP</t>
  </si>
  <si>
    <t>BD19</t>
  </si>
  <si>
    <t>J1702.CS4</t>
  </si>
  <si>
    <t>J1702PIN059</t>
  </si>
  <si>
    <t>CA221.2</t>
  </si>
  <si>
    <t>LA242.1</t>
  </si>
  <si>
    <t>LA242.2</t>
  </si>
  <si>
    <t>PCIE_1_RXP</t>
  </si>
  <si>
    <t>L12</t>
  </si>
  <si>
    <t>D1_TC_M01_DP40_L11_TD01__PCIE_1_TXN</t>
  </si>
  <si>
    <t>BJ17</t>
  </si>
  <si>
    <t>J1603.DS6</t>
  </si>
  <si>
    <t>J1603PIN102</t>
  </si>
  <si>
    <t>CA222.1</t>
  </si>
  <si>
    <t>LA243.1</t>
  </si>
  <si>
    <t>LA243.2</t>
  </si>
  <si>
    <t>L30_HSIO6/L20_HSIO1</t>
  </si>
  <si>
    <t>PCIE_1_TXN</t>
  </si>
  <si>
    <t>D1_TC_M01_DP40_L12_TD01__PCIE_1_TXP</t>
  </si>
  <si>
    <t>BJ18</t>
  </si>
  <si>
    <t>J1603.DS7</t>
  </si>
  <si>
    <t>J1603PIN100</t>
  </si>
  <si>
    <t>CA221.1</t>
  </si>
  <si>
    <t>LA241.1</t>
  </si>
  <si>
    <t>LA241.2</t>
  </si>
  <si>
    <t>PCIE_1_TXP</t>
  </si>
  <si>
    <t>D1_TC_M01_DP41_L29_TD01__PCIE_10_TSN_1_RXN</t>
  </si>
  <si>
    <t>AV30</t>
  </si>
  <si>
    <t>J1703.CS3</t>
  </si>
  <si>
    <t>J1703PIN017</t>
  </si>
  <si>
    <t>CA240.2</t>
  </si>
  <si>
    <t>LA280.1</t>
  </si>
  <si>
    <t>LA280.2</t>
  </si>
  <si>
    <t>L22_HSIO2/L26_HSIO4</t>
  </si>
  <si>
    <t>PCIE_10_TSN_1_RXN</t>
  </si>
  <si>
    <t>DP41</t>
  </si>
  <si>
    <t>L29</t>
  </si>
  <si>
    <t>D1_TC_M01_DP41_L30_TD01__PCIE_10_TSN_1_RXP</t>
  </si>
  <si>
    <t>AY30</t>
  </si>
  <si>
    <t>J1703.CS2</t>
  </si>
  <si>
    <t>J1703PIN019</t>
  </si>
  <si>
    <t>CA239.2</t>
  </si>
  <si>
    <t>LA278.1</t>
  </si>
  <si>
    <t>LA278.2</t>
  </si>
  <si>
    <t>PCIE_10_TSN_1_RXP</t>
  </si>
  <si>
    <t>L30</t>
  </si>
  <si>
    <t>D1_TC_M01_DP41_L29_TD01__PCIE_10_TSN_1_TXN</t>
  </si>
  <si>
    <t>BG30</t>
  </si>
  <si>
    <t>J1703.DS4</t>
  </si>
  <si>
    <t>J1703PIN016</t>
  </si>
  <si>
    <t>CA240.1</t>
  </si>
  <si>
    <t>LA279.1</t>
  </si>
  <si>
    <t>LA279.2</t>
  </si>
  <si>
    <t>PCIE_10_TSN_1_TXN</t>
  </si>
  <si>
    <t>D1_TC_M01_DP41_L30_TD01__PCIE_10_TSN_1_TXP</t>
  </si>
  <si>
    <t>BG31</t>
  </si>
  <si>
    <t>J1703.DS3</t>
  </si>
  <si>
    <t>J1703PIN018</t>
  </si>
  <si>
    <t>CA239.1</t>
  </si>
  <si>
    <t>LA277.1</t>
  </si>
  <si>
    <t>LA277.2</t>
  </si>
  <si>
    <t>PCIE_10_TSN_1_TXP</t>
  </si>
  <si>
    <t>D1_TC_M01_DP42_L31_TD01__PCIE_11_RXN</t>
  </si>
  <si>
    <t>AY33</t>
  </si>
  <si>
    <t>J1702.DS14</t>
  </si>
  <si>
    <t>J1702PIN042</t>
  </si>
  <si>
    <t>CA242.2</t>
  </si>
  <si>
    <t>LA284.1</t>
  </si>
  <si>
    <t>LA284.2</t>
  </si>
  <si>
    <t>L20_HSIO1/L24_HSIO3</t>
  </si>
  <si>
    <t>PCIE_11_RXN</t>
  </si>
  <si>
    <t>DP42</t>
  </si>
  <si>
    <t>L31</t>
  </si>
  <si>
    <t>D1_TC_M01_DP42_L32_TD01__PCIE_11_RXP</t>
  </si>
  <si>
    <t>BA33</t>
  </si>
  <si>
    <t>J1702.DS13</t>
  </si>
  <si>
    <t>J1702PIN044</t>
  </si>
  <si>
    <t>CA241.2</t>
  </si>
  <si>
    <t>LA282.1</t>
  </si>
  <si>
    <t>LA282.2</t>
  </si>
  <si>
    <t>PCIE_11_RXP</t>
  </si>
  <si>
    <t>L32</t>
  </si>
  <si>
    <t>D1_TC_M01_DP42_L31_TD01__PCIE_11_TXN</t>
  </si>
  <si>
    <t>BJ31</t>
  </si>
  <si>
    <t>J1601.DS10</t>
  </si>
  <si>
    <t>J1601PIN006</t>
  </si>
  <si>
    <t>CA242.1</t>
  </si>
  <si>
    <t>LA283.1</t>
  </si>
  <si>
    <t>LA283.2</t>
  </si>
  <si>
    <t>PCIE_11_TXN</t>
  </si>
  <si>
    <t>D1_TC_M01_DP42_L32_TD01__PCIE_11_TXP</t>
  </si>
  <si>
    <t>BJ32</t>
  </si>
  <si>
    <t>J1601.DS9</t>
  </si>
  <si>
    <t>J1601PIN008</t>
  </si>
  <si>
    <t>CA241.1</t>
  </si>
  <si>
    <t>LA281.1</t>
  </si>
  <si>
    <t>LA281.2</t>
  </si>
  <si>
    <t>PCIE_11_TXP</t>
  </si>
  <si>
    <t>D1_TC_M01_DP43_L33_TD01__PCIE_12_RXN</t>
  </si>
  <si>
    <t>AR33</t>
  </si>
  <si>
    <t>J1706.CS2</t>
  </si>
  <si>
    <t>J1706PIN019</t>
  </si>
  <si>
    <t>CA244.2</t>
  </si>
  <si>
    <t>LA288.1</t>
  </si>
  <si>
    <t>LA288.2</t>
  </si>
  <si>
    <t>L26_HSIO4/L28_HSIO5</t>
  </si>
  <si>
    <t>PCIE_12_RXN</t>
  </si>
  <si>
    <t>DP43</t>
  </si>
  <si>
    <t>L33</t>
  </si>
  <si>
    <t>D1_TC_M01_DP43_L34_TD01__PCIE_12_RXP</t>
  </si>
  <si>
    <t>AU33</t>
  </si>
  <si>
    <t>J1706.CS1</t>
  </si>
  <si>
    <t>J1706PIN021</t>
  </si>
  <si>
    <t>CA243.2</t>
  </si>
  <si>
    <t>LA286.1</t>
  </si>
  <si>
    <t>LA286.2</t>
  </si>
  <si>
    <t>PCIE_12_RXP</t>
  </si>
  <si>
    <t>L34</t>
  </si>
  <si>
    <t>D1_TC_M01_DP43_L33_TD01__PCIE_12_TXN</t>
  </si>
  <si>
    <t>BG33</t>
  </si>
  <si>
    <t>J1706.DS9</t>
  </si>
  <si>
    <t>J1706PIN008</t>
  </si>
  <si>
    <t>CA244.1</t>
  </si>
  <si>
    <t>LA287.1</t>
  </si>
  <si>
    <t>LA287.2</t>
  </si>
  <si>
    <t>PCIE_12_TXN</t>
  </si>
  <si>
    <t>D1_TC_M01_DP43_L34_TD01__PCIE_12_TXP</t>
  </si>
  <si>
    <t>BG34</t>
  </si>
  <si>
    <t>J1706.DS8</t>
  </si>
  <si>
    <t>J1706PIN010</t>
  </si>
  <si>
    <t>CA243.1</t>
  </si>
  <si>
    <t>LA285.1</t>
  </si>
  <si>
    <t>LA285.2</t>
  </si>
  <si>
    <t>PCIE_12_TXP</t>
  </si>
  <si>
    <t>D1_TC_M01_DP44_L35_TD01__PCIE_13_SATA_0_RXN</t>
  </si>
  <si>
    <t>BC36</t>
  </si>
  <si>
    <t>J1704.DS9</t>
  </si>
  <si>
    <t>J1704PIN096</t>
  </si>
  <si>
    <t>CA246.2</t>
  </si>
  <si>
    <t>LA292.1</t>
  </si>
  <si>
    <t>LA292.2</t>
  </si>
  <si>
    <t>PCIE_13_SATA_0_RXN</t>
  </si>
  <si>
    <t>DP44</t>
  </si>
  <si>
    <t>L35</t>
  </si>
  <si>
    <t>D1_TC_M01_DP44_L36_TD01__PCIE_13_SATA_0_RXP</t>
  </si>
  <si>
    <t>BD36</t>
  </si>
  <si>
    <t>J1704.DS8</t>
  </si>
  <si>
    <t>J1704PIN098</t>
  </si>
  <si>
    <t>CA245.2</t>
  </si>
  <si>
    <t>LA290.1</t>
  </si>
  <si>
    <t>LA290.2</t>
  </si>
  <si>
    <t>PCIE_13_SATA_0_RXP</t>
  </si>
  <si>
    <t>L36</t>
  </si>
  <si>
    <t>D1_TC_M01_DP44_L35_TD01__PCIE_13_SATA_0_TXN</t>
  </si>
  <si>
    <t>BJ34</t>
  </si>
  <si>
    <t>J1703.BS5</t>
  </si>
  <si>
    <t>J1703PIN029</t>
  </si>
  <si>
    <t>CA246.1</t>
  </si>
  <si>
    <t>LA291.1</t>
  </si>
  <si>
    <t>LA291.2</t>
  </si>
  <si>
    <t>L22_HSIO2/L24_HSIO3</t>
  </si>
  <si>
    <t>PCIE_13_SATA_0_TXN</t>
  </si>
  <si>
    <t>D1_TC_M01_DP44_L36_TD01__PCIE_13_SATA_0_TXP</t>
  </si>
  <si>
    <t>BJ35</t>
  </si>
  <si>
    <t>J1703.BS4</t>
  </si>
  <si>
    <t>J1703PIN027</t>
  </si>
  <si>
    <t>CA245.1</t>
  </si>
  <si>
    <t>LA289.1</t>
  </si>
  <si>
    <t>LA289.2</t>
  </si>
  <si>
    <t>PCIE_13_SATA_0_TXP</t>
  </si>
  <si>
    <t>D1_TC_M01_DP45_L37_TD01__PCIE_14_SATA_1_RXN</t>
  </si>
  <si>
    <t>AV36</t>
  </si>
  <si>
    <t>J1602.CS13</t>
  </si>
  <si>
    <t>J1602PIN043</t>
  </si>
  <si>
    <t>CA248.2</t>
  </si>
  <si>
    <t>LA296.1</t>
  </si>
  <si>
    <t>LA296.2</t>
  </si>
  <si>
    <t>PCIE_14_SATA_1_RXN</t>
  </si>
  <si>
    <t>DP45</t>
  </si>
  <si>
    <t>L37</t>
  </si>
  <si>
    <t>D1_TC_M01_DP45_L38_TD01__PCIE_14_SATA_1_RXP</t>
  </si>
  <si>
    <t>AY36</t>
  </si>
  <si>
    <t>J1602.CS14</t>
  </si>
  <si>
    <t>J1602PIN041</t>
  </si>
  <si>
    <t>CA247.2</t>
  </si>
  <si>
    <t>LA294.1</t>
  </si>
  <si>
    <t>LA294.2</t>
  </si>
  <si>
    <t>PCIE_14_SATA_1_RXP</t>
  </si>
  <si>
    <t>L38</t>
  </si>
  <si>
    <t>D1_TC_M01_DP45_L37_TD01__PCIE_14_SATA_1_TXN</t>
  </si>
  <si>
    <t>BG36</t>
  </si>
  <si>
    <t>J1602.DS11</t>
  </si>
  <si>
    <t>J1602PIN048</t>
  </si>
  <si>
    <t>CA248.1</t>
  </si>
  <si>
    <t>LA295.1</t>
  </si>
  <si>
    <t>LA295.2</t>
  </si>
  <si>
    <t>PCIE_14_SATA_1_TXN</t>
  </si>
  <si>
    <t>D1_TC_M01_DP45_L38_TD01__PCIE_14_SATA_1_TXP</t>
  </si>
  <si>
    <t>BG37</t>
  </si>
  <si>
    <t>J1602.CS11</t>
  </si>
  <si>
    <t>J1602PIN047</t>
  </si>
  <si>
    <t>CA247.1</t>
  </si>
  <si>
    <t>LA293.1</t>
  </si>
  <si>
    <t>LA293.2</t>
  </si>
  <si>
    <t>PCIE_14_SATA_1_TXP</t>
  </si>
  <si>
    <t>D1_TC_M01_DP46_L39_TD01__PCIE_15_SATA_2_LAN_0C_RXN</t>
  </si>
  <si>
    <t>AY39</t>
  </si>
  <si>
    <t>J1704.AS5</t>
  </si>
  <si>
    <t>J1704PIN118</t>
  </si>
  <si>
    <t>CA250.2</t>
  </si>
  <si>
    <t>LA300.1</t>
  </si>
  <si>
    <t>LA300.2</t>
  </si>
  <si>
    <t>PCIE_15_SATA_2_LAN_0C_RXN</t>
  </si>
  <si>
    <t>DP46</t>
  </si>
  <si>
    <t>L39</t>
  </si>
  <si>
    <t>D1_TC_M01_DP46_L40_TD01__PCIE_15_SATA_2_LAN_0C_RXP</t>
  </si>
  <si>
    <t>BA39</t>
  </si>
  <si>
    <t>J1704.AS4</t>
  </si>
  <si>
    <t>J1704PIN116</t>
  </si>
  <si>
    <t>CA249.2</t>
  </si>
  <si>
    <t>LA298.1</t>
  </si>
  <si>
    <t>LA298.2</t>
  </si>
  <si>
    <t>PCIE_15_SATA_2_LAN_0C_RXP</t>
  </si>
  <si>
    <t>L40</t>
  </si>
  <si>
    <t>D1_TC_M01_DP46_L39_TD01__PCIE_15_SATA_2_LAN_0C_TXN</t>
  </si>
  <si>
    <t>BJ37</t>
  </si>
  <si>
    <t>J1704.AS2</t>
  </si>
  <si>
    <t>J1704PIN112</t>
  </si>
  <si>
    <t>CA250.1</t>
  </si>
  <si>
    <t>LA299.1</t>
  </si>
  <si>
    <t>LA299.2</t>
  </si>
  <si>
    <t>PCIE_15_SATA_2_LAN_0C_TXN</t>
  </si>
  <si>
    <t>D1_TC_M01_DP46_L40_TD01__PCIE_15_SATA_2_LAN_0C_TXP</t>
  </si>
  <si>
    <t>BJ38</t>
  </si>
  <si>
    <t>J1704.AS3</t>
  </si>
  <si>
    <t>J1704PIN114</t>
  </si>
  <si>
    <t>CA249.1</t>
  </si>
  <si>
    <t>LA297.1</t>
  </si>
  <si>
    <t>LA297.2</t>
  </si>
  <si>
    <t>PCIE_15_SATA_2_LAN_0C_TXP</t>
  </si>
  <si>
    <t>D1_TC_M01_DP47_L41_TD01__PCIE_16_SATA_3_RXN</t>
  </si>
  <si>
    <t>AR39</t>
  </si>
  <si>
    <t>J1705.AS9</t>
  </si>
  <si>
    <t>J1705PIN082</t>
  </si>
  <si>
    <t>CA252.2</t>
  </si>
  <si>
    <t>LA304.1</t>
  </si>
  <si>
    <t>LA304.2</t>
  </si>
  <si>
    <t>PCIE_16_SATA_3_RXN</t>
  </si>
  <si>
    <t>DP47</t>
  </si>
  <si>
    <t>L41</t>
  </si>
  <si>
    <t>D1_TC_M01_DP47_L42_TD01__PCIE_16_SATA_3_RXP</t>
  </si>
  <si>
    <t>AU39</t>
  </si>
  <si>
    <t>J1705.AS8</t>
  </si>
  <si>
    <t>J1705PIN080</t>
  </si>
  <si>
    <t>CA251.2</t>
  </si>
  <si>
    <t>LA302.1</t>
  </si>
  <si>
    <t>LA302.2</t>
  </si>
  <si>
    <t>PCIE_16_SATA_3_RXP</t>
  </si>
  <si>
    <t>L42</t>
  </si>
  <si>
    <t>D1_TC_M01_DP47_L41_TD01__PCIE_16_SATA_3_TXN</t>
  </si>
  <si>
    <t>BG39</t>
  </si>
  <si>
    <t>J1601.DS14</t>
  </si>
  <si>
    <t>J1601PIN002</t>
  </si>
  <si>
    <t>CA252.1</t>
  </si>
  <si>
    <t>LA303.1</t>
  </si>
  <si>
    <t>LA303.2</t>
  </si>
  <si>
    <t>PCIE_16_SATA_3_TXN</t>
  </si>
  <si>
    <t>D1_TC_M01_DP47_L42_TD01__PCIE_16_SATA_3_TXP</t>
  </si>
  <si>
    <t>BG40</t>
  </si>
  <si>
    <t>J1601.CS14</t>
  </si>
  <si>
    <t>J1601PIN001</t>
  </si>
  <si>
    <t>CA251.1</t>
  </si>
  <si>
    <t>LA301.1</t>
  </si>
  <si>
    <t>LA301.2</t>
  </si>
  <si>
    <t>PCIE_16_SATA_3_TXP</t>
  </si>
  <si>
    <t>D1_TC_M01_DP48_L43_TD01__PCIE_17_SATA_4_RXN</t>
  </si>
  <si>
    <t>BC42</t>
  </si>
  <si>
    <t>J1705.DS4</t>
  </si>
  <si>
    <t>J1705PIN060</t>
  </si>
  <si>
    <t>CA254.2</t>
  </si>
  <si>
    <t>LA308.1</t>
  </si>
  <si>
    <t>LA308.2</t>
  </si>
  <si>
    <t>PCIE_17_SATA_4_RXN</t>
  </si>
  <si>
    <t>DP48</t>
  </si>
  <si>
    <t>L43</t>
  </si>
  <si>
    <t>D1_TC_M01_DP48_L44_TD01__PCIE_17_SATA_4_RXP</t>
  </si>
  <si>
    <t>BD42</t>
  </si>
  <si>
    <t>J1705.DS3</t>
  </si>
  <si>
    <t>J1705PIN062</t>
  </si>
  <si>
    <t>CA253.2</t>
  </si>
  <si>
    <t>LA306.1</t>
  </si>
  <si>
    <t>LA306.2</t>
  </si>
  <si>
    <t>PCIE_17_SATA_4_RXP</t>
  </si>
  <si>
    <t>L44</t>
  </si>
  <si>
    <t>D1_TC_M01_DP48_L43_TD01__PCIE_17_SATA_4_TXN</t>
  </si>
  <si>
    <t>BJ40</t>
  </si>
  <si>
    <t>J1707.DS12</t>
  </si>
  <si>
    <t>J1707PIN090</t>
  </si>
  <si>
    <t>CA254.1</t>
  </si>
  <si>
    <t>LA307.1</t>
  </si>
  <si>
    <t>LA307.2</t>
  </si>
  <si>
    <t>L26_HSIO4/L22_HSIO2</t>
  </si>
  <si>
    <t>PCIE_17_SATA_4_TXN</t>
  </si>
  <si>
    <t>D1_TC_M01_DP48_L44_TD01__PCIE_17_SATA_4_TXP</t>
  </si>
  <si>
    <t>BJ41</t>
  </si>
  <si>
    <t>J1707.DS11</t>
  </si>
  <si>
    <t>J1707PIN092</t>
  </si>
  <si>
    <t>CA253.1</t>
  </si>
  <si>
    <t>LA305.1</t>
  </si>
  <si>
    <t>LA305.2</t>
  </si>
  <si>
    <t>PCIE_17_SATA_4_TXP</t>
  </si>
  <si>
    <t>D1_TC_M01_DP49_L45_TD01__PCIE_18_SATA_5_RXN</t>
  </si>
  <si>
    <t>AV42</t>
  </si>
  <si>
    <t>J1704.DS3</t>
  </si>
  <si>
    <t>J1704PIN106</t>
  </si>
  <si>
    <t>CA256.2</t>
  </si>
  <si>
    <t>LA312.1</t>
  </si>
  <si>
    <t>LA312.2</t>
  </si>
  <si>
    <t>PCIE_18_SATA_5_RXN</t>
  </si>
  <si>
    <t>DP49</t>
  </si>
  <si>
    <t>L45</t>
  </si>
  <si>
    <t>D1_TC_M01_DP49_L46_TD01__PCIE_18_SATA_5_RXP</t>
  </si>
  <si>
    <t>AY42</t>
  </si>
  <si>
    <t>J1704.DS4</t>
  </si>
  <si>
    <t>J1704PIN104</t>
  </si>
  <si>
    <t>CA255.2</t>
  </si>
  <si>
    <t>LA310.1</t>
  </si>
  <si>
    <t>LA310.2</t>
  </si>
  <si>
    <t>PCIE_18_SATA_5_RXP</t>
  </si>
  <si>
    <t>L46</t>
  </si>
  <si>
    <t>D1_TC_M01_DP49_L45_TD01__PCIE_18_SATA_5_TXN</t>
  </si>
  <si>
    <t>BG41</t>
  </si>
  <si>
    <t>J1704.BS4</t>
  </si>
  <si>
    <t>J1704PIN115</t>
  </si>
  <si>
    <t>CA256.1</t>
  </si>
  <si>
    <t>LA311.1</t>
  </si>
  <si>
    <t>LA311.2</t>
  </si>
  <si>
    <t>PCIE_18_SATA_5_TXN</t>
  </si>
  <si>
    <t>D1_TC_M01_DP49_L46_TD01__PCIE_18_SATA_5_TXP</t>
  </si>
  <si>
    <t>BG42</t>
  </si>
  <si>
    <t>J1704.BS3</t>
  </si>
  <si>
    <t>J1704PIN113</t>
  </si>
  <si>
    <t>CA255.1</t>
  </si>
  <si>
    <t>LA309.1</t>
  </si>
  <si>
    <t>LA309.2</t>
  </si>
  <si>
    <t>PCIE_18_SATA_5_TXP</t>
  </si>
  <si>
    <t>D1_TC_M01_DP50_L47_TD01__PCIE_19_SATA_6_RXN</t>
  </si>
  <si>
    <t>AY44</t>
  </si>
  <si>
    <t>J1703.AS5</t>
  </si>
  <si>
    <t>J1703PIN030</t>
  </si>
  <si>
    <t>CA258.2</t>
  </si>
  <si>
    <t>LA316.1</t>
  </si>
  <si>
    <t>LA316.2</t>
  </si>
  <si>
    <t>PCIE_19_SATA_6_RXN</t>
  </si>
  <si>
    <t>DP50</t>
  </si>
  <si>
    <t>L47</t>
  </si>
  <si>
    <t>D1_TC_M01_DP50_L48_TD01__PCIE_19_SATA_6_RXP</t>
  </si>
  <si>
    <t>BA44</t>
  </si>
  <si>
    <t>J1703.AS4</t>
  </si>
  <si>
    <t>J1703PIN028</t>
  </si>
  <si>
    <t>CA257.2</t>
  </si>
  <si>
    <t>LA314.1</t>
  </si>
  <si>
    <t>LA314.2</t>
  </si>
  <si>
    <t>PCIE_19_SATA_6_RXP</t>
  </si>
  <si>
    <t>L48</t>
  </si>
  <si>
    <t>D1_TC_M01_DP50_L47_TD01__PCIE_19_SATA_6_TXN</t>
  </si>
  <si>
    <t>BJ43</t>
  </si>
  <si>
    <t>J1704.DS2</t>
  </si>
  <si>
    <t>J1704PIN108</t>
  </si>
  <si>
    <t>CA258.1</t>
  </si>
  <si>
    <t>LA315.1</t>
  </si>
  <si>
    <t>LA315.2</t>
  </si>
  <si>
    <t>L30_HSIO6/L24_HSIO3</t>
  </si>
  <si>
    <t>PCIE_19_SATA_6_TXN</t>
  </si>
  <si>
    <t>D1_TC_M01_DP50_L48_TD01__PCIE_19_SATA_6_TXP</t>
  </si>
  <si>
    <t>BJ44</t>
  </si>
  <si>
    <t>J1704.DS1</t>
  </si>
  <si>
    <t>J1704PIN110</t>
  </si>
  <si>
    <t>CA257.1</t>
  </si>
  <si>
    <t>LA313.1</t>
  </si>
  <si>
    <t>LA313.2</t>
  </si>
  <si>
    <t>PCIE_19_SATA_6_TXP</t>
  </si>
  <si>
    <t>D1_TC_M01_DP51_L13_TD01__PCIE_2_RXN</t>
  </si>
  <si>
    <t>AR19</t>
  </si>
  <si>
    <t>J1604.AS8</t>
  </si>
  <si>
    <t>J1604PIN036</t>
  </si>
  <si>
    <t>CA224.2</t>
  </si>
  <si>
    <t>LA248.1</t>
  </si>
  <si>
    <t>LA248.2</t>
  </si>
  <si>
    <t>PCIE_2_RXN</t>
  </si>
  <si>
    <t>DP51</t>
  </si>
  <si>
    <t>L13</t>
  </si>
  <si>
    <t>D1_TC_M01_DP51_L14_TD01__PCIE_2_RXP</t>
  </si>
  <si>
    <t>AU19</t>
  </si>
  <si>
    <t>J1604.AS7</t>
  </si>
  <si>
    <t>J1604PIN034</t>
  </si>
  <si>
    <t>CA223.2</t>
  </si>
  <si>
    <t>LA246.1</t>
  </si>
  <si>
    <t>LA246.2</t>
  </si>
  <si>
    <t>PCIE_2_RXP</t>
  </si>
  <si>
    <t>L14</t>
  </si>
  <si>
    <t>D1_TC_M01_DP51_L13_TD01__PCIE_2_TXN</t>
  </si>
  <si>
    <t>BG18</t>
  </si>
  <si>
    <t>J1702.DS12</t>
  </si>
  <si>
    <t>J1702PIN046</t>
  </si>
  <si>
    <t>CA224.1</t>
  </si>
  <si>
    <t>LA247.1</t>
  </si>
  <si>
    <t>LA247.2</t>
  </si>
  <si>
    <t>L26_HSIO4/L24_HSIO3</t>
  </si>
  <si>
    <t>PCIE_2_TXN</t>
  </si>
  <si>
    <t>D1_TC_M01_DP51_L14_TD01__PCIE_2_TXP</t>
  </si>
  <si>
    <t>BG19</t>
  </si>
  <si>
    <t>J1702.DS11</t>
  </si>
  <si>
    <t>J1702PIN048</t>
  </si>
  <si>
    <t>CA223.1</t>
  </si>
  <si>
    <t>LA245.1</t>
  </si>
  <si>
    <t>LA245.2</t>
  </si>
  <si>
    <t>PCIE_2_TXP</t>
  </si>
  <si>
    <t>D1_TC_M01_DP52_L49_TD01__PCIE_20_SATA_7_RXN</t>
  </si>
  <si>
    <t>AR44</t>
  </si>
  <si>
    <t>J1705.CS4</t>
  </si>
  <si>
    <t>J1705PIN059</t>
  </si>
  <si>
    <t>CA260.2</t>
  </si>
  <si>
    <t>LA320.1</t>
  </si>
  <si>
    <t>LA320.2</t>
  </si>
  <si>
    <t>PCIE_20_SATA_7_RXN</t>
  </si>
  <si>
    <t>DP52</t>
  </si>
  <si>
    <t>L49</t>
  </si>
  <si>
    <t>D1_TC_M01_DP52_L50_TD01__PCIE_20_SATA_7_RXP</t>
  </si>
  <si>
    <t>AU44</t>
  </si>
  <si>
    <t>J1705.CS3</t>
  </si>
  <si>
    <t>J1705PIN061</t>
  </si>
  <si>
    <t>CA259.2</t>
  </si>
  <si>
    <t>LA318.1</t>
  </si>
  <si>
    <t>LA318.2</t>
  </si>
  <si>
    <t>PCIE_20_SATA_7_RXP</t>
  </si>
  <si>
    <t>L50</t>
  </si>
  <si>
    <t>D1_TC_M01_DP52_L49_TD01__PCIE_20_SATA_7_TXN</t>
  </si>
  <si>
    <t>BG44</t>
  </si>
  <si>
    <t>J1707.BS9</t>
  </si>
  <si>
    <t>J1707PIN125</t>
  </si>
  <si>
    <t>CA260.1</t>
  </si>
  <si>
    <t>LA319.1</t>
  </si>
  <si>
    <t>LA319.2</t>
  </si>
  <si>
    <t>PCIE_20_SATA_7_TXN</t>
  </si>
  <si>
    <t>D1_TC_M01_DP52_L50_TD01__PCIE_20_SATA_7_TXP</t>
  </si>
  <si>
    <t>BG45</t>
  </si>
  <si>
    <t>J1707.BS8</t>
  </si>
  <si>
    <t>J1707PIN123</t>
  </si>
  <si>
    <t>CA259.1</t>
  </si>
  <si>
    <t>LA317.1</t>
  </si>
  <si>
    <t>LA317.2</t>
  </si>
  <si>
    <t>PCIE_20_SATA_7_TXP</t>
  </si>
  <si>
    <t>D1_TC_M01_DP53_L51_TD01__PCIE_21_RXN</t>
  </si>
  <si>
    <t>N31</t>
  </si>
  <si>
    <t>J1706.BS2</t>
  </si>
  <si>
    <t>J1706PIN023</t>
  </si>
  <si>
    <t>CA262.2</t>
  </si>
  <si>
    <t>LA324.1</t>
  </si>
  <si>
    <t>LA324.2</t>
  </si>
  <si>
    <t>PCIE_21_RXN</t>
  </si>
  <si>
    <t>DP53</t>
  </si>
  <si>
    <t>L51</t>
  </si>
  <si>
    <t>D1_TC_M01_DP53_L52_TD01__PCIE_21_RXP</t>
  </si>
  <si>
    <t>R31</t>
  </si>
  <si>
    <t>J1706.BS3</t>
  </si>
  <si>
    <t>J1706PIN025</t>
  </si>
  <si>
    <t>CA261.2</t>
  </si>
  <si>
    <t>LA322.1</t>
  </si>
  <si>
    <t>LA322.2</t>
  </si>
  <si>
    <t>PCIE_21_RXP</t>
  </si>
  <si>
    <t>L52</t>
  </si>
  <si>
    <t>D1_TC_M01_DP53_L51_TD01__PCIE_21_TXN</t>
  </si>
  <si>
    <t>A35</t>
  </si>
  <si>
    <t>J1707.CS4</t>
  </si>
  <si>
    <t>J1707PIN103</t>
  </si>
  <si>
    <t>CA262.1</t>
  </si>
  <si>
    <t>LA323.1</t>
  </si>
  <si>
    <t>LA323.2</t>
  </si>
  <si>
    <t>PCIE_21_TXN</t>
  </si>
  <si>
    <t>D1_TC_M01_DP53_L52_TD01__PCIE_21_TXP</t>
  </si>
  <si>
    <t>A34</t>
  </si>
  <si>
    <t>J1707.CS3</t>
  </si>
  <si>
    <t>J1707PIN105</t>
  </si>
  <si>
    <t>CA261.1</t>
  </si>
  <si>
    <t>LA321.1</t>
  </si>
  <si>
    <t>LA321.2</t>
  </si>
  <si>
    <t>PCIE_21_TXP</t>
  </si>
  <si>
    <t>D1_TC_M01_DP54_L53_TD01__PCIE_22_RXN</t>
  </si>
  <si>
    <t>J31</t>
  </si>
  <si>
    <t>J1707.BS6</t>
  </si>
  <si>
    <t>J1707PIN119</t>
  </si>
  <si>
    <t>CA264.2</t>
  </si>
  <si>
    <t>LA328.1</t>
  </si>
  <si>
    <t>LA328.2</t>
  </si>
  <si>
    <t>PCIE_22_RXN</t>
  </si>
  <si>
    <t>DP54</t>
  </si>
  <si>
    <t>L53</t>
  </si>
  <si>
    <t>D1_TC_M01_DP54_L54_TD01__PCIE_22_RXP</t>
  </si>
  <si>
    <t>K31</t>
  </si>
  <si>
    <t>J1707.BS7</t>
  </si>
  <si>
    <t>J1707PIN121</t>
  </si>
  <si>
    <t>CA263.2</t>
  </si>
  <si>
    <t>LA326.1</t>
  </si>
  <si>
    <t>LA326.2</t>
  </si>
  <si>
    <t>PCIE_22_RXP</t>
  </si>
  <si>
    <t>D1_TC_M01_DP54_L53_TD01__PCIE_22_TXN</t>
  </si>
  <si>
    <t>C37</t>
  </si>
  <si>
    <t>J1708.CS3</t>
  </si>
  <si>
    <t>J1708PIN061</t>
  </si>
  <si>
    <t>CA264.1</t>
  </si>
  <si>
    <t>LA327.1</t>
  </si>
  <si>
    <t>LA327.2</t>
  </si>
  <si>
    <t>L20_HSIO1/L28_HSIO5</t>
  </si>
  <si>
    <t>PCIE_22_TXN</t>
  </si>
  <si>
    <t>D1_TC_M01_DP54_L54_TD01__PCIE_22_TXP</t>
  </si>
  <si>
    <t>C36</t>
  </si>
  <si>
    <t>J1708.CS4</t>
  </si>
  <si>
    <t>J1708PIN059</t>
  </si>
  <si>
    <t>CA263.1</t>
  </si>
  <si>
    <t>LA325.1</t>
  </si>
  <si>
    <t>LA325.2</t>
  </si>
  <si>
    <t>PCIE_22_TXP</t>
  </si>
  <si>
    <t>D1_TC_M01_DP55_L55_TD01__PCIE_23_RXN</t>
  </si>
  <si>
    <t>K34</t>
  </si>
  <si>
    <t>J1707.BS5</t>
  </si>
  <si>
    <t>J1707PIN117</t>
  </si>
  <si>
    <t>CA266.2</t>
  </si>
  <si>
    <t>LA332.1</t>
  </si>
  <si>
    <t>LA332.2</t>
  </si>
  <si>
    <t>PCIE_23_RXN</t>
  </si>
  <si>
    <t>DP55</t>
  </si>
  <si>
    <t>D1_TC_M01_DP55_L56_TD01__PCIE_23_RXP</t>
  </si>
  <si>
    <t>M34</t>
  </si>
  <si>
    <t>J1707.BS4</t>
  </si>
  <si>
    <t>J1707PIN115</t>
  </si>
  <si>
    <t>CA265.2</t>
  </si>
  <si>
    <t>LA330.1</t>
  </si>
  <si>
    <t>LA330.2</t>
  </si>
  <si>
    <t>PCIE_23_RXP</t>
  </si>
  <si>
    <t>L56</t>
  </si>
  <si>
    <t>D1_TC_M01_DP55_L55_TD01__PCIE_23_TXN</t>
  </si>
  <si>
    <t>A38</t>
  </si>
  <si>
    <t>J1708.AS8</t>
  </si>
  <si>
    <t>J1708PIN080</t>
  </si>
  <si>
    <t>CA266.1</t>
  </si>
  <si>
    <t>LA331.1</t>
  </si>
  <si>
    <t>LA331.2</t>
  </si>
  <si>
    <t>PCIE_23_TXN</t>
  </si>
  <si>
    <t>D1_TC_M01_DP55_L56_TD01__PCIE_23_TXP</t>
  </si>
  <si>
    <t>A37</t>
  </si>
  <si>
    <t>J1708.AS7</t>
  </si>
  <si>
    <t>J1708PIN078</t>
  </si>
  <si>
    <t>CA265.1</t>
  </si>
  <si>
    <t>LA329.1</t>
  </si>
  <si>
    <t>LA329.2</t>
  </si>
  <si>
    <t>PCIE_23_TXP</t>
  </si>
  <si>
    <t>D1_TC_M01_DP56_L57_TD01__PCIE_24_RXN</t>
  </si>
  <si>
    <t>F34</t>
  </si>
  <si>
    <t>J1706.DS14</t>
  </si>
  <si>
    <t>J1706PIN002</t>
  </si>
  <si>
    <t>CA268.2</t>
  </si>
  <si>
    <t>LA336.1</t>
  </si>
  <si>
    <t>LA336.2</t>
  </si>
  <si>
    <t>L24_HSIO3/L20_HSIO1</t>
  </si>
  <si>
    <t>PCIE_24_RXN</t>
  </si>
  <si>
    <t>DP56</t>
  </si>
  <si>
    <t>L57</t>
  </si>
  <si>
    <t>D1_TC_M01_DP56_L58_TD01__PCIE_24_RXP</t>
  </si>
  <si>
    <t>G34</t>
  </si>
  <si>
    <t>J1706.DS13</t>
  </si>
  <si>
    <t>J1706PIN004</t>
  </si>
  <si>
    <t>CA267.2</t>
  </si>
  <si>
    <t>LA334.1</t>
  </si>
  <si>
    <t>LA334.2</t>
  </si>
  <si>
    <t>PCIE_24_RXP</t>
  </si>
  <si>
    <t>L58</t>
  </si>
  <si>
    <t>D1_TC_M01_DP56_L57_TD01__PCIE_24_TXN</t>
  </si>
  <si>
    <t>C40</t>
  </si>
  <si>
    <t>J1707.DS6</t>
  </si>
  <si>
    <t>J1707PIN102</t>
  </si>
  <si>
    <t>CA268.1</t>
  </si>
  <si>
    <t>LA335.1</t>
  </si>
  <si>
    <t>LA335.2</t>
  </si>
  <si>
    <t>PCIE_24_TXN</t>
  </si>
  <si>
    <t>D1_TC_M01_DP56_L58_TD01__PCIE_24_TXP</t>
  </si>
  <si>
    <t>C39</t>
  </si>
  <si>
    <t>J1707.DS7</t>
  </si>
  <si>
    <t>J1707PIN100</t>
  </si>
  <si>
    <t>CA267.1</t>
  </si>
  <si>
    <t>LA333.1</t>
  </si>
  <si>
    <t>LA333.2</t>
  </si>
  <si>
    <t>PCIE_24_TXP</t>
  </si>
  <si>
    <t>D1_TC_M01_DP57_L59_TD01__PCIE_3_LAN_0A_RXN</t>
  </si>
  <si>
    <t>AY22</t>
  </si>
  <si>
    <t>J1703.AS9</t>
  </si>
  <si>
    <t>J1703PIN038</t>
  </si>
  <si>
    <t>CA226.2</t>
  </si>
  <si>
    <t>LA252.1</t>
  </si>
  <si>
    <t>LA252.2</t>
  </si>
  <si>
    <t>PCIE_3_LAN_0A_RXN</t>
  </si>
  <si>
    <t>DP57</t>
  </si>
  <si>
    <t>L59</t>
  </si>
  <si>
    <t>D1_TC_M01_DP57_L60_TD01__PCIE_3_LAN_0A_RXP</t>
  </si>
  <si>
    <t>BA22</t>
  </si>
  <si>
    <t>J1703.AS8</t>
  </si>
  <si>
    <t>J1703PIN036</t>
  </si>
  <si>
    <t>CA225.2</t>
  </si>
  <si>
    <t>LA250.1</t>
  </si>
  <si>
    <t>LA250.2</t>
  </si>
  <si>
    <t>PCIE_3_LAN_0A_RXP</t>
  </si>
  <si>
    <t>L60</t>
  </si>
  <si>
    <t>D1_TC_M01_DP57_L59_TD01__PCIE_3_LAN_0A_TXN</t>
  </si>
  <si>
    <t>BJ20</t>
  </si>
  <si>
    <t>J1602.DS6</t>
  </si>
  <si>
    <t>J1602PIN058</t>
  </si>
  <si>
    <t>CA226.1</t>
  </si>
  <si>
    <t>LA251.1</t>
  </si>
  <si>
    <t>LA251.2</t>
  </si>
  <si>
    <t>PCIE_3_LAN_0A_TXN</t>
  </si>
  <si>
    <t>D1_TC_M01_DP57_L60_TD01__PCIE_3_LAN_0A_TXP</t>
  </si>
  <si>
    <t>BJ21</t>
  </si>
  <si>
    <t>J1602.DS7</t>
  </si>
  <si>
    <t>J1602PIN056</t>
  </si>
  <si>
    <t>CA225.1</t>
  </si>
  <si>
    <t>LA249.1</t>
  </si>
  <si>
    <t>LA249.2</t>
  </si>
  <si>
    <t>PCIE_3_LAN_0A_TXP</t>
  </si>
  <si>
    <t>D1_TC_M01_DP58_L61_TD01__PCIE_4_RXN</t>
  </si>
  <si>
    <t>AR22</t>
  </si>
  <si>
    <t>J1702.DS4</t>
  </si>
  <si>
    <t>J1702PIN060</t>
  </si>
  <si>
    <t>CA228.2</t>
  </si>
  <si>
    <t>LA256.1</t>
  </si>
  <si>
    <t>LA256.2</t>
  </si>
  <si>
    <t>PCIE_4_RXN</t>
  </si>
  <si>
    <t>DP58</t>
  </si>
  <si>
    <t>L61</t>
  </si>
  <si>
    <t>D1_TC_M01_DP58_L62_TD01__PCIE_4_RXP</t>
  </si>
  <si>
    <t>AU22</t>
  </si>
  <si>
    <t>J1702.DS3</t>
  </si>
  <si>
    <t>J1702PIN062</t>
  </si>
  <si>
    <t>CA227.2</t>
  </si>
  <si>
    <t>LA254.1</t>
  </si>
  <si>
    <t>LA254.2</t>
  </si>
  <si>
    <t>PCIE_4_RXP</t>
  </si>
  <si>
    <t>L62</t>
  </si>
  <si>
    <t>D1_TC_M01_DP58_L61_TD01__PCIE_4_TXN</t>
  </si>
  <si>
    <t>BG21</t>
  </si>
  <si>
    <t>J1604.DS14</t>
  </si>
  <si>
    <t>J1604PIN002</t>
  </si>
  <si>
    <t>CA228.1</t>
  </si>
  <si>
    <t>LA255.1</t>
  </si>
  <si>
    <t>LA255.2</t>
  </si>
  <si>
    <t>PCIE_4_TXN</t>
  </si>
  <si>
    <t>D1_TC_M01_DP58_L62_TD01__PCIE_4_TXP</t>
  </si>
  <si>
    <t>BG22</t>
  </si>
  <si>
    <t>J1604.CS14</t>
  </si>
  <si>
    <t>J1604PIN001</t>
  </si>
  <si>
    <t>CA227.1</t>
  </si>
  <si>
    <t>LA253.1</t>
  </si>
  <si>
    <t>LA253.2</t>
  </si>
  <si>
    <t>PCIE_4_TXP</t>
  </si>
  <si>
    <t>D1_TC_M01_DP59_L63_TD01__PCIE_5_RXN</t>
  </si>
  <si>
    <t>BC24</t>
  </si>
  <si>
    <t>J1702.CS2</t>
  </si>
  <si>
    <t>J1702PIN063</t>
  </si>
  <si>
    <t>CA230.2</t>
  </si>
  <si>
    <t>LA260.1</t>
  </si>
  <si>
    <t>LA260.2</t>
  </si>
  <si>
    <t>L24_HSIO3/L26_HSIO4</t>
  </si>
  <si>
    <t>PCIE_5_RXN</t>
  </si>
  <si>
    <t>DP59</t>
  </si>
  <si>
    <t>L63</t>
  </si>
  <si>
    <t>D1_TC_M01_DP59_L64_TD01__PCIE_5_RXP</t>
  </si>
  <si>
    <t>BD24</t>
  </si>
  <si>
    <t>J1702.CS1</t>
  </si>
  <si>
    <t>J1702PIN065</t>
  </si>
  <si>
    <t>CA229.2</t>
  </si>
  <si>
    <t>LA258.1</t>
  </si>
  <si>
    <t>LA258.2</t>
  </si>
  <si>
    <t>PCIE_5_RXP</t>
  </si>
  <si>
    <t>L64</t>
  </si>
  <si>
    <t>D1_TC_M01_DP59_L63_TD01__PCIE_5_TXN</t>
  </si>
  <si>
    <t>BJ23</t>
  </si>
  <si>
    <t>J1602.BS8</t>
  </si>
  <si>
    <t>J1602PIN079</t>
  </si>
  <si>
    <t>CA230.1</t>
  </si>
  <si>
    <t>LA259.1</t>
  </si>
  <si>
    <t>LA259.2</t>
  </si>
  <si>
    <t>PCIE_5_TXN</t>
  </si>
  <si>
    <t>D1_TC_M01_DP59_L64_TD01__PCIE_5_TXP</t>
  </si>
  <si>
    <t>BJ24</t>
  </si>
  <si>
    <t>J1602.BS7</t>
  </si>
  <si>
    <t>J1602PIN077</t>
  </si>
  <si>
    <t>CA229.1</t>
  </si>
  <si>
    <t>LA257.1</t>
  </si>
  <si>
    <t>LA257.2</t>
  </si>
  <si>
    <t>PCIE_5_TXP</t>
  </si>
  <si>
    <t>D1_TC_M01_DP60_L65_TD01__PCIE_6_RXN</t>
  </si>
  <si>
    <t>AV24</t>
  </si>
  <si>
    <t>J1704.DS10</t>
  </si>
  <si>
    <t>J1704PIN094</t>
  </si>
  <si>
    <t>CA232.2</t>
  </si>
  <si>
    <t>LA264.1</t>
  </si>
  <si>
    <t>LA264.2</t>
  </si>
  <si>
    <t>PCIE_6_RXN</t>
  </si>
  <si>
    <t>DP60</t>
  </si>
  <si>
    <t>L65</t>
  </si>
  <si>
    <t>D1_TC_M01_DP60_L66_TD01__PCIE_6_RXP</t>
  </si>
  <si>
    <t>AY24</t>
  </si>
  <si>
    <t>J1704.DS11</t>
  </si>
  <si>
    <t>J1704PIN092</t>
  </si>
  <si>
    <t>CA231.2</t>
  </si>
  <si>
    <t>LA262.1</t>
  </si>
  <si>
    <t>LA262.2</t>
  </si>
  <si>
    <t>PCIE_6_RXP</t>
  </si>
  <si>
    <t>L66</t>
  </si>
  <si>
    <t>D1_TC_M01_DP60_L65_TD01__PCIE_6_TXN</t>
  </si>
  <si>
    <t>BG24</t>
  </si>
  <si>
    <t>J1603.AS8</t>
  </si>
  <si>
    <t>J1603PIN124</t>
  </si>
  <si>
    <t>CA232.1</t>
  </si>
  <si>
    <t>LA263.1</t>
  </si>
  <si>
    <t>LA263.2</t>
  </si>
  <si>
    <t>PCIE_6_TXN</t>
  </si>
  <si>
    <t>D1_TC_M01_DP60_L66_TD01__PCIE_6_TXP</t>
  </si>
  <si>
    <t>BG25</t>
  </si>
  <si>
    <t>J1603.AS9</t>
  </si>
  <si>
    <t>J1603PIN126</t>
  </si>
  <si>
    <t>CA231.1</t>
  </si>
  <si>
    <t>LA261.1</t>
  </si>
  <si>
    <t>LA261.2</t>
  </si>
  <si>
    <t>PCIE_6_TXP</t>
  </si>
  <si>
    <t>D1_TC_M01_DP61_L15_TD01__PCIE_7_LAN_0B_RXN</t>
  </si>
  <si>
    <t>AY27</t>
  </si>
  <si>
    <t>J1704.CS4</t>
  </si>
  <si>
    <t>J1704PIN103</t>
  </si>
  <si>
    <t>CA234.2</t>
  </si>
  <si>
    <t>LA268.1</t>
  </si>
  <si>
    <t>LA268.2</t>
  </si>
  <si>
    <t>PCIE_7_LAN_0B_RXN</t>
  </si>
  <si>
    <t>DP61</t>
  </si>
  <si>
    <t>L15</t>
  </si>
  <si>
    <t>D1_TC_M01_DP61_L16_TD01__PCIE_7_LAN_0B_RXP</t>
  </si>
  <si>
    <t>BA27</t>
  </si>
  <si>
    <t>J1704.CS3</t>
  </si>
  <si>
    <t>J1704PIN105</t>
  </si>
  <si>
    <t>CA233.2</t>
  </si>
  <si>
    <t>LA266.1</t>
  </si>
  <si>
    <t>LA266.2</t>
  </si>
  <si>
    <t>PCIE_7_LAN_0B_RXP</t>
  </si>
  <si>
    <t>L16</t>
  </si>
  <si>
    <t>D1_TC_M01_DP61_L15_TD01__PCIE_7_LAN_0B_TXN</t>
  </si>
  <si>
    <t>BJ26</t>
  </si>
  <si>
    <t>J1604.CS9</t>
  </si>
  <si>
    <t>J1604PIN007</t>
  </si>
  <si>
    <t>CA234.1</t>
  </si>
  <si>
    <t>LA267.1</t>
  </si>
  <si>
    <t>LA267.2</t>
  </si>
  <si>
    <t>PCIE_7_LAN_0B_TXN</t>
  </si>
  <si>
    <t>D1_TC_M01_DP61_L16_TD01__PCIE_7_LAN_0B_TXP</t>
  </si>
  <si>
    <t>BJ27</t>
  </si>
  <si>
    <t>J1604.CS10</t>
  </si>
  <si>
    <t>J1604PIN005</t>
  </si>
  <si>
    <t>CA233.1</t>
  </si>
  <si>
    <t>LA265.1</t>
  </si>
  <si>
    <t>LA265.2</t>
  </si>
  <si>
    <t>PCIE_7_LAN_0B_TXP</t>
  </si>
  <si>
    <t>D1_TC_M01_DP62_L17_TD01__PCIE_8_RXN</t>
  </si>
  <si>
    <t>AR27</t>
  </si>
  <si>
    <t>J1603.CS9</t>
  </si>
  <si>
    <t>J1603PIN095</t>
  </si>
  <si>
    <t>CA236.2</t>
  </si>
  <si>
    <t>LA272.1</t>
  </si>
  <si>
    <t>LA272.2</t>
  </si>
  <si>
    <t>PCIE_8_RXN</t>
  </si>
  <si>
    <t>DP62</t>
  </si>
  <si>
    <t>L17</t>
  </si>
  <si>
    <t>D1_TC_M01_DP62_L18_TD01__PCIE_8_RXP</t>
  </si>
  <si>
    <t>AU27</t>
  </si>
  <si>
    <t>J1603.CS10</t>
  </si>
  <si>
    <t>J1603PIN093</t>
  </si>
  <si>
    <t>CA235.2</t>
  </si>
  <si>
    <t>LA270.1</t>
  </si>
  <si>
    <t>LA270.2</t>
  </si>
  <si>
    <t>PCIE_8_RXP</t>
  </si>
  <si>
    <t>L18</t>
  </si>
  <si>
    <t>D1_TC_M01_DP62_L17_TD01__PCIE_8_TXN</t>
  </si>
  <si>
    <t>BG27</t>
  </si>
  <si>
    <t>J1603.DS14</t>
  </si>
  <si>
    <t>J1603PIN086</t>
  </si>
  <si>
    <t>CA236.1</t>
  </si>
  <si>
    <t>LA271.1</t>
  </si>
  <si>
    <t>LA271.2</t>
  </si>
  <si>
    <t>PCIE_8_TXN</t>
  </si>
  <si>
    <t>D1_TC_M01_DP62_L18_TD01__PCIE_8_TXP</t>
  </si>
  <si>
    <t>BG28</t>
  </si>
  <si>
    <t>J1603.CS14</t>
  </si>
  <si>
    <t>J1603PIN085</t>
  </si>
  <si>
    <t>CA235.1</t>
  </si>
  <si>
    <t>LA269.1</t>
  </si>
  <si>
    <t>LA269.2</t>
  </si>
  <si>
    <t>PCIE_8_TXP</t>
  </si>
  <si>
    <t>D1_TC_M01_DP63_L19_TD01__PCIE_9_TSN_0_RXN</t>
  </si>
  <si>
    <t>BC30</t>
  </si>
  <si>
    <t>J1705.DS9</t>
  </si>
  <si>
    <t>J1705PIN052</t>
  </si>
  <si>
    <t>CA238.2</t>
  </si>
  <si>
    <t>LA276.1</t>
  </si>
  <si>
    <t>LA276.2</t>
  </si>
  <si>
    <t>PCIE_9_TSN_0_RXN</t>
  </si>
  <si>
    <t>DP63</t>
  </si>
  <si>
    <t>L19</t>
  </si>
  <si>
    <t>D1_TC_M01_DP63_L20_TD01__PCIE_9_TSN_0_RXP</t>
  </si>
  <si>
    <t>BD30</t>
  </si>
  <si>
    <t>J1705.DS8</t>
  </si>
  <si>
    <t>J1705PIN054</t>
  </si>
  <si>
    <t>CA237.2</t>
  </si>
  <si>
    <t>LA274.1</t>
  </si>
  <si>
    <t>LA274.2</t>
  </si>
  <si>
    <t>PCIE_9_TSN_0_RXP</t>
  </si>
  <si>
    <t>L20</t>
  </si>
  <si>
    <t>D1_TC_M01_DP63_L19_TD01__PCIE_9_TSN_0_TXN</t>
  </si>
  <si>
    <t>BJ28</t>
  </si>
  <si>
    <t>J1704.AS9</t>
  </si>
  <si>
    <t>J1704PIN126</t>
  </si>
  <si>
    <t>CA238.1</t>
  </si>
  <si>
    <t>LA275.1</t>
  </si>
  <si>
    <t>LA275.2</t>
  </si>
  <si>
    <t>PCIE_9_TSN_0_TXN</t>
  </si>
  <si>
    <t>D1_TC_M01_DP63_L20_TD01__PCIE_9_TSN_0_TXP</t>
  </si>
  <si>
    <t>BJ30</t>
  </si>
  <si>
    <t>J1704.AS8</t>
  </si>
  <si>
    <t>J1704PIN124</t>
  </si>
  <si>
    <t>CA237.1</t>
  </si>
  <si>
    <t>LA273.1</t>
  </si>
  <si>
    <t>LA273.2</t>
  </si>
  <si>
    <t>PCIE_9_TSN_0_TXP</t>
  </si>
  <si>
    <t>D1_TC_M01_DP64_TD01_TP__PCIE_EXTREFCLKN</t>
  </si>
  <si>
    <t>AP30</t>
  </si>
  <si>
    <t>J1701.DS12</t>
  </si>
  <si>
    <t>J1701PIN090</t>
  </si>
  <si>
    <t>TPA602.1</t>
  </si>
  <si>
    <t>PCIE_EXTREFCLKN</t>
  </si>
  <si>
    <t>DP64</t>
  </si>
  <si>
    <t>16G / 8G</t>
  </si>
  <si>
    <t>D1_TC_M01_DP64_TD01_TP__PCIE_EXTREFCLKP</t>
  </si>
  <si>
    <t>AR30</t>
  </si>
  <si>
    <t>J1701.DS11</t>
  </si>
  <si>
    <t>J1701PIN092</t>
  </si>
  <si>
    <t>TPA601.1</t>
  </si>
  <si>
    <t>PCIE_EXTREFCLKP</t>
  </si>
  <si>
    <t>D1_Z__PCIE_RCOMP2</t>
  </si>
  <si>
    <t>BG5</t>
  </si>
  <si>
    <t>RA137.2</t>
  </si>
  <si>
    <t>PCIE_RCOMP2</t>
  </si>
  <si>
    <t>D1_Z__PCIE_RCOMP5</t>
  </si>
  <si>
    <t>BH6</t>
  </si>
  <si>
    <t>RA136.2</t>
  </si>
  <si>
    <t>PCIE_RCOMP5</t>
  </si>
  <si>
    <t>D1_TC_TD01__PM_SPARE0</t>
  </si>
  <si>
    <t>AL3</t>
  </si>
  <si>
    <t>J1606.CS7</t>
  </si>
  <si>
    <t>J1606PIN099</t>
  </si>
  <si>
    <t>PM_SPARE0</t>
  </si>
  <si>
    <t>D1_TC_TD01__PM_SPARE1</t>
  </si>
  <si>
    <t>AM3</t>
  </si>
  <si>
    <t>J1603.DS13</t>
  </si>
  <si>
    <t>J1603PIN088</t>
  </si>
  <si>
    <t>PM_SPARE1</t>
  </si>
  <si>
    <t>J1313_R1PS</t>
  </si>
  <si>
    <t>ZZZ4</t>
  </si>
  <si>
    <t>J1607.AS14</t>
  </si>
  <si>
    <t>J1607PIN040</t>
  </si>
  <si>
    <t>PPF</t>
  </si>
  <si>
    <t>Tester Channel Required for Power Following. Please refer to "Thermal_PF" Tab</t>
  </si>
  <si>
    <t>D1_TC_M03_TD01__PRDYB</t>
  </si>
  <si>
    <t>AF9</t>
  </si>
  <si>
    <t>J1605.AS14</t>
  </si>
  <si>
    <t>J1605PIN084</t>
  </si>
  <si>
    <t>RA521.1</t>
  </si>
  <si>
    <t>PRDYB</t>
  </si>
  <si>
    <t>D1_TC_M03_TD01__PREQB</t>
  </si>
  <si>
    <t>AF7</t>
  </si>
  <si>
    <t>J1606.AS14</t>
  </si>
  <si>
    <t>J1606PIN128</t>
  </si>
  <si>
    <t>RA522.1</t>
  </si>
  <si>
    <t>PREQB</t>
  </si>
  <si>
    <t>D1_TC_TD01__PWRBTNB_OUT</t>
  </si>
  <si>
    <t>H53</t>
  </si>
  <si>
    <t>J1709.AS9</t>
  </si>
  <si>
    <t>J1709PIN038</t>
  </si>
  <si>
    <t>PWRBTNB_OUT</t>
  </si>
  <si>
    <t>D1_TC_TD01__RESET_SYNCB</t>
  </si>
  <si>
    <t>AN4</t>
  </si>
  <si>
    <t>J1603.CS11</t>
  </si>
  <si>
    <t>J1603PIN091</t>
  </si>
  <si>
    <t>RESET_SYNCB</t>
  </si>
  <si>
    <t>D1_TC_TD01__RSMRSTB</t>
  </si>
  <si>
    <t>AF6</t>
  </si>
  <si>
    <t>J1604.BS2</t>
  </si>
  <si>
    <t>J1604PIN023</t>
  </si>
  <si>
    <t>RSMRSTB</t>
  </si>
  <si>
    <t>D1_TC_M06_TD02__RTCX1</t>
  </si>
  <si>
    <t>BB5</t>
  </si>
  <si>
    <t>J1608.DS2</t>
  </si>
  <si>
    <t>J1608PIN064</t>
  </si>
  <si>
    <t>KA101.3</t>
  </si>
  <si>
    <t>RTCX1</t>
  </si>
  <si>
    <t>M06</t>
  </si>
  <si>
    <t>Refer to "XTAL" Tab.</t>
  </si>
  <si>
    <t>D1_TC_M06_TD02__RTCX2</t>
  </si>
  <si>
    <t>BC4</t>
  </si>
  <si>
    <t>J1608.BS4</t>
  </si>
  <si>
    <t>J1608PIN071</t>
  </si>
  <si>
    <t>RA109.2</t>
  </si>
  <si>
    <t>RTCX2</t>
  </si>
  <si>
    <t>D1_TC_TD01__RTESTB</t>
  </si>
  <si>
    <t>AY3</t>
  </si>
  <si>
    <t>J1604.CS6</t>
  </si>
  <si>
    <t>J1604PIN013</t>
  </si>
  <si>
    <t>RTESTB</t>
  </si>
  <si>
    <t>D1_TC_TD02__SCOPE_SYNC_CD</t>
  </si>
  <si>
    <t>ZZZ3</t>
  </si>
  <si>
    <t>J1609.DS4</t>
  </si>
  <si>
    <t>J1609PIN104</t>
  </si>
  <si>
    <t>SMAA3.1</t>
  </si>
  <si>
    <t>SCOPE SYNC CD</t>
  </si>
  <si>
    <t>Tester Channel Required for Debug Sync. Please refer to "Sync" Tab</t>
  </si>
  <si>
    <t>D1_TC_TD01_SCOPETRIGGER_BCK</t>
  </si>
  <si>
    <t>ZZZ6</t>
  </si>
  <si>
    <t>J1709.AS6</t>
  </si>
  <si>
    <t>J1709PIN032</t>
  </si>
  <si>
    <t>SMAA4.1</t>
  </si>
  <si>
    <t>SCOPETRIGGER</t>
  </si>
  <si>
    <t>Tester Channel Required for Sync. Please refer to "Sync" Tab</t>
  </si>
  <si>
    <t>D1_TC_TD01__SLP_LANB</t>
  </si>
  <si>
    <t>AJ2</t>
  </si>
  <si>
    <t>J1603.CS12</t>
  </si>
  <si>
    <t>J1603PIN089</t>
  </si>
  <si>
    <t>SLP_LANB</t>
  </si>
  <si>
    <t>D1_TC_TD01__SLP_SUSB</t>
  </si>
  <si>
    <t>AJ4</t>
  </si>
  <si>
    <t>J1703.DS7</t>
  </si>
  <si>
    <t>J1703PIN012</t>
  </si>
  <si>
    <t>SLP_SUSB</t>
  </si>
  <si>
    <t>D1_Z__SNDW_RCOMP</t>
  </si>
  <si>
    <t>BD55</t>
  </si>
  <si>
    <t>RA131.2</t>
  </si>
  <si>
    <t>SNDW_RCOMP</t>
  </si>
  <si>
    <t>D1_TC_TD01__SPI0_CLK</t>
  </si>
  <si>
    <t>AF51</t>
  </si>
  <si>
    <t>J1708.BS2</t>
  </si>
  <si>
    <t>J1708PIN067</t>
  </si>
  <si>
    <t>SPI0_CLK</t>
  </si>
  <si>
    <t>D1_TC_TD01__SPI0_FLASH_0_CSB</t>
  </si>
  <si>
    <t>AF52</t>
  </si>
  <si>
    <t>J1707.DS10</t>
  </si>
  <si>
    <t>J1707PIN094</t>
  </si>
  <si>
    <t>SPI0_FLASH_0_CSB</t>
  </si>
  <si>
    <t>D1_TC_TD01__SPI0_FLASH_1_CSB</t>
  </si>
  <si>
    <t>AH44</t>
  </si>
  <si>
    <t>J1704.AS7</t>
  </si>
  <si>
    <t>J1704PIN122</t>
  </si>
  <si>
    <t>SPI0_FLASH_1_CSB</t>
  </si>
  <si>
    <t>D1_TC_TD01__SPI0_IO_2</t>
  </si>
  <si>
    <t>AK49</t>
  </si>
  <si>
    <t>J1708.CS10</t>
  </si>
  <si>
    <t>J1708PIN049</t>
  </si>
  <si>
    <t>SPI0_IO_2</t>
  </si>
  <si>
    <t>D1_TC_TD01__SPI0_IO_3</t>
  </si>
  <si>
    <t>AJ48</t>
  </si>
  <si>
    <t>J1703.BS2</t>
  </si>
  <si>
    <t>J1703PIN023</t>
  </si>
  <si>
    <t>SPI0_IO_3</t>
  </si>
  <si>
    <t>D1_TC_TD01__SPI0_MISO_IO_1</t>
  </si>
  <si>
    <t>AK44</t>
  </si>
  <si>
    <t>J1603.CS6</t>
  </si>
  <si>
    <t>J1603PIN101</t>
  </si>
  <si>
    <t>SPI0_MISO_IO_1</t>
  </si>
  <si>
    <t>D1_TC_TD01__SPI0_MOSI_IO_0</t>
  </si>
  <si>
    <t>AK45</t>
  </si>
  <si>
    <t>J1701.BS14</t>
  </si>
  <si>
    <t>J1701PIN127</t>
  </si>
  <si>
    <t>SPI0_MOSI_IO_0</t>
  </si>
  <si>
    <t>D1_TC_TD01__SPI0_TPM_CSB</t>
  </si>
  <si>
    <t>AF49</t>
  </si>
  <si>
    <t>J1708.BS3</t>
  </si>
  <si>
    <t>J1708PIN069</t>
  </si>
  <si>
    <t>SPI0_TPM_CSB</t>
  </si>
  <si>
    <t>D1_TC_TD01__SRTCRSTB</t>
  </si>
  <si>
    <t>AF10</t>
  </si>
  <si>
    <t>J1602.AS9</t>
  </si>
  <si>
    <t>J1602PIN082</t>
  </si>
  <si>
    <t>SRTCRSTB</t>
  </si>
  <si>
    <t>ZZZ2</t>
  </si>
  <si>
    <t>J1606.BS14</t>
  </si>
  <si>
    <t>J1606PIN127</t>
  </si>
  <si>
    <t>Sync 1</t>
  </si>
  <si>
    <t>D1_TC_TD01__SYS_RESETB</t>
  </si>
  <si>
    <t>AF48</t>
  </si>
  <si>
    <t>J1701.DS8</t>
  </si>
  <si>
    <t>J1701PIN098</t>
  </si>
  <si>
    <t>SYS_RESETB</t>
  </si>
  <si>
    <t>D1_TC_TD01__TD_ANODE</t>
  </si>
  <si>
    <t>T34</t>
  </si>
  <si>
    <t>J1705.AS7</t>
  </si>
  <si>
    <t>J1705PIN078</t>
  </si>
  <si>
    <t>RA31.1</t>
  </si>
  <si>
    <t>RA32.1</t>
  </si>
  <si>
    <t>RA35.1</t>
  </si>
  <si>
    <t>RA36.1</t>
  </si>
  <si>
    <t>RA31.2</t>
  </si>
  <si>
    <t>TD_ANODE</t>
  </si>
  <si>
    <t>Thermal Diode - Refer to "Thermal" tab. TC with TCI connection, traces should be GND shielded</t>
  </si>
  <si>
    <t>D1_TC_TD01__TD_CATHODE</t>
  </si>
  <si>
    <t>R34</t>
  </si>
  <si>
    <t>J1705.BS6</t>
  </si>
  <si>
    <t>J1705PIN075</t>
  </si>
  <si>
    <t>RA33.1</t>
  </si>
  <si>
    <t>RA34.1</t>
  </si>
  <si>
    <t>RA37.1</t>
  </si>
  <si>
    <t>RA38.1</t>
  </si>
  <si>
    <t>RA33.2</t>
  </si>
  <si>
    <t>TD_CATHODE</t>
  </si>
  <si>
    <t>D1_TC_TD01__TEST_OUT_TS</t>
  </si>
  <si>
    <t>V39</t>
  </si>
  <si>
    <t>J1601.AS14</t>
  </si>
  <si>
    <t>J1601PIN040</t>
  </si>
  <si>
    <t>TEST_OUT_TS</t>
  </si>
  <si>
    <t>D1_TC_TD01__TRIGGER_IN</t>
  </si>
  <si>
    <t>AH3</t>
  </si>
  <si>
    <t>J1606.DS9</t>
  </si>
  <si>
    <t>J1606PIN096</t>
  </si>
  <si>
    <t>TRIGGER_IN</t>
  </si>
  <si>
    <t>Tester Channel Only</t>
  </si>
  <si>
    <t>D1_TC_TD01__TRIGGER_OUT</t>
  </si>
  <si>
    <t>AF3</t>
  </si>
  <si>
    <t>J1606.AS8</t>
  </si>
  <si>
    <t>J1606PIN124</t>
  </si>
  <si>
    <t>TRIGGER_OUT</t>
  </si>
  <si>
    <t>D1_TC_DP91_TD01_TP__TSN_EXTREFCLKN</t>
  </si>
  <si>
    <t>AP24</t>
  </si>
  <si>
    <t>J1701.DS14</t>
  </si>
  <si>
    <t>J1701PIN086</t>
  </si>
  <si>
    <t>TPA605.1</t>
  </si>
  <si>
    <t>TSN_EXTREFCLKN</t>
  </si>
  <si>
    <t>DP91</t>
  </si>
  <si>
    <t>D1_TC_DP91_TD01_TP__TSN_EXTREFCLKP</t>
  </si>
  <si>
    <t>AR24</t>
  </si>
  <si>
    <t>J1701.DS13</t>
  </si>
  <si>
    <t>J1701PIN088</t>
  </si>
  <si>
    <t>TPA606.1</t>
  </si>
  <si>
    <t>TSN_EXTREFCLKP</t>
  </si>
  <si>
    <t>D1_TC_TD01__USB2_ID_1_7</t>
  </si>
  <si>
    <t>C8</t>
  </si>
  <si>
    <t>J1601.DS1</t>
  </si>
  <si>
    <t>J1601PIN022</t>
  </si>
  <si>
    <t>USB2_ID_1_7</t>
  </si>
  <si>
    <t>D1_TC_TD01__USB2_ID_8_14</t>
  </si>
  <si>
    <t>D8</t>
  </si>
  <si>
    <t>J1601.CS1</t>
  </si>
  <si>
    <t>J1601PIN021</t>
  </si>
  <si>
    <t>USB2_ID_8_14</t>
  </si>
  <si>
    <t>D1_Z__USB2_RCOMP1</t>
  </si>
  <si>
    <t>F7</t>
  </si>
  <si>
    <t>RA133.2</t>
  </si>
  <si>
    <t>USB2_RCOMP1</t>
  </si>
  <si>
    <t>RCOMP_Group_5</t>
  </si>
  <si>
    <t>D1_Z__USB2_RCOMP2</t>
  </si>
  <si>
    <t>E7</t>
  </si>
  <si>
    <t>RA132.2</t>
  </si>
  <si>
    <t>USB2_RCOMP2</t>
  </si>
  <si>
    <t>RCOMP_Group_6</t>
  </si>
  <si>
    <t>D1_TC_M14_DP65_TD01__USB2N_1</t>
  </si>
  <si>
    <t>D16</t>
  </si>
  <si>
    <t>J1606.DS1</t>
  </si>
  <si>
    <t>J1606PIN110</t>
  </si>
  <si>
    <t>USB2N_1</t>
  </si>
  <si>
    <t>DP65</t>
  </si>
  <si>
    <t>Match across all USB2 lanes</t>
  </si>
  <si>
    <t>480Mbps = 240MHz</t>
  </si>
  <si>
    <t>D1_TC_M14_DP66_TD01__USB2N_10</t>
  </si>
  <si>
    <t>J14</t>
  </si>
  <si>
    <t>J1605.AS6</t>
  </si>
  <si>
    <t>J1605PIN076</t>
  </si>
  <si>
    <t>USB2N_10</t>
  </si>
  <si>
    <t>DP66</t>
  </si>
  <si>
    <t>D1_TC_M14_DP67_TD01__USB2N_11</t>
  </si>
  <si>
    <t>H13</t>
  </si>
  <si>
    <t>J1605.BS6</t>
  </si>
  <si>
    <t>J1605PIN075</t>
  </si>
  <si>
    <t>USB2N_11</t>
  </si>
  <si>
    <t>DP67</t>
  </si>
  <si>
    <t>D1_TC_M14_DP68_TD01__USB2N_12</t>
  </si>
  <si>
    <t>G10</t>
  </si>
  <si>
    <t>J1604.DS7</t>
  </si>
  <si>
    <t>J1604PIN012</t>
  </si>
  <si>
    <t>USB2N_12</t>
  </si>
  <si>
    <t>DP68</t>
  </si>
  <si>
    <t>D1_TC_M14_DP69_TD01__USB2N_13</t>
  </si>
  <si>
    <t>E10</t>
  </si>
  <si>
    <t>J1605.DS10</t>
  </si>
  <si>
    <t>J1605PIN050</t>
  </si>
  <si>
    <t>USB2N_13</t>
  </si>
  <si>
    <t>DP69</t>
  </si>
  <si>
    <t>D1_TC_M14_DP70_TD01__USB2N_14</t>
  </si>
  <si>
    <t>M12</t>
  </si>
  <si>
    <t>J1605.BS2</t>
  </si>
  <si>
    <t>J1605PIN067</t>
  </si>
  <si>
    <t>USB2N_14</t>
  </si>
  <si>
    <t>DP70</t>
  </si>
  <si>
    <t>D1_TC_M14_DP71_TD01__USB2N_2</t>
  </si>
  <si>
    <t>E15</t>
  </si>
  <si>
    <t>J1606.DS6</t>
  </si>
  <si>
    <t>J1606PIN102</t>
  </si>
  <si>
    <t>USB2N_2</t>
  </si>
  <si>
    <t>DP71</t>
  </si>
  <si>
    <t>D1_TC_M14_DP72_TD01__USB2N_3</t>
  </si>
  <si>
    <t>D14</t>
  </si>
  <si>
    <t>J1606.AS3</t>
  </si>
  <si>
    <t>J1606PIN114</t>
  </si>
  <si>
    <t>USB2N_3</t>
  </si>
  <si>
    <t>DP72</t>
  </si>
  <si>
    <t>D1_TC_M14_DP73_TD01__USB2N_4</t>
  </si>
  <si>
    <t>C13</t>
  </si>
  <si>
    <t>J1606.CS1</t>
  </si>
  <si>
    <t>J1606PIN109</t>
  </si>
  <si>
    <t>USB2N_4</t>
  </si>
  <si>
    <t>DP73</t>
  </si>
  <si>
    <t>D1_TC_M14_DP74_TD01__USB2N_5</t>
  </si>
  <si>
    <t>E11</t>
  </si>
  <si>
    <t>J1605.DS7</t>
  </si>
  <si>
    <t>J1605PIN056</t>
  </si>
  <si>
    <t>USB2N_5</t>
  </si>
  <si>
    <t>DP74</t>
  </si>
  <si>
    <t>D1_TC_M14_DP75_TD01__USB2N_6</t>
  </si>
  <si>
    <t>D11</t>
  </si>
  <si>
    <t>J1606.BS6</t>
  </si>
  <si>
    <t>J1606PIN119</t>
  </si>
  <si>
    <t>USB2N_6</t>
  </si>
  <si>
    <t>DP75</t>
  </si>
  <si>
    <t>D1_TC_M14_DP76_TD01__USB2N_7</t>
  </si>
  <si>
    <t>E5</t>
  </si>
  <si>
    <t>J1605.AS2</t>
  </si>
  <si>
    <t>J1605PIN068</t>
  </si>
  <si>
    <t>USB2N_7</t>
  </si>
  <si>
    <t>DP76</t>
  </si>
  <si>
    <t>D1_TC_M14_DP77_TD01__USB2N_8</t>
  </si>
  <si>
    <t>D9</t>
  </si>
  <si>
    <t>J1605.DS1</t>
  </si>
  <si>
    <t>J1605PIN066</t>
  </si>
  <si>
    <t>USB2N_8</t>
  </si>
  <si>
    <t>DP77</t>
  </si>
  <si>
    <t>D1_TC_M14_DP78_TD01__USB2N_9</t>
  </si>
  <si>
    <t>H15</t>
  </si>
  <si>
    <t>J1605.DS4</t>
  </si>
  <si>
    <t>J1605PIN060</t>
  </si>
  <si>
    <t>USB2N_9</t>
  </si>
  <si>
    <t>DP78</t>
  </si>
  <si>
    <t>D1_TC_M14_DP65_TD01__USB2P_1</t>
  </si>
  <si>
    <t>C16</t>
  </si>
  <si>
    <t>J1606.DS2</t>
  </si>
  <si>
    <t>J1606PIN108</t>
  </si>
  <si>
    <t>USB2P_1</t>
  </si>
  <si>
    <t>D1_TC_M14_DP66_TD01__USB2P_10</t>
  </si>
  <si>
    <t>J1605.AS7</t>
  </si>
  <si>
    <t>J1605PIN078</t>
  </si>
  <si>
    <t>USB2P_10</t>
  </si>
  <si>
    <t>D1_TC_M14_DP67_TD01__USB2P_11</t>
  </si>
  <si>
    <t>G12</t>
  </si>
  <si>
    <t>J1605.BS7</t>
  </si>
  <si>
    <t>J1605PIN077</t>
  </si>
  <si>
    <t>USB2P_11</t>
  </si>
  <si>
    <t>D1_TC_M14_DP68_TD01__USB2P_12</t>
  </si>
  <si>
    <t>H10</t>
  </si>
  <si>
    <t>J1604.DS6</t>
  </si>
  <si>
    <t>J1604PIN014</t>
  </si>
  <si>
    <t>USB2P_12</t>
  </si>
  <si>
    <t>D1_TC_M14_DP69_TD01__USB2P_13</t>
  </si>
  <si>
    <t>D10</t>
  </si>
  <si>
    <t>J1605.DS11</t>
  </si>
  <si>
    <t>J1605PIN048</t>
  </si>
  <si>
    <t>USB2P_13</t>
  </si>
  <si>
    <t>D1_TC_M14_DP70_TD01__USB2P_14</t>
  </si>
  <si>
    <t>J1605.BS3</t>
  </si>
  <si>
    <t>J1605PIN069</t>
  </si>
  <si>
    <t>USB2P_14</t>
  </si>
  <si>
    <t>D1_TC_M14_DP71_TD01__USB2P_2</t>
  </si>
  <si>
    <t>D15</t>
  </si>
  <si>
    <t>J1606.DS7</t>
  </si>
  <si>
    <t>J1606PIN100</t>
  </si>
  <si>
    <t>USB2P_2</t>
  </si>
  <si>
    <t>D1_TC_M14_DP72_TD01__USB2P_3</t>
  </si>
  <si>
    <t>C14</t>
  </si>
  <si>
    <t>J1606.AS2</t>
  </si>
  <si>
    <t>J1606PIN112</t>
  </si>
  <si>
    <t>USB2P_3</t>
  </si>
  <si>
    <t>D1_TC_M14_DP73_TD01__USB2P_4</t>
  </si>
  <si>
    <t>D13</t>
  </si>
  <si>
    <t>J1606.CS2</t>
  </si>
  <si>
    <t>J1606PIN107</t>
  </si>
  <si>
    <t>USB2P_4</t>
  </si>
  <si>
    <t>D1_TC_M14_DP74_TD01__USB2P_5</t>
  </si>
  <si>
    <t>F12</t>
  </si>
  <si>
    <t>J1605.DS6</t>
  </si>
  <si>
    <t>J1605PIN058</t>
  </si>
  <si>
    <t>USB2P_5</t>
  </si>
  <si>
    <t>D1_TC_M14_DP75_TD01__USB2P_6</t>
  </si>
  <si>
    <t>C11</t>
  </si>
  <si>
    <t>J1606.BS7</t>
  </si>
  <si>
    <t>J1606PIN121</t>
  </si>
  <si>
    <t>USB2P_6</t>
  </si>
  <si>
    <t>D1_TC_M14_DP76_TD01__USB2P_7</t>
  </si>
  <si>
    <t>D4</t>
  </si>
  <si>
    <t>J1605.AS3</t>
  </si>
  <si>
    <t>J1605PIN070</t>
  </si>
  <si>
    <t>USB2P_7</t>
  </si>
  <si>
    <t>D1_TC_M14_DP77_TD01__USB2P_8</t>
  </si>
  <si>
    <t>C9</t>
  </si>
  <si>
    <t>J1605.DS2</t>
  </si>
  <si>
    <t>J1605PIN064</t>
  </si>
  <si>
    <t>USB2P_8</t>
  </si>
  <si>
    <t>D1_TC_M14_DP78_TD01__USB2P_9</t>
  </si>
  <si>
    <t>G15</t>
  </si>
  <si>
    <t>J1605.DS3</t>
  </si>
  <si>
    <t>J1605PIN062</t>
  </si>
  <si>
    <t>USB2P_9</t>
  </si>
  <si>
    <t>D1_Z__USB3_RCOMP</t>
  </si>
  <si>
    <t>A32</t>
  </si>
  <si>
    <t>RA134.2</t>
  </si>
  <si>
    <t>USB3_RCOMP</t>
  </si>
  <si>
    <t>D1_TC_M01_DP79_TD01__USB3_REFCLKN</t>
  </si>
  <si>
    <t>R22</t>
  </si>
  <si>
    <t>J1705.DS1</t>
  </si>
  <si>
    <t>J1705PIN066</t>
  </si>
  <si>
    <t>USB3_REFCLKN</t>
  </si>
  <si>
    <t>DP79</t>
  </si>
  <si>
    <t>D1_TC_M01_DP79_TD01__USB3_REFCLKP</t>
  </si>
  <si>
    <t>T22</t>
  </si>
  <si>
    <t>J1705.DS2</t>
  </si>
  <si>
    <t>J1705PIN064</t>
  </si>
  <si>
    <t>USB3_REFCLKP</t>
  </si>
  <si>
    <t>D1_TC_M01_DP80_L67_TD01__USB31_1_RXN</t>
  </si>
  <si>
    <t>M16</t>
  </si>
  <si>
    <t>J1604.BS7</t>
  </si>
  <si>
    <t>J1604PIN033</t>
  </si>
  <si>
    <t>CA202.2</t>
  </si>
  <si>
    <t>LA204.1</t>
  </si>
  <si>
    <t>LA204.2</t>
  </si>
  <si>
    <t>USB31_1_RXN</t>
  </si>
  <si>
    <t>DP80</t>
  </si>
  <si>
    <t>L67</t>
  </si>
  <si>
    <t>D1_TC_M01_DP80_L68_TD01__USB31_1_RXP</t>
  </si>
  <si>
    <t>K16</t>
  </si>
  <si>
    <t>J1604.BS6</t>
  </si>
  <si>
    <t>J1604PIN031</t>
  </si>
  <si>
    <t>CA201.2</t>
  </si>
  <si>
    <t>LA202.1</t>
  </si>
  <si>
    <t>LA202.2</t>
  </si>
  <si>
    <t>USB31_1_RXP</t>
  </si>
  <si>
    <t>L68</t>
  </si>
  <si>
    <t>D1_TC_M01_DP80_L67_TD01__USB31_1_TXN</t>
  </si>
  <si>
    <t>A17</t>
  </si>
  <si>
    <t>J1606.DS12</t>
  </si>
  <si>
    <t>J1606PIN090</t>
  </si>
  <si>
    <t>CA202.1</t>
  </si>
  <si>
    <t>LA203.1</t>
  </si>
  <si>
    <t>LA203.2</t>
  </si>
  <si>
    <t>USB31_1_TXN</t>
  </si>
  <si>
    <t>D1_TC_M01_DP80_L68_TD01__USB31_1_TXP</t>
  </si>
  <si>
    <t>A18</t>
  </si>
  <si>
    <t>J1606.DS11</t>
  </si>
  <si>
    <t>J1606PIN092</t>
  </si>
  <si>
    <t>CA201.1</t>
  </si>
  <si>
    <t>LA201.1</t>
  </si>
  <si>
    <t>LA201.2</t>
  </si>
  <si>
    <t>USB31_1_TXP</t>
  </si>
  <si>
    <t>D1_TC_M01_DP81_L85_TD01__USB31_10_RXN</t>
  </si>
  <si>
    <t>F28</t>
  </si>
  <si>
    <t>J1708.CS2</t>
  </si>
  <si>
    <t>J1708PIN063</t>
  </si>
  <si>
    <t>CA220.2</t>
  </si>
  <si>
    <t>LA240.1</t>
  </si>
  <si>
    <t>LA240.2</t>
  </si>
  <si>
    <t>USB31_10_RXN</t>
  </si>
  <si>
    <t>DP81</t>
  </si>
  <si>
    <t>L85</t>
  </si>
  <si>
    <t>D1_TC_M01_DP81_L86_TD01__USB31_10_RXP</t>
  </si>
  <si>
    <t>G28</t>
  </si>
  <si>
    <t>J1708.CS1</t>
  </si>
  <si>
    <t>J1708PIN065</t>
  </si>
  <si>
    <t>CA219.2</t>
  </si>
  <si>
    <t>LA238.1</t>
  </si>
  <si>
    <t>LA238.2</t>
  </si>
  <si>
    <t>USB31_10_RXP</t>
  </si>
  <si>
    <t>L86</t>
  </si>
  <si>
    <t>D1_TC_M01_DP89_L83_TD01__USB31_9_TXN</t>
  </si>
  <si>
    <t>A30</t>
  </si>
  <si>
    <t>J1709.DS2</t>
  </si>
  <si>
    <t>J1709PIN020</t>
  </si>
  <si>
    <t>CA218.1</t>
  </si>
  <si>
    <t>LA235.1</t>
  </si>
  <si>
    <t>LA235.2</t>
  </si>
  <si>
    <t>USB31_9_TXN</t>
  </si>
  <si>
    <t>L83</t>
  </si>
  <si>
    <t>D1_TC_M01_DP81_L86_TD01__USB31_10_TXP</t>
  </si>
  <si>
    <t>C31</t>
  </si>
  <si>
    <t>J1707.CS1</t>
  </si>
  <si>
    <t>J1707PIN109</t>
  </si>
  <si>
    <t>CA219.1</t>
  </si>
  <si>
    <t>LA237.1</t>
  </si>
  <si>
    <t>LA237.2</t>
  </si>
  <si>
    <t>USB31_10_TXP</t>
  </si>
  <si>
    <t>D1_TC_M01_DP82_L69_TD01__USB31_2_RXN</t>
  </si>
  <si>
    <t>F16</t>
  </si>
  <si>
    <t>J1602.AS7</t>
  </si>
  <si>
    <t>J1602PIN078</t>
  </si>
  <si>
    <t>CA204.2</t>
  </si>
  <si>
    <t>LA208.1</t>
  </si>
  <si>
    <t>LA208.2</t>
  </si>
  <si>
    <t>USB31_2_RXN</t>
  </si>
  <si>
    <t>DP82</t>
  </si>
  <si>
    <t>L69</t>
  </si>
  <si>
    <t>D1_TC_M01_DP82_L70_TD01__USB31_2_RXP</t>
  </si>
  <si>
    <t>G16</t>
  </si>
  <si>
    <t>J1602.AS6</t>
  </si>
  <si>
    <t>J1602PIN076</t>
  </si>
  <si>
    <t>CA203.2</t>
  </si>
  <si>
    <t>LA206.1</t>
  </si>
  <si>
    <t>LA206.2</t>
  </si>
  <si>
    <t>USB31_2_RXP</t>
  </si>
  <si>
    <t>L70</t>
  </si>
  <si>
    <t>D1_TC_M01_DP82_L69_TD01__USB31_2_TXN</t>
  </si>
  <si>
    <t>C18</t>
  </si>
  <si>
    <t>J1602.CS4</t>
  </si>
  <si>
    <t>J1602PIN059</t>
  </si>
  <si>
    <t>CA204.1</t>
  </si>
  <si>
    <t>LA207.1</t>
  </si>
  <si>
    <t>LA207.2</t>
  </si>
  <si>
    <t>USB31_2_TXN</t>
  </si>
  <si>
    <t>D1_TC_M01_DP82_L70_TD01__USB31_2_TXP</t>
  </si>
  <si>
    <t>C19</t>
  </si>
  <si>
    <t>J1602.CS3</t>
  </si>
  <si>
    <t>J1602PIN061</t>
  </si>
  <si>
    <t>CA203.1</t>
  </si>
  <si>
    <t>LA205.1</t>
  </si>
  <si>
    <t>LA205.2</t>
  </si>
  <si>
    <t>USB31_2_TXP</t>
  </si>
  <si>
    <t>D1_TC_M01_DP83_L71_TD01__USB31_3_RXN</t>
  </si>
  <si>
    <t>N19</t>
  </si>
  <si>
    <t>J1701.AS8</t>
  </si>
  <si>
    <t>J1701PIN124</t>
  </si>
  <si>
    <t>CA206.2</t>
  </si>
  <si>
    <t>LA212.1</t>
  </si>
  <si>
    <t>LA212.2</t>
  </si>
  <si>
    <t>USB31_3_RXN</t>
  </si>
  <si>
    <t>DP83</t>
  </si>
  <si>
    <t>L71</t>
  </si>
  <si>
    <t>D1_TC_M01_DP83_L72_TD01__USB31_3_RXP</t>
  </si>
  <si>
    <t>R19</t>
  </si>
  <si>
    <t>J1701.AS9</t>
  </si>
  <si>
    <t>J1701PIN126</t>
  </si>
  <si>
    <t>CA205.2</t>
  </si>
  <si>
    <t>LA210.1</t>
  </si>
  <si>
    <t>LA210.2</t>
  </si>
  <si>
    <t>USB31_3_RXP</t>
  </si>
  <si>
    <t>L72</t>
  </si>
  <si>
    <t>D1_TC_M01_DP83_L71_TD01__USB31_3_TXN</t>
  </si>
  <si>
    <t>A21</t>
  </si>
  <si>
    <t>J1606.BS8</t>
  </si>
  <si>
    <t>J1606PIN123</t>
  </si>
  <si>
    <t>CA206.1</t>
  </si>
  <si>
    <t>LA211.1</t>
  </si>
  <si>
    <t>LA211.2</t>
  </si>
  <si>
    <t>USB31_3_TXN</t>
  </si>
  <si>
    <t>D1_TC_M01_DP83_L72_TD01__USB31_3_TXP</t>
  </si>
  <si>
    <t>A20</t>
  </si>
  <si>
    <t>J1606.BS9</t>
  </si>
  <si>
    <t>J1606PIN125</t>
  </si>
  <si>
    <t>CA205.1</t>
  </si>
  <si>
    <t>LA209.1</t>
  </si>
  <si>
    <t>LA209.2</t>
  </si>
  <si>
    <t>USB31_3_TXP</t>
  </si>
  <si>
    <t>D1_TC_M01_DP84_L73_TD01__USB31_4_RXN</t>
  </si>
  <si>
    <t>K19</t>
  </si>
  <si>
    <t>J1606.BS2</t>
  </si>
  <si>
    <t>J1606PIN111</t>
  </si>
  <si>
    <t>CA208.2</t>
  </si>
  <si>
    <t>LA216.1</t>
  </si>
  <si>
    <t>LA216.2</t>
  </si>
  <si>
    <t>USB31_4_RXN</t>
  </si>
  <si>
    <t>DP84</t>
  </si>
  <si>
    <t>L73</t>
  </si>
  <si>
    <t>D1_TC_M01_DP84_L74_TD01__USB31_4_RXP</t>
  </si>
  <si>
    <t>J19</t>
  </si>
  <si>
    <t>J1606.BS3</t>
  </si>
  <si>
    <t>J1606PIN113</t>
  </si>
  <si>
    <t>CA207.2</t>
  </si>
  <si>
    <t>LA214.1</t>
  </si>
  <si>
    <t>LA214.2</t>
  </si>
  <si>
    <t>USB31_4_RXP</t>
  </si>
  <si>
    <t>L74</t>
  </si>
  <si>
    <t>D1_TC_M01_DP84_L73_TD01__USB31_4_TXN</t>
  </si>
  <si>
    <t>C21</t>
  </si>
  <si>
    <t>J1706.CS4</t>
  </si>
  <si>
    <t>J1706PIN015</t>
  </si>
  <si>
    <t>CA208.1</t>
  </si>
  <si>
    <t>LA215.1</t>
  </si>
  <si>
    <t>LA215.2</t>
  </si>
  <si>
    <t>USB31_4_TXN</t>
  </si>
  <si>
    <t>D1_TC_M01_DP84_L74_TD01__USB31_4_TXP</t>
  </si>
  <si>
    <t>C22</t>
  </si>
  <si>
    <t>J1706.CS3</t>
  </si>
  <si>
    <t>J1706PIN017</t>
  </si>
  <si>
    <t>CA207.1</t>
  </si>
  <si>
    <t>LA213.1</t>
  </si>
  <si>
    <t>LA213.2</t>
  </si>
  <si>
    <t>USB31_4_TXP</t>
  </si>
  <si>
    <t>D1_TC_M01_DP85_L75_TD01__USB31_5_RXN</t>
  </si>
  <si>
    <t>K22</t>
  </si>
  <si>
    <t>J1705.BS3</t>
  </si>
  <si>
    <t>J1705PIN069</t>
  </si>
  <si>
    <t>CA210.2</t>
  </si>
  <si>
    <t>LA220.1</t>
  </si>
  <si>
    <t>LA220.2</t>
  </si>
  <si>
    <t>USB31_5_RXN</t>
  </si>
  <si>
    <t>DP85</t>
  </si>
  <si>
    <t>L75</t>
  </si>
  <si>
    <t>D1_TC_M01_DP85_L76_TD01__USB31_5_RXP</t>
  </si>
  <si>
    <t>M22</t>
  </si>
  <si>
    <t>J1705.BS2</t>
  </si>
  <si>
    <t>J1705PIN067</t>
  </si>
  <si>
    <t>CA209.2</t>
  </si>
  <si>
    <t>LA218.1</t>
  </si>
  <si>
    <t>LA218.2</t>
  </si>
  <si>
    <t>USB31_5_RXP</t>
  </si>
  <si>
    <t>L76</t>
  </si>
  <si>
    <t>D1_TC_M01_DP85_L75_TD01__USB31_5_TXN</t>
  </si>
  <si>
    <t>A24</t>
  </si>
  <si>
    <t>J1705.AS3</t>
  </si>
  <si>
    <t>J1705PIN070</t>
  </si>
  <si>
    <t>CA210.1</t>
  </si>
  <si>
    <t>LA219.1</t>
  </si>
  <si>
    <t>LA219.2</t>
  </si>
  <si>
    <t>USB31_5_TXN</t>
  </si>
  <si>
    <t>D1_TC_M01_DP85_L76_TD01__USB31_5_TXP</t>
  </si>
  <si>
    <t>A23</t>
  </si>
  <si>
    <t>J1705.AS4</t>
  </si>
  <si>
    <t>J1705PIN072</t>
  </si>
  <si>
    <t>CA209.1</t>
  </si>
  <si>
    <t>LA217.1</t>
  </si>
  <si>
    <t>LA217.2</t>
  </si>
  <si>
    <t>USB31_5_TXP</t>
  </si>
  <si>
    <t>D1_TC_M01_DP86_L77_TD01__USB31_6_RXN</t>
  </si>
  <si>
    <t>F22</t>
  </si>
  <si>
    <t>J1707.BS3</t>
  </si>
  <si>
    <t>J1707PIN113</t>
  </si>
  <si>
    <t>CA212.2</t>
  </si>
  <si>
    <t>LA224.1</t>
  </si>
  <si>
    <t>LA224.2</t>
  </si>
  <si>
    <t>USB31_6_RXN</t>
  </si>
  <si>
    <t>D1_TC_M01_DP86_L78_TD01__USB31_6_RXP</t>
  </si>
  <si>
    <t>G22</t>
  </si>
  <si>
    <t>J1707.BS2</t>
  </si>
  <si>
    <t>J1707PIN111</t>
  </si>
  <si>
    <t>CA211.2</t>
  </si>
  <si>
    <t>LA222.1</t>
  </si>
  <si>
    <t>LA222.2</t>
  </si>
  <si>
    <t>USB31_6_RXP</t>
  </si>
  <si>
    <t>L78</t>
  </si>
  <si>
    <t>D1_TC_M01_DP81_L85_TD01__USB31_10_TXN</t>
  </si>
  <si>
    <t>C30</t>
  </si>
  <si>
    <t>J1707.CS2</t>
  </si>
  <si>
    <t>J1707PIN107</t>
  </si>
  <si>
    <t>CA220.1</t>
  </si>
  <si>
    <t>LA239.1</t>
  </si>
  <si>
    <t>LA239.2</t>
  </si>
  <si>
    <t>USB31_10_TXN</t>
  </si>
  <si>
    <t>D1_TC_M01_DP86_L78_TD01__USB31_6_TXP</t>
  </si>
  <si>
    <t>C25</t>
  </si>
  <si>
    <t>J1708.DS1</t>
  </si>
  <si>
    <t>J1708PIN066</t>
  </si>
  <si>
    <t>CA211.1</t>
  </si>
  <si>
    <t>LA221.1</t>
  </si>
  <si>
    <t>LA221.2</t>
  </si>
  <si>
    <t>USB31_6_TXP</t>
  </si>
  <si>
    <t>D1_TC_M01_DP87_L79_TD01__USB31_7_RXN</t>
  </si>
  <si>
    <t>N25</t>
  </si>
  <si>
    <t>J1707.DS4</t>
  </si>
  <si>
    <t>J1707PIN104</t>
  </si>
  <si>
    <t>CA214.2</t>
  </si>
  <si>
    <t>LA228.1</t>
  </si>
  <si>
    <t>LA228.2</t>
  </si>
  <si>
    <t>USB31_7_RXN</t>
  </si>
  <si>
    <t>DP87</t>
  </si>
  <si>
    <t>L79</t>
  </si>
  <si>
    <t>D1_TC_M01_DP87_L80_TD01__USB31_7_RXP</t>
  </si>
  <si>
    <t>R25</t>
  </si>
  <si>
    <t>J1707.DS3</t>
  </si>
  <si>
    <t>J1707PIN106</t>
  </si>
  <si>
    <t>CA213.2</t>
  </si>
  <si>
    <t>LA226.1</t>
  </si>
  <si>
    <t>LA226.2</t>
  </si>
  <si>
    <t>USB31_7_RXP</t>
  </si>
  <si>
    <t>L80</t>
  </si>
  <si>
    <t>D1_TC_M01_DP87_L79_TD01__USB31_7_TXN</t>
  </si>
  <si>
    <t>A27</t>
  </si>
  <si>
    <t>J1706.AS8</t>
  </si>
  <si>
    <t>J1706PIN036</t>
  </si>
  <si>
    <t>CA214.1</t>
  </si>
  <si>
    <t>LA227.1</t>
  </si>
  <si>
    <t>LA227.2</t>
  </si>
  <si>
    <t>L24_HSIO3/L22_HSIO2</t>
  </si>
  <si>
    <t>USB31_7_TXN</t>
  </si>
  <si>
    <t>D1_TC_M01_DP87_L80_TD01__USB31_7_TXP</t>
  </si>
  <si>
    <t>A26</t>
  </si>
  <si>
    <t>J1706.AS7</t>
  </si>
  <si>
    <t>J1706PIN034</t>
  </si>
  <si>
    <t>CA213.1</t>
  </si>
  <si>
    <t>LA225.1</t>
  </si>
  <si>
    <t>LA225.2</t>
  </si>
  <si>
    <t>USB31_7_TXP</t>
  </si>
  <si>
    <t>D1_TC_M01_DP88_L81_TD01__USB31_8_RXN</t>
  </si>
  <si>
    <t>J25</t>
  </si>
  <si>
    <t>J1606.CS3</t>
  </si>
  <si>
    <t>J1606PIN105</t>
  </si>
  <si>
    <t>CA216.2</t>
  </si>
  <si>
    <t>LA232.1</t>
  </si>
  <si>
    <t>LA232.2</t>
  </si>
  <si>
    <t>USB31_8_RXN</t>
  </si>
  <si>
    <t>DP88</t>
  </si>
  <si>
    <t>L81</t>
  </si>
  <si>
    <t>D1_TC_M01_DP88_L82_TD01__USB31_8_RXP</t>
  </si>
  <si>
    <t>K25</t>
  </si>
  <si>
    <t>J1606.CS4</t>
  </si>
  <si>
    <t>J1606PIN103</t>
  </si>
  <si>
    <t>CA215.2</t>
  </si>
  <si>
    <t>LA230.1</t>
  </si>
  <si>
    <t>LA230.2</t>
  </si>
  <si>
    <t>USB31_8_RXP</t>
  </si>
  <si>
    <t>L82</t>
  </si>
  <si>
    <t>D1_TC_M01_DP88_L81_TD01__USB31_8_TXN</t>
  </si>
  <si>
    <t>C27</t>
  </si>
  <si>
    <t>J1606.DS3</t>
  </si>
  <si>
    <t>J1606PIN106</t>
  </si>
  <si>
    <t>CA216.1</t>
  </si>
  <si>
    <t>LA231.1</t>
  </si>
  <si>
    <t>LA231.2</t>
  </si>
  <si>
    <t>USB31_8_TXN</t>
  </si>
  <si>
    <t>D1_TC_M01_DP88_L82_TD01__USB31_8_TXP</t>
  </si>
  <si>
    <t>C28</t>
  </si>
  <si>
    <t>J1606.DS4</t>
  </si>
  <si>
    <t>J1606PIN104</t>
  </si>
  <si>
    <t>CA215.1</t>
  </si>
  <si>
    <t>LA229.1</t>
  </si>
  <si>
    <t>LA229.2</t>
  </si>
  <si>
    <t>USB31_8_TXP</t>
  </si>
  <si>
    <t>D1_TC_M01_DP89_L83_TD01__USB31_9_RXN</t>
  </si>
  <si>
    <t>M28</t>
  </si>
  <si>
    <t>J1708.DS4</t>
  </si>
  <si>
    <t>J1708PIN060</t>
  </si>
  <si>
    <t>CA218.2</t>
  </si>
  <si>
    <t>LA236.1</t>
  </si>
  <si>
    <t>LA236.2</t>
  </si>
  <si>
    <t>USB31_9_RXN</t>
  </si>
  <si>
    <t>D1_TC_M13_DP24_SL09_TD01__DMI_1_RXN__TXN</t>
  </si>
  <si>
    <t>F45</t>
  </si>
  <si>
    <t>J1709.DS9</t>
  </si>
  <si>
    <t>J1709PIN008</t>
  </si>
  <si>
    <t>LA355.1</t>
  </si>
  <si>
    <t>LA355.2</t>
  </si>
  <si>
    <t>DMI_1_RXN</t>
  </si>
  <si>
    <t>SL09</t>
  </si>
  <si>
    <t>A50</t>
  </si>
  <si>
    <t>DMI_1_TXN</t>
  </si>
  <si>
    <t>D1_TC_M01_DP89_L84_TD01__USB31_9_TXP</t>
  </si>
  <si>
    <t>A28</t>
  </si>
  <si>
    <t>J1709.DS1</t>
  </si>
  <si>
    <t>J1709PIN022</t>
  </si>
  <si>
    <t>CA217.1</t>
  </si>
  <si>
    <t>LA233.1</t>
  </si>
  <si>
    <t>LA233.2</t>
  </si>
  <si>
    <t>USB31_9_TXP</t>
  </si>
  <si>
    <t>D1_P__VCCA_CLKPLL_0P82</t>
  </si>
  <si>
    <t>T17</t>
  </si>
  <si>
    <t>VCCA_CLKPLL_0P82</t>
  </si>
  <si>
    <t>DPS150_1_LCDPS_4</t>
  </si>
  <si>
    <t>D1_P__VCCA_CLKPLL_1P8</t>
  </si>
  <si>
    <t>AK17</t>
  </si>
  <si>
    <t>VCCA_CLKPLL_1P8</t>
  </si>
  <si>
    <t>DPS150_2_LCDPS_1</t>
  </si>
  <si>
    <t>D1_P__VCCA_CNV_0P82</t>
  </si>
  <si>
    <t>AH22</t>
  </si>
  <si>
    <t>VCCA_CNV_0P82</t>
  </si>
  <si>
    <t>DPS150_2_HCDPS_4</t>
  </si>
  <si>
    <t>D1_P__VCCA_CNVI_PLL_1P8</t>
  </si>
  <si>
    <t>AK19</t>
  </si>
  <si>
    <t>VCCA_CNVI_PLL_1P8</t>
  </si>
  <si>
    <t>DPS150_1_HCDPS_2</t>
  </si>
  <si>
    <t>D1_P__VCCA_DIG_0P82</t>
  </si>
  <si>
    <t>T16</t>
  </si>
  <si>
    <t>VCCA_DIG_0P82</t>
  </si>
  <si>
    <t>DPS150_1_LCDPS_3</t>
  </si>
  <si>
    <t>D1_P__VCCA_MPHYPLL_1P8</t>
  </si>
  <si>
    <t>AH24</t>
  </si>
  <si>
    <t>VCCA_MPHYPLL_1P8</t>
  </si>
  <si>
    <t>DPS150_1_HCDPS_1</t>
  </si>
  <si>
    <t>AK22</t>
  </si>
  <si>
    <t>AK24</t>
  </si>
  <si>
    <t>D1_P__VCCA_REFPLL_0P82</t>
  </si>
  <si>
    <t>T14</t>
  </si>
  <si>
    <t>VCCA_REFPLL_0P82</t>
  </si>
  <si>
    <t>DPS150_1_LCDPS_5</t>
  </si>
  <si>
    <t>D1_P__VCCA_REFPLL_1P8</t>
  </si>
  <si>
    <t>AM19</t>
  </si>
  <si>
    <t>VCCA_REFPLL_1P8</t>
  </si>
  <si>
    <t>DPS150_2_LCDPS_2</t>
  </si>
  <si>
    <t>D1_P__VCCA_SRC_GEN4_0P82</t>
  </si>
  <si>
    <t>P14</t>
  </si>
  <si>
    <t>VCCA_SRC_GEN4_0P82</t>
  </si>
  <si>
    <t>DPS150_1_LCDPS_1</t>
  </si>
  <si>
    <t>D1_P__VCCA_SRC_GEN5_0P82</t>
  </si>
  <si>
    <t>P16</t>
  </si>
  <si>
    <t>VCCA_SRC_GEN5_0P82</t>
  </si>
  <si>
    <t>DPS150_1_LCDPS_2</t>
  </si>
  <si>
    <t>D1_P__VCCA_XTAL_0P82</t>
  </si>
  <si>
    <t>T13</t>
  </si>
  <si>
    <t>VCCA_XTAL_0P82</t>
  </si>
  <si>
    <t>DPS150_1_LCDPS_6</t>
  </si>
  <si>
    <t>D1_P__VCCA_XTAL_1P8</t>
  </si>
  <si>
    <t>AM17</t>
  </si>
  <si>
    <t>VCCA_XTAL_1P8</t>
  </si>
  <si>
    <t>DPS150_2_LCDPS_3</t>
  </si>
  <si>
    <t>D1_P__VCCCNVI_LDO_0P4</t>
  </si>
  <si>
    <t>BE1</t>
  </si>
  <si>
    <t>J1605.DS13</t>
  </si>
  <si>
    <t>J1605PIN044</t>
  </si>
  <si>
    <t>VCCCNVI_LDO_0P4</t>
  </si>
  <si>
    <t>See VCCNVI_LDO tab, TC with 2.2nF shunt cap</t>
  </si>
  <si>
    <t>BE2</t>
  </si>
  <si>
    <t>BF1</t>
  </si>
  <si>
    <t>BF2</t>
  </si>
  <si>
    <t>BG2</t>
  </si>
  <si>
    <t>D1_P__VCCDPHY_1P2</t>
  </si>
  <si>
    <t>BE3</t>
  </si>
  <si>
    <t>VCCDPHY_1P2</t>
  </si>
  <si>
    <t>DPS150_3_LCDPS_2</t>
  </si>
  <si>
    <t>BG3</t>
  </si>
  <si>
    <t>D1_P__VCCDUSB_0P82</t>
  </si>
  <si>
    <t>AE24</t>
  </si>
  <si>
    <t>VCCDUSB_0P82</t>
  </si>
  <si>
    <t>DPS150_1_LCDPS_7</t>
  </si>
  <si>
    <t>D1_P__VCCFUSE_0P82</t>
  </si>
  <si>
    <t>AH39</t>
  </si>
  <si>
    <t>VCCFUSE_0P82</t>
  </si>
  <si>
    <t>DPS150_1_LCDPS_8</t>
  </si>
  <si>
    <t>D1_P__VCCGPIO_JTAGCPU</t>
  </si>
  <si>
    <t>AB17</t>
  </si>
  <si>
    <t>VCCGPIO_JTAGCPU</t>
  </si>
  <si>
    <t>DPS150_1_HCDPS_6</t>
  </si>
  <si>
    <t>D1_P__VCCMPHY_0P82</t>
  </si>
  <si>
    <t>AB29</t>
  </si>
  <si>
    <t>VCCMPHY_0P82</t>
  </si>
  <si>
    <t>DPS150_2_HCDPS_3</t>
  </si>
  <si>
    <t>AB31</t>
  </si>
  <si>
    <t>AB32</t>
  </si>
  <si>
    <t>AB34</t>
  </si>
  <si>
    <t>AB36</t>
  </si>
  <si>
    <t>AB37</t>
  </si>
  <si>
    <t>AC37</t>
  </si>
  <si>
    <t>AE37</t>
  </si>
  <si>
    <t>AG37</t>
  </si>
  <si>
    <t>AH37</t>
  </si>
  <si>
    <t>AK30</t>
  </si>
  <si>
    <t>AK32</t>
  </si>
  <si>
    <t>AK34</t>
  </si>
  <si>
    <t>AK36</t>
  </si>
  <si>
    <t>W29</t>
  </si>
  <si>
    <t>Y30</t>
  </si>
  <si>
    <t>Y32</t>
  </si>
  <si>
    <t>Y34</t>
  </si>
  <si>
    <t>Y36</t>
  </si>
  <si>
    <t>D1_P__VCCPDSW_3P3</t>
  </si>
  <si>
    <t>BE56</t>
  </si>
  <si>
    <t>VCCPDSW_3P3</t>
  </si>
  <si>
    <t>DPS150_2_HCDPS_1</t>
  </si>
  <si>
    <t>BF56</t>
  </si>
  <si>
    <t>BF57</t>
  </si>
  <si>
    <t>BG57</t>
  </si>
  <si>
    <t>D1_P__VCCPFUSE_1P8</t>
  </si>
  <si>
    <t>AM26</t>
  </si>
  <si>
    <t>VCCPFUSE_1P8</t>
  </si>
  <si>
    <t>DPS150_1_HCDPS_3</t>
  </si>
  <si>
    <t>D1_P__VCCPGPPA</t>
  </si>
  <si>
    <t>V41</t>
  </si>
  <si>
    <t>VCCPGPPA</t>
  </si>
  <si>
    <t>DPS150_2_LCDPS_5</t>
  </si>
  <si>
    <t>D1_P__VCCPGPPBC</t>
  </si>
  <si>
    <t>Y41</t>
  </si>
  <si>
    <t>VCCPGPPBC</t>
  </si>
  <si>
    <t>DPS150_2_LCDPS_7</t>
  </si>
  <si>
    <t>D1_P__VCCPGPPDR</t>
  </si>
  <si>
    <t>AU17</t>
  </si>
  <si>
    <t>VCCPGPPDR</t>
  </si>
  <si>
    <t>DPS150_2_LCDPS_8</t>
  </si>
  <si>
    <t>D1_P__VCCPGPPEFHK</t>
  </si>
  <si>
    <t>AM42</t>
  </si>
  <si>
    <t>VCCPGPPEFHK</t>
  </si>
  <si>
    <t>DPS150_1_HCDPS_5</t>
  </si>
  <si>
    <t>D1_P__VCCPGPPI</t>
  </si>
  <si>
    <t>AW14</t>
  </si>
  <si>
    <t>VCCPGPPI</t>
  </si>
  <si>
    <t>DPS150_2_HCDPS_7</t>
  </si>
  <si>
    <t>D1_P__VCCPRIM_1P8</t>
  </si>
  <si>
    <t>AK26</t>
  </si>
  <si>
    <t>VCCPRIM_1P8</t>
  </si>
  <si>
    <t>DPS150_2_LCDPS_4</t>
  </si>
  <si>
    <t>AK28</t>
  </si>
  <si>
    <t>D1_P__VCCPRIM_CORE</t>
  </si>
  <si>
    <t>AE26</t>
  </si>
  <si>
    <t>VCCPRIM_CORE</t>
  </si>
  <si>
    <t>DPS150_2_HCDPS_2_DPS150_2_HCDPS_6</t>
  </si>
  <si>
    <t>AE27</t>
  </si>
  <si>
    <t>AE29</t>
  </si>
  <si>
    <t>AE31</t>
  </si>
  <si>
    <t>AE32</t>
  </si>
  <si>
    <t>AE34</t>
  </si>
  <si>
    <t>AG26</t>
  </si>
  <si>
    <t>AG27</t>
  </si>
  <si>
    <t>AG29</t>
  </si>
  <si>
    <t>AG31</t>
  </si>
  <si>
    <t>AG32</t>
  </si>
  <si>
    <t>AG34</t>
  </si>
  <si>
    <t>D1_P__VCCPRIM_DSW_0P82</t>
  </si>
  <si>
    <t>AH21</t>
  </si>
  <si>
    <t>VCCPRIM_DSW_0P82</t>
  </si>
  <si>
    <t>DPS150_3_LCDPS_1</t>
  </si>
  <si>
    <t>D1_Z__VCCPRTC_3P3</t>
  </si>
  <si>
    <t>BG55</t>
  </si>
  <si>
    <t>J1706.AS9</t>
  </si>
  <si>
    <t>J1706PIN038</t>
  </si>
  <si>
    <t>JA4.2</t>
  </si>
  <si>
    <t>JA4.3</t>
  </si>
  <si>
    <t>TPA611.1</t>
  </si>
  <si>
    <t>L26_HSIO4/L17_HC/LC</t>
  </si>
  <si>
    <t>VCCPRTC_3P3</t>
  </si>
  <si>
    <t>See VCCPRTC_3P3 Tab, DPS150_3_LCDPS_4 and TC</t>
  </si>
  <si>
    <t>BH54</t>
  </si>
  <si>
    <t>BH55</t>
  </si>
  <si>
    <t>BJ53</t>
  </si>
  <si>
    <t>BJ54</t>
  </si>
  <si>
    <t>D1_P__VCCPSPI</t>
  </si>
  <si>
    <t>AH42</t>
  </si>
  <si>
    <t>VCCPSPI</t>
  </si>
  <si>
    <t>DPS150_2_LCDPS_6</t>
  </si>
  <si>
    <t>D1_P__VCCPUSB_1P8</t>
  </si>
  <si>
    <t>AG21</t>
  </si>
  <si>
    <t>VCCPUSB_1P8</t>
  </si>
  <si>
    <t>DPS150_1_HCDPS_4</t>
  </si>
  <si>
    <t>D1_P__VCCPUSB_3P3</t>
  </si>
  <si>
    <t>AR42</t>
  </si>
  <si>
    <t>VCCPUSB_3P3</t>
  </si>
  <si>
    <t>DPS150_2_HCDPS_8</t>
  </si>
  <si>
    <t>D1_P__VCCRTCEXT</t>
  </si>
  <si>
    <t>AV46</t>
  </si>
  <si>
    <t>J1706.DS7</t>
  </si>
  <si>
    <t>J1706PIN012</t>
  </si>
  <si>
    <t>VCCRTCEXT</t>
  </si>
  <si>
    <t>See VCCRTCEXT Tab, TC with 0.1uF+1uF shunt cap</t>
  </si>
  <si>
    <t>D1_P__VDDWL_0_1P8_EHV</t>
  </si>
  <si>
    <t>V26</t>
  </si>
  <si>
    <t>VDDWL_0_1P8_EHV</t>
  </si>
  <si>
    <t>DPS150_3_LCDPS_7</t>
  </si>
  <si>
    <t>D1_P__VDDWL_1_1P8_EHV</t>
  </si>
  <si>
    <t>Y26</t>
  </si>
  <si>
    <t>VDDWL_1_1P8_EHV</t>
  </si>
  <si>
    <t>DPS150_3_LCDPS_8</t>
  </si>
  <si>
    <t>D1_P__VFSOURCE_0_1P8_EHV</t>
  </si>
  <si>
    <t>Y24</t>
  </si>
  <si>
    <t>VFSOURCE_0_1P8_EHV</t>
  </si>
  <si>
    <t>DPS150_4_LCDPS_2</t>
  </si>
  <si>
    <t>D1_P__VFSOURCE_1_1P8_EHV</t>
  </si>
  <si>
    <t>V24</t>
  </si>
  <si>
    <t>VFSOURCE_1_1P8_EHV</t>
  </si>
  <si>
    <t>DPS150_4_LCDPS_3</t>
  </si>
  <si>
    <t>GND</t>
  </si>
  <si>
    <t>A12</t>
  </si>
  <si>
    <t>VSS</t>
  </si>
  <si>
    <t>A31</t>
  </si>
  <si>
    <t>A4</t>
  </si>
  <si>
    <t>A5</t>
  </si>
  <si>
    <t>A51</t>
  </si>
  <si>
    <t>A53</t>
  </si>
  <si>
    <t>A54</t>
  </si>
  <si>
    <t>A7</t>
  </si>
  <si>
    <t>AA1</t>
  </si>
  <si>
    <t>AA46</t>
  </si>
  <si>
    <t>AA57</t>
  </si>
  <si>
    <t>AB13</t>
  </si>
  <si>
    <t>AB14</t>
  </si>
  <si>
    <t>AB16</t>
  </si>
  <si>
    <t>AB19</t>
  </si>
  <si>
    <t>AB21</t>
  </si>
  <si>
    <t>AB22</t>
  </si>
  <si>
    <t>AB24</t>
  </si>
  <si>
    <t>AB26</t>
  </si>
  <si>
    <t>AB27</t>
  </si>
  <si>
    <t>AB39</t>
  </si>
  <si>
    <t>AB41</t>
  </si>
  <si>
    <t>AC21</t>
  </si>
  <si>
    <t>AC22</t>
  </si>
  <si>
    <t>AC24</t>
  </si>
  <si>
    <t>AC26</t>
  </si>
  <si>
    <t>AC27</t>
  </si>
  <si>
    <t>AC29</t>
  </si>
  <si>
    <t>AC31</t>
  </si>
  <si>
    <t>AC32</t>
  </si>
  <si>
    <t>AC34</t>
  </si>
  <si>
    <t>AC36</t>
  </si>
  <si>
    <t>AD12</t>
  </si>
  <si>
    <t>AD13</t>
  </si>
  <si>
    <t>AD14</t>
  </si>
  <si>
    <t>AD16</t>
  </si>
  <si>
    <t>AD17</t>
  </si>
  <si>
    <t>AD19</t>
  </si>
  <si>
    <t>AD39</t>
  </si>
  <si>
    <t>AD41</t>
  </si>
  <si>
    <t>AD42</t>
  </si>
  <si>
    <t>AD44</t>
  </si>
  <si>
    <t>AD45</t>
  </si>
  <si>
    <t>AD46</t>
  </si>
  <si>
    <t>AD5</t>
  </si>
  <si>
    <t>AD53</t>
  </si>
  <si>
    <t>AE1</t>
  </si>
  <si>
    <t>AE10</t>
  </si>
  <si>
    <t>AE12</t>
  </si>
  <si>
    <t>AE14</t>
  </si>
  <si>
    <t>AE16</t>
  </si>
  <si>
    <t>AE17</t>
  </si>
  <si>
    <t>AE19</t>
  </si>
  <si>
    <t>AE21</t>
  </si>
  <si>
    <t>AE22</t>
  </si>
  <si>
    <t>AE36</t>
  </si>
  <si>
    <t>AE39</t>
  </si>
  <si>
    <t>AE41</t>
  </si>
  <si>
    <t>AE42</t>
  </si>
  <si>
    <t>AE44</t>
  </si>
  <si>
    <t>AE46</t>
  </si>
  <si>
    <t>AE48</t>
  </si>
  <si>
    <t>AE5</t>
  </si>
  <si>
    <t>AE51</t>
  </si>
  <si>
    <t>AE52</t>
  </si>
  <si>
    <t>AE53</t>
  </si>
  <si>
    <t>AE57</t>
  </si>
  <si>
    <t>AE6</t>
  </si>
  <si>
    <t>AE7</t>
  </si>
  <si>
    <t>AF12</t>
  </si>
  <si>
    <t>AF13</t>
  </si>
  <si>
    <t>AF14</t>
  </si>
  <si>
    <t>AF16</t>
  </si>
  <si>
    <t>AF17</t>
  </si>
  <si>
    <t>AF19</t>
  </si>
  <si>
    <t>AF39</t>
  </si>
  <si>
    <t>AF41</t>
  </si>
  <si>
    <t>AF42</t>
  </si>
  <si>
    <t>AF44</t>
  </si>
  <si>
    <t>AF45</t>
  </si>
  <si>
    <t>AF46</t>
  </si>
  <si>
    <t>AF5</t>
  </si>
  <si>
    <t>AF53</t>
  </si>
  <si>
    <t>AG22</t>
  </si>
  <si>
    <t>AG24</t>
  </si>
  <si>
    <t>AG36</t>
  </si>
  <si>
    <t>AH16</t>
  </si>
  <si>
    <t>AH17</t>
  </si>
  <si>
    <t>AH19</t>
  </si>
  <si>
    <t>AH26</t>
  </si>
  <si>
    <t>AH27</t>
  </si>
  <si>
    <t>AH29</t>
  </si>
  <si>
    <t>AH31</t>
  </si>
  <si>
    <t>AH32</t>
  </si>
  <si>
    <t>AH34</t>
  </si>
  <si>
    <t>AH36</t>
  </si>
  <si>
    <t>AH41</t>
  </si>
  <si>
    <t>AJ1</t>
  </si>
  <si>
    <t>AJ12</t>
  </si>
  <si>
    <t>AJ46</t>
  </si>
  <si>
    <t>AJ57</t>
  </si>
  <si>
    <t>AK16</t>
  </si>
  <si>
    <t>AK39</t>
  </si>
  <si>
    <t>AK41</t>
  </si>
  <si>
    <t>AK42</t>
  </si>
  <si>
    <t>AL21</t>
  </si>
  <si>
    <t>AL29</t>
  </si>
  <si>
    <t>AL37</t>
  </si>
  <si>
    <t>AL5</t>
  </si>
  <si>
    <t>AL53</t>
  </si>
  <si>
    <t>AM12</t>
  </si>
  <si>
    <t>AM16</t>
  </si>
  <si>
    <t>AM21</t>
  </si>
  <si>
    <t>AM22</t>
  </si>
  <si>
    <t>AM24</t>
  </si>
  <si>
    <t>AM28</t>
  </si>
  <si>
    <t>AM30</t>
  </si>
  <si>
    <t>AM32</t>
  </si>
  <si>
    <t>AM34</t>
  </si>
  <si>
    <t>AM36</t>
  </si>
  <si>
    <t>AM39</t>
  </si>
  <si>
    <t>AM41</t>
  </si>
  <si>
    <t>AN1</t>
  </si>
  <si>
    <t>AN18</t>
  </si>
  <si>
    <t>AN20</t>
  </si>
  <si>
    <t>AN57</t>
  </si>
  <si>
    <t>AP16</t>
  </si>
  <si>
    <t>AP19</t>
  </si>
  <si>
    <t>AP22</t>
  </si>
  <si>
    <t>AP27</t>
  </si>
  <si>
    <t>AP33</t>
  </si>
  <si>
    <t>AP39</t>
  </si>
  <si>
    <t>AP42</t>
  </si>
  <si>
    <t>AP44</t>
  </si>
  <si>
    <t>AR12</t>
  </si>
  <si>
    <t>AR46</t>
  </si>
  <si>
    <t>AR5</t>
  </si>
  <si>
    <t>AR53</t>
  </si>
  <si>
    <t>AT16</t>
  </si>
  <si>
    <t>AU13</t>
  </si>
  <si>
    <t>AU15</t>
  </si>
  <si>
    <t>AU24</t>
  </si>
  <si>
    <t>AU30</t>
  </si>
  <si>
    <t>AU36</t>
  </si>
  <si>
    <t>AU42</t>
  </si>
  <si>
    <t>AU6</t>
  </si>
  <si>
    <t>AV1</t>
  </si>
  <si>
    <t>AV19</t>
  </si>
  <si>
    <t>AV22</t>
  </si>
  <si>
    <t>AV27</t>
  </si>
  <si>
    <t>AV33</t>
  </si>
  <si>
    <t>AV39</t>
  </si>
  <si>
    <t>AV44</t>
  </si>
  <si>
    <t>AV49</t>
  </si>
  <si>
    <t>AV57</t>
  </si>
  <si>
    <t>AW13</t>
  </si>
  <si>
    <t>AY11</t>
  </si>
  <si>
    <t>AY19</t>
  </si>
  <si>
    <t>AY46</t>
  </si>
  <si>
    <t>AY47</t>
  </si>
  <si>
    <t>AY5</t>
  </si>
  <si>
    <t>AY53</t>
  </si>
  <si>
    <t>B18</t>
  </si>
  <si>
    <t>B20</t>
  </si>
  <si>
    <t>B23</t>
  </si>
  <si>
    <t>B26</t>
  </si>
  <si>
    <t>B29</t>
  </si>
  <si>
    <t>B3</t>
  </si>
  <si>
    <t>B35</t>
  </si>
  <si>
    <t>B38</t>
  </si>
  <si>
    <t>B4</t>
  </si>
  <si>
    <t>B40</t>
  </si>
  <si>
    <t>B43</t>
  </si>
  <si>
    <t>B46</t>
  </si>
  <si>
    <t>B49</t>
  </si>
  <si>
    <t>B54</t>
  </si>
  <si>
    <t>B55</t>
  </si>
  <si>
    <t>BA19</t>
  </si>
  <si>
    <t>BA24</t>
  </si>
  <si>
    <t>BA30</t>
  </si>
  <si>
    <t>BA36</t>
  </si>
  <si>
    <t>BA42</t>
  </si>
  <si>
    <t>BA49</t>
  </si>
  <si>
    <t>BA51</t>
  </si>
  <si>
    <t>BA7</t>
  </si>
  <si>
    <t>BA9</t>
  </si>
  <si>
    <t>BB1</t>
  </si>
  <si>
    <t>BB16</t>
  </si>
  <si>
    <t>BB52</t>
  </si>
  <si>
    <t>BB57</t>
  </si>
  <si>
    <t>BC12</t>
  </si>
  <si>
    <t>BC22</t>
  </si>
  <si>
    <t>BC27</t>
  </si>
  <si>
    <t>BC33</t>
  </si>
  <si>
    <t>BC39</t>
  </si>
  <si>
    <t>BC44</t>
  </si>
  <si>
    <t>BD16</t>
  </si>
  <si>
    <t>BD22</t>
  </si>
  <si>
    <t>BD27</t>
  </si>
  <si>
    <t>BD33</t>
  </si>
  <si>
    <t>BD39</t>
  </si>
  <si>
    <t>BD44</t>
  </si>
  <si>
    <t>BD46</t>
  </si>
  <si>
    <t>BD7</t>
  </si>
  <si>
    <t>BE14</t>
  </si>
  <si>
    <t>BE16</t>
  </si>
  <si>
    <t>BE46</t>
  </si>
  <si>
    <t>BE49</t>
  </si>
  <si>
    <t>BE57</t>
  </si>
  <si>
    <t>BE9</t>
  </si>
  <si>
    <t>BF13</t>
  </si>
  <si>
    <t>BF19</t>
  </si>
  <si>
    <t>BF20</t>
  </si>
  <si>
    <t>BF22</t>
  </si>
  <si>
    <t>BF25</t>
  </si>
  <si>
    <t>BF26</t>
  </si>
  <si>
    <t>BF28</t>
  </si>
  <si>
    <t>BF30</t>
  </si>
  <si>
    <t>BF32</t>
  </si>
  <si>
    <t>BF33</t>
  </si>
  <si>
    <t>BF36</t>
  </si>
  <si>
    <t>BF38</t>
  </si>
  <si>
    <t>BF39</t>
  </si>
  <si>
    <t>BF4</t>
  </si>
  <si>
    <t>BF42</t>
  </si>
  <si>
    <t>BF43</t>
  </si>
  <si>
    <t>BF45</t>
  </si>
  <si>
    <t>BF50</t>
  </si>
  <si>
    <t>BG1</t>
  </si>
  <si>
    <t>BG1</t>
    <phoneticPr fontId="4"/>
  </si>
  <si>
    <t>BG56</t>
  </si>
  <si>
    <t>BG7</t>
  </si>
  <si>
    <t>BH18</t>
  </si>
  <si>
    <t>BH20</t>
  </si>
  <si>
    <t>BH23</t>
  </si>
  <si>
    <t>BH26</t>
  </si>
  <si>
    <t>BH29</t>
  </si>
  <si>
    <t>BH3</t>
  </si>
  <si>
    <t>BH32</t>
  </si>
  <si>
    <t>BH35</t>
  </si>
  <si>
    <t>BH38</t>
  </si>
  <si>
    <t>BH4</t>
  </si>
  <si>
    <t>BH40</t>
  </si>
  <si>
    <t>BH43</t>
  </si>
  <si>
    <t>BJ12</t>
  </si>
  <si>
    <t>BJ4</t>
  </si>
  <si>
    <t>BJ5</t>
  </si>
  <si>
    <t>BJ51</t>
  </si>
  <si>
    <t>BJ7</t>
  </si>
  <si>
    <t>C1</t>
  </si>
  <si>
    <t>C2</t>
  </si>
  <si>
    <t>C3</t>
  </si>
  <si>
    <t>C33</t>
  </si>
  <si>
    <t>C34</t>
  </si>
  <si>
    <t>C5</t>
  </si>
  <si>
    <t>C56</t>
  </si>
  <si>
    <t>C57</t>
  </si>
  <si>
    <t>D1</t>
  </si>
  <si>
    <t>D19</t>
  </si>
  <si>
    <t>D2</t>
  </si>
  <si>
    <t>D20</t>
  </si>
  <si>
    <t>D22</t>
  </si>
  <si>
    <t>D25</t>
  </si>
  <si>
    <t>D26</t>
  </si>
  <si>
    <t>D28</t>
  </si>
  <si>
    <t>D30</t>
  </si>
  <si>
    <t>D32</t>
  </si>
  <si>
    <t>D33</t>
  </si>
  <si>
    <t>D36</t>
  </si>
  <si>
    <t>D38</t>
  </si>
  <si>
    <t>D39</t>
  </si>
  <si>
    <t>D42</t>
  </si>
  <si>
    <t>D43</t>
  </si>
  <si>
    <t>D45</t>
  </si>
  <si>
    <t>D48</t>
  </si>
  <si>
    <t>D49</t>
  </si>
  <si>
    <t>D50</t>
  </si>
  <si>
    <t>D56</t>
  </si>
  <si>
    <t>D57</t>
  </si>
  <si>
    <t>D7</t>
  </si>
  <si>
    <t>E1</t>
  </si>
  <si>
    <t>E14</t>
  </si>
  <si>
    <t>E16</t>
  </si>
  <si>
    <t>E3</t>
  </si>
  <si>
    <t>E50</t>
  </si>
  <si>
    <t>E51</t>
  </si>
  <si>
    <t>E55</t>
  </si>
  <si>
    <t>E56</t>
  </si>
  <si>
    <t>E57</t>
  </si>
  <si>
    <t>E9</t>
  </si>
  <si>
    <t>F19</t>
  </si>
  <si>
    <t>F25</t>
  </si>
  <si>
    <t>F31</t>
  </si>
  <si>
    <t>F36</t>
  </si>
  <si>
    <t>F50</t>
  </si>
  <si>
    <t>G19</t>
  </si>
  <si>
    <t>G25</t>
  </si>
  <si>
    <t>G31</t>
  </si>
  <si>
    <t>G36</t>
  </si>
  <si>
    <t>G4</t>
  </si>
  <si>
    <t>G7</t>
  </si>
  <si>
    <t>H1</t>
  </si>
  <si>
    <t>H48</t>
  </si>
  <si>
    <t>H52</t>
  </si>
  <si>
    <t>H57</t>
  </si>
  <si>
    <t>H8</t>
  </si>
  <si>
    <t>J11</t>
  </si>
  <si>
    <t>J16</t>
  </si>
  <si>
    <t>J22</t>
  </si>
  <si>
    <t>J28</t>
  </si>
  <si>
    <t>J34</t>
  </si>
  <si>
    <t>J39</t>
  </si>
  <si>
    <t>J42</t>
  </si>
  <si>
    <t>J45</t>
  </si>
  <si>
    <t>J49</t>
  </si>
  <si>
    <t>J50</t>
  </si>
  <si>
    <t>J51</t>
  </si>
  <si>
    <t>J9</t>
  </si>
  <si>
    <t>K11</t>
  </si>
  <si>
    <t>K3</t>
  </si>
  <si>
    <t>K45</t>
  </si>
  <si>
    <t>K5</t>
  </si>
  <si>
    <t>K52</t>
  </si>
  <si>
    <t>K53</t>
  </si>
  <si>
    <t>L4</t>
  </si>
  <si>
    <t>M1</t>
  </si>
  <si>
    <t>M19</t>
  </si>
  <si>
    <t>M25</t>
  </si>
  <si>
    <t>M31</t>
  </si>
  <si>
    <t>M36</t>
  </si>
  <si>
    <t>M46</t>
  </si>
  <si>
    <t>M48</t>
  </si>
  <si>
    <t>M49</t>
  </si>
  <si>
    <t>M57</t>
  </si>
  <si>
    <t>M9</t>
  </si>
  <si>
    <t>N13</t>
  </si>
  <si>
    <t>N15</t>
  </si>
  <si>
    <t>N16</t>
  </si>
  <si>
    <t>N22</t>
  </si>
  <si>
    <t>N28</t>
  </si>
  <si>
    <t>N34</t>
  </si>
  <si>
    <t>N39</t>
  </si>
  <si>
    <t>N42</t>
  </si>
  <si>
    <t>N43</t>
  </si>
  <si>
    <t>N45</t>
  </si>
  <si>
    <t>P13</t>
  </si>
  <si>
    <t>P18</t>
  </si>
  <si>
    <t>P42</t>
  </si>
  <si>
    <t>P44</t>
  </si>
  <si>
    <t>P45</t>
  </si>
  <si>
    <t>P9</t>
  </si>
  <si>
    <t>R46</t>
  </si>
  <si>
    <t>R5</t>
  </si>
  <si>
    <t>R53</t>
  </si>
  <si>
    <t>T19</t>
  </si>
  <si>
    <t>T2</t>
  </si>
  <si>
    <t>T25</t>
  </si>
  <si>
    <t>T31</t>
  </si>
  <si>
    <t>T36</t>
  </si>
  <si>
    <t>T39</t>
  </si>
  <si>
    <t>T4</t>
  </si>
  <si>
    <t>T41</t>
  </si>
  <si>
    <t>T42</t>
  </si>
  <si>
    <t>T6</t>
  </si>
  <si>
    <t>U1</t>
  </si>
  <si>
    <t>U18</t>
  </si>
  <si>
    <t>U20</t>
  </si>
  <si>
    <t>U39</t>
  </si>
  <si>
    <t>U57</t>
  </si>
  <si>
    <t>U7</t>
  </si>
  <si>
    <t>V13</t>
  </si>
  <si>
    <t>V14</t>
  </si>
  <si>
    <t>V16</t>
  </si>
  <si>
    <t>V17</t>
  </si>
  <si>
    <t>V19</t>
  </si>
  <si>
    <t>V22</t>
  </si>
  <si>
    <t>V28</t>
  </si>
  <si>
    <t>V30</t>
  </si>
  <si>
    <t>V32</t>
  </si>
  <si>
    <t>V34</t>
  </si>
  <si>
    <t>V36</t>
  </si>
  <si>
    <t>V38</t>
  </si>
  <si>
    <t>V42</t>
  </si>
  <si>
    <t>V46</t>
  </si>
  <si>
    <t>V9</t>
  </si>
  <si>
    <t>W21</t>
  </si>
  <si>
    <t>W37</t>
  </si>
  <si>
    <t>W5</t>
  </si>
  <si>
    <t>W53</t>
  </si>
  <si>
    <t>Y13</t>
  </si>
  <si>
    <t>Y22</t>
  </si>
  <si>
    <t>Y28</t>
  </si>
  <si>
    <t>Y39</t>
  </si>
  <si>
    <t>Y42</t>
  </si>
  <si>
    <t>Y9</t>
  </si>
  <si>
    <t>D1_TC_TD01__WAKEB</t>
  </si>
  <si>
    <t>AK14</t>
  </si>
  <si>
    <t>J1606.CS6</t>
  </si>
  <si>
    <t>J1606PIN101</t>
  </si>
  <si>
    <t>WAKEB</t>
  </si>
  <si>
    <t>D1_TC_DP90_TD01_TP__XCKPLL_MON_N</t>
  </si>
  <si>
    <t>Y14</t>
  </si>
  <si>
    <t>J1604.DS3</t>
  </si>
  <si>
    <t>J1604PIN018</t>
  </si>
  <si>
    <t>TPA603.1</t>
  </si>
  <si>
    <t>XCKPLL_MON_N</t>
  </si>
  <si>
    <t>DP90</t>
  </si>
  <si>
    <t>D1_TC_DP90_TD01_TP__XCKPLL_MON_P</t>
  </si>
  <si>
    <t>Y16</t>
  </si>
  <si>
    <t>J1604.DS4</t>
  </si>
  <si>
    <t>J1604PIN016</t>
  </si>
  <si>
    <t>TPA604.1</t>
  </si>
  <si>
    <t>XCKPLL_MON_P</t>
  </si>
  <si>
    <t>D1_TC_TD02__XTAL_IN</t>
  </si>
  <si>
    <t>Y6</t>
  </si>
  <si>
    <t>J1607.BS4</t>
  </si>
  <si>
    <t>J1607PIN027</t>
  </si>
  <si>
    <t>RA112.2</t>
  </si>
  <si>
    <t>RA113.2</t>
  </si>
  <si>
    <t>RA114.2</t>
  </si>
  <si>
    <t>RA113.1</t>
  </si>
  <si>
    <t>XTAL_IN</t>
  </si>
  <si>
    <t>Refer to the "XTAL" Tab. Differential. Site-to-Site match.</t>
  </si>
  <si>
    <t>D1_TC_TD02__XTAL_OUT</t>
  </si>
  <si>
    <t>Y7</t>
  </si>
  <si>
    <t>J1607.BS3</t>
  </si>
  <si>
    <t>J1607PIN025</t>
  </si>
  <si>
    <t>XTAL_OUT</t>
  </si>
  <si>
    <t>Refer to the  "XTAL" Tab. Differential. Site-to-Site match.</t>
  </si>
  <si>
    <t>D1_TC_TD01__TD_ANODE_2__TC</t>
  </si>
  <si>
    <t>RA32.2</t>
  </si>
  <si>
    <t>J1705.AS6</t>
  </si>
  <si>
    <t>J1705PIN076</t>
  </si>
  <si>
    <t>TD_ANODE(TC_2)</t>
  </si>
  <si>
    <t>D1_TC_TD01__TD_CATHODE_2__TC</t>
  </si>
  <si>
    <t>RA34.2</t>
  </si>
  <si>
    <t>J1705.BS5</t>
  </si>
  <si>
    <t>J1705PIN073</t>
  </si>
  <si>
    <t>TD_CATHODE(TC_2)</t>
  </si>
  <si>
    <t>ITTO-620-0190 Meteor Lake PCH X4</t>
  </si>
  <si>
    <t>SITE3</t>
    <phoneticPr fontId="4"/>
  </si>
  <si>
    <t>D3_TC_M04_DP01_TD02__CLKOUT_SRC_N_0</t>
  </si>
  <si>
    <t>J1809.DS6</t>
  </si>
  <si>
    <t>J1809PIN102</t>
  </si>
  <si>
    <t>D3_TC_M01_DP80_L67_TD01__USB31_1_TXN</t>
  </si>
  <si>
    <t>J1806.DS12</t>
  </si>
  <si>
    <t>J1806PIN090</t>
  </si>
  <si>
    <t>CC202.1</t>
  </si>
  <si>
    <t>LC203.1</t>
  </si>
  <si>
    <t>LC203.2</t>
  </si>
  <si>
    <t>D3_TC_M04_DP03_TD02__CLKOUT_SRC_N_10</t>
  </si>
  <si>
    <t>J1809.CS1</t>
  </si>
  <si>
    <t>J1809PIN109</t>
  </si>
  <si>
    <t>D3_TC_M01_DP88_L82_TD01__USB31_8_RXP</t>
  </si>
  <si>
    <t>J1806.CS4</t>
  </si>
  <si>
    <t>J1806PIN103</t>
  </si>
  <si>
    <t>CC215.2</t>
  </si>
  <si>
    <t>LC230.1</t>
  </si>
  <si>
    <t>LC230.2</t>
  </si>
  <si>
    <t>D3_TC_M04_DP05_TD02__CLKOUT_SRC_N_12</t>
  </si>
  <si>
    <t>J1807.AS5</t>
  </si>
  <si>
    <t>J1807PIN030</t>
  </si>
  <si>
    <t>D3_TC_M01_DP88_L81_TD01__USB31_8_TXN</t>
  </si>
  <si>
    <t>J1806.DS3</t>
  </si>
  <si>
    <t>J1806PIN106</t>
  </si>
  <si>
    <t>CC216.1</t>
  </si>
  <si>
    <t>LC231.1</t>
  </si>
  <si>
    <t>LC231.2</t>
  </si>
  <si>
    <t>D3_TC_M04_DP07_TD02__CLKOUT_SRC_N_2</t>
  </si>
  <si>
    <t>J1808.DS3</t>
  </si>
  <si>
    <t>J1808PIN062</t>
  </si>
  <si>
    <t>D3_TC_M01_DP62_L17_TD01__PCIE_8_TXN</t>
  </si>
  <si>
    <t>J1803.DS14</t>
  </si>
  <si>
    <t>J1803PIN086</t>
  </si>
  <si>
    <t>CC236.1</t>
  </si>
  <si>
    <t>LC271.1</t>
  </si>
  <si>
    <t>LC271.2</t>
  </si>
  <si>
    <t>D3_TC_M04_DP09_TD02__CLKOUT_SRC_N_4</t>
  </si>
  <si>
    <t>J1808.CS4</t>
  </si>
  <si>
    <t>J1808PIN059</t>
  </si>
  <si>
    <t>D3_TC_M04_DP10_TD02__CLKOUT_SRC_N_5</t>
  </si>
  <si>
    <t>J1807.DS7</t>
  </si>
  <si>
    <t>J1807PIN012</t>
  </si>
  <si>
    <t>D3_TC_TD01__GPP_R_9_ISH_SPI_CSB_GSPI2_CS0B</t>
  </si>
  <si>
    <t>J1803.CS2</t>
  </si>
  <si>
    <t>J1803PIN107</t>
  </si>
  <si>
    <t>D3_TC_M04_DP12_TD02__CLKOUT_SRC_N_7</t>
  </si>
  <si>
    <t>J1807.CS4</t>
  </si>
  <si>
    <t>J1807PIN015</t>
  </si>
  <si>
    <t>D3_TC_M14_DP74_TD01__USB2N_5</t>
  </si>
  <si>
    <t>J1805.DS7</t>
  </si>
  <si>
    <t>J1805PIN056</t>
  </si>
  <si>
    <t>D3_TC_M04_DP14_TD02__CLKOUT_SRC_N_9</t>
  </si>
  <si>
    <t>J1808.BS2</t>
  </si>
  <si>
    <t>J1808PIN067</t>
  </si>
  <si>
    <t>D3_TC_M04_DP01_TD02__CLKOUT_SRC_P_0</t>
  </si>
  <si>
    <t>J1809.DS7</t>
  </si>
  <si>
    <t>J1809PIN100</t>
  </si>
  <si>
    <t>D3_TC_M04_DP02_TD02__CLKOUT_SRC_P_1</t>
  </si>
  <si>
    <t>J1809.AS2</t>
  </si>
  <si>
    <t>J1809PIN112</t>
  </si>
  <si>
    <t>D3_TC_M04_DP03_TD02__CLKOUT_SRC_P_10</t>
  </si>
  <si>
    <t>J1809.CS2</t>
  </si>
  <si>
    <t>J1809PIN107</t>
  </si>
  <si>
    <t>D3_TC_M04_DP04_TD02__CLKOUT_SRC_P_11</t>
  </si>
  <si>
    <t>J1808.CS1</t>
  </si>
  <si>
    <t>J1808PIN065</t>
  </si>
  <si>
    <t>D3_TC_M04_DP05_TD02__CLKOUT_SRC_P_12</t>
  </si>
  <si>
    <t>J1807.AS4</t>
  </si>
  <si>
    <t>J1807PIN028</t>
  </si>
  <si>
    <t>D3_TC_M04_DP06_TD02__CLKOUT_SRC_P_13</t>
  </si>
  <si>
    <t>J1809.BS3</t>
  </si>
  <si>
    <t>J1809PIN113</t>
  </si>
  <si>
    <t>D3_TC_M04_DP07_TD02__CLKOUT_SRC_P_2</t>
  </si>
  <si>
    <t>J1808.DS4</t>
  </si>
  <si>
    <t>J1808PIN060</t>
  </si>
  <si>
    <t>D3_TC_M04_DP08_TD02__CLKOUT_SRC_P_3</t>
  </si>
  <si>
    <t>J1807.DS1</t>
  </si>
  <si>
    <t>J1807PIN022</t>
  </si>
  <si>
    <t>D3_TC_M04_DP09_TD02__CLKOUT_SRC_P_4</t>
  </si>
  <si>
    <t>J1808.CS3</t>
  </si>
  <si>
    <t>J1808PIN061</t>
  </si>
  <si>
    <t>D3_TC_DP39_TD01_TP__EXT_INJ_PHY_P_PAD</t>
  </si>
  <si>
    <t>J1805.CS3</t>
  </si>
  <si>
    <t>J1805PIN061</t>
  </si>
  <si>
    <t>TPC607.1</t>
  </si>
  <si>
    <t>D3_TC_M04_DP11_TD02__CLKOUT_SRC_P_6</t>
  </si>
  <si>
    <t>J1808.AS2</t>
  </si>
  <si>
    <t>J1808PIN068</t>
  </si>
  <si>
    <t>D3_TC_M04_DP12_TD02__CLKOUT_SRC_P_7</t>
  </si>
  <si>
    <t>J1807.CS3</t>
  </si>
  <si>
    <t>J1807PIN017</t>
  </si>
  <si>
    <t>D3_TC_M04_DP13_TD02__CLKOUT_SRC_P_8</t>
  </si>
  <si>
    <t>J1807.DS3</t>
  </si>
  <si>
    <t>J1807PIN018</t>
  </si>
  <si>
    <t>D3_TC_M04_DP14_TD02__CLKOUT_SRC_P_9</t>
  </si>
  <si>
    <t>J1808.BS3</t>
  </si>
  <si>
    <t>J1808PIN069</t>
  </si>
  <si>
    <t>D3_TC_M02_DP15_TD02__CLKOUT_XTAL_N</t>
  </si>
  <si>
    <t>J1809.DS2</t>
  </si>
  <si>
    <t>J1809PIN108</t>
  </si>
  <si>
    <t>D3_TC_M02_DP15_TD02__CLKOUT_XTAL_P</t>
  </si>
  <si>
    <t>J1809.DS1</t>
  </si>
  <si>
    <t>J1809PIN110</t>
  </si>
  <si>
    <t>D3_TC_M10_DP16_L88_TD01__CNV_WR_CLKN</t>
  </si>
  <si>
    <t>J1802.BS5</t>
  </si>
  <si>
    <t>J1802PIN073</t>
  </si>
  <si>
    <t>UC121.8</t>
  </si>
  <si>
    <t>UC121.18</t>
  </si>
  <si>
    <t>D3_TC_M10_DP16_L87_TD01__CNV_WR_CLKP</t>
  </si>
  <si>
    <t>J1802.BS4</t>
  </si>
  <si>
    <t>J1802PIN071</t>
  </si>
  <si>
    <t>UC121.2</t>
  </si>
  <si>
    <t>UC121.24</t>
  </si>
  <si>
    <t>D3_TC_M10_DP17_L90_TD01__CNV_WR_D0N</t>
  </si>
  <si>
    <t>J1801.BS4</t>
  </si>
  <si>
    <t>J1801PIN027</t>
  </si>
  <si>
    <t>UC122.8</t>
  </si>
  <si>
    <t>UC122.18</t>
  </si>
  <si>
    <t>D3_TC_M10_DP17_L89_TD01__CNV_WR_D0P</t>
  </si>
  <si>
    <t>J1801.BS5</t>
  </si>
  <si>
    <t>J1801PIN029</t>
  </si>
  <si>
    <t>UC122.2</t>
  </si>
  <si>
    <t>UC122.24</t>
  </si>
  <si>
    <t>D3_TC_M10_DP18_L92_TD01__CNV_WR_D1N</t>
  </si>
  <si>
    <t>J1801.DS6</t>
  </si>
  <si>
    <t>J1801PIN014</t>
  </si>
  <si>
    <t>UC123.8</t>
  </si>
  <si>
    <t>UC123.18</t>
  </si>
  <si>
    <t>D3_TC_M10_DP18_L91_TD01__CNV_WR_D1P</t>
  </si>
  <si>
    <t>J1801.DS7</t>
  </si>
  <si>
    <t>J1801PIN012</t>
  </si>
  <si>
    <t>UC123.2</t>
  </si>
  <si>
    <t>UC123.24</t>
  </si>
  <si>
    <t>D3_TC_M10_DP19_L88_TD01__CNV_WT_CLKN</t>
  </si>
  <si>
    <t>J1803.AS2</t>
  </si>
  <si>
    <t>J1803PIN112</t>
  </si>
  <si>
    <t>UC121.7</t>
  </si>
  <si>
    <t>UC121.19</t>
  </si>
  <si>
    <t>D3_TC_M10_DP19_L87_TD01__CNV_WT_CLKP</t>
  </si>
  <si>
    <t>J1803.AS3</t>
  </si>
  <si>
    <t>J1803PIN114</t>
  </si>
  <si>
    <t>UC121.1</t>
  </si>
  <si>
    <t>UC121.25</t>
  </si>
  <si>
    <t>D3_TC_M10_DP20_L90_TD01__CNV_WT_D0N</t>
  </si>
  <si>
    <t>J1806.CS12</t>
  </si>
  <si>
    <t>J1806PIN089</t>
  </si>
  <si>
    <t>UC122.7</t>
  </si>
  <si>
    <t>RC121.1</t>
  </si>
  <si>
    <t>UC122.19</t>
  </si>
  <si>
    <t>D3_TC_M10_DP20_L89_TD01__CNV_WT_D0P</t>
  </si>
  <si>
    <t>J1806.CS11</t>
  </si>
  <si>
    <t>J1806PIN091</t>
  </si>
  <si>
    <t>UC122.1</t>
  </si>
  <si>
    <t>KC121.3</t>
  </si>
  <si>
    <t>UC122.25</t>
  </si>
  <si>
    <t>D3_TC_M10_DP21_L92_TD01__CNV_WT_D1N</t>
  </si>
  <si>
    <t>J1805.CS9</t>
  </si>
  <si>
    <t>J1805PIN051</t>
  </si>
  <si>
    <t>UC123.7</t>
  </si>
  <si>
    <t>RC122.1</t>
  </si>
  <si>
    <t>UC123.19</t>
  </si>
  <si>
    <t>D3_TC_M10_DP21_L91_TD01__CNV_WT_D1P</t>
  </si>
  <si>
    <t>J1805.CS8</t>
  </si>
  <si>
    <t>J1805PIN053</t>
  </si>
  <si>
    <t>UC123.1</t>
  </si>
  <si>
    <t>KC122.3</t>
  </si>
  <si>
    <t>UC123.25</t>
  </si>
  <si>
    <t>D3_TC_TD01__CPU_TRSTB</t>
  </si>
  <si>
    <t>J1502.AS3</t>
  </si>
  <si>
    <t>J1502PIN070</t>
  </si>
  <si>
    <t>D3_TC_TD02__CPUPWRGD</t>
  </si>
  <si>
    <t>J1808.DS1</t>
  </si>
  <si>
    <t>J1808PIN066</t>
  </si>
  <si>
    <t>D3_TC_TD01__CRASHLOG_TRIG_N</t>
  </si>
  <si>
    <t>J1501.CS6</t>
  </si>
  <si>
    <t>J1501PIN101</t>
  </si>
  <si>
    <t>D3_TC_TD01__DBG_PMODE</t>
  </si>
  <si>
    <t>J1806.DS8</t>
  </si>
  <si>
    <t>J1806PIN098</t>
  </si>
  <si>
    <t>D3_TC_TD01__DIR_ESPI_ALERTB</t>
  </si>
  <si>
    <t>J1509.DS7</t>
  </si>
  <si>
    <t>J1509PIN012</t>
  </si>
  <si>
    <t>D3_TC_TD01__DIR_ESPI_CLK</t>
  </si>
  <si>
    <t>J1503.DS1</t>
  </si>
  <si>
    <t>J1503PIN022</t>
  </si>
  <si>
    <t>D3_TC_TD01__DIR_ESPI_CSB</t>
  </si>
  <si>
    <t>J1509.BS2</t>
  </si>
  <si>
    <t>J1509PIN023</t>
  </si>
  <si>
    <t>D3_TC_TD01__DIR_ESPI_IO_0</t>
  </si>
  <si>
    <t>J1509.BS3</t>
  </si>
  <si>
    <t>J1509PIN025</t>
  </si>
  <si>
    <t>D3_TC_TD01__DIR_ESPI_IO_1</t>
  </si>
  <si>
    <t>J1509.CS6</t>
  </si>
  <si>
    <t>J1509PIN013</t>
  </si>
  <si>
    <t>D3_TC_TD01__DIR_ESPI_IO_2</t>
  </si>
  <si>
    <t>J1506.DS1</t>
  </si>
  <si>
    <t>J1506PIN022</t>
  </si>
  <si>
    <t>D3_TC_TD01__DIR_ESPI_IO_3</t>
  </si>
  <si>
    <t>J1509.DS6</t>
  </si>
  <si>
    <t>J1509PIN014</t>
  </si>
  <si>
    <t>D3_TC_TD01__DIR_ESPI_RCLK</t>
  </si>
  <si>
    <t>J1508.DS14</t>
  </si>
  <si>
    <t>J1508PIN042</t>
  </si>
  <si>
    <t>D3_TC_TD01__DIR_ESPI_RESETB</t>
  </si>
  <si>
    <t>J1509.AS8</t>
  </si>
  <si>
    <t>J1509PIN036</t>
  </si>
  <si>
    <t>D3_TC_M13_DP22_SL07_TD01__DMI_0_RXN__TXN</t>
  </si>
  <si>
    <t>J1508.BS5</t>
  </si>
  <si>
    <t>J1508PIN073</t>
  </si>
  <si>
    <t>LC353.1</t>
  </si>
  <si>
    <t>LC353.2</t>
  </si>
  <si>
    <t>D3_TC_M13_DP22_SL08_TD01__DMI_0_RXP__TXP</t>
  </si>
  <si>
    <t>J1508.BS4</t>
  </si>
  <si>
    <t>J1508PIN071</t>
  </si>
  <si>
    <t>LC354.1</t>
  </si>
  <si>
    <t>LC354.2</t>
  </si>
  <si>
    <t>D3_TC_M13_DP24_SL09_TD01__DMI_1_RXN__TXN</t>
  </si>
  <si>
    <t>J1509.DS9</t>
  </si>
  <si>
    <t>J1509PIN008</t>
  </si>
  <si>
    <t>LC355.1</t>
  </si>
  <si>
    <t>LC355.2</t>
  </si>
  <si>
    <t>D3_TC_M13_DP24_SL10_TD01__DMI_1_RXP__TXP</t>
  </si>
  <si>
    <t>J1509.DS8</t>
  </si>
  <si>
    <t>J1509PIN010</t>
  </si>
  <si>
    <t>LC356.1</t>
  </si>
  <si>
    <t>LC356.2</t>
  </si>
  <si>
    <t>D3_TC_M13_DP26_SL11_TD01__DMI_2_RXN__TXN</t>
  </si>
  <si>
    <t>J1506.DS2</t>
  </si>
  <si>
    <t>J1506PIN020</t>
  </si>
  <si>
    <t>LC357.1</t>
  </si>
  <si>
    <t>LC357.2</t>
  </si>
  <si>
    <t>D3_TC_M13_DP26_SL12_TD01__DMI_2_RXP__TXP</t>
  </si>
  <si>
    <t>J1506.DS3</t>
  </si>
  <si>
    <t>J1506PIN018</t>
  </si>
  <si>
    <t>LC358.1</t>
  </si>
  <si>
    <t>LC358.2</t>
  </si>
  <si>
    <t>D3_TC_M13_DP28_SL13_TD01__DMI_3_RXN__TXN</t>
  </si>
  <si>
    <t>J1506.BS5</t>
  </si>
  <si>
    <t>J1506PIN029</t>
  </si>
  <si>
    <t>LC359.1</t>
  </si>
  <si>
    <t>LC359.2</t>
  </si>
  <si>
    <t>D3_TC_M13_DP28_SL14_TD01__DMI_3_RXP__TXP</t>
  </si>
  <si>
    <t>J1506.BS4</t>
  </si>
  <si>
    <t>J1506PIN027</t>
  </si>
  <si>
    <t>LC360.1</t>
  </si>
  <si>
    <t>LC360.2</t>
  </si>
  <si>
    <t>D3_TC_M13_DP30_SL15_TD01__DMI_4_RXN__TXN</t>
  </si>
  <si>
    <t>J1509.AS4</t>
  </si>
  <si>
    <t>J1509PIN028</t>
  </si>
  <si>
    <t>LC361.1</t>
  </si>
  <si>
    <t>LC361.2</t>
  </si>
  <si>
    <t>D3_TC_M13_DP30_SL16_TD01__DMI_4_RXP__TXP</t>
  </si>
  <si>
    <t>J1509.AS5</t>
  </si>
  <si>
    <t>J1509PIN030</t>
  </si>
  <si>
    <t>LC362.1</t>
  </si>
  <si>
    <t>LC362.2</t>
  </si>
  <si>
    <t>D3_TC_M13_DP32_SL17_TD01__DMI_5_RXN__TXN</t>
  </si>
  <si>
    <t>J1506.BS6</t>
  </si>
  <si>
    <t>J1506PIN031</t>
  </si>
  <si>
    <t>LC363.1</t>
  </si>
  <si>
    <t>LC363.2</t>
  </si>
  <si>
    <t>D3_TC_M13_DP32_SL18_TD01__DMI_5_RXP__TXP</t>
  </si>
  <si>
    <t>J1506.BS7</t>
  </si>
  <si>
    <t>J1506PIN033</t>
  </si>
  <si>
    <t>LC364.1</t>
  </si>
  <si>
    <t>LC364.2</t>
  </si>
  <si>
    <t>D3_TC_M13_DP34_SL19_TD01__DMI_6_RXN__TXN</t>
  </si>
  <si>
    <t>J1509.BS9</t>
  </si>
  <si>
    <t>J1509PIN037</t>
  </si>
  <si>
    <t>LC365.1</t>
  </si>
  <si>
    <t>LC365.2</t>
  </si>
  <si>
    <t>D3_TC_M13_DP34_SL20_TD01__DMI_6_RXP__TXP</t>
  </si>
  <si>
    <t>J1509.BS8</t>
  </si>
  <si>
    <t>J1509PIN035</t>
  </si>
  <si>
    <t>LC366.1</t>
  </si>
  <si>
    <t>LC366.2</t>
  </si>
  <si>
    <t>D3_TC_M13_DP36_SL21_TD01__DMI_7_RXN__TXN</t>
  </si>
  <si>
    <t>J1507.DS2</t>
  </si>
  <si>
    <t>J1507PIN108</t>
  </si>
  <si>
    <t>LC367.1</t>
  </si>
  <si>
    <t>LC367.2</t>
  </si>
  <si>
    <t>D3_TC_M13_DP36_SL22_TD01__DMI_7_RXP__TXP</t>
  </si>
  <si>
    <t>J1507.DS1</t>
  </si>
  <si>
    <t>J1507PIN110</t>
  </si>
  <si>
    <t>LC368.1</t>
  </si>
  <si>
    <t>LC368.2</t>
  </si>
  <si>
    <t>D3_TC_TD01__DMI_CLKREQB</t>
  </si>
  <si>
    <t>J1509.CS10</t>
  </si>
  <si>
    <t>J1509PIN005</t>
  </si>
  <si>
    <t>D3_TC_TD01__DMI_PERSTB</t>
  </si>
  <si>
    <t>J1507.DS14</t>
  </si>
  <si>
    <t>J1507PIN086</t>
  </si>
  <si>
    <t>D3_Z__DMI_RCOMP</t>
  </si>
  <si>
    <t>RC135.2</t>
  </si>
  <si>
    <t>D3_TC_DP38_TD01__DMI_REFCLKN</t>
  </si>
  <si>
    <t>J1504.CS1</t>
  </si>
  <si>
    <t>J1504PIN109</t>
  </si>
  <si>
    <t>D3_TC_DP38_TD01__DMI_REFCLKP</t>
  </si>
  <si>
    <t>J1504.CS2</t>
  </si>
  <si>
    <t>J1504PIN107</t>
  </si>
  <si>
    <t>D3_TC_TD01__DSW_PWROK</t>
  </si>
  <si>
    <t>J1501.CS4</t>
  </si>
  <si>
    <t>J1501PIN103</t>
  </si>
  <si>
    <t>D3_TC_TD01_TP__EDM1</t>
  </si>
  <si>
    <t>J1805.DS14</t>
  </si>
  <si>
    <t>J1805PIN042</t>
  </si>
  <si>
    <t>RC524.1</t>
  </si>
  <si>
    <t>TPC610.1</t>
  </si>
  <si>
    <t>JC3.1</t>
  </si>
  <si>
    <t>JC3.2</t>
  </si>
  <si>
    <t>RC524.2</t>
  </si>
  <si>
    <t>D3_TC_TD01_TP__EDM2</t>
  </si>
  <si>
    <t>J1806.DS14</t>
  </si>
  <si>
    <t>J1806PIN086</t>
  </si>
  <si>
    <t>TPC609.1</t>
  </si>
  <si>
    <t>D3_TC_DP39_TD01_TP__EXT_INJ_PHY_N_PAD</t>
  </si>
  <si>
    <t>J1805.CS4</t>
  </si>
  <si>
    <t>J1805PIN059</t>
  </si>
  <si>
    <t>TPC608.1</t>
  </si>
  <si>
    <t>D3_TC_M14_DP77_TD01__USB2P_8</t>
  </si>
  <si>
    <t>J1805.DS2</t>
  </si>
  <si>
    <t>J1805PIN064</t>
  </si>
  <si>
    <t>D3_TC_TD01__FBRK_OUT_N</t>
  </si>
  <si>
    <t>J1803.DS9</t>
  </si>
  <si>
    <t>J1803PIN096</t>
  </si>
  <si>
    <t>D3_P__VLC7_1_FOLD</t>
  </si>
  <si>
    <t>D3_TC_TD01__GPD_0_BATLOWB</t>
  </si>
  <si>
    <t>J1501.AS7</t>
  </si>
  <si>
    <t>J1501PIN122</t>
  </si>
  <si>
    <t>D3_TC_TD01__GPD_1_ACPRESENT</t>
  </si>
  <si>
    <t>J1802.CS1</t>
  </si>
  <si>
    <t>J1802PIN065</t>
  </si>
  <si>
    <t>D3_TC_TD01__GPD_10_SLP_S5B</t>
  </si>
  <si>
    <t>J1503.CS6</t>
  </si>
  <si>
    <t>J1503PIN013</t>
  </si>
  <si>
    <t>D3_TC_TD01__GPD_11_LANPHYPC</t>
  </si>
  <si>
    <t>J1503.CS4</t>
  </si>
  <si>
    <t>J1503PIN015</t>
  </si>
  <si>
    <t>D3_TC_TD01__GPD_12</t>
  </si>
  <si>
    <t>J1501.CS3</t>
  </si>
  <si>
    <t>J1501PIN105</t>
  </si>
  <si>
    <t>D3_TC_TD01__GPD_2_LAN_WAKEB</t>
  </si>
  <si>
    <t>J1503.DS6</t>
  </si>
  <si>
    <t>J1503PIN014</t>
  </si>
  <si>
    <t>D3_TC_TD01__GPD_3_PWRBTNB</t>
  </si>
  <si>
    <t>J1804.AS2</t>
  </si>
  <si>
    <t>J1804PIN024</t>
  </si>
  <si>
    <t>D3_TC_TD01__GPD_4_SLP_S3B</t>
  </si>
  <si>
    <t>J1503.AS3</t>
  </si>
  <si>
    <t>J1503PIN026</t>
  </si>
  <si>
    <t>D3_TC_TD01__GPD_5_SLP_S4B</t>
  </si>
  <si>
    <t>J1802.CS2</t>
  </si>
  <si>
    <t>J1802PIN063</t>
  </si>
  <si>
    <t>D3_TC_TD01__GPD_6_SLP_AB</t>
  </si>
  <si>
    <t>J1503.CS7</t>
  </si>
  <si>
    <t>J1503PIN011</t>
  </si>
  <si>
    <t>D3_TC_TD01__GPD_7</t>
  </si>
  <si>
    <t>J1803.CS13</t>
  </si>
  <si>
    <t>J1803PIN087</t>
  </si>
  <si>
    <t>D3_TC_TD01__GPD_8_SUSCLK</t>
  </si>
  <si>
    <t>J1803.DS11</t>
  </si>
  <si>
    <t>J1803PIN092</t>
  </si>
  <si>
    <t>D3_TC_TD01__GPD_9_SLP_WLANB</t>
  </si>
  <si>
    <t>J1806.BS5</t>
  </si>
  <si>
    <t>J1806PIN117</t>
  </si>
  <si>
    <t>D3_TC_TD01__GPP_A_0_ESPI_IO_0</t>
  </si>
  <si>
    <t>J1502.BS2</t>
  </si>
  <si>
    <t>J1502PIN067</t>
  </si>
  <si>
    <t>D3_TC_TD01__GPP_A_1_ESPI_IO_1</t>
  </si>
  <si>
    <t>J1502.DS2</t>
  </si>
  <si>
    <t>J1502PIN064</t>
  </si>
  <si>
    <t>D3_TC_TD01__GPP_A_10_ESPI_ALERT0B</t>
  </si>
  <si>
    <t>J1506.DS4</t>
  </si>
  <si>
    <t>J1506PIN016</t>
  </si>
  <si>
    <t>D3_TC_TD01__GPP_A_11_ESPI_ALERT1B</t>
  </si>
  <si>
    <t>J1502.CS9</t>
  </si>
  <si>
    <t>J1502PIN051</t>
  </si>
  <si>
    <t>D3_TC_TD01__GPP_A_12_ESPI_ALERT2B</t>
  </si>
  <si>
    <t>J1508.AS6</t>
  </si>
  <si>
    <t>J1508PIN076</t>
  </si>
  <si>
    <t>D3_TC_TD01__GPP_A_13_ESPI_ALERT3B</t>
  </si>
  <si>
    <t>J1505.DS10</t>
  </si>
  <si>
    <t>J1505PIN050</t>
  </si>
  <si>
    <t>D3_TC_TD01__GPP_A_2_ESPI_IO_2_SUSWARNB_SUSPWRDNACK</t>
  </si>
  <si>
    <t>J1508.CS6</t>
  </si>
  <si>
    <t>J1508PIN057</t>
  </si>
  <si>
    <t>D3_TC_TD01__GPP_A_3_ESPI_IO_3_SUSACKB</t>
  </si>
  <si>
    <t>J1508.DS8</t>
  </si>
  <si>
    <t>J1508PIN054</t>
  </si>
  <si>
    <t>D3_TC_TD01__GPP_A_4_ESPI_CS0B</t>
  </si>
  <si>
    <t>J1505.CS9</t>
  </si>
  <si>
    <t>J1505PIN051</t>
  </si>
  <si>
    <t>D3_TC_TD01__GPP_A_5_ESPI_CLK</t>
  </si>
  <si>
    <t>J1502.DS1</t>
  </si>
  <si>
    <t>J1502PIN066</t>
  </si>
  <si>
    <t>D3_TC_TD01__GPP_A_6_ESPI_RESETB</t>
  </si>
  <si>
    <t>J1508.AS2</t>
  </si>
  <si>
    <t>J1508PIN068</t>
  </si>
  <si>
    <t>D3_TC_TD01__GPP_A_7_ESPI_CS1B</t>
  </si>
  <si>
    <t>J1509.AS7</t>
  </si>
  <si>
    <t>J1509PIN034</t>
  </si>
  <si>
    <t>D3_TC_TD01__GPP_A_8_ESPI_CS2B</t>
  </si>
  <si>
    <t>J1502.AS2</t>
  </si>
  <si>
    <t>J1502PIN068</t>
  </si>
  <si>
    <t>D3_TC_TD01__GPP_A_9_ESPI_CS3B</t>
  </si>
  <si>
    <t>J1509.BS6</t>
  </si>
  <si>
    <t>J1509PIN031</t>
  </si>
  <si>
    <t>D3_TC_TD01__GPP_B_0_PCIE_LNK_DOWN</t>
  </si>
  <si>
    <t>J1506.AS3</t>
  </si>
  <si>
    <t>J1506PIN026</t>
  </si>
  <si>
    <t>D3_TC_TD01__GPP_B_1_ISH_UART0_RTSB_GSPI2_CS1B</t>
  </si>
  <si>
    <t>J1509.CS7</t>
  </si>
  <si>
    <t>J1509PIN011</t>
  </si>
  <si>
    <t>D3_TC_TD01__GPP_B_10_ISH_GP_2</t>
  </si>
  <si>
    <t>J1502.AS7</t>
  </si>
  <si>
    <t>J1502PIN078</t>
  </si>
  <si>
    <t>D3_TC_TD01__GPP_B_11_I2S_MCLK</t>
  </si>
  <si>
    <t>J1504.DS13</t>
  </si>
  <si>
    <t>J1504PIN088</t>
  </si>
  <si>
    <t>D3_TC_TD01__GPP_B_12</t>
  </si>
  <si>
    <t>J1501.CS7</t>
  </si>
  <si>
    <t>J1501PIN099</t>
  </si>
  <si>
    <t>D3_TC_TD01__GPP_B_13_PLTRSTB</t>
  </si>
  <si>
    <t>J1509.BS4</t>
  </si>
  <si>
    <t>J1509PIN027</t>
  </si>
  <si>
    <t>D3_TC_TD01__GPP_B_14</t>
  </si>
  <si>
    <t>J1501.BS4</t>
  </si>
  <si>
    <t>J1501PIN115</t>
  </si>
  <si>
    <t>D3_TC_TD01__GPP_B_15_ISH_GP_3</t>
  </si>
  <si>
    <t>J1507.AS4</t>
  </si>
  <si>
    <t>J1507PIN116</t>
  </si>
  <si>
    <t>D3_TC_TD01__GPP_B_16_ISH_GP_4</t>
  </si>
  <si>
    <t>J1502.AS5</t>
  </si>
  <si>
    <t>J1502PIN074</t>
  </si>
  <si>
    <t>D3_TC_TD01__GPP_B_17_ISH_GP_5</t>
  </si>
  <si>
    <t>J1501.DS9</t>
  </si>
  <si>
    <t>J1501PIN096</t>
  </si>
  <si>
    <t>D3_TC_TD01__GPP_B_18_PMCALERTB</t>
  </si>
  <si>
    <t>J1507.AS5</t>
  </si>
  <si>
    <t>J1507PIN118</t>
  </si>
  <si>
    <t>D3_TC_TD01__GPP_B_19_FUSA_DIAGTEST_EN</t>
  </si>
  <si>
    <t>J1501.AS3</t>
  </si>
  <si>
    <t>J1501PIN114</t>
  </si>
  <si>
    <t>D3_TC_TD01__GPP_B_2_ISH_GP_8</t>
  </si>
  <si>
    <t>J1501.BS5</t>
  </si>
  <si>
    <t>J1501PIN117</t>
  </si>
  <si>
    <t>D3_TC_TD01__GPP_B_20_FUSA_DIAGTEST_MODE</t>
  </si>
  <si>
    <t>J1501.BS8</t>
  </si>
  <si>
    <t>J1501PIN123</t>
  </si>
  <si>
    <t>D3_TC_TD01__GPP_B_21_SML1ALERTB_PCHHOTB</t>
  </si>
  <si>
    <t>J1502.DS10</t>
  </si>
  <si>
    <t>J1502PIN050</t>
  </si>
  <si>
    <t>D3_TC_TD01__GPP_B_3_CPU_GP_2</t>
  </si>
  <si>
    <t>J1506.CS7</t>
  </si>
  <si>
    <t>J1506PIN011</t>
  </si>
  <si>
    <t>D3_TC_TD01__GPP_B_4_CPU_GP_3</t>
  </si>
  <si>
    <t>J1502.AS6</t>
  </si>
  <si>
    <t>J1502PIN076</t>
  </si>
  <si>
    <t>D3_TC_TD01__GPP_B_5_SX_EXIT_HOLDOFFB_ISH_GP_6_IEH_FATAL_ERR2B</t>
  </si>
  <si>
    <t>J1504.CS13</t>
  </si>
  <si>
    <t>J1504PIN087</t>
  </si>
  <si>
    <t>D3_TC_TD01__GPP_B_6</t>
  </si>
  <si>
    <t>J1506.CS8</t>
  </si>
  <si>
    <t>J1506PIN009</t>
  </si>
  <si>
    <t>D3_TC_TD01__GPP_B_7_ISH_GP_7</t>
  </si>
  <si>
    <t>J1509.DS3</t>
  </si>
  <si>
    <t>J1509PIN018</t>
  </si>
  <si>
    <t>D3_TC_TD01__GPP_B_8_ISH_GP_0</t>
  </si>
  <si>
    <t>J1508.AS5</t>
  </si>
  <si>
    <t>J1508PIN074</t>
  </si>
  <si>
    <t>D3_TC_TD01__GPP_B_9_ISH_GP_1</t>
  </si>
  <si>
    <t>J1509.BS5</t>
  </si>
  <si>
    <t>J1509PIN029</t>
  </si>
  <si>
    <t>D3_TC_TD01__GPP_C_0_SMBCLK</t>
  </si>
  <si>
    <t>J1503.DS10</t>
  </si>
  <si>
    <t>J1503PIN006</t>
  </si>
  <si>
    <t>D3_TC_TD01__GPP_C_1_SMBDATA</t>
  </si>
  <si>
    <t>J1503.CS10</t>
  </si>
  <si>
    <t>J1503PIN005</t>
  </si>
  <si>
    <t>D3_TC_M08_SC4_TD01__GPP_C_10_UART0_RTSB</t>
  </si>
  <si>
    <t>J1506.DS10</t>
  </si>
  <si>
    <t>J1506PIN006</t>
  </si>
  <si>
    <t>D3_TC_M08_SC4_TD01__GPP_C_11_UART0_CTSB</t>
  </si>
  <si>
    <t>J1505.DS11</t>
  </si>
  <si>
    <t>J1505PIN048</t>
  </si>
  <si>
    <t>D3_TC_M08_SC4_TD01__GPP_C_12_UART1_RXD_ISH_UART1_RXD</t>
  </si>
  <si>
    <t>J1504.BS9</t>
  </si>
  <si>
    <t>J1504PIN125</t>
  </si>
  <si>
    <t>D3_TC_M08_SC4_TD01__GPP_C_13_UART1_TXD_ISH_UART1_TXD</t>
  </si>
  <si>
    <t>J1501.DS1</t>
  </si>
  <si>
    <t>J1501PIN110</t>
  </si>
  <si>
    <t>D3_TC_M08_SC4_TD01__GPP_C_14_UART1_RTSB_ISH_UART1_RTSB</t>
  </si>
  <si>
    <t>J1501.AS5</t>
  </si>
  <si>
    <t>J1501PIN118</t>
  </si>
  <si>
    <t>D3_TC_M08_SC4_TD01__GPP_C_15_UART1_CTSB_ISH_UART1_CTSB</t>
  </si>
  <si>
    <t>J1505.BS7</t>
  </si>
  <si>
    <t>J1505PIN077</t>
  </si>
  <si>
    <t>D3_TC_M08_SC4_TD01__GPP_C_16_USB2_OCB_4_I2C4_SDA</t>
  </si>
  <si>
    <t>J1501.BS3</t>
  </si>
  <si>
    <t>J1501PIN113</t>
  </si>
  <si>
    <t>D3_TC_M08_SC4_TD01__GPP_C_17_USB2_OCB_5_I2C4_SCL</t>
  </si>
  <si>
    <t>J1503.CS1</t>
  </si>
  <si>
    <t>J1503PIN021</t>
  </si>
  <si>
    <t>D3_TC_M08_SC4_TD01__GPP_C_18_USB2_OCB_6_I2C5_SDA</t>
  </si>
  <si>
    <t>J1504.AS6</t>
  </si>
  <si>
    <t>J1504PIN120</t>
  </si>
  <si>
    <t>D3_TC_M08_SC4_TD01__GPP_C_19_USB2_OCB_7_I2C5_SCL</t>
  </si>
  <si>
    <t>J1505.DS12</t>
  </si>
  <si>
    <t>J1505PIN046</t>
  </si>
  <si>
    <t>D3_TC_TD01__GPP_C_2_SMBALERTB</t>
  </si>
  <si>
    <t>J1507.DS9</t>
  </si>
  <si>
    <t>J1507PIN096</t>
  </si>
  <si>
    <t>D3_TC_M08_SC4_TD01__GPP_C_20_UART2_RXD_CNV_MFUART0_RXD</t>
  </si>
  <si>
    <t>J1504.DS6</t>
  </si>
  <si>
    <t>J1504PIN102</t>
  </si>
  <si>
    <t>D3_TC_M08_SC4_TD01__GPP_C_21_UART2_TXD_CNV_MFUART0_TXD</t>
  </si>
  <si>
    <t>J1501.BS9</t>
  </si>
  <si>
    <t>J1501PIN125</t>
  </si>
  <si>
    <t>D3_TC_TD01__GPP_C_22_UART2_RTSB_CNV_MFUART0_RTS_B</t>
  </si>
  <si>
    <t>J1508.AS3</t>
  </si>
  <si>
    <t>J1508PIN070</t>
  </si>
  <si>
    <t>D3_TC_TD01__GPP_C_23_UART2_CTSB_CNV_MFUART0_CTS_B</t>
  </si>
  <si>
    <t>J1507.CS6</t>
  </si>
  <si>
    <t>J1507PIN101</t>
  </si>
  <si>
    <t>D3_TC_TD01__GPP_C_3_ISH_UART0_RXD_SML0BDATA_I2C2_SDA</t>
  </si>
  <si>
    <t>J1801.BS14</t>
  </si>
  <si>
    <t>J1801PIN039</t>
  </si>
  <si>
    <t>D3_TC_TD01__GPP_C_4_ISH_UART0_TXD_SML0BCLK_I2C2_SCL</t>
  </si>
  <si>
    <t>J1504.BS5</t>
  </si>
  <si>
    <t>J1504PIN117</t>
  </si>
  <si>
    <t>D3_TC_TD01__GPP_C_5_SML0ALERTB</t>
  </si>
  <si>
    <t>J1501.AS2</t>
  </si>
  <si>
    <t>J1501PIN112</t>
  </si>
  <si>
    <t>D3_TC_TD01__GPP_C_6_ISH_I2C2_SDA_I2C3_SDA</t>
  </si>
  <si>
    <t>J1508.AS4</t>
  </si>
  <si>
    <t>J1508PIN072</t>
  </si>
  <si>
    <t>D3_TC_M08_SC4_TD01__GPP_C_7_ISH_I2C2_SCL_I2C3_SCL</t>
  </si>
  <si>
    <t>J1505.CS7</t>
  </si>
  <si>
    <t>J1505PIN055</t>
  </si>
  <si>
    <t>D3_TC_M08_SC4_TD01__GPP_C_8_UART0_RXD</t>
  </si>
  <si>
    <t>J1505.BS8</t>
  </si>
  <si>
    <t>J1505PIN079</t>
  </si>
  <si>
    <t>D3_TC_M08_SC4_TD01__GPP_C_9_UART0_TXD</t>
  </si>
  <si>
    <t>J1505.CS6</t>
  </si>
  <si>
    <t>J1505PIN057</t>
  </si>
  <si>
    <t>D3_TC_TD01__GPP_D_0_SRCCLKREQB_0</t>
  </si>
  <si>
    <t>J1802.CS6</t>
  </si>
  <si>
    <t>J1802PIN057</t>
  </si>
  <si>
    <t>D3_TC_TD01__GPP_D_1_SRCCLKREQB_1</t>
  </si>
  <si>
    <t>J1805.AS4</t>
  </si>
  <si>
    <t>J1805PIN072</t>
  </si>
  <si>
    <t>D3_TC_TD01__GPP_D_10_SML0DATA</t>
  </si>
  <si>
    <t>J1805.AS5</t>
  </si>
  <si>
    <t>J1805PIN074</t>
  </si>
  <si>
    <t>D3_TC_TD01__GPP_D_11_SRCCLKREQB_4</t>
  </si>
  <si>
    <t>J1803.CS7</t>
  </si>
  <si>
    <t>J1803PIN099</t>
  </si>
  <si>
    <t>D3_TC_TD01__GPP_D_12_SRCCLKREQB_5</t>
  </si>
  <si>
    <t>J1805.CS7</t>
  </si>
  <si>
    <t>J1805PIN055</t>
  </si>
  <si>
    <t>D3_TC_TD01__GPP_D_13_SRCCLKREQB_6</t>
  </si>
  <si>
    <t>J1501.BS2</t>
  </si>
  <si>
    <t>J1501PIN111</t>
  </si>
  <si>
    <t>D3_TC_TD01__GPP_D_14_SRCCLKREQB_7</t>
  </si>
  <si>
    <t>J1805.AS8</t>
  </si>
  <si>
    <t>J1805PIN080</t>
  </si>
  <si>
    <t>D3_TC_TD01__GPP_D_15_SML1DATA</t>
  </si>
  <si>
    <t>J1801.DS3</t>
  </si>
  <si>
    <t>J1801PIN018</t>
  </si>
  <si>
    <t>D3_TC_TD01__GPP_D_16_GSPI3_CS0B_THC1_SPI2_CSB</t>
  </si>
  <si>
    <t>J1804.CS4</t>
  </si>
  <si>
    <t>J1804PIN015</t>
  </si>
  <si>
    <t>D3_TC_TD01__GPP_D_17_GSPI3_CLK_THC1_SPI2_CLK</t>
  </si>
  <si>
    <t>J1802.AS5</t>
  </si>
  <si>
    <t>J1802PIN074</t>
  </si>
  <si>
    <t>D3_TC_TD01__GPP_D_18_GSPI3_MISO_THC1_SPI2_IO_0</t>
  </si>
  <si>
    <t>J1801.CS6</t>
  </si>
  <si>
    <t>J1801PIN013</t>
  </si>
  <si>
    <t>D3_TC_TD01__GPP_D_19_GSPI3_MOSI_THC1_SPI2_IO_1</t>
  </si>
  <si>
    <t>J1803.CS8</t>
  </si>
  <si>
    <t>J1803PIN097</t>
  </si>
  <si>
    <t>D3_TC_TD01__GPP_D_2_SRCCLKREQB_2</t>
  </si>
  <si>
    <t>J1804.BS3</t>
  </si>
  <si>
    <t>J1804PIN025</t>
  </si>
  <si>
    <t>D3_TC_TD01__GPP_D_20_UART3_RXD_THC1_SPI2_IO_2</t>
  </si>
  <si>
    <t>J1803.DS8</t>
  </si>
  <si>
    <t>J1803PIN098</t>
  </si>
  <si>
    <t>D3_TC_TD01__GPP_D_21_UART3_TXD_THC1_SPI2_IO_3</t>
  </si>
  <si>
    <t>J1802.BS6</t>
  </si>
  <si>
    <t>J1802PIN075</t>
  </si>
  <si>
    <t>D3_TC_TD01__GPP_D_22_UART3_RTSB_THC1_SPI2_RSTB</t>
  </si>
  <si>
    <t>J1805.BS5</t>
  </si>
  <si>
    <t>J1805PIN073</t>
  </si>
  <si>
    <t>D3_TC_TD01__GPP_D_23_UART3_CTSB_THC1_SPI2_INTB</t>
  </si>
  <si>
    <t>J1804.AS4</t>
  </si>
  <si>
    <t>J1804PIN028</t>
  </si>
  <si>
    <t>D3_TC_TD01__GPP_D_3_SRCCLKREQB_3</t>
  </si>
  <si>
    <t>J1805.BS4</t>
  </si>
  <si>
    <t>J1805PIN071</t>
  </si>
  <si>
    <t>D3_TC_TD01__GPP_D_4_SML1CLK</t>
  </si>
  <si>
    <t>J1804.AS6</t>
  </si>
  <si>
    <t>J1804PIN032</t>
  </si>
  <si>
    <t>D3_TC_TD01__GPP_D_5_I2S2_SFRM_CNV_RF_RESET_B_DMIC_DATA_0</t>
  </si>
  <si>
    <t>J1802.DS10</t>
  </si>
  <si>
    <t>J1802PIN050</t>
  </si>
  <si>
    <t>D3_TC_TD01__GPP_D_6_I2S2_TXD_MODEM_CLKREQ_DMIC_CLK_B_0</t>
  </si>
  <si>
    <t>J1802.DS9</t>
  </si>
  <si>
    <t>J1802PIN052</t>
  </si>
  <si>
    <t>D3_TC_TD01__GPP_D_7_I2S2_RXD_DMIC_DATA_1</t>
  </si>
  <si>
    <t>J1802.AS4</t>
  </si>
  <si>
    <t>J1802PIN072</t>
  </si>
  <si>
    <t>D3_TC_TD01__GPP_D_8_I2S2_SCLK_DMIC_CLK_A_0</t>
  </si>
  <si>
    <t>J1801.CS7</t>
  </si>
  <si>
    <t>J1801PIN011</t>
  </si>
  <si>
    <t>D3_TC_TD01__GPP_D_9_SML0CLK</t>
  </si>
  <si>
    <t>J1804.AS14</t>
  </si>
  <si>
    <t>J1804PIN040</t>
  </si>
  <si>
    <t>D3_TC_M07_SC4_TD01__GPP_E_0_SATAXPCIE_0_SATAGP_0</t>
  </si>
  <si>
    <t>J1507.CS8</t>
  </si>
  <si>
    <t>J1507PIN097</t>
  </si>
  <si>
    <t>D3_TC_M07_SC4_TD01__GPP_E_1_SATAXPCIE_1_SATAGP_1</t>
  </si>
  <si>
    <t>J1505.BS9</t>
  </si>
  <si>
    <t>J1505PIN081</t>
  </si>
  <si>
    <t>D3_TC_M07_SC4_TD01__GPP_E_10_SRCCLKREQB_13</t>
  </si>
  <si>
    <t>J1801.BS6</t>
  </si>
  <si>
    <t>J1801PIN031</t>
  </si>
  <si>
    <t>D3_TC_M07_SC4_TD01__GPP_E_11_ISH_GP_9</t>
  </si>
  <si>
    <t>J1505.CS1</t>
  </si>
  <si>
    <t>J1505PIN065</t>
  </si>
  <si>
    <t>D3_TC_M07_SC4_TD01__GPP_E_12_ISH_GP_10</t>
  </si>
  <si>
    <t>J1802.DS2</t>
  </si>
  <si>
    <t>J1802PIN064</t>
  </si>
  <si>
    <t>D3_TC_M07_SC4_TD01__GPP_E_13_THC0_SPI1_CSB</t>
  </si>
  <si>
    <t>J1801.BS8</t>
  </si>
  <si>
    <t>J1801PIN035</t>
  </si>
  <si>
    <t>D3_TC_M07_SC4_TD01__GPP_E_14_THC0_SPI1_CLK</t>
  </si>
  <si>
    <t>J1505.AS2</t>
  </si>
  <si>
    <t>J1505PIN068</t>
  </si>
  <si>
    <t>D3_TC_M07_SC4_TD01__GPP_E_15_THC0_SPI1_IO_1</t>
  </si>
  <si>
    <t>J1507.DS13</t>
  </si>
  <si>
    <t>J1507PIN088</t>
  </si>
  <si>
    <t>D3_TC_M07_SC4_TD01__GPP_E_16_THC0_SPI1_IO_0</t>
  </si>
  <si>
    <t>J1507.DS8</t>
  </si>
  <si>
    <t>J1507PIN098</t>
  </si>
  <si>
    <t>D3_TC_SC4_TD01__GPP_E_17_THC0_SPI1_IO_2</t>
  </si>
  <si>
    <t>J1506.AS5</t>
  </si>
  <si>
    <t>J1506PIN030</t>
  </si>
  <si>
    <t>D3_TC_M07_SC4_TD01__GPP_E_18_THC0_SPI1_IO_3</t>
  </si>
  <si>
    <t>J1502.AS8</t>
  </si>
  <si>
    <t>J1502PIN080</t>
  </si>
  <si>
    <t>D3_TC_M07_SC4_TD01__GPP_E_19_THC0_SPI1_RSTB</t>
  </si>
  <si>
    <t>J1801.BS7</t>
  </si>
  <si>
    <t>J1801PIN033</t>
  </si>
  <si>
    <t>D3_TC_M07_SC4_TD01__GPP_E_2_SATAXPCIE_2_SATAGP_2</t>
  </si>
  <si>
    <t>J1802.BS14</t>
  </si>
  <si>
    <t>J1802PIN083</t>
  </si>
  <si>
    <t>D3_TC_M07_SC4_TD01__GPP_E_20_THC0_SPI1_INTB</t>
  </si>
  <si>
    <t>J1802.DS3</t>
  </si>
  <si>
    <t>J1802PIN062</t>
  </si>
  <si>
    <t>D3_TC_M07_SC4_TD01__GPP_E_21_ISH_UART0_CTSB_SML0BALERTB</t>
  </si>
  <si>
    <t>J1502.CS11</t>
  </si>
  <si>
    <t>J1502PIN047</t>
  </si>
  <si>
    <t>D3_TC_M07_SC4_TD01__GPP_E_3_CPU_GP_0</t>
  </si>
  <si>
    <t>J1505.CS8</t>
  </si>
  <si>
    <t>J1505PIN053</t>
  </si>
  <si>
    <t>D3_TC_M07_SC4_TD01__GPP_E_4_SATA_DEVSLP_0</t>
  </si>
  <si>
    <t>J1801.CS10</t>
  </si>
  <si>
    <t>J1801PIN005</t>
  </si>
  <si>
    <t>D3_TC_M07_SC4_TD01__GPP_E_5_SATA_DEVSLP_1</t>
  </si>
  <si>
    <t>J1802.AS14</t>
  </si>
  <si>
    <t>J1802PIN084</t>
  </si>
  <si>
    <t>D3_TC_M07_SC4_TD01__GPP_E_6_SATA_DEVSLP_2</t>
  </si>
  <si>
    <t>J1802.AS3</t>
  </si>
  <si>
    <t>J1802PIN070</t>
  </si>
  <si>
    <t>D3_TC_M07_SC4_TD01__GPP_E_7_CPU_GP_1</t>
  </si>
  <si>
    <t>J1802.AS2</t>
  </si>
  <si>
    <t>J1802PIN068</t>
  </si>
  <si>
    <t>D3_TC_M07_SC4_TD01__GPP_E_8_SATA_LEDB</t>
  </si>
  <si>
    <t>J1506.AS4</t>
  </si>
  <si>
    <t>J1506PIN028</t>
  </si>
  <si>
    <t>D3_TC_M07_SC4_TD01__GPP_E_9_SRCCLKREQB_12</t>
  </si>
  <si>
    <t>J1504.CS6</t>
  </si>
  <si>
    <t>J1504PIN101</t>
  </si>
  <si>
    <t>D3_TC_TD01__GPP_F_0_SATAXPCIE_3_SATAGP_3</t>
  </si>
  <si>
    <t>J1508.CS7</t>
  </si>
  <si>
    <t>J1508PIN055</t>
  </si>
  <si>
    <t>D3_TC_TD01__GPP_F_1_SATAXPCIE_4_SATAGP_4</t>
  </si>
  <si>
    <t>J1507.AS8</t>
  </si>
  <si>
    <t>J1507PIN124</t>
  </si>
  <si>
    <t>D3_TC_M07_SC4_TD01__GPP_F_10_SATA_SCLOCK_DIR_ESPI_NMI</t>
  </si>
  <si>
    <t>J1503.CS8</t>
  </si>
  <si>
    <t>J1503PIN009</t>
  </si>
  <si>
    <t>D3_TC_M07_SC4_TD01__GPP_F_11_SATA_SLOAD_DIR_ESPI_IRQ</t>
  </si>
  <si>
    <t>J1801.CS4</t>
  </si>
  <si>
    <t>J1801PIN015</t>
  </si>
  <si>
    <t>D3_TC_M07_SC4_TD01__GPP_F_12_SATA_SDATAOUT1_DIR_ESPI_WAKE</t>
  </si>
  <si>
    <t>J1502.BS9</t>
  </si>
  <si>
    <t>J1502PIN081</t>
  </si>
  <si>
    <t>D3_TC_M07_SC4_TD01__GPP_F_13_SATA_SDATAOUT0_DIR_ESPI_SCI</t>
  </si>
  <si>
    <t>J1502.BS8</t>
  </si>
  <si>
    <t>J1502PIN079</t>
  </si>
  <si>
    <t>D3_TC_M07_SC4_TD01__GPP_F_14</t>
  </si>
  <si>
    <t>J1801.DS4</t>
  </si>
  <si>
    <t>J1801PIN016</t>
  </si>
  <si>
    <t>D3_TC_M07_SC4_TD01__GPP_F_15</t>
  </si>
  <si>
    <t>J1503.CS9</t>
  </si>
  <si>
    <t>J1503PIN007</t>
  </si>
  <si>
    <t>D3_TC_M07_SC4_TD01__GPP_F_16</t>
  </si>
  <si>
    <t>J1503.BS9</t>
  </si>
  <si>
    <t>J1503PIN037</t>
  </si>
  <si>
    <t>D3_TC_M07_SC4_TD01__GPP_F_17</t>
  </si>
  <si>
    <t>J1801.AS2</t>
  </si>
  <si>
    <t>J1801PIN024</t>
  </si>
  <si>
    <t>D3_TC_M07_SC4_TD01__GPP_F_18</t>
  </si>
  <si>
    <t>J1502.BS3</t>
  </si>
  <si>
    <t>J1502PIN069</t>
  </si>
  <si>
    <t>D3_TC_M07_SC4_TD01__GPP_F_19_DNX_FORCE_RELOAD</t>
  </si>
  <si>
    <t>J1506.CS10</t>
  </si>
  <si>
    <t>J1506PIN005</t>
  </si>
  <si>
    <t>D3_TC_TD01__GPP_F_2_SATAXPCIE_5_SATAGP_5</t>
  </si>
  <si>
    <t>J1507.AS7</t>
  </si>
  <si>
    <t>J1507PIN122</t>
  </si>
  <si>
    <t>D3_TC_SC4_TD01__GPP_F_20_GMII_MDC_0</t>
  </si>
  <si>
    <t>J1506.CS9</t>
  </si>
  <si>
    <t>J1506PIN007</t>
  </si>
  <si>
    <t>D3_TC_TD01__GPP_F_21_GMII_MDIO_0</t>
  </si>
  <si>
    <t>J1501.DS10</t>
  </si>
  <si>
    <t>J1501PIN094</t>
  </si>
  <si>
    <t>D3_TC_TD01__GPP_F_22_IEH_CORR_ERR0B</t>
  </si>
  <si>
    <t>J1803.BS5</t>
  </si>
  <si>
    <t>J1803PIN117</t>
  </si>
  <si>
    <t>D3_TC_TD01__GPP_F_23_IEH_NONFATAL_ERR1B</t>
  </si>
  <si>
    <t>J1508.DS9</t>
  </si>
  <si>
    <t>J1508PIN052</t>
  </si>
  <si>
    <t>D3_TC_TD01__GPP_F_3_SATAXPCIE_6_SATAGP_6</t>
  </si>
  <si>
    <t>J1803.AS4</t>
  </si>
  <si>
    <t>J1803PIN116</t>
  </si>
  <si>
    <t>D3_TC_TD01__GPP_F_4_SATAXPCIE_7_SATAGP_7</t>
  </si>
  <si>
    <t>J1803.BS4</t>
  </si>
  <si>
    <t>J1803PIN115</t>
  </si>
  <si>
    <t>D3_TC_TD01__GPP_F_5_SATA_DEVSLP_3</t>
  </si>
  <si>
    <t>J1501.CS12</t>
  </si>
  <si>
    <t>J1501PIN089</t>
  </si>
  <si>
    <t>D3_TC_TD01__GPP_F_6_SATA_DEVSLP_4</t>
  </si>
  <si>
    <t>J1508.DS10</t>
  </si>
  <si>
    <t>J1508PIN050</t>
  </si>
  <si>
    <t>D3_TC_M07_SC4_TD01__GPP_F_7_SATA_DEVSLP_5</t>
  </si>
  <si>
    <t>J1502.DS7</t>
  </si>
  <si>
    <t>J1502PIN056</t>
  </si>
  <si>
    <t>D3_TC_M07_SC4_TD01__GPP_F_8_SATA_DEVSLP_6</t>
  </si>
  <si>
    <t>J1506.BS8</t>
  </si>
  <si>
    <t>J1506PIN035</t>
  </si>
  <si>
    <t>D3_TC_M07_SC4_TD01__GPP_F_9_SATA_DEVSLP_7_DIR_ESPI_SMI</t>
  </si>
  <si>
    <t>J1501.AS4</t>
  </si>
  <si>
    <t>J1501PIN116</t>
  </si>
  <si>
    <t>D3_TC_M08_SC4_TD01__GPP_H_0</t>
  </si>
  <si>
    <t>J1503.BS6</t>
  </si>
  <si>
    <t>J1503PIN031</t>
  </si>
  <si>
    <t>D3_TC_M08_SC4_TD01__GPP_H_1_SRCCLKREQB_8</t>
  </si>
  <si>
    <t>J1801.DS8</t>
  </si>
  <si>
    <t>J1801PIN010</t>
  </si>
  <si>
    <t>D3_TC_M08_SC4_TD01__GPP_H_10_SML2DATA</t>
  </si>
  <si>
    <t>J1503.BS8</t>
  </si>
  <si>
    <t>J1503PIN035</t>
  </si>
  <si>
    <t>D3_TC_M08_SC4_TD01__GPP_H_11_SML2ALERTB</t>
  </si>
  <si>
    <t>J1501.CS2</t>
  </si>
  <si>
    <t>J1501PIN107</t>
  </si>
  <si>
    <t>D3_TC_M08_SC4_TD01__GPP_H_12_SML3CLK</t>
  </si>
  <si>
    <t>J1801.AS7</t>
  </si>
  <si>
    <t>J1801PIN034</t>
  </si>
  <si>
    <t>D3_TC_M08_SC4_TD01__GPP_H_13_SML3DATA</t>
  </si>
  <si>
    <t>J1504.DS12</t>
  </si>
  <si>
    <t>J1504PIN090</t>
  </si>
  <si>
    <t>D3_TC_M08_SC4_TD01__GPP_H_14_SML3ALERTB</t>
  </si>
  <si>
    <t>J1501.CS8</t>
  </si>
  <si>
    <t>J1501PIN097</t>
  </si>
  <si>
    <t>D3_TC_M08_SC4_TD01__GPP_H_15_SML4CLK</t>
  </si>
  <si>
    <t>J1501.CS11</t>
  </si>
  <si>
    <t>J1501PIN091</t>
  </si>
  <si>
    <t>D3_TC_M08_SC4_TD01__GPP_H_16_SML4DATA</t>
  </si>
  <si>
    <t>J1502.BS7</t>
  </si>
  <si>
    <t>J1502PIN077</t>
  </si>
  <si>
    <t>D3_TC_M08_SC4_TD01__GPP_H_17_SML4ALERTB</t>
  </si>
  <si>
    <t>J1503.AS2</t>
  </si>
  <si>
    <t>J1503PIN024</t>
  </si>
  <si>
    <t>D3_TC_M08_SC4_TD01__GPP_H_18_ISH_I2C1_SDA_SMIB</t>
  </si>
  <si>
    <t>J1501.CS10</t>
  </si>
  <si>
    <t>J1501PIN093</t>
  </si>
  <si>
    <t>D3_TC_M08_SC4_TD01__GPP_H_19_ISH_I2C1_SCL_NMIB</t>
  </si>
  <si>
    <t>J1501.DS2</t>
  </si>
  <si>
    <t>J1501PIN108</t>
  </si>
  <si>
    <t>D3_TC_SC4_TD01__GPP_H_2_SRCCLKREQB_9</t>
  </si>
  <si>
    <t>J1504.DS7</t>
  </si>
  <si>
    <t>J1504PIN100</t>
  </si>
  <si>
    <t>D3_TC_M08_SC4_TD01__GPP_H_3_SRCCLKREQB_10</t>
  </si>
  <si>
    <t>J1501.CS9</t>
  </si>
  <si>
    <t>J1501PIN095</t>
  </si>
  <si>
    <t>D3_TC_M08_SC4_TD01__GPP_H_4_SRCCLKREQB_11</t>
  </si>
  <si>
    <t>J1802.DS14</t>
  </si>
  <si>
    <t>J1802PIN042</t>
  </si>
  <si>
    <t>D3_TC_M08_SC4_TD01__GPP_H_5_USB2_OCB_0</t>
  </si>
  <si>
    <t>J1506.AS2</t>
  </si>
  <si>
    <t>J1506PIN024</t>
  </si>
  <si>
    <t>D3_TC_M08_SC4_TD01__GPP_H_6_USB2_OCB_1</t>
  </si>
  <si>
    <t>J1502.DS6</t>
  </si>
  <si>
    <t>J1502PIN058</t>
  </si>
  <si>
    <t>D3_TC_M08_SC4_TD01__GPP_H_7_USB2_OCB_2_GMII_MDC_1</t>
  </si>
  <si>
    <t>J1503.AS6</t>
  </si>
  <si>
    <t>J1503PIN032</t>
  </si>
  <si>
    <t>D3_TC_M08_SC4_TD01__GPP_H_8_USB2_OCB_3_GMII_MDIO_1</t>
  </si>
  <si>
    <t>J1801.AS3</t>
  </si>
  <si>
    <t>J1801PIN026</t>
  </si>
  <si>
    <t>D3_TC_M08_SC4_TD01__GPP_H_9_SML2CLK</t>
  </si>
  <si>
    <t>J1502.CS10</t>
  </si>
  <si>
    <t>J1502PIN049</t>
  </si>
  <si>
    <t>D3_TC_TD01__GPP_I_0_GSPI0_CS1B</t>
  </si>
  <si>
    <t>J1504.CS7</t>
  </si>
  <si>
    <t>J1504PIN099</t>
  </si>
  <si>
    <t>D3_TC_TD01__GPP_I_1_GSPI1_CS1B</t>
  </si>
  <si>
    <t>J1501.DS4</t>
  </si>
  <si>
    <t>J1501PIN104</t>
  </si>
  <si>
    <t>D3_TC_TD01__GPP_I_10_GSPI1_CS0B</t>
  </si>
  <si>
    <t>J1804.BS14</t>
  </si>
  <si>
    <t>J1804PIN039</t>
  </si>
  <si>
    <t>D3_TC_TD01__GPP_I_11_GSPI1_CLK_NFC_CLK</t>
  </si>
  <si>
    <t>J1806.CS9</t>
  </si>
  <si>
    <t>J1806PIN095</t>
  </si>
  <si>
    <t>D3_TC_TD01__GPP_I_12_GSPI1_MISO_NFC_CLKREQ</t>
  </si>
  <si>
    <t>J1501.BS7</t>
  </si>
  <si>
    <t>J1501PIN121</t>
  </si>
  <si>
    <t>D3_TC_TD01__GPP_I_13_GSPI1_MOSI</t>
  </si>
  <si>
    <t>J1804.BS4</t>
  </si>
  <si>
    <t>J1804PIN027</t>
  </si>
  <si>
    <t>D3_TC_TD01__GPP_I_14_ISH_I2C0_SDA_ISH_I3C0_SDA</t>
  </si>
  <si>
    <t>J1806.CS10</t>
  </si>
  <si>
    <t>J1806PIN093</t>
  </si>
  <si>
    <t>D3_TC_TD01__GPP_I_15_ISH_I2C0_SCL_ISH_I3C0_SCL</t>
  </si>
  <si>
    <t>J1804.BS5</t>
  </si>
  <si>
    <t>J1804PIN029</t>
  </si>
  <si>
    <t>D3_TC_TD01__GPP_I_16_ISH_GP_11</t>
  </si>
  <si>
    <t>J1803.DS10</t>
  </si>
  <si>
    <t>J1803PIN094</t>
  </si>
  <si>
    <t>D3_TC_TD01__GPP_I_2_I2C0_SDA_I3C0_SDA</t>
  </si>
  <si>
    <t>J1501.DS3</t>
  </si>
  <si>
    <t>J1501PIN106</t>
  </si>
  <si>
    <t>D3_TC_TD01__GPP_I_3_I2C0_SCL_I3C0_SCL</t>
  </si>
  <si>
    <t>J1502.AS9</t>
  </si>
  <si>
    <t>J1502PIN082</t>
  </si>
  <si>
    <t>D3_TC_TD01__GPP_I_4_I2C1_SDA</t>
  </si>
  <si>
    <t>J1803.DS12</t>
  </si>
  <si>
    <t>J1803PIN090</t>
  </si>
  <si>
    <t>D3_TC_TD01__GPP_I_5_I2C1_SCL</t>
  </si>
  <si>
    <t>J1804.CS3</t>
  </si>
  <si>
    <t>J1804PIN017</t>
  </si>
  <si>
    <t>D3_TC_TD01__GPP_I_6_GSPI0_CS0B</t>
  </si>
  <si>
    <t>J1806.DS10</t>
  </si>
  <si>
    <t>J1806PIN094</t>
  </si>
  <si>
    <t>D3_TC_TD01__GPP_I_7_GSPI0_CLK</t>
  </si>
  <si>
    <t>J1804.DS13</t>
  </si>
  <si>
    <t>J1804PIN004</t>
  </si>
  <si>
    <t>D3_TC_TD01__GPP_I_8_GSPI0_MISO</t>
  </si>
  <si>
    <t>J1804.CS7</t>
  </si>
  <si>
    <t>J1804PIN011</t>
  </si>
  <si>
    <t>D3_TC_TD01__GPP_I_9_GSPI0_MOSI</t>
  </si>
  <si>
    <t>J1804.CS8</t>
  </si>
  <si>
    <t>J1804PIN009</t>
  </si>
  <si>
    <t>D3_TC_TD01__GPP_J_0_CNV_PA_BLANKING</t>
  </si>
  <si>
    <t>J1806.AS4</t>
  </si>
  <si>
    <t>J1806PIN116</t>
  </si>
  <si>
    <t>D3_TC_TD01__GPP_J_1_CNV_BRI_DT_UART0_RTSB</t>
  </si>
  <si>
    <t>J1805.DS12</t>
  </si>
  <si>
    <t>J1805PIN046</t>
  </si>
  <si>
    <t>D3_TC_TD01__GPP_J_10_BPKI3C_SCL</t>
  </si>
  <si>
    <t>J1806.BS4</t>
  </si>
  <si>
    <t>J1806PIN115</t>
  </si>
  <si>
    <t>D3_TC_TD01__GPP_J_11_DAM</t>
  </si>
  <si>
    <t>J1803.CS3</t>
  </si>
  <si>
    <t>J1803PIN105</t>
  </si>
  <si>
    <t>D3_TC_TD01__GPP_J_12_HDACPU_SDI</t>
  </si>
  <si>
    <t>J1501.AS6</t>
  </si>
  <si>
    <t>J1501PIN120</t>
  </si>
  <si>
    <t>D3_TC_TD01__GPP_J_13_HDACPU_SDO</t>
  </si>
  <si>
    <t>J1802.DS12</t>
  </si>
  <si>
    <t>J1802PIN046</t>
  </si>
  <si>
    <t>D3_TC_TD01__GPP_J_14_HDACPU_BCLK</t>
  </si>
  <si>
    <t>J1502.AS4</t>
  </si>
  <si>
    <t>J1502PIN072</t>
  </si>
  <si>
    <t>D3_TC_TD01__GPP_J_15_AUX_PWRGD</t>
  </si>
  <si>
    <t>J1801.CS3</t>
  </si>
  <si>
    <t>J1801PIN017</t>
  </si>
  <si>
    <t>D3_TC_TD01__GPP_J_16_GLB_RST_WARN_B</t>
  </si>
  <si>
    <t>J1802.DS8</t>
  </si>
  <si>
    <t>J1802PIN054</t>
  </si>
  <si>
    <t>D3_TC_TD01__GPP_J_2_CNV_BRI_RSP_UART0_RXD</t>
  </si>
  <si>
    <t>J1806.CS8</t>
  </si>
  <si>
    <t>J1806PIN097</t>
  </si>
  <si>
    <t>D3_TC_TD01__GPP_J_3_CNV_RGI_DT_UART0_TXD</t>
  </si>
  <si>
    <t>J1803.BS6</t>
  </si>
  <si>
    <t>J1803PIN119</t>
  </si>
  <si>
    <t>D3_TC_TD01__GPP_J_4_CNV_RGI_RSP_UART0_CTSB</t>
  </si>
  <si>
    <t>J1804.AS3</t>
  </si>
  <si>
    <t>J1804PIN026</t>
  </si>
  <si>
    <t>D3_TC_TD01__GPP_J_5_CNV_MFUART2_RXD</t>
  </si>
  <si>
    <t>J1501.CS1</t>
  </si>
  <si>
    <t>J1501PIN109</t>
  </si>
  <si>
    <t>D3_TC_TD01__GPP_J_6_CNV_MFUART2_TXD</t>
  </si>
  <si>
    <t>J1806.AS9</t>
  </si>
  <si>
    <t>J1806PIN126</t>
  </si>
  <si>
    <t>D3_TC_TD01__GPP_J_7_BOOTHALT_B</t>
  </si>
  <si>
    <t>J1501.BS6</t>
  </si>
  <si>
    <t>J1501PIN119</t>
  </si>
  <si>
    <t>D3_TC_TD01__GPP_J_8_RTCCLKOUT</t>
  </si>
  <si>
    <t>J1806.AS5</t>
  </si>
  <si>
    <t>J1806PIN118</t>
  </si>
  <si>
    <t>D3_TC_TD01__GPP_J_9_BPKI3C_SDA</t>
  </si>
  <si>
    <t>J1802.DS13</t>
  </si>
  <si>
    <t>J1802PIN044</t>
  </si>
  <si>
    <t>D3_TC_TD01__GPP_K_0_GSXDOUT</t>
  </si>
  <si>
    <t>J1507.AS9</t>
  </si>
  <si>
    <t>J1507PIN126</t>
  </si>
  <si>
    <t>D3_TC_TD01__GPP_K_1_GSXSLOAD</t>
  </si>
  <si>
    <t>J1507.CS7</t>
  </si>
  <si>
    <t>J1507PIN099</t>
  </si>
  <si>
    <t>D3_TC_TD01__GPP_K_2_GSXDIN</t>
  </si>
  <si>
    <t>J1501.CS13</t>
  </si>
  <si>
    <t>J1501PIN087</t>
  </si>
  <si>
    <t>D3_TC_TD01__GPP_K_3_GSXSRESETB</t>
  </si>
  <si>
    <t>J1501.CS14</t>
  </si>
  <si>
    <t>J1501PIN085</t>
  </si>
  <si>
    <t>D3_TC_TD01__GPP_K_4_GSXCLK</t>
  </si>
  <si>
    <t>J1501.AS14</t>
  </si>
  <si>
    <t>J1501PIN128</t>
  </si>
  <si>
    <t>D3_TC_TD01__GPP_K_5_ADR_COMPLETE</t>
  </si>
  <si>
    <t>J1507.CS9</t>
  </si>
  <si>
    <t>J1507PIN095</t>
  </si>
  <si>
    <t>D3_TC_TD01__GPP_K_8_CORE_VID_0</t>
  </si>
  <si>
    <t>J1507.AS6</t>
  </si>
  <si>
    <t>J1507PIN120</t>
  </si>
  <si>
    <t>D3_TC_TD01__GPP_K_9_CORE_VID_1</t>
  </si>
  <si>
    <t>J1508.DS11</t>
  </si>
  <si>
    <t>J1508PIN048</t>
  </si>
  <si>
    <t>D3_TC_TD01__GPP_R_0_HDA_BCLK_I2S0_SCLK_HDACPU_BCLK_DMIC_CLK_A_1</t>
  </si>
  <si>
    <t>J1801.CS9</t>
  </si>
  <si>
    <t>J1801PIN007</t>
  </si>
  <si>
    <t>D3_TC_TD01__GPP_R_1_HDA_SYNC_I2S0_SFRM_DMIC_CLK_B_1</t>
  </si>
  <si>
    <t>J1805.DS9</t>
  </si>
  <si>
    <t>J1805PIN052</t>
  </si>
  <si>
    <t>D3_TC_TD01__GPP_R_10_ISH_SPI_CLK_GSPI2_CLK</t>
  </si>
  <si>
    <t>J1805.DS8</t>
  </si>
  <si>
    <t>J1805PIN054</t>
  </si>
  <si>
    <t>D3_TC_TD01__GPP_R_11_ISH_SPI_MISO_GSPI2_MISO</t>
  </si>
  <si>
    <t>J1803.AS14</t>
  </si>
  <si>
    <t>J1803PIN128</t>
  </si>
  <si>
    <t>D3_TC_TD01__GPP_R_12_ISH_SPI_MOSI_GSPI2_MOSI</t>
  </si>
  <si>
    <t>J1802.AS8</t>
  </si>
  <si>
    <t>J1802PIN080</t>
  </si>
  <si>
    <t>D3_TC_TD01__GPP_R_2_HDA_SDO_I2S0_TXD_HDACPU_SDO</t>
  </si>
  <si>
    <t>J1804.AS5</t>
  </si>
  <si>
    <t>J1804PIN030</t>
  </si>
  <si>
    <t>D3_TC_TD01__GPP_R_3_HDA_SDI_0_I2S0_RXD_HDACPU_SDI</t>
  </si>
  <si>
    <t>J1802.DS4</t>
  </si>
  <si>
    <t>J1802PIN060</t>
  </si>
  <si>
    <t>D3_TC_TD01__GPP_R_4_HDA_RSTB</t>
  </si>
  <si>
    <t>J1805.CS6</t>
  </si>
  <si>
    <t>J1805PIN057</t>
  </si>
  <si>
    <t>D3_TC_TD01__GPP_R_5_HDA_SDI_1_I2S1_RXD</t>
  </si>
  <si>
    <t>J1806.AS7</t>
  </si>
  <si>
    <t>J1806PIN122</t>
  </si>
  <si>
    <t>D3_TC_TD01__GPP_R_6_I2S1_TXD</t>
  </si>
  <si>
    <t>J1804.DS8</t>
  </si>
  <si>
    <t>J1804PIN010</t>
  </si>
  <si>
    <t>D3_TC_TD01__GPP_R_7_I2S1_SFRM</t>
  </si>
  <si>
    <t>J1803.CS1</t>
  </si>
  <si>
    <t>J1803PIN109</t>
  </si>
  <si>
    <t>D3_TC_TD01__GPP_R_8_I2S1_SCLK</t>
  </si>
  <si>
    <t>J1806.AS6</t>
  </si>
  <si>
    <t>J1806PIN120</t>
  </si>
  <si>
    <t>D3_TC_M14_DP65_TD01__USB2P_1</t>
  </si>
  <si>
    <t>J1806.DS2</t>
  </si>
  <si>
    <t>J1806PIN108</t>
  </si>
  <si>
    <t>D3_TC_TD01__GPP_S_0_SNDW0_CLK_RGMII_AUXTS_0</t>
  </si>
  <si>
    <t>J1504.BS8</t>
  </si>
  <si>
    <t>J1504PIN123</t>
  </si>
  <si>
    <t>D3_TC_TD01__GPP_S_1_SNDW0_DATA0_RGMII_INT_0</t>
  </si>
  <si>
    <t>J1803.AS5</t>
  </si>
  <si>
    <t>J1803PIN118</t>
  </si>
  <si>
    <t>D3_TC_TD01__GPP_S_2_SNDW1_CLK_DMIC_CLK_A_0_RGMII_RESET_0_SNDW0_DATA1</t>
  </si>
  <si>
    <t>J1505.DS13</t>
  </si>
  <si>
    <t>J1505PIN044</t>
  </si>
  <si>
    <t>D3_TC_TD01__GPP_S_3_SNDW1_DATA_DMIC_DATA_0_RGMII_PPS_0_SNDW0_DATA2</t>
  </si>
  <si>
    <t>J1801.AS4</t>
  </si>
  <si>
    <t>J1801PIN028</t>
  </si>
  <si>
    <t>D3_TC_TD01__GPP_S_4_SNDW2_CLK_DMIC_CLK_B_0_RGMII_AUXTS_1_SNDW0_DATA3</t>
  </si>
  <si>
    <t>J1802.DS1</t>
  </si>
  <si>
    <t>J1802PIN066</t>
  </si>
  <si>
    <t>D3_TC_TD01__GPP_S_5_SNDW2_DATA_DMIC_CLK_B_1_RGMII_INT_1</t>
  </si>
  <si>
    <t>J1506.CS14</t>
  </si>
  <si>
    <t>J1506PIN001</t>
  </si>
  <si>
    <t>D3_TC_TD01__GPP_S_6_SNDW3_CLK_DMIC_CLK_A_1_RGMII_RESET_1</t>
  </si>
  <si>
    <t>J1505.CS2</t>
  </si>
  <si>
    <t>J1505PIN063</t>
  </si>
  <si>
    <t>D3_TC_TD01__GPP_S_7_SNDW3_DATA_DMIC_DATA_1_RGMII_PPS_1</t>
  </si>
  <si>
    <t>J1801.AS5</t>
  </si>
  <si>
    <t>J1801PIN030</t>
  </si>
  <si>
    <t>D3_TC_TD02__INTRUDERB</t>
  </si>
  <si>
    <t>J1809.DS3</t>
  </si>
  <si>
    <t>J1809PIN106</t>
  </si>
  <si>
    <t>D3_TC_M03_TD01__JTAG_TCK</t>
  </si>
  <si>
    <t>J1501.DS7</t>
  </si>
  <si>
    <t>J1501PIN100</t>
  </si>
  <si>
    <t>RC516.1</t>
  </si>
  <si>
    <t>D3_TC_M03_TD01__JTAG_TDI</t>
  </si>
  <si>
    <t>J1806.CS14</t>
  </si>
  <si>
    <t>J1806PIN085</t>
  </si>
  <si>
    <t>RC517.1</t>
  </si>
  <si>
    <t>D3_TC_M03_TD01__JTAG_TDO</t>
  </si>
  <si>
    <t>J1806.DS13</t>
  </si>
  <si>
    <t>J1806PIN088</t>
  </si>
  <si>
    <t>RC518.1</t>
  </si>
  <si>
    <t>D3_TC_M03_TD01__JTAG_TMS</t>
  </si>
  <si>
    <t>J1805.BS14</t>
  </si>
  <si>
    <t>J1805PIN083</t>
  </si>
  <si>
    <t>RC519.1</t>
  </si>
  <si>
    <t>D3_TC_M03_TD01__JTAGX</t>
  </si>
  <si>
    <t>J1805.CS14</t>
  </si>
  <si>
    <t>J1805PIN041</t>
  </si>
  <si>
    <t>RC520.1</t>
  </si>
  <si>
    <t>D3_TC_TD01_TD02__MATCHLOOP</t>
  </si>
  <si>
    <t>J1809.DS14</t>
  </si>
  <si>
    <t>J1809PIN086</t>
  </si>
  <si>
    <t>SMAC1.1</t>
  </si>
  <si>
    <t>D3_TC_M14_DP72_TD01__USB2P_3</t>
  </si>
  <si>
    <t>J1806.AS2</t>
  </si>
  <si>
    <t>J1806PIN112</t>
  </si>
  <si>
    <t>D3_TC_TD02__MLK_DATA</t>
  </si>
  <si>
    <t>J1807.BS2</t>
  </si>
  <si>
    <t>J1807PIN023</t>
  </si>
  <si>
    <t>D3_TC_TD02__MLK_RSTB</t>
  </si>
  <si>
    <t>J1807.AS9</t>
  </si>
  <si>
    <t>J1807PIN038</t>
  </si>
  <si>
    <t>D3_P__OTP0_VPP</t>
  </si>
  <si>
    <t>D3_P__OTP1_VPP</t>
  </si>
  <si>
    <t>D3_TC_TD01__PCH_PWROK</t>
  </si>
  <si>
    <t>J1503.DS2</t>
  </si>
  <si>
    <t>J1503PIN020</t>
  </si>
  <si>
    <t>D3_TC_M01_DP40_L11_TD01__PCIE_1_RXN</t>
  </si>
  <si>
    <t>J1502.CS3</t>
  </si>
  <si>
    <t>J1502PIN061</t>
  </si>
  <si>
    <t>CC222.2</t>
  </si>
  <si>
    <t>LC244.1</t>
  </si>
  <si>
    <t>LC244.2</t>
  </si>
  <si>
    <t>D3_TC_M01_DP40_L12_TD01__PCIE_1_RXP</t>
  </si>
  <si>
    <t>J1502.CS4</t>
  </si>
  <si>
    <t>J1502PIN059</t>
  </si>
  <si>
    <t>CC221.2</t>
  </si>
  <si>
    <t>LC242.1</t>
  </si>
  <si>
    <t>LC242.2</t>
  </si>
  <si>
    <t>D3_TC_M01_DP40_L11_TD01__PCIE_1_TXN</t>
  </si>
  <si>
    <t>J1803.DS6</t>
  </si>
  <si>
    <t>J1803PIN102</t>
  </si>
  <si>
    <t>CC222.1</t>
  </si>
  <si>
    <t>LC243.1</t>
  </si>
  <si>
    <t>LC243.2</t>
  </si>
  <si>
    <t>D3_TC_M01_DP40_L12_TD01__PCIE_1_TXP</t>
  </si>
  <si>
    <t>J1803.DS7</t>
  </si>
  <si>
    <t>J1803PIN100</t>
  </si>
  <si>
    <t>CC221.1</t>
  </si>
  <si>
    <t>LC241.1</t>
  </si>
  <si>
    <t>LC241.2</t>
  </si>
  <si>
    <t>D3_TC_M01_DP41_L29_TD01__PCIE_10_TSN_1_RXN</t>
  </si>
  <si>
    <t>J1503.CS3</t>
  </si>
  <si>
    <t>J1503PIN017</t>
  </si>
  <si>
    <t>CC240.2</t>
  </si>
  <si>
    <t>LC280.1</t>
  </si>
  <si>
    <t>LC280.2</t>
  </si>
  <si>
    <t>D3_TC_M01_DP41_L30_TD01__PCIE_10_TSN_1_RXP</t>
  </si>
  <si>
    <t>J1503.CS2</t>
  </si>
  <si>
    <t>J1503PIN019</t>
  </si>
  <si>
    <t>CC239.2</t>
  </si>
  <si>
    <t>LC278.1</t>
  </si>
  <si>
    <t>LC278.2</t>
  </si>
  <si>
    <t>D3_TC_M01_DP41_L29_TD01__PCIE_10_TSN_1_TXN</t>
  </si>
  <si>
    <t>J1503.DS4</t>
  </si>
  <si>
    <t>J1503PIN016</t>
  </si>
  <si>
    <t>CC240.1</t>
  </si>
  <si>
    <t>LC279.1</t>
  </si>
  <si>
    <t>LC279.2</t>
  </si>
  <si>
    <t>D3_TC_M01_DP41_L30_TD01__PCIE_10_TSN_1_TXP</t>
  </si>
  <si>
    <t>J1503.DS3</t>
  </si>
  <si>
    <t>J1503PIN018</t>
  </si>
  <si>
    <t>CC239.1</t>
  </si>
  <si>
    <t>LC277.1</t>
  </si>
  <si>
    <t>LC277.2</t>
  </si>
  <si>
    <t>D3_TC_M01_DP42_L31_TD01__PCIE_11_RXN</t>
  </si>
  <si>
    <t>J1502.DS14</t>
  </si>
  <si>
    <t>J1502PIN042</t>
  </si>
  <si>
    <t>CC242.2</t>
  </si>
  <si>
    <t>LC284.1</t>
  </si>
  <si>
    <t>LC284.2</t>
  </si>
  <si>
    <t>D3_TC_M01_DP42_L32_TD01__PCIE_11_RXP</t>
  </si>
  <si>
    <t>J1502.DS13</t>
  </si>
  <si>
    <t>J1502PIN044</t>
  </si>
  <si>
    <t>CC241.2</t>
  </si>
  <si>
    <t>LC282.1</t>
  </si>
  <si>
    <t>LC282.2</t>
  </si>
  <si>
    <t>D3_TC_M01_DP42_L31_TD01__PCIE_11_TXN</t>
  </si>
  <si>
    <t>J1801.DS10</t>
  </si>
  <si>
    <t>J1801PIN006</t>
  </si>
  <si>
    <t>CC242.1</t>
  </si>
  <si>
    <t>LC283.1</t>
  </si>
  <si>
    <t>LC283.2</t>
  </si>
  <si>
    <t>D3_TC_M01_DP42_L32_TD01__PCIE_11_TXP</t>
  </si>
  <si>
    <t>J1801.DS9</t>
  </si>
  <si>
    <t>J1801PIN008</t>
  </si>
  <si>
    <t>CC241.1</t>
  </si>
  <si>
    <t>LC281.1</t>
  </si>
  <si>
    <t>LC281.2</t>
  </si>
  <si>
    <t>D3_TC_M01_DP43_L33_TD01__PCIE_12_RXN</t>
  </si>
  <si>
    <t>J1506.CS2</t>
  </si>
  <si>
    <t>J1506PIN019</t>
  </si>
  <si>
    <t>CC244.2</t>
  </si>
  <si>
    <t>LC288.1</t>
  </si>
  <si>
    <t>LC288.2</t>
  </si>
  <si>
    <t>D3_TC_M01_DP43_L34_TD01__PCIE_12_RXP</t>
  </si>
  <si>
    <t>J1506.CS1</t>
  </si>
  <si>
    <t>J1506PIN021</t>
  </si>
  <si>
    <t>CC243.2</t>
  </si>
  <si>
    <t>LC286.1</t>
  </si>
  <si>
    <t>LC286.2</t>
  </si>
  <si>
    <t>D3_TC_M01_DP43_L33_TD01__PCIE_12_TXN</t>
  </si>
  <si>
    <t>J1506.DS9</t>
  </si>
  <si>
    <t>J1506PIN008</t>
  </si>
  <si>
    <t>CC244.1</t>
  </si>
  <si>
    <t>LC287.1</t>
  </si>
  <si>
    <t>LC287.2</t>
  </si>
  <si>
    <t>D3_TC_M01_DP43_L34_TD01__PCIE_12_TXP</t>
  </si>
  <si>
    <t>J1506.DS8</t>
  </si>
  <si>
    <t>J1506PIN010</t>
  </si>
  <si>
    <t>CC243.1</t>
  </si>
  <si>
    <t>LC285.1</t>
  </si>
  <si>
    <t>LC285.2</t>
  </si>
  <si>
    <t>D3_TC_M01_DP44_L35_TD01__PCIE_13_SATA_0_RXN</t>
  </si>
  <si>
    <t>J1504.DS9</t>
  </si>
  <si>
    <t>J1504PIN096</t>
  </si>
  <si>
    <t>CC246.2</t>
  </si>
  <si>
    <t>LC292.1</t>
  </si>
  <si>
    <t>LC292.2</t>
  </si>
  <si>
    <t>D3_TC_M01_DP44_L36_TD01__PCIE_13_SATA_0_RXP</t>
  </si>
  <si>
    <t>J1504.DS8</t>
  </si>
  <si>
    <t>J1504PIN098</t>
  </si>
  <si>
    <t>CC245.2</t>
  </si>
  <si>
    <t>LC290.1</t>
  </si>
  <si>
    <t>LC290.2</t>
  </si>
  <si>
    <t>D3_TC_M01_DP44_L35_TD01__PCIE_13_SATA_0_TXN</t>
  </si>
  <si>
    <t>J1503.BS5</t>
  </si>
  <si>
    <t>J1503PIN029</t>
  </si>
  <si>
    <t>CC246.1</t>
  </si>
  <si>
    <t>LC291.1</t>
  </si>
  <si>
    <t>LC291.2</t>
  </si>
  <si>
    <t>D3_TC_M01_DP44_L36_TD01__PCIE_13_SATA_0_TXP</t>
  </si>
  <si>
    <t>J1503.BS4</t>
  </si>
  <si>
    <t>J1503PIN027</t>
  </si>
  <si>
    <t>CC245.1</t>
  </si>
  <si>
    <t>LC289.1</t>
  </si>
  <si>
    <t>LC289.2</t>
  </si>
  <si>
    <t>D3_TC_M01_DP45_L37_TD01__PCIE_14_SATA_1_RXN</t>
  </si>
  <si>
    <t>J1802.CS13</t>
  </si>
  <si>
    <t>J1802PIN043</t>
  </si>
  <si>
    <t>CC248.2</t>
  </si>
  <si>
    <t>LC296.1</t>
  </si>
  <si>
    <t>LC296.2</t>
  </si>
  <si>
    <t>D3_TC_M01_DP45_L38_TD01__PCIE_14_SATA_1_RXP</t>
  </si>
  <si>
    <t>J1802.CS14</t>
  </si>
  <si>
    <t>J1802PIN041</t>
  </si>
  <si>
    <t>CC247.2</t>
  </si>
  <si>
    <t>LC294.1</t>
  </si>
  <si>
    <t>LC294.2</t>
  </si>
  <si>
    <t>D3_TC_M01_DP45_L37_TD01__PCIE_14_SATA_1_TXN</t>
  </si>
  <si>
    <t>J1802.DS11</t>
  </si>
  <si>
    <t>J1802PIN048</t>
  </si>
  <si>
    <t>CC248.1</t>
  </si>
  <si>
    <t>LC295.1</t>
  </si>
  <si>
    <t>LC295.2</t>
  </si>
  <si>
    <t>D3_TC_M01_DP45_L38_TD01__PCIE_14_SATA_1_TXP</t>
  </si>
  <si>
    <t>J1802.CS11</t>
  </si>
  <si>
    <t>J1802PIN047</t>
  </si>
  <si>
    <t>CC247.1</t>
  </si>
  <si>
    <t>LC293.1</t>
  </si>
  <si>
    <t>LC293.2</t>
  </si>
  <si>
    <t>D3_TC_M01_DP46_L39_TD01__PCIE_15_SATA_2_LAN_0C_RXN</t>
  </si>
  <si>
    <t>J1504.AS5</t>
  </si>
  <si>
    <t>J1504PIN118</t>
  </si>
  <si>
    <t>CC250.2</t>
  </si>
  <si>
    <t>LC300.1</t>
  </si>
  <si>
    <t>LC300.2</t>
  </si>
  <si>
    <t>D3_TC_M01_DP46_L40_TD01__PCIE_15_SATA_2_LAN_0C_RXP</t>
  </si>
  <si>
    <t>J1504.AS4</t>
  </si>
  <si>
    <t>J1504PIN116</t>
  </si>
  <si>
    <t>CC249.2</t>
  </si>
  <si>
    <t>LC298.1</t>
  </si>
  <si>
    <t>LC298.2</t>
  </si>
  <si>
    <t>D3_TC_M01_DP46_L39_TD01__PCIE_15_SATA_2_LAN_0C_TXN</t>
  </si>
  <si>
    <t>J1504.AS2</t>
  </si>
  <si>
    <t>J1504PIN112</t>
  </si>
  <si>
    <t>CC250.1</t>
  </si>
  <si>
    <t>LC299.1</t>
  </si>
  <si>
    <t>LC299.2</t>
  </si>
  <si>
    <t>D3_TC_M01_DP46_L40_TD01__PCIE_15_SATA_2_LAN_0C_TXP</t>
  </si>
  <si>
    <t>J1504.AS3</t>
  </si>
  <si>
    <t>J1504PIN114</t>
  </si>
  <si>
    <t>CC249.1</t>
  </si>
  <si>
    <t>LC297.1</t>
  </si>
  <si>
    <t>LC297.2</t>
  </si>
  <si>
    <t>D3_TC_M01_DP47_L41_TD01__PCIE_16_SATA_3_RXN</t>
  </si>
  <si>
    <t>J1505.AS9</t>
  </si>
  <si>
    <t>J1505PIN082</t>
  </si>
  <si>
    <t>CC252.2</t>
  </si>
  <si>
    <t>LC304.1</t>
  </si>
  <si>
    <t>LC304.2</t>
  </si>
  <si>
    <t>D3_TC_M01_DP47_L42_TD01__PCIE_16_SATA_3_RXP</t>
  </si>
  <si>
    <t>J1505.AS8</t>
  </si>
  <si>
    <t>J1505PIN080</t>
  </si>
  <si>
    <t>CC251.2</t>
  </si>
  <si>
    <t>LC302.1</t>
  </si>
  <si>
    <t>LC302.2</t>
  </si>
  <si>
    <t>D3_TC_M01_DP47_L41_TD01__PCIE_16_SATA_3_TXN</t>
  </si>
  <si>
    <t>J1801.DS14</t>
  </si>
  <si>
    <t>J1801PIN002</t>
  </si>
  <si>
    <t>CC252.1</t>
  </si>
  <si>
    <t>LC303.1</t>
  </si>
  <si>
    <t>LC303.2</t>
  </si>
  <si>
    <t>D3_TC_M01_DP47_L42_TD01__PCIE_16_SATA_3_TXP</t>
  </si>
  <si>
    <t>J1801.CS14</t>
  </si>
  <si>
    <t>J1801PIN001</t>
  </si>
  <si>
    <t>CC251.1</t>
  </si>
  <si>
    <t>LC301.1</t>
  </si>
  <si>
    <t>LC301.2</t>
  </si>
  <si>
    <t>D3_TC_M01_DP48_L43_TD01__PCIE_17_SATA_4_RXN</t>
  </si>
  <si>
    <t>J1505.DS4</t>
  </si>
  <si>
    <t>J1505PIN060</t>
  </si>
  <si>
    <t>CC254.2</t>
  </si>
  <si>
    <t>LC308.1</t>
  </si>
  <si>
    <t>LC308.2</t>
  </si>
  <si>
    <t>D3_TC_M01_DP48_L44_TD01__PCIE_17_SATA_4_RXP</t>
  </si>
  <si>
    <t>J1505.DS3</t>
  </si>
  <si>
    <t>J1505PIN062</t>
  </si>
  <si>
    <t>CC253.2</t>
  </si>
  <si>
    <t>LC306.1</t>
  </si>
  <si>
    <t>LC306.2</t>
  </si>
  <si>
    <t>D3_TC_M01_DP48_L43_TD01__PCIE_17_SATA_4_TXN</t>
  </si>
  <si>
    <t>J1507.DS12</t>
  </si>
  <si>
    <t>J1507PIN090</t>
  </si>
  <si>
    <t>CC254.1</t>
  </si>
  <si>
    <t>LC307.1</t>
  </si>
  <si>
    <t>LC307.2</t>
  </si>
  <si>
    <t>D3_TC_M01_DP48_L44_TD01__PCIE_17_SATA_4_TXP</t>
  </si>
  <si>
    <t>J1507.DS11</t>
  </si>
  <si>
    <t>J1507PIN092</t>
  </si>
  <si>
    <t>CC253.1</t>
  </si>
  <si>
    <t>LC305.1</t>
  </si>
  <si>
    <t>LC305.2</t>
  </si>
  <si>
    <t>D3_TC_M01_DP49_L45_TD01__PCIE_18_SATA_5_RXN</t>
  </si>
  <si>
    <t>J1504.DS3</t>
  </si>
  <si>
    <t>J1504PIN106</t>
  </si>
  <si>
    <t>CC256.2</t>
  </si>
  <si>
    <t>LC312.1</t>
  </si>
  <si>
    <t>LC312.2</t>
  </si>
  <si>
    <t>D3_TC_M01_DP49_L46_TD01__PCIE_18_SATA_5_RXP</t>
  </si>
  <si>
    <t>J1504.DS4</t>
  </si>
  <si>
    <t>J1504PIN104</t>
  </si>
  <si>
    <t>CC255.2</t>
  </si>
  <si>
    <t>LC310.1</t>
  </si>
  <si>
    <t>LC310.2</t>
  </si>
  <si>
    <t>D3_TC_M01_DP49_L45_TD01__PCIE_18_SATA_5_TXN</t>
  </si>
  <si>
    <t>J1504.BS4</t>
  </si>
  <si>
    <t>J1504PIN115</t>
  </si>
  <si>
    <t>CC256.1</t>
  </si>
  <si>
    <t>LC311.1</t>
  </si>
  <si>
    <t>LC311.2</t>
  </si>
  <si>
    <t>D3_TC_M01_DP49_L46_TD01__PCIE_18_SATA_5_TXP</t>
  </si>
  <si>
    <t>J1504.BS3</t>
  </si>
  <si>
    <t>J1504PIN113</t>
  </si>
  <si>
    <t>CC255.1</t>
  </si>
  <si>
    <t>LC309.1</t>
  </si>
  <si>
    <t>LC309.2</t>
  </si>
  <si>
    <t>D3_TC_M01_DP50_L47_TD01__PCIE_19_SATA_6_RXN</t>
  </si>
  <si>
    <t>J1503.AS5</t>
  </si>
  <si>
    <t>J1503PIN030</t>
  </si>
  <si>
    <t>CC258.2</t>
  </si>
  <si>
    <t>LC316.1</t>
  </si>
  <si>
    <t>LC316.2</t>
  </si>
  <si>
    <t>D3_TC_M01_DP50_L48_TD01__PCIE_19_SATA_6_RXP</t>
  </si>
  <si>
    <t>J1503.AS4</t>
  </si>
  <si>
    <t>J1503PIN028</t>
  </si>
  <si>
    <t>CC257.2</t>
  </si>
  <si>
    <t>LC314.1</t>
  </si>
  <si>
    <t>LC314.2</t>
  </si>
  <si>
    <t>D3_TC_M01_DP50_L47_TD01__PCIE_19_SATA_6_TXN</t>
  </si>
  <si>
    <t>J1504.DS2</t>
  </si>
  <si>
    <t>J1504PIN108</t>
  </si>
  <si>
    <t>CC258.1</t>
  </si>
  <si>
    <t>LC315.1</t>
  </si>
  <si>
    <t>LC315.2</t>
  </si>
  <si>
    <t>D3_TC_M01_DP50_L48_TD01__PCIE_19_SATA_6_TXP</t>
  </si>
  <si>
    <t>J1504.DS1</t>
  </si>
  <si>
    <t>J1504PIN110</t>
  </si>
  <si>
    <t>CC257.1</t>
  </si>
  <si>
    <t>LC313.1</t>
  </si>
  <si>
    <t>LC313.2</t>
  </si>
  <si>
    <t>D3_TC_M01_DP51_L13_TD01__PCIE_2_RXN</t>
  </si>
  <si>
    <t>J1804.AS8</t>
  </si>
  <si>
    <t>J1804PIN036</t>
  </si>
  <si>
    <t>CC224.2</t>
  </si>
  <si>
    <t>LC248.1</t>
  </si>
  <si>
    <t>LC248.2</t>
  </si>
  <si>
    <t>D3_TC_M01_DP51_L14_TD01__PCIE_2_RXP</t>
  </si>
  <si>
    <t>J1804.AS7</t>
  </si>
  <si>
    <t>J1804PIN034</t>
  </si>
  <si>
    <t>CC223.2</t>
  </si>
  <si>
    <t>LC246.1</t>
  </si>
  <si>
    <t>LC246.2</t>
  </si>
  <si>
    <t>D3_TC_M01_DP51_L13_TD01__PCIE_2_TXN</t>
  </si>
  <si>
    <t>J1502.DS12</t>
  </si>
  <si>
    <t>J1502PIN046</t>
  </si>
  <si>
    <t>CC224.1</t>
  </si>
  <si>
    <t>LC247.1</t>
  </si>
  <si>
    <t>LC247.2</t>
  </si>
  <si>
    <t>D3_TC_M01_DP51_L14_TD01__PCIE_2_TXP</t>
  </si>
  <si>
    <t>J1502.DS11</t>
  </si>
  <si>
    <t>J1502PIN048</t>
  </si>
  <si>
    <t>CC223.1</t>
  </si>
  <si>
    <t>LC245.1</t>
  </si>
  <si>
    <t>LC245.2</t>
  </si>
  <si>
    <t>D3_TC_M01_DP52_L49_TD01__PCIE_20_SATA_7_RXN</t>
  </si>
  <si>
    <t>J1505.CS4</t>
  </si>
  <si>
    <t>J1505PIN059</t>
  </si>
  <si>
    <t>CC260.2</t>
  </si>
  <si>
    <t>LC320.1</t>
  </si>
  <si>
    <t>LC320.2</t>
  </si>
  <si>
    <t>D3_TC_M01_DP52_L50_TD01__PCIE_20_SATA_7_RXP</t>
  </si>
  <si>
    <t>J1505.CS3</t>
  </si>
  <si>
    <t>J1505PIN061</t>
  </si>
  <si>
    <t>CC259.2</t>
  </si>
  <si>
    <t>LC318.1</t>
  </si>
  <si>
    <t>LC318.2</t>
  </si>
  <si>
    <t>D3_TC_M01_DP52_L49_TD01__PCIE_20_SATA_7_TXN</t>
  </si>
  <si>
    <t>J1507.BS9</t>
  </si>
  <si>
    <t>J1507PIN125</t>
  </si>
  <si>
    <t>CC260.1</t>
  </si>
  <si>
    <t>LC319.1</t>
  </si>
  <si>
    <t>LC319.2</t>
  </si>
  <si>
    <t>D3_TC_M01_DP52_L50_TD01__PCIE_20_SATA_7_TXP</t>
  </si>
  <si>
    <t>J1507.BS8</t>
  </si>
  <si>
    <t>J1507PIN123</t>
  </si>
  <si>
    <t>CC259.1</t>
  </si>
  <si>
    <t>LC317.1</t>
  </si>
  <si>
    <t>LC317.2</t>
  </si>
  <si>
    <t>D3_TC_M01_DP53_L51_TD01__PCIE_21_RXN</t>
  </si>
  <si>
    <t>J1506.BS2</t>
  </si>
  <si>
    <t>J1506PIN023</t>
  </si>
  <si>
    <t>CC262.2</t>
  </si>
  <si>
    <t>LC324.1</t>
  </si>
  <si>
    <t>LC324.2</t>
  </si>
  <si>
    <t>D3_TC_M01_DP53_L52_TD01__PCIE_21_RXP</t>
  </si>
  <si>
    <t>J1506.BS3</t>
  </si>
  <si>
    <t>J1506PIN025</t>
  </si>
  <si>
    <t>CC261.2</t>
  </si>
  <si>
    <t>LC322.1</t>
  </si>
  <si>
    <t>LC322.2</t>
  </si>
  <si>
    <t>D3_TC_M01_DP53_L51_TD01__PCIE_21_TXN</t>
  </si>
  <si>
    <t>J1507.CS4</t>
  </si>
  <si>
    <t>J1507PIN103</t>
  </si>
  <si>
    <t>CC262.1</t>
  </si>
  <si>
    <t>LC323.1</t>
  </si>
  <si>
    <t>LC323.2</t>
  </si>
  <si>
    <t>D3_TC_M01_DP53_L52_TD01__PCIE_21_TXP</t>
  </si>
  <si>
    <t>J1507.CS3</t>
  </si>
  <si>
    <t>J1507PIN105</t>
  </si>
  <si>
    <t>CC261.1</t>
  </si>
  <si>
    <t>LC321.1</t>
  </si>
  <si>
    <t>LC321.2</t>
  </si>
  <si>
    <t>D3_TC_M01_DP54_L53_TD01__PCIE_22_RXN</t>
  </si>
  <si>
    <t>J1507.BS6</t>
  </si>
  <si>
    <t>J1507PIN119</t>
  </si>
  <si>
    <t>CC264.2</t>
  </si>
  <si>
    <t>LC328.1</t>
  </si>
  <si>
    <t>LC328.2</t>
  </si>
  <si>
    <t>D3_TC_M01_DP54_L54_TD01__PCIE_22_RXP</t>
  </si>
  <si>
    <t>J1507.BS7</t>
  </si>
  <si>
    <t>J1507PIN121</t>
  </si>
  <si>
    <t>CC263.2</t>
  </si>
  <si>
    <t>LC326.1</t>
  </si>
  <si>
    <t>LC326.2</t>
  </si>
  <si>
    <t>D3_TC_M01_DP54_L53_TD01__PCIE_22_TXN</t>
  </si>
  <si>
    <t>J1508.CS3</t>
  </si>
  <si>
    <t>J1508PIN061</t>
  </si>
  <si>
    <t>CC264.1</t>
  </si>
  <si>
    <t>LC327.1</t>
  </si>
  <si>
    <t>LC327.2</t>
  </si>
  <si>
    <t>D3_TC_M01_DP54_L54_TD01__PCIE_22_TXP</t>
  </si>
  <si>
    <t>J1508.CS4</t>
  </si>
  <si>
    <t>J1508PIN059</t>
  </si>
  <si>
    <t>CC263.1</t>
  </si>
  <si>
    <t>LC325.1</t>
  </si>
  <si>
    <t>LC325.2</t>
  </si>
  <si>
    <t>D3_TC_M01_DP55_L55_TD01__PCIE_23_RXN</t>
  </si>
  <si>
    <t>J1507.BS5</t>
  </si>
  <si>
    <t>J1507PIN117</t>
  </si>
  <si>
    <t>CC266.2</t>
  </si>
  <si>
    <t>LC332.1</t>
  </si>
  <si>
    <t>LC332.2</t>
  </si>
  <si>
    <t>D3_TC_M01_DP55_L56_TD01__PCIE_23_RXP</t>
  </si>
  <si>
    <t>J1507.BS4</t>
  </si>
  <si>
    <t>J1507PIN115</t>
  </si>
  <si>
    <t>CC265.2</t>
  </si>
  <si>
    <t>LC330.1</t>
  </si>
  <si>
    <t>LC330.2</t>
  </si>
  <si>
    <t>D3_TC_M01_DP55_L55_TD01__PCIE_23_TXN</t>
  </si>
  <si>
    <t>J1508.AS8</t>
  </si>
  <si>
    <t>J1508PIN080</t>
  </si>
  <si>
    <t>CC266.1</t>
  </si>
  <si>
    <t>LC331.1</t>
  </si>
  <si>
    <t>LC331.2</t>
  </si>
  <si>
    <t>D3_TC_M01_DP55_L56_TD01__PCIE_23_TXP</t>
  </si>
  <si>
    <t>J1508.AS7</t>
  </si>
  <si>
    <t>J1508PIN078</t>
  </si>
  <si>
    <t>CC265.1</t>
  </si>
  <si>
    <t>LC329.1</t>
  </si>
  <si>
    <t>LC329.2</t>
  </si>
  <si>
    <t>D3_TC_M01_DP56_L57_TD01__PCIE_24_RXN</t>
  </si>
  <si>
    <t>J1506.DS14</t>
  </si>
  <si>
    <t>J1506PIN002</t>
  </si>
  <si>
    <t>CC268.2</t>
  </si>
  <si>
    <t>LC336.1</t>
  </si>
  <si>
    <t>LC336.2</t>
  </si>
  <si>
    <t>D3_TC_M01_DP56_L58_TD01__PCIE_24_RXP</t>
  </si>
  <si>
    <t>J1506.DS13</t>
  </si>
  <si>
    <t>J1506PIN004</t>
  </si>
  <si>
    <t>CC267.2</t>
  </si>
  <si>
    <t>LC334.1</t>
  </si>
  <si>
    <t>LC334.2</t>
  </si>
  <si>
    <t>D3_TC_M01_DP56_L57_TD01__PCIE_24_TXN</t>
  </si>
  <si>
    <t>J1507.DS6</t>
  </si>
  <si>
    <t>J1507PIN102</t>
  </si>
  <si>
    <t>CC268.1</t>
  </si>
  <si>
    <t>LC335.1</t>
  </si>
  <si>
    <t>LC335.2</t>
  </si>
  <si>
    <t>D3_TC_M01_DP56_L58_TD01__PCIE_24_TXP</t>
  </si>
  <si>
    <t>J1507.DS7</t>
  </si>
  <si>
    <t>J1507PIN100</t>
  </si>
  <si>
    <t>CC267.1</t>
  </si>
  <si>
    <t>LC333.1</t>
  </si>
  <si>
    <t>LC333.2</t>
  </si>
  <si>
    <t>D3_TC_M01_DP57_L59_TD01__PCIE_3_LAN_0A_RXN</t>
  </si>
  <si>
    <t>J1503.AS9</t>
  </si>
  <si>
    <t>J1503PIN038</t>
  </si>
  <si>
    <t>CC226.2</t>
  </si>
  <si>
    <t>LC252.1</t>
  </si>
  <si>
    <t>LC252.2</t>
  </si>
  <si>
    <t>D3_TC_M01_DP57_L60_TD01__PCIE_3_LAN_0A_RXP</t>
  </si>
  <si>
    <t>J1503.AS8</t>
  </si>
  <si>
    <t>J1503PIN036</t>
  </si>
  <si>
    <t>CC225.2</t>
  </si>
  <si>
    <t>LC250.1</t>
  </si>
  <si>
    <t>LC250.2</t>
  </si>
  <si>
    <t>D3_TC_M01_DP57_L59_TD01__PCIE_3_LAN_0A_TXN</t>
  </si>
  <si>
    <t>J1802.DS6</t>
  </si>
  <si>
    <t>J1802PIN058</t>
  </si>
  <si>
    <t>CC226.1</t>
  </si>
  <si>
    <t>LC251.1</t>
  </si>
  <si>
    <t>LC251.2</t>
  </si>
  <si>
    <t>D3_TC_M01_DP57_L60_TD01__PCIE_3_LAN_0A_TXP</t>
  </si>
  <si>
    <t>J1802.DS7</t>
  </si>
  <si>
    <t>J1802PIN056</t>
  </si>
  <si>
    <t>CC225.1</t>
  </si>
  <si>
    <t>LC249.1</t>
  </si>
  <si>
    <t>LC249.2</t>
  </si>
  <si>
    <t>D3_TC_M01_DP58_L61_TD01__PCIE_4_RXN</t>
  </si>
  <si>
    <t>J1502.DS4</t>
  </si>
  <si>
    <t>J1502PIN060</t>
  </si>
  <si>
    <t>CC228.2</t>
  </si>
  <si>
    <t>LC256.1</t>
  </si>
  <si>
    <t>LC256.2</t>
  </si>
  <si>
    <t>D3_TC_M01_DP58_L62_TD01__PCIE_4_RXP</t>
  </si>
  <si>
    <t>J1502.DS3</t>
  </si>
  <si>
    <t>J1502PIN062</t>
  </si>
  <si>
    <t>CC227.2</t>
  </si>
  <si>
    <t>LC254.1</t>
  </si>
  <si>
    <t>LC254.2</t>
  </si>
  <si>
    <t>D3_TC_M01_DP58_L61_TD01__PCIE_4_TXN</t>
  </si>
  <si>
    <t>J1804.DS14</t>
  </si>
  <si>
    <t>J1804PIN002</t>
  </si>
  <si>
    <t>CC228.1</t>
  </si>
  <si>
    <t>LC255.1</t>
  </si>
  <si>
    <t>LC255.2</t>
  </si>
  <si>
    <t>D3_TC_M01_DP58_L62_TD01__PCIE_4_TXP</t>
  </si>
  <si>
    <t>J1804.CS14</t>
  </si>
  <si>
    <t>J1804PIN001</t>
  </si>
  <si>
    <t>CC227.1</t>
  </si>
  <si>
    <t>LC253.1</t>
  </si>
  <si>
    <t>LC253.2</t>
  </si>
  <si>
    <t>D3_TC_M01_DP59_L63_TD01__PCIE_5_RXN</t>
  </si>
  <si>
    <t>J1502.CS2</t>
  </si>
  <si>
    <t>J1502PIN063</t>
  </si>
  <si>
    <t>CC230.2</t>
  </si>
  <si>
    <t>LC260.1</t>
  </si>
  <si>
    <t>LC260.2</t>
  </si>
  <si>
    <t>D3_TC_M01_DP59_L64_TD01__PCIE_5_RXP</t>
  </si>
  <si>
    <t>J1502.CS1</t>
  </si>
  <si>
    <t>J1502PIN065</t>
  </si>
  <si>
    <t>CC229.2</t>
  </si>
  <si>
    <t>LC258.1</t>
  </si>
  <si>
    <t>LC258.2</t>
  </si>
  <si>
    <t>D3_TC_M01_DP59_L63_TD01__PCIE_5_TXN</t>
  </si>
  <si>
    <t>J1802.BS8</t>
  </si>
  <si>
    <t>J1802PIN079</t>
  </si>
  <si>
    <t>CC230.1</t>
  </si>
  <si>
    <t>LC259.1</t>
  </si>
  <si>
    <t>LC259.2</t>
  </si>
  <si>
    <t>D3_TC_M01_DP59_L64_TD01__PCIE_5_TXP</t>
  </si>
  <si>
    <t>J1802.BS7</t>
  </si>
  <si>
    <t>J1802PIN077</t>
  </si>
  <si>
    <t>CC229.1</t>
  </si>
  <si>
    <t>LC257.1</t>
  </si>
  <si>
    <t>LC257.2</t>
  </si>
  <si>
    <t>D3_TC_M01_DP60_L65_TD01__PCIE_6_RXN</t>
  </si>
  <si>
    <t>J1504.DS10</t>
  </si>
  <si>
    <t>J1504PIN094</t>
  </si>
  <si>
    <t>CC232.2</t>
  </si>
  <si>
    <t>LC264.1</t>
  </si>
  <si>
    <t>LC264.2</t>
  </si>
  <si>
    <t>D3_TC_M01_DP60_L66_TD01__PCIE_6_RXP</t>
  </si>
  <si>
    <t>J1504.DS11</t>
  </si>
  <si>
    <t>J1504PIN092</t>
  </si>
  <si>
    <t>CC231.2</t>
  </si>
  <si>
    <t>LC262.1</t>
  </si>
  <si>
    <t>LC262.2</t>
  </si>
  <si>
    <t>D3_TC_M01_DP60_L65_TD01__PCIE_6_TXN</t>
  </si>
  <si>
    <t>J1803.AS8</t>
  </si>
  <si>
    <t>J1803PIN124</t>
  </si>
  <si>
    <t>CC232.1</t>
  </si>
  <si>
    <t>LC263.1</t>
  </si>
  <si>
    <t>LC263.2</t>
  </si>
  <si>
    <t>D3_TC_M01_DP60_L66_TD01__PCIE_6_TXP</t>
  </si>
  <si>
    <t>J1803.AS9</t>
  </si>
  <si>
    <t>J1803PIN126</t>
  </si>
  <si>
    <t>CC231.1</t>
  </si>
  <si>
    <t>LC261.1</t>
  </si>
  <si>
    <t>LC261.2</t>
  </si>
  <si>
    <t>D3_TC_M01_DP61_L15_TD01__PCIE_7_LAN_0B_RXN</t>
  </si>
  <si>
    <t>J1504.CS4</t>
  </si>
  <si>
    <t>J1504PIN103</t>
  </si>
  <si>
    <t>CC234.2</t>
  </si>
  <si>
    <t>LC268.1</t>
  </si>
  <si>
    <t>LC268.2</t>
  </si>
  <si>
    <t>D3_TC_M01_DP61_L16_TD01__PCIE_7_LAN_0B_RXP</t>
  </si>
  <si>
    <t>J1504.CS3</t>
  </si>
  <si>
    <t>J1504PIN105</t>
  </si>
  <si>
    <t>CC233.2</t>
  </si>
  <si>
    <t>LC266.1</t>
  </si>
  <si>
    <t>LC266.2</t>
  </si>
  <si>
    <t>D3_TC_M01_DP61_L15_TD01__PCIE_7_LAN_0B_TXN</t>
  </si>
  <si>
    <t>J1804.CS9</t>
  </si>
  <si>
    <t>J1804PIN007</t>
  </si>
  <si>
    <t>CC234.1</t>
  </si>
  <si>
    <t>LC267.1</t>
  </si>
  <si>
    <t>LC267.2</t>
  </si>
  <si>
    <t>D3_TC_M01_DP61_L16_TD01__PCIE_7_LAN_0B_TXP</t>
  </si>
  <si>
    <t>J1804.CS10</t>
  </si>
  <si>
    <t>J1804PIN005</t>
  </si>
  <si>
    <t>CC233.1</t>
  </si>
  <si>
    <t>LC265.1</t>
  </si>
  <si>
    <t>LC265.2</t>
  </si>
  <si>
    <t>D3_TC_M01_DP62_L17_TD01__PCIE_8_RXN</t>
  </si>
  <si>
    <t>J1803.CS9</t>
  </si>
  <si>
    <t>J1803PIN095</t>
  </si>
  <si>
    <t>CC236.2</t>
  </si>
  <si>
    <t>LC272.1</t>
  </si>
  <si>
    <t>LC272.2</t>
  </si>
  <si>
    <t>D3_TC_M01_DP62_L18_TD01__PCIE_8_RXP</t>
  </si>
  <si>
    <t>J1803.CS10</t>
  </si>
  <si>
    <t>J1803PIN093</t>
  </si>
  <si>
    <t>CC235.2</t>
  </si>
  <si>
    <t>LC270.1</t>
  </si>
  <si>
    <t>LC270.2</t>
  </si>
  <si>
    <t>D3_TC_M14_DP75_TD01__USB2P_6</t>
  </si>
  <si>
    <t>J1806.BS7</t>
  </si>
  <si>
    <t>J1806PIN121</t>
  </si>
  <si>
    <t>D3_TC_M01_DP62_L18_TD01__PCIE_8_TXP</t>
  </si>
  <si>
    <t>J1803.CS14</t>
  </si>
  <si>
    <t>J1803PIN085</t>
  </si>
  <si>
    <t>CC235.1</t>
  </si>
  <si>
    <t>LC269.1</t>
  </si>
  <si>
    <t>LC269.2</t>
  </si>
  <si>
    <t>D3_TC_M01_DP63_L19_TD01__PCIE_9_TSN_0_RXN</t>
  </si>
  <si>
    <t>J1505.DS9</t>
  </si>
  <si>
    <t>J1505PIN052</t>
  </si>
  <si>
    <t>CC238.2</t>
  </si>
  <si>
    <t>LC276.1</t>
  </si>
  <si>
    <t>LC276.2</t>
  </si>
  <si>
    <t>D3_TC_M01_DP63_L20_TD01__PCIE_9_TSN_0_RXP</t>
  </si>
  <si>
    <t>J1505.DS8</t>
  </si>
  <si>
    <t>J1505PIN054</t>
  </si>
  <si>
    <t>CC237.2</t>
  </si>
  <si>
    <t>LC274.1</t>
  </si>
  <si>
    <t>LC274.2</t>
  </si>
  <si>
    <t>D3_TC_M01_DP63_L19_TD01__PCIE_9_TSN_0_TXN</t>
  </si>
  <si>
    <t>J1504.AS9</t>
  </si>
  <si>
    <t>J1504PIN126</t>
  </si>
  <si>
    <t>CC238.1</t>
  </si>
  <si>
    <t>LC275.1</t>
  </si>
  <si>
    <t>LC275.2</t>
  </si>
  <si>
    <t>D3_TC_M01_DP63_L20_TD01__PCIE_9_TSN_0_TXP</t>
  </si>
  <si>
    <t>J1504.AS8</t>
  </si>
  <si>
    <t>J1504PIN124</t>
  </si>
  <si>
    <t>CC237.1</t>
  </si>
  <si>
    <t>LC273.1</t>
  </si>
  <si>
    <t>LC273.2</t>
  </si>
  <si>
    <t>D3_TC_M01_DP64_TD01_TP__PCIE_EXTREFCLKN</t>
  </si>
  <si>
    <t>J1501.DS12</t>
  </si>
  <si>
    <t>J1501PIN090</t>
  </si>
  <si>
    <t>TPC602.1</t>
  </si>
  <si>
    <t>D3_TC_M01_DP64_TD01_TP__PCIE_EXTREFCLKP</t>
  </si>
  <si>
    <t>J1501.DS11</t>
  </si>
  <si>
    <t>J1501PIN092</t>
  </si>
  <si>
    <t>TPC601.1</t>
  </si>
  <si>
    <t>D3_Z__PCIE_RCOMP2</t>
  </si>
  <si>
    <t>RC137.2</t>
  </si>
  <si>
    <t>D3_Z__PCIE_RCOMP5</t>
  </si>
  <si>
    <t>RC136.2</t>
  </si>
  <si>
    <t>D3_TC_TD01__PM_SPARE0</t>
  </si>
  <si>
    <t>J1806.CS7</t>
  </si>
  <si>
    <t>J1806PIN099</t>
  </si>
  <si>
    <t>D3_TC_TD01__PM_SPARE1</t>
  </si>
  <si>
    <t>J1803.DS13</t>
  </si>
  <si>
    <t>J1803PIN088</t>
  </si>
  <si>
    <t>J1413_R1PS</t>
  </si>
  <si>
    <t>J1807.AS14</t>
  </si>
  <si>
    <t>J1807PIN040</t>
  </si>
  <si>
    <t>D3_TC_M03_TD01__PRDYB</t>
  </si>
  <si>
    <t>J1805.AS14</t>
  </si>
  <si>
    <t>J1805PIN084</t>
  </si>
  <si>
    <t>RC521.1</t>
  </si>
  <si>
    <t>D3_TC_M03_TD01__PREQB</t>
  </si>
  <si>
    <t>J1806.AS14</t>
  </si>
  <si>
    <t>J1806PIN128</t>
  </si>
  <si>
    <t>RC522.1</t>
  </si>
  <si>
    <t>D3_TC_TD01__PWRBTNB_OUT</t>
  </si>
  <si>
    <t>J1509.AS9</t>
  </si>
  <si>
    <t>J1509PIN038</t>
  </si>
  <si>
    <t>D3_TC_TD01__RESET_SYNCB</t>
  </si>
  <si>
    <t>J1803.CS11</t>
  </si>
  <si>
    <t>J1803PIN091</t>
  </si>
  <si>
    <t>D3_TC_TD01__RSMRSTB</t>
  </si>
  <si>
    <t>J1804.BS2</t>
  </si>
  <si>
    <t>J1804PIN023</t>
  </si>
  <si>
    <t>D3_TC_M06_TD02__RTCX1</t>
  </si>
  <si>
    <t>J1808.DS2</t>
  </si>
  <si>
    <t>J1808PIN064</t>
  </si>
  <si>
    <t>KC101.3</t>
  </si>
  <si>
    <t>D3_TC_M06_TD02__RTCX2</t>
  </si>
  <si>
    <t>J1808.BS4</t>
  </si>
  <si>
    <t>J1808PIN071</t>
  </si>
  <si>
    <t>RC109.2</t>
  </si>
  <si>
    <t>D3_TC_TD01__RTESTB</t>
  </si>
  <si>
    <t>J1804.CS6</t>
  </si>
  <si>
    <t>J1804PIN013</t>
  </si>
  <si>
    <t>D3_TC_TD02__SCOPE_SYNC_CD</t>
  </si>
  <si>
    <t>J1809.DS4</t>
  </si>
  <si>
    <t>J1809PIN104</t>
  </si>
  <si>
    <t>SMAC3.1</t>
  </si>
  <si>
    <t>D3_TC_TD01_SCOPETRIGGER_BCK</t>
  </si>
  <si>
    <t>J1509.AS6</t>
  </si>
  <si>
    <t>J1509PIN032</t>
  </si>
  <si>
    <t>SMAC4.1</t>
  </si>
  <si>
    <t>D3_TC_TD01__SLP_LANB</t>
  </si>
  <si>
    <t>J1803.CS12</t>
  </si>
  <si>
    <t>J1803PIN089</t>
  </si>
  <si>
    <t>D3_TC_TD01__SLP_SUSB</t>
  </si>
  <si>
    <t>J1503.DS7</t>
  </si>
  <si>
    <t>J1503PIN012</t>
  </si>
  <si>
    <t>D3_Z__SNDW_RCOMP</t>
  </si>
  <si>
    <t>RC131.2</t>
  </si>
  <si>
    <t>D3_TC_TD01__SPI0_CLK</t>
  </si>
  <si>
    <t>J1508.BS2</t>
  </si>
  <si>
    <t>J1508PIN067</t>
  </si>
  <si>
    <t>D3_TC_TD01__SPI0_FLASH_0_CSB</t>
  </si>
  <si>
    <t>J1507.DS10</t>
  </si>
  <si>
    <t>J1507PIN094</t>
  </si>
  <si>
    <t>D3_TC_TD01__SPI0_FLASH_1_CSB</t>
  </si>
  <si>
    <t>J1504.AS7</t>
  </si>
  <si>
    <t>J1504PIN122</t>
  </si>
  <si>
    <t>D3_TC_TD01__SPI0_IO_2</t>
  </si>
  <si>
    <t>J1508.CS10</t>
  </si>
  <si>
    <t>J1508PIN049</t>
  </si>
  <si>
    <t>D3_TC_TD01__SPI0_IO_3</t>
  </si>
  <si>
    <t>J1503.BS2</t>
  </si>
  <si>
    <t>J1503PIN023</t>
  </si>
  <si>
    <t>D3_TC_TD01__SPI0_MISO_IO_1</t>
  </si>
  <si>
    <t>J1803.CS6</t>
  </si>
  <si>
    <t>J1803PIN101</t>
  </si>
  <si>
    <t>D3_TC_TD01__SPI0_MOSI_IO_0</t>
  </si>
  <si>
    <t>J1501.BS14</t>
  </si>
  <si>
    <t>J1501PIN127</t>
  </si>
  <si>
    <t>D3_TC_TD01__SPI0_TPM_CSB</t>
  </si>
  <si>
    <t>J1508.BS3</t>
  </si>
  <si>
    <t>J1508PIN069</t>
  </si>
  <si>
    <t>D3_TC_TD01__SRTCRSTB</t>
  </si>
  <si>
    <t>J1802.AS9</t>
  </si>
  <si>
    <t>J1802PIN082</t>
  </si>
  <si>
    <t>J1806.BS14</t>
  </si>
  <si>
    <t>J1806PIN127</t>
  </si>
  <si>
    <t>D3_TC_TD01__SYS_RESETB</t>
  </si>
  <si>
    <t>J1501.DS8</t>
  </si>
  <si>
    <t>J1501PIN098</t>
  </si>
  <si>
    <t>D3_TC_TD01__TD_ANODE</t>
  </si>
  <si>
    <t>J1505.AS7</t>
  </si>
  <si>
    <t>J1505PIN078</t>
  </si>
  <si>
    <t>RC31.1</t>
  </si>
  <si>
    <t>RC32.1</t>
  </si>
  <si>
    <t>RC35.1</t>
  </si>
  <si>
    <t>RC36.1</t>
  </si>
  <si>
    <t>RC31.2</t>
  </si>
  <si>
    <t>D3_TC_TD01__TD_CATHODE</t>
  </si>
  <si>
    <t>J1505.BS6</t>
  </si>
  <si>
    <t>J1505PIN075</t>
  </si>
  <si>
    <t>RC33.1</t>
  </si>
  <si>
    <t>RC34.1</t>
  </si>
  <si>
    <t>RC37.1</t>
  </si>
  <si>
    <t>RC38.1</t>
  </si>
  <si>
    <t>RC33.2</t>
  </si>
  <si>
    <t>D3_TC_TD01__TEST_OUT_TS</t>
  </si>
  <si>
    <t>J1801.AS14</t>
  </si>
  <si>
    <t>J1801PIN040</t>
  </si>
  <si>
    <t>D3_TC_TD01__TRIGGER_IN</t>
  </si>
  <si>
    <t>J1806.DS9</t>
  </si>
  <si>
    <t>J1806PIN096</t>
  </si>
  <si>
    <t>D3_TC_TD01__TRIGGER_OUT</t>
  </si>
  <si>
    <t>J1806.AS8</t>
  </si>
  <si>
    <t>J1806PIN124</t>
  </si>
  <si>
    <t>D3_TC_DP91_TD01_TP__TSN_EXTREFCLKN</t>
  </si>
  <si>
    <t>J1501.DS14</t>
  </si>
  <si>
    <t>J1501PIN086</t>
  </si>
  <si>
    <t>TPC605.1</t>
  </si>
  <si>
    <t>D3_TC_DP91_TD01_TP__TSN_EXTREFCLKP</t>
  </si>
  <si>
    <t>J1501.DS13</t>
  </si>
  <si>
    <t>J1501PIN088</t>
  </si>
  <si>
    <t>TPC606.1</t>
  </si>
  <si>
    <t>D3_TC_TD01__USB2_ID_1_7</t>
  </si>
  <si>
    <t>J1801.DS1</t>
  </si>
  <si>
    <t>J1801PIN022</t>
  </si>
  <si>
    <t>D3_TC_TD01__USB2_ID_8_14</t>
  </si>
  <si>
    <t>J1801.CS1</t>
  </si>
  <si>
    <t>J1801PIN021</t>
  </si>
  <si>
    <t>D3_Z__USB2_RCOMP1</t>
  </si>
  <si>
    <t>RC133.2</t>
  </si>
  <si>
    <t>D3_Z__USB2_RCOMP2</t>
  </si>
  <si>
    <t>RC132.2</t>
  </si>
  <si>
    <t>D3_TC_M14_DP65_TD01__USB2N_1</t>
  </si>
  <si>
    <t>J1806.DS1</t>
  </si>
  <si>
    <t>J1806PIN110</t>
  </si>
  <si>
    <t>D3_TC_M14_DP66_TD01__USB2N_10</t>
  </si>
  <si>
    <t>J1805.AS6</t>
  </si>
  <si>
    <t>J1805PIN076</t>
  </si>
  <si>
    <t>D3_TC_M14_DP67_TD01__USB2N_11</t>
  </si>
  <si>
    <t>J1805.BS6</t>
  </si>
  <si>
    <t>J1805PIN075</t>
  </si>
  <si>
    <t>D3_TC_M14_DP68_TD01__USB2N_12</t>
  </si>
  <si>
    <t>J1804.DS7</t>
  </si>
  <si>
    <t>J1804PIN012</t>
  </si>
  <si>
    <t>D3_TC_M14_DP69_TD01__USB2N_13</t>
  </si>
  <si>
    <t>J1805.DS10</t>
  </si>
  <si>
    <t>J1805PIN050</t>
  </si>
  <si>
    <t>D3_TC_M14_DP70_TD01__USB2N_14</t>
  </si>
  <si>
    <t>J1805.BS2</t>
  </si>
  <si>
    <t>J1805PIN067</t>
  </si>
  <si>
    <t>D3_TC_M14_DP71_TD01__USB2N_2</t>
  </si>
  <si>
    <t>J1806.DS6</t>
  </si>
  <si>
    <t>J1806PIN102</t>
  </si>
  <si>
    <t>D3_TC_M14_DP72_TD01__USB2N_3</t>
  </si>
  <si>
    <t>J1806.AS3</t>
  </si>
  <si>
    <t>J1806PIN114</t>
  </si>
  <si>
    <t>D3_TC_M14_DP73_TD01__USB2N_4</t>
  </si>
  <si>
    <t>J1806.CS1</t>
  </si>
  <si>
    <t>J1806PIN109</t>
  </si>
  <si>
    <t>D3_TC_TD02__MLK_CLK</t>
  </si>
  <si>
    <t>J1807.DS8</t>
  </si>
  <si>
    <t>J1807PIN010</t>
  </si>
  <si>
    <t>D3_TC_M14_DP75_TD01__USB2N_6</t>
  </si>
  <si>
    <t>J1806.BS6</t>
  </si>
  <si>
    <t>J1806PIN119</t>
  </si>
  <si>
    <t>D3_TC_M14_DP76_TD01__USB2N_7</t>
  </si>
  <si>
    <t>J1805.AS2</t>
  </si>
  <si>
    <t>J1805PIN068</t>
  </si>
  <si>
    <t>D3_TC_M14_DP77_TD01__USB2N_8</t>
  </si>
  <si>
    <t>J1805.DS1</t>
  </si>
  <si>
    <t>J1805PIN066</t>
  </si>
  <si>
    <t>D3_TC_M14_DP78_TD01__USB2N_9</t>
  </si>
  <si>
    <t>J1805.DS4</t>
  </si>
  <si>
    <t>J1805PIN060</t>
  </si>
  <si>
    <t>D3_TC_M04_DP10_TD02__CLKOUT_SRC_P_5</t>
  </si>
  <si>
    <t>J1807.DS6</t>
  </si>
  <si>
    <t>J1807PIN014</t>
  </si>
  <si>
    <t>D3_TC_M14_DP66_TD01__USB2P_10</t>
  </si>
  <si>
    <t>J1805.AS7</t>
  </si>
  <si>
    <t>J1805PIN078</t>
  </si>
  <si>
    <t>D3_TC_M14_DP67_TD01__USB2P_11</t>
  </si>
  <si>
    <t>J1805.BS7</t>
  </si>
  <si>
    <t>J1805PIN077</t>
  </si>
  <si>
    <t>D3_TC_M14_DP68_TD01__USB2P_12</t>
  </si>
  <si>
    <t>J1804.DS6</t>
  </si>
  <si>
    <t>J1804PIN014</t>
  </si>
  <si>
    <t>D3_TC_M14_DP69_TD01__USB2P_13</t>
  </si>
  <si>
    <t>J1805.DS11</t>
  </si>
  <si>
    <t>J1805PIN048</t>
  </si>
  <si>
    <t>D3_TC_M14_DP70_TD01__USB2P_14</t>
  </si>
  <si>
    <t>J1805.BS3</t>
  </si>
  <si>
    <t>J1805PIN069</t>
  </si>
  <si>
    <t>D3_TC_M14_DP71_TD01__USB2P_2</t>
  </si>
  <si>
    <t>J1806.DS7</t>
  </si>
  <si>
    <t>J1806PIN100</t>
  </si>
  <si>
    <t>D3_TC_M04_DP13_TD02__CLKOUT_SRC_N_8</t>
  </si>
  <si>
    <t>J1807.DS4</t>
  </si>
  <si>
    <t>J1807PIN016</t>
  </si>
  <si>
    <t>D3_TC_M14_DP73_TD01__USB2P_4</t>
  </si>
  <si>
    <t>J1806.CS2</t>
  </si>
  <si>
    <t>J1806PIN107</t>
  </si>
  <si>
    <t>D3_TC_M14_DP74_TD01__USB2P_5</t>
  </si>
  <si>
    <t>J1805.DS6</t>
  </si>
  <si>
    <t>J1805PIN058</t>
  </si>
  <si>
    <t>D3_TC_M04_DP08_TD02__CLKOUT_SRC_N_3</t>
  </si>
  <si>
    <t>J1807.DS2</t>
  </si>
  <si>
    <t>J1807PIN020</t>
  </si>
  <si>
    <t>D3_TC_M14_DP76_TD01__USB2P_7</t>
  </si>
  <si>
    <t>J1805.AS3</t>
  </si>
  <si>
    <t>J1805PIN070</t>
  </si>
  <si>
    <t>D3_TC_M04_DP04_TD02__CLKOUT_SRC_N_11</t>
  </si>
  <si>
    <t>J1808.CS2</t>
  </si>
  <si>
    <t>J1808PIN063</t>
  </si>
  <si>
    <t>D3_TC_M14_DP78_TD01__USB2P_9</t>
  </si>
  <si>
    <t>J1805.DS3</t>
  </si>
  <si>
    <t>J1805PIN062</t>
  </si>
  <si>
    <t>D3_Z__USB3_RCOMP</t>
  </si>
  <si>
    <t>RC134.2</t>
  </si>
  <si>
    <t>D3_TC_M01_DP79_TD01__USB3_REFCLKN</t>
  </si>
  <si>
    <t>J1505.DS1</t>
  </si>
  <si>
    <t>J1505PIN066</t>
  </si>
  <si>
    <t>D3_TC_M01_DP79_TD01__USB3_REFCLKP</t>
  </si>
  <si>
    <t>J1505.DS2</t>
  </si>
  <si>
    <t>J1505PIN064</t>
  </si>
  <si>
    <t>D3_TC_M01_DP80_L67_TD01__USB31_1_RXN</t>
  </si>
  <si>
    <t>J1804.BS7</t>
  </si>
  <si>
    <t>J1804PIN033</t>
  </si>
  <si>
    <t>CC202.2</t>
  </si>
  <si>
    <t>LC204.1</t>
  </si>
  <si>
    <t>LC204.2</t>
  </si>
  <si>
    <t>D3_TC_M01_DP80_L68_TD01__USB31_1_RXP</t>
  </si>
  <si>
    <t>J1804.BS6</t>
  </si>
  <si>
    <t>J1804PIN031</t>
  </si>
  <si>
    <t>CC201.2</t>
  </si>
  <si>
    <t>LC202.1</t>
  </si>
  <si>
    <t>LC202.2</t>
  </si>
  <si>
    <t>D3_TC_M04_DP11_TD02__CLKOUT_SRC_N_6</t>
  </si>
  <si>
    <t>J1808.AS3</t>
  </si>
  <si>
    <t>J1808PIN070</t>
  </si>
  <si>
    <t>D3_TC_M01_DP80_L68_TD01__USB31_1_TXP</t>
  </si>
  <si>
    <t>J1806.DS11</t>
  </si>
  <si>
    <t>J1806PIN092</t>
  </si>
  <si>
    <t>CC201.1</t>
  </si>
  <si>
    <t>LC201.1</t>
  </si>
  <si>
    <t>LC201.2</t>
  </si>
  <si>
    <t>D3_TC_M01_DP81_L85_TD01__USB31_10_RXN</t>
  </si>
  <si>
    <t>J1508.CS2</t>
  </si>
  <si>
    <t>J1508PIN063</t>
  </si>
  <si>
    <t>CC220.2</t>
  </si>
  <si>
    <t>LC240.1</t>
  </si>
  <si>
    <t>LC240.2</t>
  </si>
  <si>
    <t>D3_TC_M01_DP81_L86_TD01__USB31_10_RXP</t>
  </si>
  <si>
    <t>J1508.CS1</t>
  </si>
  <si>
    <t>J1508PIN065</t>
  </si>
  <si>
    <t>CC219.2</t>
  </si>
  <si>
    <t>LC238.1</t>
  </si>
  <si>
    <t>LC238.2</t>
  </si>
  <si>
    <t>D3_TC_M01_DP81_L85_TD01__USB31_10_TXN</t>
  </si>
  <si>
    <t>J1507.CS2</t>
  </si>
  <si>
    <t>J1507PIN107</t>
  </si>
  <si>
    <t>CC220.1</t>
  </si>
  <si>
    <t>LC239.1</t>
  </si>
  <si>
    <t>LC239.2</t>
  </si>
  <si>
    <t>D3_TC_M01_DP81_L86_TD01__USB31_10_TXP</t>
  </si>
  <si>
    <t>J1507.CS1</t>
  </si>
  <si>
    <t>J1507PIN109</t>
  </si>
  <si>
    <t>CC219.1</t>
  </si>
  <si>
    <t>LC237.1</t>
  </si>
  <si>
    <t>LC237.2</t>
  </si>
  <si>
    <t>D3_TC_M01_DP82_L69_TD01__USB31_2_RXN</t>
  </si>
  <si>
    <t>J1802.AS7</t>
  </si>
  <si>
    <t>J1802PIN078</t>
  </si>
  <si>
    <t>CC204.2</t>
  </si>
  <si>
    <t>LC208.1</t>
  </si>
  <si>
    <t>LC208.2</t>
  </si>
  <si>
    <t>D3_TC_M01_DP82_L70_TD01__USB31_2_RXP</t>
  </si>
  <si>
    <t>J1802.AS6</t>
  </si>
  <si>
    <t>J1802PIN076</t>
  </si>
  <si>
    <t>CC203.2</t>
  </si>
  <si>
    <t>LC206.1</t>
  </si>
  <si>
    <t>LC206.2</t>
  </si>
  <si>
    <t>D3_TC_M01_DP82_L69_TD01__USB31_2_TXN</t>
  </si>
  <si>
    <t>J1802.CS4</t>
  </si>
  <si>
    <t>J1802PIN059</t>
  </si>
  <si>
    <t>CC204.1</t>
  </si>
  <si>
    <t>LC207.1</t>
  </si>
  <si>
    <t>LC207.2</t>
  </si>
  <si>
    <t>D3_TC_M01_DP82_L70_TD01__USB31_2_TXP</t>
  </si>
  <si>
    <t>J1802.CS3</t>
  </si>
  <si>
    <t>J1802PIN061</t>
  </si>
  <si>
    <t>CC203.1</t>
  </si>
  <si>
    <t>LC205.1</t>
  </si>
  <si>
    <t>LC205.2</t>
  </si>
  <si>
    <t>D3_TC_M01_DP83_L71_TD01__USB31_3_RXN</t>
  </si>
  <si>
    <t>J1501.AS8</t>
  </si>
  <si>
    <t>J1501PIN124</t>
  </si>
  <si>
    <t>CC206.2</t>
  </si>
  <si>
    <t>LC212.1</t>
  </si>
  <si>
    <t>LC212.2</t>
  </si>
  <si>
    <t>D3_TC_M01_DP83_L72_TD01__USB31_3_RXP</t>
  </si>
  <si>
    <t>J1501.AS9</t>
  </si>
  <si>
    <t>J1501PIN126</t>
  </si>
  <si>
    <t>CC205.2</t>
  </si>
  <si>
    <t>LC210.1</t>
  </si>
  <si>
    <t>LC210.2</t>
  </si>
  <si>
    <t>D3_TC_M01_DP83_L71_TD01__USB31_3_TXN</t>
  </si>
  <si>
    <t>J1806.BS8</t>
  </si>
  <si>
    <t>J1806PIN123</t>
  </si>
  <si>
    <t>CC206.1</t>
  </si>
  <si>
    <t>LC211.1</t>
  </si>
  <si>
    <t>LC211.2</t>
  </si>
  <si>
    <t>D3_TC_M01_DP83_L72_TD01__USB31_3_TXP</t>
  </si>
  <si>
    <t>J1806.BS9</t>
  </si>
  <si>
    <t>J1806PIN125</t>
  </si>
  <si>
    <t>CC205.1</t>
  </si>
  <si>
    <t>LC209.1</t>
  </si>
  <si>
    <t>LC209.2</t>
  </si>
  <si>
    <t>D3_TC_M01_DP84_L73_TD01__USB31_4_RXN</t>
  </si>
  <si>
    <t>J1806.BS2</t>
  </si>
  <si>
    <t>J1806PIN111</t>
  </si>
  <si>
    <t>CC208.2</t>
  </si>
  <si>
    <t>LC216.1</t>
  </si>
  <si>
    <t>LC216.2</t>
  </si>
  <si>
    <t>D3_TC_M01_DP84_L74_TD01__USB31_4_RXP</t>
  </si>
  <si>
    <t>J1806.BS3</t>
  </si>
  <si>
    <t>J1806PIN113</t>
  </si>
  <si>
    <t>CC207.2</t>
  </si>
  <si>
    <t>LC214.1</t>
  </si>
  <si>
    <t>LC214.2</t>
  </si>
  <si>
    <t>D3_TC_M01_DP84_L73_TD01__USB31_4_TXN</t>
  </si>
  <si>
    <t>J1506.CS4</t>
  </si>
  <si>
    <t>J1506PIN015</t>
  </si>
  <si>
    <t>CC208.1</t>
  </si>
  <si>
    <t>LC215.1</t>
  </si>
  <si>
    <t>LC215.2</t>
  </si>
  <si>
    <t>D3_TC_M01_DP84_L74_TD01__USB31_4_TXP</t>
  </si>
  <si>
    <t>J1506.CS3</t>
  </si>
  <si>
    <t>J1506PIN017</t>
  </si>
  <si>
    <t>CC207.1</t>
  </si>
  <si>
    <t>LC213.1</t>
  </si>
  <si>
    <t>LC213.2</t>
  </si>
  <si>
    <t>D3_TC_M01_DP85_L75_TD01__USB31_5_RXN</t>
  </si>
  <si>
    <t>J1505.BS3</t>
  </si>
  <si>
    <t>J1505PIN069</t>
  </si>
  <si>
    <t>CC210.2</t>
  </si>
  <si>
    <t>LC220.1</t>
  </si>
  <si>
    <t>LC220.2</t>
  </si>
  <si>
    <t>D3_TC_M01_DP85_L76_TD01__USB31_5_RXP</t>
  </si>
  <si>
    <t>J1505.BS2</t>
  </si>
  <si>
    <t>J1505PIN067</t>
  </si>
  <si>
    <t>CC209.2</t>
  </si>
  <si>
    <t>LC218.1</t>
  </si>
  <si>
    <t>LC218.2</t>
  </si>
  <si>
    <t>D3_TC_M01_DP85_L75_TD01__USB31_5_TXN</t>
  </si>
  <si>
    <t>J1505.AS3</t>
  </si>
  <si>
    <t>J1505PIN070</t>
  </si>
  <si>
    <t>CC210.1</t>
  </si>
  <si>
    <t>LC219.1</t>
  </si>
  <si>
    <t>LC219.2</t>
  </si>
  <si>
    <t>D3_TC_M01_DP85_L76_TD01__USB31_5_TXP</t>
  </si>
  <si>
    <t>J1505.AS4</t>
  </si>
  <si>
    <t>J1505PIN072</t>
  </si>
  <si>
    <t>CC209.1</t>
  </si>
  <si>
    <t>LC217.1</t>
  </si>
  <si>
    <t>LC217.2</t>
  </si>
  <si>
    <t>D3_TC_M01_DP86_L77_TD01__USB31_6_RXN</t>
  </si>
  <si>
    <t>J1507.BS3</t>
  </si>
  <si>
    <t>J1507PIN113</t>
  </si>
  <si>
    <t>CC212.2</t>
  </si>
  <si>
    <t>LC224.1</t>
  </si>
  <si>
    <t>LC224.2</t>
  </si>
  <si>
    <t>D3_TC_M01_DP86_L78_TD01__USB31_6_RXP</t>
  </si>
  <si>
    <t>J1507.BS2</t>
  </si>
  <si>
    <t>J1507PIN111</t>
  </si>
  <si>
    <t>CC211.2</t>
  </si>
  <si>
    <t>LC222.1</t>
  </si>
  <si>
    <t>LC222.2</t>
  </si>
  <si>
    <t>D3_TC_M01_DP86_L77_TD01__USB31_6_TXN</t>
  </si>
  <si>
    <t>J1508.DS2</t>
  </si>
  <si>
    <t>J1508PIN064</t>
  </si>
  <si>
    <t>CC212.1</t>
  </si>
  <si>
    <t>LC223.1</t>
  </si>
  <si>
    <t>LC223.2</t>
  </si>
  <si>
    <t>D3_TC_M01_DP86_L78_TD01__USB31_6_TXP</t>
  </si>
  <si>
    <t>J1508.DS1</t>
  </si>
  <si>
    <t>J1508PIN066</t>
  </si>
  <si>
    <t>CC211.1</t>
  </si>
  <si>
    <t>LC221.1</t>
  </si>
  <si>
    <t>LC221.2</t>
  </si>
  <si>
    <t>D3_TC_M01_DP87_L79_TD01__USB31_7_RXN</t>
  </si>
  <si>
    <t>J1507.DS4</t>
  </si>
  <si>
    <t>J1507PIN104</t>
  </si>
  <si>
    <t>CC214.2</t>
  </si>
  <si>
    <t>LC228.1</t>
  </si>
  <si>
    <t>LC228.2</t>
  </si>
  <si>
    <t>D3_TC_M01_DP87_L80_TD01__USB31_7_RXP</t>
  </si>
  <si>
    <t>J1507.DS3</t>
  </si>
  <si>
    <t>J1507PIN106</t>
  </si>
  <si>
    <t>CC213.2</t>
  </si>
  <si>
    <t>LC226.1</t>
  </si>
  <si>
    <t>LC226.2</t>
  </si>
  <si>
    <t>D3_TC_M01_DP87_L79_TD01__USB31_7_TXN</t>
  </si>
  <si>
    <t>J1506.AS8</t>
  </si>
  <si>
    <t>J1506PIN036</t>
  </si>
  <si>
    <t>CC214.1</t>
  </si>
  <si>
    <t>LC227.1</t>
  </si>
  <si>
    <t>LC227.2</t>
  </si>
  <si>
    <t>D3_TC_M01_DP87_L80_TD01__USB31_7_TXP</t>
  </si>
  <si>
    <t>J1506.AS7</t>
  </si>
  <si>
    <t>J1506PIN034</t>
  </si>
  <si>
    <t>CC213.1</t>
  </si>
  <si>
    <t>LC225.1</t>
  </si>
  <si>
    <t>LC225.2</t>
  </si>
  <si>
    <t>D3_TC_M01_DP88_L81_TD01__USB31_8_RXN</t>
  </si>
  <si>
    <t>J1806.CS3</t>
  </si>
  <si>
    <t>J1806PIN105</t>
  </si>
  <si>
    <t>CC216.2</t>
  </si>
  <si>
    <t>LC232.1</t>
  </si>
  <si>
    <t>LC232.2</t>
  </si>
  <si>
    <t>D3_TC_M04_DP06_TD02__CLKOUT_SRC_N_13</t>
  </si>
  <si>
    <t>J1809.BS2</t>
  </si>
  <si>
    <t>J1809PIN111</t>
  </si>
  <si>
    <t>D3_TC_M04_DP02_TD02__CLKOUT_SRC_N_1</t>
  </si>
  <si>
    <t>J1809.AS3</t>
  </si>
  <si>
    <t>J1809PIN114</t>
  </si>
  <si>
    <t>D3_TC_M01_DP88_L82_TD01__USB31_8_TXP</t>
  </si>
  <si>
    <t>J1806.DS4</t>
  </si>
  <si>
    <t>J1806PIN104</t>
  </si>
  <si>
    <t>CC215.1</t>
  </si>
  <si>
    <t>LC229.1</t>
  </si>
  <si>
    <t>LC229.2</t>
  </si>
  <si>
    <t>D3_TC_M01_DP89_L83_TD01__USB31_9_RXN</t>
  </si>
  <si>
    <t>J1508.DS4</t>
  </si>
  <si>
    <t>J1508PIN060</t>
  </si>
  <si>
    <t>CC218.2</t>
  </si>
  <si>
    <t>LC236.1</t>
  </si>
  <si>
    <t>LC236.2</t>
  </si>
  <si>
    <t>D3_TC_M01_DP89_L84_TD01__USB31_9_RXP</t>
  </si>
  <si>
    <t>J1508.DS3</t>
  </si>
  <si>
    <t>J1508PIN062</t>
  </si>
  <si>
    <t>CC217.2</t>
  </si>
  <si>
    <t>LC234.1</t>
  </si>
  <si>
    <t>LC234.2</t>
  </si>
  <si>
    <t>D3_TC_M01_DP89_L83_TD01__USB31_9_TXN</t>
  </si>
  <si>
    <t>J1509.DS2</t>
  </si>
  <si>
    <t>J1509PIN020</t>
  </si>
  <si>
    <t>CC218.1</t>
  </si>
  <si>
    <t>LC235.1</t>
  </si>
  <si>
    <t>LC235.2</t>
  </si>
  <si>
    <t>D3_TC_M01_DP89_L84_TD01__USB31_9_TXP</t>
  </si>
  <si>
    <t>J1509.DS1</t>
  </si>
  <si>
    <t>J1509PIN022</t>
  </si>
  <si>
    <t>CC217.1</t>
  </si>
  <si>
    <t>LC233.1</t>
  </si>
  <si>
    <t>LC233.2</t>
  </si>
  <si>
    <t>D3_P__VCCA_CLKPLL_0P82</t>
  </si>
  <si>
    <t>D3_P__VCCA_CLKPLL_1P8</t>
  </si>
  <si>
    <t>D3_P__VCCA_CNV_0P82</t>
  </si>
  <si>
    <t>D3_P__VCCA_CNVI_PLL_1P8</t>
  </si>
  <si>
    <t>D3_P__VCCA_DIG_0P82</t>
  </si>
  <si>
    <t>D3_P__VCCA_MPHYPLL_1P8</t>
  </si>
  <si>
    <t>D3_P__VCCA_REFPLL_0P82</t>
  </si>
  <si>
    <t>D3_P__VCCA_REFPLL_1P8</t>
  </si>
  <si>
    <t>D3_P__VCCA_SRC_GEN4_0P82</t>
  </si>
  <si>
    <t>D3_P__VCCA_SRC_GEN5_0P82</t>
  </si>
  <si>
    <t>D3_P__VCCA_XTAL_0P82</t>
  </si>
  <si>
    <t>D3_P__VCCA_XTAL_1P8</t>
  </si>
  <si>
    <t>D3_P__VCCCNVI_LDO_0P4</t>
  </si>
  <si>
    <t>J1805.DS13</t>
  </si>
  <si>
    <t>J1805PIN044</t>
  </si>
  <si>
    <t>D3_P__VCCDPHY_1P2</t>
  </si>
  <si>
    <t>D3_P__VCCDUSB_0P82</t>
  </si>
  <si>
    <t>D3_P__VCCFUSE_0P82</t>
  </si>
  <si>
    <t>D3_P__VCCGPIO_JTAGCPU</t>
  </si>
  <si>
    <t>D3_P__VCCMPHY_0P82</t>
  </si>
  <si>
    <t>D3_P__VCCPDSW_3P3</t>
  </si>
  <si>
    <t>D3_P__VCCPFUSE_1P8</t>
  </si>
  <si>
    <t>D3_P__VCCPGPPA</t>
  </si>
  <si>
    <t>D3_P__VCCPGPPBC</t>
  </si>
  <si>
    <t>D3_P__VCCPGPPDR</t>
  </si>
  <si>
    <t>D3_P__VCCPGPPEFHK</t>
  </si>
  <si>
    <t>D3_P__VCCPGPPI</t>
  </si>
  <si>
    <t>D3_P__VCCPRIM_1P8</t>
  </si>
  <si>
    <t>D3_P__VCCPRIM_CORE</t>
  </si>
  <si>
    <t>D3_P__VCCPRIM_DSW_0P82</t>
  </si>
  <si>
    <t>D3_Z__VCCPRTC_3P3</t>
  </si>
  <si>
    <t>J1506.AS9</t>
  </si>
  <si>
    <t>J1506PIN038</t>
  </si>
  <si>
    <t>JC4.2</t>
  </si>
  <si>
    <t>JC4.3</t>
  </si>
  <si>
    <t>TPC611.1</t>
  </si>
  <si>
    <t>D3_P__VCCPSPI</t>
  </si>
  <si>
    <t>D3_P__VCCPUSB_1P8</t>
  </si>
  <si>
    <t>D3_P__VCCPUSB_3P3</t>
  </si>
  <si>
    <t>D3_P__VCCRTCEXT</t>
  </si>
  <si>
    <t>J1506.DS7</t>
  </si>
  <si>
    <t>J1506PIN012</t>
  </si>
  <si>
    <t>D3_P__VDDWL_0_1P8_EHV</t>
  </si>
  <si>
    <t>D3_P__VDDWL_1_1P8_EHV</t>
  </si>
  <si>
    <t>D3_P__VFSOURCE_0_1P8_EHV</t>
  </si>
  <si>
    <t>D3_P__VFSOURCE_1_1P8_EHV</t>
  </si>
  <si>
    <t>D3_TC_TD01__WAKEB</t>
  </si>
  <si>
    <t>J1806.CS6</t>
  </si>
  <si>
    <t>J1806PIN101</t>
  </si>
  <si>
    <t>D3_TC_DP90_TD01_TP__XCKPLL_MON_N</t>
  </si>
  <si>
    <t>J1804.DS3</t>
  </si>
  <si>
    <t>J1804PIN018</t>
  </si>
  <si>
    <t>TPC603.1</t>
  </si>
  <si>
    <t>D3_TC_DP90_TD01_TP__XCKPLL_MON_P</t>
  </si>
  <si>
    <t>J1804.DS4</t>
  </si>
  <si>
    <t>J1804PIN016</t>
  </si>
  <si>
    <t>TPC604.1</t>
  </si>
  <si>
    <t>D3_TC_TD02__XTAL_IN</t>
  </si>
  <si>
    <t>J1807.BS4</t>
  </si>
  <si>
    <t>J1807PIN027</t>
  </si>
  <si>
    <t>RC112.2</t>
  </si>
  <si>
    <t>RC113.2</t>
  </si>
  <si>
    <t>RC114.2</t>
  </si>
  <si>
    <t>RC113.1</t>
  </si>
  <si>
    <t>D3_TC_TD02__XTAL_OUT</t>
  </si>
  <si>
    <t>J1807.BS3</t>
  </si>
  <si>
    <t>J1807PIN025</t>
  </si>
  <si>
    <t>D3_TC_TD01__TD_ANODE_2__TC</t>
  </si>
  <si>
    <t>RC32.2</t>
  </si>
  <si>
    <t>J1505.AS6</t>
  </si>
  <si>
    <t>J1505PIN076</t>
  </si>
  <si>
    <t>RC32.2</t>
    <phoneticPr fontId="3"/>
  </si>
  <si>
    <t>D3_TC_TD01__TD_CATHODE_2__TC</t>
  </si>
  <si>
    <t>RC34.2</t>
  </si>
  <si>
    <t>J1505.BS5</t>
  </si>
  <si>
    <t>J1505PIN073</t>
  </si>
  <si>
    <t>RC34.2</t>
    <phoneticPr fontId="3"/>
  </si>
  <si>
    <t>CNV</t>
    <phoneticPr fontId="3"/>
  </si>
  <si>
    <t>DUT to SW</t>
  </si>
  <si>
    <t>Loopback Diff pair</t>
    <phoneticPr fontId="3"/>
  </si>
  <si>
    <t>Total</t>
    <phoneticPr fontId="3"/>
  </si>
  <si>
    <t>Jconnector Diff pair</t>
    <phoneticPr fontId="3"/>
  </si>
  <si>
    <t>max</t>
    <phoneticPr fontId="3"/>
  </si>
  <si>
    <t>min</t>
    <phoneticPr fontId="3"/>
  </si>
  <si>
    <t>Diff.</t>
    <phoneticPr fontId="3"/>
  </si>
  <si>
    <t>Less than</t>
    <phoneticPr fontId="4"/>
  </si>
  <si>
    <t>DUT to SW (MM)</t>
    <phoneticPr fontId="4"/>
  </si>
  <si>
    <t>Diff pair (MM)</t>
    <phoneticPr fontId="4"/>
  </si>
  <si>
    <t>SW to Jconnector (MM)</t>
    <phoneticPr fontId="4"/>
  </si>
  <si>
    <t>Total (MM)</t>
    <phoneticPr fontId="4"/>
  </si>
  <si>
    <t>PCIE,USB31</t>
    <phoneticPr fontId="3"/>
  </si>
  <si>
    <t>Loopback</t>
    <phoneticPr fontId="3"/>
  </si>
  <si>
    <t>DUT to Capacitor (MM)</t>
    <phoneticPr fontId="4"/>
  </si>
  <si>
    <t>Loopback (MM)</t>
    <phoneticPr fontId="4"/>
  </si>
  <si>
    <t>DUT to Inductor (MM)</t>
    <phoneticPr fontId="4"/>
  </si>
  <si>
    <t>Inductor to Jconnector (MM)</t>
    <phoneticPr fontId="4"/>
  </si>
  <si>
    <t>DMI</t>
    <phoneticPr fontId="3"/>
  </si>
  <si>
    <t>DUT to Capacitor</t>
    <phoneticPr fontId="3"/>
  </si>
  <si>
    <t>DUT to Capacitor Diff pair</t>
    <phoneticPr fontId="3"/>
  </si>
  <si>
    <t>(2.5mil*2)</t>
    <phoneticPr fontId="4"/>
  </si>
  <si>
    <t>DUT to Capacitor Diff pair(MM)</t>
    <phoneticPr fontId="4"/>
  </si>
  <si>
    <t>CLKOUT_XTAL</t>
    <phoneticPr fontId="3"/>
  </si>
  <si>
    <t>DUT to Jconnector</t>
    <phoneticPr fontId="3"/>
  </si>
  <si>
    <t>Diff pair</t>
    <phoneticPr fontId="3"/>
  </si>
  <si>
    <t>DUT to Jconnector (MM)</t>
    <phoneticPr fontId="4"/>
  </si>
  <si>
    <t>CLKOUT_SRC</t>
    <phoneticPr fontId="3"/>
  </si>
  <si>
    <t>DUT to Jconnector</t>
  </si>
  <si>
    <t>max</t>
  </si>
  <si>
    <t>min</t>
  </si>
  <si>
    <t>Diff.</t>
  </si>
  <si>
    <t>DUT to Jconnector (MM)</t>
    <phoneticPr fontId="3"/>
  </si>
  <si>
    <t>Diff pair(MM)</t>
    <phoneticPr fontId="4"/>
  </si>
  <si>
    <t>CLKOUT_SRC_N_0</t>
    <phoneticPr fontId="4"/>
  </si>
  <si>
    <t>RTCX1/2</t>
    <phoneticPr fontId="3"/>
  </si>
  <si>
    <t>XTAL_IN/OUT</t>
    <phoneticPr fontId="3"/>
  </si>
  <si>
    <t>RTCX1</t>
    <phoneticPr fontId="4"/>
  </si>
  <si>
    <t>DUT to Jconnector or Resistor(MM)</t>
    <phoneticPr fontId="3"/>
  </si>
  <si>
    <t>Resistor to Jconnector (MM)</t>
    <phoneticPr fontId="4"/>
  </si>
  <si>
    <t>XTAL_IN</t>
    <phoneticPr fontId="4"/>
  </si>
  <si>
    <t>GPP_E/GPP_F</t>
    <phoneticPr fontId="3"/>
  </si>
  <si>
    <t>GPP_C/GPP_H</t>
    <phoneticPr fontId="3"/>
  </si>
  <si>
    <t>USB2</t>
    <phoneticPr fontId="3"/>
  </si>
  <si>
    <t>DP</t>
    <phoneticPr fontId="3"/>
  </si>
  <si>
    <t>Thermal</t>
  </si>
  <si>
    <t>DUT to TCI</t>
    <phoneticPr fontId="3"/>
  </si>
  <si>
    <t>DUT to Resistor (MM)</t>
    <phoneticPr fontId="4"/>
  </si>
  <si>
    <t>Resistor to TCI (MM)</t>
    <phoneticPr fontId="4"/>
  </si>
  <si>
    <t>F+</t>
    <phoneticPr fontId="3"/>
  </si>
  <si>
    <t>R1TD2VP</t>
  </si>
  <si>
    <t>S+</t>
    <phoneticPr fontId="3"/>
  </si>
  <si>
    <t>R1TD2IP</t>
  </si>
  <si>
    <t>S-</t>
    <phoneticPr fontId="3"/>
  </si>
  <si>
    <t>R1TD2IM</t>
  </si>
  <si>
    <t>F-</t>
    <phoneticPr fontId="3"/>
  </si>
  <si>
    <t>R1TD2VM</t>
  </si>
  <si>
    <t>DUT to Resistor</t>
    <phoneticPr fontId="3"/>
  </si>
  <si>
    <t>Resistor to Jconnector</t>
    <phoneticPr fontId="3"/>
  </si>
  <si>
    <t>SYNC</t>
  </si>
  <si>
    <t>SMA to Jconnector (MM)</t>
  </si>
  <si>
    <t>Match Loop and SYNC Signals</t>
  </si>
  <si>
    <t xml:space="preserve">Power Follwing Signals Routing </t>
  </si>
  <si>
    <t>R1PF1IP</t>
  </si>
  <si>
    <t>R1PF1IM</t>
  </si>
  <si>
    <t>R1PF1VP</t>
  </si>
  <si>
    <t>R1PF1VM</t>
  </si>
  <si>
    <t>Trigger</t>
    <phoneticPr fontId="3"/>
  </si>
  <si>
    <t>SITE1</t>
    <phoneticPr fontId="20"/>
  </si>
  <si>
    <t>SITE3</t>
    <phoneticPr fontId="20"/>
  </si>
  <si>
    <t>800MDM</t>
    <phoneticPr fontId="20"/>
  </si>
  <si>
    <t>DPS150A</t>
    <phoneticPr fontId="20"/>
  </si>
  <si>
    <t>J1604_PMDTRG0</t>
  </si>
  <si>
    <t>J1208_LVBMP0</t>
  </si>
  <si>
    <t>J1804_PMDTRG0</t>
  </si>
  <si>
    <t>J1408_LVBMP0</t>
  </si>
  <si>
    <t>J1204_LVBMP0</t>
  </si>
  <si>
    <t>J1404_LVBMP0</t>
  </si>
  <si>
    <t>J1301_LVBMP0</t>
  </si>
  <si>
    <t>J1101_LVBMP0</t>
  </si>
  <si>
    <t>J1305_LVBMP0</t>
  </si>
  <si>
    <t>J1105_LVBMP0</t>
  </si>
  <si>
    <t>J1604_PMDTRG1</t>
  </si>
  <si>
    <t>J1208_LVBMP1</t>
  </si>
  <si>
    <t>J1804_PMDTRG1</t>
  </si>
  <si>
    <t>J1408_LVBMP1</t>
  </si>
  <si>
    <t>J1204_LVBMP1</t>
  </si>
  <si>
    <t>J1404_LVBMP1</t>
  </si>
  <si>
    <t>J1301_LVBMP1</t>
  </si>
  <si>
    <t>J1101_LVBMP1</t>
  </si>
  <si>
    <t>J1305_LVBMP1</t>
  </si>
  <si>
    <t>J1105_LVBMP1</t>
  </si>
  <si>
    <t>J1604_PMDTRG2</t>
  </si>
  <si>
    <t>J1208_LIMTRG</t>
  </si>
  <si>
    <t>J1804_PMDTRG2</t>
  </si>
  <si>
    <t>J1408_LIMTRG</t>
  </si>
  <si>
    <t>J1204_LIMTRG</t>
  </si>
  <si>
    <t>J1404_LIMTRG</t>
  </si>
  <si>
    <t>J1301_LIMTRG</t>
  </si>
  <si>
    <t>J1101_LIMTRG</t>
  </si>
  <si>
    <t>J1305_LIMTRG</t>
  </si>
  <si>
    <t>J1105_LIMTRG</t>
  </si>
  <si>
    <t>J1601_PMDTRG0</t>
  </si>
  <si>
    <t>J1205_HVBMP0</t>
  </si>
  <si>
    <t>J1801_PMDTRG0</t>
  </si>
  <si>
    <t>J1405_HVBMP0</t>
  </si>
  <si>
    <t>J1201_HVBMP0</t>
  </si>
  <si>
    <t>J1401_HVBMP0</t>
  </si>
  <si>
    <t>J1601_PMDTRG1</t>
  </si>
  <si>
    <t>J1205_HVBMP1</t>
  </si>
  <si>
    <t>J1801_PMDTRG1</t>
  </si>
  <si>
    <t>J1405_HVBMP1</t>
  </si>
  <si>
    <t>J1201_HVBMP1</t>
  </si>
  <si>
    <t>J1401_HVBMP1</t>
  </si>
  <si>
    <t>J1601_PMDTRG2</t>
  </si>
  <si>
    <t>J1206_HIMTRG</t>
  </si>
  <si>
    <t>J1801_PMDTRG2</t>
  </si>
  <si>
    <t>J1406_HIMTRG</t>
  </si>
  <si>
    <t>J1202_HIMTRG</t>
  </si>
  <si>
    <t>J1402_HIMTRG</t>
  </si>
  <si>
    <t>POWER</t>
  </si>
  <si>
    <t>Parallel</t>
    <phoneticPr fontId="4"/>
  </si>
  <si>
    <t>DPS150A</t>
    <phoneticPr fontId="3"/>
  </si>
  <si>
    <t>TP DPS#</t>
    <phoneticPr fontId="3"/>
  </si>
  <si>
    <t xml:space="preserve">Layer </t>
    <phoneticPr fontId="3"/>
  </si>
  <si>
    <t>Power Rail Name</t>
    <phoneticPr fontId="4"/>
  </si>
  <si>
    <t>HCDPS</t>
    <phoneticPr fontId="4"/>
  </si>
  <si>
    <t>LCDPS</t>
    <phoneticPr fontId="4"/>
  </si>
  <si>
    <t>SITE1</t>
    <phoneticPr fontId="3"/>
  </si>
  <si>
    <t>SITE1 Master ch</t>
    <phoneticPr fontId="3"/>
  </si>
  <si>
    <t>SITE3</t>
    <phoneticPr fontId="3"/>
  </si>
  <si>
    <t>SITE3 Master ch</t>
    <phoneticPr fontId="3"/>
  </si>
  <si>
    <t>-</t>
    <phoneticPr fontId="4"/>
  </si>
  <si>
    <t>J1207_HDP5F</t>
  </si>
  <si>
    <t>J1407_HDP5F</t>
  </si>
  <si>
    <t>1207.13</t>
  </si>
  <si>
    <t>1407.13</t>
  </si>
  <si>
    <t>L3_HC/LC</t>
  </si>
  <si>
    <t>J1206_HDP4F</t>
  </si>
  <si>
    <t>J1406_HDP4F</t>
  </si>
  <si>
    <t>1206.12</t>
  </si>
  <si>
    <t>1406.12</t>
  </si>
  <si>
    <t>L5_HC/LC</t>
  </si>
  <si>
    <t>J1206_HDP3F</t>
  </si>
  <si>
    <t>J1406_HDP3F</t>
  </si>
  <si>
    <t>1206.11</t>
  </si>
  <si>
    <t>1406.11</t>
  </si>
  <si>
    <t>J1207_HDP6F</t>
  </si>
  <si>
    <t>J1407_HDP6F</t>
  </si>
  <si>
    <t>1207.14</t>
  </si>
  <si>
    <t>1407.14</t>
  </si>
  <si>
    <t>J1205_HDP1F</t>
  </si>
  <si>
    <t>J1405_HDP1F</t>
  </si>
  <si>
    <t>1205.9</t>
  </si>
  <si>
    <t>1405.9</t>
  </si>
  <si>
    <t>VCCGPIO_JTAGCPU</t>
    <phoneticPr fontId="4"/>
  </si>
  <si>
    <t>J1208_HDP8F</t>
  </si>
  <si>
    <t>J1408_HDP8F</t>
  </si>
  <si>
    <t>1208.16</t>
  </si>
  <si>
    <t>1408.16</t>
  </si>
  <si>
    <t>J1203_HDP6F</t>
  </si>
  <si>
    <t>J1403_HDP6F</t>
  </si>
  <si>
    <t>1203.14</t>
  </si>
  <si>
    <t>1403.14</t>
  </si>
  <si>
    <t>J1201_HDP2F,J1202_HDP4F</t>
  </si>
  <si>
    <t>J1201_HDP2F</t>
  </si>
  <si>
    <t>J1401_HDP2F,J1402_HDP4F</t>
  </si>
  <si>
    <t>J1401_HDP2F</t>
  </si>
  <si>
    <t>1201.10,1202.12</t>
  </si>
  <si>
    <t>1201.10</t>
  </si>
  <si>
    <t>1401.10,1402.12</t>
  </si>
  <si>
    <t>1401.10</t>
  </si>
  <si>
    <t>J1201_HDP1F</t>
  </si>
  <si>
    <t>J1401_HDP1F</t>
  </si>
  <si>
    <t>1201.9</t>
  </si>
  <si>
    <t>1401.9</t>
  </si>
  <si>
    <t>J1204_HDP7F</t>
  </si>
  <si>
    <t>J1404_HDP7F</t>
  </si>
  <si>
    <t>1204.15</t>
  </si>
  <si>
    <t>1404.15</t>
  </si>
  <si>
    <t>J1208_HDP7F</t>
  </si>
  <si>
    <t>J1408_HDP7F</t>
  </si>
  <si>
    <t>1208.15</t>
  </si>
  <si>
    <t>1408.15</t>
  </si>
  <si>
    <t>J1202_HDP3F</t>
  </si>
  <si>
    <t>J1402_HDP3F</t>
  </si>
  <si>
    <t>1202.11</t>
  </si>
  <si>
    <t>1402.11</t>
  </si>
  <si>
    <t>J1207_LDP6F</t>
  </si>
  <si>
    <t>J1407_LDP6F</t>
  </si>
  <si>
    <t>1207.6</t>
  </si>
  <si>
    <t>1407.6</t>
  </si>
  <si>
    <t>L7_HC/LC</t>
  </si>
  <si>
    <t>J1208_LDP7F</t>
  </si>
  <si>
    <t>J1408_LDP7F</t>
  </si>
  <si>
    <t>1208.7</t>
  </si>
  <si>
    <t>1408.7</t>
  </si>
  <si>
    <t>L17_HC/LC</t>
  </si>
  <si>
    <t>J1206_LDP3F</t>
  </si>
  <si>
    <t>J1406_LDP3F</t>
  </si>
  <si>
    <t>1206.3</t>
  </si>
  <si>
    <t>1406.3</t>
  </si>
  <si>
    <t>J1206_LDP4F</t>
  </si>
  <si>
    <t>J1406_LDP4F</t>
  </si>
  <si>
    <t>1206.4</t>
  </si>
  <si>
    <t>1406.4</t>
  </si>
  <si>
    <t>J1208_LDP8F</t>
  </si>
  <si>
    <t>J1408_LDP8F</t>
  </si>
  <si>
    <t>1208.8</t>
  </si>
  <si>
    <t>1408.8</t>
  </si>
  <si>
    <t>J1207_LDP5F</t>
  </si>
  <si>
    <t>J1407_LDP5F</t>
  </si>
  <si>
    <t>1207.5</t>
  </si>
  <si>
    <t>1407.5</t>
  </si>
  <si>
    <t>J1304_LDP1F</t>
  </si>
  <si>
    <t>J1104_LDP1F</t>
  </si>
  <si>
    <t>1304.1</t>
  </si>
  <si>
    <t>1104.1</t>
  </si>
  <si>
    <t>J1204_LDP8F</t>
  </si>
  <si>
    <t>J1404_LDP8F</t>
  </si>
  <si>
    <t>1204.8</t>
  </si>
  <si>
    <t>1404.8</t>
  </si>
  <si>
    <t>J1204_LDP7F</t>
  </si>
  <si>
    <t>J1404_LDP7F</t>
  </si>
  <si>
    <t>1204.7</t>
  </si>
  <si>
    <t>1404.7</t>
  </si>
  <si>
    <t>J1202_LDP3F</t>
  </si>
  <si>
    <t>J1402_LDP3F</t>
  </si>
  <si>
    <t>1202.3</t>
  </si>
  <si>
    <t>1402.3</t>
  </si>
  <si>
    <t>J1203_LDP5F</t>
  </si>
  <si>
    <t>J1403_LDP5F</t>
  </si>
  <si>
    <t>1203.5</t>
  </si>
  <si>
    <t>1403.5</t>
  </si>
  <si>
    <t>J1201_LDP1F</t>
  </si>
  <si>
    <t>J1401_LDP1F</t>
  </si>
  <si>
    <t>1201.1</t>
  </si>
  <si>
    <t>1401.1</t>
  </si>
  <si>
    <t>J1202_LDP4F</t>
  </si>
  <si>
    <t>J1402_LDP4F</t>
  </si>
  <si>
    <t>1202.4</t>
  </si>
  <si>
    <t>1402.4</t>
  </si>
  <si>
    <t>J1203_LDP6F</t>
  </si>
  <si>
    <t>J1403_LDP6F</t>
  </si>
  <si>
    <t>1203.6</t>
  </si>
  <si>
    <t>1403.6</t>
  </si>
  <si>
    <t>J1201_LDP2F</t>
  </si>
  <si>
    <t>J1401_LDP2F</t>
  </si>
  <si>
    <t>1201.2</t>
  </si>
  <si>
    <t>1401.2</t>
  </si>
  <si>
    <t>J1205_LDP2F</t>
  </si>
  <si>
    <t>J1405_LDP2F</t>
  </si>
  <si>
    <t>1205.2</t>
  </si>
  <si>
    <t>1405.2</t>
  </si>
  <si>
    <t>J1205_LDP1F</t>
  </si>
  <si>
    <t>J1405_LDP1F</t>
  </si>
  <si>
    <t>1205.1</t>
  </si>
  <si>
    <t>1405.1</t>
  </si>
  <si>
    <t>J1302_LDP6F</t>
  </si>
  <si>
    <t>J1102_LDP6F</t>
  </si>
  <si>
    <t>1302.6</t>
  </si>
  <si>
    <t>1102.6</t>
  </si>
  <si>
    <t>J1303_LDP3F</t>
  </si>
  <si>
    <t>J1103_LDP3F</t>
  </si>
  <si>
    <t>1303.3</t>
  </si>
  <si>
    <t>1103.3</t>
  </si>
  <si>
    <t>J1303_LDP4F</t>
  </si>
  <si>
    <t>J1103_LDP4F</t>
  </si>
  <si>
    <t>1303.4</t>
  </si>
  <si>
    <t>1103.4</t>
  </si>
  <si>
    <t>J1304_LDP2F</t>
  </si>
  <si>
    <t>J1104_LDP2F</t>
  </si>
  <si>
    <t>1304.2</t>
  </si>
  <si>
    <t>1104.2</t>
  </si>
  <si>
    <t>J1301_LDP8F</t>
  </si>
  <si>
    <t>J1101_LDP8F</t>
  </si>
  <si>
    <t>1301.8</t>
  </si>
  <si>
    <t>1101.8</t>
  </si>
  <si>
    <t>J1302_LDP5F</t>
  </si>
  <si>
    <t>J1102_LDP5F</t>
  </si>
  <si>
    <t>1302.5</t>
  </si>
  <si>
    <t>1102.5</t>
  </si>
  <si>
    <t>J1308_LDP1F</t>
  </si>
  <si>
    <t>J1108_LDP1F</t>
  </si>
  <si>
    <t>1308.1</t>
  </si>
  <si>
    <t>1108.1</t>
  </si>
  <si>
    <t>J1306_LDP5F</t>
  </si>
  <si>
    <t>J1106_LDP5F</t>
  </si>
  <si>
    <t>1306.5</t>
  </si>
  <si>
    <t>1106.5</t>
  </si>
  <si>
    <t>VLC7_1_FOLD</t>
    <phoneticPr fontId="4"/>
  </si>
  <si>
    <t>J1301_LDP7F</t>
  </si>
  <si>
    <t>J1101_LDP7F</t>
  </si>
  <si>
    <t>1301.7</t>
  </si>
  <si>
    <t>1101.7</t>
  </si>
  <si>
    <t>Ch LINK Assignment  (Reorder based on Tch)</t>
    <phoneticPr fontId="4"/>
  </si>
  <si>
    <t>J No.</t>
  </si>
  <si>
    <t>PIN</t>
    <phoneticPr fontId="4"/>
  </si>
  <si>
    <t>Assigned Sig. Name</t>
    <phoneticPr fontId="4"/>
  </si>
  <si>
    <t>Ball#</t>
    <phoneticPr fontId="4"/>
  </si>
  <si>
    <t>SC4:GPP_F_19_DNX_FORCE_RELOAD</t>
  </si>
  <si>
    <t>SC4:GPP_E_4_SATA_DEVSLP_0</t>
  </si>
  <si>
    <t>SC4:GPP_C_10_UART0_RTSB</t>
  </si>
  <si>
    <t>SC4:GPP_F_15</t>
  </si>
  <si>
    <t>SC4:GPP_F_20_GMII_MDC_0</t>
  </si>
  <si>
    <t>SC4:GPP_F_10_SATA_SCLOCK_DIR_ESPI_NMI</t>
  </si>
  <si>
    <t>SC4:GPP_H_1_SRCCLKREQB_8</t>
  </si>
  <si>
    <t>SC4:GPP_F_11_SATA_SLOAD_DIR_ESPI_IRQ</t>
  </si>
  <si>
    <t>SC4:GPP_F_14</t>
  </si>
  <si>
    <t>SC4:GPP_C_17_USB2_OCB_5_I2C4_SCL</t>
  </si>
  <si>
    <t>SC4:GPP_H_17_SML4ALERTB</t>
  </si>
  <si>
    <t>SC4:GPP_H_5_USB2_OCB_0</t>
  </si>
  <si>
    <t>SC4:GPP_F_17</t>
  </si>
  <si>
    <t>SC4:GPP_H_8_USB2_OCB_3_GMII_MDIO_1</t>
  </si>
  <si>
    <t>SC4:GPP_E_8_SATA_LEDB</t>
  </si>
  <si>
    <t>SC4:GPP_E_17_THC0_SPI1_IO_2</t>
  </si>
  <si>
    <t>SC4:GPP_H_0</t>
  </si>
  <si>
    <t>SC4:GPP_E_10_SRCCLKREQB_13</t>
  </si>
  <si>
    <t>SC4:GPP_H_7_USB2_OCB_2_GMII_MDC_1</t>
  </si>
  <si>
    <t>SC4:GPP_E_19_THC0_SPI1_RSTB</t>
  </si>
  <si>
    <t>SC4:GPP_H_12_SML3CLK</t>
  </si>
  <si>
    <t>SC4:GPP_H_10_SML2DATA</t>
  </si>
  <si>
    <t>SC4:GPP_F_8_SATA_DEVSLP_6</t>
  </si>
  <si>
    <t>SC4:GPP_E_13_THC0_SPI1_CSB</t>
  </si>
  <si>
    <t>SC4:GPP_F_16</t>
  </si>
  <si>
    <t>SC4:GPP_H_4_SRCCLKREQB_11</t>
  </si>
  <si>
    <t>SC4:GPP_C_19_USB2_OCB_7_I2C5_SCL</t>
  </si>
  <si>
    <t>SC4:GPP_E_21_ISH_UART0_CTSB_SML0BALERTB</t>
  </si>
  <si>
    <t>SC4:GPP_C_11_UART0_CTSB</t>
  </si>
  <si>
    <t>SC4:GPP_H_9_SML2CLK</t>
  </si>
  <si>
    <t>SC4:GPP_E_3_CPU_GP_0</t>
  </si>
  <si>
    <t>SC4:GPP_C_7_ISH_I2C2_SCL_I2C3_SCL</t>
  </si>
  <si>
    <t>SC4:GPP_F_7_SATA_DEVSLP_5</t>
  </si>
  <si>
    <t>SC4:GPP_C_9_UART0_TXD</t>
  </si>
  <si>
    <t>SC4:GPP_H_6_USB2_OCB_1</t>
  </si>
  <si>
    <t>SC4:GPP_E_20_THC0_SPI1_INTB</t>
  </si>
  <si>
    <t>SC4:GPP_E_12_ISH_GP_10</t>
  </si>
  <si>
    <t>SC4:GPP_E_11_ISH_GP_9</t>
  </si>
  <si>
    <t>SC4:GPP_E_14_THC0_SPI1_CLK</t>
  </si>
  <si>
    <t>SC4:GPP_E_7_CPU_GP_1</t>
  </si>
  <si>
    <t>SC4:GPP_F_18</t>
  </si>
  <si>
    <t>SC4:GPP_E_6_SATA_DEVSLP_2</t>
  </si>
  <si>
    <t>SC4:GPP_H_16_SML4DATA</t>
  </si>
  <si>
    <t>SC4:GPP_C_15_UART1_CTSB_ISH_UART1_CTSB</t>
  </si>
  <si>
    <t>SC4:GPP_F_13_SATA_SDATAOUT0_DIR_ESPI_SCI</t>
  </si>
  <si>
    <t>SC4:GPP_C_8_UART0_RXD</t>
  </si>
  <si>
    <t>SC4:GPP_E_18_THC0_SPI1_IO_3</t>
  </si>
  <si>
    <t>SC4:GPP_F_12_SATA_SDATAOUT1_DIR_ESPI_WAKE</t>
  </si>
  <si>
    <t>SC4:GPP_E_1_SATAXPCIE_1_SATAGP_1</t>
  </si>
  <si>
    <t>SC4:GPP_E_2_SATAXPCIE_2_SATAGP_2</t>
  </si>
  <si>
    <t>SC4:GPP_E_5_SATA_DEVSLP_1</t>
  </si>
  <si>
    <t>SC4:GPP_E_15_THC0_SPI1_IO_1</t>
  </si>
  <si>
    <t>SC4:GPP_H_13_SML3DATA</t>
  </si>
  <si>
    <t>SC4:GPP_H_15_SML4CLK</t>
  </si>
  <si>
    <t>SC4:GPP_H_18_ISH_I2C1_SDA_SMIB</t>
  </si>
  <si>
    <t>SC4:GPP_H_3_SRCCLKREQB_10</t>
  </si>
  <si>
    <t>SC4:GPP_H_14_SML3ALERTB</t>
  </si>
  <si>
    <t>SC4:GPP_E_0_SATAXPCIE_0_SATAGP_0</t>
  </si>
  <si>
    <t>SC4:GPP_E_16_THC0_SPI1_IO_0</t>
  </si>
  <si>
    <t>SC4:GPP_H_2_SRCCLKREQB_9</t>
  </si>
  <si>
    <t>SC4:GPP_E_9_SRCCLKREQB_12</t>
  </si>
  <si>
    <t>SC4:GPP_C_20_UART2_RXD_CNV_MFUART0_RXD</t>
  </si>
  <si>
    <t>SC4:GPP_H_11_SML2ALERTB</t>
  </si>
  <si>
    <t>SC4:GPP_H_19_ISH_I2C1_SCL_NMIB</t>
  </si>
  <si>
    <t>SC4:GPP_C_13_UART1_TXD_ISH_UART1_TXD</t>
  </si>
  <si>
    <t>SC4:GPP_C_16_USB2_OCB_4_I2C4_SDA</t>
  </si>
  <si>
    <t>SC4:GPP_F_9_SATA_DEVSLP_7_DIR_ESPI_SMI</t>
  </si>
  <si>
    <t>SC4:GPP_C_14_UART1_RTSB_ISH_UART1_RTSB</t>
  </si>
  <si>
    <t>SC4:GPP_C_18_USB2_OCB_6_I2C5_SDA</t>
  </si>
  <si>
    <t>SC4:GPP_C_21_UART2_TXD_CNV_MFUART0_TXD</t>
  </si>
  <si>
    <t>SC4:GPP_C_12_UART1_RXD_ISH_UART1_RXD</t>
  </si>
  <si>
    <t>TD Assignment  (Reorder based on Tch)</t>
    <phoneticPr fontId="4"/>
  </si>
  <si>
    <t>TD01:GPP_S_5_SNDW2_DATA_DMIC_CLK_B_1_RGMII_INT_1</t>
  </si>
  <si>
    <t>TD01:PCIE_16_SATA_3_TXP</t>
  </si>
  <si>
    <t>TD01:PCIE_4_TXP</t>
  </si>
  <si>
    <t>TD01:PCIE_24_RXN</t>
  </si>
  <si>
    <t>TD01:PCIE_16_SATA_3_TXN</t>
  </si>
  <si>
    <t>TD01:PCIE_4_TXN</t>
  </si>
  <si>
    <t>TD01:PCIE_24_RXP</t>
  </si>
  <si>
    <t>TD01:GPP_I_7_GSPI0_CLK</t>
  </si>
  <si>
    <t>TD01:GPP_C_1_SMBDATA</t>
  </si>
  <si>
    <t>TD01:GPP_F_19_DNX_FORCE_RELOAD</t>
  </si>
  <si>
    <t>TD01:DMI_CLKREQB</t>
  </si>
  <si>
    <t>TD01:GPP_E_4_SATA_DEVSLP_0</t>
  </si>
  <si>
    <t>TD01:PCIE_7_LAN_0B_TXP</t>
  </si>
  <si>
    <t>TD01:GPP_C_0_SMBCLK</t>
  </si>
  <si>
    <t>TD01:GPP_C_10_UART0_RTSB</t>
  </si>
  <si>
    <t>TD01:PCIE_11_TXN</t>
  </si>
  <si>
    <t>TD01:GPP_F_15</t>
  </si>
  <si>
    <t>TD01:GPP_F_20_GMII_MDC_0</t>
  </si>
  <si>
    <t>TD01:GPP_R_0_HDA_BCLK_I2S0_SCLK_HDACPU_BCLK_DMIC_CLK_A_1</t>
  </si>
  <si>
    <t>TD01:PCIE_7_LAN_0B_TXN</t>
  </si>
  <si>
    <t>TD01:PCIE_12_TXN</t>
  </si>
  <si>
    <t>TD01:DMI_1_RXN</t>
  </si>
  <si>
    <t>TD01:PCIE_11_TXP</t>
  </si>
  <si>
    <t>TD01:GPP_F_10_SATA_SCLOCK_DIR_ESPI_NMI</t>
  </si>
  <si>
    <t>TD01:GPP_B_6</t>
  </si>
  <si>
    <t>TD01:GPP_I_9_GSPI0_MOSI</t>
  </si>
  <si>
    <t>TD01:PCIE_12_TXP</t>
  </si>
  <si>
    <t>TD01:DMI_1_RXP</t>
  </si>
  <si>
    <t>TD01:GPP_H_1_SRCCLKREQB_8</t>
  </si>
  <si>
    <t>TD01:GPP_R_6_I2S1_TXD</t>
  </si>
  <si>
    <t>TD02:MLK_CLK</t>
  </si>
  <si>
    <t>TD01:GPD_6_SLP_AB</t>
  </si>
  <si>
    <t>TD01:GPP_B_3_CPU_GP_2</t>
  </si>
  <si>
    <t>TD01:GPP_B_1_ISH_UART0_RTSB_GSPI2_CS1B</t>
  </si>
  <si>
    <t>TD01:GPP_D_8_I2S2_SCLK_DMIC_CLK_A_0</t>
  </si>
  <si>
    <t>TD01:GPP_I_8_GSPI0_MISO</t>
  </si>
  <si>
    <t>TD01:SLP_SUSB</t>
  </si>
  <si>
    <t>TD01:VCCRTCEXT</t>
  </si>
  <si>
    <t>TD01:DIR_ESPI_ALERTB</t>
  </si>
  <si>
    <t>TD01:CNV_WR_D1P</t>
  </si>
  <si>
    <t>TD01:USB2N_12</t>
  </si>
  <si>
    <t>TD02:CLKOUT_SRC_N_5</t>
  </si>
  <si>
    <t>TD01:GPD_10_SLP_S5B</t>
  </si>
  <si>
    <t>TD01:DIR_ESPI_IO_1</t>
  </si>
  <si>
    <t>TD01:GPP_D_18_GSPI3_MISO_THC1_SPI2_IO_0</t>
  </si>
  <si>
    <t>TD01:RTESTB</t>
  </si>
  <si>
    <t>TD01:GPD_2_LAN_WAKEB</t>
  </si>
  <si>
    <t>TD01:DIR_ESPI_IO_3</t>
  </si>
  <si>
    <t>TD01:CNV_WR_D1N</t>
  </si>
  <si>
    <t>TD01:USB2P_12</t>
  </si>
  <si>
    <t>TD02:CLKOUT_SRC_P_5</t>
  </si>
  <si>
    <t>TD01:GPD_11_LANPHYPC</t>
  </si>
  <si>
    <t>TD01:USB31_4_TXN</t>
  </si>
  <si>
    <t>TD01:GPP_F_11_SATA_SLOAD_DIR_ESPI_IRQ</t>
  </si>
  <si>
    <t>TD01:GPP_D_16_GSPI3_CS0B_THC1_SPI2_CSB</t>
  </si>
  <si>
    <t>TD02:CLKOUT_SRC_N_7</t>
  </si>
  <si>
    <t>TD01:PCIE_10_TSN_1_TXN</t>
  </si>
  <si>
    <t>TD01:GPP_A_10_ESPI_ALERT0B</t>
  </si>
  <si>
    <t>TD01:GPP_F_14</t>
  </si>
  <si>
    <t>TD01:XCKPLL_MON_P</t>
  </si>
  <si>
    <t>TD02:CLKOUT_SRC_N_8</t>
  </si>
  <si>
    <t>TD01:PCIE_10_TSN_1_RXN</t>
  </si>
  <si>
    <t>TD01:USB31_4_TXP</t>
  </si>
  <si>
    <t>TD01:GPP_J_15_AUX_PWRGD</t>
  </si>
  <si>
    <t>TD01:GPP_I_5_I2C1_SCL</t>
  </si>
  <si>
    <t>TD02:CLKOUT_SRC_P_7</t>
  </si>
  <si>
    <t>TD01:PCIE_10_TSN_1_TXP</t>
  </si>
  <si>
    <t>TD01:DMI_2_RXP</t>
  </si>
  <si>
    <t>TD01:GPP_B_7_ISH_GP_7</t>
  </si>
  <si>
    <t>TD01:GPP_D_15_SML1DATA</t>
  </si>
  <si>
    <t>TD01:XCKPLL_MON_N</t>
  </si>
  <si>
    <t>TD02:CLKOUT_SRC_P_8</t>
  </si>
  <si>
    <t>TD01:PCIE_10_TSN_1_RXP</t>
  </si>
  <si>
    <t>TD01:PCIE_12_RXN</t>
  </si>
  <si>
    <t>TD01:PCH_PWROK</t>
  </si>
  <si>
    <t>TD01:DMI_2_RXN</t>
  </si>
  <si>
    <t>TD01:USB31_9_TXN</t>
  </si>
  <si>
    <t>TD02:CLKOUT_SRC_N_3</t>
  </si>
  <si>
    <t>TD01:GPP_C_17_USB2_OCB_5_I2C4_SCL</t>
  </si>
  <si>
    <t>TD01:PCIE_12_RXP</t>
  </si>
  <si>
    <t>TD01:USB2_ID_8_14</t>
  </si>
  <si>
    <t>TD01:DIR_ESPI_CLK</t>
  </si>
  <si>
    <t>TD01:DIR_ESPI_IO_2</t>
  </si>
  <si>
    <t>TD01:USB31_9_TXP</t>
  </si>
  <si>
    <t>TD01:USB2_ID_1_7</t>
  </si>
  <si>
    <t>TD02:CLKOUT_SRC_P_3</t>
  </si>
  <si>
    <t>TD01:SPI0_IO_3</t>
  </si>
  <si>
    <t>TD01:PCIE_21_RXN</t>
  </si>
  <si>
    <t>TD01:DIR_ESPI_CSB</t>
  </si>
  <si>
    <t>TD01:RSMRSTB</t>
  </si>
  <si>
    <t>TD02:MLK_DATA</t>
  </si>
  <si>
    <t>TD01:GPP_H_17_SML4ALERTB</t>
  </si>
  <si>
    <t>TD01:GPP_H_5_USB2_OCB_0</t>
  </si>
  <si>
    <t>TD01:GPP_F_17</t>
  </si>
  <si>
    <t>TD01:GPD_3_PWRBTNB</t>
  </si>
  <si>
    <t>TD01:PCIE_21_RXP</t>
  </si>
  <si>
    <t>TD01:DIR_ESPI_IO_0</t>
  </si>
  <si>
    <t>TD01:GPP_D_2_SRCCLKREQB_2</t>
  </si>
  <si>
    <t>TD02:XTAL_OUT</t>
  </si>
  <si>
    <t>TD01:GPD_4_SLP_S3B</t>
  </si>
  <si>
    <t>TD01:GPP_B_0_PCIE_LNK_DOWN</t>
  </si>
  <si>
    <t>TD01:GPP_H_8_USB2_OCB_3_GMII_MDIO_1</t>
  </si>
  <si>
    <t>TD01:GPP_J_4_CNV_RGI_RSP_UART0_CTSB</t>
  </si>
  <si>
    <t>TD01:PCIE_13_SATA_0_TXP</t>
  </si>
  <si>
    <t>TD01:DMI_3_RXP</t>
  </si>
  <si>
    <t>TD01:GPP_B_13_PLTRSTB</t>
  </si>
  <si>
    <t>TD01:CNV_WR_D0N</t>
  </si>
  <si>
    <t>TD01:GPP_I_13_GSPI1_MOSI</t>
  </si>
  <si>
    <t>TD02:XTAL_IN</t>
  </si>
  <si>
    <t>TD01:PCIE_19_SATA_6_RXP</t>
  </si>
  <si>
    <t>TD01:GPP_E_8_SATA_LEDB</t>
  </si>
  <si>
    <t>TD01:DMI_4_RXN</t>
  </si>
  <si>
    <t>TD01:GPP_S_3_SNDW1_DATA_DMIC_DATA_0_RGMII_PPS_0_SNDW0_DATA2</t>
  </si>
  <si>
    <t>TD01:GPP_D_23_UART3_CTSB_THC1_SPI2_INTB</t>
  </si>
  <si>
    <t>TD02:CLKOUT_SRC_P_12</t>
  </si>
  <si>
    <t>TD01:PCIE_13_SATA_0_TXN</t>
  </si>
  <si>
    <t>TD01:DMI_3_RXN</t>
  </si>
  <si>
    <t>TD01:GPP_B_9_ISH_GP_1</t>
  </si>
  <si>
    <t>TD01:CNV_WR_D0P</t>
  </si>
  <si>
    <t>TD01:GPP_I_15_ISH_I2C0_SCL_ISH_I3C0_SCL</t>
  </si>
  <si>
    <t>TD01:PCIE_19_SATA_6_RXN</t>
  </si>
  <si>
    <t>TD01:GPP_E_17_THC0_SPI1_IO_2</t>
  </si>
  <si>
    <t>TD01:DMI_4_RXP</t>
  </si>
  <si>
    <t>TD01:GPP_S_7_SNDW3_DATA_DMIC_DATA_1_RGMII_PPS_1</t>
  </si>
  <si>
    <t>TD01:GPP_R_2_HDA_SDO_I2S0_TXD_HDACPU_SDO</t>
  </si>
  <si>
    <t>TD02:CLKOUT_SRC_N_12</t>
  </si>
  <si>
    <t>TD01:GPP_H_0</t>
  </si>
  <si>
    <t>TD01:DMI_5_RXN</t>
  </si>
  <si>
    <t>TD01:GPP_A_9_ESPI_CS3B</t>
  </si>
  <si>
    <t>TD01:GPP_E_10_SRCCLKREQB_13</t>
  </si>
  <si>
    <t>TD01:USB31_1_RXP</t>
  </si>
  <si>
    <t>TD01:GPP_H_7_USB2_OCB_2_GMII_MDC_1</t>
  </si>
  <si>
    <t>TD01:SCOPETRIGGER</t>
  </si>
  <si>
    <t>TD01:GPP_D_4_SML1CLK</t>
  </si>
  <si>
    <t>TD01:DMI_5_RXP</t>
  </si>
  <si>
    <t>TD01:GPP_E_19_THC0_SPI1_RSTB</t>
  </si>
  <si>
    <t>TD01:USB31_1_RXN</t>
  </si>
  <si>
    <t>TD01:USB31_7_TXP</t>
  </si>
  <si>
    <t>TD01:GPP_A_7_ESPI_CS1B</t>
  </si>
  <si>
    <t>TD01:GPP_H_12_SML3CLK</t>
  </si>
  <si>
    <t>TD01:PCIE_2_RXP</t>
  </si>
  <si>
    <t>TD01:GPP_H_10_SML2DATA</t>
  </si>
  <si>
    <t>TD01:GPP_F_8_SATA_DEVSLP_6</t>
  </si>
  <si>
    <t>TD01:DMI_6_RXP</t>
  </si>
  <si>
    <t>TD01:GPP_E_13_THC0_SPI1_CSB</t>
  </si>
  <si>
    <t>TD01:PCIE_3_LAN_0A_RXP</t>
  </si>
  <si>
    <t>TD01:USB31_7_TXN</t>
  </si>
  <si>
    <t>TD01:DIR_ESPI_RESETB</t>
  </si>
  <si>
    <t>TD01:PCIE_2_RXN</t>
  </si>
  <si>
    <t>TD01:GPP_F_16</t>
  </si>
  <si>
    <t>TD01:DMI_6_RXN</t>
  </si>
  <si>
    <t>TD01:PCIE_3_LAN_0A_RXN</t>
  </si>
  <si>
    <t>TD01:VCCPRTC_3P3</t>
  </si>
  <si>
    <t>TD01:PWRBTNB_OUT</t>
  </si>
  <si>
    <t>TD02:MLK_RSTB</t>
  </si>
  <si>
    <t>TD01:GPP_C_3_ISH_UART0_RXD_SML0BDATA_I2C2_SDA</t>
  </si>
  <si>
    <t>TD01:GPP_I_10_GSPI1_CS0B</t>
  </si>
  <si>
    <t>TD01:TEST_OUT_TS</t>
  </si>
  <si>
    <t>TD01:GPP_D_9_SML0CLK</t>
  </si>
  <si>
    <t>TD02:PPF</t>
  </si>
  <si>
    <t>J1413.DS3</t>
  </si>
  <si>
    <t>TD01:PCIE_14_SATA_1_RXP</t>
  </si>
  <si>
    <t>TD01:JTAGX</t>
  </si>
  <si>
    <t>TD01:PCIE_11_RXN</t>
  </si>
  <si>
    <t>TD01:DIR_ESPI_RCLK</t>
  </si>
  <si>
    <t>TD01:GPP_H_4_SRCCLKREQB_11</t>
  </si>
  <si>
    <t>TD01:EDM1</t>
  </si>
  <si>
    <t>TD01:PCIE_14_SATA_1_RXN</t>
  </si>
  <si>
    <t>TD01:PCIE_11_RXP</t>
  </si>
  <si>
    <t>TD01:GPP_S_2_SNDW1_CLK_DMIC_CLK_A_0_RGMII_RESET_0_SNDW0_DATA1</t>
  </si>
  <si>
    <t>TD01:GPP_J_9_BPKI3C_SDA</t>
  </si>
  <si>
    <t>TD01:VCCCNVI_LDO_0P4</t>
  </si>
  <si>
    <t>TD01:PCIE_2_TXN</t>
  </si>
  <si>
    <t>TD01:GPP_C_19_USB2_OCB_7_I2C5_SCL</t>
  </si>
  <si>
    <t>TD01:GPP_J_13_HDACPU_SDO</t>
  </si>
  <si>
    <t>TD01:GPP_J_1_CNV_BRI_DT_UART0_RTSB</t>
  </si>
  <si>
    <t>TD01:GPP_E_21_ISH_UART0_CTSB_SML0BALERTB</t>
  </si>
  <si>
    <t>TD01:PCIE_14_SATA_1_TXP</t>
  </si>
  <si>
    <t>TD01:PCIE_2_TXP</t>
  </si>
  <si>
    <t>TD01:GPP_C_11_UART0_CTSB</t>
  </si>
  <si>
    <t>TD01:GPP_K_9_CORE_VID_1</t>
  </si>
  <si>
    <t>TD01:PCIE_14_SATA_1_TXN</t>
  </si>
  <si>
    <t>TD01:USB2P_13</t>
  </si>
  <si>
    <t>TD01:GPP_H_9_SML2CLK</t>
  </si>
  <si>
    <t>TD01:SPI0_IO_2</t>
  </si>
  <si>
    <t>TD01:GPP_B_21_SML1ALERTB_PCHHOTB</t>
  </si>
  <si>
    <t>TD01:GPP_A_13_ESPI_ALERT3B</t>
  </si>
  <si>
    <t>TD01:GPP_F_6_SATA_DEVSLP_4</t>
  </si>
  <si>
    <t>TD01:GPP_D_5_I2S2_SFRM_CNV_RF_RESET_B_DMIC_DATA_0</t>
  </si>
  <si>
    <t>TD01:USB2N_13</t>
  </si>
  <si>
    <t>TD01:GPP_A_11_ESPI_ALERT1B</t>
  </si>
  <si>
    <t>TD01:GPP_A_4_ESPI_CS0B</t>
  </si>
  <si>
    <t>TD01:CNV_WT_D1N</t>
  </si>
  <si>
    <t>TD01:PCIE_9_TSN_0_RXN</t>
  </si>
  <si>
    <t>TD01:GPP_F_23_IEH_NONFATAL_ERR1B</t>
  </si>
  <si>
    <t>TD01:GPP_D_6_I2S2_TXD_MODEM_CLKREQ_DMIC_CLK_B_0</t>
  </si>
  <si>
    <t>TD01:GPP_R_1_HDA_SYNC_I2S0_SFRM_DMIC_CLK_B_1</t>
  </si>
  <si>
    <t>TD01:GPP_E_3_CPU_GP_0</t>
  </si>
  <si>
    <t>TD01:CNV_WT_D1P</t>
  </si>
  <si>
    <t>TD01:PCIE_9_TSN_0_RXP</t>
  </si>
  <si>
    <t>TD01:GPP_A_3_ESPI_IO_3_SUSACKB</t>
  </si>
  <si>
    <t>TD01:GPP_J_16_GLB_RST_WARN_B</t>
  </si>
  <si>
    <t>TD01:GPP_R_10_ISH_SPI_CLK_GSPI2_CLK</t>
  </si>
  <si>
    <t>TD01:GPP_C_7_ISH_I2C2_SCL_I2C3_SCL</t>
  </si>
  <si>
    <t>TD01:GPP_F_0_SATAXPCIE_3_SATAGP_3</t>
  </si>
  <si>
    <t>TD01:GPP_D_12_SRCCLKREQB_5</t>
  </si>
  <si>
    <t>TD01:GPP_F_7_SATA_DEVSLP_5</t>
  </si>
  <si>
    <t>TD01:PCIE_3_LAN_0A_TXP</t>
  </si>
  <si>
    <t>TD01:USB2N_5</t>
  </si>
  <si>
    <t>TD01:GPP_C_9_UART0_TXD</t>
  </si>
  <si>
    <t>TD01:GPP_A_2_ESPI_IO_2_SUSWARNB_SUSPWRDNACK</t>
  </si>
  <si>
    <t>TD01:GPP_D_0_SRCCLKREQB_0</t>
  </si>
  <si>
    <t>TD01:GPP_R_4_HDA_RSTB</t>
  </si>
  <si>
    <t>TD01:GPP_H_6_USB2_OCB_1</t>
  </si>
  <si>
    <t>TD01:PCIE_3_LAN_0A_TXN</t>
  </si>
  <si>
    <t>TD01:USB2P_5</t>
  </si>
  <si>
    <t>TD01:PCIE_1_RXP</t>
  </si>
  <si>
    <t>TD01:PCIE_20_SATA_7_RXN</t>
  </si>
  <si>
    <t>TD01:PCIE_22_TXP</t>
  </si>
  <si>
    <t>TD01:USB31_2_TXN</t>
  </si>
  <si>
    <t>TD01:EXT_INJ_PHY_N_PAD</t>
  </si>
  <si>
    <t>TD02:CLKOUT_SRC_N_4</t>
  </si>
  <si>
    <t>TD01:PCIE_4_RXN</t>
  </si>
  <si>
    <t>TD01:PCIE_17_SATA_4_RXN</t>
  </si>
  <si>
    <t>TD01:USB31_9_RXN</t>
  </si>
  <si>
    <t>TD01:GPP_R_3_HDA_SDI_0_I2S0_RXD_HDACPU_SDI</t>
  </si>
  <si>
    <t>TD01:USB2N_9</t>
  </si>
  <si>
    <t>TD02:CLKOUT_SRC_P_2</t>
  </si>
  <si>
    <t>TD01:PCIE_1_RXN</t>
  </si>
  <si>
    <t>TD01:PCIE_20_SATA_7_RXP</t>
  </si>
  <si>
    <t>TD01:PCIE_22_TXN</t>
  </si>
  <si>
    <t>TD01:USB31_2_TXP</t>
  </si>
  <si>
    <t>TD01:EXT_INJ_PHY_P_PAD</t>
  </si>
  <si>
    <t>TD02:CLKOUT_SRC_P_4</t>
  </si>
  <si>
    <t>TD01:PCIE_4_RXP</t>
  </si>
  <si>
    <t>TD01:PCIE_17_SATA_4_RXP</t>
  </si>
  <si>
    <t>TD01:USB31_9_RXP</t>
  </si>
  <si>
    <t>TD01:GPP_E_20_THC0_SPI1_INTB</t>
  </si>
  <si>
    <t>TD01:USB2P_9</t>
  </si>
  <si>
    <t>TD02:CLKOUT_SRC_N_2</t>
  </si>
  <si>
    <t>TD01:PCIE_5_RXN</t>
  </si>
  <si>
    <t>TD01:GPP_S_6_SNDW3_CLK_DMIC_CLK_A_1_RGMII_RESET_1</t>
  </si>
  <si>
    <t>TD01:USB31_10_RXN</t>
  </si>
  <si>
    <t>TD01:GPD_5_SLP_S4B</t>
  </si>
  <si>
    <t>TD02:CLKOUT_SRC_N_11</t>
  </si>
  <si>
    <t>TD01:GPP_A_1_ESPI_IO_1</t>
  </si>
  <si>
    <t>TD01:USB3_REFCLKP</t>
  </si>
  <si>
    <t>TD01:USB31_6_TXN</t>
  </si>
  <si>
    <t>TD01:GPP_E_12_ISH_GP_10</t>
  </si>
  <si>
    <t>TD01:USB2P_8</t>
  </si>
  <si>
    <t>TD02:RTCX1</t>
  </si>
  <si>
    <t>TD01:PCIE_5_RXP</t>
  </si>
  <si>
    <t>TD01:GPP_E_11_ISH_GP_9</t>
  </si>
  <si>
    <t>TD01:USB31_10_RXP</t>
  </si>
  <si>
    <t>TD01:GPD_1_ACPRESENT</t>
  </si>
  <si>
    <t>TD02:CLKOUT_SRC_P_11</t>
  </si>
  <si>
    <t>TD01:GPP_A_5_ESPI_CLK</t>
  </si>
  <si>
    <t>TD01:USB3_REFCLKN</t>
  </si>
  <si>
    <t>TD01:USB31_6_TXP</t>
  </si>
  <si>
    <t>TD01:GPP_S_4_SNDW2_CLK_DMIC_CLK_B_0_RGMII_AUXTS_1_SNDW0_DATA3</t>
  </si>
  <si>
    <t>TD01:USB2N_8</t>
  </si>
  <si>
    <t>TD02:CPUPWRGD</t>
  </si>
  <si>
    <t>TD01:GPP_A_0_ESPI_IO_0</t>
  </si>
  <si>
    <t>TD01:USB31_5_RXP</t>
  </si>
  <si>
    <t>TD01:SPI0_CLK</t>
  </si>
  <si>
    <t>TD01:USB2N_14</t>
  </si>
  <si>
    <t>TD02:CLKOUT_SRC_N_9</t>
  </si>
  <si>
    <t>TD01:GPP_A_8_ESPI_CS2B</t>
  </si>
  <si>
    <t>TD01:GPP_E_14_THC0_SPI1_CLK</t>
  </si>
  <si>
    <t>TD01:GPP_A_6_ESPI_RESETB</t>
  </si>
  <si>
    <t>TD01:GPP_E_7_CPU_GP_1</t>
  </si>
  <si>
    <t>TD01:USB2N_7</t>
  </si>
  <si>
    <t>TD02:CLKOUT_SRC_P_6</t>
  </si>
  <si>
    <t>TD01:GPP_F_18</t>
  </si>
  <si>
    <t>TD01:USB31_5_RXN</t>
  </si>
  <si>
    <t>TD01:SPI0_TPM_CSB</t>
  </si>
  <si>
    <t>TD01:USB2P_14</t>
  </si>
  <si>
    <t>TD02:CLKOUT_SRC_P_9</t>
  </si>
  <si>
    <t>TD01:CPU_TRSTB</t>
  </si>
  <si>
    <t>TD01:USB31_5_TXN</t>
  </si>
  <si>
    <t>TD01:GPP_C_22_UART2_RTSB_CNV_MFUART0_RTS_B</t>
  </si>
  <si>
    <t>TD01:GPP_E_6_SATA_DEVSLP_2</t>
  </si>
  <si>
    <t>TD01:USB2P_7</t>
  </si>
  <si>
    <t>TD02:CLKOUT_SRC_N_6</t>
  </si>
  <si>
    <t>TD01:DMI_0_RXP</t>
  </si>
  <si>
    <t>TD01:CNV_WR_CLKP</t>
  </si>
  <si>
    <t>TD01:GPP_D_3_SRCCLKREQB_3</t>
  </si>
  <si>
    <t>TD02:RTCX2</t>
  </si>
  <si>
    <t>TD01:GPP_J_14_HDACPU_BCLK</t>
  </si>
  <si>
    <t>TD01:USB31_5_TXP</t>
  </si>
  <si>
    <t>TD01:GPP_C_6_ISH_I2C2_SDA_I2C3_SDA</t>
  </si>
  <si>
    <t>TD01:GPP_D_7_I2S2_RXD_DMIC_DATA_1</t>
  </si>
  <si>
    <t>TD01:GPP_D_1_SRCCLKREQB_1</t>
  </si>
  <si>
    <t>TD01:TD_CATHODE(TC_2)</t>
  </si>
  <si>
    <t>TD01:DMI_0_RXN</t>
  </si>
  <si>
    <t>TD01:CNV_WR_CLKN</t>
  </si>
  <si>
    <t>TD01:GPP_D_22_UART3_RTSB_THC1_SPI2_RSTB</t>
  </si>
  <si>
    <t>TD01:GPP_B_16_ISH_GP_4</t>
  </si>
  <si>
    <t>TD01:GPP_B_8_ISH_GP_0</t>
  </si>
  <si>
    <t>TD01:GPP_D_17_GSPI3_CLK_THC1_SPI2_CLK</t>
  </si>
  <si>
    <t>TD01:GPP_D_10_SML0DATA</t>
  </si>
  <si>
    <t>TD01:TD_CATHODE</t>
  </si>
  <si>
    <t>TD01:GPP_D_21_UART3_TXD_THC1_SPI2_IO_3</t>
  </si>
  <si>
    <t>TD01:USB2N_11</t>
  </si>
  <si>
    <t>TD01:GPP_B_4_CPU_GP_3</t>
  </si>
  <si>
    <t>TD01:TD_ANODE(TC_2)</t>
  </si>
  <si>
    <t>TD01:GPP_A_12_ESPI_ALERT2B</t>
  </si>
  <si>
    <t>TD01:USB31_2_RXP</t>
  </si>
  <si>
    <t>TD01:USB2N_10</t>
  </si>
  <si>
    <t>TD01:GPP_H_16_SML4DATA</t>
  </si>
  <si>
    <t>TD01:GPP_C_15_UART1_CTSB_ISH_UART1_CTSB</t>
  </si>
  <si>
    <t>TD01:PCIE_5_TXP</t>
  </si>
  <si>
    <t>TD01:USB2P_11</t>
  </si>
  <si>
    <t>TD01:GPP_B_10_ISH_GP_2</t>
  </si>
  <si>
    <t>TD01:TD_ANODE</t>
  </si>
  <si>
    <t>TD01:PCIE_23_TXP</t>
  </si>
  <si>
    <t>TD01:USB31_2_RXN</t>
  </si>
  <si>
    <t>TD01:USB2P_10</t>
  </si>
  <si>
    <t>TD01:GPP_F_13_SATA_SDATAOUT0_DIR_ESPI_SCI</t>
  </si>
  <si>
    <t>TD01:GPP_C_8_UART0_RXD</t>
  </si>
  <si>
    <t>TD01:PCIE_5_TXN</t>
  </si>
  <si>
    <t>TD01:GPP_E_18_THC0_SPI1_IO_3</t>
  </si>
  <si>
    <t>TD01:PCIE_16_SATA_3_RXP</t>
  </si>
  <si>
    <t>TD01:PCIE_23_TXN</t>
  </si>
  <si>
    <t>TD01:GPP_R_12_ISH_SPI_MOSI_GSPI2_MOSI</t>
  </si>
  <si>
    <t>TD01:GPP_D_14_SRCCLKREQB_7</t>
  </si>
  <si>
    <t>TD01:GPP_F_12_SATA_SDATAOUT1_DIR_ESPI_WAKE</t>
  </si>
  <si>
    <t>TD01:GPP_E_1_SATAXPCIE_1_SATAGP_1</t>
  </si>
  <si>
    <t>TD01:GPP_I_3_I2C0_SCL_I3C0_SCL</t>
  </si>
  <si>
    <t>TD01:PCIE_16_SATA_3_RXN</t>
  </si>
  <si>
    <t>TD01:SRTCRSTB</t>
  </si>
  <si>
    <t>TD01:GPP_E_2_SATAXPCIE_2_SATAGP_2</t>
  </si>
  <si>
    <t>TD01:JTAG_TMS</t>
  </si>
  <si>
    <t>TD01:GPP_E_5_SATA_DEVSLP_1</t>
  </si>
  <si>
    <t>TD01:PRDYB</t>
  </si>
  <si>
    <t>TD01:GPP_K_3_GSXSRESETB</t>
  </si>
  <si>
    <t>TD01:PCIE_8_TXP</t>
  </si>
  <si>
    <t>TD01:JTAG_TDI</t>
  </si>
  <si>
    <t>TD01:TSN_EXTREFCLKN</t>
  </si>
  <si>
    <t>TD01:DMI_PERSTB</t>
  </si>
  <si>
    <t>TD01:PCIE_8_TXN</t>
  </si>
  <si>
    <t>TD01:EDM2</t>
  </si>
  <si>
    <t>TD02:Matchloop</t>
  </si>
  <si>
    <t>TD01:GPP_K_2_GSXDIN</t>
  </si>
  <si>
    <t>TD01:GPP_B_5_SX_EXIT_HOLDOFFB_ISH_GP_6_IEH_FATAL_ERR2B</t>
  </si>
  <si>
    <t>TD01:GPD_7</t>
  </si>
  <si>
    <t>TD01:TSN_EXTREFCLKP</t>
  </si>
  <si>
    <t>TD01:GPP_B_11_I2S_MCLK</t>
  </si>
  <si>
    <t>TD01:GPP_E_15_THC0_SPI1_IO_1</t>
  </si>
  <si>
    <t>TD01:PM_SPARE1</t>
  </si>
  <si>
    <t>TD01:JTAG_TDO</t>
  </si>
  <si>
    <t>TD01:GPP_F_5_SATA_DEVSLP_3</t>
  </si>
  <si>
    <t>TD01:SLP_LANB</t>
  </si>
  <si>
    <t>TD01:CNV_WT_D0N</t>
  </si>
  <si>
    <t>TD01:PCIE_EXTREFCLKN</t>
  </si>
  <si>
    <t>TD01:GPP_H_13_SML3DATA</t>
  </si>
  <si>
    <t>TD01:PCIE_17_SATA_4_TXN</t>
  </si>
  <si>
    <t>TD01:GPP_I_4_I2C1_SDA</t>
  </si>
  <si>
    <t>TD01:USB31_1_TXN</t>
  </si>
  <si>
    <t>TD01:GPP_H_15_SML4CLK</t>
  </si>
  <si>
    <t>TD01:RESET_SYNCB</t>
  </si>
  <si>
    <t>TD01:CNV_WT_D0P</t>
  </si>
  <si>
    <t>TD01:PCIE_EXTREFCLKP</t>
  </si>
  <si>
    <t>TD01:PCIE_6_RXP</t>
  </si>
  <si>
    <t>TD01:PCIE_17_SATA_4_TXP</t>
  </si>
  <si>
    <t>TD01:GPD_8_SUSCLK</t>
  </si>
  <si>
    <t>TD01:USB31_1_TXP</t>
  </si>
  <si>
    <t>TD01:GPP_H_18_ISH_I2C1_SDA_SMIB</t>
  </si>
  <si>
    <t>TD01:PCIE_8_RXP</t>
  </si>
  <si>
    <t>TD01:GPP_I_14_ISH_I2C0_SDA_ISH_I3C0_SDA</t>
  </si>
  <si>
    <t>TD01:GPP_F_21_GMII_MDIO_0</t>
  </si>
  <si>
    <t>TD01:PCIE_6_RXN</t>
  </si>
  <si>
    <t>TD01:SPI0_FLASH_0_CSB</t>
  </si>
  <si>
    <t>TD01:GPP_I_16_ISH_GP_11</t>
  </si>
  <si>
    <t>TD01:GPP_I_6_GSPI0_CS0B</t>
  </si>
  <si>
    <t>TD01:GPP_H_3_SRCCLKREQB_10</t>
  </si>
  <si>
    <t>TD01:GPP_K_5_ADR_COMPLETE</t>
  </si>
  <si>
    <t>TD01:PCIE_8_RXN</t>
  </si>
  <si>
    <t>TD01:GPP_I_11_GSPI1_CLK_NFC_CLK</t>
  </si>
  <si>
    <t>TD01:GPP_B_17_ISH_GP_5</t>
  </si>
  <si>
    <t>TD01:PCIE_13_SATA_0_RXN</t>
  </si>
  <si>
    <t>TD01:GPP_C_2_SMBALERTB</t>
  </si>
  <si>
    <t>TD01:FBRK_OUT_N</t>
  </si>
  <si>
    <t>TD01:TRIGGER_IN</t>
  </si>
  <si>
    <t>TD01:GPP_H_14_SML3ALERTB</t>
  </si>
  <si>
    <t>TD01:GPP_E_0_SATAXPCIE_0_SATAGP_0</t>
  </si>
  <si>
    <t>TD01:GPP_D_19_GSPI3_MOSI_THC1_SPI2_IO_1</t>
  </si>
  <si>
    <t>TD01:GPP_J_2_CNV_BRI_RSP_UART0_RXD</t>
  </si>
  <si>
    <t>TD01:SYS_RESETB</t>
  </si>
  <si>
    <t>TD01:PCIE_13_SATA_0_RXP</t>
  </si>
  <si>
    <t>TD01:GPP_E_16_THC0_SPI1_IO_0</t>
  </si>
  <si>
    <t>TD01:GPP_D_20_UART3_RXD_THC1_SPI2_IO_2</t>
  </si>
  <si>
    <t>TD01:DBG_PMODE</t>
  </si>
  <si>
    <t>TD01:GPP_B_12</t>
  </si>
  <si>
    <t>TD01:GPP_I_0_GSPI0_CS1B</t>
  </si>
  <si>
    <t>TD01:GPP_K_1_GSXSLOAD</t>
  </si>
  <si>
    <t>TD01:GPP_D_11_SRCCLKREQB_4</t>
  </si>
  <si>
    <t>TD01:PM_SPARE0</t>
  </si>
  <si>
    <t>TD01:JTAG_TCK</t>
  </si>
  <si>
    <t>TD01:GPP_H_2_SRCCLKREQB_9</t>
  </si>
  <si>
    <t>TD01:PCIE_24_TXP</t>
  </si>
  <si>
    <t>TD01:PCIE_1_TXP</t>
  </si>
  <si>
    <t>TD01:USB2P_2</t>
  </si>
  <si>
    <t>TD02:CLKOUT_SRC_P_0</t>
  </si>
  <si>
    <t>TD01:CRASHLOG_TRIG_N</t>
  </si>
  <si>
    <t>TD01:GPP_E_9_SRCCLKREQB_12</t>
  </si>
  <si>
    <t>TD01:GPP_C_23_UART2_CTSB_CNV_MFUART0_CTS_B</t>
  </si>
  <si>
    <t>TD01:SPI0_MISO_IO_1</t>
  </si>
  <si>
    <t>TD01:WAKEB</t>
  </si>
  <si>
    <t>TD01:GPP_C_20_UART2_RXD_CNV_MFUART0_RXD</t>
  </si>
  <si>
    <t>TD01:PCIE_24_TXN</t>
  </si>
  <si>
    <t>TD01:PCIE_1_TXN</t>
  </si>
  <si>
    <t>TD01:USB2N_2</t>
  </si>
  <si>
    <t>TD02:CLKOUT_SRC_N_0</t>
  </si>
  <si>
    <t>TD01:DSW_PWROK</t>
  </si>
  <si>
    <t>TD01:PCIE_7_LAN_0B_RXN</t>
  </si>
  <si>
    <t>TD01:PCIE_21_TXN</t>
  </si>
  <si>
    <t>TD01:USB31_8_RXP</t>
  </si>
  <si>
    <t>TD01:GPP_I_1_GSPI1_CS1B</t>
  </si>
  <si>
    <t>TD01:PCIE_18_SATA_5_RXP</t>
  </si>
  <si>
    <t>TD01:USB31_7_RXN</t>
  </si>
  <si>
    <t>TD01:USB31_8_TXP</t>
  </si>
  <si>
    <t>TD02:SCOPE SYNC CD</t>
  </si>
  <si>
    <t>TD01:GPD_12</t>
  </si>
  <si>
    <t>TD01:PCIE_7_LAN_0B_RXP</t>
  </si>
  <si>
    <t>TD01:PCIE_21_TXP</t>
  </si>
  <si>
    <t>TD01:GPP_J_11_DAM</t>
  </si>
  <si>
    <t>TD01:USB31_8_RXN</t>
  </si>
  <si>
    <t>TD01:GPP_I_2_I2C0_SDA_I3C0_SDA</t>
  </si>
  <si>
    <t>TD01:PCIE_18_SATA_5_RXN</t>
  </si>
  <si>
    <t>TD01:USB31_7_RXP</t>
  </si>
  <si>
    <t>TD01:USB31_8_TXN</t>
  </si>
  <si>
    <t>TD02:INTRUDERB</t>
  </si>
  <si>
    <t>TD01:GPP_H_11_SML2ALERTB</t>
  </si>
  <si>
    <t>TD01:DMI_REFCLKP</t>
  </si>
  <si>
    <t>TD01:USB31_10_TXN</t>
  </si>
  <si>
    <t>TD01:GPP_R_9_ISH_SPI_CSB_GSPI2_CS0B</t>
  </si>
  <si>
    <t>TD01:USB2P_4</t>
  </si>
  <si>
    <t>TD02:CLKOUT_SRC_P_10</t>
  </si>
  <si>
    <t>TD01:GPP_H_19_ISH_I2C1_SCL_NMIB</t>
  </si>
  <si>
    <t>TD01:PCIE_19_SATA_6_TXN</t>
  </si>
  <si>
    <t>TD01:DMI_7_RXN</t>
  </si>
  <si>
    <t>TD01:USB2P_1</t>
  </si>
  <si>
    <t>TD02:CLKOUT_XTAL_N</t>
  </si>
  <si>
    <t>TD01:GPP_J_5_CNV_MFUART2_RXD</t>
  </si>
  <si>
    <t>TD01:DMI_REFCLKN</t>
  </si>
  <si>
    <t>TD01:USB31_10_TXP</t>
  </si>
  <si>
    <t>TD01:GPP_R_7_I2S1_SFRM</t>
  </si>
  <si>
    <t>TD01:USB2N_4</t>
  </si>
  <si>
    <t>TD02:CLKOUT_SRC_N_10</t>
  </si>
  <si>
    <t>TD01:GPP_C_13_UART1_TXD_ISH_UART1_TXD</t>
  </si>
  <si>
    <t>TD01:PCIE_19_SATA_6_TXP</t>
  </si>
  <si>
    <t>TD01:DMI_7_RXP</t>
  </si>
  <si>
    <t>TD01:USB2N_1</t>
  </si>
  <si>
    <t>TD02:CLKOUT_XTAL_P</t>
  </si>
  <si>
    <t>TD01:GPP_D_13_SRCCLKREQB_6</t>
  </si>
  <si>
    <t>TD01:USB31_6_RXP</t>
  </si>
  <si>
    <t>TD01:USB31_4_RXN</t>
  </si>
  <si>
    <t>TD02:CLKOUT_SRC_N_13</t>
  </si>
  <si>
    <t>TD01:GPP_C_5_SML0ALERTB</t>
  </si>
  <si>
    <t>TD01:PCIE_15_SATA_2_LAN_0C_TXN</t>
  </si>
  <si>
    <t>TD01:CNV_WT_CLKN</t>
  </si>
  <si>
    <t>TD01:USB2P_3</t>
  </si>
  <si>
    <t>TD02:CLKOUT_SRC_P_1</t>
  </si>
  <si>
    <t>TD01:GPP_C_16_USB2_OCB_4_I2C4_SDA</t>
  </si>
  <si>
    <t>TD01:PCIE_18_SATA_5_TXP</t>
  </si>
  <si>
    <t>TD01:USB31_6_RXN</t>
  </si>
  <si>
    <t>TD01:USB31_4_RXP</t>
  </si>
  <si>
    <t>TD02:CLKOUT_SRC_P_13</t>
  </si>
  <si>
    <t>TD01:GPP_B_19_FUSA_DIAGTEST_EN</t>
  </si>
  <si>
    <t>TD01:PCIE_15_SATA_2_LAN_0C_TXP</t>
  </si>
  <si>
    <t>TD01:CNV_WT_CLKP</t>
  </si>
  <si>
    <t>TD01:USB2N_3</t>
  </si>
  <si>
    <t>TD02:CLKOUT_SRC_N_1</t>
  </si>
  <si>
    <t>TD01:GPP_B_14</t>
  </si>
  <si>
    <t>TD01:PCIE_18_SATA_5_TXN</t>
  </si>
  <si>
    <t>TD01:PCIE_23_RXP</t>
  </si>
  <si>
    <t>TD01:GPP_F_4_SATAXPCIE_7_SATAGP_7</t>
  </si>
  <si>
    <t>TD01:GPP_J_10_BPKI3C_SCL</t>
  </si>
  <si>
    <t>TD01:GPP_F_9_SATA_DEVSLP_7_DIR_ESPI_SMI</t>
  </si>
  <si>
    <t>TD01:PCIE_15_SATA_2_LAN_0C_RXP</t>
  </si>
  <si>
    <t>TD01:GPP_B_15_ISH_GP_3</t>
  </si>
  <si>
    <t>TD01:GPP_F_3_SATAXPCIE_6_SATAGP_6</t>
  </si>
  <si>
    <t>TD01:GPP_J_0_CNV_PA_BLANKING</t>
  </si>
  <si>
    <t>TD01:GPP_B_2_ISH_GP_8</t>
  </si>
  <si>
    <t>TD01:GPP_C_4_ISH_UART0_TXD_SML0BCLK_I2C2_SCL</t>
  </si>
  <si>
    <t>TD01:PCIE_23_RXN</t>
  </si>
  <si>
    <t>TD01:GPP_F_22_IEH_CORR_ERR0B</t>
  </si>
  <si>
    <t>TD01:GPD_9_SLP_WLANB</t>
  </si>
  <si>
    <t>TD01:GPP_C_14_UART1_RTSB_ISH_UART1_RTSB</t>
  </si>
  <si>
    <t>TD01:PCIE_15_SATA_2_LAN_0C_RXN</t>
  </si>
  <si>
    <t>TD01:GPP_B_18_PMCALERTB</t>
  </si>
  <si>
    <t>TD01:GPP_S_1_SNDW0_DATA0_RGMII_INT_0</t>
  </si>
  <si>
    <t>TD01:GPP_J_8_RTCCLKOUT</t>
  </si>
  <si>
    <t>TD01:GPP_J_7_BOOTHALT_B</t>
  </si>
  <si>
    <t>TD01:PCIE_22_RXN</t>
  </si>
  <si>
    <t>TD01:GPP_J_3_CNV_RGI_DT_UART0_TXD</t>
  </si>
  <si>
    <t>TD01:USB2N_6</t>
  </si>
  <si>
    <t>TD01:GPP_J_12_HDACPU_SDI</t>
  </si>
  <si>
    <t>TD01:GPP_C_18_USB2_OCB_6_I2C5_SDA</t>
  </si>
  <si>
    <t>TD01:GPP_K_8_CORE_VID_0</t>
  </si>
  <si>
    <t>TD01:GPP_R_8_I2S1_SCLK</t>
  </si>
  <si>
    <t>TD01:GPP_I_12_GSPI1_MISO_NFC_CLKREQ</t>
  </si>
  <si>
    <t>TD01:PCIE_22_RXP</t>
  </si>
  <si>
    <t>TD01:USB2P_6</t>
  </si>
  <si>
    <t>TD01:GPD_0_BATLOWB</t>
  </si>
  <si>
    <t>TD01:SPI0_FLASH_1_CSB</t>
  </si>
  <si>
    <t>TD01:GPP_F_2_SATAXPCIE_5_SATAGP_5</t>
  </si>
  <si>
    <t>TD01:GPP_R_5_HDA_SDI_1_I2S1_RXD</t>
  </si>
  <si>
    <t>TD01:GPP_B_20_FUSA_DIAGTEST_MODE</t>
  </si>
  <si>
    <t>TD01:GPP_S_0_SNDW0_CLK_RGMII_AUXTS_0</t>
  </si>
  <si>
    <t>TD01:PCIE_20_SATA_7_TXP</t>
  </si>
  <si>
    <t>TD01:USB31_3_TXN</t>
  </si>
  <si>
    <t>TD01:USB31_3_RXN</t>
  </si>
  <si>
    <t>TD01:PCIE_9_TSN_0_TXP</t>
  </si>
  <si>
    <t>TD01:GPP_F_1_SATAXPCIE_4_SATAGP_4</t>
  </si>
  <si>
    <t>TD01:PCIE_6_TXN</t>
  </si>
  <si>
    <t>TD01:TRIGGER_OUT</t>
  </si>
  <si>
    <t>TD01:GPP_C_21_UART2_TXD_CNV_MFUART0_TXD</t>
  </si>
  <si>
    <t>TD01:GPP_C_12_UART1_RXD_ISH_UART1_RXD</t>
  </si>
  <si>
    <t>TD01:PCIE_20_SATA_7_TXN</t>
  </si>
  <si>
    <t>TD01:USB31_3_TXP</t>
  </si>
  <si>
    <t>TD01:USB31_3_RXP</t>
  </si>
  <si>
    <t>TD01:PCIE_9_TSN_0_TXN</t>
  </si>
  <si>
    <t>TD01:GPP_K_0_GSXDOUT</t>
  </si>
  <si>
    <t>TD01:PCIE_6_TXP</t>
  </si>
  <si>
    <t>TD01:GPP_J_6_CNV_MFUART2_TXD</t>
  </si>
  <si>
    <t>TD01:SPI0_MOSI_IO_0</t>
  </si>
  <si>
    <t>TD01:Sync 1</t>
  </si>
  <si>
    <t>TD01:GPP_K_4_GSXCLK</t>
  </si>
  <si>
    <t>TD01:GPP_R_11_ISH_SPI_MISO_GSPI2_MISO</t>
  </si>
  <si>
    <t>TD01:PREQB</t>
  </si>
  <si>
    <t>Assignment  (Reorder based on Tch)</t>
    <phoneticPr fontId="4"/>
  </si>
  <si>
    <t>SC4-TD01:GPP_F_19_DNX_FORCE_RELOAD</t>
  </si>
  <si>
    <t>SC4-TD01:GPP_E_4_SATA_DEVSLP_0</t>
  </si>
  <si>
    <t>SC4-TD01:GPP_C_10_UART0_RTSB</t>
  </si>
  <si>
    <t>SC4-TD01:GPP_F_15</t>
  </si>
  <si>
    <t>SC4-TD01:GPP_F_20_GMII_MDC_0</t>
  </si>
  <si>
    <t>SC4-TD01:GPP_F_10_SATA_SCLOCK_DIR_ESPI_NMI</t>
  </si>
  <si>
    <t>SC4-TD01:GPP_H_1_SRCCLKREQB_8</t>
  </si>
  <si>
    <t>SC4-TD01:GPP_F_11_SATA_SLOAD_DIR_ESPI_IRQ</t>
  </si>
  <si>
    <t>SC4-TD01:GPP_F_14</t>
  </si>
  <si>
    <t>SC4-TD01:GPP_C_17_USB2_OCB_5_I2C4_SCL</t>
  </si>
  <si>
    <t>SC4-TD01:GPP_H_17_SML4ALERTB</t>
  </si>
  <si>
    <t>SC4-TD01:GPP_H_5_USB2_OCB_0</t>
  </si>
  <si>
    <t>SC4-TD01:GPP_F_17</t>
  </si>
  <si>
    <t>SC4-TD01:GPP_H_8_USB2_OCB_3_GMII_MDIO_1</t>
  </si>
  <si>
    <t>SC4-TD01:GPP_E_8_SATA_LEDB</t>
  </si>
  <si>
    <t>SC4-TD01:GPP_E_17_THC0_SPI1_IO_2</t>
  </si>
  <si>
    <t>SC4-TD01:GPP_H_0</t>
  </si>
  <si>
    <t>SC4-TD01:GPP_E_10_SRCCLKREQB_13</t>
  </si>
  <si>
    <t>SC4-TD01:GPP_H_7_USB2_OCB_2_GMII_MDC_1</t>
  </si>
  <si>
    <t>SC4-TD01:GPP_E_19_THC0_SPI1_RSTB</t>
  </si>
  <si>
    <t>SC4-TD01:GPP_H_12_SML3CLK</t>
  </si>
  <si>
    <t>SC4-TD01:GPP_H_10_SML2DATA</t>
  </si>
  <si>
    <t>SC4-TD01:GPP_F_8_SATA_DEVSLP_6</t>
  </si>
  <si>
    <t>SC4-TD01:GPP_E_13_THC0_SPI1_CSB</t>
  </si>
  <si>
    <t>SC4-TD01:GPP_F_16</t>
  </si>
  <si>
    <t>SC4-TD01:GPP_H_4_SRCCLKREQB_11</t>
  </si>
  <si>
    <t>SC4-TD01:GPP_C_19_USB2_OCB_7_I2C5_SCL</t>
  </si>
  <si>
    <t>SC4-TD01:GPP_E_21_ISH_UART0_CTSB_SML0BALERTB</t>
  </si>
  <si>
    <t>SC4-TD01:GPP_C_11_UART0_CTSB</t>
  </si>
  <si>
    <t>SC4-TD01:GPP_H_9_SML2CLK</t>
  </si>
  <si>
    <t>SC4-TD01:GPP_E_3_CPU_GP_0</t>
  </si>
  <si>
    <t>SC4-TD01:GPP_C_7_ISH_I2C2_SCL_I2C3_SCL</t>
  </si>
  <si>
    <t>SC4-TD01:GPP_F_7_SATA_DEVSLP_5</t>
  </si>
  <si>
    <t>SC4-TD01:GPP_C_9_UART0_TXD</t>
  </si>
  <si>
    <t>SC4-TD01:GPP_H_6_USB2_OCB_1</t>
  </si>
  <si>
    <t>SC4-TD01:GPP_E_20_THC0_SPI1_INTB</t>
  </si>
  <si>
    <t>SC4-TD01:GPP_E_12_ISH_GP_10</t>
  </si>
  <si>
    <t>SC4-TD01:GPP_E_11_ISH_GP_9</t>
  </si>
  <si>
    <t>SC4-TD01:GPP_E_14_THC0_SPI1_CLK</t>
  </si>
  <si>
    <t>SC4-TD01:GPP_E_7_CPU_GP_1</t>
  </si>
  <si>
    <t>SC4-TD01:GPP_F_18</t>
  </si>
  <si>
    <t>SC4-TD01:GPP_E_6_SATA_DEVSLP_2</t>
  </si>
  <si>
    <t>SC4-TD01:GPP_H_16_SML4DATA</t>
  </si>
  <si>
    <t>SC4-TD01:GPP_C_15_UART1_CTSB_ISH_UART1_CTSB</t>
  </si>
  <si>
    <t>SC4-TD01:GPP_F_13_SATA_SDATAOUT0_DIR_ESPI_SCI</t>
  </si>
  <si>
    <t>SC4-TD01:GPP_C_8_UART0_RXD</t>
  </si>
  <si>
    <t>SC4-TD01:GPP_E_18_THC0_SPI1_IO_3</t>
  </si>
  <si>
    <t>SC4-TD01:GPP_F_12_SATA_SDATAOUT1_DIR_ESPI_WAKE</t>
  </si>
  <si>
    <t>SC4-TD01:GPP_E_1_SATAXPCIE_1_SATAGP_1</t>
  </si>
  <si>
    <t>SC4-TD01:GPP_E_2_SATAXPCIE_2_SATAGP_2</t>
  </si>
  <si>
    <t>SC4-TD01:GPP_E_5_SATA_DEVSLP_1</t>
  </si>
  <si>
    <t>SC4-TD01:GPP_E_15_THC0_SPI1_IO_1</t>
  </si>
  <si>
    <t>SC4-TD01:GPP_H_13_SML3DATA</t>
  </si>
  <si>
    <t>SC4-TD01:GPP_H_15_SML4CLK</t>
  </si>
  <si>
    <t>SC4-TD01:GPP_H_18_ISH_I2C1_SDA_SMIB</t>
  </si>
  <si>
    <t>SC4-TD01:GPP_H_3_SRCCLKREQB_10</t>
  </si>
  <si>
    <t>SC4-TD01:GPP_H_14_SML3ALERTB</t>
  </si>
  <si>
    <t>SC4-TD01:GPP_E_0_SATAXPCIE_0_SATAGP_0</t>
  </si>
  <si>
    <t>SC4-TD01:GPP_E_16_THC0_SPI1_IO_0</t>
  </si>
  <si>
    <t>SC4-TD01:GPP_H_2_SRCCLKREQB_9</t>
  </si>
  <si>
    <t>SC4-TD01:GPP_E_9_SRCCLKREQB_12</t>
  </si>
  <si>
    <t>SC4-TD01:GPP_C_20_UART2_RXD_CNV_MFUART0_RXD</t>
  </si>
  <si>
    <t>SC4-TD01:GPP_H_11_SML2ALERTB</t>
  </si>
  <si>
    <t>SC4-TD01:GPP_H_19_ISH_I2C1_SCL_NMIB</t>
  </si>
  <si>
    <t>SC4-TD01:GPP_C_13_UART1_TXD_ISH_UART1_TXD</t>
  </si>
  <si>
    <t>SC4-TD01:GPP_C_16_USB2_OCB_4_I2C4_SDA</t>
  </si>
  <si>
    <t>SC4-TD01:GPP_F_9_SATA_DEVSLP_7_DIR_ESPI_SMI</t>
  </si>
  <si>
    <t>SC4-TD01:GPP_C_14_UART1_RTSB_ISH_UART1_RTSB</t>
  </si>
  <si>
    <t>SC4-TD01:GPP_C_18_USB2_OCB_6_I2C5_SDA</t>
  </si>
  <si>
    <t>SC4-TD01:GPP_C_21_UART2_TXD_CNV_MFUART0_TXD</t>
  </si>
  <si>
    <t>SC4-TD01:GPP_C_12_UART1_RXD_ISH_UART1_RXD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</si>
</sst>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(&quot;$&quot;* #,##0.00_);_(&quot;$&quot;* \(#,##0.00\);_(&quot;$&quot;* &quot;-&quot;??_);_(@_)"/>
    <numFmt numFmtId="164" formatCode="#&quot;mil&quot;"/>
    <numFmt numFmtId="165" formatCode="[$-409]mmmm\ d\,\ yyyy;@"/>
    <numFmt numFmtId="166" formatCode="0.0000"/>
    <numFmt numFmtId="167" formatCode="0.000_ "/>
    <numFmt numFmtId="168" formatCode="0.0000_ "/>
    <numFmt numFmtId="169" formatCode="0.0000_);[Red]\(0.0000\)"/>
    <numFmt numFmtId="170" formatCode="#.####&quot;mm&quot;"/>
    <numFmt numFmtId="171" formatCode="0.0"/>
    <numFmt numFmtId="172" formatCode="_(* #,##0_);_(* \(#,##0\);_(* &quot;-&quot;??_);_(@_)"/>
    <numFmt numFmtId="173" formatCode="#,##0\ &quot;F&quot;;[Red]\-#,##0\ &quot;F&quot;"/>
    <numFmt numFmtId="174" formatCode="#,##0.00\ &quot;F&quot;;[Red]\-#,##0.00\ &quot;F&quot;"/>
    <numFmt numFmtId="175" formatCode="#\ &quot;oC&quot;"/>
    <numFmt numFmtId="176" formatCode="#.###&quot;mm&quot;"/>
    <numFmt numFmtId="177" formatCode="#.#&quot;mil&quot;"/>
  </numFmts>
  <fonts count="54">
    <font>
      <sz val="11"/>
      <color theme="1"/>
      <name val="Calibri"/>
      <family val="2"/>
      <charset val="128"/>
      <scheme val="minor"/>
    </font>
    <font>
      <sz val="10"/>
      <name val="Arial"/>
      <family val="2"/>
    </font>
    <font>
      <b/>
      <sz val="16"/>
      <name val="Arial"/>
      <family val="2"/>
    </font>
    <font>
      <sz val="6"/>
      <name val="Calibri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1"/>
      <color theme="1"/>
      <name val="Calibri"/>
      <family val="3"/>
      <charset val="128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rgb="FF00B0F0"/>
      <name val="Arial"/>
      <family val="2"/>
    </font>
    <font>
      <sz val="11"/>
      <color theme="1"/>
      <name val="ＭＳ Ｐゴシック"/>
      <family val="3"/>
      <charset val="128"/>
    </font>
    <font>
      <sz val="20"/>
      <name val="Arial"/>
      <family val="2"/>
    </font>
    <font>
      <b/>
      <sz val="11"/>
      <name val="Arial"/>
      <family val="2"/>
    </font>
    <font>
      <sz val="6"/>
      <name val="Calibri"/>
      <family val="3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0061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Verdana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7"/>
      <name val="Small Fonts"/>
      <family val="2"/>
    </font>
    <font>
      <b/>
      <u/>
      <sz val="10"/>
      <name val="Arial"/>
      <family val="2"/>
    </font>
    <font>
      <b/>
      <sz val="10"/>
      <name val="MS Sans Serif"/>
      <family val="2"/>
    </font>
    <font>
      <b/>
      <sz val="12"/>
      <name val="Times New Roman"/>
      <family val="1"/>
    </font>
    <font>
      <sz val="11"/>
      <color indexed="8"/>
      <name val="ＭＳ Ｐゴシック"/>
      <family val="3"/>
      <charset val="128"/>
    </font>
    <font>
      <u/>
      <sz val="11"/>
      <color indexed="12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</fonts>
  <fills count="7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mediumGray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064A2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352">
    <xf numFmtId="0" fontId="0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3" fontId="7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171" fontId="26" fillId="0" borderId="42" applyFont="0" applyFill="0" applyBorder="0" applyProtection="0"/>
    <xf numFmtId="171" fontId="26" fillId="0" borderId="13"/>
    <xf numFmtId="0" fontId="26" fillId="0" borderId="14" applyFont="0"/>
    <xf numFmtId="0" fontId="27" fillId="0" borderId="46" applyFont="0"/>
    <xf numFmtId="0" fontId="27" fillId="0" borderId="46" applyFont="0"/>
    <xf numFmtId="0" fontId="27" fillId="0" borderId="46" applyFont="0"/>
    <xf numFmtId="0" fontId="27" fillId="0" borderId="46" applyFont="0"/>
    <xf numFmtId="0" fontId="27" fillId="0" borderId="46" applyFont="0"/>
    <xf numFmtId="0" fontId="27" fillId="0" borderId="46" applyFont="0"/>
    <xf numFmtId="0" fontId="1" fillId="0" borderId="5" applyNumberFormat="0" applyFont="0"/>
    <xf numFmtId="0" fontId="1" fillId="0" borderId="5" applyNumberFormat="0" applyFont="0"/>
    <xf numFmtId="0" fontId="1" fillId="0" borderId="5" applyNumberFormat="0" applyFont="0"/>
    <xf numFmtId="0" fontId="1" fillId="0" borderId="5" applyNumberFormat="0" applyFont="0"/>
    <xf numFmtId="0" fontId="1" fillId="0" borderId="5" applyNumberFormat="0" applyFont="0"/>
    <xf numFmtId="0" fontId="1" fillId="0" borderId="5" applyNumberFormat="0" applyFont="0"/>
    <xf numFmtId="172" fontId="26" fillId="0" borderId="6"/>
    <xf numFmtId="0" fontId="28" fillId="0" borderId="44" applyNumberFormat="0" applyAlignment="0" applyProtection="0">
      <alignment horizontal="left" vertical="center"/>
    </xf>
    <xf numFmtId="0" fontId="28" fillId="0" borderId="15">
      <alignment horizontal="left" vertical="center"/>
    </xf>
    <xf numFmtId="172" fontId="26" fillId="0" borderId="45" applyNumberFormat="0" applyFont="0" applyAlignment="0">
      <alignment horizontal="center"/>
    </xf>
    <xf numFmtId="38" fontId="29" fillId="0" borderId="0" applyFont="0" applyFill="0" applyBorder="0" applyAlignment="0" applyProtection="0"/>
    <xf numFmtId="40" fontId="29" fillId="0" borderId="0" applyFont="0" applyFill="0" applyBorder="0" applyAlignment="0" applyProtection="0"/>
    <xf numFmtId="173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171" fontId="30" fillId="0" borderId="8">
      <alignment horizontal="right"/>
    </xf>
    <xf numFmtId="2" fontId="1" fillId="0" borderId="9"/>
    <xf numFmtId="2" fontId="1" fillId="0" borderId="9"/>
    <xf numFmtId="2" fontId="1" fillId="0" borderId="9"/>
    <xf numFmtId="2" fontId="1" fillId="0" borderId="9"/>
    <xf numFmtId="2" fontId="1" fillId="0" borderId="9"/>
    <xf numFmtId="2" fontId="1" fillId="0" borderId="9"/>
    <xf numFmtId="37" fontId="31" fillId="0" borderId="0"/>
    <xf numFmtId="0" fontId="31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1" fontId="6" fillId="0" borderId="39" applyNumberFormat="0" applyAlignment="0">
      <alignment horizontal="left"/>
    </xf>
    <xf numFmtId="171" fontId="6" fillId="0" borderId="16" applyAlignment="0">
      <alignment horizontal="left"/>
    </xf>
    <xf numFmtId="0" fontId="32" fillId="0" borderId="17" applyNumberFormat="0" applyFont="0" applyAlignment="0"/>
    <xf numFmtId="0" fontId="29" fillId="0" borderId="0" applyNumberFormat="0" applyFont="0" applyFill="0" applyBorder="0" applyAlignment="0" applyProtection="0">
      <alignment horizontal="left"/>
    </xf>
    <xf numFmtId="15" fontId="29" fillId="0" borderId="0" applyFont="0" applyFill="0" applyBorder="0" applyAlignment="0" applyProtection="0"/>
    <xf numFmtId="17" fontId="29" fillId="0" borderId="0" applyFont="0" applyFill="0" applyBorder="0" applyAlignment="0" applyProtection="0"/>
    <xf numFmtId="17" fontId="29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33" fillId="0" borderId="14">
      <alignment horizontal="center"/>
    </xf>
    <xf numFmtId="3" fontId="29" fillId="0" borderId="0" applyFont="0" applyFill="0" applyBorder="0" applyAlignment="0" applyProtection="0"/>
    <xf numFmtId="0" fontId="29" fillId="22" borderId="0" applyNumberFormat="0" applyFont="0" applyBorder="0" applyAlignment="0" applyProtection="0"/>
    <xf numFmtId="0" fontId="7" fillId="0" borderId="0" applyNumberFormat="0" applyFont="0" applyFill="0" applyBorder="0" applyAlignment="0"/>
    <xf numFmtId="2" fontId="6" fillId="0" borderId="45" applyNumberFormat="0" applyAlignment="0">
      <alignment horizontal="center"/>
    </xf>
    <xf numFmtId="0" fontId="26" fillId="0" borderId="9" applyNumberFormat="0"/>
    <xf numFmtId="174" fontId="29" fillId="0" borderId="0">
      <alignment horizontal="center"/>
    </xf>
    <xf numFmtId="3" fontId="7" fillId="0" borderId="0"/>
    <xf numFmtId="3" fontId="7" fillId="0" borderId="0"/>
    <xf numFmtId="3" fontId="7" fillId="0" borderId="0"/>
    <xf numFmtId="3" fontId="7" fillId="0" borderId="0"/>
    <xf numFmtId="3" fontId="7" fillId="0" borderId="0"/>
    <xf numFmtId="3" fontId="7" fillId="0" borderId="0"/>
    <xf numFmtId="175" fontId="34" fillId="23" borderId="0">
      <alignment horizontal="left"/>
    </xf>
    <xf numFmtId="0" fontId="26" fillId="0" borderId="5" applyNumberFormat="0" applyFont="0" applyAlignment="0"/>
    <xf numFmtId="0" fontId="26" fillId="0" borderId="5" applyNumberFormat="0" applyFont="0" applyAlignment="0"/>
    <xf numFmtId="0" fontId="26" fillId="0" borderId="5" applyNumberFormat="0" applyFont="0" applyAlignment="0"/>
    <xf numFmtId="0" fontId="26" fillId="0" borderId="5" applyNumberFormat="0" applyFont="0" applyAlignment="0"/>
    <xf numFmtId="0" fontId="26" fillId="0" borderId="5" applyNumberFormat="0" applyFont="0" applyAlignment="0"/>
    <xf numFmtId="0" fontId="26" fillId="0" borderId="5" applyNumberFormat="0" applyFont="0" applyAlignment="0"/>
    <xf numFmtId="172" fontId="26" fillId="0" borderId="6" applyNumberFormat="0"/>
    <xf numFmtId="0" fontId="23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31" borderId="0" applyNumberFormat="0" applyBorder="0" applyAlignment="0" applyProtection="0"/>
    <xf numFmtId="0" fontId="23" fillId="35" borderId="0" applyNumberFormat="0" applyBorder="0" applyAlignment="0" applyProtection="0"/>
    <xf numFmtId="0" fontId="23" fillId="39" borderId="0" applyNumberFormat="0" applyBorder="0" applyAlignment="0" applyProtection="0"/>
    <xf numFmtId="0" fontId="23" fillId="43" borderId="0" applyNumberFormat="0" applyBorder="0" applyAlignment="0" applyProtection="0"/>
    <xf numFmtId="0" fontId="23" fillId="47" borderId="0" applyNumberFormat="0" applyBorder="0" applyAlignment="0" applyProtection="0"/>
    <xf numFmtId="0" fontId="23" fillId="51" borderId="0" applyNumberFormat="0" applyBorder="0" applyAlignment="0" applyProtection="0"/>
    <xf numFmtId="0" fontId="23" fillId="31" borderId="0" applyNumberFormat="0" applyBorder="0" applyAlignment="0" applyProtection="0"/>
    <xf numFmtId="0" fontId="23" fillId="35" borderId="0" applyNumberFormat="0" applyBorder="0" applyAlignment="0" applyProtection="0"/>
    <xf numFmtId="0" fontId="23" fillId="39" borderId="0" applyNumberFormat="0" applyBorder="0" applyAlignment="0" applyProtection="0"/>
    <xf numFmtId="0" fontId="23" fillId="43" borderId="0" applyNumberFormat="0" applyBorder="0" applyAlignment="0" applyProtection="0"/>
    <xf numFmtId="0" fontId="23" fillId="47" borderId="0" applyNumberFormat="0" applyBorder="0" applyAlignment="0" applyProtection="0"/>
    <xf numFmtId="0" fontId="23" fillId="51" borderId="0" applyNumberFormat="0" applyBorder="0" applyAlignment="0" applyProtection="0"/>
    <xf numFmtId="0" fontId="23" fillId="32" borderId="0" applyNumberFormat="0" applyBorder="0" applyAlignment="0" applyProtection="0"/>
    <xf numFmtId="0" fontId="23" fillId="36" borderId="0" applyNumberFormat="0" applyBorder="0" applyAlignment="0" applyProtection="0"/>
    <xf numFmtId="0" fontId="23" fillId="40" borderId="0" applyNumberFormat="0" applyBorder="0" applyAlignment="0" applyProtection="0"/>
    <xf numFmtId="0" fontId="23" fillId="44" borderId="0" applyNumberFormat="0" applyBorder="0" applyAlignment="0" applyProtection="0"/>
    <xf numFmtId="0" fontId="23" fillId="48" borderId="0" applyNumberFormat="0" applyBorder="0" applyAlignment="0" applyProtection="0"/>
    <xf numFmtId="0" fontId="23" fillId="52" borderId="0" applyNumberFormat="0" applyBorder="0" applyAlignment="0" applyProtection="0"/>
    <xf numFmtId="0" fontId="23" fillId="32" borderId="0" applyNumberFormat="0" applyBorder="0" applyAlignment="0" applyProtection="0"/>
    <xf numFmtId="0" fontId="23" fillId="36" borderId="0" applyNumberFormat="0" applyBorder="0" applyAlignment="0" applyProtection="0"/>
    <xf numFmtId="0" fontId="23" fillId="40" borderId="0" applyNumberFormat="0" applyBorder="0" applyAlignment="0" applyProtection="0"/>
    <xf numFmtId="0" fontId="23" fillId="44" borderId="0" applyNumberFormat="0" applyBorder="0" applyAlignment="0" applyProtection="0"/>
    <xf numFmtId="0" fontId="23" fillId="48" borderId="0" applyNumberFormat="0" applyBorder="0" applyAlignment="0" applyProtection="0"/>
    <xf numFmtId="0" fontId="23" fillId="52" borderId="0" applyNumberFormat="0" applyBorder="0" applyAlignment="0" applyProtection="0"/>
    <xf numFmtId="0" fontId="23" fillId="33" borderId="0" applyNumberFormat="0" applyBorder="0" applyAlignment="0" applyProtection="0"/>
    <xf numFmtId="0" fontId="23" fillId="37" borderId="0" applyNumberFormat="0" applyBorder="0" applyAlignment="0" applyProtection="0"/>
    <xf numFmtId="0" fontId="23" fillId="41" borderId="0" applyNumberFormat="0" applyBorder="0" applyAlignment="0" applyProtection="0"/>
    <xf numFmtId="0" fontId="23" fillId="45" borderId="0" applyNumberFormat="0" applyBorder="0" applyAlignment="0" applyProtection="0"/>
    <xf numFmtId="0" fontId="23" fillId="49" borderId="0" applyNumberFormat="0" applyBorder="0" applyAlignment="0" applyProtection="0"/>
    <xf numFmtId="0" fontId="23" fillId="53" borderId="0" applyNumberFormat="0" applyBorder="0" applyAlignment="0" applyProtection="0"/>
    <xf numFmtId="0" fontId="23" fillId="33" borderId="0" applyNumberFormat="0" applyBorder="0" applyAlignment="0" applyProtection="0"/>
    <xf numFmtId="0" fontId="23" fillId="37" borderId="0" applyNumberFormat="0" applyBorder="0" applyAlignment="0" applyProtection="0"/>
    <xf numFmtId="0" fontId="23" fillId="41" borderId="0" applyNumberFormat="0" applyBorder="0" applyAlignment="0" applyProtection="0"/>
    <xf numFmtId="0" fontId="23" fillId="45" borderId="0" applyNumberFormat="0" applyBorder="0" applyAlignment="0" applyProtection="0"/>
    <xf numFmtId="0" fontId="23" fillId="49" borderId="0" applyNumberFormat="0" applyBorder="0" applyAlignment="0" applyProtection="0"/>
    <xf numFmtId="0" fontId="23" fillId="53" borderId="0" applyNumberFormat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23" fillId="0" borderId="0"/>
    <xf numFmtId="0" fontId="23" fillId="0" borderId="0"/>
    <xf numFmtId="0" fontId="9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7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29" borderId="55" applyNumberFormat="0" applyFont="0" applyAlignment="0" applyProtection="0"/>
    <xf numFmtId="0" fontId="23" fillId="29" borderId="55" applyNumberFormat="0" applyFont="0" applyAlignment="0" applyProtection="0"/>
    <xf numFmtId="0" fontId="38" fillId="30" borderId="0" applyNumberFormat="0" applyBorder="0" applyAlignment="0" applyProtection="0"/>
    <xf numFmtId="0" fontId="38" fillId="34" borderId="0" applyNumberFormat="0" applyBorder="0" applyAlignment="0" applyProtection="0"/>
    <xf numFmtId="0" fontId="38" fillId="38" borderId="0" applyNumberFormat="0" applyBorder="0" applyAlignment="0" applyProtection="0"/>
    <xf numFmtId="0" fontId="38" fillId="42" borderId="0" applyNumberFormat="0" applyBorder="0" applyAlignment="0" applyProtection="0"/>
    <xf numFmtId="0" fontId="38" fillId="46" borderId="0" applyNumberFormat="0" applyBorder="0" applyAlignment="0" applyProtection="0"/>
    <xf numFmtId="0" fontId="38" fillId="50" borderId="0" applyNumberFormat="0" applyBorder="0" applyAlignment="0" applyProtection="0"/>
    <xf numFmtId="0" fontId="39" fillId="0" borderId="0" applyNumberFormat="0" applyFill="0" applyBorder="0" applyAlignment="0" applyProtection="0"/>
    <xf numFmtId="0" fontId="40" fillId="28" borderId="54" applyNumberFormat="0" applyAlignment="0" applyProtection="0"/>
    <xf numFmtId="0" fontId="41" fillId="25" borderId="0" applyNumberFormat="0" applyBorder="0" applyAlignment="0" applyProtection="0"/>
    <xf numFmtId="0" fontId="42" fillId="0" borderId="53" applyNumberFormat="0" applyFill="0" applyAlignment="0" applyProtection="0"/>
    <xf numFmtId="0" fontId="43" fillId="24" borderId="0" applyNumberFormat="0" applyBorder="0" applyAlignment="0" applyProtection="0"/>
    <xf numFmtId="0" fontId="44" fillId="27" borderId="51" applyNumberFormat="0" applyAlignment="0" applyProtection="0"/>
    <xf numFmtId="0" fontId="45" fillId="0" borderId="0" applyNumberFormat="0" applyFill="0" applyBorder="0" applyAlignment="0" applyProtection="0"/>
    <xf numFmtId="0" fontId="46" fillId="0" borderId="48" applyNumberFormat="0" applyFill="0" applyAlignment="0" applyProtection="0"/>
    <xf numFmtId="0" fontId="47" fillId="0" borderId="49" applyNumberFormat="0" applyFill="0" applyAlignment="0" applyProtection="0"/>
    <xf numFmtId="0" fontId="48" fillId="0" borderId="50" applyNumberFormat="0" applyFill="0" applyAlignment="0" applyProtection="0"/>
    <xf numFmtId="0" fontId="48" fillId="0" borderId="0" applyNumberFormat="0" applyFill="0" applyBorder="0" applyAlignment="0" applyProtection="0"/>
    <xf numFmtId="0" fontId="49" fillId="0" borderId="56" applyNumberFormat="0" applyFill="0" applyAlignment="0" applyProtection="0"/>
    <xf numFmtId="0" fontId="50" fillId="27" borderId="52" applyNumberFormat="0" applyAlignment="0" applyProtection="0"/>
    <xf numFmtId="0" fontId="51" fillId="0" borderId="0" applyNumberFormat="0" applyFill="0" applyBorder="0" applyAlignment="0" applyProtection="0"/>
    <xf numFmtId="0" fontId="52" fillId="26" borderId="51" applyNumberFormat="0" applyAlignment="0" applyProtection="0"/>
    <xf numFmtId="0" fontId="53" fillId="14" borderId="0" applyNumberFormat="0" applyBorder="0" applyAlignment="0" applyProtection="0"/>
    <xf numFmtId="0" fontId="23" fillId="0" borderId="0"/>
    <xf numFmtId="0" fontId="32" fillId="0" borderId="17" applyNumberFormat="0" applyFont="0" applyAlignment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" fillId="0" borderId="0">
      <alignment vertical="center"/>
    </xf>
    <xf numFmtId="0" fontId="23" fillId="0" borderId="0"/>
  </cellStyleXfs>
  <cellXfs count="282">
    <xf numFmtId="0" fontId="0" fillId="0" borderId="0" xfId="0">
      <alignment vertical="center"/>
    </xf>
    <xf numFmtId="0" fontId="11" fillId="0" borderId="0" xfId="0" applyFont="1" applyAlignment="1"/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0" fillId="0" borderId="8" xfId="0" applyFont="1" applyBorder="1">
      <alignment vertical="center"/>
    </xf>
    <xf numFmtId="0" fontId="15" fillId="0" borderId="0" xfId="0" applyFont="1">
      <alignment vertical="center"/>
    </xf>
    <xf numFmtId="165" fontId="10" fillId="0" borderId="0" xfId="0" applyNumberFormat="1" applyFont="1" applyAlignment="1">
      <alignment vertical="center" shrinkToFit="1"/>
    </xf>
    <xf numFmtId="0" fontId="18" fillId="0" borderId="0" xfId="0" applyFont="1">
      <alignment vertical="center"/>
    </xf>
    <xf numFmtId="0" fontId="16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6" fillId="0" borderId="8" xfId="0" applyFont="1" applyBorder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2" fillId="14" borderId="1" xfId="1" applyFont="1" applyBorder="1" applyAlignment="1"/>
    <xf numFmtId="0" fontId="22" fillId="14" borderId="2" xfId="1" applyFont="1" applyBorder="1" applyAlignment="1"/>
    <xf numFmtId="0" fontId="22" fillId="14" borderId="3" xfId="1" applyFont="1" applyBorder="1" applyAlignment="1">
      <alignment horizontal="center" wrapText="1"/>
    </xf>
    <xf numFmtId="0" fontId="10" fillId="0" borderId="0" xfId="0" applyFont="1" applyAlignment="1"/>
    <xf numFmtId="14" fontId="10" fillId="0" borderId="8" xfId="0" applyNumberFormat="1" applyFont="1" applyBorder="1" applyAlignment="1"/>
    <xf numFmtId="0" fontId="10" fillId="0" borderId="8" xfId="0" applyFont="1" applyBorder="1" applyAlignment="1"/>
    <xf numFmtId="0" fontId="10" fillId="0" borderId="8" xfId="0" applyFont="1" applyBorder="1" applyAlignment="1">
      <alignment horizontal="left" wrapText="1"/>
    </xf>
    <xf numFmtId="0" fontId="10" fillId="0" borderId="8" xfId="0" applyFont="1" applyBorder="1" applyAlignment="1">
      <alignment horizontal="center" vertical="center"/>
    </xf>
    <xf numFmtId="0" fontId="11" fillId="0" borderId="0" xfId="0" applyFont="1">
      <alignment vertical="center"/>
    </xf>
    <xf numFmtId="168" fontId="11" fillId="0" borderId="8" xfId="0" applyNumberFormat="1" applyFont="1" applyBorder="1">
      <alignment vertical="center"/>
    </xf>
    <xf numFmtId="0" fontId="11" fillId="0" borderId="0" xfId="0" applyFont="1" applyAlignment="1">
      <alignment horizontal="right" vertical="center"/>
    </xf>
    <xf numFmtId="0" fontId="15" fillId="0" borderId="0" xfId="0" applyFont="1" applyAlignment="1"/>
    <xf numFmtId="0" fontId="10" fillId="0" borderId="0" xfId="0" applyFont="1">
      <alignment vertical="center"/>
    </xf>
    <xf numFmtId="168" fontId="10" fillId="0" borderId="8" xfId="0" applyNumberFormat="1" applyFont="1" applyBorder="1">
      <alignment vertical="center"/>
    </xf>
    <xf numFmtId="0" fontId="10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wrapText="1"/>
    </xf>
    <xf numFmtId="0" fontId="10" fillId="9" borderId="0" xfId="0" applyFont="1" applyFill="1" applyAlignment="1"/>
    <xf numFmtId="0" fontId="8" fillId="3" borderId="8" xfId="0" applyFont="1" applyFill="1" applyBorder="1" applyAlignment="1">
      <alignment horizontal="center" vertical="center"/>
    </xf>
    <xf numFmtId="0" fontId="10" fillId="18" borderId="8" xfId="0" applyFont="1" applyFill="1" applyBorder="1">
      <alignment vertical="center"/>
    </xf>
    <xf numFmtId="0" fontId="10" fillId="18" borderId="1" xfId="0" applyFont="1" applyFill="1" applyBorder="1">
      <alignment vertical="center"/>
    </xf>
    <xf numFmtId="0" fontId="10" fillId="18" borderId="2" xfId="0" applyFont="1" applyFill="1" applyBorder="1">
      <alignment vertical="center"/>
    </xf>
    <xf numFmtId="0" fontId="10" fillId="18" borderId="3" xfId="0" applyFont="1" applyFill="1" applyBorder="1">
      <alignment vertical="center"/>
    </xf>
    <xf numFmtId="0" fontId="10" fillId="18" borderId="4" xfId="0" applyFont="1" applyFill="1" applyBorder="1">
      <alignment vertical="center"/>
    </xf>
    <xf numFmtId="0" fontId="10" fillId="18" borderId="31" xfId="0" applyFont="1" applyFill="1" applyBorder="1">
      <alignment vertical="center"/>
    </xf>
    <xf numFmtId="0" fontId="10" fillId="18" borderId="2" xfId="0" applyFont="1" applyFill="1" applyBorder="1" applyAlignment="1">
      <alignment vertical="center" shrinkToFit="1"/>
    </xf>
    <xf numFmtId="0" fontId="10" fillId="18" borderId="30" xfId="0" applyFont="1" applyFill="1" applyBorder="1">
      <alignment vertical="center"/>
    </xf>
    <xf numFmtId="0" fontId="10" fillId="18" borderId="7" xfId="0" applyFont="1" applyFill="1" applyBorder="1">
      <alignment vertical="center"/>
    </xf>
    <xf numFmtId="0" fontId="10" fillId="18" borderId="26" xfId="0" applyFont="1" applyFill="1" applyBorder="1">
      <alignment vertical="center"/>
    </xf>
    <xf numFmtId="0" fontId="10" fillId="18" borderId="8" xfId="0" applyFont="1" applyFill="1" applyBorder="1" applyAlignment="1">
      <alignment vertical="center" shrinkToFit="1"/>
    </xf>
    <xf numFmtId="0" fontId="10" fillId="18" borderId="32" xfId="0" applyFont="1" applyFill="1" applyBorder="1">
      <alignment vertical="center"/>
    </xf>
    <xf numFmtId="0" fontId="10" fillId="18" borderId="10" xfId="0" applyFont="1" applyFill="1" applyBorder="1">
      <alignment vertical="center"/>
    </xf>
    <xf numFmtId="0" fontId="10" fillId="18" borderId="27" xfId="0" applyFont="1" applyFill="1" applyBorder="1">
      <alignment vertical="center"/>
    </xf>
    <xf numFmtId="0" fontId="10" fillId="18" borderId="22" xfId="0" applyFont="1" applyFill="1" applyBorder="1" applyAlignment="1">
      <alignment vertical="center" shrinkToFit="1"/>
    </xf>
    <xf numFmtId="0" fontId="10" fillId="18" borderId="18" xfId="0" applyFont="1" applyFill="1" applyBorder="1">
      <alignment vertical="center"/>
    </xf>
    <xf numFmtId="0" fontId="10" fillId="18" borderId="19" xfId="0" applyFont="1" applyFill="1" applyBorder="1">
      <alignment vertical="center"/>
    </xf>
    <xf numFmtId="0" fontId="10" fillId="18" borderId="25" xfId="0" applyFont="1" applyFill="1" applyBorder="1">
      <alignment vertical="center"/>
    </xf>
    <xf numFmtId="0" fontId="10" fillId="18" borderId="5" xfId="0" applyFont="1" applyFill="1" applyBorder="1" applyAlignment="1">
      <alignment vertical="center" shrinkToFit="1"/>
    </xf>
    <xf numFmtId="0" fontId="10" fillId="18" borderId="21" xfId="0" applyFont="1" applyFill="1" applyBorder="1">
      <alignment vertical="center"/>
    </xf>
    <xf numFmtId="0" fontId="10" fillId="18" borderId="28" xfId="0" applyFont="1" applyFill="1" applyBorder="1">
      <alignment vertical="center"/>
    </xf>
    <xf numFmtId="0" fontId="10" fillId="18" borderId="11" xfId="0" applyFont="1" applyFill="1" applyBorder="1" applyAlignment="1">
      <alignment vertical="center" shrinkToFit="1"/>
    </xf>
    <xf numFmtId="0" fontId="10" fillId="18" borderId="20" xfId="0" applyFont="1" applyFill="1" applyBorder="1" applyAlignment="1">
      <alignment vertical="center" shrinkToFit="1"/>
    </xf>
    <xf numFmtId="0" fontId="10" fillId="18" borderId="5" xfId="0" applyFont="1" applyFill="1" applyBorder="1">
      <alignment vertical="center"/>
    </xf>
    <xf numFmtId="0" fontId="10" fillId="18" borderId="11" xfId="0" applyFont="1" applyFill="1" applyBorder="1">
      <alignment vertical="center"/>
    </xf>
    <xf numFmtId="0" fontId="10" fillId="18" borderId="20" xfId="0" applyFont="1" applyFill="1" applyBorder="1">
      <alignment vertical="center"/>
    </xf>
    <xf numFmtId="0" fontId="10" fillId="18" borderId="22" xfId="0" applyFont="1" applyFill="1" applyBorder="1">
      <alignment vertical="center"/>
    </xf>
    <xf numFmtId="0" fontId="10" fillId="57" borderId="1" xfId="0" applyFont="1" applyFill="1" applyBorder="1">
      <alignment vertical="center"/>
    </xf>
    <xf numFmtId="0" fontId="10" fillId="57" borderId="2" xfId="0" applyFont="1" applyFill="1" applyBorder="1">
      <alignment vertical="center"/>
    </xf>
    <xf numFmtId="0" fontId="10" fillId="57" borderId="3" xfId="0" applyFont="1" applyFill="1" applyBorder="1">
      <alignment vertical="center"/>
    </xf>
    <xf numFmtId="0" fontId="10" fillId="57" borderId="4" xfId="0" applyFont="1" applyFill="1" applyBorder="1">
      <alignment vertical="center"/>
    </xf>
    <xf numFmtId="0" fontId="10" fillId="57" borderId="31" xfId="0" applyFont="1" applyFill="1" applyBorder="1">
      <alignment vertical="center"/>
    </xf>
    <xf numFmtId="0" fontId="10" fillId="57" borderId="2" xfId="0" applyFont="1" applyFill="1" applyBorder="1" applyAlignment="1">
      <alignment vertical="center" shrinkToFit="1"/>
    </xf>
    <xf numFmtId="0" fontId="10" fillId="57" borderId="30" xfId="0" applyFont="1" applyFill="1" applyBorder="1">
      <alignment vertical="center"/>
    </xf>
    <xf numFmtId="0" fontId="10" fillId="57" borderId="7" xfId="0" applyFont="1" applyFill="1" applyBorder="1">
      <alignment vertical="center"/>
    </xf>
    <xf numFmtId="0" fontId="10" fillId="57" borderId="26" xfId="0" applyFont="1" applyFill="1" applyBorder="1">
      <alignment vertical="center"/>
    </xf>
    <xf numFmtId="0" fontId="10" fillId="57" borderId="8" xfId="0" applyFont="1" applyFill="1" applyBorder="1" applyAlignment="1">
      <alignment vertical="center" shrinkToFit="1"/>
    </xf>
    <xf numFmtId="0" fontId="10" fillId="57" borderId="32" xfId="0" applyFont="1" applyFill="1" applyBorder="1">
      <alignment vertical="center"/>
    </xf>
    <xf numFmtId="0" fontId="10" fillId="57" borderId="10" xfId="0" applyFont="1" applyFill="1" applyBorder="1">
      <alignment vertical="center"/>
    </xf>
    <xf numFmtId="0" fontId="10" fillId="57" borderId="27" xfId="0" applyFont="1" applyFill="1" applyBorder="1">
      <alignment vertical="center"/>
    </xf>
    <xf numFmtId="0" fontId="10" fillId="57" borderId="22" xfId="0" applyFont="1" applyFill="1" applyBorder="1" applyAlignment="1">
      <alignment vertical="center" shrinkToFit="1"/>
    </xf>
    <xf numFmtId="0" fontId="10" fillId="57" borderId="18" xfId="0" applyFont="1" applyFill="1" applyBorder="1">
      <alignment vertical="center"/>
    </xf>
    <xf numFmtId="0" fontId="10" fillId="57" borderId="19" xfId="0" applyFont="1" applyFill="1" applyBorder="1">
      <alignment vertical="center"/>
    </xf>
    <xf numFmtId="0" fontId="10" fillId="57" borderId="25" xfId="0" applyFont="1" applyFill="1" applyBorder="1">
      <alignment vertical="center"/>
    </xf>
    <xf numFmtId="0" fontId="10" fillId="57" borderId="5" xfId="0" applyFont="1" applyFill="1" applyBorder="1" applyAlignment="1">
      <alignment vertical="center" shrinkToFit="1"/>
    </xf>
    <xf numFmtId="0" fontId="10" fillId="57" borderId="21" xfId="0" applyFont="1" applyFill="1" applyBorder="1">
      <alignment vertical="center"/>
    </xf>
    <xf numFmtId="0" fontId="10" fillId="57" borderId="28" xfId="0" applyFont="1" applyFill="1" applyBorder="1">
      <alignment vertical="center"/>
    </xf>
    <xf numFmtId="0" fontId="10" fillId="57" borderId="11" xfId="0" applyFont="1" applyFill="1" applyBorder="1" applyAlignment="1">
      <alignment vertical="center" shrinkToFit="1"/>
    </xf>
    <xf numFmtId="0" fontId="10" fillId="57" borderId="20" xfId="0" applyFont="1" applyFill="1" applyBorder="1" applyAlignment="1">
      <alignment vertical="center" shrinkToFit="1"/>
    </xf>
    <xf numFmtId="0" fontId="10" fillId="57" borderId="5" xfId="0" applyFont="1" applyFill="1" applyBorder="1">
      <alignment vertical="center"/>
    </xf>
    <xf numFmtId="0" fontId="10" fillId="57" borderId="8" xfId="0" applyFont="1" applyFill="1" applyBorder="1">
      <alignment vertical="center"/>
    </xf>
    <xf numFmtId="0" fontId="10" fillId="57" borderId="11" xfId="0" applyFont="1" applyFill="1" applyBorder="1">
      <alignment vertical="center"/>
    </xf>
    <xf numFmtId="0" fontId="10" fillId="57" borderId="20" xfId="0" applyFont="1" applyFill="1" applyBorder="1">
      <alignment vertical="center"/>
    </xf>
    <xf numFmtId="0" fontId="10" fillId="57" borderId="22" xfId="0" applyFont="1" applyFill="1" applyBorder="1">
      <alignment vertical="center"/>
    </xf>
    <xf numFmtId="0" fontId="1" fillId="0" borderId="0" xfId="10351" applyFont="1" applyAlignment="1">
      <alignment horizontal="center"/>
    </xf>
    <xf numFmtId="0" fontId="1" fillId="59" borderId="0" xfId="10351" applyFont="1" applyFill="1" applyAlignment="1">
      <alignment horizontal="center"/>
    </xf>
    <xf numFmtId="0" fontId="1" fillId="9" borderId="0" xfId="0" applyFont="1" applyFill="1" applyAlignment="1"/>
    <xf numFmtId="0" fontId="1" fillId="63" borderId="0" xfId="0" applyFont="1" applyFill="1" applyAlignment="1"/>
    <xf numFmtId="0" fontId="19" fillId="3" borderId="8" xfId="10351" applyFont="1" applyFill="1" applyBorder="1" applyAlignment="1">
      <alignment horizontal="center" vertical="center" wrapText="1"/>
    </xf>
    <xf numFmtId="0" fontId="19" fillId="4" borderId="8" xfId="10351" applyFont="1" applyFill="1" applyBorder="1" applyAlignment="1">
      <alignment horizontal="center" vertical="center" wrapText="1"/>
    </xf>
    <xf numFmtId="0" fontId="19" fillId="5" borderId="8" xfId="10351" applyFont="1" applyFill="1" applyBorder="1" applyAlignment="1">
      <alignment horizontal="center" vertical="center" wrapText="1"/>
    </xf>
    <xf numFmtId="0" fontId="19" fillId="15" borderId="8" xfId="10351" applyFont="1" applyFill="1" applyBorder="1" applyAlignment="1">
      <alignment horizontal="center" vertical="center" wrapText="1"/>
    </xf>
    <xf numFmtId="0" fontId="19" fillId="6" borderId="8" xfId="10351" applyFont="1" applyFill="1" applyBorder="1" applyAlignment="1">
      <alignment horizontal="center" vertical="center" wrapText="1"/>
    </xf>
    <xf numFmtId="0" fontId="19" fillId="19" borderId="8" xfId="10351" applyFont="1" applyFill="1" applyBorder="1" applyAlignment="1">
      <alignment horizontal="center" vertical="center" wrapText="1"/>
    </xf>
    <xf numFmtId="0" fontId="19" fillId="7" borderId="8" xfId="10351" applyFont="1" applyFill="1" applyBorder="1" applyAlignment="1">
      <alignment horizontal="center" vertical="center" wrapText="1"/>
    </xf>
    <xf numFmtId="0" fontId="19" fillId="12" borderId="8" xfId="10351" applyFont="1" applyFill="1" applyBorder="1" applyAlignment="1">
      <alignment horizontal="center" vertical="center" wrapText="1"/>
    </xf>
    <xf numFmtId="0" fontId="19" fillId="9" borderId="8" xfId="10351" applyFont="1" applyFill="1" applyBorder="1" applyAlignment="1">
      <alignment horizontal="center" vertical="center" wrapText="1"/>
    </xf>
    <xf numFmtId="0" fontId="19" fillId="20" borderId="8" xfId="10351" applyFont="1" applyFill="1" applyBorder="1" applyAlignment="1">
      <alignment horizontal="center" vertical="center" wrapText="1"/>
    </xf>
    <xf numFmtId="0" fontId="19" fillId="61" borderId="8" xfId="10351" applyFont="1" applyFill="1" applyBorder="1" applyAlignment="1">
      <alignment horizontal="center" vertical="center" wrapText="1"/>
    </xf>
    <xf numFmtId="0" fontId="14" fillId="8" borderId="8" xfId="10351" applyFont="1" applyFill="1" applyBorder="1" applyAlignment="1">
      <alignment horizontal="center" vertical="center" wrapText="1"/>
    </xf>
    <xf numFmtId="0" fontId="19" fillId="62" borderId="8" xfId="10351" applyFont="1" applyFill="1" applyBorder="1" applyAlignment="1">
      <alignment horizontal="center" vertical="center" wrapText="1"/>
    </xf>
    <xf numFmtId="0" fontId="19" fillId="16" borderId="8" xfId="10351" applyFont="1" applyFill="1" applyBorder="1" applyAlignment="1">
      <alignment horizontal="center" vertical="center" wrapText="1"/>
    </xf>
    <xf numFmtId="0" fontId="19" fillId="59" borderId="8" xfId="10351" applyFont="1" applyFill="1" applyBorder="1" applyAlignment="1">
      <alignment horizontal="center" vertical="center" wrapText="1"/>
    </xf>
    <xf numFmtId="0" fontId="19" fillId="17" borderId="8" xfId="10351" applyFont="1" applyFill="1" applyBorder="1" applyAlignment="1">
      <alignment horizontal="center" vertical="center" wrapText="1"/>
    </xf>
    <xf numFmtId="0" fontId="14" fillId="60" borderId="8" xfId="10351" applyFont="1" applyFill="1" applyBorder="1" applyAlignment="1">
      <alignment horizontal="center" vertical="center" wrapText="1"/>
    </xf>
    <xf numFmtId="0" fontId="19" fillId="59" borderId="8" xfId="10351" applyFont="1" applyFill="1" applyBorder="1" applyAlignment="1">
      <alignment horizontal="left" vertical="center"/>
    </xf>
    <xf numFmtId="0" fontId="26" fillId="0" borderId="0" xfId="0" applyFont="1">
      <alignment vertical="center"/>
    </xf>
    <xf numFmtId="165" fontId="10" fillId="0" borderId="0" xfId="2149" applyNumberFormat="1" applyFont="1" applyAlignment="1">
      <alignment vertical="center" shrinkToFit="1"/>
    </xf>
    <xf numFmtId="0" fontId="10" fillId="0" borderId="0" xfId="2149" applyFont="1" applyAlignment="1">
      <alignment vertical="center"/>
    </xf>
    <xf numFmtId="170" fontId="10" fillId="0" borderId="0" xfId="2149" applyNumberFormat="1" applyFont="1" applyAlignment="1">
      <alignment vertical="center"/>
    </xf>
    <xf numFmtId="164" fontId="10" fillId="0" borderId="0" xfId="2149" applyNumberFormat="1" applyFont="1" applyAlignment="1">
      <alignment vertical="center"/>
    </xf>
    <xf numFmtId="176" fontId="10" fillId="0" borderId="0" xfId="2149" applyNumberFormat="1" applyFont="1" applyAlignment="1">
      <alignment vertical="center"/>
    </xf>
    <xf numFmtId="177" fontId="10" fillId="0" borderId="0" xfId="2149" applyNumberFormat="1" applyFont="1" applyAlignment="1">
      <alignment vertical="center"/>
    </xf>
    <xf numFmtId="167" fontId="11" fillId="0" borderId="26" xfId="0" applyNumberFormat="1" applyFont="1" applyBorder="1" applyAlignment="1"/>
    <xf numFmtId="167" fontId="11" fillId="0" borderId="15" xfId="0" applyNumberFormat="1" applyFont="1" applyBorder="1" applyAlignment="1">
      <alignment wrapText="1"/>
    </xf>
    <xf numFmtId="167" fontId="11" fillId="0" borderId="20" xfId="0" applyNumberFormat="1" applyFont="1" applyBorder="1" applyAlignment="1">
      <alignment horizontal="center" wrapText="1"/>
    </xf>
    <xf numFmtId="167" fontId="11" fillId="0" borderId="8" xfId="0" applyNumberFormat="1" applyFont="1" applyBorder="1" applyAlignment="1">
      <alignment horizontal="center" wrapText="1"/>
    </xf>
    <xf numFmtId="167" fontId="11" fillId="0" borderId="22" xfId="0" applyNumberFormat="1" applyFont="1" applyBorder="1" applyAlignment="1">
      <alignment horizontal="center" wrapText="1"/>
    </xf>
    <xf numFmtId="167" fontId="11" fillId="0" borderId="29" xfId="0" applyNumberFormat="1" applyFont="1" applyBorder="1" applyAlignment="1">
      <alignment wrapText="1"/>
    </xf>
    <xf numFmtId="167" fontId="10" fillId="0" borderId="8" xfId="0" applyNumberFormat="1" applyFont="1" applyBorder="1">
      <alignment vertical="center"/>
    </xf>
    <xf numFmtId="167" fontId="11" fillId="0" borderId="26" xfId="0" applyNumberFormat="1" applyFont="1" applyBorder="1" applyAlignment="1">
      <alignment wrapText="1"/>
    </xf>
    <xf numFmtId="167" fontId="10" fillId="0" borderId="20" xfId="0" applyNumberFormat="1" applyFont="1" applyBorder="1" applyAlignment="1">
      <alignment horizontal="center" wrapText="1"/>
    </xf>
    <xf numFmtId="0" fontId="2" fillId="0" borderId="0" xfId="658" applyFont="1"/>
    <xf numFmtId="168" fontId="10" fillId="77" borderId="22" xfId="2149" applyNumberFormat="1" applyFont="1" applyFill="1" applyBorder="1" applyAlignment="1">
      <alignment vertical="center"/>
    </xf>
    <xf numFmtId="168" fontId="10" fillId="77" borderId="23" xfId="2149" applyNumberFormat="1" applyFont="1" applyFill="1" applyBorder="1" applyAlignment="1">
      <alignment vertical="center"/>
    </xf>
    <xf numFmtId="168" fontId="10" fillId="77" borderId="20" xfId="2149" applyNumberFormat="1" applyFont="1" applyFill="1" applyBorder="1" applyAlignment="1">
      <alignment vertical="center"/>
    </xf>
    <xf numFmtId="168" fontId="10" fillId="77" borderId="8" xfId="2149" applyNumberFormat="1" applyFont="1" applyFill="1" applyBorder="1" applyAlignment="1">
      <alignment vertical="center"/>
    </xf>
    <xf numFmtId="167" fontId="10" fillId="0" borderId="29" xfId="0" applyNumberFormat="1" applyFont="1" applyBorder="1">
      <alignment vertical="center"/>
    </xf>
    <xf numFmtId="0" fontId="1" fillId="2" borderId="8" xfId="0" applyFont="1" applyFill="1" applyBorder="1" applyAlignment="1"/>
    <xf numFmtId="0" fontId="1" fillId="9" borderId="8" xfId="0" applyFont="1" applyFill="1" applyBorder="1" applyAlignment="1"/>
    <xf numFmtId="167" fontId="10" fillId="13" borderId="8" xfId="0" applyNumberFormat="1" applyFont="1" applyFill="1" applyBorder="1" applyAlignment="1">
      <alignment horizontal="center" vertical="center"/>
    </xf>
    <xf numFmtId="167" fontId="11" fillId="0" borderId="8" xfId="0" applyNumberFormat="1" applyFont="1" applyBorder="1" applyAlignment="1"/>
    <xf numFmtId="167" fontId="11" fillId="0" borderId="8" xfId="0" applyNumberFormat="1" applyFont="1" applyBorder="1" applyAlignment="1">
      <alignment wrapText="1"/>
    </xf>
    <xf numFmtId="0" fontId="11" fillId="54" borderId="22" xfId="0" applyFont="1" applyFill="1" applyBorder="1" applyAlignment="1"/>
    <xf numFmtId="0" fontId="11" fillId="54" borderId="22" xfId="0" applyFont="1" applyFill="1" applyBorder="1">
      <alignment vertical="center"/>
    </xf>
    <xf numFmtId="0" fontId="11" fillId="54" borderId="28" xfId="0" applyFont="1" applyFill="1" applyBorder="1">
      <alignment vertical="center"/>
    </xf>
    <xf numFmtId="0" fontId="11" fillId="54" borderId="20" xfId="0" applyFont="1" applyFill="1" applyBorder="1" applyAlignment="1"/>
    <xf numFmtId="0" fontId="11" fillId="54" borderId="20" xfId="0" applyFont="1" applyFill="1" applyBorder="1">
      <alignment vertical="center"/>
    </xf>
    <xf numFmtId="0" fontId="11" fillId="54" borderId="25" xfId="0" applyFont="1" applyFill="1" applyBorder="1">
      <alignment vertical="center"/>
    </xf>
    <xf numFmtId="167" fontId="11" fillId="0" borderId="23" xfId="0" applyNumberFormat="1" applyFont="1" applyBorder="1" applyAlignment="1">
      <alignment horizontal="center" wrapText="1"/>
    </xf>
    <xf numFmtId="0" fontId="27" fillId="0" borderId="0" xfId="658" applyFont="1"/>
    <xf numFmtId="167" fontId="10" fillId="0" borderId="8" xfId="0" applyNumberFormat="1" applyFont="1" applyBorder="1" applyAlignment="1">
      <alignment horizontal="center" wrapText="1"/>
    </xf>
    <xf numFmtId="0" fontId="10" fillId="57" borderId="30" xfId="0" applyFont="1" applyFill="1" applyBorder="1" applyAlignment="1">
      <alignment vertical="center" wrapText="1"/>
    </xf>
    <xf numFmtId="0" fontId="10" fillId="57" borderId="37" xfId="0" applyFont="1" applyFill="1" applyBorder="1" applyAlignment="1">
      <alignment vertical="center" wrapText="1"/>
    </xf>
    <xf numFmtId="0" fontId="10" fillId="57" borderId="60" xfId="0" applyFont="1" applyFill="1" applyBorder="1" applyAlignment="1">
      <alignment vertical="center" wrapText="1"/>
    </xf>
    <xf numFmtId="0" fontId="10" fillId="57" borderId="41" xfId="0" applyFont="1" applyFill="1" applyBorder="1" applyAlignment="1">
      <alignment vertical="center" wrapText="1"/>
    </xf>
    <xf numFmtId="0" fontId="10" fillId="0" borderId="44" xfId="0" applyFont="1" applyBorder="1" applyAlignment="1">
      <alignment vertical="center" wrapText="1"/>
    </xf>
    <xf numFmtId="0" fontId="10" fillId="0" borderId="57" xfId="0" applyFont="1" applyBorder="1">
      <alignment vertical="center"/>
    </xf>
    <xf numFmtId="0" fontId="10" fillId="0" borderId="41" xfId="0" applyFont="1" applyBorder="1" applyAlignment="1">
      <alignment vertical="center" wrapText="1"/>
    </xf>
    <xf numFmtId="0" fontId="10" fillId="0" borderId="43" xfId="0" applyFont="1" applyBorder="1" applyAlignment="1">
      <alignment vertical="center" wrapText="1"/>
    </xf>
    <xf numFmtId="0" fontId="10" fillId="18" borderId="39" xfId="0" applyFont="1" applyFill="1" applyBorder="1" applyAlignment="1">
      <alignment vertical="center" wrapText="1"/>
    </xf>
    <xf numFmtId="0" fontId="10" fillId="18" borderId="41" xfId="0" applyFont="1" applyFill="1" applyBorder="1" applyAlignment="1">
      <alignment vertical="center" wrapText="1"/>
    </xf>
    <xf numFmtId="0" fontId="10" fillId="18" borderId="4" xfId="0" applyFont="1" applyFill="1" applyBorder="1" applyAlignment="1">
      <alignment vertical="center" wrapText="1"/>
    </xf>
    <xf numFmtId="0" fontId="10" fillId="18" borderId="30" xfId="0" applyFont="1" applyFill="1" applyBorder="1" applyAlignment="1">
      <alignment vertical="center" wrapText="1"/>
    </xf>
    <xf numFmtId="0" fontId="10" fillId="18" borderId="7" xfId="0" applyFont="1" applyFill="1" applyBorder="1" applyAlignment="1">
      <alignment vertical="center" wrapText="1"/>
    </xf>
    <xf numFmtId="0" fontId="10" fillId="18" borderId="37" xfId="0" applyFont="1" applyFill="1" applyBorder="1" applyAlignment="1">
      <alignment vertical="center" wrapText="1"/>
    </xf>
    <xf numFmtId="0" fontId="10" fillId="18" borderId="10" xfId="0" applyFont="1" applyFill="1" applyBorder="1" applyAlignment="1">
      <alignment vertical="center" wrapText="1"/>
    </xf>
    <xf numFmtId="0" fontId="10" fillId="18" borderId="60" xfId="0" applyFont="1" applyFill="1" applyBorder="1" applyAlignment="1">
      <alignment vertical="center" wrapText="1"/>
    </xf>
    <xf numFmtId="0" fontId="10" fillId="57" borderId="39" xfId="0" applyFont="1" applyFill="1" applyBorder="1" applyAlignment="1">
      <alignment vertical="center" wrapText="1"/>
    </xf>
    <xf numFmtId="0" fontId="10" fillId="57" borderId="4" xfId="0" applyFont="1" applyFill="1" applyBorder="1" applyAlignment="1">
      <alignment vertical="center" wrapText="1"/>
    </xf>
    <xf numFmtId="0" fontId="10" fillId="57" borderId="7" xfId="0" applyFont="1" applyFill="1" applyBorder="1" applyAlignment="1">
      <alignment vertical="center" wrapText="1"/>
    </xf>
    <xf numFmtId="0" fontId="10" fillId="57" borderId="10" xfId="0" applyFont="1" applyFill="1" applyBorder="1" applyAlignment="1">
      <alignment vertical="center" wrapText="1"/>
    </xf>
    <xf numFmtId="0" fontId="10" fillId="18" borderId="39" xfId="0" applyFont="1" applyFill="1" applyBorder="1">
      <alignment vertical="center"/>
    </xf>
    <xf numFmtId="0" fontId="10" fillId="18" borderId="24" xfId="0" applyFont="1" applyFill="1" applyBorder="1" applyAlignment="1">
      <alignment vertical="center" wrapText="1"/>
    </xf>
    <xf numFmtId="0" fontId="10" fillId="18" borderId="18" xfId="0" applyFont="1" applyFill="1" applyBorder="1" applyAlignment="1">
      <alignment vertical="center" wrapText="1"/>
    </xf>
    <xf numFmtId="0" fontId="10" fillId="57" borderId="24" xfId="0" applyFont="1" applyFill="1" applyBorder="1" applyAlignment="1">
      <alignment vertical="center" wrapText="1"/>
    </xf>
    <xf numFmtId="0" fontId="10" fillId="57" borderId="18" xfId="0" applyFont="1" applyFill="1" applyBorder="1" applyAlignment="1">
      <alignment vertical="center" wrapText="1"/>
    </xf>
    <xf numFmtId="0" fontId="10" fillId="18" borderId="24" xfId="0" applyFont="1" applyFill="1" applyBorder="1">
      <alignment vertical="center"/>
    </xf>
    <xf numFmtId="0" fontId="1" fillId="10" borderId="34" xfId="0" applyFont="1" applyFill="1" applyBorder="1" applyAlignment="1"/>
    <xf numFmtId="0" fontId="10" fillId="11" borderId="0" xfId="0" applyFont="1" applyFill="1" applyAlignment="1"/>
    <xf numFmtId="0" fontId="1" fillId="0" borderId="0" xfId="0" applyFont="1" applyAlignment="1">
      <alignment horizontal="left"/>
    </xf>
    <xf numFmtId="168" fontId="10" fillId="54" borderId="22" xfId="2149" applyNumberFormat="1" applyFont="1" applyFill="1" applyBorder="1" applyAlignment="1">
      <alignment vertical="center"/>
    </xf>
    <xf numFmtId="168" fontId="10" fillId="54" borderId="23" xfId="2149" applyNumberFormat="1" applyFont="1" applyFill="1" applyBorder="1" applyAlignment="1">
      <alignment vertical="center"/>
    </xf>
    <xf numFmtId="168" fontId="10" fillId="54" borderId="20" xfId="2149" applyNumberFormat="1" applyFont="1" applyFill="1" applyBorder="1" applyAlignment="1">
      <alignment vertical="center"/>
    </xf>
    <xf numFmtId="167" fontId="10" fillId="12" borderId="8" xfId="0" applyNumberFormat="1" applyFont="1" applyFill="1" applyBorder="1">
      <alignment vertical="center"/>
    </xf>
    <xf numFmtId="0" fontId="14" fillId="55" borderId="43" xfId="0" applyFont="1" applyFill="1" applyBorder="1" applyAlignment="1">
      <alignment horizontal="center" vertical="center"/>
    </xf>
    <xf numFmtId="0" fontId="14" fillId="55" borderId="39" xfId="0" applyFont="1" applyFill="1" applyBorder="1" applyAlignment="1">
      <alignment horizontal="center" vertical="center"/>
    </xf>
    <xf numFmtId="0" fontId="14" fillId="55" borderId="40" xfId="0" applyFont="1" applyFill="1" applyBorder="1" applyAlignment="1">
      <alignment horizontal="center" vertical="center"/>
    </xf>
    <xf numFmtId="0" fontId="10" fillId="9" borderId="33" xfId="0" applyFont="1" applyFill="1" applyBorder="1" applyAlignment="1"/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9" borderId="34" xfId="0" applyFont="1" applyFill="1" applyBorder="1" applyAlignment="1"/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10" borderId="34" xfId="0" applyFont="1" applyFill="1" applyBorder="1" applyAlignment="1"/>
    <xf numFmtId="0" fontId="10" fillId="10" borderId="35" xfId="0" applyFont="1" applyFill="1" applyBorder="1" applyAlignment="1"/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10" borderId="33" xfId="0" applyFont="1" applyFill="1" applyBorder="1" applyAlignment="1"/>
    <xf numFmtId="0" fontId="10" fillId="0" borderId="35" xfId="0" applyFont="1" applyBorder="1" applyAlignment="1"/>
    <xf numFmtId="0" fontId="10" fillId="0" borderId="24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0" fillId="0" borderId="0" xfId="10350" applyFont="1">
      <alignment vertical="center"/>
    </xf>
    <xf numFmtId="0" fontId="10" fillId="0" borderId="43" xfId="10350" applyFont="1" applyBorder="1">
      <alignment vertical="center"/>
    </xf>
    <xf numFmtId="0" fontId="10" fillId="0" borderId="41" xfId="10350" applyFont="1" applyBorder="1">
      <alignment vertical="center"/>
    </xf>
    <xf numFmtId="0" fontId="10" fillId="55" borderId="16" xfId="10350" applyFont="1" applyFill="1" applyBorder="1">
      <alignment vertical="center"/>
    </xf>
    <xf numFmtId="0" fontId="10" fillId="0" borderId="38" xfId="10350" applyFont="1" applyBorder="1">
      <alignment vertical="center"/>
    </xf>
    <xf numFmtId="0" fontId="10" fillId="55" borderId="1" xfId="10350" applyFont="1" applyFill="1" applyBorder="1">
      <alignment vertical="center"/>
    </xf>
    <xf numFmtId="0" fontId="10" fillId="0" borderId="6" xfId="10350" applyFont="1" applyBorder="1">
      <alignment vertical="center"/>
    </xf>
    <xf numFmtId="0" fontId="10" fillId="0" borderId="9" xfId="10350" applyFont="1" applyBorder="1">
      <alignment vertical="center"/>
    </xf>
    <xf numFmtId="0" fontId="10" fillId="0" borderId="36" xfId="10350" applyFont="1" applyBorder="1">
      <alignment vertical="center"/>
    </xf>
    <xf numFmtId="0" fontId="10" fillId="55" borderId="24" xfId="10350" applyFont="1" applyFill="1" applyBorder="1">
      <alignment vertical="center"/>
    </xf>
    <xf numFmtId="0" fontId="10" fillId="0" borderId="12" xfId="10350" applyFont="1" applyBorder="1">
      <alignment vertical="center"/>
    </xf>
    <xf numFmtId="0" fontId="10" fillId="59" borderId="8" xfId="10351" applyFont="1" applyFill="1" applyBorder="1"/>
    <xf numFmtId="0" fontId="10" fillId="59" borderId="8" xfId="10351" applyFont="1" applyFill="1" applyBorder="1" applyAlignment="1">
      <alignment horizontal="center"/>
    </xf>
    <xf numFmtId="0" fontId="10" fillId="2" borderId="22" xfId="0" applyFont="1" applyFill="1" applyBorder="1" applyAlignment="1"/>
    <xf numFmtId="0" fontId="10" fillId="54" borderId="47" xfId="0" applyFont="1" applyFill="1" applyBorder="1" applyAlignment="1">
      <alignment horizontal="left"/>
    </xf>
    <xf numFmtId="0" fontId="10" fillId="54" borderId="0" xfId="0" applyFont="1" applyFill="1" applyAlignment="1">
      <alignment horizontal="left"/>
    </xf>
    <xf numFmtId="0" fontId="10" fillId="2" borderId="20" xfId="0" applyFont="1" applyFill="1" applyBorder="1" applyAlignment="1"/>
    <xf numFmtId="0" fontId="10" fillId="54" borderId="58" xfId="0" applyFont="1" applyFill="1" applyBorder="1" applyAlignment="1">
      <alignment horizontal="left"/>
    </xf>
    <xf numFmtId="0" fontId="10" fillId="2" borderId="23" xfId="0" applyFont="1" applyFill="1" applyBorder="1" applyAlignment="1"/>
    <xf numFmtId="0" fontId="10" fillId="54" borderId="59" xfId="0" applyFont="1" applyFill="1" applyBorder="1" applyAlignment="1">
      <alignment horizontal="left"/>
    </xf>
    <xf numFmtId="0" fontId="10" fillId="64" borderId="8" xfId="0" applyFont="1" applyFill="1" applyBorder="1" applyAlignment="1"/>
    <xf numFmtId="0" fontId="10" fillId="0" borderId="8" xfId="0" applyFont="1" applyBorder="1" applyAlignment="1">
      <alignment horizontal="left"/>
    </xf>
    <xf numFmtId="0" fontId="10" fillId="0" borderId="8" xfId="10351" applyFont="1" applyBorder="1" applyAlignment="1">
      <alignment horizontal="center"/>
    </xf>
    <xf numFmtId="0" fontId="10" fillId="0" borderId="8" xfId="10351" applyFont="1" applyBorder="1" applyAlignment="1">
      <alignment horizontal="left"/>
    </xf>
    <xf numFmtId="0" fontId="10" fillId="2" borderId="8" xfId="0" applyFont="1" applyFill="1" applyBorder="1" applyAlignment="1"/>
    <xf numFmtId="0" fontId="10" fillId="78" borderId="8" xfId="0" applyFont="1" applyFill="1" applyBorder="1" applyAlignment="1"/>
    <xf numFmtId="0" fontId="10" fillId="67" borderId="8" xfId="0" applyFont="1" applyFill="1" applyBorder="1" applyAlignment="1"/>
    <xf numFmtId="0" fontId="10" fillId="0" borderId="8" xfId="10351" applyFont="1" applyBorder="1"/>
    <xf numFmtId="0" fontId="10" fillId="71" borderId="8" xfId="0" applyFont="1" applyFill="1" applyBorder="1" applyAlignment="1"/>
    <xf numFmtId="0" fontId="10" fillId="69" borderId="8" xfId="0" applyFont="1" applyFill="1" applyBorder="1" applyAlignment="1"/>
    <xf numFmtId="0" fontId="10" fillId="70" borderId="8" xfId="0" applyFont="1" applyFill="1" applyBorder="1" applyAlignment="1"/>
    <xf numFmtId="0" fontId="10" fillId="9" borderId="8" xfId="0" applyFont="1" applyFill="1" applyBorder="1" applyAlignment="1"/>
    <xf numFmtId="0" fontId="10" fillId="13" borderId="8" xfId="0" applyFont="1" applyFill="1" applyBorder="1" applyAlignment="1"/>
    <xf numFmtId="0" fontId="10" fillId="63" borderId="8" xfId="0" applyFont="1" applyFill="1" applyBorder="1" applyAlignment="1"/>
    <xf numFmtId="0" fontId="10" fillId="74" borderId="8" xfId="0" applyFont="1" applyFill="1" applyBorder="1" applyAlignment="1"/>
    <xf numFmtId="0" fontId="10" fillId="76" borderId="8" xfId="0" applyFont="1" applyFill="1" applyBorder="1" applyAlignment="1"/>
    <xf numFmtId="0" fontId="10" fillId="13" borderId="0" xfId="0" applyFont="1" applyFill="1" applyAlignment="1"/>
    <xf numFmtId="0" fontId="10" fillId="0" borderId="0" xfId="0" applyFont="1" applyAlignment="1">
      <alignment horizontal="left"/>
    </xf>
    <xf numFmtId="0" fontId="10" fillId="0" borderId="0" xfId="10351" applyFont="1" applyAlignment="1">
      <alignment horizontal="center"/>
    </xf>
    <xf numFmtId="0" fontId="10" fillId="0" borderId="0" xfId="10351" applyFont="1"/>
    <xf numFmtId="0" fontId="10" fillId="63" borderId="0" xfId="0" applyFont="1" applyFill="1" applyAlignment="1"/>
    <xf numFmtId="0" fontId="10" fillId="64" borderId="0" xfId="0" applyFont="1" applyFill="1" applyAlignment="1"/>
    <xf numFmtId="0" fontId="10" fillId="65" borderId="0" xfId="0" applyFont="1" applyFill="1" applyAlignment="1"/>
    <xf numFmtId="0" fontId="10" fillId="59" borderId="0" xfId="10351" applyFont="1" applyFill="1"/>
    <xf numFmtId="0" fontId="10" fillId="59" borderId="0" xfId="10351" applyFont="1" applyFill="1" applyAlignment="1">
      <alignment horizontal="left"/>
    </xf>
    <xf numFmtId="0" fontId="10" fillId="59" borderId="0" xfId="10351" applyFont="1" applyFill="1" applyAlignment="1">
      <alignment horizontal="center"/>
    </xf>
    <xf numFmtId="0" fontId="10" fillId="66" borderId="0" xfId="0" applyFont="1" applyFill="1" applyAlignment="1"/>
    <xf numFmtId="0" fontId="10" fillId="12" borderId="0" xfId="0" applyFont="1" applyFill="1" applyAlignment="1"/>
    <xf numFmtId="0" fontId="10" fillId="67" borderId="0" xfId="0" applyFont="1" applyFill="1" applyAlignment="1"/>
    <xf numFmtId="0" fontId="10" fillId="68" borderId="0" xfId="0" applyFont="1" applyFill="1" applyAlignment="1"/>
    <xf numFmtId="0" fontId="10" fillId="69" borderId="0" xfId="0" applyFont="1" applyFill="1" applyAlignment="1"/>
    <xf numFmtId="0" fontId="10" fillId="70" borderId="0" xfId="0" applyFont="1" applyFill="1" applyAlignment="1"/>
    <xf numFmtId="0" fontId="10" fillId="71" borderId="0" xfId="0" applyFont="1" applyFill="1" applyAlignment="1"/>
    <xf numFmtId="0" fontId="10" fillId="72" borderId="0" xfId="0" applyFont="1" applyFill="1" applyAlignment="1"/>
    <xf numFmtId="0" fontId="10" fillId="58" borderId="0" xfId="0" applyFont="1" applyFill="1" applyAlignment="1"/>
    <xf numFmtId="0" fontId="10" fillId="73" borderId="0" xfId="0" applyFont="1" applyFill="1" applyAlignment="1"/>
    <xf numFmtId="0" fontId="10" fillId="21" borderId="0" xfId="0" applyFont="1" applyFill="1" applyAlignment="1"/>
    <xf numFmtId="0" fontId="10" fillId="18" borderId="0" xfId="0" applyFont="1" applyFill="1" applyAlignment="1"/>
    <xf numFmtId="0" fontId="10" fillId="2" borderId="0" xfId="0" applyFont="1" applyFill="1" applyAlignment="1"/>
    <xf numFmtId="0" fontId="10" fillId="9" borderId="0" xfId="10351" applyFont="1" applyFill="1"/>
    <xf numFmtId="0" fontId="10" fillId="74" borderId="0" xfId="0" applyFont="1" applyFill="1" applyAlignment="1"/>
    <xf numFmtId="0" fontId="10" fillId="75" borderId="0" xfId="0" applyFont="1" applyFill="1" applyAlignment="1"/>
    <xf numFmtId="0" fontId="10" fillId="0" borderId="0" xfId="10351" applyFont="1" applyAlignment="1">
      <alignment horizontal="left"/>
    </xf>
    <xf numFmtId="0" fontId="10" fillId="76" borderId="0" xfId="0" applyFont="1" applyFill="1" applyAlignment="1"/>
    <xf numFmtId="0" fontId="10" fillId="56" borderId="0" xfId="0" applyFont="1" applyFill="1" applyAlignment="1"/>
    <xf numFmtId="0" fontId="10" fillId="55" borderId="0" xfId="0" applyFont="1" applyFill="1" applyAlignment="1"/>
    <xf numFmtId="0" fontId="10" fillId="62" borderId="0" xfId="0" applyFont="1" applyFill="1" applyAlignment="1"/>
    <xf numFmtId="166" fontId="10" fillId="0" borderId="0" xfId="0" applyNumberFormat="1" applyFont="1" applyAlignment="1">
      <alignment horizontal="right"/>
    </xf>
    <xf numFmtId="0" fontId="10" fillId="9" borderId="8" xfId="0" applyFont="1" applyFill="1" applyBorder="1" applyAlignment="1">
      <alignment vertical="center" shrinkToFit="1"/>
    </xf>
    <xf numFmtId="0" fontId="10" fillId="9" borderId="32" xfId="0" applyFont="1" applyFill="1" applyBorder="1">
      <alignment vertical="center"/>
    </xf>
    <xf numFmtId="0" fontId="10" fillId="0" borderId="8" xfId="0" applyFont="1" applyBorder="1" applyAlignment="1">
      <alignment horizontal="left" vertical="center"/>
    </xf>
    <xf numFmtId="169" fontId="16" fillId="0" borderId="8" xfId="0" applyNumberFormat="1" applyFont="1" applyBorder="1" applyAlignment="1">
      <alignment horizontal="left" vertical="center"/>
    </xf>
    <xf numFmtId="169" fontId="10" fillId="0" borderId="8" xfId="0" applyNumberFormat="1" applyFont="1" applyBorder="1" applyAlignment="1">
      <alignment horizontal="left" vertical="center"/>
    </xf>
    <xf numFmtId="0" fontId="10" fillId="9" borderId="8" xfId="0" applyFont="1" applyFill="1" applyBorder="1">
      <alignment vertical="center"/>
    </xf>
    <xf numFmtId="0" fontId="16" fillId="9" borderId="8" xfId="0" applyFont="1" applyFill="1" applyBorder="1">
      <alignment vertical="center"/>
    </xf>
    <xf numFmtId="0" fontId="1" fillId="54" borderId="22" xfId="3" applyFill="1" applyBorder="1"/>
    <xf numFmtId="0" fontId="1" fillId="54" borderId="20" xfId="3" applyFill="1" applyBorder="1"/>
    <xf numFmtId="168" fontId="10" fillId="9" borderId="8" xfId="0" applyNumberFormat="1" applyFont="1" applyFill="1" applyBorder="1">
      <alignment vertical="center"/>
    </xf>
    <xf numFmtId="168" fontId="11" fillId="9" borderId="8" xfId="0" applyNumberFormat="1" applyFont="1" applyFill="1" applyBorder="1">
      <alignment vertical="center"/>
    </xf>
    <xf numFmtId="167" fontId="10" fillId="0" borderId="22" xfId="2149" applyNumberFormat="1" applyFont="1" applyBorder="1" applyAlignment="1">
      <alignment horizontal="center" vertical="center"/>
    </xf>
    <xf numFmtId="167" fontId="10" fillId="0" borderId="20" xfId="2149" applyNumberFormat="1" applyFont="1" applyBorder="1" applyAlignment="1">
      <alignment horizontal="center" vertical="center"/>
    </xf>
    <xf numFmtId="168" fontId="10" fillId="0" borderId="22" xfId="2149" applyNumberFormat="1" applyFont="1" applyBorder="1" applyAlignment="1">
      <alignment horizontal="center" vertical="center"/>
    </xf>
    <xf numFmtId="168" fontId="10" fillId="0" borderId="20" xfId="2149" applyNumberFormat="1" applyFont="1" applyBorder="1" applyAlignment="1">
      <alignment horizontal="center" vertical="center"/>
    </xf>
    <xf numFmtId="168" fontId="10" fillId="0" borderId="8" xfId="2149" applyNumberFormat="1" applyFont="1" applyBorder="1" applyAlignment="1">
      <alignment horizontal="center" vertical="center"/>
    </xf>
    <xf numFmtId="167" fontId="10" fillId="0" borderId="29" xfId="2149" applyNumberFormat="1" applyFont="1" applyBorder="1" applyAlignment="1">
      <alignment horizontal="center" vertical="center"/>
    </xf>
    <xf numFmtId="0" fontId="14" fillId="55" borderId="43" xfId="0" applyFont="1" applyFill="1" applyBorder="1" applyAlignment="1">
      <alignment horizontal="center" vertical="center"/>
    </xf>
    <xf numFmtId="0" fontId="14" fillId="55" borderId="44" xfId="0" applyFont="1" applyFill="1" applyBorder="1" applyAlignment="1">
      <alignment horizontal="center" vertical="center"/>
    </xf>
  </cellXfs>
  <cellStyles count="10352">
    <cellStyle name="20% - Accent1 2" xfId="2150" xr:uid="{00000000-0005-0000-0000-000000000000}"/>
    <cellStyle name="20% - Accent2 2" xfId="2151" xr:uid="{00000000-0005-0000-0000-000001000000}"/>
    <cellStyle name="20% - Accent3 2" xfId="2152" xr:uid="{00000000-0005-0000-0000-000002000000}"/>
    <cellStyle name="20% - Accent4 2" xfId="2153" xr:uid="{00000000-0005-0000-0000-000003000000}"/>
    <cellStyle name="20% - Accent5 2" xfId="2154" xr:uid="{00000000-0005-0000-0000-000004000000}"/>
    <cellStyle name="20% - Accent6 2" xfId="2155" xr:uid="{00000000-0005-0000-0000-000005000000}"/>
    <cellStyle name="20% - アクセント 1 2" xfId="2156" xr:uid="{00000000-0005-0000-0000-000006000000}"/>
    <cellStyle name="20% - アクセント 2 2" xfId="2157" xr:uid="{00000000-0005-0000-0000-000007000000}"/>
    <cellStyle name="20% - アクセント 3 2" xfId="2158" xr:uid="{00000000-0005-0000-0000-000008000000}"/>
    <cellStyle name="20% - アクセント 4 2" xfId="2159" xr:uid="{00000000-0005-0000-0000-000009000000}"/>
    <cellStyle name="20% - アクセント 5 2" xfId="2160" xr:uid="{00000000-0005-0000-0000-00000A000000}"/>
    <cellStyle name="20% - アクセント 6 2" xfId="2161" xr:uid="{00000000-0005-0000-0000-00000B000000}"/>
    <cellStyle name="40% - Accent1 2" xfId="2162" xr:uid="{00000000-0005-0000-0000-00000C000000}"/>
    <cellStyle name="40% - Accent2 2" xfId="2163" xr:uid="{00000000-0005-0000-0000-00000D000000}"/>
    <cellStyle name="40% - Accent3 2" xfId="2164" xr:uid="{00000000-0005-0000-0000-00000E000000}"/>
    <cellStyle name="40% - Accent4 2" xfId="2165" xr:uid="{00000000-0005-0000-0000-00000F000000}"/>
    <cellStyle name="40% - Accent5 2" xfId="2166" xr:uid="{00000000-0005-0000-0000-000010000000}"/>
    <cellStyle name="40% - Accent6 2" xfId="2167" xr:uid="{00000000-0005-0000-0000-000011000000}"/>
    <cellStyle name="40% - アクセント 1 2" xfId="2168" xr:uid="{00000000-0005-0000-0000-000012000000}"/>
    <cellStyle name="40% - アクセント 2 2" xfId="2169" xr:uid="{00000000-0005-0000-0000-000013000000}"/>
    <cellStyle name="40% - アクセント 3 2" xfId="2170" xr:uid="{00000000-0005-0000-0000-000014000000}"/>
    <cellStyle name="40% - アクセント 4 2" xfId="2171" xr:uid="{00000000-0005-0000-0000-000015000000}"/>
    <cellStyle name="40% - アクセント 5 2" xfId="2172" xr:uid="{00000000-0005-0000-0000-000016000000}"/>
    <cellStyle name="40% - アクセント 6 2" xfId="2173" xr:uid="{00000000-0005-0000-0000-000017000000}"/>
    <cellStyle name="60% - Accent1 2" xfId="2174" xr:uid="{00000000-0005-0000-0000-000018000000}"/>
    <cellStyle name="60% - Accent2 2" xfId="2175" xr:uid="{00000000-0005-0000-0000-000019000000}"/>
    <cellStyle name="60% - Accent3 2" xfId="2176" xr:uid="{00000000-0005-0000-0000-00001A000000}"/>
    <cellStyle name="60% - Accent4 2" xfId="2177" xr:uid="{00000000-0005-0000-0000-00001B000000}"/>
    <cellStyle name="60% - Accent5 2" xfId="2178" xr:uid="{00000000-0005-0000-0000-00001C000000}"/>
    <cellStyle name="60% - Accent6 2" xfId="2179" xr:uid="{00000000-0005-0000-0000-00001D000000}"/>
    <cellStyle name="60% - アクセント 1 2" xfId="2180" xr:uid="{00000000-0005-0000-0000-00001E000000}"/>
    <cellStyle name="60% - アクセント 2 2" xfId="2181" xr:uid="{00000000-0005-0000-0000-00001F000000}"/>
    <cellStyle name="60% - アクセント 3 2" xfId="2182" xr:uid="{00000000-0005-0000-0000-000020000000}"/>
    <cellStyle name="60% - アクセント 4 2" xfId="2183" xr:uid="{00000000-0005-0000-0000-000021000000}"/>
    <cellStyle name="60% - アクセント 5 2" xfId="2184" xr:uid="{00000000-0005-0000-0000-000022000000}"/>
    <cellStyle name="60% - アクセント 6 2" xfId="2185" xr:uid="{00000000-0005-0000-0000-000023000000}"/>
    <cellStyle name="ab" xfId="22" xr:uid="{00000000-0005-0000-0000-000024000000}"/>
    <cellStyle name="abl" xfId="23" xr:uid="{00000000-0005-0000-0000-000025000000}"/>
    <cellStyle name="bb" xfId="24" xr:uid="{00000000-0005-0000-0000-000026000000}"/>
    <cellStyle name="bl" xfId="25" xr:uid="{00000000-0005-0000-0000-000027000000}"/>
    <cellStyle name="bl 2" xfId="26" xr:uid="{00000000-0005-0000-0000-000028000000}"/>
    <cellStyle name="bl 3" xfId="27" xr:uid="{00000000-0005-0000-0000-000029000000}"/>
    <cellStyle name="bl 4" xfId="28" xr:uid="{00000000-0005-0000-0000-00002A000000}"/>
    <cellStyle name="bl 5" xfId="29" xr:uid="{00000000-0005-0000-0000-00002B000000}"/>
    <cellStyle name="bl 6" xfId="30" xr:uid="{00000000-0005-0000-0000-00002C000000}"/>
    <cellStyle name="bottomtable" xfId="31" xr:uid="{00000000-0005-0000-0000-00002D000000}"/>
    <cellStyle name="bottomtable 2" xfId="32" xr:uid="{00000000-0005-0000-0000-00002E000000}"/>
    <cellStyle name="bottomtable 3" xfId="33" xr:uid="{00000000-0005-0000-0000-00002F000000}"/>
    <cellStyle name="bottomtable 4" xfId="34" xr:uid="{00000000-0005-0000-0000-000030000000}"/>
    <cellStyle name="bottomtable 5" xfId="35" xr:uid="{00000000-0005-0000-0000-000031000000}"/>
    <cellStyle name="bottomtable 6" xfId="36" xr:uid="{00000000-0005-0000-0000-000032000000}"/>
    <cellStyle name="brtable" xfId="37" xr:uid="{00000000-0005-0000-0000-000033000000}"/>
    <cellStyle name="Currency 2" xfId="2135" xr:uid="{00000000-0005-0000-0000-000034000000}"/>
    <cellStyle name="Currency 2 2" xfId="2136" xr:uid="{00000000-0005-0000-0000-000035000000}"/>
    <cellStyle name="Currency 2 2 2" xfId="2186" xr:uid="{00000000-0005-0000-0000-000036000000}"/>
    <cellStyle name="Currency 2 2 2 2" xfId="2187" xr:uid="{00000000-0005-0000-0000-000037000000}"/>
    <cellStyle name="Currency 2 2 3" xfId="2188" xr:uid="{00000000-0005-0000-0000-000038000000}"/>
    <cellStyle name="Currency 2 2 4" xfId="2189" xr:uid="{00000000-0005-0000-0000-000039000000}"/>
    <cellStyle name="Currency 2 3" xfId="2137" xr:uid="{00000000-0005-0000-0000-00003A000000}"/>
    <cellStyle name="Currency 2 3 2" xfId="2190" xr:uid="{00000000-0005-0000-0000-00003B000000}"/>
    <cellStyle name="Currency 2 3 2 2" xfId="2191" xr:uid="{00000000-0005-0000-0000-00003C000000}"/>
    <cellStyle name="Currency 2 3 3" xfId="2192" xr:uid="{00000000-0005-0000-0000-00003D000000}"/>
    <cellStyle name="Currency 2 3 4" xfId="2193" xr:uid="{00000000-0005-0000-0000-00003E000000}"/>
    <cellStyle name="Currency 2 4" xfId="2194" xr:uid="{00000000-0005-0000-0000-00003F000000}"/>
    <cellStyle name="Currency 2 4 2" xfId="2195" xr:uid="{00000000-0005-0000-0000-000040000000}"/>
    <cellStyle name="Currency 2 5" xfId="2196" xr:uid="{00000000-0005-0000-0000-000041000000}"/>
    <cellStyle name="Currency 2 6" xfId="2197" xr:uid="{00000000-0005-0000-0000-000042000000}"/>
    <cellStyle name="Good" xfId="1" builtinId="26"/>
    <cellStyle name="Header1" xfId="38" xr:uid="{00000000-0005-0000-0000-000043000000}"/>
    <cellStyle name="Header2" xfId="39" xr:uid="{00000000-0005-0000-0000-000044000000}"/>
    <cellStyle name="Hyperlink 2" xfId="8" xr:uid="{00000000-0005-0000-0000-000045000000}"/>
    <cellStyle name="Hyperlink 2 2" xfId="2198" xr:uid="{00000000-0005-0000-0000-000046000000}"/>
    <cellStyle name="Hyperlink 3" xfId="2199" xr:uid="{00000000-0005-0000-0000-000047000000}"/>
    <cellStyle name="l" xfId="40" xr:uid="{00000000-0005-0000-0000-000048000000}"/>
    <cellStyle name="Milliers [0]_!!!GO" xfId="41" xr:uid="{00000000-0005-0000-0000-000049000000}"/>
    <cellStyle name="Milliers_!!!GO" xfId="42" xr:uid="{00000000-0005-0000-0000-00004A000000}"/>
    <cellStyle name="Monétaire [0]_!!!GO" xfId="43" xr:uid="{00000000-0005-0000-0000-00004B000000}"/>
    <cellStyle name="Monétaire_!!!GO" xfId="44" xr:uid="{00000000-0005-0000-0000-00004C000000}"/>
    <cellStyle name="new" xfId="45" xr:uid="{00000000-0005-0000-0000-00004D000000}"/>
    <cellStyle name="new2" xfId="46" xr:uid="{00000000-0005-0000-0000-00004E000000}"/>
    <cellStyle name="new2 2" xfId="47" xr:uid="{00000000-0005-0000-0000-00004F000000}"/>
    <cellStyle name="new2 3" xfId="48" xr:uid="{00000000-0005-0000-0000-000050000000}"/>
    <cellStyle name="new2 4" xfId="49" xr:uid="{00000000-0005-0000-0000-000051000000}"/>
    <cellStyle name="new2 5" xfId="50" xr:uid="{00000000-0005-0000-0000-000052000000}"/>
    <cellStyle name="new2 6" xfId="51" xr:uid="{00000000-0005-0000-0000-000053000000}"/>
    <cellStyle name="no dec" xfId="52" xr:uid="{00000000-0005-0000-0000-000054000000}"/>
    <cellStyle name="no dec 2" xfId="53" xr:uid="{00000000-0005-0000-0000-000055000000}"/>
    <cellStyle name="no dec 3" xfId="54" xr:uid="{00000000-0005-0000-0000-000056000000}"/>
    <cellStyle name="Normal" xfId="0" builtinId="0"/>
    <cellStyle name="Normal 10" xfId="55" xr:uid="{00000000-0005-0000-0000-000057000000}"/>
    <cellStyle name="Normal 10 10" xfId="2200" xr:uid="{00000000-0005-0000-0000-000058000000}"/>
    <cellStyle name="Normal 10 10 2" xfId="2201" xr:uid="{00000000-0005-0000-0000-000059000000}"/>
    <cellStyle name="Normal 10 10 3" xfId="2202" xr:uid="{00000000-0005-0000-0000-00005A000000}"/>
    <cellStyle name="Normal 10 11" xfId="2203" xr:uid="{00000000-0005-0000-0000-00005B000000}"/>
    <cellStyle name="Normal 10 12" xfId="2204" xr:uid="{00000000-0005-0000-0000-00005C000000}"/>
    <cellStyle name="Normal 10 2" xfId="56" xr:uid="{00000000-0005-0000-0000-00005D000000}"/>
    <cellStyle name="Normal 10 2 2" xfId="57" xr:uid="{00000000-0005-0000-0000-00005E000000}"/>
    <cellStyle name="Normal 10 2 2 2" xfId="58" xr:uid="{00000000-0005-0000-0000-00005F000000}"/>
    <cellStyle name="Normal 10 2 2 2 2" xfId="59" xr:uid="{00000000-0005-0000-0000-000060000000}"/>
    <cellStyle name="Normal 10 2 2 2 2 2" xfId="60" xr:uid="{00000000-0005-0000-0000-000061000000}"/>
    <cellStyle name="Normal 10 2 2 2 2 2 2" xfId="61" xr:uid="{00000000-0005-0000-0000-000062000000}"/>
    <cellStyle name="Normal 10 2 2 2 2 2 2 2" xfId="2205" xr:uid="{00000000-0005-0000-0000-000063000000}"/>
    <cellStyle name="Normal 10 2 2 2 2 2 2 2 2" xfId="2206" xr:uid="{00000000-0005-0000-0000-000064000000}"/>
    <cellStyle name="Normal 10 2 2 2 2 2 2 3" xfId="2207" xr:uid="{00000000-0005-0000-0000-000065000000}"/>
    <cellStyle name="Normal 10 2 2 2 2 2 2 4" xfId="2208" xr:uid="{00000000-0005-0000-0000-000066000000}"/>
    <cellStyle name="Normal 10 2 2 2 2 2 3" xfId="2209" xr:uid="{00000000-0005-0000-0000-000067000000}"/>
    <cellStyle name="Normal 10 2 2 2 2 2 3 2" xfId="2210" xr:uid="{00000000-0005-0000-0000-000068000000}"/>
    <cellStyle name="Normal 10 2 2 2 2 2 4" xfId="2211" xr:uid="{00000000-0005-0000-0000-000069000000}"/>
    <cellStyle name="Normal 10 2 2 2 2 2 5" xfId="2212" xr:uid="{00000000-0005-0000-0000-00006A000000}"/>
    <cellStyle name="Normal 10 2 2 2 2 3" xfId="62" xr:uid="{00000000-0005-0000-0000-00006B000000}"/>
    <cellStyle name="Normal 10 2 2 2 2 3 2" xfId="2213" xr:uid="{00000000-0005-0000-0000-00006C000000}"/>
    <cellStyle name="Normal 10 2 2 2 2 3 2 2" xfId="2214" xr:uid="{00000000-0005-0000-0000-00006D000000}"/>
    <cellStyle name="Normal 10 2 2 2 2 3 3" xfId="2215" xr:uid="{00000000-0005-0000-0000-00006E000000}"/>
    <cellStyle name="Normal 10 2 2 2 2 3 4" xfId="2216" xr:uid="{00000000-0005-0000-0000-00006F000000}"/>
    <cellStyle name="Normal 10 2 2 2 2 4" xfId="2217" xr:uid="{00000000-0005-0000-0000-000070000000}"/>
    <cellStyle name="Normal 10 2 2 2 2 4 2" xfId="2218" xr:uid="{00000000-0005-0000-0000-000071000000}"/>
    <cellStyle name="Normal 10 2 2 2 2 5" xfId="2219" xr:uid="{00000000-0005-0000-0000-000072000000}"/>
    <cellStyle name="Normal 10 2 2 2 2 6" xfId="2220" xr:uid="{00000000-0005-0000-0000-000073000000}"/>
    <cellStyle name="Normal 10 2 2 2 3" xfId="63" xr:uid="{00000000-0005-0000-0000-000074000000}"/>
    <cellStyle name="Normal 10 2 2 2 3 2" xfId="64" xr:uid="{00000000-0005-0000-0000-000075000000}"/>
    <cellStyle name="Normal 10 2 2 2 3 2 2" xfId="2221" xr:uid="{00000000-0005-0000-0000-000076000000}"/>
    <cellStyle name="Normal 10 2 2 2 3 2 2 2" xfId="2222" xr:uid="{00000000-0005-0000-0000-000077000000}"/>
    <cellStyle name="Normal 10 2 2 2 3 2 3" xfId="2223" xr:uid="{00000000-0005-0000-0000-000078000000}"/>
    <cellStyle name="Normal 10 2 2 2 3 2 4" xfId="2224" xr:uid="{00000000-0005-0000-0000-000079000000}"/>
    <cellStyle name="Normal 10 2 2 2 3 3" xfId="2225" xr:uid="{00000000-0005-0000-0000-00007A000000}"/>
    <cellStyle name="Normal 10 2 2 2 3 3 2" xfId="2226" xr:uid="{00000000-0005-0000-0000-00007B000000}"/>
    <cellStyle name="Normal 10 2 2 2 3 4" xfId="2227" xr:uid="{00000000-0005-0000-0000-00007C000000}"/>
    <cellStyle name="Normal 10 2 2 2 3 5" xfId="2228" xr:uid="{00000000-0005-0000-0000-00007D000000}"/>
    <cellStyle name="Normal 10 2 2 2 4" xfId="65" xr:uid="{00000000-0005-0000-0000-00007E000000}"/>
    <cellStyle name="Normal 10 2 2 2 4 2" xfId="2229" xr:uid="{00000000-0005-0000-0000-00007F000000}"/>
    <cellStyle name="Normal 10 2 2 2 4 2 2" xfId="2230" xr:uid="{00000000-0005-0000-0000-000080000000}"/>
    <cellStyle name="Normal 10 2 2 2 4 3" xfId="2231" xr:uid="{00000000-0005-0000-0000-000081000000}"/>
    <cellStyle name="Normal 10 2 2 2 4 4" xfId="2232" xr:uid="{00000000-0005-0000-0000-000082000000}"/>
    <cellStyle name="Normal 10 2 2 2 5" xfId="2233" xr:uid="{00000000-0005-0000-0000-000083000000}"/>
    <cellStyle name="Normal 10 2 2 2 5 2" xfId="2234" xr:uid="{00000000-0005-0000-0000-000084000000}"/>
    <cellStyle name="Normal 10 2 2 2 6" xfId="2235" xr:uid="{00000000-0005-0000-0000-000085000000}"/>
    <cellStyle name="Normal 10 2 2 2 7" xfId="2236" xr:uid="{00000000-0005-0000-0000-000086000000}"/>
    <cellStyle name="Normal 10 2 2 3" xfId="66" xr:uid="{00000000-0005-0000-0000-000087000000}"/>
    <cellStyle name="Normal 10 2 2 3 2" xfId="67" xr:uid="{00000000-0005-0000-0000-000088000000}"/>
    <cellStyle name="Normal 10 2 2 3 2 2" xfId="68" xr:uid="{00000000-0005-0000-0000-000089000000}"/>
    <cellStyle name="Normal 10 2 2 3 2 2 2" xfId="2237" xr:uid="{00000000-0005-0000-0000-00008A000000}"/>
    <cellStyle name="Normal 10 2 2 3 2 2 2 2" xfId="2238" xr:uid="{00000000-0005-0000-0000-00008B000000}"/>
    <cellStyle name="Normal 10 2 2 3 2 2 3" xfId="2239" xr:uid="{00000000-0005-0000-0000-00008C000000}"/>
    <cellStyle name="Normal 10 2 2 3 2 2 4" xfId="2240" xr:uid="{00000000-0005-0000-0000-00008D000000}"/>
    <cellStyle name="Normal 10 2 2 3 2 3" xfId="2241" xr:uid="{00000000-0005-0000-0000-00008E000000}"/>
    <cellStyle name="Normal 10 2 2 3 2 3 2" xfId="2242" xr:uid="{00000000-0005-0000-0000-00008F000000}"/>
    <cellStyle name="Normal 10 2 2 3 2 4" xfId="2243" xr:uid="{00000000-0005-0000-0000-000090000000}"/>
    <cellStyle name="Normal 10 2 2 3 2 5" xfId="2244" xr:uid="{00000000-0005-0000-0000-000091000000}"/>
    <cellStyle name="Normal 10 2 2 3 3" xfId="69" xr:uid="{00000000-0005-0000-0000-000092000000}"/>
    <cellStyle name="Normal 10 2 2 3 3 2" xfId="2245" xr:uid="{00000000-0005-0000-0000-000093000000}"/>
    <cellStyle name="Normal 10 2 2 3 3 2 2" xfId="2246" xr:uid="{00000000-0005-0000-0000-000094000000}"/>
    <cellStyle name="Normal 10 2 2 3 3 3" xfId="2247" xr:uid="{00000000-0005-0000-0000-000095000000}"/>
    <cellStyle name="Normal 10 2 2 3 3 4" xfId="2248" xr:uid="{00000000-0005-0000-0000-000096000000}"/>
    <cellStyle name="Normal 10 2 2 3 4" xfId="2249" xr:uid="{00000000-0005-0000-0000-000097000000}"/>
    <cellStyle name="Normal 10 2 2 3 4 2" xfId="2250" xr:uid="{00000000-0005-0000-0000-000098000000}"/>
    <cellStyle name="Normal 10 2 2 3 5" xfId="2251" xr:uid="{00000000-0005-0000-0000-000099000000}"/>
    <cellStyle name="Normal 10 2 2 3 6" xfId="2252" xr:uid="{00000000-0005-0000-0000-00009A000000}"/>
    <cellStyle name="Normal 10 2 2 4" xfId="70" xr:uid="{00000000-0005-0000-0000-00009B000000}"/>
    <cellStyle name="Normal 10 2 2 4 2" xfId="71" xr:uid="{00000000-0005-0000-0000-00009C000000}"/>
    <cellStyle name="Normal 10 2 2 4 2 2" xfId="2253" xr:uid="{00000000-0005-0000-0000-00009D000000}"/>
    <cellStyle name="Normal 10 2 2 4 2 2 2" xfId="2254" xr:uid="{00000000-0005-0000-0000-00009E000000}"/>
    <cellStyle name="Normal 10 2 2 4 2 3" xfId="2255" xr:uid="{00000000-0005-0000-0000-00009F000000}"/>
    <cellStyle name="Normal 10 2 2 4 2 4" xfId="2256" xr:uid="{00000000-0005-0000-0000-0000A0000000}"/>
    <cellStyle name="Normal 10 2 2 4 3" xfId="2257" xr:uid="{00000000-0005-0000-0000-0000A1000000}"/>
    <cellStyle name="Normal 10 2 2 4 3 2" xfId="2258" xr:uid="{00000000-0005-0000-0000-0000A2000000}"/>
    <cellStyle name="Normal 10 2 2 4 4" xfId="2259" xr:uid="{00000000-0005-0000-0000-0000A3000000}"/>
    <cellStyle name="Normal 10 2 2 4 5" xfId="2260" xr:uid="{00000000-0005-0000-0000-0000A4000000}"/>
    <cellStyle name="Normal 10 2 2 5" xfId="72" xr:uid="{00000000-0005-0000-0000-0000A5000000}"/>
    <cellStyle name="Normal 10 2 2 5 2" xfId="2261" xr:uid="{00000000-0005-0000-0000-0000A6000000}"/>
    <cellStyle name="Normal 10 2 2 5 2 2" xfId="2262" xr:uid="{00000000-0005-0000-0000-0000A7000000}"/>
    <cellStyle name="Normal 10 2 2 5 3" xfId="2263" xr:uid="{00000000-0005-0000-0000-0000A8000000}"/>
    <cellStyle name="Normal 10 2 2 5 4" xfId="2264" xr:uid="{00000000-0005-0000-0000-0000A9000000}"/>
    <cellStyle name="Normal 10 2 2 6" xfId="2265" xr:uid="{00000000-0005-0000-0000-0000AA000000}"/>
    <cellStyle name="Normal 10 2 2 6 2" xfId="2266" xr:uid="{00000000-0005-0000-0000-0000AB000000}"/>
    <cellStyle name="Normal 10 2 2 7" xfId="2267" xr:uid="{00000000-0005-0000-0000-0000AC000000}"/>
    <cellStyle name="Normal 10 2 2 8" xfId="2268" xr:uid="{00000000-0005-0000-0000-0000AD000000}"/>
    <cellStyle name="Normal 10 2 3" xfId="73" xr:uid="{00000000-0005-0000-0000-0000AE000000}"/>
    <cellStyle name="Normal 10 2 3 2" xfId="74" xr:uid="{00000000-0005-0000-0000-0000AF000000}"/>
    <cellStyle name="Normal 10 2 3 2 2" xfId="75" xr:uid="{00000000-0005-0000-0000-0000B0000000}"/>
    <cellStyle name="Normal 10 2 3 2 2 2" xfId="76" xr:uid="{00000000-0005-0000-0000-0000B1000000}"/>
    <cellStyle name="Normal 10 2 3 2 2 2 2" xfId="2269" xr:uid="{00000000-0005-0000-0000-0000B2000000}"/>
    <cellStyle name="Normal 10 2 3 2 2 2 2 2" xfId="2270" xr:uid="{00000000-0005-0000-0000-0000B3000000}"/>
    <cellStyle name="Normal 10 2 3 2 2 2 3" xfId="2271" xr:uid="{00000000-0005-0000-0000-0000B4000000}"/>
    <cellStyle name="Normal 10 2 3 2 2 2 4" xfId="2272" xr:uid="{00000000-0005-0000-0000-0000B5000000}"/>
    <cellStyle name="Normal 10 2 3 2 2 3" xfId="2273" xr:uid="{00000000-0005-0000-0000-0000B6000000}"/>
    <cellStyle name="Normal 10 2 3 2 2 3 2" xfId="2274" xr:uid="{00000000-0005-0000-0000-0000B7000000}"/>
    <cellStyle name="Normal 10 2 3 2 2 4" xfId="2275" xr:uid="{00000000-0005-0000-0000-0000B8000000}"/>
    <cellStyle name="Normal 10 2 3 2 2 5" xfId="2276" xr:uid="{00000000-0005-0000-0000-0000B9000000}"/>
    <cellStyle name="Normal 10 2 3 2 3" xfId="77" xr:uid="{00000000-0005-0000-0000-0000BA000000}"/>
    <cellStyle name="Normal 10 2 3 2 3 2" xfId="2277" xr:uid="{00000000-0005-0000-0000-0000BB000000}"/>
    <cellStyle name="Normal 10 2 3 2 3 2 2" xfId="2278" xr:uid="{00000000-0005-0000-0000-0000BC000000}"/>
    <cellStyle name="Normal 10 2 3 2 3 3" xfId="2279" xr:uid="{00000000-0005-0000-0000-0000BD000000}"/>
    <cellStyle name="Normal 10 2 3 2 3 4" xfId="2280" xr:uid="{00000000-0005-0000-0000-0000BE000000}"/>
    <cellStyle name="Normal 10 2 3 2 4" xfId="2281" xr:uid="{00000000-0005-0000-0000-0000BF000000}"/>
    <cellStyle name="Normal 10 2 3 2 4 2" xfId="2282" xr:uid="{00000000-0005-0000-0000-0000C0000000}"/>
    <cellStyle name="Normal 10 2 3 2 5" xfId="2283" xr:uid="{00000000-0005-0000-0000-0000C1000000}"/>
    <cellStyle name="Normal 10 2 3 2 6" xfId="2284" xr:uid="{00000000-0005-0000-0000-0000C2000000}"/>
    <cellStyle name="Normal 10 2 3 3" xfId="78" xr:uid="{00000000-0005-0000-0000-0000C3000000}"/>
    <cellStyle name="Normal 10 2 3 3 2" xfId="79" xr:uid="{00000000-0005-0000-0000-0000C4000000}"/>
    <cellStyle name="Normal 10 2 3 3 2 2" xfId="2285" xr:uid="{00000000-0005-0000-0000-0000C5000000}"/>
    <cellStyle name="Normal 10 2 3 3 2 2 2" xfId="2286" xr:uid="{00000000-0005-0000-0000-0000C6000000}"/>
    <cellStyle name="Normal 10 2 3 3 2 3" xfId="2287" xr:uid="{00000000-0005-0000-0000-0000C7000000}"/>
    <cellStyle name="Normal 10 2 3 3 2 4" xfId="2288" xr:uid="{00000000-0005-0000-0000-0000C8000000}"/>
    <cellStyle name="Normal 10 2 3 3 3" xfId="2289" xr:uid="{00000000-0005-0000-0000-0000C9000000}"/>
    <cellStyle name="Normal 10 2 3 3 3 2" xfId="2290" xr:uid="{00000000-0005-0000-0000-0000CA000000}"/>
    <cellStyle name="Normal 10 2 3 3 4" xfId="2291" xr:uid="{00000000-0005-0000-0000-0000CB000000}"/>
    <cellStyle name="Normal 10 2 3 3 5" xfId="2292" xr:uid="{00000000-0005-0000-0000-0000CC000000}"/>
    <cellStyle name="Normal 10 2 3 4" xfId="80" xr:uid="{00000000-0005-0000-0000-0000CD000000}"/>
    <cellStyle name="Normal 10 2 3 4 2" xfId="2293" xr:uid="{00000000-0005-0000-0000-0000CE000000}"/>
    <cellStyle name="Normal 10 2 3 4 2 2" xfId="2294" xr:uid="{00000000-0005-0000-0000-0000CF000000}"/>
    <cellStyle name="Normal 10 2 3 4 3" xfId="2295" xr:uid="{00000000-0005-0000-0000-0000D0000000}"/>
    <cellStyle name="Normal 10 2 3 4 4" xfId="2296" xr:uid="{00000000-0005-0000-0000-0000D1000000}"/>
    <cellStyle name="Normal 10 2 3 5" xfId="2297" xr:uid="{00000000-0005-0000-0000-0000D2000000}"/>
    <cellStyle name="Normal 10 2 3 5 2" xfId="2298" xr:uid="{00000000-0005-0000-0000-0000D3000000}"/>
    <cellStyle name="Normal 10 2 3 6" xfId="2299" xr:uid="{00000000-0005-0000-0000-0000D4000000}"/>
    <cellStyle name="Normal 10 2 3 7" xfId="2300" xr:uid="{00000000-0005-0000-0000-0000D5000000}"/>
    <cellStyle name="Normal 10 2 4" xfId="81" xr:uid="{00000000-0005-0000-0000-0000D6000000}"/>
    <cellStyle name="Normal 10 2 4 2" xfId="82" xr:uid="{00000000-0005-0000-0000-0000D7000000}"/>
    <cellStyle name="Normal 10 2 4 2 2" xfId="83" xr:uid="{00000000-0005-0000-0000-0000D8000000}"/>
    <cellStyle name="Normal 10 2 4 2 2 2" xfId="2301" xr:uid="{00000000-0005-0000-0000-0000D9000000}"/>
    <cellStyle name="Normal 10 2 4 2 2 2 2" xfId="2302" xr:uid="{00000000-0005-0000-0000-0000DA000000}"/>
    <cellStyle name="Normal 10 2 4 2 2 3" xfId="2303" xr:uid="{00000000-0005-0000-0000-0000DB000000}"/>
    <cellStyle name="Normal 10 2 4 2 2 4" xfId="2304" xr:uid="{00000000-0005-0000-0000-0000DC000000}"/>
    <cellStyle name="Normal 10 2 4 2 3" xfId="2305" xr:uid="{00000000-0005-0000-0000-0000DD000000}"/>
    <cellStyle name="Normal 10 2 4 2 3 2" xfId="2306" xr:uid="{00000000-0005-0000-0000-0000DE000000}"/>
    <cellStyle name="Normal 10 2 4 2 4" xfId="2307" xr:uid="{00000000-0005-0000-0000-0000DF000000}"/>
    <cellStyle name="Normal 10 2 4 2 5" xfId="2308" xr:uid="{00000000-0005-0000-0000-0000E0000000}"/>
    <cellStyle name="Normal 10 2 4 3" xfId="84" xr:uid="{00000000-0005-0000-0000-0000E1000000}"/>
    <cellStyle name="Normal 10 2 4 3 2" xfId="2309" xr:uid="{00000000-0005-0000-0000-0000E2000000}"/>
    <cellStyle name="Normal 10 2 4 3 2 2" xfId="2310" xr:uid="{00000000-0005-0000-0000-0000E3000000}"/>
    <cellStyle name="Normal 10 2 4 3 3" xfId="2311" xr:uid="{00000000-0005-0000-0000-0000E4000000}"/>
    <cellStyle name="Normal 10 2 4 3 4" xfId="2312" xr:uid="{00000000-0005-0000-0000-0000E5000000}"/>
    <cellStyle name="Normal 10 2 4 4" xfId="2313" xr:uid="{00000000-0005-0000-0000-0000E6000000}"/>
    <cellStyle name="Normal 10 2 4 4 2" xfId="2314" xr:uid="{00000000-0005-0000-0000-0000E7000000}"/>
    <cellStyle name="Normal 10 2 4 5" xfId="2315" xr:uid="{00000000-0005-0000-0000-0000E8000000}"/>
    <cellStyle name="Normal 10 2 4 6" xfId="2316" xr:uid="{00000000-0005-0000-0000-0000E9000000}"/>
    <cellStyle name="Normal 10 2 5" xfId="85" xr:uid="{00000000-0005-0000-0000-0000EA000000}"/>
    <cellStyle name="Normal 10 2 5 2" xfId="86" xr:uid="{00000000-0005-0000-0000-0000EB000000}"/>
    <cellStyle name="Normal 10 2 5 2 2" xfId="2317" xr:uid="{00000000-0005-0000-0000-0000EC000000}"/>
    <cellStyle name="Normal 10 2 5 2 2 2" xfId="2318" xr:uid="{00000000-0005-0000-0000-0000ED000000}"/>
    <cellStyle name="Normal 10 2 5 2 3" xfId="2319" xr:uid="{00000000-0005-0000-0000-0000EE000000}"/>
    <cellStyle name="Normal 10 2 5 2 4" xfId="2320" xr:uid="{00000000-0005-0000-0000-0000EF000000}"/>
    <cellStyle name="Normal 10 2 5 3" xfId="2321" xr:uid="{00000000-0005-0000-0000-0000F0000000}"/>
    <cellStyle name="Normal 10 2 5 3 2" xfId="2322" xr:uid="{00000000-0005-0000-0000-0000F1000000}"/>
    <cellStyle name="Normal 10 2 5 4" xfId="2323" xr:uid="{00000000-0005-0000-0000-0000F2000000}"/>
    <cellStyle name="Normal 10 2 5 5" xfId="2324" xr:uid="{00000000-0005-0000-0000-0000F3000000}"/>
    <cellStyle name="Normal 10 2 6" xfId="87" xr:uid="{00000000-0005-0000-0000-0000F4000000}"/>
    <cellStyle name="Normal 10 2 6 2" xfId="2325" xr:uid="{00000000-0005-0000-0000-0000F5000000}"/>
    <cellStyle name="Normal 10 2 6 2 2" xfId="2326" xr:uid="{00000000-0005-0000-0000-0000F6000000}"/>
    <cellStyle name="Normal 10 2 6 3" xfId="2327" xr:uid="{00000000-0005-0000-0000-0000F7000000}"/>
    <cellStyle name="Normal 10 2 6 4" xfId="2328" xr:uid="{00000000-0005-0000-0000-0000F8000000}"/>
    <cellStyle name="Normal 10 2 7" xfId="2329" xr:uid="{00000000-0005-0000-0000-0000F9000000}"/>
    <cellStyle name="Normal 10 2 7 2" xfId="2330" xr:uid="{00000000-0005-0000-0000-0000FA000000}"/>
    <cellStyle name="Normal 10 2 8" xfId="2331" xr:uid="{00000000-0005-0000-0000-0000FB000000}"/>
    <cellStyle name="Normal 10 2 9" xfId="2332" xr:uid="{00000000-0005-0000-0000-0000FC000000}"/>
    <cellStyle name="Normal 10 28" xfId="2333" xr:uid="{00000000-0005-0000-0000-0000FD000000}"/>
    <cellStyle name="Normal 10 3" xfId="88" xr:uid="{00000000-0005-0000-0000-0000FE000000}"/>
    <cellStyle name="Normal 10 3 2" xfId="89" xr:uid="{00000000-0005-0000-0000-0000FF000000}"/>
    <cellStyle name="Normal 10 3 2 2" xfId="90" xr:uid="{00000000-0005-0000-0000-000000010000}"/>
    <cellStyle name="Normal 10 3 2 2 2" xfId="91" xr:uid="{00000000-0005-0000-0000-000001010000}"/>
    <cellStyle name="Normal 10 3 2 2 2 2" xfId="92" xr:uid="{00000000-0005-0000-0000-000002010000}"/>
    <cellStyle name="Normal 10 3 2 2 2 2 2" xfId="93" xr:uid="{00000000-0005-0000-0000-000003010000}"/>
    <cellStyle name="Normal 10 3 2 2 2 2 2 2" xfId="2334" xr:uid="{00000000-0005-0000-0000-000004010000}"/>
    <cellStyle name="Normal 10 3 2 2 2 2 2 2 2" xfId="2335" xr:uid="{00000000-0005-0000-0000-000005010000}"/>
    <cellStyle name="Normal 10 3 2 2 2 2 2 3" xfId="2336" xr:uid="{00000000-0005-0000-0000-000006010000}"/>
    <cellStyle name="Normal 10 3 2 2 2 2 2 4" xfId="2337" xr:uid="{00000000-0005-0000-0000-000007010000}"/>
    <cellStyle name="Normal 10 3 2 2 2 2 3" xfId="2338" xr:uid="{00000000-0005-0000-0000-000008010000}"/>
    <cellStyle name="Normal 10 3 2 2 2 2 3 2" xfId="2339" xr:uid="{00000000-0005-0000-0000-000009010000}"/>
    <cellStyle name="Normal 10 3 2 2 2 2 4" xfId="2340" xr:uid="{00000000-0005-0000-0000-00000A010000}"/>
    <cellStyle name="Normal 10 3 2 2 2 2 5" xfId="2341" xr:uid="{00000000-0005-0000-0000-00000B010000}"/>
    <cellStyle name="Normal 10 3 2 2 2 3" xfId="94" xr:uid="{00000000-0005-0000-0000-00000C010000}"/>
    <cellStyle name="Normal 10 3 2 2 2 3 2" xfId="2342" xr:uid="{00000000-0005-0000-0000-00000D010000}"/>
    <cellStyle name="Normal 10 3 2 2 2 3 2 2" xfId="2343" xr:uid="{00000000-0005-0000-0000-00000E010000}"/>
    <cellStyle name="Normal 10 3 2 2 2 3 3" xfId="2344" xr:uid="{00000000-0005-0000-0000-00000F010000}"/>
    <cellStyle name="Normal 10 3 2 2 2 3 4" xfId="2345" xr:uid="{00000000-0005-0000-0000-000010010000}"/>
    <cellStyle name="Normal 10 3 2 2 2 4" xfId="2346" xr:uid="{00000000-0005-0000-0000-000011010000}"/>
    <cellStyle name="Normal 10 3 2 2 2 4 2" xfId="2347" xr:uid="{00000000-0005-0000-0000-000012010000}"/>
    <cellStyle name="Normal 10 3 2 2 2 5" xfId="2348" xr:uid="{00000000-0005-0000-0000-000013010000}"/>
    <cellStyle name="Normal 10 3 2 2 2 6" xfId="2349" xr:uid="{00000000-0005-0000-0000-000014010000}"/>
    <cellStyle name="Normal 10 3 2 2 3" xfId="95" xr:uid="{00000000-0005-0000-0000-000015010000}"/>
    <cellStyle name="Normal 10 3 2 2 3 2" xfId="96" xr:uid="{00000000-0005-0000-0000-000016010000}"/>
    <cellStyle name="Normal 10 3 2 2 3 2 2" xfId="2350" xr:uid="{00000000-0005-0000-0000-000017010000}"/>
    <cellStyle name="Normal 10 3 2 2 3 2 2 2" xfId="2351" xr:uid="{00000000-0005-0000-0000-000018010000}"/>
    <cellStyle name="Normal 10 3 2 2 3 2 3" xfId="2352" xr:uid="{00000000-0005-0000-0000-000019010000}"/>
    <cellStyle name="Normal 10 3 2 2 3 2 4" xfId="2353" xr:uid="{00000000-0005-0000-0000-00001A010000}"/>
    <cellStyle name="Normal 10 3 2 2 3 3" xfId="2354" xr:uid="{00000000-0005-0000-0000-00001B010000}"/>
    <cellStyle name="Normal 10 3 2 2 3 3 2" xfId="2355" xr:uid="{00000000-0005-0000-0000-00001C010000}"/>
    <cellStyle name="Normal 10 3 2 2 3 4" xfId="2356" xr:uid="{00000000-0005-0000-0000-00001D010000}"/>
    <cellStyle name="Normal 10 3 2 2 3 5" xfId="2357" xr:uid="{00000000-0005-0000-0000-00001E010000}"/>
    <cellStyle name="Normal 10 3 2 2 4" xfId="97" xr:uid="{00000000-0005-0000-0000-00001F010000}"/>
    <cellStyle name="Normal 10 3 2 2 4 2" xfId="2358" xr:uid="{00000000-0005-0000-0000-000020010000}"/>
    <cellStyle name="Normal 10 3 2 2 4 2 2" xfId="2359" xr:uid="{00000000-0005-0000-0000-000021010000}"/>
    <cellStyle name="Normal 10 3 2 2 4 3" xfId="2360" xr:uid="{00000000-0005-0000-0000-000022010000}"/>
    <cellStyle name="Normal 10 3 2 2 4 4" xfId="2361" xr:uid="{00000000-0005-0000-0000-000023010000}"/>
    <cellStyle name="Normal 10 3 2 2 5" xfId="2362" xr:uid="{00000000-0005-0000-0000-000024010000}"/>
    <cellStyle name="Normal 10 3 2 2 5 2" xfId="2363" xr:uid="{00000000-0005-0000-0000-000025010000}"/>
    <cellStyle name="Normal 10 3 2 2 6" xfId="2364" xr:uid="{00000000-0005-0000-0000-000026010000}"/>
    <cellStyle name="Normal 10 3 2 2 7" xfId="2365" xr:uid="{00000000-0005-0000-0000-000027010000}"/>
    <cellStyle name="Normal 10 3 2 3" xfId="98" xr:uid="{00000000-0005-0000-0000-000028010000}"/>
    <cellStyle name="Normal 10 3 2 3 2" xfId="99" xr:uid="{00000000-0005-0000-0000-000029010000}"/>
    <cellStyle name="Normal 10 3 2 3 2 2" xfId="100" xr:uid="{00000000-0005-0000-0000-00002A010000}"/>
    <cellStyle name="Normal 10 3 2 3 2 2 2" xfId="2366" xr:uid="{00000000-0005-0000-0000-00002B010000}"/>
    <cellStyle name="Normal 10 3 2 3 2 2 2 2" xfId="2367" xr:uid="{00000000-0005-0000-0000-00002C010000}"/>
    <cellStyle name="Normal 10 3 2 3 2 2 3" xfId="2368" xr:uid="{00000000-0005-0000-0000-00002D010000}"/>
    <cellStyle name="Normal 10 3 2 3 2 2 4" xfId="2369" xr:uid="{00000000-0005-0000-0000-00002E010000}"/>
    <cellStyle name="Normal 10 3 2 3 2 3" xfId="2370" xr:uid="{00000000-0005-0000-0000-00002F010000}"/>
    <cellStyle name="Normal 10 3 2 3 2 3 2" xfId="2371" xr:uid="{00000000-0005-0000-0000-000030010000}"/>
    <cellStyle name="Normal 10 3 2 3 2 4" xfId="2372" xr:uid="{00000000-0005-0000-0000-000031010000}"/>
    <cellStyle name="Normal 10 3 2 3 2 5" xfId="2373" xr:uid="{00000000-0005-0000-0000-000032010000}"/>
    <cellStyle name="Normal 10 3 2 3 3" xfId="101" xr:uid="{00000000-0005-0000-0000-000033010000}"/>
    <cellStyle name="Normal 10 3 2 3 3 2" xfId="2374" xr:uid="{00000000-0005-0000-0000-000034010000}"/>
    <cellStyle name="Normal 10 3 2 3 3 2 2" xfId="2375" xr:uid="{00000000-0005-0000-0000-000035010000}"/>
    <cellStyle name="Normal 10 3 2 3 3 3" xfId="2376" xr:uid="{00000000-0005-0000-0000-000036010000}"/>
    <cellStyle name="Normal 10 3 2 3 3 4" xfId="2377" xr:uid="{00000000-0005-0000-0000-000037010000}"/>
    <cellStyle name="Normal 10 3 2 3 4" xfId="2378" xr:uid="{00000000-0005-0000-0000-000038010000}"/>
    <cellStyle name="Normal 10 3 2 3 4 2" xfId="2379" xr:uid="{00000000-0005-0000-0000-000039010000}"/>
    <cellStyle name="Normal 10 3 2 3 5" xfId="2380" xr:uid="{00000000-0005-0000-0000-00003A010000}"/>
    <cellStyle name="Normal 10 3 2 3 6" xfId="2381" xr:uid="{00000000-0005-0000-0000-00003B010000}"/>
    <cellStyle name="Normal 10 3 2 4" xfId="102" xr:uid="{00000000-0005-0000-0000-00003C010000}"/>
    <cellStyle name="Normal 10 3 2 4 2" xfId="103" xr:uid="{00000000-0005-0000-0000-00003D010000}"/>
    <cellStyle name="Normal 10 3 2 4 2 2" xfId="2382" xr:uid="{00000000-0005-0000-0000-00003E010000}"/>
    <cellStyle name="Normal 10 3 2 4 2 2 2" xfId="2383" xr:uid="{00000000-0005-0000-0000-00003F010000}"/>
    <cellStyle name="Normal 10 3 2 4 2 3" xfId="2384" xr:uid="{00000000-0005-0000-0000-000040010000}"/>
    <cellStyle name="Normal 10 3 2 4 2 4" xfId="2385" xr:uid="{00000000-0005-0000-0000-000041010000}"/>
    <cellStyle name="Normal 10 3 2 4 3" xfId="2386" xr:uid="{00000000-0005-0000-0000-000042010000}"/>
    <cellStyle name="Normal 10 3 2 4 3 2" xfId="2387" xr:uid="{00000000-0005-0000-0000-000043010000}"/>
    <cellStyle name="Normal 10 3 2 4 4" xfId="2388" xr:uid="{00000000-0005-0000-0000-000044010000}"/>
    <cellStyle name="Normal 10 3 2 4 5" xfId="2389" xr:uid="{00000000-0005-0000-0000-000045010000}"/>
    <cellStyle name="Normal 10 3 2 5" xfId="104" xr:uid="{00000000-0005-0000-0000-000046010000}"/>
    <cellStyle name="Normal 10 3 2 5 2" xfId="2390" xr:uid="{00000000-0005-0000-0000-000047010000}"/>
    <cellStyle name="Normal 10 3 2 5 2 2" xfId="2391" xr:uid="{00000000-0005-0000-0000-000048010000}"/>
    <cellStyle name="Normal 10 3 2 5 3" xfId="2392" xr:uid="{00000000-0005-0000-0000-000049010000}"/>
    <cellStyle name="Normal 10 3 2 5 4" xfId="2393" xr:uid="{00000000-0005-0000-0000-00004A010000}"/>
    <cellStyle name="Normal 10 3 2 6" xfId="2394" xr:uid="{00000000-0005-0000-0000-00004B010000}"/>
    <cellStyle name="Normal 10 3 2 6 2" xfId="2395" xr:uid="{00000000-0005-0000-0000-00004C010000}"/>
    <cellStyle name="Normal 10 3 2 7" xfId="2396" xr:uid="{00000000-0005-0000-0000-00004D010000}"/>
    <cellStyle name="Normal 10 3 2 8" xfId="2397" xr:uid="{00000000-0005-0000-0000-00004E010000}"/>
    <cellStyle name="Normal 10 3 3" xfId="105" xr:uid="{00000000-0005-0000-0000-00004F010000}"/>
    <cellStyle name="Normal 10 3 3 2" xfId="106" xr:uid="{00000000-0005-0000-0000-000050010000}"/>
    <cellStyle name="Normal 10 3 3 2 2" xfId="107" xr:uid="{00000000-0005-0000-0000-000051010000}"/>
    <cellStyle name="Normal 10 3 3 2 2 2" xfId="108" xr:uid="{00000000-0005-0000-0000-000052010000}"/>
    <cellStyle name="Normal 10 3 3 2 2 2 2" xfId="2398" xr:uid="{00000000-0005-0000-0000-000053010000}"/>
    <cellStyle name="Normal 10 3 3 2 2 2 2 2" xfId="2399" xr:uid="{00000000-0005-0000-0000-000054010000}"/>
    <cellStyle name="Normal 10 3 3 2 2 2 3" xfId="2400" xr:uid="{00000000-0005-0000-0000-000055010000}"/>
    <cellStyle name="Normal 10 3 3 2 2 2 4" xfId="2401" xr:uid="{00000000-0005-0000-0000-000056010000}"/>
    <cellStyle name="Normal 10 3 3 2 2 3" xfId="2402" xr:uid="{00000000-0005-0000-0000-000057010000}"/>
    <cellStyle name="Normal 10 3 3 2 2 3 2" xfId="2403" xr:uid="{00000000-0005-0000-0000-000058010000}"/>
    <cellStyle name="Normal 10 3 3 2 2 4" xfId="2404" xr:uid="{00000000-0005-0000-0000-000059010000}"/>
    <cellStyle name="Normal 10 3 3 2 2 5" xfId="2405" xr:uid="{00000000-0005-0000-0000-00005A010000}"/>
    <cellStyle name="Normal 10 3 3 2 3" xfId="109" xr:uid="{00000000-0005-0000-0000-00005B010000}"/>
    <cellStyle name="Normal 10 3 3 2 3 2" xfId="2406" xr:uid="{00000000-0005-0000-0000-00005C010000}"/>
    <cellStyle name="Normal 10 3 3 2 3 2 2" xfId="2407" xr:uid="{00000000-0005-0000-0000-00005D010000}"/>
    <cellStyle name="Normal 10 3 3 2 3 3" xfId="2408" xr:uid="{00000000-0005-0000-0000-00005E010000}"/>
    <cellStyle name="Normal 10 3 3 2 3 4" xfId="2409" xr:uid="{00000000-0005-0000-0000-00005F010000}"/>
    <cellStyle name="Normal 10 3 3 2 4" xfId="2410" xr:uid="{00000000-0005-0000-0000-000060010000}"/>
    <cellStyle name="Normal 10 3 3 2 4 2" xfId="2411" xr:uid="{00000000-0005-0000-0000-000061010000}"/>
    <cellStyle name="Normal 10 3 3 2 5" xfId="2412" xr:uid="{00000000-0005-0000-0000-000062010000}"/>
    <cellStyle name="Normal 10 3 3 2 6" xfId="2413" xr:uid="{00000000-0005-0000-0000-000063010000}"/>
    <cellStyle name="Normal 10 3 3 3" xfId="110" xr:uid="{00000000-0005-0000-0000-000064010000}"/>
    <cellStyle name="Normal 10 3 3 3 2" xfId="111" xr:uid="{00000000-0005-0000-0000-000065010000}"/>
    <cellStyle name="Normal 10 3 3 3 2 2" xfId="2414" xr:uid="{00000000-0005-0000-0000-000066010000}"/>
    <cellStyle name="Normal 10 3 3 3 2 2 2" xfId="2415" xr:uid="{00000000-0005-0000-0000-000067010000}"/>
    <cellStyle name="Normal 10 3 3 3 2 3" xfId="2416" xr:uid="{00000000-0005-0000-0000-000068010000}"/>
    <cellStyle name="Normal 10 3 3 3 2 4" xfId="2417" xr:uid="{00000000-0005-0000-0000-000069010000}"/>
    <cellStyle name="Normal 10 3 3 3 3" xfId="2418" xr:uid="{00000000-0005-0000-0000-00006A010000}"/>
    <cellStyle name="Normal 10 3 3 3 3 2" xfId="2419" xr:uid="{00000000-0005-0000-0000-00006B010000}"/>
    <cellStyle name="Normal 10 3 3 3 4" xfId="2420" xr:uid="{00000000-0005-0000-0000-00006C010000}"/>
    <cellStyle name="Normal 10 3 3 3 5" xfId="2421" xr:uid="{00000000-0005-0000-0000-00006D010000}"/>
    <cellStyle name="Normal 10 3 3 4" xfId="112" xr:uid="{00000000-0005-0000-0000-00006E010000}"/>
    <cellStyle name="Normal 10 3 3 4 2" xfId="2422" xr:uid="{00000000-0005-0000-0000-00006F010000}"/>
    <cellStyle name="Normal 10 3 3 4 2 2" xfId="2423" xr:uid="{00000000-0005-0000-0000-000070010000}"/>
    <cellStyle name="Normal 10 3 3 4 3" xfId="2424" xr:uid="{00000000-0005-0000-0000-000071010000}"/>
    <cellStyle name="Normal 10 3 3 4 4" xfId="2425" xr:uid="{00000000-0005-0000-0000-000072010000}"/>
    <cellStyle name="Normal 10 3 3 5" xfId="2426" xr:uid="{00000000-0005-0000-0000-000073010000}"/>
    <cellStyle name="Normal 10 3 3 5 2" xfId="2427" xr:uid="{00000000-0005-0000-0000-000074010000}"/>
    <cellStyle name="Normal 10 3 3 6" xfId="2428" xr:uid="{00000000-0005-0000-0000-000075010000}"/>
    <cellStyle name="Normal 10 3 3 7" xfId="2429" xr:uid="{00000000-0005-0000-0000-000076010000}"/>
    <cellStyle name="Normal 10 3 4" xfId="113" xr:uid="{00000000-0005-0000-0000-000077010000}"/>
    <cellStyle name="Normal 10 3 4 2" xfId="114" xr:uid="{00000000-0005-0000-0000-000078010000}"/>
    <cellStyle name="Normal 10 3 4 2 2" xfId="115" xr:uid="{00000000-0005-0000-0000-000079010000}"/>
    <cellStyle name="Normal 10 3 4 2 2 2" xfId="2430" xr:uid="{00000000-0005-0000-0000-00007A010000}"/>
    <cellStyle name="Normal 10 3 4 2 2 2 2" xfId="2431" xr:uid="{00000000-0005-0000-0000-00007B010000}"/>
    <cellStyle name="Normal 10 3 4 2 2 3" xfId="2432" xr:uid="{00000000-0005-0000-0000-00007C010000}"/>
    <cellStyle name="Normal 10 3 4 2 2 4" xfId="2433" xr:uid="{00000000-0005-0000-0000-00007D010000}"/>
    <cellStyle name="Normal 10 3 4 2 3" xfId="2434" xr:uid="{00000000-0005-0000-0000-00007E010000}"/>
    <cellStyle name="Normal 10 3 4 2 3 2" xfId="2435" xr:uid="{00000000-0005-0000-0000-00007F010000}"/>
    <cellStyle name="Normal 10 3 4 2 4" xfId="2436" xr:uid="{00000000-0005-0000-0000-000080010000}"/>
    <cellStyle name="Normal 10 3 4 2 5" xfId="2437" xr:uid="{00000000-0005-0000-0000-000081010000}"/>
    <cellStyle name="Normal 10 3 4 3" xfId="116" xr:uid="{00000000-0005-0000-0000-000082010000}"/>
    <cellStyle name="Normal 10 3 4 3 2" xfId="2438" xr:uid="{00000000-0005-0000-0000-000083010000}"/>
    <cellStyle name="Normal 10 3 4 3 2 2" xfId="2439" xr:uid="{00000000-0005-0000-0000-000084010000}"/>
    <cellStyle name="Normal 10 3 4 3 3" xfId="2440" xr:uid="{00000000-0005-0000-0000-000085010000}"/>
    <cellStyle name="Normal 10 3 4 3 4" xfId="2441" xr:uid="{00000000-0005-0000-0000-000086010000}"/>
    <cellStyle name="Normal 10 3 4 4" xfId="2442" xr:uid="{00000000-0005-0000-0000-000087010000}"/>
    <cellStyle name="Normal 10 3 4 4 2" xfId="2443" xr:uid="{00000000-0005-0000-0000-000088010000}"/>
    <cellStyle name="Normal 10 3 4 5" xfId="2444" xr:uid="{00000000-0005-0000-0000-000089010000}"/>
    <cellStyle name="Normal 10 3 4 6" xfId="2445" xr:uid="{00000000-0005-0000-0000-00008A010000}"/>
    <cellStyle name="Normal 10 3 5" xfId="117" xr:uid="{00000000-0005-0000-0000-00008B010000}"/>
    <cellStyle name="Normal 10 3 5 2" xfId="118" xr:uid="{00000000-0005-0000-0000-00008C010000}"/>
    <cellStyle name="Normal 10 3 5 2 2" xfId="2446" xr:uid="{00000000-0005-0000-0000-00008D010000}"/>
    <cellStyle name="Normal 10 3 5 2 2 2" xfId="2447" xr:uid="{00000000-0005-0000-0000-00008E010000}"/>
    <cellStyle name="Normal 10 3 5 2 3" xfId="2448" xr:uid="{00000000-0005-0000-0000-00008F010000}"/>
    <cellStyle name="Normal 10 3 5 2 4" xfId="2449" xr:uid="{00000000-0005-0000-0000-000090010000}"/>
    <cellStyle name="Normal 10 3 5 3" xfId="2450" xr:uid="{00000000-0005-0000-0000-000091010000}"/>
    <cellStyle name="Normal 10 3 5 3 2" xfId="2451" xr:uid="{00000000-0005-0000-0000-000092010000}"/>
    <cellStyle name="Normal 10 3 5 4" xfId="2452" xr:uid="{00000000-0005-0000-0000-000093010000}"/>
    <cellStyle name="Normal 10 3 5 5" xfId="2453" xr:uid="{00000000-0005-0000-0000-000094010000}"/>
    <cellStyle name="Normal 10 3 6" xfId="119" xr:uid="{00000000-0005-0000-0000-000095010000}"/>
    <cellStyle name="Normal 10 3 6 2" xfId="2454" xr:uid="{00000000-0005-0000-0000-000096010000}"/>
    <cellStyle name="Normal 10 3 6 2 2" xfId="2455" xr:uid="{00000000-0005-0000-0000-000097010000}"/>
    <cellStyle name="Normal 10 3 6 3" xfId="2456" xr:uid="{00000000-0005-0000-0000-000098010000}"/>
    <cellStyle name="Normal 10 3 6 4" xfId="2457" xr:uid="{00000000-0005-0000-0000-000099010000}"/>
    <cellStyle name="Normal 10 3 7" xfId="2458" xr:uid="{00000000-0005-0000-0000-00009A010000}"/>
    <cellStyle name="Normal 10 3 7 2" xfId="2459" xr:uid="{00000000-0005-0000-0000-00009B010000}"/>
    <cellStyle name="Normal 10 3 8" xfId="2460" xr:uid="{00000000-0005-0000-0000-00009C010000}"/>
    <cellStyle name="Normal 10 3 9" xfId="2461" xr:uid="{00000000-0005-0000-0000-00009D010000}"/>
    <cellStyle name="Normal 10 4" xfId="120" xr:uid="{00000000-0005-0000-0000-00009E010000}"/>
    <cellStyle name="Normal 10 4 2" xfId="121" xr:uid="{00000000-0005-0000-0000-00009F010000}"/>
    <cellStyle name="Normal 10 4 2 2" xfId="122" xr:uid="{00000000-0005-0000-0000-0000A0010000}"/>
    <cellStyle name="Normal 10 4 2 2 2" xfId="123" xr:uid="{00000000-0005-0000-0000-0000A1010000}"/>
    <cellStyle name="Normal 10 4 2 2 2 2" xfId="124" xr:uid="{00000000-0005-0000-0000-0000A2010000}"/>
    <cellStyle name="Normal 10 4 2 2 2 2 2" xfId="2462" xr:uid="{00000000-0005-0000-0000-0000A3010000}"/>
    <cellStyle name="Normal 10 4 2 2 2 2 2 2" xfId="2463" xr:uid="{00000000-0005-0000-0000-0000A4010000}"/>
    <cellStyle name="Normal 10 4 2 2 2 2 3" xfId="2464" xr:uid="{00000000-0005-0000-0000-0000A5010000}"/>
    <cellStyle name="Normal 10 4 2 2 2 2 4" xfId="2465" xr:uid="{00000000-0005-0000-0000-0000A6010000}"/>
    <cellStyle name="Normal 10 4 2 2 2 3" xfId="2466" xr:uid="{00000000-0005-0000-0000-0000A7010000}"/>
    <cellStyle name="Normal 10 4 2 2 2 3 2" xfId="2467" xr:uid="{00000000-0005-0000-0000-0000A8010000}"/>
    <cellStyle name="Normal 10 4 2 2 2 4" xfId="2468" xr:uid="{00000000-0005-0000-0000-0000A9010000}"/>
    <cellStyle name="Normal 10 4 2 2 2 5" xfId="2469" xr:uid="{00000000-0005-0000-0000-0000AA010000}"/>
    <cellStyle name="Normal 10 4 2 2 3" xfId="125" xr:uid="{00000000-0005-0000-0000-0000AB010000}"/>
    <cellStyle name="Normal 10 4 2 2 3 2" xfId="2470" xr:uid="{00000000-0005-0000-0000-0000AC010000}"/>
    <cellStyle name="Normal 10 4 2 2 3 2 2" xfId="2471" xr:uid="{00000000-0005-0000-0000-0000AD010000}"/>
    <cellStyle name="Normal 10 4 2 2 3 3" xfId="2472" xr:uid="{00000000-0005-0000-0000-0000AE010000}"/>
    <cellStyle name="Normal 10 4 2 2 3 4" xfId="2473" xr:uid="{00000000-0005-0000-0000-0000AF010000}"/>
    <cellStyle name="Normal 10 4 2 2 4" xfId="2474" xr:uid="{00000000-0005-0000-0000-0000B0010000}"/>
    <cellStyle name="Normal 10 4 2 2 4 2" xfId="2475" xr:uid="{00000000-0005-0000-0000-0000B1010000}"/>
    <cellStyle name="Normal 10 4 2 2 5" xfId="2476" xr:uid="{00000000-0005-0000-0000-0000B2010000}"/>
    <cellStyle name="Normal 10 4 2 2 6" xfId="2477" xr:uid="{00000000-0005-0000-0000-0000B3010000}"/>
    <cellStyle name="Normal 10 4 2 3" xfId="126" xr:uid="{00000000-0005-0000-0000-0000B4010000}"/>
    <cellStyle name="Normal 10 4 2 3 2" xfId="127" xr:uid="{00000000-0005-0000-0000-0000B5010000}"/>
    <cellStyle name="Normal 10 4 2 3 2 2" xfId="2478" xr:uid="{00000000-0005-0000-0000-0000B6010000}"/>
    <cellStyle name="Normal 10 4 2 3 2 2 2" xfId="2479" xr:uid="{00000000-0005-0000-0000-0000B7010000}"/>
    <cellStyle name="Normal 10 4 2 3 2 3" xfId="2480" xr:uid="{00000000-0005-0000-0000-0000B8010000}"/>
    <cellStyle name="Normal 10 4 2 3 2 4" xfId="2481" xr:uid="{00000000-0005-0000-0000-0000B9010000}"/>
    <cellStyle name="Normal 10 4 2 3 3" xfId="2482" xr:uid="{00000000-0005-0000-0000-0000BA010000}"/>
    <cellStyle name="Normal 10 4 2 3 3 2" xfId="2483" xr:uid="{00000000-0005-0000-0000-0000BB010000}"/>
    <cellStyle name="Normal 10 4 2 3 4" xfId="2484" xr:uid="{00000000-0005-0000-0000-0000BC010000}"/>
    <cellStyle name="Normal 10 4 2 3 5" xfId="2485" xr:uid="{00000000-0005-0000-0000-0000BD010000}"/>
    <cellStyle name="Normal 10 4 2 4" xfId="128" xr:uid="{00000000-0005-0000-0000-0000BE010000}"/>
    <cellStyle name="Normal 10 4 2 4 2" xfId="2486" xr:uid="{00000000-0005-0000-0000-0000BF010000}"/>
    <cellStyle name="Normal 10 4 2 4 2 2" xfId="2487" xr:uid="{00000000-0005-0000-0000-0000C0010000}"/>
    <cellStyle name="Normal 10 4 2 4 3" xfId="2488" xr:uid="{00000000-0005-0000-0000-0000C1010000}"/>
    <cellStyle name="Normal 10 4 2 4 4" xfId="2489" xr:uid="{00000000-0005-0000-0000-0000C2010000}"/>
    <cellStyle name="Normal 10 4 2 5" xfId="2490" xr:uid="{00000000-0005-0000-0000-0000C3010000}"/>
    <cellStyle name="Normal 10 4 2 5 2" xfId="2491" xr:uid="{00000000-0005-0000-0000-0000C4010000}"/>
    <cellStyle name="Normal 10 4 2 6" xfId="2492" xr:uid="{00000000-0005-0000-0000-0000C5010000}"/>
    <cellStyle name="Normal 10 4 2 7" xfId="2493" xr:uid="{00000000-0005-0000-0000-0000C6010000}"/>
    <cellStyle name="Normal 10 4 3" xfId="129" xr:uid="{00000000-0005-0000-0000-0000C7010000}"/>
    <cellStyle name="Normal 10 4 3 2" xfId="130" xr:uid="{00000000-0005-0000-0000-0000C8010000}"/>
    <cellStyle name="Normal 10 4 3 2 2" xfId="131" xr:uid="{00000000-0005-0000-0000-0000C9010000}"/>
    <cellStyle name="Normal 10 4 3 2 2 2" xfId="2494" xr:uid="{00000000-0005-0000-0000-0000CA010000}"/>
    <cellStyle name="Normal 10 4 3 2 2 2 2" xfId="2495" xr:uid="{00000000-0005-0000-0000-0000CB010000}"/>
    <cellStyle name="Normal 10 4 3 2 2 3" xfId="2496" xr:uid="{00000000-0005-0000-0000-0000CC010000}"/>
    <cellStyle name="Normal 10 4 3 2 2 4" xfId="2497" xr:uid="{00000000-0005-0000-0000-0000CD010000}"/>
    <cellStyle name="Normal 10 4 3 2 3" xfId="2498" xr:uid="{00000000-0005-0000-0000-0000CE010000}"/>
    <cellStyle name="Normal 10 4 3 2 3 2" xfId="2499" xr:uid="{00000000-0005-0000-0000-0000CF010000}"/>
    <cellStyle name="Normal 10 4 3 2 4" xfId="2500" xr:uid="{00000000-0005-0000-0000-0000D0010000}"/>
    <cellStyle name="Normal 10 4 3 2 5" xfId="2501" xr:uid="{00000000-0005-0000-0000-0000D1010000}"/>
    <cellStyle name="Normal 10 4 3 3" xfId="132" xr:uid="{00000000-0005-0000-0000-0000D2010000}"/>
    <cellStyle name="Normal 10 4 3 3 2" xfId="2502" xr:uid="{00000000-0005-0000-0000-0000D3010000}"/>
    <cellStyle name="Normal 10 4 3 3 2 2" xfId="2503" xr:uid="{00000000-0005-0000-0000-0000D4010000}"/>
    <cellStyle name="Normal 10 4 3 3 3" xfId="2504" xr:uid="{00000000-0005-0000-0000-0000D5010000}"/>
    <cellStyle name="Normal 10 4 3 3 4" xfId="2505" xr:uid="{00000000-0005-0000-0000-0000D6010000}"/>
    <cellStyle name="Normal 10 4 3 4" xfId="2506" xr:uid="{00000000-0005-0000-0000-0000D7010000}"/>
    <cellStyle name="Normal 10 4 3 4 2" xfId="2507" xr:uid="{00000000-0005-0000-0000-0000D8010000}"/>
    <cellStyle name="Normal 10 4 3 5" xfId="2508" xr:uid="{00000000-0005-0000-0000-0000D9010000}"/>
    <cellStyle name="Normal 10 4 3 6" xfId="2509" xr:uid="{00000000-0005-0000-0000-0000DA010000}"/>
    <cellStyle name="Normal 10 4 4" xfId="133" xr:uid="{00000000-0005-0000-0000-0000DB010000}"/>
    <cellStyle name="Normal 10 4 4 2" xfId="134" xr:uid="{00000000-0005-0000-0000-0000DC010000}"/>
    <cellStyle name="Normal 10 4 4 2 2" xfId="2510" xr:uid="{00000000-0005-0000-0000-0000DD010000}"/>
    <cellStyle name="Normal 10 4 4 2 2 2" xfId="2511" xr:uid="{00000000-0005-0000-0000-0000DE010000}"/>
    <cellStyle name="Normal 10 4 4 2 3" xfId="2512" xr:uid="{00000000-0005-0000-0000-0000DF010000}"/>
    <cellStyle name="Normal 10 4 4 2 4" xfId="2513" xr:uid="{00000000-0005-0000-0000-0000E0010000}"/>
    <cellStyle name="Normal 10 4 4 3" xfId="2514" xr:uid="{00000000-0005-0000-0000-0000E1010000}"/>
    <cellStyle name="Normal 10 4 4 3 2" xfId="2515" xr:uid="{00000000-0005-0000-0000-0000E2010000}"/>
    <cellStyle name="Normal 10 4 4 4" xfId="2516" xr:uid="{00000000-0005-0000-0000-0000E3010000}"/>
    <cellStyle name="Normal 10 4 4 5" xfId="2517" xr:uid="{00000000-0005-0000-0000-0000E4010000}"/>
    <cellStyle name="Normal 10 4 5" xfId="135" xr:uid="{00000000-0005-0000-0000-0000E5010000}"/>
    <cellStyle name="Normal 10 4 5 2" xfId="2518" xr:uid="{00000000-0005-0000-0000-0000E6010000}"/>
    <cellStyle name="Normal 10 4 5 2 2" xfId="2519" xr:uid="{00000000-0005-0000-0000-0000E7010000}"/>
    <cellStyle name="Normal 10 4 5 3" xfId="2520" xr:uid="{00000000-0005-0000-0000-0000E8010000}"/>
    <cellStyle name="Normal 10 4 5 4" xfId="2521" xr:uid="{00000000-0005-0000-0000-0000E9010000}"/>
    <cellStyle name="Normal 10 4 6" xfId="2522" xr:uid="{00000000-0005-0000-0000-0000EA010000}"/>
    <cellStyle name="Normal 10 4 6 2" xfId="2523" xr:uid="{00000000-0005-0000-0000-0000EB010000}"/>
    <cellStyle name="Normal 10 4 7" xfId="2524" xr:uid="{00000000-0005-0000-0000-0000EC010000}"/>
    <cellStyle name="Normal 10 4 8" xfId="2525" xr:uid="{00000000-0005-0000-0000-0000ED010000}"/>
    <cellStyle name="Normal 10 5" xfId="136" xr:uid="{00000000-0005-0000-0000-0000EE010000}"/>
    <cellStyle name="Normal 10 5 2" xfId="137" xr:uid="{00000000-0005-0000-0000-0000EF010000}"/>
    <cellStyle name="Normal 10 5 2 2" xfId="138" xr:uid="{00000000-0005-0000-0000-0000F0010000}"/>
    <cellStyle name="Normal 10 5 2 2 2" xfId="139" xr:uid="{00000000-0005-0000-0000-0000F1010000}"/>
    <cellStyle name="Normal 10 5 2 2 2 2" xfId="2526" xr:uid="{00000000-0005-0000-0000-0000F2010000}"/>
    <cellStyle name="Normal 10 5 2 2 2 2 2" xfId="2527" xr:uid="{00000000-0005-0000-0000-0000F3010000}"/>
    <cellStyle name="Normal 10 5 2 2 2 3" xfId="2528" xr:uid="{00000000-0005-0000-0000-0000F4010000}"/>
    <cellStyle name="Normal 10 5 2 2 2 4" xfId="2529" xr:uid="{00000000-0005-0000-0000-0000F5010000}"/>
    <cellStyle name="Normal 10 5 2 2 3" xfId="2530" xr:uid="{00000000-0005-0000-0000-0000F6010000}"/>
    <cellStyle name="Normal 10 5 2 2 3 2" xfId="2531" xr:uid="{00000000-0005-0000-0000-0000F7010000}"/>
    <cellStyle name="Normal 10 5 2 2 4" xfId="2532" xr:uid="{00000000-0005-0000-0000-0000F8010000}"/>
    <cellStyle name="Normal 10 5 2 2 5" xfId="2533" xr:uid="{00000000-0005-0000-0000-0000F9010000}"/>
    <cellStyle name="Normal 10 5 2 3" xfId="140" xr:uid="{00000000-0005-0000-0000-0000FA010000}"/>
    <cellStyle name="Normal 10 5 2 3 2" xfId="2534" xr:uid="{00000000-0005-0000-0000-0000FB010000}"/>
    <cellStyle name="Normal 10 5 2 3 2 2" xfId="2535" xr:uid="{00000000-0005-0000-0000-0000FC010000}"/>
    <cellStyle name="Normal 10 5 2 3 3" xfId="2536" xr:uid="{00000000-0005-0000-0000-0000FD010000}"/>
    <cellStyle name="Normal 10 5 2 3 4" xfId="2537" xr:uid="{00000000-0005-0000-0000-0000FE010000}"/>
    <cellStyle name="Normal 10 5 2 4" xfId="2538" xr:uid="{00000000-0005-0000-0000-0000FF010000}"/>
    <cellStyle name="Normal 10 5 2 4 2" xfId="2539" xr:uid="{00000000-0005-0000-0000-000000020000}"/>
    <cellStyle name="Normal 10 5 2 5" xfId="2540" xr:uid="{00000000-0005-0000-0000-000001020000}"/>
    <cellStyle name="Normal 10 5 2 6" xfId="2541" xr:uid="{00000000-0005-0000-0000-000002020000}"/>
    <cellStyle name="Normal 10 5 3" xfId="141" xr:uid="{00000000-0005-0000-0000-000003020000}"/>
    <cellStyle name="Normal 10 5 3 2" xfId="142" xr:uid="{00000000-0005-0000-0000-000004020000}"/>
    <cellStyle name="Normal 10 5 3 2 2" xfId="2542" xr:uid="{00000000-0005-0000-0000-000005020000}"/>
    <cellStyle name="Normal 10 5 3 2 2 2" xfId="2543" xr:uid="{00000000-0005-0000-0000-000006020000}"/>
    <cellStyle name="Normal 10 5 3 2 3" xfId="2544" xr:uid="{00000000-0005-0000-0000-000007020000}"/>
    <cellStyle name="Normal 10 5 3 2 4" xfId="2545" xr:uid="{00000000-0005-0000-0000-000008020000}"/>
    <cellStyle name="Normal 10 5 3 3" xfId="2546" xr:uid="{00000000-0005-0000-0000-000009020000}"/>
    <cellStyle name="Normal 10 5 3 3 2" xfId="2547" xr:uid="{00000000-0005-0000-0000-00000A020000}"/>
    <cellStyle name="Normal 10 5 3 4" xfId="2548" xr:uid="{00000000-0005-0000-0000-00000B020000}"/>
    <cellStyle name="Normal 10 5 3 5" xfId="2549" xr:uid="{00000000-0005-0000-0000-00000C020000}"/>
    <cellStyle name="Normal 10 5 4" xfId="143" xr:uid="{00000000-0005-0000-0000-00000D020000}"/>
    <cellStyle name="Normal 10 5 4 2" xfId="2550" xr:uid="{00000000-0005-0000-0000-00000E020000}"/>
    <cellStyle name="Normal 10 5 4 2 2" xfId="2551" xr:uid="{00000000-0005-0000-0000-00000F020000}"/>
    <cellStyle name="Normal 10 5 4 3" xfId="2552" xr:uid="{00000000-0005-0000-0000-000010020000}"/>
    <cellStyle name="Normal 10 5 4 4" xfId="2553" xr:uid="{00000000-0005-0000-0000-000011020000}"/>
    <cellStyle name="Normal 10 5 5" xfId="2554" xr:uid="{00000000-0005-0000-0000-000012020000}"/>
    <cellStyle name="Normal 10 5 5 2" xfId="2555" xr:uid="{00000000-0005-0000-0000-000013020000}"/>
    <cellStyle name="Normal 10 5 6" xfId="2556" xr:uid="{00000000-0005-0000-0000-000014020000}"/>
    <cellStyle name="Normal 10 5 7" xfId="2557" xr:uid="{00000000-0005-0000-0000-000015020000}"/>
    <cellStyle name="Normal 10 6" xfId="144" xr:uid="{00000000-0005-0000-0000-000016020000}"/>
    <cellStyle name="Normal 10 6 2" xfId="145" xr:uid="{00000000-0005-0000-0000-000017020000}"/>
    <cellStyle name="Normal 10 6 2 2" xfId="146" xr:uid="{00000000-0005-0000-0000-000018020000}"/>
    <cellStyle name="Normal 10 6 2 2 2" xfId="2558" xr:uid="{00000000-0005-0000-0000-000019020000}"/>
    <cellStyle name="Normal 10 6 2 2 2 2" xfId="2559" xr:uid="{00000000-0005-0000-0000-00001A020000}"/>
    <cellStyle name="Normal 10 6 2 2 3" xfId="2560" xr:uid="{00000000-0005-0000-0000-00001B020000}"/>
    <cellStyle name="Normal 10 6 2 2 4" xfId="2561" xr:uid="{00000000-0005-0000-0000-00001C020000}"/>
    <cellStyle name="Normal 10 6 2 3" xfId="2562" xr:uid="{00000000-0005-0000-0000-00001D020000}"/>
    <cellStyle name="Normal 10 6 2 3 2" xfId="2563" xr:uid="{00000000-0005-0000-0000-00001E020000}"/>
    <cellStyle name="Normal 10 6 2 4" xfId="2564" xr:uid="{00000000-0005-0000-0000-00001F020000}"/>
    <cellStyle name="Normal 10 6 2 5" xfId="2565" xr:uid="{00000000-0005-0000-0000-000020020000}"/>
    <cellStyle name="Normal 10 6 3" xfId="147" xr:uid="{00000000-0005-0000-0000-000021020000}"/>
    <cellStyle name="Normal 10 6 3 2" xfId="2566" xr:uid="{00000000-0005-0000-0000-000022020000}"/>
    <cellStyle name="Normal 10 6 3 2 2" xfId="2567" xr:uid="{00000000-0005-0000-0000-000023020000}"/>
    <cellStyle name="Normal 10 6 3 3" xfId="2568" xr:uid="{00000000-0005-0000-0000-000024020000}"/>
    <cellStyle name="Normal 10 6 3 4" xfId="2569" xr:uid="{00000000-0005-0000-0000-000025020000}"/>
    <cellStyle name="Normal 10 6 4" xfId="2570" xr:uid="{00000000-0005-0000-0000-000026020000}"/>
    <cellStyle name="Normal 10 6 4 2" xfId="2571" xr:uid="{00000000-0005-0000-0000-000027020000}"/>
    <cellStyle name="Normal 10 6 5" xfId="2572" xr:uid="{00000000-0005-0000-0000-000028020000}"/>
    <cellStyle name="Normal 10 6 6" xfId="2573" xr:uid="{00000000-0005-0000-0000-000029020000}"/>
    <cellStyle name="Normal 10 7" xfId="148" xr:uid="{00000000-0005-0000-0000-00002A020000}"/>
    <cellStyle name="Normal 10 7 2" xfId="149" xr:uid="{00000000-0005-0000-0000-00002B020000}"/>
    <cellStyle name="Normal 10 7 2 2" xfId="2574" xr:uid="{00000000-0005-0000-0000-00002C020000}"/>
    <cellStyle name="Normal 10 7 2 2 2" xfId="2575" xr:uid="{00000000-0005-0000-0000-00002D020000}"/>
    <cellStyle name="Normal 10 7 2 3" xfId="2576" xr:uid="{00000000-0005-0000-0000-00002E020000}"/>
    <cellStyle name="Normal 10 7 2 4" xfId="2577" xr:uid="{00000000-0005-0000-0000-00002F020000}"/>
    <cellStyle name="Normal 10 7 3" xfId="2578" xr:uid="{00000000-0005-0000-0000-000030020000}"/>
    <cellStyle name="Normal 10 7 3 2" xfId="2579" xr:uid="{00000000-0005-0000-0000-000031020000}"/>
    <cellStyle name="Normal 10 7 4" xfId="2580" xr:uid="{00000000-0005-0000-0000-000032020000}"/>
    <cellStyle name="Normal 10 7 5" xfId="2581" xr:uid="{00000000-0005-0000-0000-000033020000}"/>
    <cellStyle name="Normal 10 8" xfId="150" xr:uid="{00000000-0005-0000-0000-000034020000}"/>
    <cellStyle name="Normal 10 8 2" xfId="2582" xr:uid="{00000000-0005-0000-0000-000035020000}"/>
    <cellStyle name="Normal 10 8 2 2" xfId="2583" xr:uid="{00000000-0005-0000-0000-000036020000}"/>
    <cellStyle name="Normal 10 8 3" xfId="2584" xr:uid="{00000000-0005-0000-0000-000037020000}"/>
    <cellStyle name="Normal 10 8 4" xfId="2585" xr:uid="{00000000-0005-0000-0000-000038020000}"/>
    <cellStyle name="Normal 10 9" xfId="2140" xr:uid="{00000000-0005-0000-0000-000039020000}"/>
    <cellStyle name="Normal 100" xfId="151" xr:uid="{00000000-0005-0000-0000-00003A020000}"/>
    <cellStyle name="Normal 100 2" xfId="152" xr:uid="{00000000-0005-0000-0000-00003B020000}"/>
    <cellStyle name="Normal 100 2 2" xfId="153" xr:uid="{00000000-0005-0000-0000-00003C020000}"/>
    <cellStyle name="Normal 100 2 2 2" xfId="2586" xr:uid="{00000000-0005-0000-0000-00003D020000}"/>
    <cellStyle name="Normal 100 2 2 2 2" xfId="2587" xr:uid="{00000000-0005-0000-0000-00003E020000}"/>
    <cellStyle name="Normal 100 2 2 3" xfId="2588" xr:uid="{00000000-0005-0000-0000-00003F020000}"/>
    <cellStyle name="Normal 100 2 2 4" xfId="2589" xr:uid="{00000000-0005-0000-0000-000040020000}"/>
    <cellStyle name="Normal 100 2 3" xfId="2590" xr:uid="{00000000-0005-0000-0000-000041020000}"/>
    <cellStyle name="Normal 100 2 3 2" xfId="2591" xr:uid="{00000000-0005-0000-0000-000042020000}"/>
    <cellStyle name="Normal 100 2 4" xfId="2592" xr:uid="{00000000-0005-0000-0000-000043020000}"/>
    <cellStyle name="Normal 100 2 5" xfId="2593" xr:uid="{00000000-0005-0000-0000-000044020000}"/>
    <cellStyle name="Normal 100 3" xfId="154" xr:uid="{00000000-0005-0000-0000-000045020000}"/>
    <cellStyle name="Normal 100 3 2" xfId="2594" xr:uid="{00000000-0005-0000-0000-000046020000}"/>
    <cellStyle name="Normal 100 3 2 2" xfId="2595" xr:uid="{00000000-0005-0000-0000-000047020000}"/>
    <cellStyle name="Normal 100 3 3" xfId="2596" xr:uid="{00000000-0005-0000-0000-000048020000}"/>
    <cellStyle name="Normal 100 3 4" xfId="2597" xr:uid="{00000000-0005-0000-0000-000049020000}"/>
    <cellStyle name="Normal 100 4" xfId="2598" xr:uid="{00000000-0005-0000-0000-00004A020000}"/>
    <cellStyle name="Normal 100 4 2" xfId="2599" xr:uid="{00000000-0005-0000-0000-00004B020000}"/>
    <cellStyle name="Normal 100 5" xfId="2600" xr:uid="{00000000-0005-0000-0000-00004C020000}"/>
    <cellStyle name="Normal 100 6" xfId="2601" xr:uid="{00000000-0005-0000-0000-00004D020000}"/>
    <cellStyle name="Normal 101" xfId="155" xr:uid="{00000000-0005-0000-0000-00004E020000}"/>
    <cellStyle name="Normal 101 2" xfId="156" xr:uid="{00000000-0005-0000-0000-00004F020000}"/>
    <cellStyle name="Normal 101 2 2" xfId="157" xr:uid="{00000000-0005-0000-0000-000050020000}"/>
    <cellStyle name="Normal 101 2 2 2" xfId="2602" xr:uid="{00000000-0005-0000-0000-000051020000}"/>
    <cellStyle name="Normal 101 2 2 2 2" xfId="2603" xr:uid="{00000000-0005-0000-0000-000052020000}"/>
    <cellStyle name="Normal 101 2 2 3" xfId="2604" xr:uid="{00000000-0005-0000-0000-000053020000}"/>
    <cellStyle name="Normal 101 2 2 4" xfId="2605" xr:uid="{00000000-0005-0000-0000-000054020000}"/>
    <cellStyle name="Normal 101 2 3" xfId="2606" xr:uid="{00000000-0005-0000-0000-000055020000}"/>
    <cellStyle name="Normal 101 2 3 2" xfId="2607" xr:uid="{00000000-0005-0000-0000-000056020000}"/>
    <cellStyle name="Normal 101 2 4" xfId="2608" xr:uid="{00000000-0005-0000-0000-000057020000}"/>
    <cellStyle name="Normal 101 2 5" xfId="2609" xr:uid="{00000000-0005-0000-0000-000058020000}"/>
    <cellStyle name="Normal 101 3" xfId="158" xr:uid="{00000000-0005-0000-0000-000059020000}"/>
    <cellStyle name="Normal 101 3 2" xfId="2610" xr:uid="{00000000-0005-0000-0000-00005A020000}"/>
    <cellStyle name="Normal 101 3 2 2" xfId="2611" xr:uid="{00000000-0005-0000-0000-00005B020000}"/>
    <cellStyle name="Normal 101 3 3" xfId="2612" xr:uid="{00000000-0005-0000-0000-00005C020000}"/>
    <cellStyle name="Normal 101 3 4" xfId="2613" xr:uid="{00000000-0005-0000-0000-00005D020000}"/>
    <cellStyle name="Normal 101 4" xfId="2614" xr:uid="{00000000-0005-0000-0000-00005E020000}"/>
    <cellStyle name="Normal 101 4 2" xfId="2615" xr:uid="{00000000-0005-0000-0000-00005F020000}"/>
    <cellStyle name="Normal 101 5" xfId="2616" xr:uid="{00000000-0005-0000-0000-000060020000}"/>
    <cellStyle name="Normal 101 6" xfId="2617" xr:uid="{00000000-0005-0000-0000-000061020000}"/>
    <cellStyle name="Normal 102" xfId="159" xr:uid="{00000000-0005-0000-0000-000062020000}"/>
    <cellStyle name="Normal 102 2" xfId="160" xr:uid="{00000000-0005-0000-0000-000063020000}"/>
    <cellStyle name="Normal 102 2 2" xfId="161" xr:uid="{00000000-0005-0000-0000-000064020000}"/>
    <cellStyle name="Normal 102 2 2 2" xfId="2618" xr:uid="{00000000-0005-0000-0000-000065020000}"/>
    <cellStyle name="Normal 102 2 2 2 2" xfId="2619" xr:uid="{00000000-0005-0000-0000-000066020000}"/>
    <cellStyle name="Normal 102 2 2 3" xfId="2620" xr:uid="{00000000-0005-0000-0000-000067020000}"/>
    <cellStyle name="Normal 102 2 2 4" xfId="2621" xr:uid="{00000000-0005-0000-0000-000068020000}"/>
    <cellStyle name="Normal 102 2 3" xfId="2622" xr:uid="{00000000-0005-0000-0000-000069020000}"/>
    <cellStyle name="Normal 102 2 3 2" xfId="2623" xr:uid="{00000000-0005-0000-0000-00006A020000}"/>
    <cellStyle name="Normal 102 2 4" xfId="2624" xr:uid="{00000000-0005-0000-0000-00006B020000}"/>
    <cellStyle name="Normal 102 2 5" xfId="2625" xr:uid="{00000000-0005-0000-0000-00006C020000}"/>
    <cellStyle name="Normal 102 3" xfId="162" xr:uid="{00000000-0005-0000-0000-00006D020000}"/>
    <cellStyle name="Normal 102 3 2" xfId="2626" xr:uid="{00000000-0005-0000-0000-00006E020000}"/>
    <cellStyle name="Normal 102 3 2 2" xfId="2627" xr:uid="{00000000-0005-0000-0000-00006F020000}"/>
    <cellStyle name="Normal 102 3 3" xfId="2628" xr:uid="{00000000-0005-0000-0000-000070020000}"/>
    <cellStyle name="Normal 102 3 4" xfId="2629" xr:uid="{00000000-0005-0000-0000-000071020000}"/>
    <cellStyle name="Normal 102 4" xfId="2630" xr:uid="{00000000-0005-0000-0000-000072020000}"/>
    <cellStyle name="Normal 102 4 2" xfId="2631" xr:uid="{00000000-0005-0000-0000-000073020000}"/>
    <cellStyle name="Normal 102 5" xfId="2632" xr:uid="{00000000-0005-0000-0000-000074020000}"/>
    <cellStyle name="Normal 102 6" xfId="2633" xr:uid="{00000000-0005-0000-0000-000075020000}"/>
    <cellStyle name="Normal 103" xfId="163" xr:uid="{00000000-0005-0000-0000-000076020000}"/>
    <cellStyle name="Normal 103 2" xfId="164" xr:uid="{00000000-0005-0000-0000-000077020000}"/>
    <cellStyle name="Normal 103 2 2" xfId="165" xr:uid="{00000000-0005-0000-0000-000078020000}"/>
    <cellStyle name="Normal 103 2 2 2" xfId="2634" xr:uid="{00000000-0005-0000-0000-000079020000}"/>
    <cellStyle name="Normal 103 2 2 2 2" xfId="2635" xr:uid="{00000000-0005-0000-0000-00007A020000}"/>
    <cellStyle name="Normal 103 2 2 3" xfId="2636" xr:uid="{00000000-0005-0000-0000-00007B020000}"/>
    <cellStyle name="Normal 103 2 2 4" xfId="2637" xr:uid="{00000000-0005-0000-0000-00007C020000}"/>
    <cellStyle name="Normal 103 2 3" xfId="2638" xr:uid="{00000000-0005-0000-0000-00007D020000}"/>
    <cellStyle name="Normal 103 2 3 2" xfId="2639" xr:uid="{00000000-0005-0000-0000-00007E020000}"/>
    <cellStyle name="Normal 103 2 4" xfId="2640" xr:uid="{00000000-0005-0000-0000-00007F020000}"/>
    <cellStyle name="Normal 103 2 5" xfId="2641" xr:uid="{00000000-0005-0000-0000-000080020000}"/>
    <cellStyle name="Normal 103 3" xfId="166" xr:uid="{00000000-0005-0000-0000-000081020000}"/>
    <cellStyle name="Normal 103 3 2" xfId="2642" xr:uid="{00000000-0005-0000-0000-000082020000}"/>
    <cellStyle name="Normal 103 3 2 2" xfId="2643" xr:uid="{00000000-0005-0000-0000-000083020000}"/>
    <cellStyle name="Normal 103 3 3" xfId="2644" xr:uid="{00000000-0005-0000-0000-000084020000}"/>
    <cellStyle name="Normal 103 3 4" xfId="2645" xr:uid="{00000000-0005-0000-0000-000085020000}"/>
    <cellStyle name="Normal 103 4" xfId="2646" xr:uid="{00000000-0005-0000-0000-000086020000}"/>
    <cellStyle name="Normal 103 4 2" xfId="2647" xr:uid="{00000000-0005-0000-0000-000087020000}"/>
    <cellStyle name="Normal 103 5" xfId="2648" xr:uid="{00000000-0005-0000-0000-000088020000}"/>
    <cellStyle name="Normal 103 6" xfId="2649" xr:uid="{00000000-0005-0000-0000-000089020000}"/>
    <cellStyle name="Normal 104" xfId="167" xr:uid="{00000000-0005-0000-0000-00008A020000}"/>
    <cellStyle name="Normal 104 2" xfId="168" xr:uid="{00000000-0005-0000-0000-00008B020000}"/>
    <cellStyle name="Normal 104 2 2" xfId="169" xr:uid="{00000000-0005-0000-0000-00008C020000}"/>
    <cellStyle name="Normal 104 2 2 2" xfId="2650" xr:uid="{00000000-0005-0000-0000-00008D020000}"/>
    <cellStyle name="Normal 104 2 2 2 2" xfId="2651" xr:uid="{00000000-0005-0000-0000-00008E020000}"/>
    <cellStyle name="Normal 104 2 2 3" xfId="2652" xr:uid="{00000000-0005-0000-0000-00008F020000}"/>
    <cellStyle name="Normal 104 2 2 4" xfId="2653" xr:uid="{00000000-0005-0000-0000-000090020000}"/>
    <cellStyle name="Normal 104 2 3" xfId="2654" xr:uid="{00000000-0005-0000-0000-000091020000}"/>
    <cellStyle name="Normal 104 2 3 2" xfId="2655" xr:uid="{00000000-0005-0000-0000-000092020000}"/>
    <cellStyle name="Normal 104 2 4" xfId="2656" xr:uid="{00000000-0005-0000-0000-000093020000}"/>
    <cellStyle name="Normal 104 2 5" xfId="2657" xr:uid="{00000000-0005-0000-0000-000094020000}"/>
    <cellStyle name="Normal 104 3" xfId="170" xr:uid="{00000000-0005-0000-0000-000095020000}"/>
    <cellStyle name="Normal 104 3 2" xfId="2658" xr:uid="{00000000-0005-0000-0000-000096020000}"/>
    <cellStyle name="Normal 104 3 2 2" xfId="2659" xr:uid="{00000000-0005-0000-0000-000097020000}"/>
    <cellStyle name="Normal 104 3 3" xfId="2660" xr:uid="{00000000-0005-0000-0000-000098020000}"/>
    <cellStyle name="Normal 104 3 4" xfId="2661" xr:uid="{00000000-0005-0000-0000-000099020000}"/>
    <cellStyle name="Normal 104 4" xfId="2662" xr:uid="{00000000-0005-0000-0000-00009A020000}"/>
    <cellStyle name="Normal 104 4 2" xfId="2663" xr:uid="{00000000-0005-0000-0000-00009B020000}"/>
    <cellStyle name="Normal 104 5" xfId="2664" xr:uid="{00000000-0005-0000-0000-00009C020000}"/>
    <cellStyle name="Normal 104 6" xfId="2665" xr:uid="{00000000-0005-0000-0000-00009D020000}"/>
    <cellStyle name="Normal 105" xfId="171" xr:uid="{00000000-0005-0000-0000-00009E020000}"/>
    <cellStyle name="Normal 105 2" xfId="172" xr:uid="{00000000-0005-0000-0000-00009F020000}"/>
    <cellStyle name="Normal 105 2 2" xfId="173" xr:uid="{00000000-0005-0000-0000-0000A0020000}"/>
    <cellStyle name="Normal 105 2 2 2" xfId="2666" xr:uid="{00000000-0005-0000-0000-0000A1020000}"/>
    <cellStyle name="Normal 105 2 2 2 2" xfId="2667" xr:uid="{00000000-0005-0000-0000-0000A2020000}"/>
    <cellStyle name="Normal 105 2 2 3" xfId="2668" xr:uid="{00000000-0005-0000-0000-0000A3020000}"/>
    <cellStyle name="Normal 105 2 2 4" xfId="2669" xr:uid="{00000000-0005-0000-0000-0000A4020000}"/>
    <cellStyle name="Normal 105 2 3" xfId="2670" xr:uid="{00000000-0005-0000-0000-0000A5020000}"/>
    <cellStyle name="Normal 105 2 3 2" xfId="2671" xr:uid="{00000000-0005-0000-0000-0000A6020000}"/>
    <cellStyle name="Normal 105 2 4" xfId="2672" xr:uid="{00000000-0005-0000-0000-0000A7020000}"/>
    <cellStyle name="Normal 105 2 5" xfId="2673" xr:uid="{00000000-0005-0000-0000-0000A8020000}"/>
    <cellStyle name="Normal 105 3" xfId="174" xr:uid="{00000000-0005-0000-0000-0000A9020000}"/>
    <cellStyle name="Normal 105 3 2" xfId="2674" xr:uid="{00000000-0005-0000-0000-0000AA020000}"/>
    <cellStyle name="Normal 105 3 2 2" xfId="2675" xr:uid="{00000000-0005-0000-0000-0000AB020000}"/>
    <cellStyle name="Normal 105 3 3" xfId="2676" xr:uid="{00000000-0005-0000-0000-0000AC020000}"/>
    <cellStyle name="Normal 105 3 4" xfId="2677" xr:uid="{00000000-0005-0000-0000-0000AD020000}"/>
    <cellStyle name="Normal 105 4" xfId="2678" xr:uid="{00000000-0005-0000-0000-0000AE020000}"/>
    <cellStyle name="Normal 105 4 2" xfId="2679" xr:uid="{00000000-0005-0000-0000-0000AF020000}"/>
    <cellStyle name="Normal 105 5" xfId="2680" xr:uid="{00000000-0005-0000-0000-0000B0020000}"/>
    <cellStyle name="Normal 105 6" xfId="2681" xr:uid="{00000000-0005-0000-0000-0000B1020000}"/>
    <cellStyle name="Normal 106" xfId="175" xr:uid="{00000000-0005-0000-0000-0000B2020000}"/>
    <cellStyle name="Normal 106 2" xfId="176" xr:uid="{00000000-0005-0000-0000-0000B3020000}"/>
    <cellStyle name="Normal 106 2 2" xfId="177" xr:uid="{00000000-0005-0000-0000-0000B4020000}"/>
    <cellStyle name="Normal 106 2 2 2" xfId="2682" xr:uid="{00000000-0005-0000-0000-0000B5020000}"/>
    <cellStyle name="Normal 106 2 2 2 2" xfId="2683" xr:uid="{00000000-0005-0000-0000-0000B6020000}"/>
    <cellStyle name="Normal 106 2 2 3" xfId="2684" xr:uid="{00000000-0005-0000-0000-0000B7020000}"/>
    <cellStyle name="Normal 106 2 2 4" xfId="2685" xr:uid="{00000000-0005-0000-0000-0000B8020000}"/>
    <cellStyle name="Normal 106 2 3" xfId="2686" xr:uid="{00000000-0005-0000-0000-0000B9020000}"/>
    <cellStyle name="Normal 106 2 3 2" xfId="2687" xr:uid="{00000000-0005-0000-0000-0000BA020000}"/>
    <cellStyle name="Normal 106 2 4" xfId="2688" xr:uid="{00000000-0005-0000-0000-0000BB020000}"/>
    <cellStyle name="Normal 106 2 5" xfId="2689" xr:uid="{00000000-0005-0000-0000-0000BC020000}"/>
    <cellStyle name="Normal 106 3" xfId="178" xr:uid="{00000000-0005-0000-0000-0000BD020000}"/>
    <cellStyle name="Normal 106 3 2" xfId="2690" xr:uid="{00000000-0005-0000-0000-0000BE020000}"/>
    <cellStyle name="Normal 106 3 2 2" xfId="2691" xr:uid="{00000000-0005-0000-0000-0000BF020000}"/>
    <cellStyle name="Normal 106 3 3" xfId="2692" xr:uid="{00000000-0005-0000-0000-0000C0020000}"/>
    <cellStyle name="Normal 106 3 4" xfId="2693" xr:uid="{00000000-0005-0000-0000-0000C1020000}"/>
    <cellStyle name="Normal 106 4" xfId="2694" xr:uid="{00000000-0005-0000-0000-0000C2020000}"/>
    <cellStyle name="Normal 106 4 2" xfId="2695" xr:uid="{00000000-0005-0000-0000-0000C3020000}"/>
    <cellStyle name="Normal 106 5" xfId="2696" xr:uid="{00000000-0005-0000-0000-0000C4020000}"/>
    <cellStyle name="Normal 106 6" xfId="2697" xr:uid="{00000000-0005-0000-0000-0000C5020000}"/>
    <cellStyle name="Normal 107" xfId="179" xr:uid="{00000000-0005-0000-0000-0000C6020000}"/>
    <cellStyle name="Normal 107 2" xfId="180" xr:uid="{00000000-0005-0000-0000-0000C7020000}"/>
    <cellStyle name="Normal 107 2 2" xfId="181" xr:uid="{00000000-0005-0000-0000-0000C8020000}"/>
    <cellStyle name="Normal 107 2 2 2" xfId="2698" xr:uid="{00000000-0005-0000-0000-0000C9020000}"/>
    <cellStyle name="Normal 107 2 2 2 2" xfId="2699" xr:uid="{00000000-0005-0000-0000-0000CA020000}"/>
    <cellStyle name="Normal 107 2 2 3" xfId="2700" xr:uid="{00000000-0005-0000-0000-0000CB020000}"/>
    <cellStyle name="Normal 107 2 2 4" xfId="2701" xr:uid="{00000000-0005-0000-0000-0000CC020000}"/>
    <cellStyle name="Normal 107 2 3" xfId="2702" xr:uid="{00000000-0005-0000-0000-0000CD020000}"/>
    <cellStyle name="Normal 107 2 3 2" xfId="2703" xr:uid="{00000000-0005-0000-0000-0000CE020000}"/>
    <cellStyle name="Normal 107 2 4" xfId="2704" xr:uid="{00000000-0005-0000-0000-0000CF020000}"/>
    <cellStyle name="Normal 107 2 5" xfId="2705" xr:uid="{00000000-0005-0000-0000-0000D0020000}"/>
    <cellStyle name="Normal 107 3" xfId="182" xr:uid="{00000000-0005-0000-0000-0000D1020000}"/>
    <cellStyle name="Normal 107 3 2" xfId="2706" xr:uid="{00000000-0005-0000-0000-0000D2020000}"/>
    <cellStyle name="Normal 107 3 2 2" xfId="2707" xr:uid="{00000000-0005-0000-0000-0000D3020000}"/>
    <cellStyle name="Normal 107 3 3" xfId="2708" xr:uid="{00000000-0005-0000-0000-0000D4020000}"/>
    <cellStyle name="Normal 107 3 4" xfId="2709" xr:uid="{00000000-0005-0000-0000-0000D5020000}"/>
    <cellStyle name="Normal 107 4" xfId="2710" xr:uid="{00000000-0005-0000-0000-0000D6020000}"/>
    <cellStyle name="Normal 107 4 2" xfId="2711" xr:uid="{00000000-0005-0000-0000-0000D7020000}"/>
    <cellStyle name="Normal 107 5" xfId="2712" xr:uid="{00000000-0005-0000-0000-0000D8020000}"/>
    <cellStyle name="Normal 107 6" xfId="2713" xr:uid="{00000000-0005-0000-0000-0000D9020000}"/>
    <cellStyle name="Normal 108" xfId="183" xr:uid="{00000000-0005-0000-0000-0000DA020000}"/>
    <cellStyle name="Normal 108 2" xfId="184" xr:uid="{00000000-0005-0000-0000-0000DB020000}"/>
    <cellStyle name="Normal 108 2 2" xfId="185" xr:uid="{00000000-0005-0000-0000-0000DC020000}"/>
    <cellStyle name="Normal 108 2 2 2" xfId="2714" xr:uid="{00000000-0005-0000-0000-0000DD020000}"/>
    <cellStyle name="Normal 108 2 2 2 2" xfId="2715" xr:uid="{00000000-0005-0000-0000-0000DE020000}"/>
    <cellStyle name="Normal 108 2 2 3" xfId="2716" xr:uid="{00000000-0005-0000-0000-0000DF020000}"/>
    <cellStyle name="Normal 108 2 2 4" xfId="2717" xr:uid="{00000000-0005-0000-0000-0000E0020000}"/>
    <cellStyle name="Normal 108 2 3" xfId="2718" xr:uid="{00000000-0005-0000-0000-0000E1020000}"/>
    <cellStyle name="Normal 108 2 3 2" xfId="2719" xr:uid="{00000000-0005-0000-0000-0000E2020000}"/>
    <cellStyle name="Normal 108 2 4" xfId="2720" xr:uid="{00000000-0005-0000-0000-0000E3020000}"/>
    <cellStyle name="Normal 108 2 5" xfId="2721" xr:uid="{00000000-0005-0000-0000-0000E4020000}"/>
    <cellStyle name="Normal 108 3" xfId="186" xr:uid="{00000000-0005-0000-0000-0000E5020000}"/>
    <cellStyle name="Normal 108 3 2" xfId="2722" xr:uid="{00000000-0005-0000-0000-0000E6020000}"/>
    <cellStyle name="Normal 108 3 2 2" xfId="2723" xr:uid="{00000000-0005-0000-0000-0000E7020000}"/>
    <cellStyle name="Normal 108 3 3" xfId="2724" xr:uid="{00000000-0005-0000-0000-0000E8020000}"/>
    <cellStyle name="Normal 108 3 4" xfId="2725" xr:uid="{00000000-0005-0000-0000-0000E9020000}"/>
    <cellStyle name="Normal 108 4" xfId="2726" xr:uid="{00000000-0005-0000-0000-0000EA020000}"/>
    <cellStyle name="Normal 108 4 2" xfId="2727" xr:uid="{00000000-0005-0000-0000-0000EB020000}"/>
    <cellStyle name="Normal 108 5" xfId="2728" xr:uid="{00000000-0005-0000-0000-0000EC020000}"/>
    <cellStyle name="Normal 108 6" xfId="2729" xr:uid="{00000000-0005-0000-0000-0000ED020000}"/>
    <cellStyle name="Normal 109" xfId="187" xr:uid="{00000000-0005-0000-0000-0000EE020000}"/>
    <cellStyle name="Normal 109 2" xfId="188" xr:uid="{00000000-0005-0000-0000-0000EF020000}"/>
    <cellStyle name="Normal 109 2 2" xfId="189" xr:uid="{00000000-0005-0000-0000-0000F0020000}"/>
    <cellStyle name="Normal 109 2 2 2" xfId="2730" xr:uid="{00000000-0005-0000-0000-0000F1020000}"/>
    <cellStyle name="Normal 109 2 2 2 2" xfId="2731" xr:uid="{00000000-0005-0000-0000-0000F2020000}"/>
    <cellStyle name="Normal 109 2 2 3" xfId="2732" xr:uid="{00000000-0005-0000-0000-0000F3020000}"/>
    <cellStyle name="Normal 109 2 2 4" xfId="2733" xr:uid="{00000000-0005-0000-0000-0000F4020000}"/>
    <cellStyle name="Normal 109 2 3" xfId="2734" xr:uid="{00000000-0005-0000-0000-0000F5020000}"/>
    <cellStyle name="Normal 109 2 3 2" xfId="2735" xr:uid="{00000000-0005-0000-0000-0000F6020000}"/>
    <cellStyle name="Normal 109 2 4" xfId="2736" xr:uid="{00000000-0005-0000-0000-0000F7020000}"/>
    <cellStyle name="Normal 109 2 5" xfId="2737" xr:uid="{00000000-0005-0000-0000-0000F8020000}"/>
    <cellStyle name="Normal 109 3" xfId="190" xr:uid="{00000000-0005-0000-0000-0000F9020000}"/>
    <cellStyle name="Normal 109 3 2" xfId="2738" xr:uid="{00000000-0005-0000-0000-0000FA020000}"/>
    <cellStyle name="Normal 109 3 2 2" xfId="2739" xr:uid="{00000000-0005-0000-0000-0000FB020000}"/>
    <cellStyle name="Normal 109 3 3" xfId="2740" xr:uid="{00000000-0005-0000-0000-0000FC020000}"/>
    <cellStyle name="Normal 109 3 4" xfId="2741" xr:uid="{00000000-0005-0000-0000-0000FD020000}"/>
    <cellStyle name="Normal 109 4" xfId="2742" xr:uid="{00000000-0005-0000-0000-0000FE020000}"/>
    <cellStyle name="Normal 109 4 2" xfId="2743" xr:uid="{00000000-0005-0000-0000-0000FF020000}"/>
    <cellStyle name="Normal 109 5" xfId="2744" xr:uid="{00000000-0005-0000-0000-000000030000}"/>
    <cellStyle name="Normal 109 6" xfId="2745" xr:uid="{00000000-0005-0000-0000-000001030000}"/>
    <cellStyle name="Normal 11" xfId="191" xr:uid="{00000000-0005-0000-0000-000002030000}"/>
    <cellStyle name="Normal 11 2" xfId="192" xr:uid="{00000000-0005-0000-0000-000003030000}"/>
    <cellStyle name="Normal 11 2 2" xfId="193" xr:uid="{00000000-0005-0000-0000-000004030000}"/>
    <cellStyle name="Normal 11 2 2 2" xfId="194" xr:uid="{00000000-0005-0000-0000-000005030000}"/>
    <cellStyle name="Normal 11 2 2 2 2" xfId="195" xr:uid="{00000000-0005-0000-0000-000006030000}"/>
    <cellStyle name="Normal 11 2 2 2 2 2" xfId="196" xr:uid="{00000000-0005-0000-0000-000007030000}"/>
    <cellStyle name="Normal 11 2 2 2 2 2 2" xfId="2746" xr:uid="{00000000-0005-0000-0000-000008030000}"/>
    <cellStyle name="Normal 11 2 2 2 2 2 2 2" xfId="2747" xr:uid="{00000000-0005-0000-0000-000009030000}"/>
    <cellStyle name="Normal 11 2 2 2 2 2 3" xfId="2748" xr:uid="{00000000-0005-0000-0000-00000A030000}"/>
    <cellStyle name="Normal 11 2 2 2 2 2 4" xfId="2749" xr:uid="{00000000-0005-0000-0000-00000B030000}"/>
    <cellStyle name="Normal 11 2 2 2 2 3" xfId="2750" xr:uid="{00000000-0005-0000-0000-00000C030000}"/>
    <cellStyle name="Normal 11 2 2 2 2 3 2" xfId="2751" xr:uid="{00000000-0005-0000-0000-00000D030000}"/>
    <cellStyle name="Normal 11 2 2 2 2 4" xfId="2752" xr:uid="{00000000-0005-0000-0000-00000E030000}"/>
    <cellStyle name="Normal 11 2 2 2 2 5" xfId="2753" xr:uid="{00000000-0005-0000-0000-00000F030000}"/>
    <cellStyle name="Normal 11 2 2 2 3" xfId="197" xr:uid="{00000000-0005-0000-0000-000010030000}"/>
    <cellStyle name="Normal 11 2 2 2 3 2" xfId="2754" xr:uid="{00000000-0005-0000-0000-000011030000}"/>
    <cellStyle name="Normal 11 2 2 2 3 2 2" xfId="2755" xr:uid="{00000000-0005-0000-0000-000012030000}"/>
    <cellStyle name="Normal 11 2 2 2 3 3" xfId="2756" xr:uid="{00000000-0005-0000-0000-000013030000}"/>
    <cellStyle name="Normal 11 2 2 2 3 4" xfId="2757" xr:uid="{00000000-0005-0000-0000-000014030000}"/>
    <cellStyle name="Normal 11 2 2 2 4" xfId="2758" xr:uid="{00000000-0005-0000-0000-000015030000}"/>
    <cellStyle name="Normal 11 2 2 2 4 2" xfId="2759" xr:uid="{00000000-0005-0000-0000-000016030000}"/>
    <cellStyle name="Normal 11 2 2 2 5" xfId="2760" xr:uid="{00000000-0005-0000-0000-000017030000}"/>
    <cellStyle name="Normal 11 2 2 2 6" xfId="2761" xr:uid="{00000000-0005-0000-0000-000018030000}"/>
    <cellStyle name="Normal 11 2 2 3" xfId="198" xr:uid="{00000000-0005-0000-0000-000019030000}"/>
    <cellStyle name="Normal 11 2 2 3 2" xfId="199" xr:uid="{00000000-0005-0000-0000-00001A030000}"/>
    <cellStyle name="Normal 11 2 2 3 2 2" xfId="2762" xr:uid="{00000000-0005-0000-0000-00001B030000}"/>
    <cellStyle name="Normal 11 2 2 3 2 2 2" xfId="2763" xr:uid="{00000000-0005-0000-0000-00001C030000}"/>
    <cellStyle name="Normal 11 2 2 3 2 3" xfId="2764" xr:uid="{00000000-0005-0000-0000-00001D030000}"/>
    <cellStyle name="Normal 11 2 2 3 2 4" xfId="2765" xr:uid="{00000000-0005-0000-0000-00001E030000}"/>
    <cellStyle name="Normal 11 2 2 3 3" xfId="2766" xr:uid="{00000000-0005-0000-0000-00001F030000}"/>
    <cellStyle name="Normal 11 2 2 3 3 2" xfId="2767" xr:uid="{00000000-0005-0000-0000-000020030000}"/>
    <cellStyle name="Normal 11 2 2 3 4" xfId="2768" xr:uid="{00000000-0005-0000-0000-000021030000}"/>
    <cellStyle name="Normal 11 2 2 3 5" xfId="2769" xr:uid="{00000000-0005-0000-0000-000022030000}"/>
    <cellStyle name="Normal 11 2 2 4" xfId="200" xr:uid="{00000000-0005-0000-0000-000023030000}"/>
    <cellStyle name="Normal 11 2 2 4 2" xfId="2770" xr:uid="{00000000-0005-0000-0000-000024030000}"/>
    <cellStyle name="Normal 11 2 2 4 2 2" xfId="2771" xr:uid="{00000000-0005-0000-0000-000025030000}"/>
    <cellStyle name="Normal 11 2 2 4 3" xfId="2772" xr:uid="{00000000-0005-0000-0000-000026030000}"/>
    <cellStyle name="Normal 11 2 2 4 4" xfId="2773" xr:uid="{00000000-0005-0000-0000-000027030000}"/>
    <cellStyle name="Normal 11 2 2 5" xfId="2774" xr:uid="{00000000-0005-0000-0000-000028030000}"/>
    <cellStyle name="Normal 11 2 2 5 2" xfId="2775" xr:uid="{00000000-0005-0000-0000-000029030000}"/>
    <cellStyle name="Normal 11 2 2 6" xfId="2776" xr:uid="{00000000-0005-0000-0000-00002A030000}"/>
    <cellStyle name="Normal 11 2 2 7" xfId="2777" xr:uid="{00000000-0005-0000-0000-00002B030000}"/>
    <cellStyle name="Normal 11 2 3" xfId="201" xr:uid="{00000000-0005-0000-0000-00002C030000}"/>
    <cellStyle name="Normal 11 2 3 2" xfId="202" xr:uid="{00000000-0005-0000-0000-00002D030000}"/>
    <cellStyle name="Normal 11 2 3 2 2" xfId="203" xr:uid="{00000000-0005-0000-0000-00002E030000}"/>
    <cellStyle name="Normal 11 2 3 2 2 2" xfId="2778" xr:uid="{00000000-0005-0000-0000-00002F030000}"/>
    <cellStyle name="Normal 11 2 3 2 2 2 2" xfId="2779" xr:uid="{00000000-0005-0000-0000-000030030000}"/>
    <cellStyle name="Normal 11 2 3 2 2 3" xfId="2780" xr:uid="{00000000-0005-0000-0000-000031030000}"/>
    <cellStyle name="Normal 11 2 3 2 2 4" xfId="2781" xr:uid="{00000000-0005-0000-0000-000032030000}"/>
    <cellStyle name="Normal 11 2 3 2 3" xfId="2782" xr:uid="{00000000-0005-0000-0000-000033030000}"/>
    <cellStyle name="Normal 11 2 3 2 3 2" xfId="2783" xr:uid="{00000000-0005-0000-0000-000034030000}"/>
    <cellStyle name="Normal 11 2 3 2 4" xfId="2784" xr:uid="{00000000-0005-0000-0000-000035030000}"/>
    <cellStyle name="Normal 11 2 3 2 5" xfId="2785" xr:uid="{00000000-0005-0000-0000-000036030000}"/>
    <cellStyle name="Normal 11 2 3 3" xfId="204" xr:uid="{00000000-0005-0000-0000-000037030000}"/>
    <cellStyle name="Normal 11 2 3 3 2" xfId="2786" xr:uid="{00000000-0005-0000-0000-000038030000}"/>
    <cellStyle name="Normal 11 2 3 3 2 2" xfId="2787" xr:uid="{00000000-0005-0000-0000-000039030000}"/>
    <cellStyle name="Normal 11 2 3 3 3" xfId="2788" xr:uid="{00000000-0005-0000-0000-00003A030000}"/>
    <cellStyle name="Normal 11 2 3 3 4" xfId="2789" xr:uid="{00000000-0005-0000-0000-00003B030000}"/>
    <cellStyle name="Normal 11 2 3 4" xfId="2790" xr:uid="{00000000-0005-0000-0000-00003C030000}"/>
    <cellStyle name="Normal 11 2 3 4 2" xfId="2791" xr:uid="{00000000-0005-0000-0000-00003D030000}"/>
    <cellStyle name="Normal 11 2 3 5" xfId="2792" xr:uid="{00000000-0005-0000-0000-00003E030000}"/>
    <cellStyle name="Normal 11 2 3 6" xfId="2793" xr:uid="{00000000-0005-0000-0000-00003F030000}"/>
    <cellStyle name="Normal 11 2 4" xfId="205" xr:uid="{00000000-0005-0000-0000-000040030000}"/>
    <cellStyle name="Normal 11 2 4 2" xfId="206" xr:uid="{00000000-0005-0000-0000-000041030000}"/>
    <cellStyle name="Normal 11 2 4 2 2" xfId="2794" xr:uid="{00000000-0005-0000-0000-000042030000}"/>
    <cellStyle name="Normal 11 2 4 2 2 2" xfId="2795" xr:uid="{00000000-0005-0000-0000-000043030000}"/>
    <cellStyle name="Normal 11 2 4 2 3" xfId="2796" xr:uid="{00000000-0005-0000-0000-000044030000}"/>
    <cellStyle name="Normal 11 2 4 2 4" xfId="2797" xr:uid="{00000000-0005-0000-0000-000045030000}"/>
    <cellStyle name="Normal 11 2 4 3" xfId="2798" xr:uid="{00000000-0005-0000-0000-000046030000}"/>
    <cellStyle name="Normal 11 2 4 3 2" xfId="2799" xr:uid="{00000000-0005-0000-0000-000047030000}"/>
    <cellStyle name="Normal 11 2 4 4" xfId="2800" xr:uid="{00000000-0005-0000-0000-000048030000}"/>
    <cellStyle name="Normal 11 2 4 5" xfId="2801" xr:uid="{00000000-0005-0000-0000-000049030000}"/>
    <cellStyle name="Normal 11 2 5" xfId="207" xr:uid="{00000000-0005-0000-0000-00004A030000}"/>
    <cellStyle name="Normal 11 2 5 2" xfId="2802" xr:uid="{00000000-0005-0000-0000-00004B030000}"/>
    <cellStyle name="Normal 11 2 5 2 2" xfId="2803" xr:uid="{00000000-0005-0000-0000-00004C030000}"/>
    <cellStyle name="Normal 11 2 5 3" xfId="2804" xr:uid="{00000000-0005-0000-0000-00004D030000}"/>
    <cellStyle name="Normal 11 2 5 4" xfId="2805" xr:uid="{00000000-0005-0000-0000-00004E030000}"/>
    <cellStyle name="Normal 11 2 6" xfId="2806" xr:uid="{00000000-0005-0000-0000-00004F030000}"/>
    <cellStyle name="Normal 11 2 6 2" xfId="2807" xr:uid="{00000000-0005-0000-0000-000050030000}"/>
    <cellStyle name="Normal 11 2 7" xfId="2808" xr:uid="{00000000-0005-0000-0000-000051030000}"/>
    <cellStyle name="Normal 11 2 8" xfId="2809" xr:uid="{00000000-0005-0000-0000-000052030000}"/>
    <cellStyle name="Normal 11 3" xfId="208" xr:uid="{00000000-0005-0000-0000-000053030000}"/>
    <cellStyle name="Normal 11 3 2" xfId="209" xr:uid="{00000000-0005-0000-0000-000054030000}"/>
    <cellStyle name="Normal 11 3 2 2" xfId="210" xr:uid="{00000000-0005-0000-0000-000055030000}"/>
    <cellStyle name="Normal 11 3 2 2 2" xfId="211" xr:uid="{00000000-0005-0000-0000-000056030000}"/>
    <cellStyle name="Normal 11 3 2 2 2 2" xfId="2810" xr:uid="{00000000-0005-0000-0000-000057030000}"/>
    <cellStyle name="Normal 11 3 2 2 2 2 2" xfId="2811" xr:uid="{00000000-0005-0000-0000-000058030000}"/>
    <cellStyle name="Normal 11 3 2 2 2 3" xfId="2812" xr:uid="{00000000-0005-0000-0000-000059030000}"/>
    <cellStyle name="Normal 11 3 2 2 2 4" xfId="2813" xr:uid="{00000000-0005-0000-0000-00005A030000}"/>
    <cellStyle name="Normal 11 3 2 2 3" xfId="2814" xr:uid="{00000000-0005-0000-0000-00005B030000}"/>
    <cellStyle name="Normal 11 3 2 2 3 2" xfId="2815" xr:uid="{00000000-0005-0000-0000-00005C030000}"/>
    <cellStyle name="Normal 11 3 2 2 4" xfId="2816" xr:uid="{00000000-0005-0000-0000-00005D030000}"/>
    <cellStyle name="Normal 11 3 2 2 5" xfId="2817" xr:uid="{00000000-0005-0000-0000-00005E030000}"/>
    <cellStyle name="Normal 11 3 2 3" xfId="212" xr:uid="{00000000-0005-0000-0000-00005F030000}"/>
    <cellStyle name="Normal 11 3 2 3 2" xfId="2818" xr:uid="{00000000-0005-0000-0000-000060030000}"/>
    <cellStyle name="Normal 11 3 2 3 2 2" xfId="2819" xr:uid="{00000000-0005-0000-0000-000061030000}"/>
    <cellStyle name="Normal 11 3 2 3 3" xfId="2820" xr:uid="{00000000-0005-0000-0000-000062030000}"/>
    <cellStyle name="Normal 11 3 2 3 4" xfId="2821" xr:uid="{00000000-0005-0000-0000-000063030000}"/>
    <cellStyle name="Normal 11 3 2 4" xfId="2822" xr:uid="{00000000-0005-0000-0000-000064030000}"/>
    <cellStyle name="Normal 11 3 2 4 2" xfId="2823" xr:uid="{00000000-0005-0000-0000-000065030000}"/>
    <cellStyle name="Normal 11 3 2 5" xfId="2824" xr:uid="{00000000-0005-0000-0000-000066030000}"/>
    <cellStyle name="Normal 11 3 2 6" xfId="2825" xr:uid="{00000000-0005-0000-0000-000067030000}"/>
    <cellStyle name="Normal 11 3 3" xfId="213" xr:uid="{00000000-0005-0000-0000-000068030000}"/>
    <cellStyle name="Normal 11 3 3 2" xfId="214" xr:uid="{00000000-0005-0000-0000-000069030000}"/>
    <cellStyle name="Normal 11 3 3 2 2" xfId="2826" xr:uid="{00000000-0005-0000-0000-00006A030000}"/>
    <cellStyle name="Normal 11 3 3 2 2 2" xfId="2827" xr:uid="{00000000-0005-0000-0000-00006B030000}"/>
    <cellStyle name="Normal 11 3 3 2 3" xfId="2828" xr:uid="{00000000-0005-0000-0000-00006C030000}"/>
    <cellStyle name="Normal 11 3 3 2 4" xfId="2829" xr:uid="{00000000-0005-0000-0000-00006D030000}"/>
    <cellStyle name="Normal 11 3 3 3" xfId="2830" xr:uid="{00000000-0005-0000-0000-00006E030000}"/>
    <cellStyle name="Normal 11 3 3 3 2" xfId="2831" xr:uid="{00000000-0005-0000-0000-00006F030000}"/>
    <cellStyle name="Normal 11 3 3 4" xfId="2832" xr:uid="{00000000-0005-0000-0000-000070030000}"/>
    <cellStyle name="Normal 11 3 3 5" xfId="2833" xr:uid="{00000000-0005-0000-0000-000071030000}"/>
    <cellStyle name="Normal 11 3 4" xfId="215" xr:uid="{00000000-0005-0000-0000-000072030000}"/>
    <cellStyle name="Normal 11 3 4 2" xfId="2834" xr:uid="{00000000-0005-0000-0000-000073030000}"/>
    <cellStyle name="Normal 11 3 4 2 2" xfId="2835" xr:uid="{00000000-0005-0000-0000-000074030000}"/>
    <cellStyle name="Normal 11 3 4 3" xfId="2836" xr:uid="{00000000-0005-0000-0000-000075030000}"/>
    <cellStyle name="Normal 11 3 4 4" xfId="2837" xr:uid="{00000000-0005-0000-0000-000076030000}"/>
    <cellStyle name="Normal 11 3 5" xfId="2838" xr:uid="{00000000-0005-0000-0000-000077030000}"/>
    <cellStyle name="Normal 11 3 5 2" xfId="2839" xr:uid="{00000000-0005-0000-0000-000078030000}"/>
    <cellStyle name="Normal 11 3 6" xfId="2840" xr:uid="{00000000-0005-0000-0000-000079030000}"/>
    <cellStyle name="Normal 11 3 7" xfId="2841" xr:uid="{00000000-0005-0000-0000-00007A030000}"/>
    <cellStyle name="Normal 11 4" xfId="216" xr:uid="{00000000-0005-0000-0000-00007B030000}"/>
    <cellStyle name="Normal 11 4 2" xfId="217" xr:uid="{00000000-0005-0000-0000-00007C030000}"/>
    <cellStyle name="Normal 11 4 2 2" xfId="218" xr:uid="{00000000-0005-0000-0000-00007D030000}"/>
    <cellStyle name="Normal 11 4 2 2 2" xfId="2842" xr:uid="{00000000-0005-0000-0000-00007E030000}"/>
    <cellStyle name="Normal 11 4 2 2 2 2" xfId="2843" xr:uid="{00000000-0005-0000-0000-00007F030000}"/>
    <cellStyle name="Normal 11 4 2 2 3" xfId="2844" xr:uid="{00000000-0005-0000-0000-000080030000}"/>
    <cellStyle name="Normal 11 4 2 2 4" xfId="2845" xr:uid="{00000000-0005-0000-0000-000081030000}"/>
    <cellStyle name="Normal 11 4 2 3" xfId="2846" xr:uid="{00000000-0005-0000-0000-000082030000}"/>
    <cellStyle name="Normal 11 4 2 3 2" xfId="2847" xr:uid="{00000000-0005-0000-0000-000083030000}"/>
    <cellStyle name="Normal 11 4 2 4" xfId="2848" xr:uid="{00000000-0005-0000-0000-000084030000}"/>
    <cellStyle name="Normal 11 4 2 5" xfId="2849" xr:uid="{00000000-0005-0000-0000-000085030000}"/>
    <cellStyle name="Normal 11 4 3" xfId="219" xr:uid="{00000000-0005-0000-0000-000086030000}"/>
    <cellStyle name="Normal 11 4 3 2" xfId="2850" xr:uid="{00000000-0005-0000-0000-000087030000}"/>
    <cellStyle name="Normal 11 4 3 2 2" xfId="2851" xr:uid="{00000000-0005-0000-0000-000088030000}"/>
    <cellStyle name="Normal 11 4 3 3" xfId="2852" xr:uid="{00000000-0005-0000-0000-000089030000}"/>
    <cellStyle name="Normal 11 4 3 4" xfId="2853" xr:uid="{00000000-0005-0000-0000-00008A030000}"/>
    <cellStyle name="Normal 11 4 4" xfId="2854" xr:uid="{00000000-0005-0000-0000-00008B030000}"/>
    <cellStyle name="Normal 11 4 4 2" xfId="2855" xr:uid="{00000000-0005-0000-0000-00008C030000}"/>
    <cellStyle name="Normal 11 4 5" xfId="2856" xr:uid="{00000000-0005-0000-0000-00008D030000}"/>
    <cellStyle name="Normal 11 4 6" xfId="2857" xr:uid="{00000000-0005-0000-0000-00008E030000}"/>
    <cellStyle name="Normal 11 5" xfId="220" xr:uid="{00000000-0005-0000-0000-00008F030000}"/>
    <cellStyle name="Normal 11 5 2" xfId="221" xr:uid="{00000000-0005-0000-0000-000090030000}"/>
    <cellStyle name="Normal 11 5 2 2" xfId="2858" xr:uid="{00000000-0005-0000-0000-000091030000}"/>
    <cellStyle name="Normal 11 5 2 2 2" xfId="2859" xr:uid="{00000000-0005-0000-0000-000092030000}"/>
    <cellStyle name="Normal 11 5 2 3" xfId="2860" xr:uid="{00000000-0005-0000-0000-000093030000}"/>
    <cellStyle name="Normal 11 5 2 4" xfId="2861" xr:uid="{00000000-0005-0000-0000-000094030000}"/>
    <cellStyle name="Normal 11 5 3" xfId="2862" xr:uid="{00000000-0005-0000-0000-000095030000}"/>
    <cellStyle name="Normal 11 5 3 2" xfId="2863" xr:uid="{00000000-0005-0000-0000-000096030000}"/>
    <cellStyle name="Normal 11 5 4" xfId="2864" xr:uid="{00000000-0005-0000-0000-000097030000}"/>
    <cellStyle name="Normal 11 5 5" xfId="2865" xr:uid="{00000000-0005-0000-0000-000098030000}"/>
    <cellStyle name="Normal 11 6" xfId="222" xr:uid="{00000000-0005-0000-0000-000099030000}"/>
    <cellStyle name="Normal 11 6 2" xfId="2866" xr:uid="{00000000-0005-0000-0000-00009A030000}"/>
    <cellStyle name="Normal 11 6 2 2" xfId="2867" xr:uid="{00000000-0005-0000-0000-00009B030000}"/>
    <cellStyle name="Normal 11 6 3" xfId="2868" xr:uid="{00000000-0005-0000-0000-00009C030000}"/>
    <cellStyle name="Normal 11 6 4" xfId="2869" xr:uid="{00000000-0005-0000-0000-00009D030000}"/>
    <cellStyle name="Normal 11 7" xfId="2870" xr:uid="{00000000-0005-0000-0000-00009E030000}"/>
    <cellStyle name="Normal 11 7 2" xfId="2871" xr:uid="{00000000-0005-0000-0000-00009F030000}"/>
    <cellStyle name="Normal 11 8" xfId="2872" xr:uid="{00000000-0005-0000-0000-0000A0030000}"/>
    <cellStyle name="Normal 11 9" xfId="2873" xr:uid="{00000000-0005-0000-0000-0000A1030000}"/>
    <cellStyle name="Normal 110" xfId="223" xr:uid="{00000000-0005-0000-0000-0000A2030000}"/>
    <cellStyle name="Normal 110 2" xfId="224" xr:uid="{00000000-0005-0000-0000-0000A3030000}"/>
    <cellStyle name="Normal 110 2 2" xfId="225" xr:uid="{00000000-0005-0000-0000-0000A4030000}"/>
    <cellStyle name="Normal 110 2 2 2" xfId="2874" xr:uid="{00000000-0005-0000-0000-0000A5030000}"/>
    <cellStyle name="Normal 110 2 2 2 2" xfId="2875" xr:uid="{00000000-0005-0000-0000-0000A6030000}"/>
    <cellStyle name="Normal 110 2 2 3" xfId="2876" xr:uid="{00000000-0005-0000-0000-0000A7030000}"/>
    <cellStyle name="Normal 110 2 2 4" xfId="2877" xr:uid="{00000000-0005-0000-0000-0000A8030000}"/>
    <cellStyle name="Normal 110 2 3" xfId="2878" xr:uid="{00000000-0005-0000-0000-0000A9030000}"/>
    <cellStyle name="Normal 110 2 3 2" xfId="2879" xr:uid="{00000000-0005-0000-0000-0000AA030000}"/>
    <cellStyle name="Normal 110 2 4" xfId="2880" xr:uid="{00000000-0005-0000-0000-0000AB030000}"/>
    <cellStyle name="Normal 110 2 5" xfId="2881" xr:uid="{00000000-0005-0000-0000-0000AC030000}"/>
    <cellStyle name="Normal 110 3" xfId="226" xr:uid="{00000000-0005-0000-0000-0000AD030000}"/>
    <cellStyle name="Normal 110 3 2" xfId="2882" xr:uid="{00000000-0005-0000-0000-0000AE030000}"/>
    <cellStyle name="Normal 110 3 2 2" xfId="2883" xr:uid="{00000000-0005-0000-0000-0000AF030000}"/>
    <cellStyle name="Normal 110 3 3" xfId="2884" xr:uid="{00000000-0005-0000-0000-0000B0030000}"/>
    <cellStyle name="Normal 110 3 4" xfId="2885" xr:uid="{00000000-0005-0000-0000-0000B1030000}"/>
    <cellStyle name="Normal 110 4" xfId="2886" xr:uid="{00000000-0005-0000-0000-0000B2030000}"/>
    <cellStyle name="Normal 110 4 2" xfId="2887" xr:uid="{00000000-0005-0000-0000-0000B3030000}"/>
    <cellStyle name="Normal 110 5" xfId="2888" xr:uid="{00000000-0005-0000-0000-0000B4030000}"/>
    <cellStyle name="Normal 110 6" xfId="2889" xr:uid="{00000000-0005-0000-0000-0000B5030000}"/>
    <cellStyle name="Normal 111" xfId="227" xr:uid="{00000000-0005-0000-0000-0000B6030000}"/>
    <cellStyle name="Normal 111 2" xfId="228" xr:uid="{00000000-0005-0000-0000-0000B7030000}"/>
    <cellStyle name="Normal 111 2 2" xfId="229" xr:uid="{00000000-0005-0000-0000-0000B8030000}"/>
    <cellStyle name="Normal 111 2 2 2" xfId="2890" xr:uid="{00000000-0005-0000-0000-0000B9030000}"/>
    <cellStyle name="Normal 111 2 2 2 2" xfId="2891" xr:uid="{00000000-0005-0000-0000-0000BA030000}"/>
    <cellStyle name="Normal 111 2 2 3" xfId="2892" xr:uid="{00000000-0005-0000-0000-0000BB030000}"/>
    <cellStyle name="Normal 111 2 2 4" xfId="2893" xr:uid="{00000000-0005-0000-0000-0000BC030000}"/>
    <cellStyle name="Normal 111 2 3" xfId="2894" xr:uid="{00000000-0005-0000-0000-0000BD030000}"/>
    <cellStyle name="Normal 111 2 3 2" xfId="2895" xr:uid="{00000000-0005-0000-0000-0000BE030000}"/>
    <cellStyle name="Normal 111 2 4" xfId="2896" xr:uid="{00000000-0005-0000-0000-0000BF030000}"/>
    <cellStyle name="Normal 111 2 5" xfId="2897" xr:uid="{00000000-0005-0000-0000-0000C0030000}"/>
    <cellStyle name="Normal 111 3" xfId="230" xr:uid="{00000000-0005-0000-0000-0000C1030000}"/>
    <cellStyle name="Normal 111 3 2" xfId="2898" xr:uid="{00000000-0005-0000-0000-0000C2030000}"/>
    <cellStyle name="Normal 111 3 2 2" xfId="2899" xr:uid="{00000000-0005-0000-0000-0000C3030000}"/>
    <cellStyle name="Normal 111 3 3" xfId="2900" xr:uid="{00000000-0005-0000-0000-0000C4030000}"/>
    <cellStyle name="Normal 111 3 4" xfId="2901" xr:uid="{00000000-0005-0000-0000-0000C5030000}"/>
    <cellStyle name="Normal 111 4" xfId="2902" xr:uid="{00000000-0005-0000-0000-0000C6030000}"/>
    <cellStyle name="Normal 111 4 2" xfId="2903" xr:uid="{00000000-0005-0000-0000-0000C7030000}"/>
    <cellStyle name="Normal 111 5" xfId="2904" xr:uid="{00000000-0005-0000-0000-0000C8030000}"/>
    <cellStyle name="Normal 111 6" xfId="2905" xr:uid="{00000000-0005-0000-0000-0000C9030000}"/>
    <cellStyle name="Normal 112" xfId="231" xr:uid="{00000000-0005-0000-0000-0000CA030000}"/>
    <cellStyle name="Normal 112 2" xfId="232" xr:uid="{00000000-0005-0000-0000-0000CB030000}"/>
    <cellStyle name="Normal 112 2 2" xfId="233" xr:uid="{00000000-0005-0000-0000-0000CC030000}"/>
    <cellStyle name="Normal 112 2 2 2" xfId="2906" xr:uid="{00000000-0005-0000-0000-0000CD030000}"/>
    <cellStyle name="Normal 112 2 2 2 2" xfId="2907" xr:uid="{00000000-0005-0000-0000-0000CE030000}"/>
    <cellStyle name="Normal 112 2 2 3" xfId="2908" xr:uid="{00000000-0005-0000-0000-0000CF030000}"/>
    <cellStyle name="Normal 112 2 2 4" xfId="2909" xr:uid="{00000000-0005-0000-0000-0000D0030000}"/>
    <cellStyle name="Normal 112 2 3" xfId="2910" xr:uid="{00000000-0005-0000-0000-0000D1030000}"/>
    <cellStyle name="Normal 112 2 3 2" xfId="2911" xr:uid="{00000000-0005-0000-0000-0000D2030000}"/>
    <cellStyle name="Normal 112 2 4" xfId="2912" xr:uid="{00000000-0005-0000-0000-0000D3030000}"/>
    <cellStyle name="Normal 112 2 5" xfId="2913" xr:uid="{00000000-0005-0000-0000-0000D4030000}"/>
    <cellStyle name="Normal 112 3" xfId="234" xr:uid="{00000000-0005-0000-0000-0000D5030000}"/>
    <cellStyle name="Normal 112 3 2" xfId="2914" xr:uid="{00000000-0005-0000-0000-0000D6030000}"/>
    <cellStyle name="Normal 112 3 2 2" xfId="2915" xr:uid="{00000000-0005-0000-0000-0000D7030000}"/>
    <cellStyle name="Normal 112 3 3" xfId="2916" xr:uid="{00000000-0005-0000-0000-0000D8030000}"/>
    <cellStyle name="Normal 112 3 4" xfId="2917" xr:uid="{00000000-0005-0000-0000-0000D9030000}"/>
    <cellStyle name="Normal 112 4" xfId="2918" xr:uid="{00000000-0005-0000-0000-0000DA030000}"/>
    <cellStyle name="Normal 112 4 2" xfId="2919" xr:uid="{00000000-0005-0000-0000-0000DB030000}"/>
    <cellStyle name="Normal 112 5" xfId="2920" xr:uid="{00000000-0005-0000-0000-0000DC030000}"/>
    <cellStyle name="Normal 112 6" xfId="2921" xr:uid="{00000000-0005-0000-0000-0000DD030000}"/>
    <cellStyle name="Normal 113" xfId="235" xr:uid="{00000000-0005-0000-0000-0000DE030000}"/>
    <cellStyle name="Normal 113 2" xfId="15" xr:uid="{00000000-0005-0000-0000-0000DF030000}"/>
    <cellStyle name="Normal 113 2 2" xfId="237" xr:uid="{00000000-0005-0000-0000-0000E0030000}"/>
    <cellStyle name="Normal 113 2 2 2" xfId="2922" xr:uid="{00000000-0005-0000-0000-0000E1030000}"/>
    <cellStyle name="Normal 113 2 2 2 2" xfId="2923" xr:uid="{00000000-0005-0000-0000-0000E2030000}"/>
    <cellStyle name="Normal 113 2 2 3" xfId="2924" xr:uid="{00000000-0005-0000-0000-0000E3030000}"/>
    <cellStyle name="Normal 113 2 2 4" xfId="2925" xr:uid="{00000000-0005-0000-0000-0000E4030000}"/>
    <cellStyle name="Normal 113 2 3" xfId="236" xr:uid="{00000000-0005-0000-0000-0000E5030000}"/>
    <cellStyle name="Normal 113 2 3 2" xfId="2926" xr:uid="{00000000-0005-0000-0000-0000E6030000}"/>
    <cellStyle name="Normal 113 2 3 2 2" xfId="2927" xr:uid="{00000000-0005-0000-0000-0000E7030000}"/>
    <cellStyle name="Normal 113 2 3 3" xfId="2928" xr:uid="{00000000-0005-0000-0000-0000E8030000}"/>
    <cellStyle name="Normal 113 2 3 4" xfId="2929" xr:uid="{00000000-0005-0000-0000-0000E9030000}"/>
    <cellStyle name="Normal 113 2 4" xfId="2930" xr:uid="{00000000-0005-0000-0000-0000EA030000}"/>
    <cellStyle name="Normal 113 2 4 2" xfId="2931" xr:uid="{00000000-0005-0000-0000-0000EB030000}"/>
    <cellStyle name="Normal 113 2 5" xfId="2932" xr:uid="{00000000-0005-0000-0000-0000EC030000}"/>
    <cellStyle name="Normal 113 2 6" xfId="2933" xr:uid="{00000000-0005-0000-0000-0000ED030000}"/>
    <cellStyle name="Normal 113 3" xfId="238" xr:uid="{00000000-0005-0000-0000-0000EE030000}"/>
    <cellStyle name="Normal 113 3 2" xfId="2934" xr:uid="{00000000-0005-0000-0000-0000EF030000}"/>
    <cellStyle name="Normal 113 3 2 2" xfId="2935" xr:uid="{00000000-0005-0000-0000-0000F0030000}"/>
    <cellStyle name="Normal 113 3 3" xfId="2936" xr:uid="{00000000-0005-0000-0000-0000F1030000}"/>
    <cellStyle name="Normal 113 3 4" xfId="2937" xr:uid="{00000000-0005-0000-0000-0000F2030000}"/>
    <cellStyle name="Normal 113 4" xfId="2938" xr:uid="{00000000-0005-0000-0000-0000F3030000}"/>
    <cellStyle name="Normal 113 4 2" xfId="2939" xr:uid="{00000000-0005-0000-0000-0000F4030000}"/>
    <cellStyle name="Normal 113 5" xfId="2940" xr:uid="{00000000-0005-0000-0000-0000F5030000}"/>
    <cellStyle name="Normal 113 6" xfId="2941" xr:uid="{00000000-0005-0000-0000-0000F6030000}"/>
    <cellStyle name="Normal 114" xfId="239" xr:uid="{00000000-0005-0000-0000-0000F7030000}"/>
    <cellStyle name="Normal 114 2" xfId="240" xr:uid="{00000000-0005-0000-0000-0000F8030000}"/>
    <cellStyle name="Normal 114 2 2" xfId="241" xr:uid="{00000000-0005-0000-0000-0000F9030000}"/>
    <cellStyle name="Normal 114 2 2 2" xfId="2942" xr:uid="{00000000-0005-0000-0000-0000FA030000}"/>
    <cellStyle name="Normal 114 2 2 2 2" xfId="2943" xr:uid="{00000000-0005-0000-0000-0000FB030000}"/>
    <cellStyle name="Normal 114 2 2 3" xfId="2944" xr:uid="{00000000-0005-0000-0000-0000FC030000}"/>
    <cellStyle name="Normal 114 2 2 4" xfId="2945" xr:uid="{00000000-0005-0000-0000-0000FD030000}"/>
    <cellStyle name="Normal 114 2 3" xfId="2946" xr:uid="{00000000-0005-0000-0000-0000FE030000}"/>
    <cellStyle name="Normal 114 2 3 2" xfId="2947" xr:uid="{00000000-0005-0000-0000-0000FF030000}"/>
    <cellStyle name="Normal 114 2 4" xfId="2948" xr:uid="{00000000-0005-0000-0000-000000040000}"/>
    <cellStyle name="Normal 114 2 5" xfId="2949" xr:uid="{00000000-0005-0000-0000-000001040000}"/>
    <cellStyle name="Normal 114 3" xfId="242" xr:uid="{00000000-0005-0000-0000-000002040000}"/>
    <cellStyle name="Normal 114 3 2" xfId="2950" xr:uid="{00000000-0005-0000-0000-000003040000}"/>
    <cellStyle name="Normal 114 3 2 2" xfId="2951" xr:uid="{00000000-0005-0000-0000-000004040000}"/>
    <cellStyle name="Normal 114 3 3" xfId="2952" xr:uid="{00000000-0005-0000-0000-000005040000}"/>
    <cellStyle name="Normal 114 3 4" xfId="2953" xr:uid="{00000000-0005-0000-0000-000006040000}"/>
    <cellStyle name="Normal 114 4" xfId="2954" xr:uid="{00000000-0005-0000-0000-000007040000}"/>
    <cellStyle name="Normal 114 4 2" xfId="2955" xr:uid="{00000000-0005-0000-0000-000008040000}"/>
    <cellStyle name="Normal 114 5" xfId="2956" xr:uid="{00000000-0005-0000-0000-000009040000}"/>
    <cellStyle name="Normal 114 6" xfId="2957" xr:uid="{00000000-0005-0000-0000-00000A040000}"/>
    <cellStyle name="Normal 115" xfId="243" xr:uid="{00000000-0005-0000-0000-00000B040000}"/>
    <cellStyle name="Normal 115 2" xfId="244" xr:uid="{00000000-0005-0000-0000-00000C040000}"/>
    <cellStyle name="Normal 115 2 2" xfId="245" xr:uid="{00000000-0005-0000-0000-00000D040000}"/>
    <cellStyle name="Normal 115 2 2 2" xfId="2958" xr:uid="{00000000-0005-0000-0000-00000E040000}"/>
    <cellStyle name="Normal 115 2 2 2 2" xfId="2959" xr:uid="{00000000-0005-0000-0000-00000F040000}"/>
    <cellStyle name="Normal 115 2 2 3" xfId="2960" xr:uid="{00000000-0005-0000-0000-000010040000}"/>
    <cellStyle name="Normal 115 2 2 4" xfId="2961" xr:uid="{00000000-0005-0000-0000-000011040000}"/>
    <cellStyle name="Normal 115 2 3" xfId="2962" xr:uid="{00000000-0005-0000-0000-000012040000}"/>
    <cellStyle name="Normal 115 2 3 2" xfId="2963" xr:uid="{00000000-0005-0000-0000-000013040000}"/>
    <cellStyle name="Normal 115 2 4" xfId="2964" xr:uid="{00000000-0005-0000-0000-000014040000}"/>
    <cellStyle name="Normal 115 2 5" xfId="2965" xr:uid="{00000000-0005-0000-0000-000015040000}"/>
    <cellStyle name="Normal 115 3" xfId="246" xr:uid="{00000000-0005-0000-0000-000016040000}"/>
    <cellStyle name="Normal 115 3 2" xfId="2966" xr:uid="{00000000-0005-0000-0000-000017040000}"/>
    <cellStyle name="Normal 115 3 2 2" xfId="2967" xr:uid="{00000000-0005-0000-0000-000018040000}"/>
    <cellStyle name="Normal 115 3 3" xfId="2968" xr:uid="{00000000-0005-0000-0000-000019040000}"/>
    <cellStyle name="Normal 115 3 4" xfId="2969" xr:uid="{00000000-0005-0000-0000-00001A040000}"/>
    <cellStyle name="Normal 115 4" xfId="2970" xr:uid="{00000000-0005-0000-0000-00001B040000}"/>
    <cellStyle name="Normal 115 4 2" xfId="2971" xr:uid="{00000000-0005-0000-0000-00001C040000}"/>
    <cellStyle name="Normal 115 5" xfId="2972" xr:uid="{00000000-0005-0000-0000-00001D040000}"/>
    <cellStyle name="Normal 115 6" xfId="2973" xr:uid="{00000000-0005-0000-0000-00001E040000}"/>
    <cellStyle name="Normal 116" xfId="247" xr:uid="{00000000-0005-0000-0000-00001F040000}"/>
    <cellStyle name="Normal 116 2" xfId="248" xr:uid="{00000000-0005-0000-0000-000020040000}"/>
    <cellStyle name="Normal 116 2 2" xfId="249" xr:uid="{00000000-0005-0000-0000-000021040000}"/>
    <cellStyle name="Normal 116 2 2 2" xfId="2974" xr:uid="{00000000-0005-0000-0000-000022040000}"/>
    <cellStyle name="Normal 116 2 2 2 2" xfId="2975" xr:uid="{00000000-0005-0000-0000-000023040000}"/>
    <cellStyle name="Normal 116 2 2 3" xfId="2976" xr:uid="{00000000-0005-0000-0000-000024040000}"/>
    <cellStyle name="Normal 116 2 2 4" xfId="2977" xr:uid="{00000000-0005-0000-0000-000025040000}"/>
    <cellStyle name="Normal 116 2 3" xfId="2978" xr:uid="{00000000-0005-0000-0000-000026040000}"/>
    <cellStyle name="Normal 116 2 3 2" xfId="2979" xr:uid="{00000000-0005-0000-0000-000027040000}"/>
    <cellStyle name="Normal 116 2 4" xfId="2980" xr:uid="{00000000-0005-0000-0000-000028040000}"/>
    <cellStyle name="Normal 116 2 5" xfId="2981" xr:uid="{00000000-0005-0000-0000-000029040000}"/>
    <cellStyle name="Normal 116 3" xfId="250" xr:uid="{00000000-0005-0000-0000-00002A040000}"/>
    <cellStyle name="Normal 116 3 2" xfId="2982" xr:uid="{00000000-0005-0000-0000-00002B040000}"/>
    <cellStyle name="Normal 116 3 2 2" xfId="2983" xr:uid="{00000000-0005-0000-0000-00002C040000}"/>
    <cellStyle name="Normal 116 3 3" xfId="2984" xr:uid="{00000000-0005-0000-0000-00002D040000}"/>
    <cellStyle name="Normal 116 3 4" xfId="2985" xr:uid="{00000000-0005-0000-0000-00002E040000}"/>
    <cellStyle name="Normal 116 4" xfId="2986" xr:uid="{00000000-0005-0000-0000-00002F040000}"/>
    <cellStyle name="Normal 116 4 2" xfId="2987" xr:uid="{00000000-0005-0000-0000-000030040000}"/>
    <cellStyle name="Normal 116 5" xfId="2988" xr:uid="{00000000-0005-0000-0000-000031040000}"/>
    <cellStyle name="Normal 116 6" xfId="2989" xr:uid="{00000000-0005-0000-0000-000032040000}"/>
    <cellStyle name="Normal 117" xfId="251" xr:uid="{00000000-0005-0000-0000-000033040000}"/>
    <cellStyle name="Normal 117 2" xfId="252" xr:uid="{00000000-0005-0000-0000-000034040000}"/>
    <cellStyle name="Normal 117 2 2" xfId="253" xr:uid="{00000000-0005-0000-0000-000035040000}"/>
    <cellStyle name="Normal 117 2 2 2" xfId="2990" xr:uid="{00000000-0005-0000-0000-000036040000}"/>
    <cellStyle name="Normal 117 2 2 2 2" xfId="2991" xr:uid="{00000000-0005-0000-0000-000037040000}"/>
    <cellStyle name="Normal 117 2 2 3" xfId="2992" xr:uid="{00000000-0005-0000-0000-000038040000}"/>
    <cellStyle name="Normal 117 2 2 4" xfId="2993" xr:uid="{00000000-0005-0000-0000-000039040000}"/>
    <cellStyle name="Normal 117 2 3" xfId="2994" xr:uid="{00000000-0005-0000-0000-00003A040000}"/>
    <cellStyle name="Normal 117 2 3 2" xfId="2995" xr:uid="{00000000-0005-0000-0000-00003B040000}"/>
    <cellStyle name="Normal 117 2 4" xfId="2996" xr:uid="{00000000-0005-0000-0000-00003C040000}"/>
    <cellStyle name="Normal 117 2 5" xfId="2997" xr:uid="{00000000-0005-0000-0000-00003D040000}"/>
    <cellStyle name="Normal 117 3" xfId="254" xr:uid="{00000000-0005-0000-0000-00003E040000}"/>
    <cellStyle name="Normal 117 3 2" xfId="2998" xr:uid="{00000000-0005-0000-0000-00003F040000}"/>
    <cellStyle name="Normal 117 3 2 2" xfId="2999" xr:uid="{00000000-0005-0000-0000-000040040000}"/>
    <cellStyle name="Normal 117 3 3" xfId="3000" xr:uid="{00000000-0005-0000-0000-000041040000}"/>
    <cellStyle name="Normal 117 3 4" xfId="3001" xr:uid="{00000000-0005-0000-0000-000042040000}"/>
    <cellStyle name="Normal 117 4" xfId="3002" xr:uid="{00000000-0005-0000-0000-000043040000}"/>
    <cellStyle name="Normal 117 4 2" xfId="3003" xr:uid="{00000000-0005-0000-0000-000044040000}"/>
    <cellStyle name="Normal 117 5" xfId="3004" xr:uid="{00000000-0005-0000-0000-000045040000}"/>
    <cellStyle name="Normal 117 6" xfId="3005" xr:uid="{00000000-0005-0000-0000-000046040000}"/>
    <cellStyle name="Normal 118" xfId="255" xr:uid="{00000000-0005-0000-0000-000047040000}"/>
    <cellStyle name="Normal 118 2" xfId="256" xr:uid="{00000000-0005-0000-0000-000048040000}"/>
    <cellStyle name="Normal 118 2 2" xfId="257" xr:uid="{00000000-0005-0000-0000-000049040000}"/>
    <cellStyle name="Normal 118 2 2 2" xfId="3006" xr:uid="{00000000-0005-0000-0000-00004A040000}"/>
    <cellStyle name="Normal 118 2 2 2 2" xfId="3007" xr:uid="{00000000-0005-0000-0000-00004B040000}"/>
    <cellStyle name="Normal 118 2 2 3" xfId="3008" xr:uid="{00000000-0005-0000-0000-00004C040000}"/>
    <cellStyle name="Normal 118 2 2 4" xfId="3009" xr:uid="{00000000-0005-0000-0000-00004D040000}"/>
    <cellStyle name="Normal 118 2 3" xfId="3010" xr:uid="{00000000-0005-0000-0000-00004E040000}"/>
    <cellStyle name="Normal 118 2 3 2" xfId="3011" xr:uid="{00000000-0005-0000-0000-00004F040000}"/>
    <cellStyle name="Normal 118 2 4" xfId="3012" xr:uid="{00000000-0005-0000-0000-000050040000}"/>
    <cellStyle name="Normal 118 2 5" xfId="3013" xr:uid="{00000000-0005-0000-0000-000051040000}"/>
    <cellStyle name="Normal 118 3" xfId="258" xr:uid="{00000000-0005-0000-0000-000052040000}"/>
    <cellStyle name="Normal 118 3 2" xfId="3014" xr:uid="{00000000-0005-0000-0000-000053040000}"/>
    <cellStyle name="Normal 118 3 2 2" xfId="3015" xr:uid="{00000000-0005-0000-0000-000054040000}"/>
    <cellStyle name="Normal 118 3 3" xfId="3016" xr:uid="{00000000-0005-0000-0000-000055040000}"/>
    <cellStyle name="Normal 118 3 4" xfId="3017" xr:uid="{00000000-0005-0000-0000-000056040000}"/>
    <cellStyle name="Normal 118 4" xfId="3018" xr:uid="{00000000-0005-0000-0000-000057040000}"/>
    <cellStyle name="Normal 118 4 2" xfId="3019" xr:uid="{00000000-0005-0000-0000-000058040000}"/>
    <cellStyle name="Normal 118 5" xfId="3020" xr:uid="{00000000-0005-0000-0000-000059040000}"/>
    <cellStyle name="Normal 118 6" xfId="3021" xr:uid="{00000000-0005-0000-0000-00005A040000}"/>
    <cellStyle name="Normal 119" xfId="259" xr:uid="{00000000-0005-0000-0000-00005B040000}"/>
    <cellStyle name="Normal 119 2" xfId="260" xr:uid="{00000000-0005-0000-0000-00005C040000}"/>
    <cellStyle name="Normal 119 2 2" xfId="261" xr:uid="{00000000-0005-0000-0000-00005D040000}"/>
    <cellStyle name="Normal 119 2 2 2" xfId="3022" xr:uid="{00000000-0005-0000-0000-00005E040000}"/>
    <cellStyle name="Normal 119 2 2 2 2" xfId="3023" xr:uid="{00000000-0005-0000-0000-00005F040000}"/>
    <cellStyle name="Normal 119 2 2 3" xfId="3024" xr:uid="{00000000-0005-0000-0000-000060040000}"/>
    <cellStyle name="Normal 119 2 2 4" xfId="3025" xr:uid="{00000000-0005-0000-0000-000061040000}"/>
    <cellStyle name="Normal 119 2 3" xfId="3026" xr:uid="{00000000-0005-0000-0000-000062040000}"/>
    <cellStyle name="Normal 119 2 3 2" xfId="3027" xr:uid="{00000000-0005-0000-0000-000063040000}"/>
    <cellStyle name="Normal 119 2 4" xfId="3028" xr:uid="{00000000-0005-0000-0000-000064040000}"/>
    <cellStyle name="Normal 119 2 5" xfId="3029" xr:uid="{00000000-0005-0000-0000-000065040000}"/>
    <cellStyle name="Normal 119 3" xfId="262" xr:uid="{00000000-0005-0000-0000-000066040000}"/>
    <cellStyle name="Normal 119 3 2" xfId="3030" xr:uid="{00000000-0005-0000-0000-000067040000}"/>
    <cellStyle name="Normal 119 3 2 2" xfId="3031" xr:uid="{00000000-0005-0000-0000-000068040000}"/>
    <cellStyle name="Normal 119 3 3" xfId="3032" xr:uid="{00000000-0005-0000-0000-000069040000}"/>
    <cellStyle name="Normal 119 3 4" xfId="3033" xr:uid="{00000000-0005-0000-0000-00006A040000}"/>
    <cellStyle name="Normal 119 4" xfId="3034" xr:uid="{00000000-0005-0000-0000-00006B040000}"/>
    <cellStyle name="Normal 119 4 2" xfId="3035" xr:uid="{00000000-0005-0000-0000-00006C040000}"/>
    <cellStyle name="Normal 119 5" xfId="3036" xr:uid="{00000000-0005-0000-0000-00006D040000}"/>
    <cellStyle name="Normal 119 6" xfId="3037" xr:uid="{00000000-0005-0000-0000-00006E040000}"/>
    <cellStyle name="Normal 12" xfId="263" xr:uid="{00000000-0005-0000-0000-00006F040000}"/>
    <cellStyle name="Normal 12 2" xfId="264" xr:uid="{00000000-0005-0000-0000-000070040000}"/>
    <cellStyle name="Normal 12 2 2" xfId="265" xr:uid="{00000000-0005-0000-0000-000071040000}"/>
    <cellStyle name="Normal 12 2 2 2" xfId="266" xr:uid="{00000000-0005-0000-0000-000072040000}"/>
    <cellStyle name="Normal 12 2 2 2 2" xfId="267" xr:uid="{00000000-0005-0000-0000-000073040000}"/>
    <cellStyle name="Normal 12 2 2 2 2 2" xfId="268" xr:uid="{00000000-0005-0000-0000-000074040000}"/>
    <cellStyle name="Normal 12 2 2 2 2 2 2" xfId="3038" xr:uid="{00000000-0005-0000-0000-000075040000}"/>
    <cellStyle name="Normal 12 2 2 2 2 2 2 2" xfId="3039" xr:uid="{00000000-0005-0000-0000-000076040000}"/>
    <cellStyle name="Normal 12 2 2 2 2 2 3" xfId="3040" xr:uid="{00000000-0005-0000-0000-000077040000}"/>
    <cellStyle name="Normal 12 2 2 2 2 2 4" xfId="3041" xr:uid="{00000000-0005-0000-0000-000078040000}"/>
    <cellStyle name="Normal 12 2 2 2 2 3" xfId="3042" xr:uid="{00000000-0005-0000-0000-000079040000}"/>
    <cellStyle name="Normal 12 2 2 2 2 3 2" xfId="3043" xr:uid="{00000000-0005-0000-0000-00007A040000}"/>
    <cellStyle name="Normal 12 2 2 2 2 4" xfId="3044" xr:uid="{00000000-0005-0000-0000-00007B040000}"/>
    <cellStyle name="Normal 12 2 2 2 2 5" xfId="3045" xr:uid="{00000000-0005-0000-0000-00007C040000}"/>
    <cellStyle name="Normal 12 2 2 2 3" xfId="269" xr:uid="{00000000-0005-0000-0000-00007D040000}"/>
    <cellStyle name="Normal 12 2 2 2 3 2" xfId="3046" xr:uid="{00000000-0005-0000-0000-00007E040000}"/>
    <cellStyle name="Normal 12 2 2 2 3 2 2" xfId="3047" xr:uid="{00000000-0005-0000-0000-00007F040000}"/>
    <cellStyle name="Normal 12 2 2 2 3 3" xfId="3048" xr:uid="{00000000-0005-0000-0000-000080040000}"/>
    <cellStyle name="Normal 12 2 2 2 3 4" xfId="3049" xr:uid="{00000000-0005-0000-0000-000081040000}"/>
    <cellStyle name="Normal 12 2 2 2 4" xfId="3050" xr:uid="{00000000-0005-0000-0000-000082040000}"/>
    <cellStyle name="Normal 12 2 2 2 4 2" xfId="3051" xr:uid="{00000000-0005-0000-0000-000083040000}"/>
    <cellStyle name="Normal 12 2 2 2 5" xfId="3052" xr:uid="{00000000-0005-0000-0000-000084040000}"/>
    <cellStyle name="Normal 12 2 2 2 6" xfId="3053" xr:uid="{00000000-0005-0000-0000-000085040000}"/>
    <cellStyle name="Normal 12 2 2 3" xfId="270" xr:uid="{00000000-0005-0000-0000-000086040000}"/>
    <cellStyle name="Normal 12 2 2 3 2" xfId="271" xr:uid="{00000000-0005-0000-0000-000087040000}"/>
    <cellStyle name="Normal 12 2 2 3 2 2" xfId="3054" xr:uid="{00000000-0005-0000-0000-000088040000}"/>
    <cellStyle name="Normal 12 2 2 3 2 2 2" xfId="3055" xr:uid="{00000000-0005-0000-0000-000089040000}"/>
    <cellStyle name="Normal 12 2 2 3 2 3" xfId="3056" xr:uid="{00000000-0005-0000-0000-00008A040000}"/>
    <cellStyle name="Normal 12 2 2 3 2 4" xfId="3057" xr:uid="{00000000-0005-0000-0000-00008B040000}"/>
    <cellStyle name="Normal 12 2 2 3 3" xfId="3058" xr:uid="{00000000-0005-0000-0000-00008C040000}"/>
    <cellStyle name="Normal 12 2 2 3 3 2" xfId="3059" xr:uid="{00000000-0005-0000-0000-00008D040000}"/>
    <cellStyle name="Normal 12 2 2 3 4" xfId="3060" xr:uid="{00000000-0005-0000-0000-00008E040000}"/>
    <cellStyle name="Normal 12 2 2 3 5" xfId="3061" xr:uid="{00000000-0005-0000-0000-00008F040000}"/>
    <cellStyle name="Normal 12 2 2 4" xfId="272" xr:uid="{00000000-0005-0000-0000-000090040000}"/>
    <cellStyle name="Normal 12 2 2 4 2" xfId="3062" xr:uid="{00000000-0005-0000-0000-000091040000}"/>
    <cellStyle name="Normal 12 2 2 4 2 2" xfId="3063" xr:uid="{00000000-0005-0000-0000-000092040000}"/>
    <cellStyle name="Normal 12 2 2 4 3" xfId="3064" xr:uid="{00000000-0005-0000-0000-000093040000}"/>
    <cellStyle name="Normal 12 2 2 4 4" xfId="3065" xr:uid="{00000000-0005-0000-0000-000094040000}"/>
    <cellStyle name="Normal 12 2 2 5" xfId="3066" xr:uid="{00000000-0005-0000-0000-000095040000}"/>
    <cellStyle name="Normal 12 2 2 5 2" xfId="3067" xr:uid="{00000000-0005-0000-0000-000096040000}"/>
    <cellStyle name="Normal 12 2 2 6" xfId="3068" xr:uid="{00000000-0005-0000-0000-000097040000}"/>
    <cellStyle name="Normal 12 2 2 7" xfId="3069" xr:uid="{00000000-0005-0000-0000-000098040000}"/>
    <cellStyle name="Normal 12 2 3" xfId="273" xr:uid="{00000000-0005-0000-0000-000099040000}"/>
    <cellStyle name="Normal 12 2 3 2" xfId="274" xr:uid="{00000000-0005-0000-0000-00009A040000}"/>
    <cellStyle name="Normal 12 2 3 2 2" xfId="275" xr:uid="{00000000-0005-0000-0000-00009B040000}"/>
    <cellStyle name="Normal 12 2 3 2 2 2" xfId="3070" xr:uid="{00000000-0005-0000-0000-00009C040000}"/>
    <cellStyle name="Normal 12 2 3 2 2 2 2" xfId="3071" xr:uid="{00000000-0005-0000-0000-00009D040000}"/>
    <cellStyle name="Normal 12 2 3 2 2 3" xfId="3072" xr:uid="{00000000-0005-0000-0000-00009E040000}"/>
    <cellStyle name="Normal 12 2 3 2 2 4" xfId="3073" xr:uid="{00000000-0005-0000-0000-00009F040000}"/>
    <cellStyle name="Normal 12 2 3 2 3" xfId="3074" xr:uid="{00000000-0005-0000-0000-0000A0040000}"/>
    <cellStyle name="Normal 12 2 3 2 3 2" xfId="3075" xr:uid="{00000000-0005-0000-0000-0000A1040000}"/>
    <cellStyle name="Normal 12 2 3 2 4" xfId="3076" xr:uid="{00000000-0005-0000-0000-0000A2040000}"/>
    <cellStyle name="Normal 12 2 3 2 5" xfId="3077" xr:uid="{00000000-0005-0000-0000-0000A3040000}"/>
    <cellStyle name="Normal 12 2 3 3" xfId="276" xr:uid="{00000000-0005-0000-0000-0000A4040000}"/>
    <cellStyle name="Normal 12 2 3 3 2" xfId="3078" xr:uid="{00000000-0005-0000-0000-0000A5040000}"/>
    <cellStyle name="Normal 12 2 3 3 2 2" xfId="3079" xr:uid="{00000000-0005-0000-0000-0000A6040000}"/>
    <cellStyle name="Normal 12 2 3 3 3" xfId="3080" xr:uid="{00000000-0005-0000-0000-0000A7040000}"/>
    <cellStyle name="Normal 12 2 3 3 4" xfId="3081" xr:uid="{00000000-0005-0000-0000-0000A8040000}"/>
    <cellStyle name="Normal 12 2 3 4" xfId="3082" xr:uid="{00000000-0005-0000-0000-0000A9040000}"/>
    <cellStyle name="Normal 12 2 3 4 2" xfId="3083" xr:uid="{00000000-0005-0000-0000-0000AA040000}"/>
    <cellStyle name="Normal 12 2 3 5" xfId="3084" xr:uid="{00000000-0005-0000-0000-0000AB040000}"/>
    <cellStyle name="Normal 12 2 3 6" xfId="3085" xr:uid="{00000000-0005-0000-0000-0000AC040000}"/>
    <cellStyle name="Normal 12 2 4" xfId="277" xr:uid="{00000000-0005-0000-0000-0000AD040000}"/>
    <cellStyle name="Normal 12 2 4 2" xfId="278" xr:uid="{00000000-0005-0000-0000-0000AE040000}"/>
    <cellStyle name="Normal 12 2 4 2 2" xfId="3086" xr:uid="{00000000-0005-0000-0000-0000AF040000}"/>
    <cellStyle name="Normal 12 2 4 2 2 2" xfId="3087" xr:uid="{00000000-0005-0000-0000-0000B0040000}"/>
    <cellStyle name="Normal 12 2 4 2 3" xfId="3088" xr:uid="{00000000-0005-0000-0000-0000B1040000}"/>
    <cellStyle name="Normal 12 2 4 2 4" xfId="3089" xr:uid="{00000000-0005-0000-0000-0000B2040000}"/>
    <cellStyle name="Normal 12 2 4 3" xfId="3090" xr:uid="{00000000-0005-0000-0000-0000B3040000}"/>
    <cellStyle name="Normal 12 2 4 3 2" xfId="3091" xr:uid="{00000000-0005-0000-0000-0000B4040000}"/>
    <cellStyle name="Normal 12 2 4 4" xfId="3092" xr:uid="{00000000-0005-0000-0000-0000B5040000}"/>
    <cellStyle name="Normal 12 2 4 5" xfId="3093" xr:uid="{00000000-0005-0000-0000-0000B6040000}"/>
    <cellStyle name="Normal 12 2 5" xfId="279" xr:uid="{00000000-0005-0000-0000-0000B7040000}"/>
    <cellStyle name="Normal 12 2 5 2" xfId="3094" xr:uid="{00000000-0005-0000-0000-0000B8040000}"/>
    <cellStyle name="Normal 12 2 5 2 2" xfId="3095" xr:uid="{00000000-0005-0000-0000-0000B9040000}"/>
    <cellStyle name="Normal 12 2 5 3" xfId="3096" xr:uid="{00000000-0005-0000-0000-0000BA040000}"/>
    <cellStyle name="Normal 12 2 5 4" xfId="3097" xr:uid="{00000000-0005-0000-0000-0000BB040000}"/>
    <cellStyle name="Normal 12 2 6" xfId="3098" xr:uid="{00000000-0005-0000-0000-0000BC040000}"/>
    <cellStyle name="Normal 12 2 6 2" xfId="3099" xr:uid="{00000000-0005-0000-0000-0000BD040000}"/>
    <cellStyle name="Normal 12 2 7" xfId="3100" xr:uid="{00000000-0005-0000-0000-0000BE040000}"/>
    <cellStyle name="Normal 12 2 8" xfId="3101" xr:uid="{00000000-0005-0000-0000-0000BF040000}"/>
    <cellStyle name="Normal 12 3" xfId="280" xr:uid="{00000000-0005-0000-0000-0000C0040000}"/>
    <cellStyle name="Normal 12 3 2" xfId="281" xr:uid="{00000000-0005-0000-0000-0000C1040000}"/>
    <cellStyle name="Normal 12 3 2 2" xfId="282" xr:uid="{00000000-0005-0000-0000-0000C2040000}"/>
    <cellStyle name="Normal 12 3 2 2 2" xfId="283" xr:uid="{00000000-0005-0000-0000-0000C3040000}"/>
    <cellStyle name="Normal 12 3 2 2 2 2" xfId="3102" xr:uid="{00000000-0005-0000-0000-0000C4040000}"/>
    <cellStyle name="Normal 12 3 2 2 2 2 2" xfId="3103" xr:uid="{00000000-0005-0000-0000-0000C5040000}"/>
    <cellStyle name="Normal 12 3 2 2 2 3" xfId="3104" xr:uid="{00000000-0005-0000-0000-0000C6040000}"/>
    <cellStyle name="Normal 12 3 2 2 2 4" xfId="3105" xr:uid="{00000000-0005-0000-0000-0000C7040000}"/>
    <cellStyle name="Normal 12 3 2 2 3" xfId="3106" xr:uid="{00000000-0005-0000-0000-0000C8040000}"/>
    <cellStyle name="Normal 12 3 2 2 3 2" xfId="3107" xr:uid="{00000000-0005-0000-0000-0000C9040000}"/>
    <cellStyle name="Normal 12 3 2 2 4" xfId="3108" xr:uid="{00000000-0005-0000-0000-0000CA040000}"/>
    <cellStyle name="Normal 12 3 2 2 5" xfId="3109" xr:uid="{00000000-0005-0000-0000-0000CB040000}"/>
    <cellStyle name="Normal 12 3 2 3" xfId="284" xr:uid="{00000000-0005-0000-0000-0000CC040000}"/>
    <cellStyle name="Normal 12 3 2 3 2" xfId="3110" xr:uid="{00000000-0005-0000-0000-0000CD040000}"/>
    <cellStyle name="Normal 12 3 2 3 2 2" xfId="3111" xr:uid="{00000000-0005-0000-0000-0000CE040000}"/>
    <cellStyle name="Normal 12 3 2 3 3" xfId="3112" xr:uid="{00000000-0005-0000-0000-0000CF040000}"/>
    <cellStyle name="Normal 12 3 2 3 4" xfId="3113" xr:uid="{00000000-0005-0000-0000-0000D0040000}"/>
    <cellStyle name="Normal 12 3 2 4" xfId="3114" xr:uid="{00000000-0005-0000-0000-0000D1040000}"/>
    <cellStyle name="Normal 12 3 2 4 2" xfId="3115" xr:uid="{00000000-0005-0000-0000-0000D2040000}"/>
    <cellStyle name="Normal 12 3 2 5" xfId="3116" xr:uid="{00000000-0005-0000-0000-0000D3040000}"/>
    <cellStyle name="Normal 12 3 2 6" xfId="3117" xr:uid="{00000000-0005-0000-0000-0000D4040000}"/>
    <cellStyle name="Normal 12 3 3" xfId="285" xr:uid="{00000000-0005-0000-0000-0000D5040000}"/>
    <cellStyle name="Normal 12 3 3 2" xfId="286" xr:uid="{00000000-0005-0000-0000-0000D6040000}"/>
    <cellStyle name="Normal 12 3 3 2 2" xfId="3118" xr:uid="{00000000-0005-0000-0000-0000D7040000}"/>
    <cellStyle name="Normal 12 3 3 2 2 2" xfId="3119" xr:uid="{00000000-0005-0000-0000-0000D8040000}"/>
    <cellStyle name="Normal 12 3 3 2 3" xfId="3120" xr:uid="{00000000-0005-0000-0000-0000D9040000}"/>
    <cellStyle name="Normal 12 3 3 2 4" xfId="3121" xr:uid="{00000000-0005-0000-0000-0000DA040000}"/>
    <cellStyle name="Normal 12 3 3 3" xfId="3122" xr:uid="{00000000-0005-0000-0000-0000DB040000}"/>
    <cellStyle name="Normal 12 3 3 3 2" xfId="3123" xr:uid="{00000000-0005-0000-0000-0000DC040000}"/>
    <cellStyle name="Normal 12 3 3 4" xfId="3124" xr:uid="{00000000-0005-0000-0000-0000DD040000}"/>
    <cellStyle name="Normal 12 3 3 5" xfId="3125" xr:uid="{00000000-0005-0000-0000-0000DE040000}"/>
    <cellStyle name="Normal 12 3 4" xfId="287" xr:uid="{00000000-0005-0000-0000-0000DF040000}"/>
    <cellStyle name="Normal 12 3 4 2" xfId="3126" xr:uid="{00000000-0005-0000-0000-0000E0040000}"/>
    <cellStyle name="Normal 12 3 4 2 2" xfId="3127" xr:uid="{00000000-0005-0000-0000-0000E1040000}"/>
    <cellStyle name="Normal 12 3 4 3" xfId="3128" xr:uid="{00000000-0005-0000-0000-0000E2040000}"/>
    <cellStyle name="Normal 12 3 4 4" xfId="3129" xr:uid="{00000000-0005-0000-0000-0000E3040000}"/>
    <cellStyle name="Normal 12 3 5" xfId="3130" xr:uid="{00000000-0005-0000-0000-0000E4040000}"/>
    <cellStyle name="Normal 12 3 5 2" xfId="3131" xr:uid="{00000000-0005-0000-0000-0000E5040000}"/>
    <cellStyle name="Normal 12 3 6" xfId="3132" xr:uid="{00000000-0005-0000-0000-0000E6040000}"/>
    <cellStyle name="Normal 12 3 7" xfId="3133" xr:uid="{00000000-0005-0000-0000-0000E7040000}"/>
    <cellStyle name="Normal 12 4" xfId="288" xr:uid="{00000000-0005-0000-0000-0000E8040000}"/>
    <cellStyle name="Normal 12 4 2" xfId="289" xr:uid="{00000000-0005-0000-0000-0000E9040000}"/>
    <cellStyle name="Normal 12 4 2 2" xfId="290" xr:uid="{00000000-0005-0000-0000-0000EA040000}"/>
    <cellStyle name="Normal 12 4 2 2 2" xfId="3134" xr:uid="{00000000-0005-0000-0000-0000EB040000}"/>
    <cellStyle name="Normal 12 4 2 2 2 2" xfId="3135" xr:uid="{00000000-0005-0000-0000-0000EC040000}"/>
    <cellStyle name="Normal 12 4 2 2 3" xfId="3136" xr:uid="{00000000-0005-0000-0000-0000ED040000}"/>
    <cellStyle name="Normal 12 4 2 2 4" xfId="3137" xr:uid="{00000000-0005-0000-0000-0000EE040000}"/>
    <cellStyle name="Normal 12 4 2 3" xfId="3138" xr:uid="{00000000-0005-0000-0000-0000EF040000}"/>
    <cellStyle name="Normal 12 4 2 3 2" xfId="3139" xr:uid="{00000000-0005-0000-0000-0000F0040000}"/>
    <cellStyle name="Normal 12 4 2 4" xfId="3140" xr:uid="{00000000-0005-0000-0000-0000F1040000}"/>
    <cellStyle name="Normal 12 4 2 5" xfId="3141" xr:uid="{00000000-0005-0000-0000-0000F2040000}"/>
    <cellStyle name="Normal 12 4 3" xfId="291" xr:uid="{00000000-0005-0000-0000-0000F3040000}"/>
    <cellStyle name="Normal 12 4 3 2" xfId="3142" xr:uid="{00000000-0005-0000-0000-0000F4040000}"/>
    <cellStyle name="Normal 12 4 3 2 2" xfId="3143" xr:uid="{00000000-0005-0000-0000-0000F5040000}"/>
    <cellStyle name="Normal 12 4 3 3" xfId="3144" xr:uid="{00000000-0005-0000-0000-0000F6040000}"/>
    <cellStyle name="Normal 12 4 3 4" xfId="3145" xr:uid="{00000000-0005-0000-0000-0000F7040000}"/>
    <cellStyle name="Normal 12 4 4" xfId="3146" xr:uid="{00000000-0005-0000-0000-0000F8040000}"/>
    <cellStyle name="Normal 12 4 4 2" xfId="3147" xr:uid="{00000000-0005-0000-0000-0000F9040000}"/>
    <cellStyle name="Normal 12 4 5" xfId="3148" xr:uid="{00000000-0005-0000-0000-0000FA040000}"/>
    <cellStyle name="Normal 12 4 6" xfId="3149" xr:uid="{00000000-0005-0000-0000-0000FB040000}"/>
    <cellStyle name="Normal 12 5" xfId="292" xr:uid="{00000000-0005-0000-0000-0000FC040000}"/>
    <cellStyle name="Normal 12 5 2" xfId="293" xr:uid="{00000000-0005-0000-0000-0000FD040000}"/>
    <cellStyle name="Normal 12 5 2 2" xfId="3150" xr:uid="{00000000-0005-0000-0000-0000FE040000}"/>
    <cellStyle name="Normal 12 5 2 2 2" xfId="3151" xr:uid="{00000000-0005-0000-0000-0000FF040000}"/>
    <cellStyle name="Normal 12 5 2 3" xfId="3152" xr:uid="{00000000-0005-0000-0000-000000050000}"/>
    <cellStyle name="Normal 12 5 2 4" xfId="3153" xr:uid="{00000000-0005-0000-0000-000001050000}"/>
    <cellStyle name="Normal 12 5 3" xfId="3154" xr:uid="{00000000-0005-0000-0000-000002050000}"/>
    <cellStyle name="Normal 12 5 3 2" xfId="3155" xr:uid="{00000000-0005-0000-0000-000003050000}"/>
    <cellStyle name="Normal 12 5 4" xfId="3156" xr:uid="{00000000-0005-0000-0000-000004050000}"/>
    <cellStyle name="Normal 12 5 5" xfId="3157" xr:uid="{00000000-0005-0000-0000-000005050000}"/>
    <cellStyle name="Normal 12 6" xfId="294" xr:uid="{00000000-0005-0000-0000-000006050000}"/>
    <cellStyle name="Normal 12 6 2" xfId="3158" xr:uid="{00000000-0005-0000-0000-000007050000}"/>
    <cellStyle name="Normal 12 6 2 2" xfId="3159" xr:uid="{00000000-0005-0000-0000-000008050000}"/>
    <cellStyle name="Normal 12 6 3" xfId="3160" xr:uid="{00000000-0005-0000-0000-000009050000}"/>
    <cellStyle name="Normal 12 6 4" xfId="3161" xr:uid="{00000000-0005-0000-0000-00000A050000}"/>
    <cellStyle name="Normal 12 7" xfId="2143" xr:uid="{00000000-0005-0000-0000-00000B050000}"/>
    <cellStyle name="Normal 12 7 2" xfId="3162" xr:uid="{00000000-0005-0000-0000-00000C050000}"/>
    <cellStyle name="Normal 12 7 2 2" xfId="10345" xr:uid="{00000000-0005-0000-0000-00000D050000}"/>
    <cellStyle name="Normal 12 7 3" xfId="10339" xr:uid="{00000000-0005-0000-0000-00000E050000}"/>
    <cellStyle name="Normal 12 8" xfId="3163" xr:uid="{00000000-0005-0000-0000-00000F050000}"/>
    <cellStyle name="Normal 12 8 2" xfId="10341" xr:uid="{00000000-0005-0000-0000-000010050000}"/>
    <cellStyle name="Normal 12 9" xfId="3164" xr:uid="{00000000-0005-0000-0000-000011050000}"/>
    <cellStyle name="Normal 12 9 2" xfId="10334" xr:uid="{00000000-0005-0000-0000-000012050000}"/>
    <cellStyle name="Normal 120" xfId="295" xr:uid="{00000000-0005-0000-0000-000013050000}"/>
    <cellStyle name="Normal 120 2" xfId="296" xr:uid="{00000000-0005-0000-0000-000014050000}"/>
    <cellStyle name="Normal 120 2 2" xfId="297" xr:uid="{00000000-0005-0000-0000-000015050000}"/>
    <cellStyle name="Normal 120 2 2 2" xfId="3165" xr:uid="{00000000-0005-0000-0000-000016050000}"/>
    <cellStyle name="Normal 120 2 2 2 2" xfId="3166" xr:uid="{00000000-0005-0000-0000-000017050000}"/>
    <cellStyle name="Normal 120 2 2 3" xfId="3167" xr:uid="{00000000-0005-0000-0000-000018050000}"/>
    <cellStyle name="Normal 120 2 2 4" xfId="3168" xr:uid="{00000000-0005-0000-0000-000019050000}"/>
    <cellStyle name="Normal 120 2 3" xfId="3169" xr:uid="{00000000-0005-0000-0000-00001A050000}"/>
    <cellStyle name="Normal 120 2 3 2" xfId="3170" xr:uid="{00000000-0005-0000-0000-00001B050000}"/>
    <cellStyle name="Normal 120 2 4" xfId="3171" xr:uid="{00000000-0005-0000-0000-00001C050000}"/>
    <cellStyle name="Normal 120 2 5" xfId="3172" xr:uid="{00000000-0005-0000-0000-00001D050000}"/>
    <cellStyle name="Normal 120 3" xfId="298" xr:uid="{00000000-0005-0000-0000-00001E050000}"/>
    <cellStyle name="Normal 120 3 2" xfId="3173" xr:uid="{00000000-0005-0000-0000-00001F050000}"/>
    <cellStyle name="Normal 120 3 2 2" xfId="3174" xr:uid="{00000000-0005-0000-0000-000020050000}"/>
    <cellStyle name="Normal 120 3 3" xfId="3175" xr:uid="{00000000-0005-0000-0000-000021050000}"/>
    <cellStyle name="Normal 120 3 4" xfId="3176" xr:uid="{00000000-0005-0000-0000-000022050000}"/>
    <cellStyle name="Normal 120 4" xfId="3177" xr:uid="{00000000-0005-0000-0000-000023050000}"/>
    <cellStyle name="Normal 120 4 2" xfId="3178" xr:uid="{00000000-0005-0000-0000-000024050000}"/>
    <cellStyle name="Normal 120 5" xfId="3179" xr:uid="{00000000-0005-0000-0000-000025050000}"/>
    <cellStyle name="Normal 120 6" xfId="3180" xr:uid="{00000000-0005-0000-0000-000026050000}"/>
    <cellStyle name="Normal 121" xfId="299" xr:uid="{00000000-0005-0000-0000-000027050000}"/>
    <cellStyle name="Normal 121 2" xfId="300" xr:uid="{00000000-0005-0000-0000-000028050000}"/>
    <cellStyle name="Normal 121 2 2" xfId="301" xr:uid="{00000000-0005-0000-0000-000029050000}"/>
    <cellStyle name="Normal 121 2 2 2" xfId="3181" xr:uid="{00000000-0005-0000-0000-00002A050000}"/>
    <cellStyle name="Normal 121 2 2 2 2" xfId="3182" xr:uid="{00000000-0005-0000-0000-00002B050000}"/>
    <cellStyle name="Normal 121 2 2 3" xfId="3183" xr:uid="{00000000-0005-0000-0000-00002C050000}"/>
    <cellStyle name="Normal 121 2 2 4" xfId="3184" xr:uid="{00000000-0005-0000-0000-00002D050000}"/>
    <cellStyle name="Normal 121 2 3" xfId="3185" xr:uid="{00000000-0005-0000-0000-00002E050000}"/>
    <cellStyle name="Normal 121 2 3 2" xfId="3186" xr:uid="{00000000-0005-0000-0000-00002F050000}"/>
    <cellStyle name="Normal 121 2 4" xfId="3187" xr:uid="{00000000-0005-0000-0000-000030050000}"/>
    <cellStyle name="Normal 121 2 5" xfId="3188" xr:uid="{00000000-0005-0000-0000-000031050000}"/>
    <cellStyle name="Normal 121 3" xfId="302" xr:uid="{00000000-0005-0000-0000-000032050000}"/>
    <cellStyle name="Normal 121 3 2" xfId="3189" xr:uid="{00000000-0005-0000-0000-000033050000}"/>
    <cellStyle name="Normal 121 3 2 2" xfId="3190" xr:uid="{00000000-0005-0000-0000-000034050000}"/>
    <cellStyle name="Normal 121 3 3" xfId="3191" xr:uid="{00000000-0005-0000-0000-000035050000}"/>
    <cellStyle name="Normal 121 3 4" xfId="3192" xr:uid="{00000000-0005-0000-0000-000036050000}"/>
    <cellStyle name="Normal 121 4" xfId="3193" xr:uid="{00000000-0005-0000-0000-000037050000}"/>
    <cellStyle name="Normal 121 4 2" xfId="3194" xr:uid="{00000000-0005-0000-0000-000038050000}"/>
    <cellStyle name="Normal 121 5" xfId="3195" xr:uid="{00000000-0005-0000-0000-000039050000}"/>
    <cellStyle name="Normal 121 6" xfId="3196" xr:uid="{00000000-0005-0000-0000-00003A050000}"/>
    <cellStyle name="Normal 122" xfId="303" xr:uid="{00000000-0005-0000-0000-00003B050000}"/>
    <cellStyle name="Normal 122 2" xfId="304" xr:uid="{00000000-0005-0000-0000-00003C050000}"/>
    <cellStyle name="Normal 122 2 2" xfId="305" xr:uid="{00000000-0005-0000-0000-00003D050000}"/>
    <cellStyle name="Normal 122 2 2 2" xfId="3197" xr:uid="{00000000-0005-0000-0000-00003E050000}"/>
    <cellStyle name="Normal 122 2 2 2 2" xfId="3198" xr:uid="{00000000-0005-0000-0000-00003F050000}"/>
    <cellStyle name="Normal 122 2 2 3" xfId="3199" xr:uid="{00000000-0005-0000-0000-000040050000}"/>
    <cellStyle name="Normal 122 2 2 4" xfId="3200" xr:uid="{00000000-0005-0000-0000-000041050000}"/>
    <cellStyle name="Normal 122 2 3" xfId="3201" xr:uid="{00000000-0005-0000-0000-000042050000}"/>
    <cellStyle name="Normal 122 2 3 2" xfId="3202" xr:uid="{00000000-0005-0000-0000-000043050000}"/>
    <cellStyle name="Normal 122 2 4" xfId="3203" xr:uid="{00000000-0005-0000-0000-000044050000}"/>
    <cellStyle name="Normal 122 2 5" xfId="3204" xr:uid="{00000000-0005-0000-0000-000045050000}"/>
    <cellStyle name="Normal 122 3" xfId="306" xr:uid="{00000000-0005-0000-0000-000046050000}"/>
    <cellStyle name="Normal 122 3 2" xfId="3205" xr:uid="{00000000-0005-0000-0000-000047050000}"/>
    <cellStyle name="Normal 122 3 2 2" xfId="3206" xr:uid="{00000000-0005-0000-0000-000048050000}"/>
    <cellStyle name="Normal 122 3 3" xfId="3207" xr:uid="{00000000-0005-0000-0000-000049050000}"/>
    <cellStyle name="Normal 122 3 4" xfId="3208" xr:uid="{00000000-0005-0000-0000-00004A050000}"/>
    <cellStyle name="Normal 122 4" xfId="3209" xr:uid="{00000000-0005-0000-0000-00004B050000}"/>
    <cellStyle name="Normal 122 4 2" xfId="3210" xr:uid="{00000000-0005-0000-0000-00004C050000}"/>
    <cellStyle name="Normal 122 5" xfId="3211" xr:uid="{00000000-0005-0000-0000-00004D050000}"/>
    <cellStyle name="Normal 122 6" xfId="3212" xr:uid="{00000000-0005-0000-0000-00004E050000}"/>
    <cellStyle name="Normal 123" xfId="307" xr:uid="{00000000-0005-0000-0000-00004F050000}"/>
    <cellStyle name="Normal 123 2" xfId="308" xr:uid="{00000000-0005-0000-0000-000050050000}"/>
    <cellStyle name="Normal 123 2 2" xfId="309" xr:uid="{00000000-0005-0000-0000-000051050000}"/>
    <cellStyle name="Normal 123 2 2 2" xfId="3213" xr:uid="{00000000-0005-0000-0000-000052050000}"/>
    <cellStyle name="Normal 123 2 2 2 2" xfId="3214" xr:uid="{00000000-0005-0000-0000-000053050000}"/>
    <cellStyle name="Normal 123 2 2 3" xfId="3215" xr:uid="{00000000-0005-0000-0000-000054050000}"/>
    <cellStyle name="Normal 123 2 2 4" xfId="3216" xr:uid="{00000000-0005-0000-0000-000055050000}"/>
    <cellStyle name="Normal 123 2 3" xfId="3217" xr:uid="{00000000-0005-0000-0000-000056050000}"/>
    <cellStyle name="Normal 123 2 3 2" xfId="3218" xr:uid="{00000000-0005-0000-0000-000057050000}"/>
    <cellStyle name="Normal 123 2 4" xfId="3219" xr:uid="{00000000-0005-0000-0000-000058050000}"/>
    <cellStyle name="Normal 123 2 5" xfId="3220" xr:uid="{00000000-0005-0000-0000-000059050000}"/>
    <cellStyle name="Normal 123 3" xfId="310" xr:uid="{00000000-0005-0000-0000-00005A050000}"/>
    <cellStyle name="Normal 123 3 2" xfId="3221" xr:uid="{00000000-0005-0000-0000-00005B050000}"/>
    <cellStyle name="Normal 123 3 2 2" xfId="3222" xr:uid="{00000000-0005-0000-0000-00005C050000}"/>
    <cellStyle name="Normal 123 3 3" xfId="3223" xr:uid="{00000000-0005-0000-0000-00005D050000}"/>
    <cellStyle name="Normal 123 3 4" xfId="3224" xr:uid="{00000000-0005-0000-0000-00005E050000}"/>
    <cellStyle name="Normal 123 4" xfId="3225" xr:uid="{00000000-0005-0000-0000-00005F050000}"/>
    <cellStyle name="Normal 123 4 2" xfId="3226" xr:uid="{00000000-0005-0000-0000-000060050000}"/>
    <cellStyle name="Normal 123 5" xfId="3227" xr:uid="{00000000-0005-0000-0000-000061050000}"/>
    <cellStyle name="Normal 123 6" xfId="3228" xr:uid="{00000000-0005-0000-0000-000062050000}"/>
    <cellStyle name="Normal 124" xfId="311" xr:uid="{00000000-0005-0000-0000-000063050000}"/>
    <cellStyle name="Normal 124 2" xfId="312" xr:uid="{00000000-0005-0000-0000-000064050000}"/>
    <cellStyle name="Normal 124 2 2" xfId="313" xr:uid="{00000000-0005-0000-0000-000065050000}"/>
    <cellStyle name="Normal 124 2 2 2" xfId="3229" xr:uid="{00000000-0005-0000-0000-000066050000}"/>
    <cellStyle name="Normal 124 2 2 2 2" xfId="3230" xr:uid="{00000000-0005-0000-0000-000067050000}"/>
    <cellStyle name="Normal 124 2 2 3" xfId="3231" xr:uid="{00000000-0005-0000-0000-000068050000}"/>
    <cellStyle name="Normal 124 2 2 4" xfId="3232" xr:uid="{00000000-0005-0000-0000-000069050000}"/>
    <cellStyle name="Normal 124 2 3" xfId="3233" xr:uid="{00000000-0005-0000-0000-00006A050000}"/>
    <cellStyle name="Normal 124 2 3 2" xfId="3234" xr:uid="{00000000-0005-0000-0000-00006B050000}"/>
    <cellStyle name="Normal 124 2 4" xfId="3235" xr:uid="{00000000-0005-0000-0000-00006C050000}"/>
    <cellStyle name="Normal 124 2 5" xfId="3236" xr:uid="{00000000-0005-0000-0000-00006D050000}"/>
    <cellStyle name="Normal 124 3" xfId="314" xr:uid="{00000000-0005-0000-0000-00006E050000}"/>
    <cellStyle name="Normal 124 3 2" xfId="3237" xr:uid="{00000000-0005-0000-0000-00006F050000}"/>
    <cellStyle name="Normal 124 3 2 2" xfId="3238" xr:uid="{00000000-0005-0000-0000-000070050000}"/>
    <cellStyle name="Normal 124 3 3" xfId="3239" xr:uid="{00000000-0005-0000-0000-000071050000}"/>
    <cellStyle name="Normal 124 3 4" xfId="3240" xr:uid="{00000000-0005-0000-0000-000072050000}"/>
    <cellStyle name="Normal 124 4" xfId="3241" xr:uid="{00000000-0005-0000-0000-000073050000}"/>
    <cellStyle name="Normal 124 4 2" xfId="3242" xr:uid="{00000000-0005-0000-0000-000074050000}"/>
    <cellStyle name="Normal 124 5" xfId="3243" xr:uid="{00000000-0005-0000-0000-000075050000}"/>
    <cellStyle name="Normal 124 6" xfId="3244" xr:uid="{00000000-0005-0000-0000-000076050000}"/>
    <cellStyle name="Normal 125" xfId="315" xr:uid="{00000000-0005-0000-0000-000077050000}"/>
    <cellStyle name="Normal 125 2" xfId="316" xr:uid="{00000000-0005-0000-0000-000078050000}"/>
    <cellStyle name="Normal 125 2 2" xfId="317" xr:uid="{00000000-0005-0000-0000-000079050000}"/>
    <cellStyle name="Normal 125 2 2 2" xfId="3245" xr:uid="{00000000-0005-0000-0000-00007A050000}"/>
    <cellStyle name="Normal 125 2 2 2 2" xfId="3246" xr:uid="{00000000-0005-0000-0000-00007B050000}"/>
    <cellStyle name="Normal 125 2 2 3" xfId="3247" xr:uid="{00000000-0005-0000-0000-00007C050000}"/>
    <cellStyle name="Normal 125 2 2 4" xfId="3248" xr:uid="{00000000-0005-0000-0000-00007D050000}"/>
    <cellStyle name="Normal 125 2 3" xfId="3249" xr:uid="{00000000-0005-0000-0000-00007E050000}"/>
    <cellStyle name="Normal 125 2 3 2" xfId="3250" xr:uid="{00000000-0005-0000-0000-00007F050000}"/>
    <cellStyle name="Normal 125 2 4" xfId="3251" xr:uid="{00000000-0005-0000-0000-000080050000}"/>
    <cellStyle name="Normal 125 2 5" xfId="3252" xr:uid="{00000000-0005-0000-0000-000081050000}"/>
    <cellStyle name="Normal 125 3" xfId="318" xr:uid="{00000000-0005-0000-0000-000082050000}"/>
    <cellStyle name="Normal 125 3 2" xfId="3253" xr:uid="{00000000-0005-0000-0000-000083050000}"/>
    <cellStyle name="Normal 125 3 2 2" xfId="3254" xr:uid="{00000000-0005-0000-0000-000084050000}"/>
    <cellStyle name="Normal 125 3 3" xfId="3255" xr:uid="{00000000-0005-0000-0000-000085050000}"/>
    <cellStyle name="Normal 125 3 4" xfId="3256" xr:uid="{00000000-0005-0000-0000-000086050000}"/>
    <cellStyle name="Normal 125 4" xfId="3257" xr:uid="{00000000-0005-0000-0000-000087050000}"/>
    <cellStyle name="Normal 125 4 2" xfId="3258" xr:uid="{00000000-0005-0000-0000-000088050000}"/>
    <cellStyle name="Normal 125 5" xfId="3259" xr:uid="{00000000-0005-0000-0000-000089050000}"/>
    <cellStyle name="Normal 125 6" xfId="3260" xr:uid="{00000000-0005-0000-0000-00008A050000}"/>
    <cellStyle name="Normal 126" xfId="319" xr:uid="{00000000-0005-0000-0000-00008B050000}"/>
    <cellStyle name="Normal 126 2" xfId="320" xr:uid="{00000000-0005-0000-0000-00008C050000}"/>
    <cellStyle name="Normal 126 2 2" xfId="3261" xr:uid="{00000000-0005-0000-0000-00008D050000}"/>
    <cellStyle name="Normal 126 2 2 2" xfId="3262" xr:uid="{00000000-0005-0000-0000-00008E050000}"/>
    <cellStyle name="Normal 126 2 3" xfId="3263" xr:uid="{00000000-0005-0000-0000-00008F050000}"/>
    <cellStyle name="Normal 126 2 4" xfId="3264" xr:uid="{00000000-0005-0000-0000-000090050000}"/>
    <cellStyle name="Normal 126 3" xfId="3265" xr:uid="{00000000-0005-0000-0000-000091050000}"/>
    <cellStyle name="Normal 126 3 2" xfId="3266" xr:uid="{00000000-0005-0000-0000-000092050000}"/>
    <cellStyle name="Normal 126 4" xfId="3267" xr:uid="{00000000-0005-0000-0000-000093050000}"/>
    <cellStyle name="Normal 126 5" xfId="3268" xr:uid="{00000000-0005-0000-0000-000094050000}"/>
    <cellStyle name="Normal 127" xfId="321" xr:uid="{00000000-0005-0000-0000-000095050000}"/>
    <cellStyle name="Normal 127 2" xfId="322" xr:uid="{00000000-0005-0000-0000-000096050000}"/>
    <cellStyle name="Normal 127 2 2" xfId="3269" xr:uid="{00000000-0005-0000-0000-000097050000}"/>
    <cellStyle name="Normal 127 2 2 2" xfId="3270" xr:uid="{00000000-0005-0000-0000-000098050000}"/>
    <cellStyle name="Normal 127 2 3" xfId="3271" xr:uid="{00000000-0005-0000-0000-000099050000}"/>
    <cellStyle name="Normal 127 2 4" xfId="3272" xr:uid="{00000000-0005-0000-0000-00009A050000}"/>
    <cellStyle name="Normal 127 3" xfId="3273" xr:uid="{00000000-0005-0000-0000-00009B050000}"/>
    <cellStyle name="Normal 127 3 2" xfId="3274" xr:uid="{00000000-0005-0000-0000-00009C050000}"/>
    <cellStyle name="Normal 127 4" xfId="3275" xr:uid="{00000000-0005-0000-0000-00009D050000}"/>
    <cellStyle name="Normal 127 5" xfId="3276" xr:uid="{00000000-0005-0000-0000-00009E050000}"/>
    <cellStyle name="Normal 128" xfId="323" xr:uid="{00000000-0005-0000-0000-00009F050000}"/>
    <cellStyle name="Normal 128 2" xfId="324" xr:uid="{00000000-0005-0000-0000-0000A0050000}"/>
    <cellStyle name="Normal 128 2 2" xfId="3277" xr:uid="{00000000-0005-0000-0000-0000A1050000}"/>
    <cellStyle name="Normal 128 2 2 2" xfId="3278" xr:uid="{00000000-0005-0000-0000-0000A2050000}"/>
    <cellStyle name="Normal 128 2 3" xfId="3279" xr:uid="{00000000-0005-0000-0000-0000A3050000}"/>
    <cellStyle name="Normal 128 2 4" xfId="3280" xr:uid="{00000000-0005-0000-0000-0000A4050000}"/>
    <cellStyle name="Normal 128 3" xfId="3281" xr:uid="{00000000-0005-0000-0000-0000A5050000}"/>
    <cellStyle name="Normal 128 3 2" xfId="3282" xr:uid="{00000000-0005-0000-0000-0000A6050000}"/>
    <cellStyle name="Normal 128 4" xfId="3283" xr:uid="{00000000-0005-0000-0000-0000A7050000}"/>
    <cellStyle name="Normal 128 5" xfId="3284" xr:uid="{00000000-0005-0000-0000-0000A8050000}"/>
    <cellStyle name="Normal 129" xfId="325" xr:uid="{00000000-0005-0000-0000-0000A9050000}"/>
    <cellStyle name="Normal 129 2" xfId="326" xr:uid="{00000000-0005-0000-0000-0000AA050000}"/>
    <cellStyle name="Normal 129 2 2" xfId="3285" xr:uid="{00000000-0005-0000-0000-0000AB050000}"/>
    <cellStyle name="Normal 129 2 2 2" xfId="3286" xr:uid="{00000000-0005-0000-0000-0000AC050000}"/>
    <cellStyle name="Normal 129 2 3" xfId="3287" xr:uid="{00000000-0005-0000-0000-0000AD050000}"/>
    <cellStyle name="Normal 129 2 4" xfId="3288" xr:uid="{00000000-0005-0000-0000-0000AE050000}"/>
    <cellStyle name="Normal 129 3" xfId="3289" xr:uid="{00000000-0005-0000-0000-0000AF050000}"/>
    <cellStyle name="Normal 129 3 2" xfId="3290" xr:uid="{00000000-0005-0000-0000-0000B0050000}"/>
    <cellStyle name="Normal 129 4" xfId="3291" xr:uid="{00000000-0005-0000-0000-0000B1050000}"/>
    <cellStyle name="Normal 129 5" xfId="3292" xr:uid="{00000000-0005-0000-0000-0000B2050000}"/>
    <cellStyle name="Normal 13" xfId="327" xr:uid="{00000000-0005-0000-0000-0000B3050000}"/>
    <cellStyle name="Normal 13 2" xfId="328" xr:uid="{00000000-0005-0000-0000-0000B4050000}"/>
    <cellStyle name="Normal 13 2 2" xfId="329" xr:uid="{00000000-0005-0000-0000-0000B5050000}"/>
    <cellStyle name="Normal 13 2 2 2" xfId="330" xr:uid="{00000000-0005-0000-0000-0000B6050000}"/>
    <cellStyle name="Normal 13 2 2 2 2" xfId="331" xr:uid="{00000000-0005-0000-0000-0000B7050000}"/>
    <cellStyle name="Normal 13 2 2 2 2 2" xfId="332" xr:uid="{00000000-0005-0000-0000-0000B8050000}"/>
    <cellStyle name="Normal 13 2 2 2 2 2 2" xfId="3293" xr:uid="{00000000-0005-0000-0000-0000B9050000}"/>
    <cellStyle name="Normal 13 2 2 2 2 2 2 2" xfId="3294" xr:uid="{00000000-0005-0000-0000-0000BA050000}"/>
    <cellStyle name="Normal 13 2 2 2 2 2 3" xfId="3295" xr:uid="{00000000-0005-0000-0000-0000BB050000}"/>
    <cellStyle name="Normal 13 2 2 2 2 2 4" xfId="3296" xr:uid="{00000000-0005-0000-0000-0000BC050000}"/>
    <cellStyle name="Normal 13 2 2 2 2 3" xfId="3297" xr:uid="{00000000-0005-0000-0000-0000BD050000}"/>
    <cellStyle name="Normal 13 2 2 2 2 3 2" xfId="3298" xr:uid="{00000000-0005-0000-0000-0000BE050000}"/>
    <cellStyle name="Normal 13 2 2 2 2 4" xfId="3299" xr:uid="{00000000-0005-0000-0000-0000BF050000}"/>
    <cellStyle name="Normal 13 2 2 2 2 5" xfId="3300" xr:uid="{00000000-0005-0000-0000-0000C0050000}"/>
    <cellStyle name="Normal 13 2 2 2 3" xfId="333" xr:uid="{00000000-0005-0000-0000-0000C1050000}"/>
    <cellStyle name="Normal 13 2 2 2 3 2" xfId="3301" xr:uid="{00000000-0005-0000-0000-0000C2050000}"/>
    <cellStyle name="Normal 13 2 2 2 3 2 2" xfId="3302" xr:uid="{00000000-0005-0000-0000-0000C3050000}"/>
    <cellStyle name="Normal 13 2 2 2 3 3" xfId="3303" xr:uid="{00000000-0005-0000-0000-0000C4050000}"/>
    <cellStyle name="Normal 13 2 2 2 3 4" xfId="3304" xr:uid="{00000000-0005-0000-0000-0000C5050000}"/>
    <cellStyle name="Normal 13 2 2 2 4" xfId="3305" xr:uid="{00000000-0005-0000-0000-0000C6050000}"/>
    <cellStyle name="Normal 13 2 2 2 4 2" xfId="3306" xr:uid="{00000000-0005-0000-0000-0000C7050000}"/>
    <cellStyle name="Normal 13 2 2 2 5" xfId="3307" xr:uid="{00000000-0005-0000-0000-0000C8050000}"/>
    <cellStyle name="Normal 13 2 2 2 6" xfId="3308" xr:uid="{00000000-0005-0000-0000-0000C9050000}"/>
    <cellStyle name="Normal 13 2 2 3" xfId="334" xr:uid="{00000000-0005-0000-0000-0000CA050000}"/>
    <cellStyle name="Normal 13 2 2 3 2" xfId="335" xr:uid="{00000000-0005-0000-0000-0000CB050000}"/>
    <cellStyle name="Normal 13 2 2 3 2 2" xfId="3309" xr:uid="{00000000-0005-0000-0000-0000CC050000}"/>
    <cellStyle name="Normal 13 2 2 3 2 2 2" xfId="3310" xr:uid="{00000000-0005-0000-0000-0000CD050000}"/>
    <cellStyle name="Normal 13 2 2 3 2 3" xfId="3311" xr:uid="{00000000-0005-0000-0000-0000CE050000}"/>
    <cellStyle name="Normal 13 2 2 3 2 4" xfId="3312" xr:uid="{00000000-0005-0000-0000-0000CF050000}"/>
    <cellStyle name="Normal 13 2 2 3 3" xfId="3313" xr:uid="{00000000-0005-0000-0000-0000D0050000}"/>
    <cellStyle name="Normal 13 2 2 3 3 2" xfId="3314" xr:uid="{00000000-0005-0000-0000-0000D1050000}"/>
    <cellStyle name="Normal 13 2 2 3 4" xfId="3315" xr:uid="{00000000-0005-0000-0000-0000D2050000}"/>
    <cellStyle name="Normal 13 2 2 3 5" xfId="3316" xr:uid="{00000000-0005-0000-0000-0000D3050000}"/>
    <cellStyle name="Normal 13 2 2 4" xfId="336" xr:uid="{00000000-0005-0000-0000-0000D4050000}"/>
    <cellStyle name="Normal 13 2 2 4 2" xfId="3317" xr:uid="{00000000-0005-0000-0000-0000D5050000}"/>
    <cellStyle name="Normal 13 2 2 4 2 2" xfId="3318" xr:uid="{00000000-0005-0000-0000-0000D6050000}"/>
    <cellStyle name="Normal 13 2 2 4 3" xfId="3319" xr:uid="{00000000-0005-0000-0000-0000D7050000}"/>
    <cellStyle name="Normal 13 2 2 4 4" xfId="3320" xr:uid="{00000000-0005-0000-0000-0000D8050000}"/>
    <cellStyle name="Normal 13 2 2 5" xfId="3321" xr:uid="{00000000-0005-0000-0000-0000D9050000}"/>
    <cellStyle name="Normal 13 2 2 5 2" xfId="3322" xr:uid="{00000000-0005-0000-0000-0000DA050000}"/>
    <cellStyle name="Normal 13 2 2 6" xfId="3323" xr:uid="{00000000-0005-0000-0000-0000DB050000}"/>
    <cellStyle name="Normal 13 2 2 7" xfId="3324" xr:uid="{00000000-0005-0000-0000-0000DC050000}"/>
    <cellStyle name="Normal 13 2 3" xfId="337" xr:uid="{00000000-0005-0000-0000-0000DD050000}"/>
    <cellStyle name="Normal 13 2 3 2" xfId="338" xr:uid="{00000000-0005-0000-0000-0000DE050000}"/>
    <cellStyle name="Normal 13 2 3 2 2" xfId="339" xr:uid="{00000000-0005-0000-0000-0000DF050000}"/>
    <cellStyle name="Normal 13 2 3 2 2 2" xfId="3325" xr:uid="{00000000-0005-0000-0000-0000E0050000}"/>
    <cellStyle name="Normal 13 2 3 2 2 2 2" xfId="3326" xr:uid="{00000000-0005-0000-0000-0000E1050000}"/>
    <cellStyle name="Normal 13 2 3 2 2 3" xfId="3327" xr:uid="{00000000-0005-0000-0000-0000E2050000}"/>
    <cellStyle name="Normal 13 2 3 2 2 4" xfId="3328" xr:uid="{00000000-0005-0000-0000-0000E3050000}"/>
    <cellStyle name="Normal 13 2 3 2 3" xfId="3329" xr:uid="{00000000-0005-0000-0000-0000E4050000}"/>
    <cellStyle name="Normal 13 2 3 2 3 2" xfId="3330" xr:uid="{00000000-0005-0000-0000-0000E5050000}"/>
    <cellStyle name="Normal 13 2 3 2 4" xfId="3331" xr:uid="{00000000-0005-0000-0000-0000E6050000}"/>
    <cellStyle name="Normal 13 2 3 2 5" xfId="3332" xr:uid="{00000000-0005-0000-0000-0000E7050000}"/>
    <cellStyle name="Normal 13 2 3 3" xfId="340" xr:uid="{00000000-0005-0000-0000-0000E8050000}"/>
    <cellStyle name="Normal 13 2 3 3 2" xfId="3333" xr:uid="{00000000-0005-0000-0000-0000E9050000}"/>
    <cellStyle name="Normal 13 2 3 3 2 2" xfId="3334" xr:uid="{00000000-0005-0000-0000-0000EA050000}"/>
    <cellStyle name="Normal 13 2 3 3 3" xfId="3335" xr:uid="{00000000-0005-0000-0000-0000EB050000}"/>
    <cellStyle name="Normal 13 2 3 3 4" xfId="3336" xr:uid="{00000000-0005-0000-0000-0000EC050000}"/>
    <cellStyle name="Normal 13 2 3 4" xfId="3337" xr:uid="{00000000-0005-0000-0000-0000ED050000}"/>
    <cellStyle name="Normal 13 2 3 4 2" xfId="3338" xr:uid="{00000000-0005-0000-0000-0000EE050000}"/>
    <cellStyle name="Normal 13 2 3 5" xfId="3339" xr:uid="{00000000-0005-0000-0000-0000EF050000}"/>
    <cellStyle name="Normal 13 2 3 6" xfId="3340" xr:uid="{00000000-0005-0000-0000-0000F0050000}"/>
    <cellStyle name="Normal 13 2 4" xfId="341" xr:uid="{00000000-0005-0000-0000-0000F1050000}"/>
    <cellStyle name="Normal 13 2 4 2" xfId="342" xr:uid="{00000000-0005-0000-0000-0000F2050000}"/>
    <cellStyle name="Normal 13 2 4 2 2" xfId="3341" xr:uid="{00000000-0005-0000-0000-0000F3050000}"/>
    <cellStyle name="Normal 13 2 4 2 2 2" xfId="3342" xr:uid="{00000000-0005-0000-0000-0000F4050000}"/>
    <cellStyle name="Normal 13 2 4 2 3" xfId="3343" xr:uid="{00000000-0005-0000-0000-0000F5050000}"/>
    <cellStyle name="Normal 13 2 4 2 4" xfId="3344" xr:uid="{00000000-0005-0000-0000-0000F6050000}"/>
    <cellStyle name="Normal 13 2 4 3" xfId="3345" xr:uid="{00000000-0005-0000-0000-0000F7050000}"/>
    <cellStyle name="Normal 13 2 4 3 2" xfId="3346" xr:uid="{00000000-0005-0000-0000-0000F8050000}"/>
    <cellStyle name="Normal 13 2 4 4" xfId="3347" xr:uid="{00000000-0005-0000-0000-0000F9050000}"/>
    <cellStyle name="Normal 13 2 4 5" xfId="3348" xr:uid="{00000000-0005-0000-0000-0000FA050000}"/>
    <cellStyle name="Normal 13 2 5" xfId="343" xr:uid="{00000000-0005-0000-0000-0000FB050000}"/>
    <cellStyle name="Normal 13 2 5 2" xfId="3349" xr:uid="{00000000-0005-0000-0000-0000FC050000}"/>
    <cellStyle name="Normal 13 2 5 2 2" xfId="3350" xr:uid="{00000000-0005-0000-0000-0000FD050000}"/>
    <cellStyle name="Normal 13 2 5 3" xfId="3351" xr:uid="{00000000-0005-0000-0000-0000FE050000}"/>
    <cellStyle name="Normal 13 2 5 4" xfId="3352" xr:uid="{00000000-0005-0000-0000-0000FF050000}"/>
    <cellStyle name="Normal 13 2 6" xfId="3353" xr:uid="{00000000-0005-0000-0000-000000060000}"/>
    <cellStyle name="Normal 13 2 6 2" xfId="3354" xr:uid="{00000000-0005-0000-0000-000001060000}"/>
    <cellStyle name="Normal 13 2 7" xfId="3355" xr:uid="{00000000-0005-0000-0000-000002060000}"/>
    <cellStyle name="Normal 13 2 8" xfId="3356" xr:uid="{00000000-0005-0000-0000-000003060000}"/>
    <cellStyle name="Normal 13 3" xfId="344" xr:uid="{00000000-0005-0000-0000-000004060000}"/>
    <cellStyle name="Normal 13 3 2" xfId="345" xr:uid="{00000000-0005-0000-0000-000005060000}"/>
    <cellStyle name="Normal 13 3 2 2" xfId="346" xr:uid="{00000000-0005-0000-0000-000006060000}"/>
    <cellStyle name="Normal 13 3 2 2 2" xfId="347" xr:uid="{00000000-0005-0000-0000-000007060000}"/>
    <cellStyle name="Normal 13 3 2 2 2 2" xfId="3357" xr:uid="{00000000-0005-0000-0000-000008060000}"/>
    <cellStyle name="Normal 13 3 2 2 2 2 2" xfId="3358" xr:uid="{00000000-0005-0000-0000-000009060000}"/>
    <cellStyle name="Normal 13 3 2 2 2 3" xfId="3359" xr:uid="{00000000-0005-0000-0000-00000A060000}"/>
    <cellStyle name="Normal 13 3 2 2 2 4" xfId="3360" xr:uid="{00000000-0005-0000-0000-00000B060000}"/>
    <cellStyle name="Normal 13 3 2 2 3" xfId="3361" xr:uid="{00000000-0005-0000-0000-00000C060000}"/>
    <cellStyle name="Normal 13 3 2 2 3 2" xfId="3362" xr:uid="{00000000-0005-0000-0000-00000D060000}"/>
    <cellStyle name="Normal 13 3 2 2 4" xfId="3363" xr:uid="{00000000-0005-0000-0000-00000E060000}"/>
    <cellStyle name="Normal 13 3 2 2 5" xfId="3364" xr:uid="{00000000-0005-0000-0000-00000F060000}"/>
    <cellStyle name="Normal 13 3 2 3" xfId="348" xr:uid="{00000000-0005-0000-0000-000010060000}"/>
    <cellStyle name="Normal 13 3 2 3 2" xfId="3365" xr:uid="{00000000-0005-0000-0000-000011060000}"/>
    <cellStyle name="Normal 13 3 2 3 2 2" xfId="3366" xr:uid="{00000000-0005-0000-0000-000012060000}"/>
    <cellStyle name="Normal 13 3 2 3 3" xfId="3367" xr:uid="{00000000-0005-0000-0000-000013060000}"/>
    <cellStyle name="Normal 13 3 2 3 4" xfId="3368" xr:uid="{00000000-0005-0000-0000-000014060000}"/>
    <cellStyle name="Normal 13 3 2 4" xfId="3369" xr:uid="{00000000-0005-0000-0000-000015060000}"/>
    <cellStyle name="Normal 13 3 2 4 2" xfId="3370" xr:uid="{00000000-0005-0000-0000-000016060000}"/>
    <cellStyle name="Normal 13 3 2 5" xfId="3371" xr:uid="{00000000-0005-0000-0000-000017060000}"/>
    <cellStyle name="Normal 13 3 2 6" xfId="3372" xr:uid="{00000000-0005-0000-0000-000018060000}"/>
    <cellStyle name="Normal 13 3 3" xfId="349" xr:uid="{00000000-0005-0000-0000-000019060000}"/>
    <cellStyle name="Normal 13 3 3 2" xfId="350" xr:uid="{00000000-0005-0000-0000-00001A060000}"/>
    <cellStyle name="Normal 13 3 3 2 2" xfId="3373" xr:uid="{00000000-0005-0000-0000-00001B060000}"/>
    <cellStyle name="Normal 13 3 3 2 2 2" xfId="3374" xr:uid="{00000000-0005-0000-0000-00001C060000}"/>
    <cellStyle name="Normal 13 3 3 2 3" xfId="3375" xr:uid="{00000000-0005-0000-0000-00001D060000}"/>
    <cellStyle name="Normal 13 3 3 2 4" xfId="3376" xr:uid="{00000000-0005-0000-0000-00001E060000}"/>
    <cellStyle name="Normal 13 3 3 3" xfId="3377" xr:uid="{00000000-0005-0000-0000-00001F060000}"/>
    <cellStyle name="Normal 13 3 3 3 2" xfId="3378" xr:uid="{00000000-0005-0000-0000-000020060000}"/>
    <cellStyle name="Normal 13 3 3 4" xfId="3379" xr:uid="{00000000-0005-0000-0000-000021060000}"/>
    <cellStyle name="Normal 13 3 3 5" xfId="3380" xr:uid="{00000000-0005-0000-0000-000022060000}"/>
    <cellStyle name="Normal 13 3 4" xfId="351" xr:uid="{00000000-0005-0000-0000-000023060000}"/>
    <cellStyle name="Normal 13 3 4 2" xfId="3381" xr:uid="{00000000-0005-0000-0000-000024060000}"/>
    <cellStyle name="Normal 13 3 4 2 2" xfId="3382" xr:uid="{00000000-0005-0000-0000-000025060000}"/>
    <cellStyle name="Normal 13 3 4 3" xfId="3383" xr:uid="{00000000-0005-0000-0000-000026060000}"/>
    <cellStyle name="Normal 13 3 4 4" xfId="3384" xr:uid="{00000000-0005-0000-0000-000027060000}"/>
    <cellStyle name="Normal 13 3 5" xfId="3385" xr:uid="{00000000-0005-0000-0000-000028060000}"/>
    <cellStyle name="Normal 13 3 5 2" xfId="3386" xr:uid="{00000000-0005-0000-0000-000029060000}"/>
    <cellStyle name="Normal 13 3 6" xfId="3387" xr:uid="{00000000-0005-0000-0000-00002A060000}"/>
    <cellStyle name="Normal 13 3 7" xfId="3388" xr:uid="{00000000-0005-0000-0000-00002B060000}"/>
    <cellStyle name="Normal 13 4" xfId="352" xr:uid="{00000000-0005-0000-0000-00002C060000}"/>
    <cellStyle name="Normal 13 4 2" xfId="353" xr:uid="{00000000-0005-0000-0000-00002D060000}"/>
    <cellStyle name="Normal 13 4 2 2" xfId="354" xr:uid="{00000000-0005-0000-0000-00002E060000}"/>
    <cellStyle name="Normal 13 4 2 2 2" xfId="3389" xr:uid="{00000000-0005-0000-0000-00002F060000}"/>
    <cellStyle name="Normal 13 4 2 2 2 2" xfId="3390" xr:uid="{00000000-0005-0000-0000-000030060000}"/>
    <cellStyle name="Normal 13 4 2 2 3" xfId="3391" xr:uid="{00000000-0005-0000-0000-000031060000}"/>
    <cellStyle name="Normal 13 4 2 2 4" xfId="3392" xr:uid="{00000000-0005-0000-0000-000032060000}"/>
    <cellStyle name="Normal 13 4 2 3" xfId="3393" xr:uid="{00000000-0005-0000-0000-000033060000}"/>
    <cellStyle name="Normal 13 4 2 3 2" xfId="3394" xr:uid="{00000000-0005-0000-0000-000034060000}"/>
    <cellStyle name="Normal 13 4 2 4" xfId="3395" xr:uid="{00000000-0005-0000-0000-000035060000}"/>
    <cellStyle name="Normal 13 4 2 5" xfId="3396" xr:uid="{00000000-0005-0000-0000-000036060000}"/>
    <cellStyle name="Normal 13 4 3" xfId="355" xr:uid="{00000000-0005-0000-0000-000037060000}"/>
    <cellStyle name="Normal 13 4 3 2" xfId="3397" xr:uid="{00000000-0005-0000-0000-000038060000}"/>
    <cellStyle name="Normal 13 4 3 2 2" xfId="3398" xr:uid="{00000000-0005-0000-0000-000039060000}"/>
    <cellStyle name="Normal 13 4 3 3" xfId="3399" xr:uid="{00000000-0005-0000-0000-00003A060000}"/>
    <cellStyle name="Normal 13 4 3 4" xfId="3400" xr:uid="{00000000-0005-0000-0000-00003B060000}"/>
    <cellStyle name="Normal 13 4 4" xfId="3401" xr:uid="{00000000-0005-0000-0000-00003C060000}"/>
    <cellStyle name="Normal 13 4 4 2" xfId="3402" xr:uid="{00000000-0005-0000-0000-00003D060000}"/>
    <cellStyle name="Normal 13 4 5" xfId="3403" xr:uid="{00000000-0005-0000-0000-00003E060000}"/>
    <cellStyle name="Normal 13 4 6" xfId="3404" xr:uid="{00000000-0005-0000-0000-00003F060000}"/>
    <cellStyle name="Normal 13 5" xfId="356" xr:uid="{00000000-0005-0000-0000-000040060000}"/>
    <cellStyle name="Normal 13 5 2" xfId="357" xr:uid="{00000000-0005-0000-0000-000041060000}"/>
    <cellStyle name="Normal 13 5 2 2" xfId="3405" xr:uid="{00000000-0005-0000-0000-000042060000}"/>
    <cellStyle name="Normal 13 5 2 2 2" xfId="3406" xr:uid="{00000000-0005-0000-0000-000043060000}"/>
    <cellStyle name="Normal 13 5 2 3" xfId="3407" xr:uid="{00000000-0005-0000-0000-000044060000}"/>
    <cellStyle name="Normal 13 5 2 4" xfId="3408" xr:uid="{00000000-0005-0000-0000-000045060000}"/>
    <cellStyle name="Normal 13 5 3" xfId="3409" xr:uid="{00000000-0005-0000-0000-000046060000}"/>
    <cellStyle name="Normal 13 5 3 2" xfId="3410" xr:uid="{00000000-0005-0000-0000-000047060000}"/>
    <cellStyle name="Normal 13 5 4" xfId="3411" xr:uid="{00000000-0005-0000-0000-000048060000}"/>
    <cellStyle name="Normal 13 5 5" xfId="3412" xr:uid="{00000000-0005-0000-0000-000049060000}"/>
    <cellStyle name="Normal 13 6" xfId="358" xr:uid="{00000000-0005-0000-0000-00004A060000}"/>
    <cellStyle name="Normal 13 6 2" xfId="3413" xr:uid="{00000000-0005-0000-0000-00004B060000}"/>
    <cellStyle name="Normal 13 6 2 2" xfId="3414" xr:uid="{00000000-0005-0000-0000-00004C060000}"/>
    <cellStyle name="Normal 13 6 3" xfId="3415" xr:uid="{00000000-0005-0000-0000-00004D060000}"/>
    <cellStyle name="Normal 13 6 4" xfId="3416" xr:uid="{00000000-0005-0000-0000-00004E060000}"/>
    <cellStyle name="Normal 13 7" xfId="3417" xr:uid="{00000000-0005-0000-0000-00004F060000}"/>
    <cellStyle name="Normal 13 7 2" xfId="3418" xr:uid="{00000000-0005-0000-0000-000050060000}"/>
    <cellStyle name="Normal 13 8" xfId="3419" xr:uid="{00000000-0005-0000-0000-000051060000}"/>
    <cellStyle name="Normal 13 9" xfId="3420" xr:uid="{00000000-0005-0000-0000-000052060000}"/>
    <cellStyle name="Normal 130" xfId="359" xr:uid="{00000000-0005-0000-0000-000053060000}"/>
    <cellStyle name="Normal 130 2" xfId="360" xr:uid="{00000000-0005-0000-0000-000054060000}"/>
    <cellStyle name="Normal 130 2 2" xfId="3421" xr:uid="{00000000-0005-0000-0000-000055060000}"/>
    <cellStyle name="Normal 130 2 2 2" xfId="3422" xr:uid="{00000000-0005-0000-0000-000056060000}"/>
    <cellStyle name="Normal 130 2 3" xfId="3423" xr:uid="{00000000-0005-0000-0000-000057060000}"/>
    <cellStyle name="Normal 130 2 4" xfId="3424" xr:uid="{00000000-0005-0000-0000-000058060000}"/>
    <cellStyle name="Normal 130 3" xfId="3425" xr:uid="{00000000-0005-0000-0000-000059060000}"/>
    <cellStyle name="Normal 130 3 2" xfId="3426" xr:uid="{00000000-0005-0000-0000-00005A060000}"/>
    <cellStyle name="Normal 130 4" xfId="3427" xr:uid="{00000000-0005-0000-0000-00005B060000}"/>
    <cellStyle name="Normal 130 5" xfId="3428" xr:uid="{00000000-0005-0000-0000-00005C060000}"/>
    <cellStyle name="Normal 131" xfId="361" xr:uid="{00000000-0005-0000-0000-00005D060000}"/>
    <cellStyle name="Normal 131 2" xfId="362" xr:uid="{00000000-0005-0000-0000-00005E060000}"/>
    <cellStyle name="Normal 131 2 2" xfId="3429" xr:uid="{00000000-0005-0000-0000-00005F060000}"/>
    <cellStyle name="Normal 131 2 2 2" xfId="3430" xr:uid="{00000000-0005-0000-0000-000060060000}"/>
    <cellStyle name="Normal 131 2 3" xfId="3431" xr:uid="{00000000-0005-0000-0000-000061060000}"/>
    <cellStyle name="Normal 131 2 4" xfId="3432" xr:uid="{00000000-0005-0000-0000-000062060000}"/>
    <cellStyle name="Normal 131 3" xfId="3433" xr:uid="{00000000-0005-0000-0000-000063060000}"/>
    <cellStyle name="Normal 131 3 2" xfId="3434" xr:uid="{00000000-0005-0000-0000-000064060000}"/>
    <cellStyle name="Normal 131 4" xfId="3435" xr:uid="{00000000-0005-0000-0000-000065060000}"/>
    <cellStyle name="Normal 131 5" xfId="3436" xr:uid="{00000000-0005-0000-0000-000066060000}"/>
    <cellStyle name="Normal 132" xfId="363" xr:uid="{00000000-0005-0000-0000-000067060000}"/>
    <cellStyle name="Normal 132 2" xfId="364" xr:uid="{00000000-0005-0000-0000-000068060000}"/>
    <cellStyle name="Normal 132 2 2" xfId="3437" xr:uid="{00000000-0005-0000-0000-000069060000}"/>
    <cellStyle name="Normal 132 2 2 2" xfId="3438" xr:uid="{00000000-0005-0000-0000-00006A060000}"/>
    <cellStyle name="Normal 132 2 3" xfId="3439" xr:uid="{00000000-0005-0000-0000-00006B060000}"/>
    <cellStyle name="Normal 132 2 4" xfId="3440" xr:uid="{00000000-0005-0000-0000-00006C060000}"/>
    <cellStyle name="Normal 132 3" xfId="3441" xr:uid="{00000000-0005-0000-0000-00006D060000}"/>
    <cellStyle name="Normal 132 3 2" xfId="3442" xr:uid="{00000000-0005-0000-0000-00006E060000}"/>
    <cellStyle name="Normal 132 4" xfId="3443" xr:uid="{00000000-0005-0000-0000-00006F060000}"/>
    <cellStyle name="Normal 132 5" xfId="3444" xr:uid="{00000000-0005-0000-0000-000070060000}"/>
    <cellStyle name="Normal 133" xfId="365" xr:uid="{00000000-0005-0000-0000-000071060000}"/>
    <cellStyle name="Normal 133 2" xfId="366" xr:uid="{00000000-0005-0000-0000-000072060000}"/>
    <cellStyle name="Normal 133 2 2" xfId="3445" xr:uid="{00000000-0005-0000-0000-000073060000}"/>
    <cellStyle name="Normal 133 2 2 2" xfId="3446" xr:uid="{00000000-0005-0000-0000-000074060000}"/>
    <cellStyle name="Normal 133 2 3" xfId="3447" xr:uid="{00000000-0005-0000-0000-000075060000}"/>
    <cellStyle name="Normal 133 2 4" xfId="3448" xr:uid="{00000000-0005-0000-0000-000076060000}"/>
    <cellStyle name="Normal 133 3" xfId="3449" xr:uid="{00000000-0005-0000-0000-000077060000}"/>
    <cellStyle name="Normal 133 3 2" xfId="3450" xr:uid="{00000000-0005-0000-0000-000078060000}"/>
    <cellStyle name="Normal 133 4" xfId="3451" xr:uid="{00000000-0005-0000-0000-000079060000}"/>
    <cellStyle name="Normal 133 5" xfId="3452" xr:uid="{00000000-0005-0000-0000-00007A060000}"/>
    <cellStyle name="Normal 134" xfId="367" xr:uid="{00000000-0005-0000-0000-00007B060000}"/>
    <cellStyle name="Normal 134 2" xfId="368" xr:uid="{00000000-0005-0000-0000-00007C060000}"/>
    <cellStyle name="Normal 134 2 2" xfId="3453" xr:uid="{00000000-0005-0000-0000-00007D060000}"/>
    <cellStyle name="Normal 134 2 2 2" xfId="3454" xr:uid="{00000000-0005-0000-0000-00007E060000}"/>
    <cellStyle name="Normal 134 2 3" xfId="3455" xr:uid="{00000000-0005-0000-0000-00007F060000}"/>
    <cellStyle name="Normal 134 2 4" xfId="3456" xr:uid="{00000000-0005-0000-0000-000080060000}"/>
    <cellStyle name="Normal 134 3" xfId="3457" xr:uid="{00000000-0005-0000-0000-000081060000}"/>
    <cellStyle name="Normal 134 3 2" xfId="3458" xr:uid="{00000000-0005-0000-0000-000082060000}"/>
    <cellStyle name="Normal 134 4" xfId="3459" xr:uid="{00000000-0005-0000-0000-000083060000}"/>
    <cellStyle name="Normal 134 5" xfId="3460" xr:uid="{00000000-0005-0000-0000-000084060000}"/>
    <cellStyle name="Normal 135" xfId="369" xr:uid="{00000000-0005-0000-0000-000085060000}"/>
    <cellStyle name="Normal 135 2" xfId="370" xr:uid="{00000000-0005-0000-0000-000086060000}"/>
    <cellStyle name="Normal 135 2 2" xfId="3461" xr:uid="{00000000-0005-0000-0000-000087060000}"/>
    <cellStyle name="Normal 135 2 2 2" xfId="3462" xr:uid="{00000000-0005-0000-0000-000088060000}"/>
    <cellStyle name="Normal 135 2 3" xfId="3463" xr:uid="{00000000-0005-0000-0000-000089060000}"/>
    <cellStyle name="Normal 135 2 4" xfId="3464" xr:uid="{00000000-0005-0000-0000-00008A060000}"/>
    <cellStyle name="Normal 135 3" xfId="3465" xr:uid="{00000000-0005-0000-0000-00008B060000}"/>
    <cellStyle name="Normal 135 3 2" xfId="3466" xr:uid="{00000000-0005-0000-0000-00008C060000}"/>
    <cellStyle name="Normal 135 4" xfId="3467" xr:uid="{00000000-0005-0000-0000-00008D060000}"/>
    <cellStyle name="Normal 135 5" xfId="3468" xr:uid="{00000000-0005-0000-0000-00008E060000}"/>
    <cellStyle name="Normal 136" xfId="371" xr:uid="{00000000-0005-0000-0000-00008F060000}"/>
    <cellStyle name="Normal 136 2" xfId="372" xr:uid="{00000000-0005-0000-0000-000090060000}"/>
    <cellStyle name="Normal 136 2 2" xfId="3469" xr:uid="{00000000-0005-0000-0000-000091060000}"/>
    <cellStyle name="Normal 136 2 2 2" xfId="3470" xr:uid="{00000000-0005-0000-0000-000092060000}"/>
    <cellStyle name="Normal 136 2 3" xfId="3471" xr:uid="{00000000-0005-0000-0000-000093060000}"/>
    <cellStyle name="Normal 136 2 4" xfId="3472" xr:uid="{00000000-0005-0000-0000-000094060000}"/>
    <cellStyle name="Normal 136 3" xfId="3473" xr:uid="{00000000-0005-0000-0000-000095060000}"/>
    <cellStyle name="Normal 136 3 2" xfId="3474" xr:uid="{00000000-0005-0000-0000-000096060000}"/>
    <cellStyle name="Normal 136 4" xfId="3475" xr:uid="{00000000-0005-0000-0000-000097060000}"/>
    <cellStyle name="Normal 136 5" xfId="3476" xr:uid="{00000000-0005-0000-0000-000098060000}"/>
    <cellStyle name="Normal 137" xfId="373" xr:uid="{00000000-0005-0000-0000-000099060000}"/>
    <cellStyle name="Normal 137 2" xfId="374" xr:uid="{00000000-0005-0000-0000-00009A060000}"/>
    <cellStyle name="Normal 137 2 2" xfId="3477" xr:uid="{00000000-0005-0000-0000-00009B060000}"/>
    <cellStyle name="Normal 137 2 2 2" xfId="3478" xr:uid="{00000000-0005-0000-0000-00009C060000}"/>
    <cellStyle name="Normal 137 2 3" xfId="3479" xr:uid="{00000000-0005-0000-0000-00009D060000}"/>
    <cellStyle name="Normal 137 2 4" xfId="3480" xr:uid="{00000000-0005-0000-0000-00009E060000}"/>
    <cellStyle name="Normal 137 3" xfId="3481" xr:uid="{00000000-0005-0000-0000-00009F060000}"/>
    <cellStyle name="Normal 137 3 2" xfId="3482" xr:uid="{00000000-0005-0000-0000-0000A0060000}"/>
    <cellStyle name="Normal 137 4" xfId="3483" xr:uid="{00000000-0005-0000-0000-0000A1060000}"/>
    <cellStyle name="Normal 137 5" xfId="3484" xr:uid="{00000000-0005-0000-0000-0000A2060000}"/>
    <cellStyle name="Normal 138" xfId="375" xr:uid="{00000000-0005-0000-0000-0000A3060000}"/>
    <cellStyle name="Normal 138 2" xfId="376" xr:uid="{00000000-0005-0000-0000-0000A4060000}"/>
    <cellStyle name="Normal 138 2 2" xfId="3485" xr:uid="{00000000-0005-0000-0000-0000A5060000}"/>
    <cellStyle name="Normal 138 2 2 2" xfId="3486" xr:uid="{00000000-0005-0000-0000-0000A6060000}"/>
    <cellStyle name="Normal 138 2 3" xfId="3487" xr:uid="{00000000-0005-0000-0000-0000A7060000}"/>
    <cellStyle name="Normal 138 2 4" xfId="3488" xr:uid="{00000000-0005-0000-0000-0000A8060000}"/>
    <cellStyle name="Normal 138 3" xfId="3489" xr:uid="{00000000-0005-0000-0000-0000A9060000}"/>
    <cellStyle name="Normal 138 3 2" xfId="3490" xr:uid="{00000000-0005-0000-0000-0000AA060000}"/>
    <cellStyle name="Normal 138 4" xfId="3491" xr:uid="{00000000-0005-0000-0000-0000AB060000}"/>
    <cellStyle name="Normal 138 5" xfId="3492" xr:uid="{00000000-0005-0000-0000-0000AC060000}"/>
    <cellStyle name="Normal 139" xfId="377" xr:uid="{00000000-0005-0000-0000-0000AD060000}"/>
    <cellStyle name="Normal 139 2" xfId="378" xr:uid="{00000000-0005-0000-0000-0000AE060000}"/>
    <cellStyle name="Normal 139 2 2" xfId="3493" xr:uid="{00000000-0005-0000-0000-0000AF060000}"/>
    <cellStyle name="Normal 139 2 2 2" xfId="3494" xr:uid="{00000000-0005-0000-0000-0000B0060000}"/>
    <cellStyle name="Normal 139 2 3" xfId="3495" xr:uid="{00000000-0005-0000-0000-0000B1060000}"/>
    <cellStyle name="Normal 139 2 4" xfId="3496" xr:uid="{00000000-0005-0000-0000-0000B2060000}"/>
    <cellStyle name="Normal 139 3" xfId="3497" xr:uid="{00000000-0005-0000-0000-0000B3060000}"/>
    <cellStyle name="Normal 139 3 2" xfId="3498" xr:uid="{00000000-0005-0000-0000-0000B4060000}"/>
    <cellStyle name="Normal 139 4" xfId="3499" xr:uid="{00000000-0005-0000-0000-0000B5060000}"/>
    <cellStyle name="Normal 139 5" xfId="3500" xr:uid="{00000000-0005-0000-0000-0000B6060000}"/>
    <cellStyle name="Normal 14" xfId="379" xr:uid="{00000000-0005-0000-0000-0000B7060000}"/>
    <cellStyle name="Normal 14 2" xfId="380" xr:uid="{00000000-0005-0000-0000-0000B8060000}"/>
    <cellStyle name="Normal 14 2 2" xfId="381" xr:uid="{00000000-0005-0000-0000-0000B9060000}"/>
    <cellStyle name="Normal 14 2 2 2" xfId="382" xr:uid="{00000000-0005-0000-0000-0000BA060000}"/>
    <cellStyle name="Normal 14 2 2 2 2" xfId="383" xr:uid="{00000000-0005-0000-0000-0000BB060000}"/>
    <cellStyle name="Normal 14 2 2 2 2 2" xfId="384" xr:uid="{00000000-0005-0000-0000-0000BC060000}"/>
    <cellStyle name="Normal 14 2 2 2 2 2 2" xfId="3501" xr:uid="{00000000-0005-0000-0000-0000BD060000}"/>
    <cellStyle name="Normal 14 2 2 2 2 2 2 2" xfId="3502" xr:uid="{00000000-0005-0000-0000-0000BE060000}"/>
    <cellStyle name="Normal 14 2 2 2 2 2 3" xfId="3503" xr:uid="{00000000-0005-0000-0000-0000BF060000}"/>
    <cellStyle name="Normal 14 2 2 2 2 2 4" xfId="3504" xr:uid="{00000000-0005-0000-0000-0000C0060000}"/>
    <cellStyle name="Normal 14 2 2 2 2 3" xfId="3505" xr:uid="{00000000-0005-0000-0000-0000C1060000}"/>
    <cellStyle name="Normal 14 2 2 2 2 3 2" xfId="3506" xr:uid="{00000000-0005-0000-0000-0000C2060000}"/>
    <cellStyle name="Normal 14 2 2 2 2 4" xfId="3507" xr:uid="{00000000-0005-0000-0000-0000C3060000}"/>
    <cellStyle name="Normal 14 2 2 2 2 5" xfId="3508" xr:uid="{00000000-0005-0000-0000-0000C4060000}"/>
    <cellStyle name="Normal 14 2 2 2 3" xfId="385" xr:uid="{00000000-0005-0000-0000-0000C5060000}"/>
    <cellStyle name="Normal 14 2 2 2 3 2" xfId="3509" xr:uid="{00000000-0005-0000-0000-0000C6060000}"/>
    <cellStyle name="Normal 14 2 2 2 3 2 2" xfId="3510" xr:uid="{00000000-0005-0000-0000-0000C7060000}"/>
    <cellStyle name="Normal 14 2 2 2 3 3" xfId="3511" xr:uid="{00000000-0005-0000-0000-0000C8060000}"/>
    <cellStyle name="Normal 14 2 2 2 3 4" xfId="3512" xr:uid="{00000000-0005-0000-0000-0000C9060000}"/>
    <cellStyle name="Normal 14 2 2 2 4" xfId="3513" xr:uid="{00000000-0005-0000-0000-0000CA060000}"/>
    <cellStyle name="Normal 14 2 2 2 4 2" xfId="3514" xr:uid="{00000000-0005-0000-0000-0000CB060000}"/>
    <cellStyle name="Normal 14 2 2 2 5" xfId="3515" xr:uid="{00000000-0005-0000-0000-0000CC060000}"/>
    <cellStyle name="Normal 14 2 2 2 6" xfId="3516" xr:uid="{00000000-0005-0000-0000-0000CD060000}"/>
    <cellStyle name="Normal 14 2 2 3" xfId="386" xr:uid="{00000000-0005-0000-0000-0000CE060000}"/>
    <cellStyle name="Normal 14 2 2 3 2" xfId="387" xr:uid="{00000000-0005-0000-0000-0000CF060000}"/>
    <cellStyle name="Normal 14 2 2 3 2 2" xfId="3517" xr:uid="{00000000-0005-0000-0000-0000D0060000}"/>
    <cellStyle name="Normal 14 2 2 3 2 2 2" xfId="3518" xr:uid="{00000000-0005-0000-0000-0000D1060000}"/>
    <cellStyle name="Normal 14 2 2 3 2 3" xfId="3519" xr:uid="{00000000-0005-0000-0000-0000D2060000}"/>
    <cellStyle name="Normal 14 2 2 3 2 4" xfId="3520" xr:uid="{00000000-0005-0000-0000-0000D3060000}"/>
    <cellStyle name="Normal 14 2 2 3 3" xfId="3521" xr:uid="{00000000-0005-0000-0000-0000D4060000}"/>
    <cellStyle name="Normal 14 2 2 3 3 2" xfId="3522" xr:uid="{00000000-0005-0000-0000-0000D5060000}"/>
    <cellStyle name="Normal 14 2 2 3 4" xfId="3523" xr:uid="{00000000-0005-0000-0000-0000D6060000}"/>
    <cellStyle name="Normal 14 2 2 3 5" xfId="3524" xr:uid="{00000000-0005-0000-0000-0000D7060000}"/>
    <cellStyle name="Normal 14 2 2 4" xfId="388" xr:uid="{00000000-0005-0000-0000-0000D8060000}"/>
    <cellStyle name="Normal 14 2 2 4 2" xfId="3525" xr:uid="{00000000-0005-0000-0000-0000D9060000}"/>
    <cellStyle name="Normal 14 2 2 4 2 2" xfId="3526" xr:uid="{00000000-0005-0000-0000-0000DA060000}"/>
    <cellStyle name="Normal 14 2 2 4 3" xfId="3527" xr:uid="{00000000-0005-0000-0000-0000DB060000}"/>
    <cellStyle name="Normal 14 2 2 4 4" xfId="3528" xr:uid="{00000000-0005-0000-0000-0000DC060000}"/>
    <cellStyle name="Normal 14 2 2 5" xfId="3529" xr:uid="{00000000-0005-0000-0000-0000DD060000}"/>
    <cellStyle name="Normal 14 2 2 5 2" xfId="3530" xr:uid="{00000000-0005-0000-0000-0000DE060000}"/>
    <cellStyle name="Normal 14 2 2 6" xfId="3531" xr:uid="{00000000-0005-0000-0000-0000DF060000}"/>
    <cellStyle name="Normal 14 2 2 7" xfId="3532" xr:uid="{00000000-0005-0000-0000-0000E0060000}"/>
    <cellStyle name="Normal 14 2 3" xfId="389" xr:uid="{00000000-0005-0000-0000-0000E1060000}"/>
    <cellStyle name="Normal 14 2 3 2" xfId="390" xr:uid="{00000000-0005-0000-0000-0000E2060000}"/>
    <cellStyle name="Normal 14 2 3 2 2" xfId="391" xr:uid="{00000000-0005-0000-0000-0000E3060000}"/>
    <cellStyle name="Normal 14 2 3 2 2 2" xfId="3533" xr:uid="{00000000-0005-0000-0000-0000E4060000}"/>
    <cellStyle name="Normal 14 2 3 2 2 2 2" xfId="3534" xr:uid="{00000000-0005-0000-0000-0000E5060000}"/>
    <cellStyle name="Normal 14 2 3 2 2 3" xfId="3535" xr:uid="{00000000-0005-0000-0000-0000E6060000}"/>
    <cellStyle name="Normal 14 2 3 2 2 4" xfId="3536" xr:uid="{00000000-0005-0000-0000-0000E7060000}"/>
    <cellStyle name="Normal 14 2 3 2 3" xfId="3537" xr:uid="{00000000-0005-0000-0000-0000E8060000}"/>
    <cellStyle name="Normal 14 2 3 2 3 2" xfId="3538" xr:uid="{00000000-0005-0000-0000-0000E9060000}"/>
    <cellStyle name="Normal 14 2 3 2 4" xfId="3539" xr:uid="{00000000-0005-0000-0000-0000EA060000}"/>
    <cellStyle name="Normal 14 2 3 2 5" xfId="3540" xr:uid="{00000000-0005-0000-0000-0000EB060000}"/>
    <cellStyle name="Normal 14 2 3 3" xfId="392" xr:uid="{00000000-0005-0000-0000-0000EC060000}"/>
    <cellStyle name="Normal 14 2 3 3 2" xfId="3541" xr:uid="{00000000-0005-0000-0000-0000ED060000}"/>
    <cellStyle name="Normal 14 2 3 3 2 2" xfId="3542" xr:uid="{00000000-0005-0000-0000-0000EE060000}"/>
    <cellStyle name="Normal 14 2 3 3 3" xfId="3543" xr:uid="{00000000-0005-0000-0000-0000EF060000}"/>
    <cellStyle name="Normal 14 2 3 3 4" xfId="3544" xr:uid="{00000000-0005-0000-0000-0000F0060000}"/>
    <cellStyle name="Normal 14 2 3 4" xfId="3545" xr:uid="{00000000-0005-0000-0000-0000F1060000}"/>
    <cellStyle name="Normal 14 2 3 4 2" xfId="3546" xr:uid="{00000000-0005-0000-0000-0000F2060000}"/>
    <cellStyle name="Normal 14 2 3 5" xfId="3547" xr:uid="{00000000-0005-0000-0000-0000F3060000}"/>
    <cellStyle name="Normal 14 2 3 6" xfId="3548" xr:uid="{00000000-0005-0000-0000-0000F4060000}"/>
    <cellStyle name="Normal 14 2 4" xfId="393" xr:uid="{00000000-0005-0000-0000-0000F5060000}"/>
    <cellStyle name="Normal 14 2 4 2" xfId="394" xr:uid="{00000000-0005-0000-0000-0000F6060000}"/>
    <cellStyle name="Normal 14 2 4 2 2" xfId="3549" xr:uid="{00000000-0005-0000-0000-0000F7060000}"/>
    <cellStyle name="Normal 14 2 4 2 2 2" xfId="3550" xr:uid="{00000000-0005-0000-0000-0000F8060000}"/>
    <cellStyle name="Normal 14 2 4 2 3" xfId="3551" xr:uid="{00000000-0005-0000-0000-0000F9060000}"/>
    <cellStyle name="Normal 14 2 4 2 4" xfId="3552" xr:uid="{00000000-0005-0000-0000-0000FA060000}"/>
    <cellStyle name="Normal 14 2 4 3" xfId="3553" xr:uid="{00000000-0005-0000-0000-0000FB060000}"/>
    <cellStyle name="Normal 14 2 4 3 2" xfId="3554" xr:uid="{00000000-0005-0000-0000-0000FC060000}"/>
    <cellStyle name="Normal 14 2 4 4" xfId="3555" xr:uid="{00000000-0005-0000-0000-0000FD060000}"/>
    <cellStyle name="Normal 14 2 4 5" xfId="3556" xr:uid="{00000000-0005-0000-0000-0000FE060000}"/>
    <cellStyle name="Normal 14 2 5" xfId="395" xr:uid="{00000000-0005-0000-0000-0000FF060000}"/>
    <cellStyle name="Normal 14 2 5 2" xfId="3557" xr:uid="{00000000-0005-0000-0000-000000070000}"/>
    <cellStyle name="Normal 14 2 5 2 2" xfId="3558" xr:uid="{00000000-0005-0000-0000-000001070000}"/>
    <cellStyle name="Normal 14 2 5 3" xfId="3559" xr:uid="{00000000-0005-0000-0000-000002070000}"/>
    <cellStyle name="Normal 14 2 5 4" xfId="3560" xr:uid="{00000000-0005-0000-0000-000003070000}"/>
    <cellStyle name="Normal 14 2 6" xfId="3561" xr:uid="{00000000-0005-0000-0000-000004070000}"/>
    <cellStyle name="Normal 14 2 6 2" xfId="3562" xr:uid="{00000000-0005-0000-0000-000005070000}"/>
    <cellStyle name="Normal 14 2 7" xfId="3563" xr:uid="{00000000-0005-0000-0000-000006070000}"/>
    <cellStyle name="Normal 14 2 8" xfId="3564" xr:uid="{00000000-0005-0000-0000-000007070000}"/>
    <cellStyle name="Normal 14 3" xfId="396" xr:uid="{00000000-0005-0000-0000-000008070000}"/>
    <cellStyle name="Normal 14 3 2" xfId="397" xr:uid="{00000000-0005-0000-0000-000009070000}"/>
    <cellStyle name="Normal 14 3 2 2" xfId="398" xr:uid="{00000000-0005-0000-0000-00000A070000}"/>
    <cellStyle name="Normal 14 3 2 2 2" xfId="399" xr:uid="{00000000-0005-0000-0000-00000B070000}"/>
    <cellStyle name="Normal 14 3 2 2 2 2" xfId="3565" xr:uid="{00000000-0005-0000-0000-00000C070000}"/>
    <cellStyle name="Normal 14 3 2 2 2 2 2" xfId="3566" xr:uid="{00000000-0005-0000-0000-00000D070000}"/>
    <cellStyle name="Normal 14 3 2 2 2 3" xfId="3567" xr:uid="{00000000-0005-0000-0000-00000E070000}"/>
    <cellStyle name="Normal 14 3 2 2 2 4" xfId="3568" xr:uid="{00000000-0005-0000-0000-00000F070000}"/>
    <cellStyle name="Normal 14 3 2 2 3" xfId="3569" xr:uid="{00000000-0005-0000-0000-000010070000}"/>
    <cellStyle name="Normal 14 3 2 2 3 2" xfId="3570" xr:uid="{00000000-0005-0000-0000-000011070000}"/>
    <cellStyle name="Normal 14 3 2 2 4" xfId="3571" xr:uid="{00000000-0005-0000-0000-000012070000}"/>
    <cellStyle name="Normal 14 3 2 2 5" xfId="3572" xr:uid="{00000000-0005-0000-0000-000013070000}"/>
    <cellStyle name="Normal 14 3 2 3" xfId="400" xr:uid="{00000000-0005-0000-0000-000014070000}"/>
    <cellStyle name="Normal 14 3 2 3 2" xfId="3573" xr:uid="{00000000-0005-0000-0000-000015070000}"/>
    <cellStyle name="Normal 14 3 2 3 2 2" xfId="3574" xr:uid="{00000000-0005-0000-0000-000016070000}"/>
    <cellStyle name="Normal 14 3 2 3 3" xfId="3575" xr:uid="{00000000-0005-0000-0000-000017070000}"/>
    <cellStyle name="Normal 14 3 2 3 4" xfId="3576" xr:uid="{00000000-0005-0000-0000-000018070000}"/>
    <cellStyle name="Normal 14 3 2 4" xfId="3577" xr:uid="{00000000-0005-0000-0000-000019070000}"/>
    <cellStyle name="Normal 14 3 2 4 2" xfId="3578" xr:uid="{00000000-0005-0000-0000-00001A070000}"/>
    <cellStyle name="Normal 14 3 2 5" xfId="3579" xr:uid="{00000000-0005-0000-0000-00001B070000}"/>
    <cellStyle name="Normal 14 3 2 6" xfId="3580" xr:uid="{00000000-0005-0000-0000-00001C070000}"/>
    <cellStyle name="Normal 14 3 3" xfId="401" xr:uid="{00000000-0005-0000-0000-00001D070000}"/>
    <cellStyle name="Normal 14 3 3 2" xfId="402" xr:uid="{00000000-0005-0000-0000-00001E070000}"/>
    <cellStyle name="Normal 14 3 3 2 2" xfId="3581" xr:uid="{00000000-0005-0000-0000-00001F070000}"/>
    <cellStyle name="Normal 14 3 3 2 2 2" xfId="3582" xr:uid="{00000000-0005-0000-0000-000020070000}"/>
    <cellStyle name="Normal 14 3 3 2 3" xfId="3583" xr:uid="{00000000-0005-0000-0000-000021070000}"/>
    <cellStyle name="Normal 14 3 3 2 4" xfId="3584" xr:uid="{00000000-0005-0000-0000-000022070000}"/>
    <cellStyle name="Normal 14 3 3 3" xfId="3585" xr:uid="{00000000-0005-0000-0000-000023070000}"/>
    <cellStyle name="Normal 14 3 3 3 2" xfId="3586" xr:uid="{00000000-0005-0000-0000-000024070000}"/>
    <cellStyle name="Normal 14 3 3 4" xfId="3587" xr:uid="{00000000-0005-0000-0000-000025070000}"/>
    <cellStyle name="Normal 14 3 3 5" xfId="3588" xr:uid="{00000000-0005-0000-0000-000026070000}"/>
    <cellStyle name="Normal 14 3 4" xfId="403" xr:uid="{00000000-0005-0000-0000-000027070000}"/>
    <cellStyle name="Normal 14 3 4 2" xfId="3589" xr:uid="{00000000-0005-0000-0000-000028070000}"/>
    <cellStyle name="Normal 14 3 4 2 2" xfId="3590" xr:uid="{00000000-0005-0000-0000-000029070000}"/>
    <cellStyle name="Normal 14 3 4 3" xfId="3591" xr:uid="{00000000-0005-0000-0000-00002A070000}"/>
    <cellStyle name="Normal 14 3 4 4" xfId="3592" xr:uid="{00000000-0005-0000-0000-00002B070000}"/>
    <cellStyle name="Normal 14 3 5" xfId="3593" xr:uid="{00000000-0005-0000-0000-00002C070000}"/>
    <cellStyle name="Normal 14 3 5 2" xfId="3594" xr:uid="{00000000-0005-0000-0000-00002D070000}"/>
    <cellStyle name="Normal 14 3 6" xfId="3595" xr:uid="{00000000-0005-0000-0000-00002E070000}"/>
    <cellStyle name="Normal 14 3 7" xfId="3596" xr:uid="{00000000-0005-0000-0000-00002F070000}"/>
    <cellStyle name="Normal 14 4" xfId="404" xr:uid="{00000000-0005-0000-0000-000030070000}"/>
    <cellStyle name="Normal 14 4 2" xfId="405" xr:uid="{00000000-0005-0000-0000-000031070000}"/>
    <cellStyle name="Normal 14 4 2 2" xfId="406" xr:uid="{00000000-0005-0000-0000-000032070000}"/>
    <cellStyle name="Normal 14 4 2 2 2" xfId="3597" xr:uid="{00000000-0005-0000-0000-000033070000}"/>
    <cellStyle name="Normal 14 4 2 2 2 2" xfId="3598" xr:uid="{00000000-0005-0000-0000-000034070000}"/>
    <cellStyle name="Normal 14 4 2 2 3" xfId="3599" xr:uid="{00000000-0005-0000-0000-000035070000}"/>
    <cellStyle name="Normal 14 4 2 2 4" xfId="3600" xr:uid="{00000000-0005-0000-0000-000036070000}"/>
    <cellStyle name="Normal 14 4 2 3" xfId="3601" xr:uid="{00000000-0005-0000-0000-000037070000}"/>
    <cellStyle name="Normal 14 4 2 3 2" xfId="3602" xr:uid="{00000000-0005-0000-0000-000038070000}"/>
    <cellStyle name="Normal 14 4 2 4" xfId="3603" xr:uid="{00000000-0005-0000-0000-000039070000}"/>
    <cellStyle name="Normal 14 4 2 5" xfId="3604" xr:uid="{00000000-0005-0000-0000-00003A070000}"/>
    <cellStyle name="Normal 14 4 3" xfId="407" xr:uid="{00000000-0005-0000-0000-00003B070000}"/>
    <cellStyle name="Normal 14 4 3 2" xfId="3605" xr:uid="{00000000-0005-0000-0000-00003C070000}"/>
    <cellStyle name="Normal 14 4 3 2 2" xfId="3606" xr:uid="{00000000-0005-0000-0000-00003D070000}"/>
    <cellStyle name="Normal 14 4 3 3" xfId="3607" xr:uid="{00000000-0005-0000-0000-00003E070000}"/>
    <cellStyle name="Normal 14 4 3 4" xfId="3608" xr:uid="{00000000-0005-0000-0000-00003F070000}"/>
    <cellStyle name="Normal 14 4 4" xfId="3609" xr:uid="{00000000-0005-0000-0000-000040070000}"/>
    <cellStyle name="Normal 14 4 4 2" xfId="3610" xr:uid="{00000000-0005-0000-0000-000041070000}"/>
    <cellStyle name="Normal 14 4 5" xfId="3611" xr:uid="{00000000-0005-0000-0000-000042070000}"/>
    <cellStyle name="Normal 14 4 6" xfId="3612" xr:uid="{00000000-0005-0000-0000-000043070000}"/>
    <cellStyle name="Normal 14 5" xfId="408" xr:uid="{00000000-0005-0000-0000-000044070000}"/>
    <cellStyle name="Normal 14 5 2" xfId="409" xr:uid="{00000000-0005-0000-0000-000045070000}"/>
    <cellStyle name="Normal 14 5 2 2" xfId="3613" xr:uid="{00000000-0005-0000-0000-000046070000}"/>
    <cellStyle name="Normal 14 5 2 2 2" xfId="3614" xr:uid="{00000000-0005-0000-0000-000047070000}"/>
    <cellStyle name="Normal 14 5 2 3" xfId="3615" xr:uid="{00000000-0005-0000-0000-000048070000}"/>
    <cellStyle name="Normal 14 5 2 4" xfId="3616" xr:uid="{00000000-0005-0000-0000-000049070000}"/>
    <cellStyle name="Normal 14 5 3" xfId="3617" xr:uid="{00000000-0005-0000-0000-00004A070000}"/>
    <cellStyle name="Normal 14 5 3 2" xfId="3618" xr:uid="{00000000-0005-0000-0000-00004B070000}"/>
    <cellStyle name="Normal 14 5 4" xfId="3619" xr:uid="{00000000-0005-0000-0000-00004C070000}"/>
    <cellStyle name="Normal 14 5 5" xfId="3620" xr:uid="{00000000-0005-0000-0000-00004D070000}"/>
    <cellStyle name="Normal 14 6" xfId="410" xr:uid="{00000000-0005-0000-0000-00004E070000}"/>
    <cellStyle name="Normal 14 6 2" xfId="3621" xr:uid="{00000000-0005-0000-0000-00004F070000}"/>
    <cellStyle name="Normal 14 6 2 2" xfId="3622" xr:uid="{00000000-0005-0000-0000-000050070000}"/>
    <cellStyle name="Normal 14 6 3" xfId="3623" xr:uid="{00000000-0005-0000-0000-000051070000}"/>
    <cellStyle name="Normal 14 6 4" xfId="3624" xr:uid="{00000000-0005-0000-0000-000052070000}"/>
    <cellStyle name="Normal 14 7" xfId="3625" xr:uid="{00000000-0005-0000-0000-000053070000}"/>
    <cellStyle name="Normal 14 7 2" xfId="3626" xr:uid="{00000000-0005-0000-0000-000054070000}"/>
    <cellStyle name="Normal 14 8" xfId="3627" xr:uid="{00000000-0005-0000-0000-000055070000}"/>
    <cellStyle name="Normal 14 9" xfId="3628" xr:uid="{00000000-0005-0000-0000-000056070000}"/>
    <cellStyle name="Normal 140" xfId="411" xr:uid="{00000000-0005-0000-0000-000057070000}"/>
    <cellStyle name="Normal 140 2" xfId="412" xr:uid="{00000000-0005-0000-0000-000058070000}"/>
    <cellStyle name="Normal 140 2 2" xfId="3629" xr:uid="{00000000-0005-0000-0000-000059070000}"/>
    <cellStyle name="Normal 140 2 2 2" xfId="3630" xr:uid="{00000000-0005-0000-0000-00005A070000}"/>
    <cellStyle name="Normal 140 2 3" xfId="3631" xr:uid="{00000000-0005-0000-0000-00005B070000}"/>
    <cellStyle name="Normal 140 2 4" xfId="3632" xr:uid="{00000000-0005-0000-0000-00005C070000}"/>
    <cellStyle name="Normal 140 3" xfId="3633" xr:uid="{00000000-0005-0000-0000-00005D070000}"/>
    <cellStyle name="Normal 140 3 2" xfId="3634" xr:uid="{00000000-0005-0000-0000-00005E070000}"/>
    <cellStyle name="Normal 140 4" xfId="3635" xr:uid="{00000000-0005-0000-0000-00005F070000}"/>
    <cellStyle name="Normal 140 5" xfId="3636" xr:uid="{00000000-0005-0000-0000-000060070000}"/>
    <cellStyle name="Normal 141" xfId="413" xr:uid="{00000000-0005-0000-0000-000061070000}"/>
    <cellStyle name="Normal 141 2" xfId="414" xr:uid="{00000000-0005-0000-0000-000062070000}"/>
    <cellStyle name="Normal 141 2 2" xfId="3637" xr:uid="{00000000-0005-0000-0000-000063070000}"/>
    <cellStyle name="Normal 141 2 2 2" xfId="3638" xr:uid="{00000000-0005-0000-0000-000064070000}"/>
    <cellStyle name="Normal 141 2 3" xfId="3639" xr:uid="{00000000-0005-0000-0000-000065070000}"/>
    <cellStyle name="Normal 141 2 4" xfId="3640" xr:uid="{00000000-0005-0000-0000-000066070000}"/>
    <cellStyle name="Normal 141 3" xfId="3641" xr:uid="{00000000-0005-0000-0000-000067070000}"/>
    <cellStyle name="Normal 141 3 2" xfId="3642" xr:uid="{00000000-0005-0000-0000-000068070000}"/>
    <cellStyle name="Normal 141 4" xfId="3643" xr:uid="{00000000-0005-0000-0000-000069070000}"/>
    <cellStyle name="Normal 141 5" xfId="3644" xr:uid="{00000000-0005-0000-0000-00006A070000}"/>
    <cellStyle name="Normal 142" xfId="415" xr:uid="{00000000-0005-0000-0000-00006B070000}"/>
    <cellStyle name="Normal 142 2" xfId="416" xr:uid="{00000000-0005-0000-0000-00006C070000}"/>
    <cellStyle name="Normal 142 2 2" xfId="3645" xr:uid="{00000000-0005-0000-0000-00006D070000}"/>
    <cellStyle name="Normal 142 2 2 2" xfId="3646" xr:uid="{00000000-0005-0000-0000-00006E070000}"/>
    <cellStyle name="Normal 142 2 3" xfId="3647" xr:uid="{00000000-0005-0000-0000-00006F070000}"/>
    <cellStyle name="Normal 142 2 4" xfId="3648" xr:uid="{00000000-0005-0000-0000-000070070000}"/>
    <cellStyle name="Normal 142 3" xfId="3649" xr:uid="{00000000-0005-0000-0000-000071070000}"/>
    <cellStyle name="Normal 142 3 2" xfId="3650" xr:uid="{00000000-0005-0000-0000-000072070000}"/>
    <cellStyle name="Normal 142 4" xfId="3651" xr:uid="{00000000-0005-0000-0000-000073070000}"/>
    <cellStyle name="Normal 142 5" xfId="3652" xr:uid="{00000000-0005-0000-0000-000074070000}"/>
    <cellStyle name="Normal 143" xfId="417" xr:uid="{00000000-0005-0000-0000-000075070000}"/>
    <cellStyle name="Normal 143 2" xfId="418" xr:uid="{00000000-0005-0000-0000-000076070000}"/>
    <cellStyle name="Normal 143 2 2" xfId="3653" xr:uid="{00000000-0005-0000-0000-000077070000}"/>
    <cellStyle name="Normal 143 2 2 2" xfId="3654" xr:uid="{00000000-0005-0000-0000-000078070000}"/>
    <cellStyle name="Normal 143 2 3" xfId="3655" xr:uid="{00000000-0005-0000-0000-000079070000}"/>
    <cellStyle name="Normal 143 2 4" xfId="3656" xr:uid="{00000000-0005-0000-0000-00007A070000}"/>
    <cellStyle name="Normal 143 3" xfId="3657" xr:uid="{00000000-0005-0000-0000-00007B070000}"/>
    <cellStyle name="Normal 143 3 2" xfId="3658" xr:uid="{00000000-0005-0000-0000-00007C070000}"/>
    <cellStyle name="Normal 143 4" xfId="3659" xr:uid="{00000000-0005-0000-0000-00007D070000}"/>
    <cellStyle name="Normal 143 5" xfId="3660" xr:uid="{00000000-0005-0000-0000-00007E070000}"/>
    <cellStyle name="Normal 144" xfId="419" xr:uid="{00000000-0005-0000-0000-00007F070000}"/>
    <cellStyle name="Normal 144 2" xfId="420" xr:uid="{00000000-0005-0000-0000-000080070000}"/>
    <cellStyle name="Normal 144 2 2" xfId="3661" xr:uid="{00000000-0005-0000-0000-000081070000}"/>
    <cellStyle name="Normal 144 2 2 2" xfId="3662" xr:uid="{00000000-0005-0000-0000-000082070000}"/>
    <cellStyle name="Normal 144 2 3" xfId="3663" xr:uid="{00000000-0005-0000-0000-000083070000}"/>
    <cellStyle name="Normal 144 2 4" xfId="3664" xr:uid="{00000000-0005-0000-0000-000084070000}"/>
    <cellStyle name="Normal 144 3" xfId="3665" xr:uid="{00000000-0005-0000-0000-000085070000}"/>
    <cellStyle name="Normal 144 3 2" xfId="3666" xr:uid="{00000000-0005-0000-0000-000086070000}"/>
    <cellStyle name="Normal 144 4" xfId="3667" xr:uid="{00000000-0005-0000-0000-000087070000}"/>
    <cellStyle name="Normal 144 5" xfId="3668" xr:uid="{00000000-0005-0000-0000-000088070000}"/>
    <cellStyle name="Normal 145" xfId="421" xr:uid="{00000000-0005-0000-0000-000089070000}"/>
    <cellStyle name="Normal 145 2" xfId="422" xr:uid="{00000000-0005-0000-0000-00008A070000}"/>
    <cellStyle name="Normal 145 2 2" xfId="3669" xr:uid="{00000000-0005-0000-0000-00008B070000}"/>
    <cellStyle name="Normal 145 2 2 2" xfId="3670" xr:uid="{00000000-0005-0000-0000-00008C070000}"/>
    <cellStyle name="Normal 145 2 3" xfId="3671" xr:uid="{00000000-0005-0000-0000-00008D070000}"/>
    <cellStyle name="Normal 145 2 4" xfId="3672" xr:uid="{00000000-0005-0000-0000-00008E070000}"/>
    <cellStyle name="Normal 145 3" xfId="3673" xr:uid="{00000000-0005-0000-0000-00008F070000}"/>
    <cellStyle name="Normal 145 3 2" xfId="3674" xr:uid="{00000000-0005-0000-0000-000090070000}"/>
    <cellStyle name="Normal 145 4" xfId="3675" xr:uid="{00000000-0005-0000-0000-000091070000}"/>
    <cellStyle name="Normal 145 5" xfId="3676" xr:uid="{00000000-0005-0000-0000-000092070000}"/>
    <cellStyle name="Normal 146" xfId="423" xr:uid="{00000000-0005-0000-0000-000093070000}"/>
    <cellStyle name="Normal 146 2" xfId="424" xr:uid="{00000000-0005-0000-0000-000094070000}"/>
    <cellStyle name="Normal 146 2 2" xfId="3677" xr:uid="{00000000-0005-0000-0000-000095070000}"/>
    <cellStyle name="Normal 146 2 2 2" xfId="3678" xr:uid="{00000000-0005-0000-0000-000096070000}"/>
    <cellStyle name="Normal 146 2 3" xfId="3679" xr:uid="{00000000-0005-0000-0000-000097070000}"/>
    <cellStyle name="Normal 146 2 4" xfId="3680" xr:uid="{00000000-0005-0000-0000-000098070000}"/>
    <cellStyle name="Normal 146 3" xfId="3681" xr:uid="{00000000-0005-0000-0000-000099070000}"/>
    <cellStyle name="Normal 146 3 2" xfId="3682" xr:uid="{00000000-0005-0000-0000-00009A070000}"/>
    <cellStyle name="Normal 146 4" xfId="3683" xr:uid="{00000000-0005-0000-0000-00009B070000}"/>
    <cellStyle name="Normal 146 5" xfId="3684" xr:uid="{00000000-0005-0000-0000-00009C070000}"/>
    <cellStyle name="Normal 147" xfId="425" xr:uid="{00000000-0005-0000-0000-00009D070000}"/>
    <cellStyle name="Normal 147 2" xfId="426" xr:uid="{00000000-0005-0000-0000-00009E070000}"/>
    <cellStyle name="Normal 147 2 2" xfId="3685" xr:uid="{00000000-0005-0000-0000-00009F070000}"/>
    <cellStyle name="Normal 147 2 2 2" xfId="3686" xr:uid="{00000000-0005-0000-0000-0000A0070000}"/>
    <cellStyle name="Normal 147 2 3" xfId="3687" xr:uid="{00000000-0005-0000-0000-0000A1070000}"/>
    <cellStyle name="Normal 147 2 4" xfId="3688" xr:uid="{00000000-0005-0000-0000-0000A2070000}"/>
    <cellStyle name="Normal 147 3" xfId="3689" xr:uid="{00000000-0005-0000-0000-0000A3070000}"/>
    <cellStyle name="Normal 147 3 2" xfId="3690" xr:uid="{00000000-0005-0000-0000-0000A4070000}"/>
    <cellStyle name="Normal 147 4" xfId="3691" xr:uid="{00000000-0005-0000-0000-0000A5070000}"/>
    <cellStyle name="Normal 147 5" xfId="3692" xr:uid="{00000000-0005-0000-0000-0000A6070000}"/>
    <cellStyle name="Normal 148" xfId="427" xr:uid="{00000000-0005-0000-0000-0000A7070000}"/>
    <cellStyle name="Normal 148 2" xfId="428" xr:uid="{00000000-0005-0000-0000-0000A8070000}"/>
    <cellStyle name="Normal 148 2 2" xfId="3693" xr:uid="{00000000-0005-0000-0000-0000A9070000}"/>
    <cellStyle name="Normal 148 2 2 2" xfId="3694" xr:uid="{00000000-0005-0000-0000-0000AA070000}"/>
    <cellStyle name="Normal 148 2 3" xfId="3695" xr:uid="{00000000-0005-0000-0000-0000AB070000}"/>
    <cellStyle name="Normal 148 2 4" xfId="3696" xr:uid="{00000000-0005-0000-0000-0000AC070000}"/>
    <cellStyle name="Normal 148 3" xfId="3697" xr:uid="{00000000-0005-0000-0000-0000AD070000}"/>
    <cellStyle name="Normal 148 3 2" xfId="3698" xr:uid="{00000000-0005-0000-0000-0000AE070000}"/>
    <cellStyle name="Normal 148 4" xfId="3699" xr:uid="{00000000-0005-0000-0000-0000AF070000}"/>
    <cellStyle name="Normal 148 5" xfId="3700" xr:uid="{00000000-0005-0000-0000-0000B0070000}"/>
    <cellStyle name="Normal 149" xfId="429" xr:uid="{00000000-0005-0000-0000-0000B1070000}"/>
    <cellStyle name="Normal 149 2" xfId="430" xr:uid="{00000000-0005-0000-0000-0000B2070000}"/>
    <cellStyle name="Normal 149 2 2" xfId="3701" xr:uid="{00000000-0005-0000-0000-0000B3070000}"/>
    <cellStyle name="Normal 149 2 2 2" xfId="3702" xr:uid="{00000000-0005-0000-0000-0000B4070000}"/>
    <cellStyle name="Normal 149 2 3" xfId="3703" xr:uid="{00000000-0005-0000-0000-0000B5070000}"/>
    <cellStyle name="Normal 149 2 4" xfId="3704" xr:uid="{00000000-0005-0000-0000-0000B6070000}"/>
    <cellStyle name="Normal 149 3" xfId="3705" xr:uid="{00000000-0005-0000-0000-0000B7070000}"/>
    <cellStyle name="Normal 149 3 2" xfId="3706" xr:uid="{00000000-0005-0000-0000-0000B8070000}"/>
    <cellStyle name="Normal 149 4" xfId="3707" xr:uid="{00000000-0005-0000-0000-0000B9070000}"/>
    <cellStyle name="Normal 149 5" xfId="3708" xr:uid="{00000000-0005-0000-0000-0000BA070000}"/>
    <cellStyle name="Normal 15" xfId="431" xr:uid="{00000000-0005-0000-0000-0000BB070000}"/>
    <cellStyle name="Normal 15 2" xfId="432" xr:uid="{00000000-0005-0000-0000-0000BC070000}"/>
    <cellStyle name="Normal 15 2 2" xfId="433" xr:uid="{00000000-0005-0000-0000-0000BD070000}"/>
    <cellStyle name="Normal 15 2 2 2" xfId="434" xr:uid="{00000000-0005-0000-0000-0000BE070000}"/>
    <cellStyle name="Normal 15 2 2 2 2" xfId="435" xr:uid="{00000000-0005-0000-0000-0000BF070000}"/>
    <cellStyle name="Normal 15 2 2 2 2 2" xfId="436" xr:uid="{00000000-0005-0000-0000-0000C0070000}"/>
    <cellStyle name="Normal 15 2 2 2 2 2 2" xfId="3709" xr:uid="{00000000-0005-0000-0000-0000C1070000}"/>
    <cellStyle name="Normal 15 2 2 2 2 2 2 2" xfId="3710" xr:uid="{00000000-0005-0000-0000-0000C2070000}"/>
    <cellStyle name="Normal 15 2 2 2 2 2 3" xfId="3711" xr:uid="{00000000-0005-0000-0000-0000C3070000}"/>
    <cellStyle name="Normal 15 2 2 2 2 2 4" xfId="3712" xr:uid="{00000000-0005-0000-0000-0000C4070000}"/>
    <cellStyle name="Normal 15 2 2 2 2 3" xfId="3713" xr:uid="{00000000-0005-0000-0000-0000C5070000}"/>
    <cellStyle name="Normal 15 2 2 2 2 3 2" xfId="3714" xr:uid="{00000000-0005-0000-0000-0000C6070000}"/>
    <cellStyle name="Normal 15 2 2 2 2 4" xfId="3715" xr:uid="{00000000-0005-0000-0000-0000C7070000}"/>
    <cellStyle name="Normal 15 2 2 2 2 5" xfId="3716" xr:uid="{00000000-0005-0000-0000-0000C8070000}"/>
    <cellStyle name="Normal 15 2 2 2 3" xfId="437" xr:uid="{00000000-0005-0000-0000-0000C9070000}"/>
    <cellStyle name="Normal 15 2 2 2 3 2" xfId="3717" xr:uid="{00000000-0005-0000-0000-0000CA070000}"/>
    <cellStyle name="Normal 15 2 2 2 3 2 2" xfId="3718" xr:uid="{00000000-0005-0000-0000-0000CB070000}"/>
    <cellStyle name="Normal 15 2 2 2 3 3" xfId="3719" xr:uid="{00000000-0005-0000-0000-0000CC070000}"/>
    <cellStyle name="Normal 15 2 2 2 3 4" xfId="3720" xr:uid="{00000000-0005-0000-0000-0000CD070000}"/>
    <cellStyle name="Normal 15 2 2 2 4" xfId="3721" xr:uid="{00000000-0005-0000-0000-0000CE070000}"/>
    <cellStyle name="Normal 15 2 2 2 4 2" xfId="3722" xr:uid="{00000000-0005-0000-0000-0000CF070000}"/>
    <cellStyle name="Normal 15 2 2 2 5" xfId="3723" xr:uid="{00000000-0005-0000-0000-0000D0070000}"/>
    <cellStyle name="Normal 15 2 2 2 6" xfId="3724" xr:uid="{00000000-0005-0000-0000-0000D1070000}"/>
    <cellStyle name="Normal 15 2 2 3" xfId="438" xr:uid="{00000000-0005-0000-0000-0000D2070000}"/>
    <cellStyle name="Normal 15 2 2 3 2" xfId="439" xr:uid="{00000000-0005-0000-0000-0000D3070000}"/>
    <cellStyle name="Normal 15 2 2 3 2 2" xfId="3725" xr:uid="{00000000-0005-0000-0000-0000D4070000}"/>
    <cellStyle name="Normal 15 2 2 3 2 2 2" xfId="3726" xr:uid="{00000000-0005-0000-0000-0000D5070000}"/>
    <cellStyle name="Normal 15 2 2 3 2 3" xfId="3727" xr:uid="{00000000-0005-0000-0000-0000D6070000}"/>
    <cellStyle name="Normal 15 2 2 3 2 4" xfId="3728" xr:uid="{00000000-0005-0000-0000-0000D7070000}"/>
    <cellStyle name="Normal 15 2 2 3 3" xfId="3729" xr:uid="{00000000-0005-0000-0000-0000D8070000}"/>
    <cellStyle name="Normal 15 2 2 3 3 2" xfId="3730" xr:uid="{00000000-0005-0000-0000-0000D9070000}"/>
    <cellStyle name="Normal 15 2 2 3 4" xfId="3731" xr:uid="{00000000-0005-0000-0000-0000DA070000}"/>
    <cellStyle name="Normal 15 2 2 3 5" xfId="3732" xr:uid="{00000000-0005-0000-0000-0000DB070000}"/>
    <cellStyle name="Normal 15 2 2 4" xfId="440" xr:uid="{00000000-0005-0000-0000-0000DC070000}"/>
    <cellStyle name="Normal 15 2 2 4 2" xfId="3733" xr:uid="{00000000-0005-0000-0000-0000DD070000}"/>
    <cellStyle name="Normal 15 2 2 4 2 2" xfId="3734" xr:uid="{00000000-0005-0000-0000-0000DE070000}"/>
    <cellStyle name="Normal 15 2 2 4 3" xfId="3735" xr:uid="{00000000-0005-0000-0000-0000DF070000}"/>
    <cellStyle name="Normal 15 2 2 4 4" xfId="3736" xr:uid="{00000000-0005-0000-0000-0000E0070000}"/>
    <cellStyle name="Normal 15 2 2 5" xfId="3737" xr:uid="{00000000-0005-0000-0000-0000E1070000}"/>
    <cellStyle name="Normal 15 2 2 5 2" xfId="3738" xr:uid="{00000000-0005-0000-0000-0000E2070000}"/>
    <cellStyle name="Normal 15 2 2 6" xfId="3739" xr:uid="{00000000-0005-0000-0000-0000E3070000}"/>
    <cellStyle name="Normal 15 2 2 7" xfId="3740" xr:uid="{00000000-0005-0000-0000-0000E4070000}"/>
    <cellStyle name="Normal 15 2 3" xfId="441" xr:uid="{00000000-0005-0000-0000-0000E5070000}"/>
    <cellStyle name="Normal 15 2 3 2" xfId="442" xr:uid="{00000000-0005-0000-0000-0000E6070000}"/>
    <cellStyle name="Normal 15 2 3 2 2" xfId="443" xr:uid="{00000000-0005-0000-0000-0000E7070000}"/>
    <cellStyle name="Normal 15 2 3 2 2 2" xfId="3741" xr:uid="{00000000-0005-0000-0000-0000E8070000}"/>
    <cellStyle name="Normal 15 2 3 2 2 2 2" xfId="3742" xr:uid="{00000000-0005-0000-0000-0000E9070000}"/>
    <cellStyle name="Normal 15 2 3 2 2 3" xfId="3743" xr:uid="{00000000-0005-0000-0000-0000EA070000}"/>
    <cellStyle name="Normal 15 2 3 2 2 4" xfId="3744" xr:uid="{00000000-0005-0000-0000-0000EB070000}"/>
    <cellStyle name="Normal 15 2 3 2 3" xfId="3745" xr:uid="{00000000-0005-0000-0000-0000EC070000}"/>
    <cellStyle name="Normal 15 2 3 2 3 2" xfId="3746" xr:uid="{00000000-0005-0000-0000-0000ED070000}"/>
    <cellStyle name="Normal 15 2 3 2 4" xfId="3747" xr:uid="{00000000-0005-0000-0000-0000EE070000}"/>
    <cellStyle name="Normal 15 2 3 2 5" xfId="3748" xr:uid="{00000000-0005-0000-0000-0000EF070000}"/>
    <cellStyle name="Normal 15 2 3 3" xfId="444" xr:uid="{00000000-0005-0000-0000-0000F0070000}"/>
    <cellStyle name="Normal 15 2 3 3 2" xfId="3749" xr:uid="{00000000-0005-0000-0000-0000F1070000}"/>
    <cellStyle name="Normal 15 2 3 3 2 2" xfId="3750" xr:uid="{00000000-0005-0000-0000-0000F2070000}"/>
    <cellStyle name="Normal 15 2 3 3 3" xfId="3751" xr:uid="{00000000-0005-0000-0000-0000F3070000}"/>
    <cellStyle name="Normal 15 2 3 3 4" xfId="3752" xr:uid="{00000000-0005-0000-0000-0000F4070000}"/>
    <cellStyle name="Normal 15 2 3 4" xfId="3753" xr:uid="{00000000-0005-0000-0000-0000F5070000}"/>
    <cellStyle name="Normal 15 2 3 4 2" xfId="3754" xr:uid="{00000000-0005-0000-0000-0000F6070000}"/>
    <cellStyle name="Normal 15 2 3 5" xfId="3755" xr:uid="{00000000-0005-0000-0000-0000F7070000}"/>
    <cellStyle name="Normal 15 2 3 6" xfId="3756" xr:uid="{00000000-0005-0000-0000-0000F8070000}"/>
    <cellStyle name="Normal 15 2 4" xfId="445" xr:uid="{00000000-0005-0000-0000-0000F9070000}"/>
    <cellStyle name="Normal 15 2 4 2" xfId="446" xr:uid="{00000000-0005-0000-0000-0000FA070000}"/>
    <cellStyle name="Normal 15 2 4 2 2" xfId="3757" xr:uid="{00000000-0005-0000-0000-0000FB070000}"/>
    <cellStyle name="Normal 15 2 4 2 2 2" xfId="3758" xr:uid="{00000000-0005-0000-0000-0000FC070000}"/>
    <cellStyle name="Normal 15 2 4 2 3" xfId="3759" xr:uid="{00000000-0005-0000-0000-0000FD070000}"/>
    <cellStyle name="Normal 15 2 4 2 4" xfId="3760" xr:uid="{00000000-0005-0000-0000-0000FE070000}"/>
    <cellStyle name="Normal 15 2 4 3" xfId="3761" xr:uid="{00000000-0005-0000-0000-0000FF070000}"/>
    <cellStyle name="Normal 15 2 4 3 2" xfId="3762" xr:uid="{00000000-0005-0000-0000-000000080000}"/>
    <cellStyle name="Normal 15 2 4 4" xfId="3763" xr:uid="{00000000-0005-0000-0000-000001080000}"/>
    <cellStyle name="Normal 15 2 4 5" xfId="3764" xr:uid="{00000000-0005-0000-0000-000002080000}"/>
    <cellStyle name="Normal 15 2 5" xfId="447" xr:uid="{00000000-0005-0000-0000-000003080000}"/>
    <cellStyle name="Normal 15 2 5 2" xfId="3765" xr:uid="{00000000-0005-0000-0000-000004080000}"/>
    <cellStyle name="Normal 15 2 5 2 2" xfId="3766" xr:uid="{00000000-0005-0000-0000-000005080000}"/>
    <cellStyle name="Normal 15 2 5 3" xfId="3767" xr:uid="{00000000-0005-0000-0000-000006080000}"/>
    <cellStyle name="Normal 15 2 5 4" xfId="3768" xr:uid="{00000000-0005-0000-0000-000007080000}"/>
    <cellStyle name="Normal 15 2 6" xfId="3769" xr:uid="{00000000-0005-0000-0000-000008080000}"/>
    <cellStyle name="Normal 15 2 6 2" xfId="3770" xr:uid="{00000000-0005-0000-0000-000009080000}"/>
    <cellStyle name="Normal 15 2 7" xfId="3771" xr:uid="{00000000-0005-0000-0000-00000A080000}"/>
    <cellStyle name="Normal 15 2 8" xfId="3772" xr:uid="{00000000-0005-0000-0000-00000B080000}"/>
    <cellStyle name="Normal 15 3" xfId="448" xr:uid="{00000000-0005-0000-0000-00000C080000}"/>
    <cellStyle name="Normal 15 3 2" xfId="449" xr:uid="{00000000-0005-0000-0000-00000D080000}"/>
    <cellStyle name="Normal 15 3 2 2" xfId="450" xr:uid="{00000000-0005-0000-0000-00000E080000}"/>
    <cellStyle name="Normal 15 3 2 2 2" xfId="451" xr:uid="{00000000-0005-0000-0000-00000F080000}"/>
    <cellStyle name="Normal 15 3 2 2 2 2" xfId="3773" xr:uid="{00000000-0005-0000-0000-000010080000}"/>
    <cellStyle name="Normal 15 3 2 2 2 2 2" xfId="3774" xr:uid="{00000000-0005-0000-0000-000011080000}"/>
    <cellStyle name="Normal 15 3 2 2 2 3" xfId="3775" xr:uid="{00000000-0005-0000-0000-000012080000}"/>
    <cellStyle name="Normal 15 3 2 2 2 4" xfId="3776" xr:uid="{00000000-0005-0000-0000-000013080000}"/>
    <cellStyle name="Normal 15 3 2 2 3" xfId="3777" xr:uid="{00000000-0005-0000-0000-000014080000}"/>
    <cellStyle name="Normal 15 3 2 2 3 2" xfId="3778" xr:uid="{00000000-0005-0000-0000-000015080000}"/>
    <cellStyle name="Normal 15 3 2 2 4" xfId="3779" xr:uid="{00000000-0005-0000-0000-000016080000}"/>
    <cellStyle name="Normal 15 3 2 2 5" xfId="3780" xr:uid="{00000000-0005-0000-0000-000017080000}"/>
    <cellStyle name="Normal 15 3 2 3" xfId="452" xr:uid="{00000000-0005-0000-0000-000018080000}"/>
    <cellStyle name="Normal 15 3 2 3 2" xfId="3781" xr:uid="{00000000-0005-0000-0000-000019080000}"/>
    <cellStyle name="Normal 15 3 2 3 2 2" xfId="3782" xr:uid="{00000000-0005-0000-0000-00001A080000}"/>
    <cellStyle name="Normal 15 3 2 3 3" xfId="3783" xr:uid="{00000000-0005-0000-0000-00001B080000}"/>
    <cellStyle name="Normal 15 3 2 3 4" xfId="3784" xr:uid="{00000000-0005-0000-0000-00001C080000}"/>
    <cellStyle name="Normal 15 3 2 4" xfId="3785" xr:uid="{00000000-0005-0000-0000-00001D080000}"/>
    <cellStyle name="Normal 15 3 2 4 2" xfId="3786" xr:uid="{00000000-0005-0000-0000-00001E080000}"/>
    <cellStyle name="Normal 15 3 2 5" xfId="3787" xr:uid="{00000000-0005-0000-0000-00001F080000}"/>
    <cellStyle name="Normal 15 3 2 6" xfId="3788" xr:uid="{00000000-0005-0000-0000-000020080000}"/>
    <cellStyle name="Normal 15 3 3" xfId="453" xr:uid="{00000000-0005-0000-0000-000021080000}"/>
    <cellStyle name="Normal 15 3 3 2" xfId="454" xr:uid="{00000000-0005-0000-0000-000022080000}"/>
    <cellStyle name="Normal 15 3 3 2 2" xfId="3789" xr:uid="{00000000-0005-0000-0000-000023080000}"/>
    <cellStyle name="Normal 15 3 3 2 2 2" xfId="3790" xr:uid="{00000000-0005-0000-0000-000024080000}"/>
    <cellStyle name="Normal 15 3 3 2 3" xfId="3791" xr:uid="{00000000-0005-0000-0000-000025080000}"/>
    <cellStyle name="Normal 15 3 3 2 4" xfId="3792" xr:uid="{00000000-0005-0000-0000-000026080000}"/>
    <cellStyle name="Normal 15 3 3 3" xfId="3793" xr:uid="{00000000-0005-0000-0000-000027080000}"/>
    <cellStyle name="Normal 15 3 3 3 2" xfId="3794" xr:uid="{00000000-0005-0000-0000-000028080000}"/>
    <cellStyle name="Normal 15 3 3 4" xfId="3795" xr:uid="{00000000-0005-0000-0000-000029080000}"/>
    <cellStyle name="Normal 15 3 3 5" xfId="3796" xr:uid="{00000000-0005-0000-0000-00002A080000}"/>
    <cellStyle name="Normal 15 3 4" xfId="455" xr:uid="{00000000-0005-0000-0000-00002B080000}"/>
    <cellStyle name="Normal 15 3 4 2" xfId="3797" xr:uid="{00000000-0005-0000-0000-00002C080000}"/>
    <cellStyle name="Normal 15 3 4 2 2" xfId="3798" xr:uid="{00000000-0005-0000-0000-00002D080000}"/>
    <cellStyle name="Normal 15 3 4 3" xfId="3799" xr:uid="{00000000-0005-0000-0000-00002E080000}"/>
    <cellStyle name="Normal 15 3 4 4" xfId="3800" xr:uid="{00000000-0005-0000-0000-00002F080000}"/>
    <cellStyle name="Normal 15 3 5" xfId="3801" xr:uid="{00000000-0005-0000-0000-000030080000}"/>
    <cellStyle name="Normal 15 3 5 2" xfId="3802" xr:uid="{00000000-0005-0000-0000-000031080000}"/>
    <cellStyle name="Normal 15 3 6" xfId="3803" xr:uid="{00000000-0005-0000-0000-000032080000}"/>
    <cellStyle name="Normal 15 3 7" xfId="3804" xr:uid="{00000000-0005-0000-0000-000033080000}"/>
    <cellStyle name="Normal 15 4" xfId="456" xr:uid="{00000000-0005-0000-0000-000034080000}"/>
    <cellStyle name="Normal 15 4 2" xfId="457" xr:uid="{00000000-0005-0000-0000-000035080000}"/>
    <cellStyle name="Normal 15 4 2 2" xfId="458" xr:uid="{00000000-0005-0000-0000-000036080000}"/>
    <cellStyle name="Normal 15 4 2 2 2" xfId="3805" xr:uid="{00000000-0005-0000-0000-000037080000}"/>
    <cellStyle name="Normal 15 4 2 2 2 2" xfId="3806" xr:uid="{00000000-0005-0000-0000-000038080000}"/>
    <cellStyle name="Normal 15 4 2 2 3" xfId="3807" xr:uid="{00000000-0005-0000-0000-000039080000}"/>
    <cellStyle name="Normal 15 4 2 2 4" xfId="3808" xr:uid="{00000000-0005-0000-0000-00003A080000}"/>
    <cellStyle name="Normal 15 4 2 3" xfId="3809" xr:uid="{00000000-0005-0000-0000-00003B080000}"/>
    <cellStyle name="Normal 15 4 2 3 2" xfId="3810" xr:uid="{00000000-0005-0000-0000-00003C080000}"/>
    <cellStyle name="Normal 15 4 2 4" xfId="3811" xr:uid="{00000000-0005-0000-0000-00003D080000}"/>
    <cellStyle name="Normal 15 4 2 5" xfId="3812" xr:uid="{00000000-0005-0000-0000-00003E080000}"/>
    <cellStyle name="Normal 15 4 3" xfId="459" xr:uid="{00000000-0005-0000-0000-00003F080000}"/>
    <cellStyle name="Normal 15 4 3 2" xfId="3813" xr:uid="{00000000-0005-0000-0000-000040080000}"/>
    <cellStyle name="Normal 15 4 3 2 2" xfId="3814" xr:uid="{00000000-0005-0000-0000-000041080000}"/>
    <cellStyle name="Normal 15 4 3 3" xfId="3815" xr:uid="{00000000-0005-0000-0000-000042080000}"/>
    <cellStyle name="Normal 15 4 3 4" xfId="3816" xr:uid="{00000000-0005-0000-0000-000043080000}"/>
    <cellStyle name="Normal 15 4 4" xfId="3817" xr:uid="{00000000-0005-0000-0000-000044080000}"/>
    <cellStyle name="Normal 15 4 4 2" xfId="3818" xr:uid="{00000000-0005-0000-0000-000045080000}"/>
    <cellStyle name="Normal 15 4 5" xfId="3819" xr:uid="{00000000-0005-0000-0000-000046080000}"/>
    <cellStyle name="Normal 15 4 6" xfId="3820" xr:uid="{00000000-0005-0000-0000-000047080000}"/>
    <cellStyle name="Normal 15 5" xfId="460" xr:uid="{00000000-0005-0000-0000-000048080000}"/>
    <cellStyle name="Normal 15 5 2" xfId="461" xr:uid="{00000000-0005-0000-0000-000049080000}"/>
    <cellStyle name="Normal 15 5 2 2" xfId="3821" xr:uid="{00000000-0005-0000-0000-00004A080000}"/>
    <cellStyle name="Normal 15 5 2 2 2" xfId="3822" xr:uid="{00000000-0005-0000-0000-00004B080000}"/>
    <cellStyle name="Normal 15 5 2 3" xfId="3823" xr:uid="{00000000-0005-0000-0000-00004C080000}"/>
    <cellStyle name="Normal 15 5 2 4" xfId="3824" xr:uid="{00000000-0005-0000-0000-00004D080000}"/>
    <cellStyle name="Normal 15 5 3" xfId="3825" xr:uid="{00000000-0005-0000-0000-00004E080000}"/>
    <cellStyle name="Normal 15 5 3 2" xfId="3826" xr:uid="{00000000-0005-0000-0000-00004F080000}"/>
    <cellStyle name="Normal 15 5 4" xfId="3827" xr:uid="{00000000-0005-0000-0000-000050080000}"/>
    <cellStyle name="Normal 15 5 5" xfId="3828" xr:uid="{00000000-0005-0000-0000-000051080000}"/>
    <cellStyle name="Normal 15 6" xfId="462" xr:uid="{00000000-0005-0000-0000-000052080000}"/>
    <cellStyle name="Normal 15 6 2" xfId="3829" xr:uid="{00000000-0005-0000-0000-000053080000}"/>
    <cellStyle name="Normal 15 6 2 2" xfId="3830" xr:uid="{00000000-0005-0000-0000-000054080000}"/>
    <cellStyle name="Normal 15 6 3" xfId="3831" xr:uid="{00000000-0005-0000-0000-000055080000}"/>
    <cellStyle name="Normal 15 6 4" xfId="3832" xr:uid="{00000000-0005-0000-0000-000056080000}"/>
    <cellStyle name="Normal 15 7" xfId="3833" xr:uid="{00000000-0005-0000-0000-000057080000}"/>
    <cellStyle name="Normal 15 7 2" xfId="3834" xr:uid="{00000000-0005-0000-0000-000058080000}"/>
    <cellStyle name="Normal 15 8" xfId="3835" xr:uid="{00000000-0005-0000-0000-000059080000}"/>
    <cellStyle name="Normal 15 9" xfId="3836" xr:uid="{00000000-0005-0000-0000-00005A080000}"/>
    <cellStyle name="Normal 150" xfId="463" xr:uid="{00000000-0005-0000-0000-00005B080000}"/>
    <cellStyle name="Normal 150 2" xfId="464" xr:uid="{00000000-0005-0000-0000-00005C080000}"/>
    <cellStyle name="Normal 150 2 2" xfId="3837" xr:uid="{00000000-0005-0000-0000-00005D080000}"/>
    <cellStyle name="Normal 150 2 2 2" xfId="3838" xr:uid="{00000000-0005-0000-0000-00005E080000}"/>
    <cellStyle name="Normal 150 2 3" xfId="3839" xr:uid="{00000000-0005-0000-0000-00005F080000}"/>
    <cellStyle name="Normal 150 2 4" xfId="3840" xr:uid="{00000000-0005-0000-0000-000060080000}"/>
    <cellStyle name="Normal 150 3" xfId="3841" xr:uid="{00000000-0005-0000-0000-000061080000}"/>
    <cellStyle name="Normal 150 3 2" xfId="3842" xr:uid="{00000000-0005-0000-0000-000062080000}"/>
    <cellStyle name="Normal 150 4" xfId="3843" xr:uid="{00000000-0005-0000-0000-000063080000}"/>
    <cellStyle name="Normal 150 5" xfId="3844" xr:uid="{00000000-0005-0000-0000-000064080000}"/>
    <cellStyle name="Normal 151" xfId="465" xr:uid="{00000000-0005-0000-0000-000065080000}"/>
    <cellStyle name="Normal 151 2" xfId="466" xr:uid="{00000000-0005-0000-0000-000066080000}"/>
    <cellStyle name="Normal 151 2 2" xfId="3845" xr:uid="{00000000-0005-0000-0000-000067080000}"/>
    <cellStyle name="Normal 151 2 2 2" xfId="3846" xr:uid="{00000000-0005-0000-0000-000068080000}"/>
    <cellStyle name="Normal 151 2 3" xfId="3847" xr:uid="{00000000-0005-0000-0000-000069080000}"/>
    <cellStyle name="Normal 151 2 4" xfId="3848" xr:uid="{00000000-0005-0000-0000-00006A080000}"/>
    <cellStyle name="Normal 151 3" xfId="3849" xr:uid="{00000000-0005-0000-0000-00006B080000}"/>
    <cellStyle name="Normal 151 3 2" xfId="3850" xr:uid="{00000000-0005-0000-0000-00006C080000}"/>
    <cellStyle name="Normal 151 4" xfId="3851" xr:uid="{00000000-0005-0000-0000-00006D080000}"/>
    <cellStyle name="Normal 151 5" xfId="3852" xr:uid="{00000000-0005-0000-0000-00006E080000}"/>
    <cellStyle name="Normal 152" xfId="467" xr:uid="{00000000-0005-0000-0000-00006F080000}"/>
    <cellStyle name="Normal 152 2" xfId="468" xr:uid="{00000000-0005-0000-0000-000070080000}"/>
    <cellStyle name="Normal 152 2 2" xfId="3853" xr:uid="{00000000-0005-0000-0000-000071080000}"/>
    <cellStyle name="Normal 152 2 2 2" xfId="3854" xr:uid="{00000000-0005-0000-0000-000072080000}"/>
    <cellStyle name="Normal 152 2 3" xfId="3855" xr:uid="{00000000-0005-0000-0000-000073080000}"/>
    <cellStyle name="Normal 152 2 4" xfId="3856" xr:uid="{00000000-0005-0000-0000-000074080000}"/>
    <cellStyle name="Normal 152 3" xfId="3857" xr:uid="{00000000-0005-0000-0000-000075080000}"/>
    <cellStyle name="Normal 152 3 2" xfId="3858" xr:uid="{00000000-0005-0000-0000-000076080000}"/>
    <cellStyle name="Normal 152 4" xfId="3859" xr:uid="{00000000-0005-0000-0000-000077080000}"/>
    <cellStyle name="Normal 152 5" xfId="3860" xr:uid="{00000000-0005-0000-0000-000078080000}"/>
    <cellStyle name="Normal 153" xfId="469" xr:uid="{00000000-0005-0000-0000-000079080000}"/>
    <cellStyle name="Normal 153 2" xfId="470" xr:uid="{00000000-0005-0000-0000-00007A080000}"/>
    <cellStyle name="Normal 153 2 2" xfId="3861" xr:uid="{00000000-0005-0000-0000-00007B080000}"/>
    <cellStyle name="Normal 153 2 2 2" xfId="3862" xr:uid="{00000000-0005-0000-0000-00007C080000}"/>
    <cellStyle name="Normal 153 2 3" xfId="3863" xr:uid="{00000000-0005-0000-0000-00007D080000}"/>
    <cellStyle name="Normal 153 2 4" xfId="3864" xr:uid="{00000000-0005-0000-0000-00007E080000}"/>
    <cellStyle name="Normal 153 3" xfId="3865" xr:uid="{00000000-0005-0000-0000-00007F080000}"/>
    <cellStyle name="Normal 153 3 2" xfId="3866" xr:uid="{00000000-0005-0000-0000-000080080000}"/>
    <cellStyle name="Normal 153 4" xfId="3867" xr:uid="{00000000-0005-0000-0000-000081080000}"/>
    <cellStyle name="Normal 153 5" xfId="3868" xr:uid="{00000000-0005-0000-0000-000082080000}"/>
    <cellStyle name="Normal 154" xfId="471" xr:uid="{00000000-0005-0000-0000-000083080000}"/>
    <cellStyle name="Normal 154 2" xfId="472" xr:uid="{00000000-0005-0000-0000-000084080000}"/>
    <cellStyle name="Normal 154 2 2" xfId="3869" xr:uid="{00000000-0005-0000-0000-000085080000}"/>
    <cellStyle name="Normal 154 2 2 2" xfId="3870" xr:uid="{00000000-0005-0000-0000-000086080000}"/>
    <cellStyle name="Normal 154 2 3" xfId="3871" xr:uid="{00000000-0005-0000-0000-000087080000}"/>
    <cellStyle name="Normal 154 2 4" xfId="3872" xr:uid="{00000000-0005-0000-0000-000088080000}"/>
    <cellStyle name="Normal 154 3" xfId="3873" xr:uid="{00000000-0005-0000-0000-000089080000}"/>
    <cellStyle name="Normal 154 3 2" xfId="3874" xr:uid="{00000000-0005-0000-0000-00008A080000}"/>
    <cellStyle name="Normal 154 4" xfId="3875" xr:uid="{00000000-0005-0000-0000-00008B080000}"/>
    <cellStyle name="Normal 154 5" xfId="3876" xr:uid="{00000000-0005-0000-0000-00008C080000}"/>
    <cellStyle name="Normal 155" xfId="473" xr:uid="{00000000-0005-0000-0000-00008D080000}"/>
    <cellStyle name="Normal 155 2" xfId="474" xr:uid="{00000000-0005-0000-0000-00008E080000}"/>
    <cellStyle name="Normal 155 2 2" xfId="3877" xr:uid="{00000000-0005-0000-0000-00008F080000}"/>
    <cellStyle name="Normal 155 2 2 2" xfId="3878" xr:uid="{00000000-0005-0000-0000-000090080000}"/>
    <cellStyle name="Normal 155 2 3" xfId="3879" xr:uid="{00000000-0005-0000-0000-000091080000}"/>
    <cellStyle name="Normal 155 2 4" xfId="3880" xr:uid="{00000000-0005-0000-0000-000092080000}"/>
    <cellStyle name="Normal 155 3" xfId="3881" xr:uid="{00000000-0005-0000-0000-000093080000}"/>
    <cellStyle name="Normal 155 3 2" xfId="3882" xr:uid="{00000000-0005-0000-0000-000094080000}"/>
    <cellStyle name="Normal 155 4" xfId="3883" xr:uid="{00000000-0005-0000-0000-000095080000}"/>
    <cellStyle name="Normal 155 5" xfId="3884" xr:uid="{00000000-0005-0000-0000-000096080000}"/>
    <cellStyle name="Normal 156" xfId="475" xr:uid="{00000000-0005-0000-0000-000097080000}"/>
    <cellStyle name="Normal 156 2" xfId="3885" xr:uid="{00000000-0005-0000-0000-000098080000}"/>
    <cellStyle name="Normal 156 2 2" xfId="3886" xr:uid="{00000000-0005-0000-0000-000099080000}"/>
    <cellStyle name="Normal 156 3" xfId="3887" xr:uid="{00000000-0005-0000-0000-00009A080000}"/>
    <cellStyle name="Normal 156 4" xfId="3888" xr:uid="{00000000-0005-0000-0000-00009B080000}"/>
    <cellStyle name="Normal 157" xfId="476" xr:uid="{00000000-0005-0000-0000-00009C080000}"/>
    <cellStyle name="Normal 157 2" xfId="3889" xr:uid="{00000000-0005-0000-0000-00009D080000}"/>
    <cellStyle name="Normal 157 2 2" xfId="3890" xr:uid="{00000000-0005-0000-0000-00009E080000}"/>
    <cellStyle name="Normal 157 3" xfId="3891" xr:uid="{00000000-0005-0000-0000-00009F080000}"/>
    <cellStyle name="Normal 157 4" xfId="3892" xr:uid="{00000000-0005-0000-0000-0000A0080000}"/>
    <cellStyle name="Normal 158" xfId="477" xr:uid="{00000000-0005-0000-0000-0000A1080000}"/>
    <cellStyle name="Normal 158 2" xfId="3893" xr:uid="{00000000-0005-0000-0000-0000A2080000}"/>
    <cellStyle name="Normal 158 2 2" xfId="3894" xr:uid="{00000000-0005-0000-0000-0000A3080000}"/>
    <cellStyle name="Normal 158 3" xfId="3895" xr:uid="{00000000-0005-0000-0000-0000A4080000}"/>
    <cellStyle name="Normal 158 4" xfId="3896" xr:uid="{00000000-0005-0000-0000-0000A5080000}"/>
    <cellStyle name="Normal 159" xfId="478" xr:uid="{00000000-0005-0000-0000-0000A6080000}"/>
    <cellStyle name="Normal 159 2" xfId="3897" xr:uid="{00000000-0005-0000-0000-0000A7080000}"/>
    <cellStyle name="Normal 159 2 2" xfId="3898" xr:uid="{00000000-0005-0000-0000-0000A8080000}"/>
    <cellStyle name="Normal 159 3" xfId="3899" xr:uid="{00000000-0005-0000-0000-0000A9080000}"/>
    <cellStyle name="Normal 159 4" xfId="3900" xr:uid="{00000000-0005-0000-0000-0000AA080000}"/>
    <cellStyle name="Normal 16" xfId="479" xr:uid="{00000000-0005-0000-0000-0000AB080000}"/>
    <cellStyle name="Normal 16 2" xfId="480" xr:uid="{00000000-0005-0000-0000-0000AC080000}"/>
    <cellStyle name="Normal 16 2 2" xfId="481" xr:uid="{00000000-0005-0000-0000-0000AD080000}"/>
    <cellStyle name="Normal 16 2 2 2" xfId="482" xr:uid="{00000000-0005-0000-0000-0000AE080000}"/>
    <cellStyle name="Normal 16 2 2 2 2" xfId="483" xr:uid="{00000000-0005-0000-0000-0000AF080000}"/>
    <cellStyle name="Normal 16 2 2 2 2 2" xfId="484" xr:uid="{00000000-0005-0000-0000-0000B0080000}"/>
    <cellStyle name="Normal 16 2 2 2 2 2 2" xfId="3901" xr:uid="{00000000-0005-0000-0000-0000B1080000}"/>
    <cellStyle name="Normal 16 2 2 2 2 2 2 2" xfId="3902" xr:uid="{00000000-0005-0000-0000-0000B2080000}"/>
    <cellStyle name="Normal 16 2 2 2 2 2 3" xfId="3903" xr:uid="{00000000-0005-0000-0000-0000B3080000}"/>
    <cellStyle name="Normal 16 2 2 2 2 2 4" xfId="3904" xr:uid="{00000000-0005-0000-0000-0000B4080000}"/>
    <cellStyle name="Normal 16 2 2 2 2 3" xfId="3905" xr:uid="{00000000-0005-0000-0000-0000B5080000}"/>
    <cellStyle name="Normal 16 2 2 2 2 3 2" xfId="3906" xr:uid="{00000000-0005-0000-0000-0000B6080000}"/>
    <cellStyle name="Normal 16 2 2 2 2 4" xfId="3907" xr:uid="{00000000-0005-0000-0000-0000B7080000}"/>
    <cellStyle name="Normal 16 2 2 2 2 5" xfId="3908" xr:uid="{00000000-0005-0000-0000-0000B8080000}"/>
    <cellStyle name="Normal 16 2 2 2 3" xfId="485" xr:uid="{00000000-0005-0000-0000-0000B9080000}"/>
    <cellStyle name="Normal 16 2 2 2 3 2" xfId="3909" xr:uid="{00000000-0005-0000-0000-0000BA080000}"/>
    <cellStyle name="Normal 16 2 2 2 3 2 2" xfId="3910" xr:uid="{00000000-0005-0000-0000-0000BB080000}"/>
    <cellStyle name="Normal 16 2 2 2 3 3" xfId="3911" xr:uid="{00000000-0005-0000-0000-0000BC080000}"/>
    <cellStyle name="Normal 16 2 2 2 3 4" xfId="3912" xr:uid="{00000000-0005-0000-0000-0000BD080000}"/>
    <cellStyle name="Normal 16 2 2 2 4" xfId="3913" xr:uid="{00000000-0005-0000-0000-0000BE080000}"/>
    <cellStyle name="Normal 16 2 2 2 4 2" xfId="3914" xr:uid="{00000000-0005-0000-0000-0000BF080000}"/>
    <cellStyle name="Normal 16 2 2 2 5" xfId="3915" xr:uid="{00000000-0005-0000-0000-0000C0080000}"/>
    <cellStyle name="Normal 16 2 2 2 6" xfId="3916" xr:uid="{00000000-0005-0000-0000-0000C1080000}"/>
    <cellStyle name="Normal 16 2 2 3" xfId="486" xr:uid="{00000000-0005-0000-0000-0000C2080000}"/>
    <cellStyle name="Normal 16 2 2 3 2" xfId="487" xr:uid="{00000000-0005-0000-0000-0000C3080000}"/>
    <cellStyle name="Normal 16 2 2 3 2 2" xfId="3917" xr:uid="{00000000-0005-0000-0000-0000C4080000}"/>
    <cellStyle name="Normal 16 2 2 3 2 2 2" xfId="3918" xr:uid="{00000000-0005-0000-0000-0000C5080000}"/>
    <cellStyle name="Normal 16 2 2 3 2 3" xfId="3919" xr:uid="{00000000-0005-0000-0000-0000C6080000}"/>
    <cellStyle name="Normal 16 2 2 3 2 4" xfId="3920" xr:uid="{00000000-0005-0000-0000-0000C7080000}"/>
    <cellStyle name="Normal 16 2 2 3 3" xfId="3921" xr:uid="{00000000-0005-0000-0000-0000C8080000}"/>
    <cellStyle name="Normal 16 2 2 3 3 2" xfId="3922" xr:uid="{00000000-0005-0000-0000-0000C9080000}"/>
    <cellStyle name="Normal 16 2 2 3 4" xfId="3923" xr:uid="{00000000-0005-0000-0000-0000CA080000}"/>
    <cellStyle name="Normal 16 2 2 3 5" xfId="3924" xr:uid="{00000000-0005-0000-0000-0000CB080000}"/>
    <cellStyle name="Normal 16 2 2 4" xfId="488" xr:uid="{00000000-0005-0000-0000-0000CC080000}"/>
    <cellStyle name="Normal 16 2 2 4 2" xfId="3925" xr:uid="{00000000-0005-0000-0000-0000CD080000}"/>
    <cellStyle name="Normal 16 2 2 4 2 2" xfId="3926" xr:uid="{00000000-0005-0000-0000-0000CE080000}"/>
    <cellStyle name="Normal 16 2 2 4 3" xfId="3927" xr:uid="{00000000-0005-0000-0000-0000CF080000}"/>
    <cellStyle name="Normal 16 2 2 4 4" xfId="3928" xr:uid="{00000000-0005-0000-0000-0000D0080000}"/>
    <cellStyle name="Normal 16 2 2 5" xfId="3929" xr:uid="{00000000-0005-0000-0000-0000D1080000}"/>
    <cellStyle name="Normal 16 2 2 5 2" xfId="3930" xr:uid="{00000000-0005-0000-0000-0000D2080000}"/>
    <cellStyle name="Normal 16 2 2 6" xfId="3931" xr:uid="{00000000-0005-0000-0000-0000D3080000}"/>
    <cellStyle name="Normal 16 2 2 7" xfId="3932" xr:uid="{00000000-0005-0000-0000-0000D4080000}"/>
    <cellStyle name="Normal 16 2 3" xfId="489" xr:uid="{00000000-0005-0000-0000-0000D5080000}"/>
    <cellStyle name="Normal 16 2 3 2" xfId="490" xr:uid="{00000000-0005-0000-0000-0000D6080000}"/>
    <cellStyle name="Normal 16 2 3 2 2" xfId="491" xr:uid="{00000000-0005-0000-0000-0000D7080000}"/>
    <cellStyle name="Normal 16 2 3 2 2 2" xfId="3933" xr:uid="{00000000-0005-0000-0000-0000D8080000}"/>
    <cellStyle name="Normal 16 2 3 2 2 2 2" xfId="3934" xr:uid="{00000000-0005-0000-0000-0000D9080000}"/>
    <cellStyle name="Normal 16 2 3 2 2 3" xfId="3935" xr:uid="{00000000-0005-0000-0000-0000DA080000}"/>
    <cellStyle name="Normal 16 2 3 2 2 4" xfId="3936" xr:uid="{00000000-0005-0000-0000-0000DB080000}"/>
    <cellStyle name="Normal 16 2 3 2 3" xfId="3937" xr:uid="{00000000-0005-0000-0000-0000DC080000}"/>
    <cellStyle name="Normal 16 2 3 2 3 2" xfId="3938" xr:uid="{00000000-0005-0000-0000-0000DD080000}"/>
    <cellStyle name="Normal 16 2 3 2 4" xfId="3939" xr:uid="{00000000-0005-0000-0000-0000DE080000}"/>
    <cellStyle name="Normal 16 2 3 2 5" xfId="3940" xr:uid="{00000000-0005-0000-0000-0000DF080000}"/>
    <cellStyle name="Normal 16 2 3 3" xfId="492" xr:uid="{00000000-0005-0000-0000-0000E0080000}"/>
    <cellStyle name="Normal 16 2 3 3 2" xfId="3941" xr:uid="{00000000-0005-0000-0000-0000E1080000}"/>
    <cellStyle name="Normal 16 2 3 3 2 2" xfId="3942" xr:uid="{00000000-0005-0000-0000-0000E2080000}"/>
    <cellStyle name="Normal 16 2 3 3 3" xfId="3943" xr:uid="{00000000-0005-0000-0000-0000E3080000}"/>
    <cellStyle name="Normal 16 2 3 3 4" xfId="3944" xr:uid="{00000000-0005-0000-0000-0000E4080000}"/>
    <cellStyle name="Normal 16 2 3 4" xfId="3945" xr:uid="{00000000-0005-0000-0000-0000E5080000}"/>
    <cellStyle name="Normal 16 2 3 4 2" xfId="3946" xr:uid="{00000000-0005-0000-0000-0000E6080000}"/>
    <cellStyle name="Normal 16 2 3 5" xfId="3947" xr:uid="{00000000-0005-0000-0000-0000E7080000}"/>
    <cellStyle name="Normal 16 2 3 6" xfId="3948" xr:uid="{00000000-0005-0000-0000-0000E8080000}"/>
    <cellStyle name="Normal 16 2 4" xfId="493" xr:uid="{00000000-0005-0000-0000-0000E9080000}"/>
    <cellStyle name="Normal 16 2 4 2" xfId="494" xr:uid="{00000000-0005-0000-0000-0000EA080000}"/>
    <cellStyle name="Normal 16 2 4 2 2" xfId="3949" xr:uid="{00000000-0005-0000-0000-0000EB080000}"/>
    <cellStyle name="Normal 16 2 4 2 2 2" xfId="3950" xr:uid="{00000000-0005-0000-0000-0000EC080000}"/>
    <cellStyle name="Normal 16 2 4 2 3" xfId="3951" xr:uid="{00000000-0005-0000-0000-0000ED080000}"/>
    <cellStyle name="Normal 16 2 4 2 4" xfId="3952" xr:uid="{00000000-0005-0000-0000-0000EE080000}"/>
    <cellStyle name="Normal 16 2 4 3" xfId="3953" xr:uid="{00000000-0005-0000-0000-0000EF080000}"/>
    <cellStyle name="Normal 16 2 4 3 2" xfId="3954" xr:uid="{00000000-0005-0000-0000-0000F0080000}"/>
    <cellStyle name="Normal 16 2 4 4" xfId="3955" xr:uid="{00000000-0005-0000-0000-0000F1080000}"/>
    <cellStyle name="Normal 16 2 4 5" xfId="3956" xr:uid="{00000000-0005-0000-0000-0000F2080000}"/>
    <cellStyle name="Normal 16 2 5" xfId="495" xr:uid="{00000000-0005-0000-0000-0000F3080000}"/>
    <cellStyle name="Normal 16 2 5 2" xfId="3957" xr:uid="{00000000-0005-0000-0000-0000F4080000}"/>
    <cellStyle name="Normal 16 2 5 2 2" xfId="3958" xr:uid="{00000000-0005-0000-0000-0000F5080000}"/>
    <cellStyle name="Normal 16 2 5 3" xfId="3959" xr:uid="{00000000-0005-0000-0000-0000F6080000}"/>
    <cellStyle name="Normal 16 2 5 4" xfId="3960" xr:uid="{00000000-0005-0000-0000-0000F7080000}"/>
    <cellStyle name="Normal 16 2 6" xfId="3961" xr:uid="{00000000-0005-0000-0000-0000F8080000}"/>
    <cellStyle name="Normal 16 2 6 2" xfId="3962" xr:uid="{00000000-0005-0000-0000-0000F9080000}"/>
    <cellStyle name="Normal 16 2 7" xfId="3963" xr:uid="{00000000-0005-0000-0000-0000FA080000}"/>
    <cellStyle name="Normal 16 2 8" xfId="3964" xr:uid="{00000000-0005-0000-0000-0000FB080000}"/>
    <cellStyle name="Normal 16 3" xfId="496" xr:uid="{00000000-0005-0000-0000-0000FC080000}"/>
    <cellStyle name="Normal 16 3 2" xfId="497" xr:uid="{00000000-0005-0000-0000-0000FD080000}"/>
    <cellStyle name="Normal 16 3 2 2" xfId="498" xr:uid="{00000000-0005-0000-0000-0000FE080000}"/>
    <cellStyle name="Normal 16 3 2 2 2" xfId="499" xr:uid="{00000000-0005-0000-0000-0000FF080000}"/>
    <cellStyle name="Normal 16 3 2 2 2 2" xfId="3965" xr:uid="{00000000-0005-0000-0000-000000090000}"/>
    <cellStyle name="Normal 16 3 2 2 2 2 2" xfId="3966" xr:uid="{00000000-0005-0000-0000-000001090000}"/>
    <cellStyle name="Normal 16 3 2 2 2 3" xfId="3967" xr:uid="{00000000-0005-0000-0000-000002090000}"/>
    <cellStyle name="Normal 16 3 2 2 2 4" xfId="3968" xr:uid="{00000000-0005-0000-0000-000003090000}"/>
    <cellStyle name="Normal 16 3 2 2 3" xfId="3969" xr:uid="{00000000-0005-0000-0000-000004090000}"/>
    <cellStyle name="Normal 16 3 2 2 3 2" xfId="3970" xr:uid="{00000000-0005-0000-0000-000005090000}"/>
    <cellStyle name="Normal 16 3 2 2 4" xfId="3971" xr:uid="{00000000-0005-0000-0000-000006090000}"/>
    <cellStyle name="Normal 16 3 2 2 5" xfId="3972" xr:uid="{00000000-0005-0000-0000-000007090000}"/>
    <cellStyle name="Normal 16 3 2 3" xfId="500" xr:uid="{00000000-0005-0000-0000-000008090000}"/>
    <cellStyle name="Normal 16 3 2 3 2" xfId="3973" xr:uid="{00000000-0005-0000-0000-000009090000}"/>
    <cellStyle name="Normal 16 3 2 3 2 2" xfId="3974" xr:uid="{00000000-0005-0000-0000-00000A090000}"/>
    <cellStyle name="Normal 16 3 2 3 3" xfId="3975" xr:uid="{00000000-0005-0000-0000-00000B090000}"/>
    <cellStyle name="Normal 16 3 2 3 4" xfId="3976" xr:uid="{00000000-0005-0000-0000-00000C090000}"/>
    <cellStyle name="Normal 16 3 2 4" xfId="3977" xr:uid="{00000000-0005-0000-0000-00000D090000}"/>
    <cellStyle name="Normal 16 3 2 4 2" xfId="3978" xr:uid="{00000000-0005-0000-0000-00000E090000}"/>
    <cellStyle name="Normal 16 3 2 5" xfId="3979" xr:uid="{00000000-0005-0000-0000-00000F090000}"/>
    <cellStyle name="Normal 16 3 2 6" xfId="3980" xr:uid="{00000000-0005-0000-0000-000010090000}"/>
    <cellStyle name="Normal 16 3 3" xfId="501" xr:uid="{00000000-0005-0000-0000-000011090000}"/>
    <cellStyle name="Normal 16 3 3 2" xfId="502" xr:uid="{00000000-0005-0000-0000-000012090000}"/>
    <cellStyle name="Normal 16 3 3 2 2" xfId="3981" xr:uid="{00000000-0005-0000-0000-000013090000}"/>
    <cellStyle name="Normal 16 3 3 2 2 2" xfId="3982" xr:uid="{00000000-0005-0000-0000-000014090000}"/>
    <cellStyle name="Normal 16 3 3 2 3" xfId="3983" xr:uid="{00000000-0005-0000-0000-000015090000}"/>
    <cellStyle name="Normal 16 3 3 2 4" xfId="3984" xr:uid="{00000000-0005-0000-0000-000016090000}"/>
    <cellStyle name="Normal 16 3 3 3" xfId="3985" xr:uid="{00000000-0005-0000-0000-000017090000}"/>
    <cellStyle name="Normal 16 3 3 3 2" xfId="3986" xr:uid="{00000000-0005-0000-0000-000018090000}"/>
    <cellStyle name="Normal 16 3 3 4" xfId="3987" xr:uid="{00000000-0005-0000-0000-000019090000}"/>
    <cellStyle name="Normal 16 3 3 5" xfId="3988" xr:uid="{00000000-0005-0000-0000-00001A090000}"/>
    <cellStyle name="Normal 16 3 4" xfId="503" xr:uid="{00000000-0005-0000-0000-00001B090000}"/>
    <cellStyle name="Normal 16 3 4 2" xfId="3989" xr:uid="{00000000-0005-0000-0000-00001C090000}"/>
    <cellStyle name="Normal 16 3 4 2 2" xfId="3990" xr:uid="{00000000-0005-0000-0000-00001D090000}"/>
    <cellStyle name="Normal 16 3 4 3" xfId="3991" xr:uid="{00000000-0005-0000-0000-00001E090000}"/>
    <cellStyle name="Normal 16 3 4 4" xfId="3992" xr:uid="{00000000-0005-0000-0000-00001F090000}"/>
    <cellStyle name="Normal 16 3 5" xfId="3993" xr:uid="{00000000-0005-0000-0000-000020090000}"/>
    <cellStyle name="Normal 16 3 5 2" xfId="3994" xr:uid="{00000000-0005-0000-0000-000021090000}"/>
    <cellStyle name="Normal 16 3 6" xfId="3995" xr:uid="{00000000-0005-0000-0000-000022090000}"/>
    <cellStyle name="Normal 16 3 7" xfId="3996" xr:uid="{00000000-0005-0000-0000-000023090000}"/>
    <cellStyle name="Normal 16 4" xfId="504" xr:uid="{00000000-0005-0000-0000-000024090000}"/>
    <cellStyle name="Normal 16 4 2" xfId="505" xr:uid="{00000000-0005-0000-0000-000025090000}"/>
    <cellStyle name="Normal 16 4 2 2" xfId="506" xr:uid="{00000000-0005-0000-0000-000026090000}"/>
    <cellStyle name="Normal 16 4 2 2 2" xfId="3997" xr:uid="{00000000-0005-0000-0000-000027090000}"/>
    <cellStyle name="Normal 16 4 2 2 2 2" xfId="3998" xr:uid="{00000000-0005-0000-0000-000028090000}"/>
    <cellStyle name="Normal 16 4 2 2 3" xfId="3999" xr:uid="{00000000-0005-0000-0000-000029090000}"/>
    <cellStyle name="Normal 16 4 2 2 4" xfId="4000" xr:uid="{00000000-0005-0000-0000-00002A090000}"/>
    <cellStyle name="Normal 16 4 2 3" xfId="4001" xr:uid="{00000000-0005-0000-0000-00002B090000}"/>
    <cellStyle name="Normal 16 4 2 3 2" xfId="4002" xr:uid="{00000000-0005-0000-0000-00002C090000}"/>
    <cellStyle name="Normal 16 4 2 4" xfId="4003" xr:uid="{00000000-0005-0000-0000-00002D090000}"/>
    <cellStyle name="Normal 16 4 2 5" xfId="4004" xr:uid="{00000000-0005-0000-0000-00002E090000}"/>
    <cellStyle name="Normal 16 4 3" xfId="507" xr:uid="{00000000-0005-0000-0000-00002F090000}"/>
    <cellStyle name="Normal 16 4 3 2" xfId="4005" xr:uid="{00000000-0005-0000-0000-000030090000}"/>
    <cellStyle name="Normal 16 4 3 2 2" xfId="4006" xr:uid="{00000000-0005-0000-0000-000031090000}"/>
    <cellStyle name="Normal 16 4 3 3" xfId="4007" xr:uid="{00000000-0005-0000-0000-000032090000}"/>
    <cellStyle name="Normal 16 4 3 4" xfId="4008" xr:uid="{00000000-0005-0000-0000-000033090000}"/>
    <cellStyle name="Normal 16 4 4" xfId="4009" xr:uid="{00000000-0005-0000-0000-000034090000}"/>
    <cellStyle name="Normal 16 4 4 2" xfId="4010" xr:uid="{00000000-0005-0000-0000-000035090000}"/>
    <cellStyle name="Normal 16 4 5" xfId="4011" xr:uid="{00000000-0005-0000-0000-000036090000}"/>
    <cellStyle name="Normal 16 4 6" xfId="4012" xr:uid="{00000000-0005-0000-0000-000037090000}"/>
    <cellStyle name="Normal 16 5" xfId="508" xr:uid="{00000000-0005-0000-0000-000038090000}"/>
    <cellStyle name="Normal 16 5 2" xfId="509" xr:uid="{00000000-0005-0000-0000-000039090000}"/>
    <cellStyle name="Normal 16 5 2 2" xfId="4013" xr:uid="{00000000-0005-0000-0000-00003A090000}"/>
    <cellStyle name="Normal 16 5 2 2 2" xfId="4014" xr:uid="{00000000-0005-0000-0000-00003B090000}"/>
    <cellStyle name="Normal 16 5 2 3" xfId="4015" xr:uid="{00000000-0005-0000-0000-00003C090000}"/>
    <cellStyle name="Normal 16 5 2 4" xfId="4016" xr:uid="{00000000-0005-0000-0000-00003D090000}"/>
    <cellStyle name="Normal 16 5 3" xfId="4017" xr:uid="{00000000-0005-0000-0000-00003E090000}"/>
    <cellStyle name="Normal 16 5 3 2" xfId="4018" xr:uid="{00000000-0005-0000-0000-00003F090000}"/>
    <cellStyle name="Normal 16 5 4" xfId="4019" xr:uid="{00000000-0005-0000-0000-000040090000}"/>
    <cellStyle name="Normal 16 5 5" xfId="4020" xr:uid="{00000000-0005-0000-0000-000041090000}"/>
    <cellStyle name="Normal 16 6" xfId="510" xr:uid="{00000000-0005-0000-0000-000042090000}"/>
    <cellStyle name="Normal 16 6 2" xfId="4021" xr:uid="{00000000-0005-0000-0000-000043090000}"/>
    <cellStyle name="Normal 16 6 2 2" xfId="4022" xr:uid="{00000000-0005-0000-0000-000044090000}"/>
    <cellStyle name="Normal 16 6 3" xfId="4023" xr:uid="{00000000-0005-0000-0000-000045090000}"/>
    <cellStyle name="Normal 16 6 4" xfId="4024" xr:uid="{00000000-0005-0000-0000-000046090000}"/>
    <cellStyle name="Normal 16 7" xfId="4025" xr:uid="{00000000-0005-0000-0000-000047090000}"/>
    <cellStyle name="Normal 16 7 2" xfId="4026" xr:uid="{00000000-0005-0000-0000-000048090000}"/>
    <cellStyle name="Normal 16 8" xfId="4027" xr:uid="{00000000-0005-0000-0000-000049090000}"/>
    <cellStyle name="Normal 16 9" xfId="4028" xr:uid="{00000000-0005-0000-0000-00004A090000}"/>
    <cellStyle name="Normal 160" xfId="511" xr:uid="{00000000-0005-0000-0000-00004B090000}"/>
    <cellStyle name="Normal 160 2" xfId="4029" xr:uid="{00000000-0005-0000-0000-00004C090000}"/>
    <cellStyle name="Normal 160 2 2" xfId="4030" xr:uid="{00000000-0005-0000-0000-00004D090000}"/>
    <cellStyle name="Normal 160 3" xfId="4031" xr:uid="{00000000-0005-0000-0000-00004E090000}"/>
    <cellStyle name="Normal 160 4" xfId="4032" xr:uid="{00000000-0005-0000-0000-00004F090000}"/>
    <cellStyle name="Normal 161" xfId="512" xr:uid="{00000000-0005-0000-0000-000050090000}"/>
    <cellStyle name="Normal 161 2" xfId="4033" xr:uid="{00000000-0005-0000-0000-000051090000}"/>
    <cellStyle name="Normal 161 2 2" xfId="4034" xr:uid="{00000000-0005-0000-0000-000052090000}"/>
    <cellStyle name="Normal 161 3" xfId="4035" xr:uid="{00000000-0005-0000-0000-000053090000}"/>
    <cellStyle name="Normal 161 4" xfId="4036" xr:uid="{00000000-0005-0000-0000-000054090000}"/>
    <cellStyle name="Normal 162" xfId="17" xr:uid="{00000000-0005-0000-0000-000055090000}"/>
    <cellStyle name="Normal 162 2" xfId="4037" xr:uid="{00000000-0005-0000-0000-000056090000}"/>
    <cellStyle name="Normal 162 2 2" xfId="4038" xr:uid="{00000000-0005-0000-0000-000057090000}"/>
    <cellStyle name="Normal 162 3" xfId="4039" xr:uid="{00000000-0005-0000-0000-000058090000}"/>
    <cellStyle name="Normal 162 4" xfId="4040" xr:uid="{00000000-0005-0000-0000-000059090000}"/>
    <cellStyle name="Normal 163" xfId="2139" xr:uid="{00000000-0005-0000-0000-00005A090000}"/>
    <cellStyle name="Normal 163 2" xfId="10335" xr:uid="{00000000-0005-0000-0000-00005B090000}"/>
    <cellStyle name="Normal 164" xfId="4041" xr:uid="{00000000-0005-0000-0000-00005C090000}"/>
    <cellStyle name="Normal 164 2" xfId="2" xr:uid="{00000000-0005-0000-0000-00005D090000}"/>
    <cellStyle name="Normal 164 2 2" xfId="4042" xr:uid="{00000000-0005-0000-0000-00005E090000}"/>
    <cellStyle name="Normal 164 2 2 2" xfId="10344" xr:uid="{00000000-0005-0000-0000-00005F090000}"/>
    <cellStyle name="Normal 164 2 3" xfId="4043" xr:uid="{00000000-0005-0000-0000-000060090000}"/>
    <cellStyle name="Normal 164 2 3 2" xfId="10338" xr:uid="{00000000-0005-0000-0000-000061090000}"/>
    <cellStyle name="Normal 164 3" xfId="4044" xr:uid="{00000000-0005-0000-0000-000062090000}"/>
    <cellStyle name="Normal 164 4" xfId="4045" xr:uid="{00000000-0005-0000-0000-000063090000}"/>
    <cellStyle name="Normal 165" xfId="4046" xr:uid="{00000000-0005-0000-0000-000064090000}"/>
    <cellStyle name="Normal 165 2" xfId="4047" xr:uid="{00000000-0005-0000-0000-000065090000}"/>
    <cellStyle name="Normal 165 3" xfId="4048" xr:uid="{00000000-0005-0000-0000-000066090000}"/>
    <cellStyle name="Normal 165 3 3" xfId="4049" xr:uid="{00000000-0005-0000-0000-000067090000}"/>
    <cellStyle name="Normal 166" xfId="2144" xr:uid="{00000000-0005-0000-0000-000068090000}"/>
    <cellStyle name="Normal 166 2" xfId="4050" xr:uid="{00000000-0005-0000-0000-000069090000}"/>
    <cellStyle name="Normal 166 2 2" xfId="4051" xr:uid="{00000000-0005-0000-0000-00006A090000}"/>
    <cellStyle name="Normal 166 3" xfId="4052" xr:uid="{00000000-0005-0000-0000-00006B090000}"/>
    <cellStyle name="Normal 166 4" xfId="4053" xr:uid="{00000000-0005-0000-0000-00006C090000}"/>
    <cellStyle name="Normal 166 7" xfId="2145" xr:uid="{00000000-0005-0000-0000-00006D090000}"/>
    <cellStyle name="Normal 166 7 2" xfId="10346" xr:uid="{00000000-0005-0000-0000-00006E090000}"/>
    <cellStyle name="Normal 167" xfId="4054" xr:uid="{00000000-0005-0000-0000-00006F090000}"/>
    <cellStyle name="Normal 168" xfId="4055" xr:uid="{00000000-0005-0000-0000-000070090000}"/>
    <cellStyle name="Normal 168 2" xfId="10351" xr:uid="{6F8A2B7F-C841-4424-80E9-85E4FE8E1345}"/>
    <cellStyle name="Normal 17" xfId="513" xr:uid="{00000000-0005-0000-0000-000071090000}"/>
    <cellStyle name="Normal 17 2" xfId="514" xr:uid="{00000000-0005-0000-0000-000072090000}"/>
    <cellStyle name="Normal 17 2 2" xfId="515" xr:uid="{00000000-0005-0000-0000-000073090000}"/>
    <cellStyle name="Normal 17 2 2 2" xfId="516" xr:uid="{00000000-0005-0000-0000-000074090000}"/>
    <cellStyle name="Normal 17 2 2 2 2" xfId="517" xr:uid="{00000000-0005-0000-0000-000075090000}"/>
    <cellStyle name="Normal 17 2 2 2 2 2" xfId="518" xr:uid="{00000000-0005-0000-0000-000076090000}"/>
    <cellStyle name="Normal 17 2 2 2 2 2 2" xfId="4056" xr:uid="{00000000-0005-0000-0000-000077090000}"/>
    <cellStyle name="Normal 17 2 2 2 2 2 2 2" xfId="4057" xr:uid="{00000000-0005-0000-0000-000078090000}"/>
    <cellStyle name="Normal 17 2 2 2 2 2 3" xfId="4058" xr:uid="{00000000-0005-0000-0000-000079090000}"/>
    <cellStyle name="Normal 17 2 2 2 2 2 4" xfId="4059" xr:uid="{00000000-0005-0000-0000-00007A090000}"/>
    <cellStyle name="Normal 17 2 2 2 2 3" xfId="4060" xr:uid="{00000000-0005-0000-0000-00007B090000}"/>
    <cellStyle name="Normal 17 2 2 2 2 3 2" xfId="4061" xr:uid="{00000000-0005-0000-0000-00007C090000}"/>
    <cellStyle name="Normal 17 2 2 2 2 4" xfId="4062" xr:uid="{00000000-0005-0000-0000-00007D090000}"/>
    <cellStyle name="Normal 17 2 2 2 2 5" xfId="4063" xr:uid="{00000000-0005-0000-0000-00007E090000}"/>
    <cellStyle name="Normal 17 2 2 2 3" xfId="519" xr:uid="{00000000-0005-0000-0000-00007F090000}"/>
    <cellStyle name="Normal 17 2 2 2 3 2" xfId="4064" xr:uid="{00000000-0005-0000-0000-000080090000}"/>
    <cellStyle name="Normal 17 2 2 2 3 2 2" xfId="4065" xr:uid="{00000000-0005-0000-0000-000081090000}"/>
    <cellStyle name="Normal 17 2 2 2 3 3" xfId="4066" xr:uid="{00000000-0005-0000-0000-000082090000}"/>
    <cellStyle name="Normal 17 2 2 2 3 4" xfId="4067" xr:uid="{00000000-0005-0000-0000-000083090000}"/>
    <cellStyle name="Normal 17 2 2 2 4" xfId="4068" xr:uid="{00000000-0005-0000-0000-000084090000}"/>
    <cellStyle name="Normal 17 2 2 2 4 2" xfId="4069" xr:uid="{00000000-0005-0000-0000-000085090000}"/>
    <cellStyle name="Normal 17 2 2 2 5" xfId="4070" xr:uid="{00000000-0005-0000-0000-000086090000}"/>
    <cellStyle name="Normal 17 2 2 2 6" xfId="4071" xr:uid="{00000000-0005-0000-0000-000087090000}"/>
    <cellStyle name="Normal 17 2 2 3" xfId="520" xr:uid="{00000000-0005-0000-0000-000088090000}"/>
    <cellStyle name="Normal 17 2 2 3 2" xfId="521" xr:uid="{00000000-0005-0000-0000-000089090000}"/>
    <cellStyle name="Normal 17 2 2 3 2 2" xfId="4072" xr:uid="{00000000-0005-0000-0000-00008A090000}"/>
    <cellStyle name="Normal 17 2 2 3 2 2 2" xfId="4073" xr:uid="{00000000-0005-0000-0000-00008B090000}"/>
    <cellStyle name="Normal 17 2 2 3 2 3" xfId="4074" xr:uid="{00000000-0005-0000-0000-00008C090000}"/>
    <cellStyle name="Normal 17 2 2 3 2 4" xfId="4075" xr:uid="{00000000-0005-0000-0000-00008D090000}"/>
    <cellStyle name="Normal 17 2 2 3 3" xfId="4076" xr:uid="{00000000-0005-0000-0000-00008E090000}"/>
    <cellStyle name="Normal 17 2 2 3 3 2" xfId="4077" xr:uid="{00000000-0005-0000-0000-00008F090000}"/>
    <cellStyle name="Normal 17 2 2 3 4" xfId="4078" xr:uid="{00000000-0005-0000-0000-000090090000}"/>
    <cellStyle name="Normal 17 2 2 3 5" xfId="4079" xr:uid="{00000000-0005-0000-0000-000091090000}"/>
    <cellStyle name="Normal 17 2 2 4" xfId="522" xr:uid="{00000000-0005-0000-0000-000092090000}"/>
    <cellStyle name="Normal 17 2 2 4 2" xfId="4080" xr:uid="{00000000-0005-0000-0000-000093090000}"/>
    <cellStyle name="Normal 17 2 2 4 2 2" xfId="4081" xr:uid="{00000000-0005-0000-0000-000094090000}"/>
    <cellStyle name="Normal 17 2 2 4 3" xfId="4082" xr:uid="{00000000-0005-0000-0000-000095090000}"/>
    <cellStyle name="Normal 17 2 2 4 4" xfId="4083" xr:uid="{00000000-0005-0000-0000-000096090000}"/>
    <cellStyle name="Normal 17 2 2 5" xfId="4084" xr:uid="{00000000-0005-0000-0000-000097090000}"/>
    <cellStyle name="Normal 17 2 2 5 2" xfId="4085" xr:uid="{00000000-0005-0000-0000-000098090000}"/>
    <cellStyle name="Normal 17 2 2 6" xfId="4086" xr:uid="{00000000-0005-0000-0000-000099090000}"/>
    <cellStyle name="Normal 17 2 2 7" xfId="4087" xr:uid="{00000000-0005-0000-0000-00009A090000}"/>
    <cellStyle name="Normal 17 2 3" xfId="523" xr:uid="{00000000-0005-0000-0000-00009B090000}"/>
    <cellStyle name="Normal 17 2 3 2" xfId="524" xr:uid="{00000000-0005-0000-0000-00009C090000}"/>
    <cellStyle name="Normal 17 2 3 2 2" xfId="525" xr:uid="{00000000-0005-0000-0000-00009D090000}"/>
    <cellStyle name="Normal 17 2 3 2 2 2" xfId="4088" xr:uid="{00000000-0005-0000-0000-00009E090000}"/>
    <cellStyle name="Normal 17 2 3 2 2 2 2" xfId="4089" xr:uid="{00000000-0005-0000-0000-00009F090000}"/>
    <cellStyle name="Normal 17 2 3 2 2 3" xfId="4090" xr:uid="{00000000-0005-0000-0000-0000A0090000}"/>
    <cellStyle name="Normal 17 2 3 2 2 4" xfId="4091" xr:uid="{00000000-0005-0000-0000-0000A1090000}"/>
    <cellStyle name="Normal 17 2 3 2 3" xfId="4092" xr:uid="{00000000-0005-0000-0000-0000A2090000}"/>
    <cellStyle name="Normal 17 2 3 2 3 2" xfId="4093" xr:uid="{00000000-0005-0000-0000-0000A3090000}"/>
    <cellStyle name="Normal 17 2 3 2 4" xfId="4094" xr:uid="{00000000-0005-0000-0000-0000A4090000}"/>
    <cellStyle name="Normal 17 2 3 2 5" xfId="4095" xr:uid="{00000000-0005-0000-0000-0000A5090000}"/>
    <cellStyle name="Normal 17 2 3 3" xfId="526" xr:uid="{00000000-0005-0000-0000-0000A6090000}"/>
    <cellStyle name="Normal 17 2 3 3 2" xfId="4096" xr:uid="{00000000-0005-0000-0000-0000A7090000}"/>
    <cellStyle name="Normal 17 2 3 3 2 2" xfId="4097" xr:uid="{00000000-0005-0000-0000-0000A8090000}"/>
    <cellStyle name="Normal 17 2 3 3 3" xfId="4098" xr:uid="{00000000-0005-0000-0000-0000A9090000}"/>
    <cellStyle name="Normal 17 2 3 3 4" xfId="4099" xr:uid="{00000000-0005-0000-0000-0000AA090000}"/>
    <cellStyle name="Normal 17 2 3 4" xfId="4100" xr:uid="{00000000-0005-0000-0000-0000AB090000}"/>
    <cellStyle name="Normal 17 2 3 4 2" xfId="4101" xr:uid="{00000000-0005-0000-0000-0000AC090000}"/>
    <cellStyle name="Normal 17 2 3 5" xfId="4102" xr:uid="{00000000-0005-0000-0000-0000AD090000}"/>
    <cellStyle name="Normal 17 2 3 6" xfId="4103" xr:uid="{00000000-0005-0000-0000-0000AE090000}"/>
    <cellStyle name="Normal 17 2 4" xfId="527" xr:uid="{00000000-0005-0000-0000-0000AF090000}"/>
    <cellStyle name="Normal 17 2 4 2" xfId="528" xr:uid="{00000000-0005-0000-0000-0000B0090000}"/>
    <cellStyle name="Normal 17 2 4 2 2" xfId="4104" xr:uid="{00000000-0005-0000-0000-0000B1090000}"/>
    <cellStyle name="Normal 17 2 4 2 2 2" xfId="4105" xr:uid="{00000000-0005-0000-0000-0000B2090000}"/>
    <cellStyle name="Normal 17 2 4 2 3" xfId="4106" xr:uid="{00000000-0005-0000-0000-0000B3090000}"/>
    <cellStyle name="Normal 17 2 4 2 4" xfId="4107" xr:uid="{00000000-0005-0000-0000-0000B4090000}"/>
    <cellStyle name="Normal 17 2 4 3" xfId="4108" xr:uid="{00000000-0005-0000-0000-0000B5090000}"/>
    <cellStyle name="Normal 17 2 4 3 2" xfId="4109" xr:uid="{00000000-0005-0000-0000-0000B6090000}"/>
    <cellStyle name="Normal 17 2 4 4" xfId="4110" xr:uid="{00000000-0005-0000-0000-0000B7090000}"/>
    <cellStyle name="Normal 17 2 4 5" xfId="4111" xr:uid="{00000000-0005-0000-0000-0000B8090000}"/>
    <cellStyle name="Normal 17 2 5" xfId="529" xr:uid="{00000000-0005-0000-0000-0000B9090000}"/>
    <cellStyle name="Normal 17 2 5 2" xfId="4112" xr:uid="{00000000-0005-0000-0000-0000BA090000}"/>
    <cellStyle name="Normal 17 2 5 2 2" xfId="4113" xr:uid="{00000000-0005-0000-0000-0000BB090000}"/>
    <cellStyle name="Normal 17 2 5 3" xfId="4114" xr:uid="{00000000-0005-0000-0000-0000BC090000}"/>
    <cellStyle name="Normal 17 2 5 4" xfId="4115" xr:uid="{00000000-0005-0000-0000-0000BD090000}"/>
    <cellStyle name="Normal 17 2 6" xfId="4116" xr:uid="{00000000-0005-0000-0000-0000BE090000}"/>
    <cellStyle name="Normal 17 2 6 2" xfId="4117" xr:uid="{00000000-0005-0000-0000-0000BF090000}"/>
    <cellStyle name="Normal 17 2 7" xfId="4118" xr:uid="{00000000-0005-0000-0000-0000C0090000}"/>
    <cellStyle name="Normal 17 2 8" xfId="4119" xr:uid="{00000000-0005-0000-0000-0000C1090000}"/>
    <cellStyle name="Normal 17 3" xfId="530" xr:uid="{00000000-0005-0000-0000-0000C2090000}"/>
    <cellStyle name="Normal 17 3 2" xfId="531" xr:uid="{00000000-0005-0000-0000-0000C3090000}"/>
    <cellStyle name="Normal 17 3 2 2" xfId="532" xr:uid="{00000000-0005-0000-0000-0000C4090000}"/>
    <cellStyle name="Normal 17 3 2 2 2" xfId="533" xr:uid="{00000000-0005-0000-0000-0000C5090000}"/>
    <cellStyle name="Normal 17 3 2 2 2 2" xfId="4120" xr:uid="{00000000-0005-0000-0000-0000C6090000}"/>
    <cellStyle name="Normal 17 3 2 2 2 2 2" xfId="4121" xr:uid="{00000000-0005-0000-0000-0000C7090000}"/>
    <cellStyle name="Normal 17 3 2 2 2 3" xfId="4122" xr:uid="{00000000-0005-0000-0000-0000C8090000}"/>
    <cellStyle name="Normal 17 3 2 2 2 4" xfId="4123" xr:uid="{00000000-0005-0000-0000-0000C9090000}"/>
    <cellStyle name="Normal 17 3 2 2 3" xfId="4124" xr:uid="{00000000-0005-0000-0000-0000CA090000}"/>
    <cellStyle name="Normal 17 3 2 2 3 2" xfId="4125" xr:uid="{00000000-0005-0000-0000-0000CB090000}"/>
    <cellStyle name="Normal 17 3 2 2 4" xfId="4126" xr:uid="{00000000-0005-0000-0000-0000CC090000}"/>
    <cellStyle name="Normal 17 3 2 2 5" xfId="4127" xr:uid="{00000000-0005-0000-0000-0000CD090000}"/>
    <cellStyle name="Normal 17 3 2 3" xfId="534" xr:uid="{00000000-0005-0000-0000-0000CE090000}"/>
    <cellStyle name="Normal 17 3 2 3 2" xfId="4128" xr:uid="{00000000-0005-0000-0000-0000CF090000}"/>
    <cellStyle name="Normal 17 3 2 3 2 2" xfId="4129" xr:uid="{00000000-0005-0000-0000-0000D0090000}"/>
    <cellStyle name="Normal 17 3 2 3 3" xfId="4130" xr:uid="{00000000-0005-0000-0000-0000D1090000}"/>
    <cellStyle name="Normal 17 3 2 3 4" xfId="4131" xr:uid="{00000000-0005-0000-0000-0000D2090000}"/>
    <cellStyle name="Normal 17 3 2 4" xfId="4132" xr:uid="{00000000-0005-0000-0000-0000D3090000}"/>
    <cellStyle name="Normal 17 3 2 4 2" xfId="4133" xr:uid="{00000000-0005-0000-0000-0000D4090000}"/>
    <cellStyle name="Normal 17 3 2 5" xfId="4134" xr:uid="{00000000-0005-0000-0000-0000D5090000}"/>
    <cellStyle name="Normal 17 3 2 6" xfId="4135" xr:uid="{00000000-0005-0000-0000-0000D6090000}"/>
    <cellStyle name="Normal 17 3 3" xfId="535" xr:uid="{00000000-0005-0000-0000-0000D7090000}"/>
    <cellStyle name="Normal 17 3 3 2" xfId="536" xr:uid="{00000000-0005-0000-0000-0000D8090000}"/>
    <cellStyle name="Normal 17 3 3 2 2" xfId="4136" xr:uid="{00000000-0005-0000-0000-0000D9090000}"/>
    <cellStyle name="Normal 17 3 3 2 2 2" xfId="4137" xr:uid="{00000000-0005-0000-0000-0000DA090000}"/>
    <cellStyle name="Normal 17 3 3 2 3" xfId="4138" xr:uid="{00000000-0005-0000-0000-0000DB090000}"/>
    <cellStyle name="Normal 17 3 3 2 4" xfId="4139" xr:uid="{00000000-0005-0000-0000-0000DC090000}"/>
    <cellStyle name="Normal 17 3 3 3" xfId="4140" xr:uid="{00000000-0005-0000-0000-0000DD090000}"/>
    <cellStyle name="Normal 17 3 3 3 2" xfId="4141" xr:uid="{00000000-0005-0000-0000-0000DE090000}"/>
    <cellStyle name="Normal 17 3 3 4" xfId="4142" xr:uid="{00000000-0005-0000-0000-0000DF090000}"/>
    <cellStyle name="Normal 17 3 3 5" xfId="4143" xr:uid="{00000000-0005-0000-0000-0000E0090000}"/>
    <cellStyle name="Normal 17 3 4" xfId="537" xr:uid="{00000000-0005-0000-0000-0000E1090000}"/>
    <cellStyle name="Normal 17 3 4 2" xfId="4144" xr:uid="{00000000-0005-0000-0000-0000E2090000}"/>
    <cellStyle name="Normal 17 3 4 2 2" xfId="4145" xr:uid="{00000000-0005-0000-0000-0000E3090000}"/>
    <cellStyle name="Normal 17 3 4 3" xfId="4146" xr:uid="{00000000-0005-0000-0000-0000E4090000}"/>
    <cellStyle name="Normal 17 3 4 4" xfId="4147" xr:uid="{00000000-0005-0000-0000-0000E5090000}"/>
    <cellStyle name="Normal 17 3 5" xfId="4148" xr:uid="{00000000-0005-0000-0000-0000E6090000}"/>
    <cellStyle name="Normal 17 3 5 2" xfId="4149" xr:uid="{00000000-0005-0000-0000-0000E7090000}"/>
    <cellStyle name="Normal 17 3 6" xfId="4150" xr:uid="{00000000-0005-0000-0000-0000E8090000}"/>
    <cellStyle name="Normal 17 3 7" xfId="4151" xr:uid="{00000000-0005-0000-0000-0000E9090000}"/>
    <cellStyle name="Normal 17 4" xfId="538" xr:uid="{00000000-0005-0000-0000-0000EA090000}"/>
    <cellStyle name="Normal 17 4 2" xfId="539" xr:uid="{00000000-0005-0000-0000-0000EB090000}"/>
    <cellStyle name="Normal 17 4 2 2" xfId="540" xr:uid="{00000000-0005-0000-0000-0000EC090000}"/>
    <cellStyle name="Normal 17 4 2 2 2" xfId="4152" xr:uid="{00000000-0005-0000-0000-0000ED090000}"/>
    <cellStyle name="Normal 17 4 2 2 2 2" xfId="4153" xr:uid="{00000000-0005-0000-0000-0000EE090000}"/>
    <cellStyle name="Normal 17 4 2 2 3" xfId="4154" xr:uid="{00000000-0005-0000-0000-0000EF090000}"/>
    <cellStyle name="Normal 17 4 2 2 4" xfId="4155" xr:uid="{00000000-0005-0000-0000-0000F0090000}"/>
    <cellStyle name="Normal 17 4 2 3" xfId="4156" xr:uid="{00000000-0005-0000-0000-0000F1090000}"/>
    <cellStyle name="Normal 17 4 2 3 2" xfId="4157" xr:uid="{00000000-0005-0000-0000-0000F2090000}"/>
    <cellStyle name="Normal 17 4 2 4" xfId="4158" xr:uid="{00000000-0005-0000-0000-0000F3090000}"/>
    <cellStyle name="Normal 17 4 2 5" xfId="4159" xr:uid="{00000000-0005-0000-0000-0000F4090000}"/>
    <cellStyle name="Normal 17 4 3" xfId="541" xr:uid="{00000000-0005-0000-0000-0000F5090000}"/>
    <cellStyle name="Normal 17 4 3 2" xfId="4160" xr:uid="{00000000-0005-0000-0000-0000F6090000}"/>
    <cellStyle name="Normal 17 4 3 2 2" xfId="4161" xr:uid="{00000000-0005-0000-0000-0000F7090000}"/>
    <cellStyle name="Normal 17 4 3 3" xfId="4162" xr:uid="{00000000-0005-0000-0000-0000F8090000}"/>
    <cellStyle name="Normal 17 4 3 4" xfId="4163" xr:uid="{00000000-0005-0000-0000-0000F9090000}"/>
    <cellStyle name="Normal 17 4 4" xfId="4164" xr:uid="{00000000-0005-0000-0000-0000FA090000}"/>
    <cellStyle name="Normal 17 4 4 2" xfId="4165" xr:uid="{00000000-0005-0000-0000-0000FB090000}"/>
    <cellStyle name="Normal 17 4 5" xfId="4166" xr:uid="{00000000-0005-0000-0000-0000FC090000}"/>
    <cellStyle name="Normal 17 4 6" xfId="4167" xr:uid="{00000000-0005-0000-0000-0000FD090000}"/>
    <cellStyle name="Normal 17 5" xfId="542" xr:uid="{00000000-0005-0000-0000-0000FE090000}"/>
    <cellStyle name="Normal 17 5 2" xfId="543" xr:uid="{00000000-0005-0000-0000-0000FF090000}"/>
    <cellStyle name="Normal 17 5 2 2" xfId="4168" xr:uid="{00000000-0005-0000-0000-0000000A0000}"/>
    <cellStyle name="Normal 17 5 2 2 2" xfId="4169" xr:uid="{00000000-0005-0000-0000-0000010A0000}"/>
    <cellStyle name="Normal 17 5 2 3" xfId="4170" xr:uid="{00000000-0005-0000-0000-0000020A0000}"/>
    <cellStyle name="Normal 17 5 2 4" xfId="4171" xr:uid="{00000000-0005-0000-0000-0000030A0000}"/>
    <cellStyle name="Normal 17 5 3" xfId="4172" xr:uid="{00000000-0005-0000-0000-0000040A0000}"/>
    <cellStyle name="Normal 17 5 3 2" xfId="4173" xr:uid="{00000000-0005-0000-0000-0000050A0000}"/>
    <cellStyle name="Normal 17 5 4" xfId="4174" xr:uid="{00000000-0005-0000-0000-0000060A0000}"/>
    <cellStyle name="Normal 17 5 5" xfId="4175" xr:uid="{00000000-0005-0000-0000-0000070A0000}"/>
    <cellStyle name="Normal 17 6" xfId="544" xr:uid="{00000000-0005-0000-0000-0000080A0000}"/>
    <cellStyle name="Normal 17 6 2" xfId="4176" xr:uid="{00000000-0005-0000-0000-0000090A0000}"/>
    <cellStyle name="Normal 17 6 2 2" xfId="4177" xr:uid="{00000000-0005-0000-0000-00000A0A0000}"/>
    <cellStyle name="Normal 17 6 3" xfId="4178" xr:uid="{00000000-0005-0000-0000-00000B0A0000}"/>
    <cellStyle name="Normal 17 6 4" xfId="4179" xr:uid="{00000000-0005-0000-0000-00000C0A0000}"/>
    <cellStyle name="Normal 17 7" xfId="4180" xr:uid="{00000000-0005-0000-0000-00000D0A0000}"/>
    <cellStyle name="Normal 17 7 2" xfId="4181" xr:uid="{00000000-0005-0000-0000-00000E0A0000}"/>
    <cellStyle name="Normal 17 8" xfId="4182" xr:uid="{00000000-0005-0000-0000-00000F0A0000}"/>
    <cellStyle name="Normal 17 9" xfId="4183" xr:uid="{00000000-0005-0000-0000-0000100A0000}"/>
    <cellStyle name="Normal 175 3 2" xfId="2148" xr:uid="{00000000-0005-0000-0000-0000110A0000}"/>
    <cellStyle name="Normal 175 3 2 2" xfId="4184" xr:uid="{00000000-0005-0000-0000-0000120A0000}"/>
    <cellStyle name="Normal 175 3 2 2 2" xfId="4185" xr:uid="{00000000-0005-0000-0000-0000130A0000}"/>
    <cellStyle name="Normal 175 3 2 3" xfId="4186" xr:uid="{00000000-0005-0000-0000-0000140A0000}"/>
    <cellStyle name="Normal 18" xfId="545" xr:uid="{00000000-0005-0000-0000-0000150A0000}"/>
    <cellStyle name="Normal 18 2" xfId="546" xr:uid="{00000000-0005-0000-0000-0000160A0000}"/>
    <cellStyle name="Normal 18 2 2" xfId="547" xr:uid="{00000000-0005-0000-0000-0000170A0000}"/>
    <cellStyle name="Normal 18 2 2 2" xfId="548" xr:uid="{00000000-0005-0000-0000-0000180A0000}"/>
    <cellStyle name="Normal 18 2 2 2 2" xfId="549" xr:uid="{00000000-0005-0000-0000-0000190A0000}"/>
    <cellStyle name="Normal 18 2 2 2 2 2" xfId="550" xr:uid="{00000000-0005-0000-0000-00001A0A0000}"/>
    <cellStyle name="Normal 18 2 2 2 2 2 2" xfId="4187" xr:uid="{00000000-0005-0000-0000-00001B0A0000}"/>
    <cellStyle name="Normal 18 2 2 2 2 2 2 2" xfId="4188" xr:uid="{00000000-0005-0000-0000-00001C0A0000}"/>
    <cellStyle name="Normal 18 2 2 2 2 2 3" xfId="4189" xr:uid="{00000000-0005-0000-0000-00001D0A0000}"/>
    <cellStyle name="Normal 18 2 2 2 2 2 4" xfId="4190" xr:uid="{00000000-0005-0000-0000-00001E0A0000}"/>
    <cellStyle name="Normal 18 2 2 2 2 3" xfId="4191" xr:uid="{00000000-0005-0000-0000-00001F0A0000}"/>
    <cellStyle name="Normal 18 2 2 2 2 3 2" xfId="4192" xr:uid="{00000000-0005-0000-0000-0000200A0000}"/>
    <cellStyle name="Normal 18 2 2 2 2 4" xfId="4193" xr:uid="{00000000-0005-0000-0000-0000210A0000}"/>
    <cellStyle name="Normal 18 2 2 2 2 5" xfId="4194" xr:uid="{00000000-0005-0000-0000-0000220A0000}"/>
    <cellStyle name="Normal 18 2 2 2 3" xfId="551" xr:uid="{00000000-0005-0000-0000-0000230A0000}"/>
    <cellStyle name="Normal 18 2 2 2 3 2" xfId="4195" xr:uid="{00000000-0005-0000-0000-0000240A0000}"/>
    <cellStyle name="Normal 18 2 2 2 3 2 2" xfId="4196" xr:uid="{00000000-0005-0000-0000-0000250A0000}"/>
    <cellStyle name="Normal 18 2 2 2 3 3" xfId="4197" xr:uid="{00000000-0005-0000-0000-0000260A0000}"/>
    <cellStyle name="Normal 18 2 2 2 3 4" xfId="4198" xr:uid="{00000000-0005-0000-0000-0000270A0000}"/>
    <cellStyle name="Normal 18 2 2 2 4" xfId="4199" xr:uid="{00000000-0005-0000-0000-0000280A0000}"/>
    <cellStyle name="Normal 18 2 2 2 4 2" xfId="4200" xr:uid="{00000000-0005-0000-0000-0000290A0000}"/>
    <cellStyle name="Normal 18 2 2 2 5" xfId="4201" xr:uid="{00000000-0005-0000-0000-00002A0A0000}"/>
    <cellStyle name="Normal 18 2 2 2 6" xfId="4202" xr:uid="{00000000-0005-0000-0000-00002B0A0000}"/>
    <cellStyle name="Normal 18 2 2 3" xfId="552" xr:uid="{00000000-0005-0000-0000-00002C0A0000}"/>
    <cellStyle name="Normal 18 2 2 3 2" xfId="553" xr:uid="{00000000-0005-0000-0000-00002D0A0000}"/>
    <cellStyle name="Normal 18 2 2 3 2 2" xfId="4203" xr:uid="{00000000-0005-0000-0000-00002E0A0000}"/>
    <cellStyle name="Normal 18 2 2 3 2 2 2" xfId="4204" xr:uid="{00000000-0005-0000-0000-00002F0A0000}"/>
    <cellStyle name="Normal 18 2 2 3 2 3" xfId="4205" xr:uid="{00000000-0005-0000-0000-0000300A0000}"/>
    <cellStyle name="Normal 18 2 2 3 2 4" xfId="4206" xr:uid="{00000000-0005-0000-0000-0000310A0000}"/>
    <cellStyle name="Normal 18 2 2 3 3" xfId="4207" xr:uid="{00000000-0005-0000-0000-0000320A0000}"/>
    <cellStyle name="Normal 18 2 2 3 3 2" xfId="4208" xr:uid="{00000000-0005-0000-0000-0000330A0000}"/>
    <cellStyle name="Normal 18 2 2 3 4" xfId="4209" xr:uid="{00000000-0005-0000-0000-0000340A0000}"/>
    <cellStyle name="Normal 18 2 2 3 5" xfId="4210" xr:uid="{00000000-0005-0000-0000-0000350A0000}"/>
    <cellStyle name="Normal 18 2 2 4" xfId="554" xr:uid="{00000000-0005-0000-0000-0000360A0000}"/>
    <cellStyle name="Normal 18 2 2 4 2" xfId="4211" xr:uid="{00000000-0005-0000-0000-0000370A0000}"/>
    <cellStyle name="Normal 18 2 2 4 2 2" xfId="4212" xr:uid="{00000000-0005-0000-0000-0000380A0000}"/>
    <cellStyle name="Normal 18 2 2 4 3" xfId="4213" xr:uid="{00000000-0005-0000-0000-0000390A0000}"/>
    <cellStyle name="Normal 18 2 2 4 4" xfId="4214" xr:uid="{00000000-0005-0000-0000-00003A0A0000}"/>
    <cellStyle name="Normal 18 2 2 5" xfId="4215" xr:uid="{00000000-0005-0000-0000-00003B0A0000}"/>
    <cellStyle name="Normal 18 2 2 5 2" xfId="4216" xr:uid="{00000000-0005-0000-0000-00003C0A0000}"/>
    <cellStyle name="Normal 18 2 2 6" xfId="4217" xr:uid="{00000000-0005-0000-0000-00003D0A0000}"/>
    <cellStyle name="Normal 18 2 2 7" xfId="4218" xr:uid="{00000000-0005-0000-0000-00003E0A0000}"/>
    <cellStyle name="Normal 18 2 3" xfId="555" xr:uid="{00000000-0005-0000-0000-00003F0A0000}"/>
    <cellStyle name="Normal 18 2 3 2" xfId="556" xr:uid="{00000000-0005-0000-0000-0000400A0000}"/>
    <cellStyle name="Normal 18 2 3 2 2" xfId="557" xr:uid="{00000000-0005-0000-0000-0000410A0000}"/>
    <cellStyle name="Normal 18 2 3 2 2 2" xfId="4219" xr:uid="{00000000-0005-0000-0000-0000420A0000}"/>
    <cellStyle name="Normal 18 2 3 2 2 2 2" xfId="4220" xr:uid="{00000000-0005-0000-0000-0000430A0000}"/>
    <cellStyle name="Normal 18 2 3 2 2 3" xfId="4221" xr:uid="{00000000-0005-0000-0000-0000440A0000}"/>
    <cellStyle name="Normal 18 2 3 2 2 4" xfId="4222" xr:uid="{00000000-0005-0000-0000-0000450A0000}"/>
    <cellStyle name="Normal 18 2 3 2 3" xfId="4223" xr:uid="{00000000-0005-0000-0000-0000460A0000}"/>
    <cellStyle name="Normal 18 2 3 2 3 2" xfId="4224" xr:uid="{00000000-0005-0000-0000-0000470A0000}"/>
    <cellStyle name="Normal 18 2 3 2 4" xfId="4225" xr:uid="{00000000-0005-0000-0000-0000480A0000}"/>
    <cellStyle name="Normal 18 2 3 2 5" xfId="4226" xr:uid="{00000000-0005-0000-0000-0000490A0000}"/>
    <cellStyle name="Normal 18 2 3 3" xfId="558" xr:uid="{00000000-0005-0000-0000-00004A0A0000}"/>
    <cellStyle name="Normal 18 2 3 3 2" xfId="4227" xr:uid="{00000000-0005-0000-0000-00004B0A0000}"/>
    <cellStyle name="Normal 18 2 3 3 2 2" xfId="4228" xr:uid="{00000000-0005-0000-0000-00004C0A0000}"/>
    <cellStyle name="Normal 18 2 3 3 3" xfId="4229" xr:uid="{00000000-0005-0000-0000-00004D0A0000}"/>
    <cellStyle name="Normal 18 2 3 3 4" xfId="4230" xr:uid="{00000000-0005-0000-0000-00004E0A0000}"/>
    <cellStyle name="Normal 18 2 3 4" xfId="4231" xr:uid="{00000000-0005-0000-0000-00004F0A0000}"/>
    <cellStyle name="Normal 18 2 3 4 2" xfId="4232" xr:uid="{00000000-0005-0000-0000-0000500A0000}"/>
    <cellStyle name="Normal 18 2 3 5" xfId="4233" xr:uid="{00000000-0005-0000-0000-0000510A0000}"/>
    <cellStyle name="Normal 18 2 3 6" xfId="4234" xr:uid="{00000000-0005-0000-0000-0000520A0000}"/>
    <cellStyle name="Normal 18 2 4" xfId="559" xr:uid="{00000000-0005-0000-0000-0000530A0000}"/>
    <cellStyle name="Normal 18 2 4 2" xfId="560" xr:uid="{00000000-0005-0000-0000-0000540A0000}"/>
    <cellStyle name="Normal 18 2 4 2 2" xfId="4235" xr:uid="{00000000-0005-0000-0000-0000550A0000}"/>
    <cellStyle name="Normal 18 2 4 2 2 2" xfId="4236" xr:uid="{00000000-0005-0000-0000-0000560A0000}"/>
    <cellStyle name="Normal 18 2 4 2 3" xfId="4237" xr:uid="{00000000-0005-0000-0000-0000570A0000}"/>
    <cellStyle name="Normal 18 2 4 2 4" xfId="4238" xr:uid="{00000000-0005-0000-0000-0000580A0000}"/>
    <cellStyle name="Normal 18 2 4 3" xfId="4239" xr:uid="{00000000-0005-0000-0000-0000590A0000}"/>
    <cellStyle name="Normal 18 2 4 3 2" xfId="4240" xr:uid="{00000000-0005-0000-0000-00005A0A0000}"/>
    <cellStyle name="Normal 18 2 4 4" xfId="4241" xr:uid="{00000000-0005-0000-0000-00005B0A0000}"/>
    <cellStyle name="Normal 18 2 4 5" xfId="4242" xr:uid="{00000000-0005-0000-0000-00005C0A0000}"/>
    <cellStyle name="Normal 18 2 5" xfId="561" xr:uid="{00000000-0005-0000-0000-00005D0A0000}"/>
    <cellStyle name="Normal 18 2 5 2" xfId="4243" xr:uid="{00000000-0005-0000-0000-00005E0A0000}"/>
    <cellStyle name="Normal 18 2 5 2 2" xfId="4244" xr:uid="{00000000-0005-0000-0000-00005F0A0000}"/>
    <cellStyle name="Normal 18 2 5 3" xfId="4245" xr:uid="{00000000-0005-0000-0000-0000600A0000}"/>
    <cellStyle name="Normal 18 2 5 4" xfId="4246" xr:uid="{00000000-0005-0000-0000-0000610A0000}"/>
    <cellStyle name="Normal 18 2 6" xfId="4247" xr:uid="{00000000-0005-0000-0000-0000620A0000}"/>
    <cellStyle name="Normal 18 2 6 2" xfId="4248" xr:uid="{00000000-0005-0000-0000-0000630A0000}"/>
    <cellStyle name="Normal 18 2 7" xfId="4249" xr:uid="{00000000-0005-0000-0000-0000640A0000}"/>
    <cellStyle name="Normal 18 2 8" xfId="4250" xr:uid="{00000000-0005-0000-0000-0000650A0000}"/>
    <cellStyle name="Normal 18 3" xfId="562" xr:uid="{00000000-0005-0000-0000-0000660A0000}"/>
    <cellStyle name="Normal 18 3 2" xfId="563" xr:uid="{00000000-0005-0000-0000-0000670A0000}"/>
    <cellStyle name="Normal 18 3 2 2" xfId="564" xr:uid="{00000000-0005-0000-0000-0000680A0000}"/>
    <cellStyle name="Normal 18 3 2 2 2" xfId="565" xr:uid="{00000000-0005-0000-0000-0000690A0000}"/>
    <cellStyle name="Normal 18 3 2 2 2 2" xfId="4251" xr:uid="{00000000-0005-0000-0000-00006A0A0000}"/>
    <cellStyle name="Normal 18 3 2 2 2 2 2" xfId="4252" xr:uid="{00000000-0005-0000-0000-00006B0A0000}"/>
    <cellStyle name="Normal 18 3 2 2 2 3" xfId="4253" xr:uid="{00000000-0005-0000-0000-00006C0A0000}"/>
    <cellStyle name="Normal 18 3 2 2 2 4" xfId="4254" xr:uid="{00000000-0005-0000-0000-00006D0A0000}"/>
    <cellStyle name="Normal 18 3 2 2 3" xfId="4255" xr:uid="{00000000-0005-0000-0000-00006E0A0000}"/>
    <cellStyle name="Normal 18 3 2 2 3 2" xfId="4256" xr:uid="{00000000-0005-0000-0000-00006F0A0000}"/>
    <cellStyle name="Normal 18 3 2 2 4" xfId="4257" xr:uid="{00000000-0005-0000-0000-0000700A0000}"/>
    <cellStyle name="Normal 18 3 2 2 5" xfId="4258" xr:uid="{00000000-0005-0000-0000-0000710A0000}"/>
    <cellStyle name="Normal 18 3 2 3" xfId="566" xr:uid="{00000000-0005-0000-0000-0000720A0000}"/>
    <cellStyle name="Normal 18 3 2 3 2" xfId="4259" xr:uid="{00000000-0005-0000-0000-0000730A0000}"/>
    <cellStyle name="Normal 18 3 2 3 2 2" xfId="4260" xr:uid="{00000000-0005-0000-0000-0000740A0000}"/>
    <cellStyle name="Normal 18 3 2 3 3" xfId="4261" xr:uid="{00000000-0005-0000-0000-0000750A0000}"/>
    <cellStyle name="Normal 18 3 2 3 4" xfId="4262" xr:uid="{00000000-0005-0000-0000-0000760A0000}"/>
    <cellStyle name="Normal 18 3 2 4" xfId="4263" xr:uid="{00000000-0005-0000-0000-0000770A0000}"/>
    <cellStyle name="Normal 18 3 2 4 2" xfId="4264" xr:uid="{00000000-0005-0000-0000-0000780A0000}"/>
    <cellStyle name="Normal 18 3 2 5" xfId="4265" xr:uid="{00000000-0005-0000-0000-0000790A0000}"/>
    <cellStyle name="Normal 18 3 2 6" xfId="4266" xr:uid="{00000000-0005-0000-0000-00007A0A0000}"/>
    <cellStyle name="Normal 18 3 3" xfId="567" xr:uid="{00000000-0005-0000-0000-00007B0A0000}"/>
    <cellStyle name="Normal 18 3 3 2" xfId="568" xr:uid="{00000000-0005-0000-0000-00007C0A0000}"/>
    <cellStyle name="Normal 18 3 3 2 2" xfId="4267" xr:uid="{00000000-0005-0000-0000-00007D0A0000}"/>
    <cellStyle name="Normal 18 3 3 2 2 2" xfId="4268" xr:uid="{00000000-0005-0000-0000-00007E0A0000}"/>
    <cellStyle name="Normal 18 3 3 2 3" xfId="4269" xr:uid="{00000000-0005-0000-0000-00007F0A0000}"/>
    <cellStyle name="Normal 18 3 3 2 4" xfId="4270" xr:uid="{00000000-0005-0000-0000-0000800A0000}"/>
    <cellStyle name="Normal 18 3 3 3" xfId="4271" xr:uid="{00000000-0005-0000-0000-0000810A0000}"/>
    <cellStyle name="Normal 18 3 3 3 2" xfId="4272" xr:uid="{00000000-0005-0000-0000-0000820A0000}"/>
    <cellStyle name="Normal 18 3 3 4" xfId="4273" xr:uid="{00000000-0005-0000-0000-0000830A0000}"/>
    <cellStyle name="Normal 18 3 3 5" xfId="4274" xr:uid="{00000000-0005-0000-0000-0000840A0000}"/>
    <cellStyle name="Normal 18 3 4" xfId="569" xr:uid="{00000000-0005-0000-0000-0000850A0000}"/>
    <cellStyle name="Normal 18 3 4 2" xfId="4275" xr:uid="{00000000-0005-0000-0000-0000860A0000}"/>
    <cellStyle name="Normal 18 3 4 2 2" xfId="4276" xr:uid="{00000000-0005-0000-0000-0000870A0000}"/>
    <cellStyle name="Normal 18 3 4 3" xfId="4277" xr:uid="{00000000-0005-0000-0000-0000880A0000}"/>
    <cellStyle name="Normal 18 3 4 4" xfId="4278" xr:uid="{00000000-0005-0000-0000-0000890A0000}"/>
    <cellStyle name="Normal 18 3 5" xfId="4279" xr:uid="{00000000-0005-0000-0000-00008A0A0000}"/>
    <cellStyle name="Normal 18 3 5 2" xfId="4280" xr:uid="{00000000-0005-0000-0000-00008B0A0000}"/>
    <cellStyle name="Normal 18 3 6" xfId="4281" xr:uid="{00000000-0005-0000-0000-00008C0A0000}"/>
    <cellStyle name="Normal 18 3 7" xfId="4282" xr:uid="{00000000-0005-0000-0000-00008D0A0000}"/>
    <cellStyle name="Normal 18 4" xfId="570" xr:uid="{00000000-0005-0000-0000-00008E0A0000}"/>
    <cellStyle name="Normal 18 4 2" xfId="571" xr:uid="{00000000-0005-0000-0000-00008F0A0000}"/>
    <cellStyle name="Normal 18 4 2 2" xfId="572" xr:uid="{00000000-0005-0000-0000-0000900A0000}"/>
    <cellStyle name="Normal 18 4 2 2 2" xfId="4283" xr:uid="{00000000-0005-0000-0000-0000910A0000}"/>
    <cellStyle name="Normal 18 4 2 2 2 2" xfId="4284" xr:uid="{00000000-0005-0000-0000-0000920A0000}"/>
    <cellStyle name="Normal 18 4 2 2 3" xfId="4285" xr:uid="{00000000-0005-0000-0000-0000930A0000}"/>
    <cellStyle name="Normal 18 4 2 2 4" xfId="4286" xr:uid="{00000000-0005-0000-0000-0000940A0000}"/>
    <cellStyle name="Normal 18 4 2 3" xfId="4287" xr:uid="{00000000-0005-0000-0000-0000950A0000}"/>
    <cellStyle name="Normal 18 4 2 3 2" xfId="4288" xr:uid="{00000000-0005-0000-0000-0000960A0000}"/>
    <cellStyle name="Normal 18 4 2 4" xfId="4289" xr:uid="{00000000-0005-0000-0000-0000970A0000}"/>
    <cellStyle name="Normal 18 4 2 5" xfId="4290" xr:uid="{00000000-0005-0000-0000-0000980A0000}"/>
    <cellStyle name="Normal 18 4 3" xfId="573" xr:uid="{00000000-0005-0000-0000-0000990A0000}"/>
    <cellStyle name="Normal 18 4 3 2" xfId="4291" xr:uid="{00000000-0005-0000-0000-00009A0A0000}"/>
    <cellStyle name="Normal 18 4 3 2 2" xfId="4292" xr:uid="{00000000-0005-0000-0000-00009B0A0000}"/>
    <cellStyle name="Normal 18 4 3 3" xfId="4293" xr:uid="{00000000-0005-0000-0000-00009C0A0000}"/>
    <cellStyle name="Normal 18 4 3 4" xfId="4294" xr:uid="{00000000-0005-0000-0000-00009D0A0000}"/>
    <cellStyle name="Normal 18 4 4" xfId="4295" xr:uid="{00000000-0005-0000-0000-00009E0A0000}"/>
    <cellStyle name="Normal 18 4 4 2" xfId="4296" xr:uid="{00000000-0005-0000-0000-00009F0A0000}"/>
    <cellStyle name="Normal 18 4 5" xfId="4297" xr:uid="{00000000-0005-0000-0000-0000A00A0000}"/>
    <cellStyle name="Normal 18 4 6" xfId="4298" xr:uid="{00000000-0005-0000-0000-0000A10A0000}"/>
    <cellStyle name="Normal 18 5" xfId="574" xr:uid="{00000000-0005-0000-0000-0000A20A0000}"/>
    <cellStyle name="Normal 18 5 2" xfId="575" xr:uid="{00000000-0005-0000-0000-0000A30A0000}"/>
    <cellStyle name="Normal 18 5 2 2" xfId="4299" xr:uid="{00000000-0005-0000-0000-0000A40A0000}"/>
    <cellStyle name="Normal 18 5 2 2 2" xfId="4300" xr:uid="{00000000-0005-0000-0000-0000A50A0000}"/>
    <cellStyle name="Normal 18 5 2 3" xfId="4301" xr:uid="{00000000-0005-0000-0000-0000A60A0000}"/>
    <cellStyle name="Normal 18 5 2 4" xfId="4302" xr:uid="{00000000-0005-0000-0000-0000A70A0000}"/>
    <cellStyle name="Normal 18 5 3" xfId="4303" xr:uid="{00000000-0005-0000-0000-0000A80A0000}"/>
    <cellStyle name="Normal 18 5 3 2" xfId="4304" xr:uid="{00000000-0005-0000-0000-0000A90A0000}"/>
    <cellStyle name="Normal 18 5 4" xfId="4305" xr:uid="{00000000-0005-0000-0000-0000AA0A0000}"/>
    <cellStyle name="Normal 18 5 5" xfId="4306" xr:uid="{00000000-0005-0000-0000-0000AB0A0000}"/>
    <cellStyle name="Normal 18 6" xfId="576" xr:uid="{00000000-0005-0000-0000-0000AC0A0000}"/>
    <cellStyle name="Normal 18 6 2" xfId="4307" xr:uid="{00000000-0005-0000-0000-0000AD0A0000}"/>
    <cellStyle name="Normal 18 6 2 2" xfId="4308" xr:uid="{00000000-0005-0000-0000-0000AE0A0000}"/>
    <cellStyle name="Normal 18 6 3" xfId="4309" xr:uid="{00000000-0005-0000-0000-0000AF0A0000}"/>
    <cellStyle name="Normal 18 6 4" xfId="4310" xr:uid="{00000000-0005-0000-0000-0000B00A0000}"/>
    <cellStyle name="Normal 18 7" xfId="4311" xr:uid="{00000000-0005-0000-0000-0000B10A0000}"/>
    <cellStyle name="Normal 18 7 2" xfId="4312" xr:uid="{00000000-0005-0000-0000-0000B20A0000}"/>
    <cellStyle name="Normal 18 8" xfId="4313" xr:uid="{00000000-0005-0000-0000-0000B30A0000}"/>
    <cellStyle name="Normal 18 9" xfId="4314" xr:uid="{00000000-0005-0000-0000-0000B40A0000}"/>
    <cellStyle name="Normal 19" xfId="577" xr:uid="{00000000-0005-0000-0000-0000B50A0000}"/>
    <cellStyle name="Normal 19 2" xfId="578" xr:uid="{00000000-0005-0000-0000-0000B60A0000}"/>
    <cellStyle name="Normal 19 2 2" xfId="579" xr:uid="{00000000-0005-0000-0000-0000B70A0000}"/>
    <cellStyle name="Normal 19 2 2 2" xfId="580" xr:uid="{00000000-0005-0000-0000-0000B80A0000}"/>
    <cellStyle name="Normal 19 2 2 2 2" xfId="581" xr:uid="{00000000-0005-0000-0000-0000B90A0000}"/>
    <cellStyle name="Normal 19 2 2 2 2 2" xfId="582" xr:uid="{00000000-0005-0000-0000-0000BA0A0000}"/>
    <cellStyle name="Normal 19 2 2 2 2 2 2" xfId="4315" xr:uid="{00000000-0005-0000-0000-0000BB0A0000}"/>
    <cellStyle name="Normal 19 2 2 2 2 2 2 2" xfId="4316" xr:uid="{00000000-0005-0000-0000-0000BC0A0000}"/>
    <cellStyle name="Normal 19 2 2 2 2 2 3" xfId="4317" xr:uid="{00000000-0005-0000-0000-0000BD0A0000}"/>
    <cellStyle name="Normal 19 2 2 2 2 2 4" xfId="4318" xr:uid="{00000000-0005-0000-0000-0000BE0A0000}"/>
    <cellStyle name="Normal 19 2 2 2 2 3" xfId="4319" xr:uid="{00000000-0005-0000-0000-0000BF0A0000}"/>
    <cellStyle name="Normal 19 2 2 2 2 3 2" xfId="4320" xr:uid="{00000000-0005-0000-0000-0000C00A0000}"/>
    <cellStyle name="Normal 19 2 2 2 2 4" xfId="4321" xr:uid="{00000000-0005-0000-0000-0000C10A0000}"/>
    <cellStyle name="Normal 19 2 2 2 2 5" xfId="4322" xr:uid="{00000000-0005-0000-0000-0000C20A0000}"/>
    <cellStyle name="Normal 19 2 2 2 3" xfId="583" xr:uid="{00000000-0005-0000-0000-0000C30A0000}"/>
    <cellStyle name="Normal 19 2 2 2 3 2" xfId="4323" xr:uid="{00000000-0005-0000-0000-0000C40A0000}"/>
    <cellStyle name="Normal 19 2 2 2 3 2 2" xfId="4324" xr:uid="{00000000-0005-0000-0000-0000C50A0000}"/>
    <cellStyle name="Normal 19 2 2 2 3 3" xfId="4325" xr:uid="{00000000-0005-0000-0000-0000C60A0000}"/>
    <cellStyle name="Normal 19 2 2 2 3 4" xfId="4326" xr:uid="{00000000-0005-0000-0000-0000C70A0000}"/>
    <cellStyle name="Normal 19 2 2 2 4" xfId="4327" xr:uid="{00000000-0005-0000-0000-0000C80A0000}"/>
    <cellStyle name="Normal 19 2 2 2 4 2" xfId="4328" xr:uid="{00000000-0005-0000-0000-0000C90A0000}"/>
    <cellStyle name="Normal 19 2 2 2 5" xfId="4329" xr:uid="{00000000-0005-0000-0000-0000CA0A0000}"/>
    <cellStyle name="Normal 19 2 2 2 6" xfId="4330" xr:uid="{00000000-0005-0000-0000-0000CB0A0000}"/>
    <cellStyle name="Normal 19 2 2 3" xfId="584" xr:uid="{00000000-0005-0000-0000-0000CC0A0000}"/>
    <cellStyle name="Normal 19 2 2 3 2" xfId="585" xr:uid="{00000000-0005-0000-0000-0000CD0A0000}"/>
    <cellStyle name="Normal 19 2 2 3 2 2" xfId="4331" xr:uid="{00000000-0005-0000-0000-0000CE0A0000}"/>
    <cellStyle name="Normal 19 2 2 3 2 2 2" xfId="4332" xr:uid="{00000000-0005-0000-0000-0000CF0A0000}"/>
    <cellStyle name="Normal 19 2 2 3 2 3" xfId="4333" xr:uid="{00000000-0005-0000-0000-0000D00A0000}"/>
    <cellStyle name="Normal 19 2 2 3 2 4" xfId="4334" xr:uid="{00000000-0005-0000-0000-0000D10A0000}"/>
    <cellStyle name="Normal 19 2 2 3 3" xfId="4335" xr:uid="{00000000-0005-0000-0000-0000D20A0000}"/>
    <cellStyle name="Normal 19 2 2 3 3 2" xfId="4336" xr:uid="{00000000-0005-0000-0000-0000D30A0000}"/>
    <cellStyle name="Normal 19 2 2 3 4" xfId="4337" xr:uid="{00000000-0005-0000-0000-0000D40A0000}"/>
    <cellStyle name="Normal 19 2 2 3 5" xfId="4338" xr:uid="{00000000-0005-0000-0000-0000D50A0000}"/>
    <cellStyle name="Normal 19 2 2 4" xfId="586" xr:uid="{00000000-0005-0000-0000-0000D60A0000}"/>
    <cellStyle name="Normal 19 2 2 4 2" xfId="4339" xr:uid="{00000000-0005-0000-0000-0000D70A0000}"/>
    <cellStyle name="Normal 19 2 2 4 2 2" xfId="4340" xr:uid="{00000000-0005-0000-0000-0000D80A0000}"/>
    <cellStyle name="Normal 19 2 2 4 3" xfId="4341" xr:uid="{00000000-0005-0000-0000-0000D90A0000}"/>
    <cellStyle name="Normal 19 2 2 4 4" xfId="4342" xr:uid="{00000000-0005-0000-0000-0000DA0A0000}"/>
    <cellStyle name="Normal 19 2 2 5" xfId="4343" xr:uid="{00000000-0005-0000-0000-0000DB0A0000}"/>
    <cellStyle name="Normal 19 2 2 5 2" xfId="4344" xr:uid="{00000000-0005-0000-0000-0000DC0A0000}"/>
    <cellStyle name="Normal 19 2 2 6" xfId="4345" xr:uid="{00000000-0005-0000-0000-0000DD0A0000}"/>
    <cellStyle name="Normal 19 2 2 7" xfId="4346" xr:uid="{00000000-0005-0000-0000-0000DE0A0000}"/>
    <cellStyle name="Normal 19 2 3" xfId="587" xr:uid="{00000000-0005-0000-0000-0000DF0A0000}"/>
    <cellStyle name="Normal 19 2 3 2" xfId="588" xr:uid="{00000000-0005-0000-0000-0000E00A0000}"/>
    <cellStyle name="Normal 19 2 3 2 2" xfId="589" xr:uid="{00000000-0005-0000-0000-0000E10A0000}"/>
    <cellStyle name="Normal 19 2 3 2 2 2" xfId="4347" xr:uid="{00000000-0005-0000-0000-0000E20A0000}"/>
    <cellStyle name="Normal 19 2 3 2 2 2 2" xfId="4348" xr:uid="{00000000-0005-0000-0000-0000E30A0000}"/>
    <cellStyle name="Normal 19 2 3 2 2 3" xfId="4349" xr:uid="{00000000-0005-0000-0000-0000E40A0000}"/>
    <cellStyle name="Normal 19 2 3 2 2 4" xfId="4350" xr:uid="{00000000-0005-0000-0000-0000E50A0000}"/>
    <cellStyle name="Normal 19 2 3 2 3" xfId="4351" xr:uid="{00000000-0005-0000-0000-0000E60A0000}"/>
    <cellStyle name="Normal 19 2 3 2 3 2" xfId="4352" xr:uid="{00000000-0005-0000-0000-0000E70A0000}"/>
    <cellStyle name="Normal 19 2 3 2 4" xfId="4353" xr:uid="{00000000-0005-0000-0000-0000E80A0000}"/>
    <cellStyle name="Normal 19 2 3 2 5" xfId="4354" xr:uid="{00000000-0005-0000-0000-0000E90A0000}"/>
    <cellStyle name="Normal 19 2 3 3" xfId="590" xr:uid="{00000000-0005-0000-0000-0000EA0A0000}"/>
    <cellStyle name="Normal 19 2 3 3 2" xfId="4355" xr:uid="{00000000-0005-0000-0000-0000EB0A0000}"/>
    <cellStyle name="Normal 19 2 3 3 2 2" xfId="4356" xr:uid="{00000000-0005-0000-0000-0000EC0A0000}"/>
    <cellStyle name="Normal 19 2 3 3 3" xfId="4357" xr:uid="{00000000-0005-0000-0000-0000ED0A0000}"/>
    <cellStyle name="Normal 19 2 3 3 4" xfId="4358" xr:uid="{00000000-0005-0000-0000-0000EE0A0000}"/>
    <cellStyle name="Normal 19 2 3 4" xfId="4359" xr:uid="{00000000-0005-0000-0000-0000EF0A0000}"/>
    <cellStyle name="Normal 19 2 3 4 2" xfId="4360" xr:uid="{00000000-0005-0000-0000-0000F00A0000}"/>
    <cellStyle name="Normal 19 2 3 5" xfId="4361" xr:uid="{00000000-0005-0000-0000-0000F10A0000}"/>
    <cellStyle name="Normal 19 2 3 6" xfId="4362" xr:uid="{00000000-0005-0000-0000-0000F20A0000}"/>
    <cellStyle name="Normal 19 2 4" xfId="591" xr:uid="{00000000-0005-0000-0000-0000F30A0000}"/>
    <cellStyle name="Normal 19 2 4 2" xfId="592" xr:uid="{00000000-0005-0000-0000-0000F40A0000}"/>
    <cellStyle name="Normal 19 2 4 2 2" xfId="4363" xr:uid="{00000000-0005-0000-0000-0000F50A0000}"/>
    <cellStyle name="Normal 19 2 4 2 2 2" xfId="4364" xr:uid="{00000000-0005-0000-0000-0000F60A0000}"/>
    <cellStyle name="Normal 19 2 4 2 3" xfId="4365" xr:uid="{00000000-0005-0000-0000-0000F70A0000}"/>
    <cellStyle name="Normal 19 2 4 2 4" xfId="4366" xr:uid="{00000000-0005-0000-0000-0000F80A0000}"/>
    <cellStyle name="Normal 19 2 4 3" xfId="4367" xr:uid="{00000000-0005-0000-0000-0000F90A0000}"/>
    <cellStyle name="Normal 19 2 4 3 2" xfId="4368" xr:uid="{00000000-0005-0000-0000-0000FA0A0000}"/>
    <cellStyle name="Normal 19 2 4 4" xfId="4369" xr:uid="{00000000-0005-0000-0000-0000FB0A0000}"/>
    <cellStyle name="Normal 19 2 4 5" xfId="4370" xr:uid="{00000000-0005-0000-0000-0000FC0A0000}"/>
    <cellStyle name="Normal 19 2 5" xfId="593" xr:uid="{00000000-0005-0000-0000-0000FD0A0000}"/>
    <cellStyle name="Normal 19 2 5 2" xfId="4371" xr:uid="{00000000-0005-0000-0000-0000FE0A0000}"/>
    <cellStyle name="Normal 19 2 5 2 2" xfId="4372" xr:uid="{00000000-0005-0000-0000-0000FF0A0000}"/>
    <cellStyle name="Normal 19 2 5 3" xfId="4373" xr:uid="{00000000-0005-0000-0000-0000000B0000}"/>
    <cellStyle name="Normal 19 2 5 4" xfId="4374" xr:uid="{00000000-0005-0000-0000-0000010B0000}"/>
    <cellStyle name="Normal 19 2 6" xfId="4375" xr:uid="{00000000-0005-0000-0000-0000020B0000}"/>
    <cellStyle name="Normal 19 2 6 2" xfId="4376" xr:uid="{00000000-0005-0000-0000-0000030B0000}"/>
    <cellStyle name="Normal 19 2 7" xfId="4377" xr:uid="{00000000-0005-0000-0000-0000040B0000}"/>
    <cellStyle name="Normal 19 2 8" xfId="4378" xr:uid="{00000000-0005-0000-0000-0000050B0000}"/>
    <cellStyle name="Normal 19 3" xfId="594" xr:uid="{00000000-0005-0000-0000-0000060B0000}"/>
    <cellStyle name="Normal 19 3 2" xfId="595" xr:uid="{00000000-0005-0000-0000-0000070B0000}"/>
    <cellStyle name="Normal 19 3 2 2" xfId="596" xr:uid="{00000000-0005-0000-0000-0000080B0000}"/>
    <cellStyle name="Normal 19 3 2 2 2" xfId="597" xr:uid="{00000000-0005-0000-0000-0000090B0000}"/>
    <cellStyle name="Normal 19 3 2 2 2 2" xfId="4379" xr:uid="{00000000-0005-0000-0000-00000A0B0000}"/>
    <cellStyle name="Normal 19 3 2 2 2 2 2" xfId="4380" xr:uid="{00000000-0005-0000-0000-00000B0B0000}"/>
    <cellStyle name="Normal 19 3 2 2 2 3" xfId="4381" xr:uid="{00000000-0005-0000-0000-00000C0B0000}"/>
    <cellStyle name="Normal 19 3 2 2 2 4" xfId="4382" xr:uid="{00000000-0005-0000-0000-00000D0B0000}"/>
    <cellStyle name="Normal 19 3 2 2 3" xfId="4383" xr:uid="{00000000-0005-0000-0000-00000E0B0000}"/>
    <cellStyle name="Normal 19 3 2 2 3 2" xfId="4384" xr:uid="{00000000-0005-0000-0000-00000F0B0000}"/>
    <cellStyle name="Normal 19 3 2 2 4" xfId="4385" xr:uid="{00000000-0005-0000-0000-0000100B0000}"/>
    <cellStyle name="Normal 19 3 2 2 5" xfId="4386" xr:uid="{00000000-0005-0000-0000-0000110B0000}"/>
    <cellStyle name="Normal 19 3 2 3" xfId="598" xr:uid="{00000000-0005-0000-0000-0000120B0000}"/>
    <cellStyle name="Normal 19 3 2 3 2" xfId="4387" xr:uid="{00000000-0005-0000-0000-0000130B0000}"/>
    <cellStyle name="Normal 19 3 2 3 2 2" xfId="4388" xr:uid="{00000000-0005-0000-0000-0000140B0000}"/>
    <cellStyle name="Normal 19 3 2 3 3" xfId="4389" xr:uid="{00000000-0005-0000-0000-0000150B0000}"/>
    <cellStyle name="Normal 19 3 2 3 4" xfId="4390" xr:uid="{00000000-0005-0000-0000-0000160B0000}"/>
    <cellStyle name="Normal 19 3 2 4" xfId="4391" xr:uid="{00000000-0005-0000-0000-0000170B0000}"/>
    <cellStyle name="Normal 19 3 2 4 2" xfId="4392" xr:uid="{00000000-0005-0000-0000-0000180B0000}"/>
    <cellStyle name="Normal 19 3 2 5" xfId="4393" xr:uid="{00000000-0005-0000-0000-0000190B0000}"/>
    <cellStyle name="Normal 19 3 2 6" xfId="4394" xr:uid="{00000000-0005-0000-0000-00001A0B0000}"/>
    <cellStyle name="Normal 19 3 3" xfId="599" xr:uid="{00000000-0005-0000-0000-00001B0B0000}"/>
    <cellStyle name="Normal 19 3 3 2" xfId="600" xr:uid="{00000000-0005-0000-0000-00001C0B0000}"/>
    <cellStyle name="Normal 19 3 3 2 2" xfId="4395" xr:uid="{00000000-0005-0000-0000-00001D0B0000}"/>
    <cellStyle name="Normal 19 3 3 2 2 2" xfId="4396" xr:uid="{00000000-0005-0000-0000-00001E0B0000}"/>
    <cellStyle name="Normal 19 3 3 2 3" xfId="4397" xr:uid="{00000000-0005-0000-0000-00001F0B0000}"/>
    <cellStyle name="Normal 19 3 3 2 4" xfId="4398" xr:uid="{00000000-0005-0000-0000-0000200B0000}"/>
    <cellStyle name="Normal 19 3 3 3" xfId="4399" xr:uid="{00000000-0005-0000-0000-0000210B0000}"/>
    <cellStyle name="Normal 19 3 3 3 2" xfId="4400" xr:uid="{00000000-0005-0000-0000-0000220B0000}"/>
    <cellStyle name="Normal 19 3 3 4" xfId="4401" xr:uid="{00000000-0005-0000-0000-0000230B0000}"/>
    <cellStyle name="Normal 19 3 3 5" xfId="4402" xr:uid="{00000000-0005-0000-0000-0000240B0000}"/>
    <cellStyle name="Normal 19 3 4" xfId="601" xr:uid="{00000000-0005-0000-0000-0000250B0000}"/>
    <cellStyle name="Normal 19 3 4 2" xfId="4403" xr:uid="{00000000-0005-0000-0000-0000260B0000}"/>
    <cellStyle name="Normal 19 3 4 2 2" xfId="4404" xr:uid="{00000000-0005-0000-0000-0000270B0000}"/>
    <cellStyle name="Normal 19 3 4 3" xfId="4405" xr:uid="{00000000-0005-0000-0000-0000280B0000}"/>
    <cellStyle name="Normal 19 3 4 4" xfId="4406" xr:uid="{00000000-0005-0000-0000-0000290B0000}"/>
    <cellStyle name="Normal 19 3 5" xfId="4407" xr:uid="{00000000-0005-0000-0000-00002A0B0000}"/>
    <cellStyle name="Normal 19 3 5 2" xfId="4408" xr:uid="{00000000-0005-0000-0000-00002B0B0000}"/>
    <cellStyle name="Normal 19 3 6" xfId="4409" xr:uid="{00000000-0005-0000-0000-00002C0B0000}"/>
    <cellStyle name="Normal 19 3 7" xfId="4410" xr:uid="{00000000-0005-0000-0000-00002D0B0000}"/>
    <cellStyle name="Normal 19 4" xfId="602" xr:uid="{00000000-0005-0000-0000-00002E0B0000}"/>
    <cellStyle name="Normal 19 4 2" xfId="603" xr:uid="{00000000-0005-0000-0000-00002F0B0000}"/>
    <cellStyle name="Normal 19 4 2 2" xfId="604" xr:uid="{00000000-0005-0000-0000-0000300B0000}"/>
    <cellStyle name="Normal 19 4 2 2 2" xfId="4411" xr:uid="{00000000-0005-0000-0000-0000310B0000}"/>
    <cellStyle name="Normal 19 4 2 2 2 2" xfId="4412" xr:uid="{00000000-0005-0000-0000-0000320B0000}"/>
    <cellStyle name="Normal 19 4 2 2 3" xfId="4413" xr:uid="{00000000-0005-0000-0000-0000330B0000}"/>
    <cellStyle name="Normal 19 4 2 2 4" xfId="4414" xr:uid="{00000000-0005-0000-0000-0000340B0000}"/>
    <cellStyle name="Normal 19 4 2 3" xfId="4415" xr:uid="{00000000-0005-0000-0000-0000350B0000}"/>
    <cellStyle name="Normal 19 4 2 3 2" xfId="4416" xr:uid="{00000000-0005-0000-0000-0000360B0000}"/>
    <cellStyle name="Normal 19 4 2 4" xfId="4417" xr:uid="{00000000-0005-0000-0000-0000370B0000}"/>
    <cellStyle name="Normal 19 4 2 5" xfId="4418" xr:uid="{00000000-0005-0000-0000-0000380B0000}"/>
    <cellStyle name="Normal 19 4 3" xfId="605" xr:uid="{00000000-0005-0000-0000-0000390B0000}"/>
    <cellStyle name="Normal 19 4 3 2" xfId="4419" xr:uid="{00000000-0005-0000-0000-00003A0B0000}"/>
    <cellStyle name="Normal 19 4 3 2 2" xfId="4420" xr:uid="{00000000-0005-0000-0000-00003B0B0000}"/>
    <cellStyle name="Normal 19 4 3 3" xfId="4421" xr:uid="{00000000-0005-0000-0000-00003C0B0000}"/>
    <cellStyle name="Normal 19 4 3 4" xfId="4422" xr:uid="{00000000-0005-0000-0000-00003D0B0000}"/>
    <cellStyle name="Normal 19 4 4" xfId="4423" xr:uid="{00000000-0005-0000-0000-00003E0B0000}"/>
    <cellStyle name="Normal 19 4 4 2" xfId="4424" xr:uid="{00000000-0005-0000-0000-00003F0B0000}"/>
    <cellStyle name="Normal 19 4 5" xfId="4425" xr:uid="{00000000-0005-0000-0000-0000400B0000}"/>
    <cellStyle name="Normal 19 4 6" xfId="4426" xr:uid="{00000000-0005-0000-0000-0000410B0000}"/>
    <cellStyle name="Normal 19 5" xfId="606" xr:uid="{00000000-0005-0000-0000-0000420B0000}"/>
    <cellStyle name="Normal 19 5 2" xfId="607" xr:uid="{00000000-0005-0000-0000-0000430B0000}"/>
    <cellStyle name="Normal 19 5 2 2" xfId="4427" xr:uid="{00000000-0005-0000-0000-0000440B0000}"/>
    <cellStyle name="Normal 19 5 2 2 2" xfId="4428" xr:uid="{00000000-0005-0000-0000-0000450B0000}"/>
    <cellStyle name="Normal 19 5 2 3" xfId="4429" xr:uid="{00000000-0005-0000-0000-0000460B0000}"/>
    <cellStyle name="Normal 19 5 2 4" xfId="4430" xr:uid="{00000000-0005-0000-0000-0000470B0000}"/>
    <cellStyle name="Normal 19 5 3" xfId="4431" xr:uid="{00000000-0005-0000-0000-0000480B0000}"/>
    <cellStyle name="Normal 19 5 3 2" xfId="4432" xr:uid="{00000000-0005-0000-0000-0000490B0000}"/>
    <cellStyle name="Normal 19 5 4" xfId="4433" xr:uid="{00000000-0005-0000-0000-00004A0B0000}"/>
    <cellStyle name="Normal 19 5 5" xfId="4434" xr:uid="{00000000-0005-0000-0000-00004B0B0000}"/>
    <cellStyle name="Normal 19 6" xfId="608" xr:uid="{00000000-0005-0000-0000-00004C0B0000}"/>
    <cellStyle name="Normal 19 6 2" xfId="4435" xr:uid="{00000000-0005-0000-0000-00004D0B0000}"/>
    <cellStyle name="Normal 19 6 2 2" xfId="4436" xr:uid="{00000000-0005-0000-0000-00004E0B0000}"/>
    <cellStyle name="Normal 19 6 3" xfId="4437" xr:uid="{00000000-0005-0000-0000-00004F0B0000}"/>
    <cellStyle name="Normal 19 6 4" xfId="4438" xr:uid="{00000000-0005-0000-0000-0000500B0000}"/>
    <cellStyle name="Normal 19 7" xfId="4439" xr:uid="{00000000-0005-0000-0000-0000510B0000}"/>
    <cellStyle name="Normal 19 7 2" xfId="4440" xr:uid="{00000000-0005-0000-0000-0000520B0000}"/>
    <cellStyle name="Normal 19 8" xfId="4441" xr:uid="{00000000-0005-0000-0000-0000530B0000}"/>
    <cellStyle name="Normal 19 9" xfId="4442" xr:uid="{00000000-0005-0000-0000-0000540B0000}"/>
    <cellStyle name="Normal 2" xfId="4" xr:uid="{00000000-0005-0000-0000-0000550B0000}"/>
    <cellStyle name="Normal 2 10" xfId="609" xr:uid="{00000000-0005-0000-0000-0000560B0000}"/>
    <cellStyle name="Normal 2 10 2" xfId="610" xr:uid="{00000000-0005-0000-0000-0000570B0000}"/>
    <cellStyle name="Normal 2 10 2 2" xfId="611" xr:uid="{00000000-0005-0000-0000-0000580B0000}"/>
    <cellStyle name="Normal 2 10 2 2 2" xfId="612" xr:uid="{00000000-0005-0000-0000-0000590B0000}"/>
    <cellStyle name="Normal 2 10 2 2 2 2" xfId="613" xr:uid="{00000000-0005-0000-0000-00005A0B0000}"/>
    <cellStyle name="Normal 2 10 2 2 2 2 2" xfId="4443" xr:uid="{00000000-0005-0000-0000-00005B0B0000}"/>
    <cellStyle name="Normal 2 10 2 2 2 2 2 2" xfId="4444" xr:uid="{00000000-0005-0000-0000-00005C0B0000}"/>
    <cellStyle name="Normal 2 10 2 2 2 2 3" xfId="4445" xr:uid="{00000000-0005-0000-0000-00005D0B0000}"/>
    <cellStyle name="Normal 2 10 2 2 2 2 4" xfId="4446" xr:uid="{00000000-0005-0000-0000-00005E0B0000}"/>
    <cellStyle name="Normal 2 10 2 2 2 3" xfId="4447" xr:uid="{00000000-0005-0000-0000-00005F0B0000}"/>
    <cellStyle name="Normal 2 10 2 2 2 3 2" xfId="4448" xr:uid="{00000000-0005-0000-0000-0000600B0000}"/>
    <cellStyle name="Normal 2 10 2 2 2 4" xfId="4449" xr:uid="{00000000-0005-0000-0000-0000610B0000}"/>
    <cellStyle name="Normal 2 10 2 2 2 5" xfId="4450" xr:uid="{00000000-0005-0000-0000-0000620B0000}"/>
    <cellStyle name="Normal 2 10 2 2 3" xfId="614" xr:uid="{00000000-0005-0000-0000-0000630B0000}"/>
    <cellStyle name="Normal 2 10 2 2 3 2" xfId="4451" xr:uid="{00000000-0005-0000-0000-0000640B0000}"/>
    <cellStyle name="Normal 2 10 2 2 3 2 2" xfId="4452" xr:uid="{00000000-0005-0000-0000-0000650B0000}"/>
    <cellStyle name="Normal 2 10 2 2 3 3" xfId="4453" xr:uid="{00000000-0005-0000-0000-0000660B0000}"/>
    <cellStyle name="Normal 2 10 2 2 3 4" xfId="4454" xr:uid="{00000000-0005-0000-0000-0000670B0000}"/>
    <cellStyle name="Normal 2 10 2 2 4" xfId="4455" xr:uid="{00000000-0005-0000-0000-0000680B0000}"/>
    <cellStyle name="Normal 2 10 2 2 4 2" xfId="4456" xr:uid="{00000000-0005-0000-0000-0000690B0000}"/>
    <cellStyle name="Normal 2 10 2 2 5" xfId="4457" xr:uid="{00000000-0005-0000-0000-00006A0B0000}"/>
    <cellStyle name="Normal 2 10 2 2 6" xfId="4458" xr:uid="{00000000-0005-0000-0000-00006B0B0000}"/>
    <cellStyle name="Normal 2 10 2 3" xfId="615" xr:uid="{00000000-0005-0000-0000-00006C0B0000}"/>
    <cellStyle name="Normal 2 10 2 3 2" xfId="616" xr:uid="{00000000-0005-0000-0000-00006D0B0000}"/>
    <cellStyle name="Normal 2 10 2 3 2 2" xfId="4459" xr:uid="{00000000-0005-0000-0000-00006E0B0000}"/>
    <cellStyle name="Normal 2 10 2 3 2 2 2" xfId="4460" xr:uid="{00000000-0005-0000-0000-00006F0B0000}"/>
    <cellStyle name="Normal 2 10 2 3 2 3" xfId="4461" xr:uid="{00000000-0005-0000-0000-0000700B0000}"/>
    <cellStyle name="Normal 2 10 2 3 2 4" xfId="4462" xr:uid="{00000000-0005-0000-0000-0000710B0000}"/>
    <cellStyle name="Normal 2 10 2 3 3" xfId="4463" xr:uid="{00000000-0005-0000-0000-0000720B0000}"/>
    <cellStyle name="Normal 2 10 2 3 3 2" xfId="4464" xr:uid="{00000000-0005-0000-0000-0000730B0000}"/>
    <cellStyle name="Normal 2 10 2 3 4" xfId="4465" xr:uid="{00000000-0005-0000-0000-0000740B0000}"/>
    <cellStyle name="Normal 2 10 2 3 5" xfId="4466" xr:uid="{00000000-0005-0000-0000-0000750B0000}"/>
    <cellStyle name="Normal 2 10 2 4" xfId="617" xr:uid="{00000000-0005-0000-0000-0000760B0000}"/>
    <cellStyle name="Normal 2 10 2 4 2" xfId="4467" xr:uid="{00000000-0005-0000-0000-0000770B0000}"/>
    <cellStyle name="Normal 2 10 2 4 2 2" xfId="4468" xr:uid="{00000000-0005-0000-0000-0000780B0000}"/>
    <cellStyle name="Normal 2 10 2 4 3" xfId="4469" xr:uid="{00000000-0005-0000-0000-0000790B0000}"/>
    <cellStyle name="Normal 2 10 2 4 4" xfId="4470" xr:uid="{00000000-0005-0000-0000-00007A0B0000}"/>
    <cellStyle name="Normal 2 10 2 5" xfId="4471" xr:uid="{00000000-0005-0000-0000-00007B0B0000}"/>
    <cellStyle name="Normal 2 10 2 5 2" xfId="2142" xr:uid="{00000000-0005-0000-0000-00007C0B0000}"/>
    <cellStyle name="Normal 2 10 2 5 2 2" xfId="4472" xr:uid="{00000000-0005-0000-0000-00007D0B0000}"/>
    <cellStyle name="Normal 2 10 2 5 2 2 2" xfId="10343" xr:uid="{00000000-0005-0000-0000-00007E0B0000}"/>
    <cellStyle name="Normal 2 10 2 5 2 3" xfId="10337" xr:uid="{00000000-0005-0000-0000-00007F0B0000}"/>
    <cellStyle name="Normal 2 10 2 5 3" xfId="4473" xr:uid="{00000000-0005-0000-0000-0000800B0000}"/>
    <cellStyle name="Normal 2 10 2 5 4" xfId="4474" xr:uid="{00000000-0005-0000-0000-0000810B0000}"/>
    <cellStyle name="Normal 2 10 2 6" xfId="2141" xr:uid="{00000000-0005-0000-0000-0000820B0000}"/>
    <cellStyle name="Normal 2 10 2 6 2" xfId="4475" xr:uid="{00000000-0005-0000-0000-0000830B0000}"/>
    <cellStyle name="Normal 2 10 2 6 2 2" xfId="10342" xr:uid="{00000000-0005-0000-0000-0000840B0000}"/>
    <cellStyle name="Normal 2 10 2 6 3" xfId="10336" xr:uid="{00000000-0005-0000-0000-0000850B0000}"/>
    <cellStyle name="Normal 2 10 2 7" xfId="4476" xr:uid="{00000000-0005-0000-0000-0000860B0000}"/>
    <cellStyle name="Normal 2 10 2 8" xfId="4477" xr:uid="{00000000-0005-0000-0000-0000870B0000}"/>
    <cellStyle name="Normal 2 10 3" xfId="618" xr:uid="{00000000-0005-0000-0000-0000880B0000}"/>
    <cellStyle name="Normal 2 10 3 2" xfId="619" xr:uid="{00000000-0005-0000-0000-0000890B0000}"/>
    <cellStyle name="Normal 2 10 3 2 2" xfId="620" xr:uid="{00000000-0005-0000-0000-00008A0B0000}"/>
    <cellStyle name="Normal 2 10 3 2 2 2" xfId="4478" xr:uid="{00000000-0005-0000-0000-00008B0B0000}"/>
    <cellStyle name="Normal 2 10 3 2 2 2 2" xfId="4479" xr:uid="{00000000-0005-0000-0000-00008C0B0000}"/>
    <cellStyle name="Normal 2 10 3 2 2 3" xfId="4480" xr:uid="{00000000-0005-0000-0000-00008D0B0000}"/>
    <cellStyle name="Normal 2 10 3 2 2 4" xfId="4481" xr:uid="{00000000-0005-0000-0000-00008E0B0000}"/>
    <cellStyle name="Normal 2 10 3 2 3" xfId="4482" xr:uid="{00000000-0005-0000-0000-00008F0B0000}"/>
    <cellStyle name="Normal 2 10 3 2 3 2" xfId="4483" xr:uid="{00000000-0005-0000-0000-0000900B0000}"/>
    <cellStyle name="Normal 2 10 3 2 4" xfId="4484" xr:uid="{00000000-0005-0000-0000-0000910B0000}"/>
    <cellStyle name="Normal 2 10 3 2 5" xfId="4485" xr:uid="{00000000-0005-0000-0000-0000920B0000}"/>
    <cellStyle name="Normal 2 10 3 3" xfId="621" xr:uid="{00000000-0005-0000-0000-0000930B0000}"/>
    <cellStyle name="Normal 2 10 3 3 2" xfId="4486" xr:uid="{00000000-0005-0000-0000-0000940B0000}"/>
    <cellStyle name="Normal 2 10 3 3 2 2" xfId="4487" xr:uid="{00000000-0005-0000-0000-0000950B0000}"/>
    <cellStyle name="Normal 2 10 3 3 3" xfId="4488" xr:uid="{00000000-0005-0000-0000-0000960B0000}"/>
    <cellStyle name="Normal 2 10 3 3 4" xfId="4489" xr:uid="{00000000-0005-0000-0000-0000970B0000}"/>
    <cellStyle name="Normal 2 10 3 4" xfId="4490" xr:uid="{00000000-0005-0000-0000-0000980B0000}"/>
    <cellStyle name="Normal 2 10 3 4 2" xfId="4491" xr:uid="{00000000-0005-0000-0000-0000990B0000}"/>
    <cellStyle name="Normal 2 10 3 5" xfId="4492" xr:uid="{00000000-0005-0000-0000-00009A0B0000}"/>
    <cellStyle name="Normal 2 10 3 6" xfId="4493" xr:uid="{00000000-0005-0000-0000-00009B0B0000}"/>
    <cellStyle name="Normal 2 10 4" xfId="622" xr:uid="{00000000-0005-0000-0000-00009C0B0000}"/>
    <cellStyle name="Normal 2 10 4 2" xfId="623" xr:uid="{00000000-0005-0000-0000-00009D0B0000}"/>
    <cellStyle name="Normal 2 10 4 2 2" xfId="4494" xr:uid="{00000000-0005-0000-0000-00009E0B0000}"/>
    <cellStyle name="Normal 2 10 4 2 2 2" xfId="4495" xr:uid="{00000000-0005-0000-0000-00009F0B0000}"/>
    <cellStyle name="Normal 2 10 4 2 3" xfId="4496" xr:uid="{00000000-0005-0000-0000-0000A00B0000}"/>
    <cellStyle name="Normal 2 10 4 2 4" xfId="4497" xr:uid="{00000000-0005-0000-0000-0000A10B0000}"/>
    <cellStyle name="Normal 2 10 4 3" xfId="4498" xr:uid="{00000000-0005-0000-0000-0000A20B0000}"/>
    <cellStyle name="Normal 2 10 4 3 2" xfId="4499" xr:uid="{00000000-0005-0000-0000-0000A30B0000}"/>
    <cellStyle name="Normal 2 10 4 4" xfId="4500" xr:uid="{00000000-0005-0000-0000-0000A40B0000}"/>
    <cellStyle name="Normal 2 10 4 5" xfId="4501" xr:uid="{00000000-0005-0000-0000-0000A50B0000}"/>
    <cellStyle name="Normal 2 10 5" xfId="624" xr:uid="{00000000-0005-0000-0000-0000A60B0000}"/>
    <cellStyle name="Normal 2 10 5 2" xfId="4502" xr:uid="{00000000-0005-0000-0000-0000A70B0000}"/>
    <cellStyle name="Normal 2 10 5 2 2" xfId="4503" xr:uid="{00000000-0005-0000-0000-0000A80B0000}"/>
    <cellStyle name="Normal 2 10 5 3" xfId="4504" xr:uid="{00000000-0005-0000-0000-0000A90B0000}"/>
    <cellStyle name="Normal 2 10 5 4" xfId="4505" xr:uid="{00000000-0005-0000-0000-0000AA0B0000}"/>
    <cellStyle name="Normal 2 10 6" xfId="4506" xr:uid="{00000000-0005-0000-0000-0000AB0B0000}"/>
    <cellStyle name="Normal 2 10 6 2" xfId="4507" xr:uid="{00000000-0005-0000-0000-0000AC0B0000}"/>
    <cellStyle name="Normal 2 10 7" xfId="4508" xr:uid="{00000000-0005-0000-0000-0000AD0B0000}"/>
    <cellStyle name="Normal 2 10 8" xfId="4509" xr:uid="{00000000-0005-0000-0000-0000AE0B0000}"/>
    <cellStyle name="Normal 2 11" xfId="625" xr:uid="{00000000-0005-0000-0000-0000AF0B0000}"/>
    <cellStyle name="Normal 2 11 2" xfId="626" xr:uid="{00000000-0005-0000-0000-0000B00B0000}"/>
    <cellStyle name="Normal 2 11 2 2" xfId="627" xr:uid="{00000000-0005-0000-0000-0000B10B0000}"/>
    <cellStyle name="Normal 2 11 2 2 2" xfId="628" xr:uid="{00000000-0005-0000-0000-0000B20B0000}"/>
    <cellStyle name="Normal 2 11 2 2 2 2" xfId="629" xr:uid="{00000000-0005-0000-0000-0000B30B0000}"/>
    <cellStyle name="Normal 2 11 2 2 2 2 2" xfId="4510" xr:uid="{00000000-0005-0000-0000-0000B40B0000}"/>
    <cellStyle name="Normal 2 11 2 2 2 2 2 2" xfId="4511" xr:uid="{00000000-0005-0000-0000-0000B50B0000}"/>
    <cellStyle name="Normal 2 11 2 2 2 2 3" xfId="4512" xr:uid="{00000000-0005-0000-0000-0000B60B0000}"/>
    <cellStyle name="Normal 2 11 2 2 2 2 4" xfId="4513" xr:uid="{00000000-0005-0000-0000-0000B70B0000}"/>
    <cellStyle name="Normal 2 11 2 2 2 3" xfId="4514" xr:uid="{00000000-0005-0000-0000-0000B80B0000}"/>
    <cellStyle name="Normal 2 11 2 2 2 3 2" xfId="4515" xr:uid="{00000000-0005-0000-0000-0000B90B0000}"/>
    <cellStyle name="Normal 2 11 2 2 2 4" xfId="4516" xr:uid="{00000000-0005-0000-0000-0000BA0B0000}"/>
    <cellStyle name="Normal 2 11 2 2 2 5" xfId="4517" xr:uid="{00000000-0005-0000-0000-0000BB0B0000}"/>
    <cellStyle name="Normal 2 11 2 2 3" xfId="630" xr:uid="{00000000-0005-0000-0000-0000BC0B0000}"/>
    <cellStyle name="Normal 2 11 2 2 3 2" xfId="4518" xr:uid="{00000000-0005-0000-0000-0000BD0B0000}"/>
    <cellStyle name="Normal 2 11 2 2 3 2 2" xfId="4519" xr:uid="{00000000-0005-0000-0000-0000BE0B0000}"/>
    <cellStyle name="Normal 2 11 2 2 3 3" xfId="4520" xr:uid="{00000000-0005-0000-0000-0000BF0B0000}"/>
    <cellStyle name="Normal 2 11 2 2 3 4" xfId="4521" xr:uid="{00000000-0005-0000-0000-0000C00B0000}"/>
    <cellStyle name="Normal 2 11 2 2 4" xfId="4522" xr:uid="{00000000-0005-0000-0000-0000C10B0000}"/>
    <cellStyle name="Normal 2 11 2 2 4 2" xfId="4523" xr:uid="{00000000-0005-0000-0000-0000C20B0000}"/>
    <cellStyle name="Normal 2 11 2 2 5" xfId="4524" xr:uid="{00000000-0005-0000-0000-0000C30B0000}"/>
    <cellStyle name="Normal 2 11 2 2 6" xfId="4525" xr:uid="{00000000-0005-0000-0000-0000C40B0000}"/>
    <cellStyle name="Normal 2 11 2 3" xfId="631" xr:uid="{00000000-0005-0000-0000-0000C50B0000}"/>
    <cellStyle name="Normal 2 11 2 3 2" xfId="632" xr:uid="{00000000-0005-0000-0000-0000C60B0000}"/>
    <cellStyle name="Normal 2 11 2 3 2 2" xfId="4526" xr:uid="{00000000-0005-0000-0000-0000C70B0000}"/>
    <cellStyle name="Normal 2 11 2 3 2 2 2" xfId="4527" xr:uid="{00000000-0005-0000-0000-0000C80B0000}"/>
    <cellStyle name="Normal 2 11 2 3 2 3" xfId="4528" xr:uid="{00000000-0005-0000-0000-0000C90B0000}"/>
    <cellStyle name="Normal 2 11 2 3 2 4" xfId="4529" xr:uid="{00000000-0005-0000-0000-0000CA0B0000}"/>
    <cellStyle name="Normal 2 11 2 3 3" xfId="4530" xr:uid="{00000000-0005-0000-0000-0000CB0B0000}"/>
    <cellStyle name="Normal 2 11 2 3 3 2" xfId="4531" xr:uid="{00000000-0005-0000-0000-0000CC0B0000}"/>
    <cellStyle name="Normal 2 11 2 3 4" xfId="4532" xr:uid="{00000000-0005-0000-0000-0000CD0B0000}"/>
    <cellStyle name="Normal 2 11 2 3 5" xfId="4533" xr:uid="{00000000-0005-0000-0000-0000CE0B0000}"/>
    <cellStyle name="Normal 2 11 2 4" xfId="633" xr:uid="{00000000-0005-0000-0000-0000CF0B0000}"/>
    <cellStyle name="Normal 2 11 2 4 2" xfId="4534" xr:uid="{00000000-0005-0000-0000-0000D00B0000}"/>
    <cellStyle name="Normal 2 11 2 4 2 2" xfId="4535" xr:uid="{00000000-0005-0000-0000-0000D10B0000}"/>
    <cellStyle name="Normal 2 11 2 4 3" xfId="4536" xr:uid="{00000000-0005-0000-0000-0000D20B0000}"/>
    <cellStyle name="Normal 2 11 2 4 4" xfId="4537" xr:uid="{00000000-0005-0000-0000-0000D30B0000}"/>
    <cellStyle name="Normal 2 11 2 5" xfId="4538" xr:uid="{00000000-0005-0000-0000-0000D40B0000}"/>
    <cellStyle name="Normal 2 11 2 5 2" xfId="4539" xr:uid="{00000000-0005-0000-0000-0000D50B0000}"/>
    <cellStyle name="Normal 2 11 2 6" xfId="4540" xr:uid="{00000000-0005-0000-0000-0000D60B0000}"/>
    <cellStyle name="Normal 2 11 2 7" xfId="4541" xr:uid="{00000000-0005-0000-0000-0000D70B0000}"/>
    <cellStyle name="Normal 2 11 3" xfId="634" xr:uid="{00000000-0005-0000-0000-0000D80B0000}"/>
    <cellStyle name="Normal 2 11 3 2" xfId="635" xr:uid="{00000000-0005-0000-0000-0000D90B0000}"/>
    <cellStyle name="Normal 2 11 3 2 2" xfId="636" xr:uid="{00000000-0005-0000-0000-0000DA0B0000}"/>
    <cellStyle name="Normal 2 11 3 2 2 2" xfId="4542" xr:uid="{00000000-0005-0000-0000-0000DB0B0000}"/>
    <cellStyle name="Normal 2 11 3 2 2 2 2" xfId="4543" xr:uid="{00000000-0005-0000-0000-0000DC0B0000}"/>
    <cellStyle name="Normal 2 11 3 2 2 3" xfId="4544" xr:uid="{00000000-0005-0000-0000-0000DD0B0000}"/>
    <cellStyle name="Normal 2 11 3 2 2 4" xfId="4545" xr:uid="{00000000-0005-0000-0000-0000DE0B0000}"/>
    <cellStyle name="Normal 2 11 3 2 3" xfId="4546" xr:uid="{00000000-0005-0000-0000-0000DF0B0000}"/>
    <cellStyle name="Normal 2 11 3 2 3 2" xfId="4547" xr:uid="{00000000-0005-0000-0000-0000E00B0000}"/>
    <cellStyle name="Normal 2 11 3 2 4" xfId="4548" xr:uid="{00000000-0005-0000-0000-0000E10B0000}"/>
    <cellStyle name="Normal 2 11 3 2 5" xfId="4549" xr:uid="{00000000-0005-0000-0000-0000E20B0000}"/>
    <cellStyle name="Normal 2 11 3 3" xfId="637" xr:uid="{00000000-0005-0000-0000-0000E30B0000}"/>
    <cellStyle name="Normal 2 11 3 3 2" xfId="4550" xr:uid="{00000000-0005-0000-0000-0000E40B0000}"/>
    <cellStyle name="Normal 2 11 3 3 2 2" xfId="4551" xr:uid="{00000000-0005-0000-0000-0000E50B0000}"/>
    <cellStyle name="Normal 2 11 3 3 3" xfId="4552" xr:uid="{00000000-0005-0000-0000-0000E60B0000}"/>
    <cellStyle name="Normal 2 11 3 3 4" xfId="4553" xr:uid="{00000000-0005-0000-0000-0000E70B0000}"/>
    <cellStyle name="Normal 2 11 3 4" xfId="4554" xr:uid="{00000000-0005-0000-0000-0000E80B0000}"/>
    <cellStyle name="Normal 2 11 3 4 2" xfId="4555" xr:uid="{00000000-0005-0000-0000-0000E90B0000}"/>
    <cellStyle name="Normal 2 11 3 5" xfId="4556" xr:uid="{00000000-0005-0000-0000-0000EA0B0000}"/>
    <cellStyle name="Normal 2 11 3 6" xfId="4557" xr:uid="{00000000-0005-0000-0000-0000EB0B0000}"/>
    <cellStyle name="Normal 2 11 4" xfId="638" xr:uid="{00000000-0005-0000-0000-0000EC0B0000}"/>
    <cellStyle name="Normal 2 11 4 2" xfId="639" xr:uid="{00000000-0005-0000-0000-0000ED0B0000}"/>
    <cellStyle name="Normal 2 11 4 2 2" xfId="4558" xr:uid="{00000000-0005-0000-0000-0000EE0B0000}"/>
    <cellStyle name="Normal 2 11 4 2 2 2" xfId="4559" xr:uid="{00000000-0005-0000-0000-0000EF0B0000}"/>
    <cellStyle name="Normal 2 11 4 2 3" xfId="4560" xr:uid="{00000000-0005-0000-0000-0000F00B0000}"/>
    <cellStyle name="Normal 2 11 4 2 4" xfId="4561" xr:uid="{00000000-0005-0000-0000-0000F10B0000}"/>
    <cellStyle name="Normal 2 11 4 3" xfId="4562" xr:uid="{00000000-0005-0000-0000-0000F20B0000}"/>
    <cellStyle name="Normal 2 11 4 3 2" xfId="4563" xr:uid="{00000000-0005-0000-0000-0000F30B0000}"/>
    <cellStyle name="Normal 2 11 4 4" xfId="4564" xr:uid="{00000000-0005-0000-0000-0000F40B0000}"/>
    <cellStyle name="Normal 2 11 4 5" xfId="4565" xr:uid="{00000000-0005-0000-0000-0000F50B0000}"/>
    <cellStyle name="Normal 2 11 5" xfId="640" xr:uid="{00000000-0005-0000-0000-0000F60B0000}"/>
    <cellStyle name="Normal 2 11 5 2" xfId="4566" xr:uid="{00000000-0005-0000-0000-0000F70B0000}"/>
    <cellStyle name="Normal 2 11 5 2 2" xfId="4567" xr:uid="{00000000-0005-0000-0000-0000F80B0000}"/>
    <cellStyle name="Normal 2 11 5 3" xfId="4568" xr:uid="{00000000-0005-0000-0000-0000F90B0000}"/>
    <cellStyle name="Normal 2 11 5 4" xfId="4569" xr:uid="{00000000-0005-0000-0000-0000FA0B0000}"/>
    <cellStyle name="Normal 2 11 6" xfId="4570" xr:uid="{00000000-0005-0000-0000-0000FB0B0000}"/>
    <cellStyle name="Normal 2 11 6 2" xfId="4571" xr:uid="{00000000-0005-0000-0000-0000FC0B0000}"/>
    <cellStyle name="Normal 2 11 7" xfId="4572" xr:uid="{00000000-0005-0000-0000-0000FD0B0000}"/>
    <cellStyle name="Normal 2 11 8" xfId="4573" xr:uid="{00000000-0005-0000-0000-0000FE0B0000}"/>
    <cellStyle name="Normal 2 12" xfId="641" xr:uid="{00000000-0005-0000-0000-0000FF0B0000}"/>
    <cellStyle name="Normal 2 12 2" xfId="642" xr:uid="{00000000-0005-0000-0000-0000000C0000}"/>
    <cellStyle name="Normal 2 12 2 2" xfId="643" xr:uid="{00000000-0005-0000-0000-0000010C0000}"/>
    <cellStyle name="Normal 2 12 2 2 2" xfId="644" xr:uid="{00000000-0005-0000-0000-0000020C0000}"/>
    <cellStyle name="Normal 2 12 2 2 2 2" xfId="645" xr:uid="{00000000-0005-0000-0000-0000030C0000}"/>
    <cellStyle name="Normal 2 12 2 2 2 2 2" xfId="4574" xr:uid="{00000000-0005-0000-0000-0000040C0000}"/>
    <cellStyle name="Normal 2 12 2 2 2 2 2 2" xfId="4575" xr:uid="{00000000-0005-0000-0000-0000050C0000}"/>
    <cellStyle name="Normal 2 12 2 2 2 2 3" xfId="4576" xr:uid="{00000000-0005-0000-0000-0000060C0000}"/>
    <cellStyle name="Normal 2 12 2 2 2 2 4" xfId="4577" xr:uid="{00000000-0005-0000-0000-0000070C0000}"/>
    <cellStyle name="Normal 2 12 2 2 2 3" xfId="4578" xr:uid="{00000000-0005-0000-0000-0000080C0000}"/>
    <cellStyle name="Normal 2 12 2 2 2 3 2" xfId="4579" xr:uid="{00000000-0005-0000-0000-0000090C0000}"/>
    <cellStyle name="Normal 2 12 2 2 2 4" xfId="4580" xr:uid="{00000000-0005-0000-0000-00000A0C0000}"/>
    <cellStyle name="Normal 2 12 2 2 2 5" xfId="4581" xr:uid="{00000000-0005-0000-0000-00000B0C0000}"/>
    <cellStyle name="Normal 2 12 2 2 3" xfId="646" xr:uid="{00000000-0005-0000-0000-00000C0C0000}"/>
    <cellStyle name="Normal 2 12 2 2 3 2" xfId="4582" xr:uid="{00000000-0005-0000-0000-00000D0C0000}"/>
    <cellStyle name="Normal 2 12 2 2 3 2 2" xfId="4583" xr:uid="{00000000-0005-0000-0000-00000E0C0000}"/>
    <cellStyle name="Normal 2 12 2 2 3 3" xfId="4584" xr:uid="{00000000-0005-0000-0000-00000F0C0000}"/>
    <cellStyle name="Normal 2 12 2 2 3 4" xfId="4585" xr:uid="{00000000-0005-0000-0000-0000100C0000}"/>
    <cellStyle name="Normal 2 12 2 2 4" xfId="4586" xr:uid="{00000000-0005-0000-0000-0000110C0000}"/>
    <cellStyle name="Normal 2 12 2 2 4 2" xfId="4587" xr:uid="{00000000-0005-0000-0000-0000120C0000}"/>
    <cellStyle name="Normal 2 12 2 2 5" xfId="4588" xr:uid="{00000000-0005-0000-0000-0000130C0000}"/>
    <cellStyle name="Normal 2 12 2 2 6" xfId="4589" xr:uid="{00000000-0005-0000-0000-0000140C0000}"/>
    <cellStyle name="Normal 2 12 2 3" xfId="647" xr:uid="{00000000-0005-0000-0000-0000150C0000}"/>
    <cellStyle name="Normal 2 12 2 3 2" xfId="648" xr:uid="{00000000-0005-0000-0000-0000160C0000}"/>
    <cellStyle name="Normal 2 12 2 3 2 2" xfId="4590" xr:uid="{00000000-0005-0000-0000-0000170C0000}"/>
    <cellStyle name="Normal 2 12 2 3 2 2 2" xfId="4591" xr:uid="{00000000-0005-0000-0000-0000180C0000}"/>
    <cellStyle name="Normal 2 12 2 3 2 3" xfId="4592" xr:uid="{00000000-0005-0000-0000-0000190C0000}"/>
    <cellStyle name="Normal 2 12 2 3 2 4" xfId="4593" xr:uid="{00000000-0005-0000-0000-00001A0C0000}"/>
    <cellStyle name="Normal 2 12 2 3 3" xfId="4594" xr:uid="{00000000-0005-0000-0000-00001B0C0000}"/>
    <cellStyle name="Normal 2 12 2 3 3 2" xfId="4595" xr:uid="{00000000-0005-0000-0000-00001C0C0000}"/>
    <cellStyle name="Normal 2 12 2 3 4" xfId="4596" xr:uid="{00000000-0005-0000-0000-00001D0C0000}"/>
    <cellStyle name="Normal 2 12 2 3 5" xfId="4597" xr:uid="{00000000-0005-0000-0000-00001E0C0000}"/>
    <cellStyle name="Normal 2 12 2 4" xfId="649" xr:uid="{00000000-0005-0000-0000-00001F0C0000}"/>
    <cellStyle name="Normal 2 12 2 4 2" xfId="4598" xr:uid="{00000000-0005-0000-0000-0000200C0000}"/>
    <cellStyle name="Normal 2 12 2 4 2 2" xfId="4599" xr:uid="{00000000-0005-0000-0000-0000210C0000}"/>
    <cellStyle name="Normal 2 12 2 4 3" xfId="4600" xr:uid="{00000000-0005-0000-0000-0000220C0000}"/>
    <cellStyle name="Normal 2 12 2 4 4" xfId="4601" xr:uid="{00000000-0005-0000-0000-0000230C0000}"/>
    <cellStyle name="Normal 2 12 2 5" xfId="4602" xr:uid="{00000000-0005-0000-0000-0000240C0000}"/>
    <cellStyle name="Normal 2 12 2 5 2" xfId="4603" xr:uid="{00000000-0005-0000-0000-0000250C0000}"/>
    <cellStyle name="Normal 2 12 2 6" xfId="4604" xr:uid="{00000000-0005-0000-0000-0000260C0000}"/>
    <cellStyle name="Normal 2 12 2 7" xfId="4605" xr:uid="{00000000-0005-0000-0000-0000270C0000}"/>
    <cellStyle name="Normal 2 12 3" xfId="650" xr:uid="{00000000-0005-0000-0000-0000280C0000}"/>
    <cellStyle name="Normal 2 12 3 2" xfId="651" xr:uid="{00000000-0005-0000-0000-0000290C0000}"/>
    <cellStyle name="Normal 2 12 3 2 2" xfId="652" xr:uid="{00000000-0005-0000-0000-00002A0C0000}"/>
    <cellStyle name="Normal 2 12 3 2 2 2" xfId="4606" xr:uid="{00000000-0005-0000-0000-00002B0C0000}"/>
    <cellStyle name="Normal 2 12 3 2 2 2 2" xfId="4607" xr:uid="{00000000-0005-0000-0000-00002C0C0000}"/>
    <cellStyle name="Normal 2 12 3 2 2 3" xfId="4608" xr:uid="{00000000-0005-0000-0000-00002D0C0000}"/>
    <cellStyle name="Normal 2 12 3 2 2 4" xfId="4609" xr:uid="{00000000-0005-0000-0000-00002E0C0000}"/>
    <cellStyle name="Normal 2 12 3 2 3" xfId="4610" xr:uid="{00000000-0005-0000-0000-00002F0C0000}"/>
    <cellStyle name="Normal 2 12 3 2 3 2" xfId="4611" xr:uid="{00000000-0005-0000-0000-0000300C0000}"/>
    <cellStyle name="Normal 2 12 3 2 4" xfId="4612" xr:uid="{00000000-0005-0000-0000-0000310C0000}"/>
    <cellStyle name="Normal 2 12 3 2 5" xfId="4613" xr:uid="{00000000-0005-0000-0000-0000320C0000}"/>
    <cellStyle name="Normal 2 12 3 3" xfId="653" xr:uid="{00000000-0005-0000-0000-0000330C0000}"/>
    <cellStyle name="Normal 2 12 3 3 2" xfId="4614" xr:uid="{00000000-0005-0000-0000-0000340C0000}"/>
    <cellStyle name="Normal 2 12 3 3 2 2" xfId="4615" xr:uid="{00000000-0005-0000-0000-0000350C0000}"/>
    <cellStyle name="Normal 2 12 3 3 3" xfId="4616" xr:uid="{00000000-0005-0000-0000-0000360C0000}"/>
    <cellStyle name="Normal 2 12 3 3 4" xfId="4617" xr:uid="{00000000-0005-0000-0000-0000370C0000}"/>
    <cellStyle name="Normal 2 12 3 4" xfId="4618" xr:uid="{00000000-0005-0000-0000-0000380C0000}"/>
    <cellStyle name="Normal 2 12 3 4 2" xfId="4619" xr:uid="{00000000-0005-0000-0000-0000390C0000}"/>
    <cellStyle name="Normal 2 12 3 5" xfId="4620" xr:uid="{00000000-0005-0000-0000-00003A0C0000}"/>
    <cellStyle name="Normal 2 12 3 6" xfId="4621" xr:uid="{00000000-0005-0000-0000-00003B0C0000}"/>
    <cellStyle name="Normal 2 12 4" xfId="654" xr:uid="{00000000-0005-0000-0000-00003C0C0000}"/>
    <cellStyle name="Normal 2 12 4 2" xfId="655" xr:uid="{00000000-0005-0000-0000-00003D0C0000}"/>
    <cellStyle name="Normal 2 12 4 2 2" xfId="4622" xr:uid="{00000000-0005-0000-0000-00003E0C0000}"/>
    <cellStyle name="Normal 2 12 4 2 2 2" xfId="4623" xr:uid="{00000000-0005-0000-0000-00003F0C0000}"/>
    <cellStyle name="Normal 2 12 4 2 3" xfId="4624" xr:uid="{00000000-0005-0000-0000-0000400C0000}"/>
    <cellStyle name="Normal 2 12 4 2 4" xfId="4625" xr:uid="{00000000-0005-0000-0000-0000410C0000}"/>
    <cellStyle name="Normal 2 12 4 3" xfId="4626" xr:uid="{00000000-0005-0000-0000-0000420C0000}"/>
    <cellStyle name="Normal 2 12 4 3 2" xfId="4627" xr:uid="{00000000-0005-0000-0000-0000430C0000}"/>
    <cellStyle name="Normal 2 12 4 4" xfId="4628" xr:uid="{00000000-0005-0000-0000-0000440C0000}"/>
    <cellStyle name="Normal 2 12 4 5" xfId="4629" xr:uid="{00000000-0005-0000-0000-0000450C0000}"/>
    <cellStyle name="Normal 2 12 5" xfId="656" xr:uid="{00000000-0005-0000-0000-0000460C0000}"/>
    <cellStyle name="Normal 2 12 5 2" xfId="4630" xr:uid="{00000000-0005-0000-0000-0000470C0000}"/>
    <cellStyle name="Normal 2 12 5 2 2" xfId="4631" xr:uid="{00000000-0005-0000-0000-0000480C0000}"/>
    <cellStyle name="Normal 2 12 5 3" xfId="4632" xr:uid="{00000000-0005-0000-0000-0000490C0000}"/>
    <cellStyle name="Normal 2 12 5 4" xfId="4633" xr:uid="{00000000-0005-0000-0000-00004A0C0000}"/>
    <cellStyle name="Normal 2 12 6" xfId="4634" xr:uid="{00000000-0005-0000-0000-00004B0C0000}"/>
    <cellStyle name="Normal 2 12 6 2" xfId="4635" xr:uid="{00000000-0005-0000-0000-00004C0C0000}"/>
    <cellStyle name="Normal 2 12 7" xfId="4636" xr:uid="{00000000-0005-0000-0000-00004D0C0000}"/>
    <cellStyle name="Normal 2 12 8" xfId="4637" xr:uid="{00000000-0005-0000-0000-00004E0C0000}"/>
    <cellStyle name="Normal 2 13" xfId="657" xr:uid="{00000000-0005-0000-0000-00004F0C0000}"/>
    <cellStyle name="Normal 2 14" xfId="658" xr:uid="{00000000-0005-0000-0000-0000500C0000}"/>
    <cellStyle name="Normal 2 15" xfId="659" xr:uid="{00000000-0005-0000-0000-0000510C0000}"/>
    <cellStyle name="Normal 2 16" xfId="660" xr:uid="{00000000-0005-0000-0000-0000520C0000}"/>
    <cellStyle name="Normal 2 17" xfId="661" xr:uid="{00000000-0005-0000-0000-0000530C0000}"/>
    <cellStyle name="Normal 2 18" xfId="662" xr:uid="{00000000-0005-0000-0000-0000540C0000}"/>
    <cellStyle name="Normal 2 19" xfId="663" xr:uid="{00000000-0005-0000-0000-0000550C0000}"/>
    <cellStyle name="Normal 2 2" xfId="10" xr:uid="{00000000-0005-0000-0000-0000560C0000}"/>
    <cellStyle name="Normal 2 2 10" xfId="664" xr:uid="{00000000-0005-0000-0000-0000570C0000}"/>
    <cellStyle name="Normal 2 2 11" xfId="4638" xr:uid="{00000000-0005-0000-0000-0000580C0000}"/>
    <cellStyle name="Normal 2 2 11 2" xfId="4639" xr:uid="{00000000-0005-0000-0000-0000590C0000}"/>
    <cellStyle name="Normal 2 2 12" xfId="4640" xr:uid="{00000000-0005-0000-0000-00005A0C0000}"/>
    <cellStyle name="Normal 2 2 13" xfId="4641" xr:uid="{00000000-0005-0000-0000-00005B0C0000}"/>
    <cellStyle name="Normal 2 2 2" xfId="665" xr:uid="{00000000-0005-0000-0000-00005C0C0000}"/>
    <cellStyle name="Normal 2 2 2 2" xfId="666" xr:uid="{00000000-0005-0000-0000-00005D0C0000}"/>
    <cellStyle name="Normal 2 2 2 2 2" xfId="667" xr:uid="{00000000-0005-0000-0000-00005E0C0000}"/>
    <cellStyle name="Normal 2 2 2 2 2 2" xfId="668" xr:uid="{00000000-0005-0000-0000-00005F0C0000}"/>
    <cellStyle name="Normal 2 2 2 2 2 2 2" xfId="669" xr:uid="{00000000-0005-0000-0000-0000600C0000}"/>
    <cellStyle name="Normal 2 2 2 2 2 2 2 2" xfId="670" xr:uid="{00000000-0005-0000-0000-0000610C0000}"/>
    <cellStyle name="Normal 2 2 2 2 2 2 2 3" xfId="671" xr:uid="{00000000-0005-0000-0000-0000620C0000}"/>
    <cellStyle name="Normal 2 2 2 2 2 2 2 3 2" xfId="672" xr:uid="{00000000-0005-0000-0000-0000630C0000}"/>
    <cellStyle name="Normal 2 2 2 2 2 2 2 3 2 2" xfId="4642" xr:uid="{00000000-0005-0000-0000-0000640C0000}"/>
    <cellStyle name="Normal 2 2 2 2 2 2 2 3 2 2 2" xfId="4643" xr:uid="{00000000-0005-0000-0000-0000650C0000}"/>
    <cellStyle name="Normal 2 2 2 2 2 2 2 3 2 3" xfId="4644" xr:uid="{00000000-0005-0000-0000-0000660C0000}"/>
    <cellStyle name="Normal 2 2 2 2 2 2 2 3 2 4" xfId="4645" xr:uid="{00000000-0005-0000-0000-0000670C0000}"/>
    <cellStyle name="Normal 2 2 2 2 2 2 2 3 3" xfId="4646" xr:uid="{00000000-0005-0000-0000-0000680C0000}"/>
    <cellStyle name="Normal 2 2 2 2 2 2 2 3 3 2" xfId="4647" xr:uid="{00000000-0005-0000-0000-0000690C0000}"/>
    <cellStyle name="Normal 2 2 2 2 2 2 2 3 4" xfId="4648" xr:uid="{00000000-0005-0000-0000-00006A0C0000}"/>
    <cellStyle name="Normal 2 2 2 2 2 2 2 3 5" xfId="4649" xr:uid="{00000000-0005-0000-0000-00006B0C0000}"/>
    <cellStyle name="Normal 2 2 2 2 2 2 2 4" xfId="673" xr:uid="{00000000-0005-0000-0000-00006C0C0000}"/>
    <cellStyle name="Normal 2 2 2 2 2 2 2 4 2" xfId="4650" xr:uid="{00000000-0005-0000-0000-00006D0C0000}"/>
    <cellStyle name="Normal 2 2 2 2 2 2 2 4 2 2" xfId="4651" xr:uid="{00000000-0005-0000-0000-00006E0C0000}"/>
    <cellStyle name="Normal 2 2 2 2 2 2 2 4 3" xfId="4652" xr:uid="{00000000-0005-0000-0000-00006F0C0000}"/>
    <cellStyle name="Normal 2 2 2 2 2 2 2 4 4" xfId="4653" xr:uid="{00000000-0005-0000-0000-0000700C0000}"/>
    <cellStyle name="Normal 2 2 2 2 2 2 2 5" xfId="4654" xr:uid="{00000000-0005-0000-0000-0000710C0000}"/>
    <cellStyle name="Normal 2 2 2 2 2 2 2 5 2" xfId="4655" xr:uid="{00000000-0005-0000-0000-0000720C0000}"/>
    <cellStyle name="Normal 2 2 2 2 2 2 2 6" xfId="4656" xr:uid="{00000000-0005-0000-0000-0000730C0000}"/>
    <cellStyle name="Normal 2 2 2 2 2 2 2 7" xfId="4657" xr:uid="{00000000-0005-0000-0000-0000740C0000}"/>
    <cellStyle name="Normal 2 2 2 2 2 2 3" xfId="674" xr:uid="{00000000-0005-0000-0000-0000750C0000}"/>
    <cellStyle name="Normal 2 2 2 2 2 3" xfId="675" xr:uid="{00000000-0005-0000-0000-0000760C0000}"/>
    <cellStyle name="Normal 2 2 2 2 2 3 2" xfId="676" xr:uid="{00000000-0005-0000-0000-0000770C0000}"/>
    <cellStyle name="Normal 2 2 2 2 2 3 2 2" xfId="677" xr:uid="{00000000-0005-0000-0000-0000780C0000}"/>
    <cellStyle name="Normal 2 2 2 2 2 3 2 2 2" xfId="678" xr:uid="{00000000-0005-0000-0000-0000790C0000}"/>
    <cellStyle name="Normal 2 2 2 2 2 3 2 2 2 2" xfId="4658" xr:uid="{00000000-0005-0000-0000-00007A0C0000}"/>
    <cellStyle name="Normal 2 2 2 2 2 3 2 2 2 2 2" xfId="4659" xr:uid="{00000000-0005-0000-0000-00007B0C0000}"/>
    <cellStyle name="Normal 2 2 2 2 2 3 2 2 2 3" xfId="4660" xr:uid="{00000000-0005-0000-0000-00007C0C0000}"/>
    <cellStyle name="Normal 2 2 2 2 2 3 2 2 2 4" xfId="4661" xr:uid="{00000000-0005-0000-0000-00007D0C0000}"/>
    <cellStyle name="Normal 2 2 2 2 2 3 2 2 3" xfId="4662" xr:uid="{00000000-0005-0000-0000-00007E0C0000}"/>
    <cellStyle name="Normal 2 2 2 2 2 3 2 2 3 2" xfId="4663" xr:uid="{00000000-0005-0000-0000-00007F0C0000}"/>
    <cellStyle name="Normal 2 2 2 2 2 3 2 2 4" xfId="4664" xr:uid="{00000000-0005-0000-0000-0000800C0000}"/>
    <cellStyle name="Normal 2 2 2 2 2 3 2 2 5" xfId="4665" xr:uid="{00000000-0005-0000-0000-0000810C0000}"/>
    <cellStyle name="Normal 2 2 2 2 2 3 2 3" xfId="679" xr:uid="{00000000-0005-0000-0000-0000820C0000}"/>
    <cellStyle name="Normal 2 2 2 2 2 3 2 3 2" xfId="4666" xr:uid="{00000000-0005-0000-0000-0000830C0000}"/>
    <cellStyle name="Normal 2 2 2 2 2 3 2 3 2 2" xfId="4667" xr:uid="{00000000-0005-0000-0000-0000840C0000}"/>
    <cellStyle name="Normal 2 2 2 2 2 3 2 3 3" xfId="4668" xr:uid="{00000000-0005-0000-0000-0000850C0000}"/>
    <cellStyle name="Normal 2 2 2 2 2 3 2 3 4" xfId="4669" xr:uid="{00000000-0005-0000-0000-0000860C0000}"/>
    <cellStyle name="Normal 2 2 2 2 2 3 2 4" xfId="4670" xr:uid="{00000000-0005-0000-0000-0000870C0000}"/>
    <cellStyle name="Normal 2 2 2 2 2 3 2 4 2" xfId="4671" xr:uid="{00000000-0005-0000-0000-0000880C0000}"/>
    <cellStyle name="Normal 2 2 2 2 2 3 2 5" xfId="4672" xr:uid="{00000000-0005-0000-0000-0000890C0000}"/>
    <cellStyle name="Normal 2 2 2 2 2 3 2 6" xfId="4673" xr:uid="{00000000-0005-0000-0000-00008A0C0000}"/>
    <cellStyle name="Normal 2 2 2 2 2 4" xfId="680" xr:uid="{00000000-0005-0000-0000-00008B0C0000}"/>
    <cellStyle name="Normal 2 2 2 2 2 4 2" xfId="681" xr:uid="{00000000-0005-0000-0000-00008C0C0000}"/>
    <cellStyle name="Normal 2 2 2 2 2 4 2 2" xfId="4674" xr:uid="{00000000-0005-0000-0000-00008D0C0000}"/>
    <cellStyle name="Normal 2 2 2 2 2 4 2 2 2" xfId="4675" xr:uid="{00000000-0005-0000-0000-00008E0C0000}"/>
    <cellStyle name="Normal 2 2 2 2 2 4 2 3" xfId="4676" xr:uid="{00000000-0005-0000-0000-00008F0C0000}"/>
    <cellStyle name="Normal 2 2 2 2 2 4 2 4" xfId="4677" xr:uid="{00000000-0005-0000-0000-0000900C0000}"/>
    <cellStyle name="Normal 2 2 2 2 2 4 3" xfId="4678" xr:uid="{00000000-0005-0000-0000-0000910C0000}"/>
    <cellStyle name="Normal 2 2 2 2 2 4 3 2" xfId="4679" xr:uid="{00000000-0005-0000-0000-0000920C0000}"/>
    <cellStyle name="Normal 2 2 2 2 2 4 4" xfId="4680" xr:uid="{00000000-0005-0000-0000-0000930C0000}"/>
    <cellStyle name="Normal 2 2 2 2 2 4 5" xfId="4681" xr:uid="{00000000-0005-0000-0000-0000940C0000}"/>
    <cellStyle name="Normal 2 2 2 2 2 5" xfId="682" xr:uid="{00000000-0005-0000-0000-0000950C0000}"/>
    <cellStyle name="Normal 2 2 2 2 2 5 2" xfId="4682" xr:uid="{00000000-0005-0000-0000-0000960C0000}"/>
    <cellStyle name="Normal 2 2 2 2 2 5 2 2" xfId="4683" xr:uid="{00000000-0005-0000-0000-0000970C0000}"/>
    <cellStyle name="Normal 2 2 2 2 2 5 3" xfId="4684" xr:uid="{00000000-0005-0000-0000-0000980C0000}"/>
    <cellStyle name="Normal 2 2 2 2 2 5 4" xfId="4685" xr:uid="{00000000-0005-0000-0000-0000990C0000}"/>
    <cellStyle name="Normal 2 2 2 2 2 6" xfId="4686" xr:uid="{00000000-0005-0000-0000-00009A0C0000}"/>
    <cellStyle name="Normal 2 2 2 2 2 6 2" xfId="4687" xr:uid="{00000000-0005-0000-0000-00009B0C0000}"/>
    <cellStyle name="Normal 2 2 2 2 2 7" xfId="4688" xr:uid="{00000000-0005-0000-0000-00009C0C0000}"/>
    <cellStyle name="Normal 2 2 2 2 2 8" xfId="4689" xr:uid="{00000000-0005-0000-0000-00009D0C0000}"/>
    <cellStyle name="Normal 2 2 2 2 3" xfId="683" xr:uid="{00000000-0005-0000-0000-00009E0C0000}"/>
    <cellStyle name="Normal 2 2 2 2 3 2" xfId="684" xr:uid="{00000000-0005-0000-0000-00009F0C0000}"/>
    <cellStyle name="Normal 2 2 2 2 3 3" xfId="685" xr:uid="{00000000-0005-0000-0000-0000A00C0000}"/>
    <cellStyle name="Normal 2 2 2 2 3 3 2" xfId="686" xr:uid="{00000000-0005-0000-0000-0000A10C0000}"/>
    <cellStyle name="Normal 2 2 2 2 3 3 2 2" xfId="4690" xr:uid="{00000000-0005-0000-0000-0000A20C0000}"/>
    <cellStyle name="Normal 2 2 2 2 3 3 2 2 2" xfId="4691" xr:uid="{00000000-0005-0000-0000-0000A30C0000}"/>
    <cellStyle name="Normal 2 2 2 2 3 3 2 3" xfId="4692" xr:uid="{00000000-0005-0000-0000-0000A40C0000}"/>
    <cellStyle name="Normal 2 2 2 2 3 3 2 4" xfId="4693" xr:uid="{00000000-0005-0000-0000-0000A50C0000}"/>
    <cellStyle name="Normal 2 2 2 2 3 3 3" xfId="4694" xr:uid="{00000000-0005-0000-0000-0000A60C0000}"/>
    <cellStyle name="Normal 2 2 2 2 3 3 3 2" xfId="4695" xr:uid="{00000000-0005-0000-0000-0000A70C0000}"/>
    <cellStyle name="Normal 2 2 2 2 3 3 4" xfId="4696" xr:uid="{00000000-0005-0000-0000-0000A80C0000}"/>
    <cellStyle name="Normal 2 2 2 2 3 3 5" xfId="4697" xr:uid="{00000000-0005-0000-0000-0000A90C0000}"/>
    <cellStyle name="Normal 2 2 2 2 3 4" xfId="687" xr:uid="{00000000-0005-0000-0000-0000AA0C0000}"/>
    <cellStyle name="Normal 2 2 2 2 3 4 2" xfId="4698" xr:uid="{00000000-0005-0000-0000-0000AB0C0000}"/>
    <cellStyle name="Normal 2 2 2 2 3 4 2 2" xfId="4699" xr:uid="{00000000-0005-0000-0000-0000AC0C0000}"/>
    <cellStyle name="Normal 2 2 2 2 3 4 3" xfId="4700" xr:uid="{00000000-0005-0000-0000-0000AD0C0000}"/>
    <cellStyle name="Normal 2 2 2 2 3 4 4" xfId="4701" xr:uid="{00000000-0005-0000-0000-0000AE0C0000}"/>
    <cellStyle name="Normal 2 2 2 2 3 5" xfId="4702" xr:uid="{00000000-0005-0000-0000-0000AF0C0000}"/>
    <cellStyle name="Normal 2 2 2 2 3 5 2" xfId="4703" xr:uid="{00000000-0005-0000-0000-0000B00C0000}"/>
    <cellStyle name="Normal 2 2 2 2 3 6" xfId="4704" xr:uid="{00000000-0005-0000-0000-0000B10C0000}"/>
    <cellStyle name="Normal 2 2 2 2 3 7" xfId="4705" xr:uid="{00000000-0005-0000-0000-0000B20C0000}"/>
    <cellStyle name="Normal 2 2 2 3" xfId="688" xr:uid="{00000000-0005-0000-0000-0000B30C0000}"/>
    <cellStyle name="Normal 2 2 2 4" xfId="689" xr:uid="{00000000-0005-0000-0000-0000B40C0000}"/>
    <cellStyle name="Normal 2 2 2 4 2" xfId="690" xr:uid="{00000000-0005-0000-0000-0000B50C0000}"/>
    <cellStyle name="Normal 2 2 2 4 2 2" xfId="691" xr:uid="{00000000-0005-0000-0000-0000B60C0000}"/>
    <cellStyle name="Normal 2 2 2 4 2 2 2" xfId="692" xr:uid="{00000000-0005-0000-0000-0000B70C0000}"/>
    <cellStyle name="Normal 2 2 2 4 2 2 2 2" xfId="4706" xr:uid="{00000000-0005-0000-0000-0000B80C0000}"/>
    <cellStyle name="Normal 2 2 2 4 2 2 2 2 2" xfId="4707" xr:uid="{00000000-0005-0000-0000-0000B90C0000}"/>
    <cellStyle name="Normal 2 2 2 4 2 2 2 3" xfId="4708" xr:uid="{00000000-0005-0000-0000-0000BA0C0000}"/>
    <cellStyle name="Normal 2 2 2 4 2 2 2 4" xfId="4709" xr:uid="{00000000-0005-0000-0000-0000BB0C0000}"/>
    <cellStyle name="Normal 2 2 2 4 2 2 3" xfId="4710" xr:uid="{00000000-0005-0000-0000-0000BC0C0000}"/>
    <cellStyle name="Normal 2 2 2 4 2 2 3 2" xfId="4711" xr:uid="{00000000-0005-0000-0000-0000BD0C0000}"/>
    <cellStyle name="Normal 2 2 2 4 2 2 4" xfId="4712" xr:uid="{00000000-0005-0000-0000-0000BE0C0000}"/>
    <cellStyle name="Normal 2 2 2 4 2 2 5" xfId="4713" xr:uid="{00000000-0005-0000-0000-0000BF0C0000}"/>
    <cellStyle name="Normal 2 2 2 4 2 3" xfId="693" xr:uid="{00000000-0005-0000-0000-0000C00C0000}"/>
    <cellStyle name="Normal 2 2 2 4 2 3 2" xfId="4714" xr:uid="{00000000-0005-0000-0000-0000C10C0000}"/>
    <cellStyle name="Normal 2 2 2 4 2 3 2 2" xfId="4715" xr:uid="{00000000-0005-0000-0000-0000C20C0000}"/>
    <cellStyle name="Normal 2 2 2 4 2 3 3" xfId="4716" xr:uid="{00000000-0005-0000-0000-0000C30C0000}"/>
    <cellStyle name="Normal 2 2 2 4 2 3 4" xfId="4717" xr:uid="{00000000-0005-0000-0000-0000C40C0000}"/>
    <cellStyle name="Normal 2 2 2 4 2 4" xfId="4718" xr:uid="{00000000-0005-0000-0000-0000C50C0000}"/>
    <cellStyle name="Normal 2 2 2 4 2 4 2" xfId="4719" xr:uid="{00000000-0005-0000-0000-0000C60C0000}"/>
    <cellStyle name="Normal 2 2 2 4 2 5" xfId="4720" xr:uid="{00000000-0005-0000-0000-0000C70C0000}"/>
    <cellStyle name="Normal 2 2 2 4 2 6" xfId="4721" xr:uid="{00000000-0005-0000-0000-0000C80C0000}"/>
    <cellStyle name="Normal 2 2 2 5" xfId="694" xr:uid="{00000000-0005-0000-0000-0000C90C0000}"/>
    <cellStyle name="Normal 2 2 2 5 2" xfId="695" xr:uid="{00000000-0005-0000-0000-0000CA0C0000}"/>
    <cellStyle name="Normal 2 2 2 5 2 2" xfId="4722" xr:uid="{00000000-0005-0000-0000-0000CB0C0000}"/>
    <cellStyle name="Normal 2 2 2 5 2 2 2" xfId="4723" xr:uid="{00000000-0005-0000-0000-0000CC0C0000}"/>
    <cellStyle name="Normal 2 2 2 5 2 3" xfId="4724" xr:uid="{00000000-0005-0000-0000-0000CD0C0000}"/>
    <cellStyle name="Normal 2 2 2 5 2 4" xfId="4725" xr:uid="{00000000-0005-0000-0000-0000CE0C0000}"/>
    <cellStyle name="Normal 2 2 2 5 3" xfId="4726" xr:uid="{00000000-0005-0000-0000-0000CF0C0000}"/>
    <cellStyle name="Normal 2 2 2 5 3 2" xfId="4727" xr:uid="{00000000-0005-0000-0000-0000D00C0000}"/>
    <cellStyle name="Normal 2 2 2 5 4" xfId="4728" xr:uid="{00000000-0005-0000-0000-0000D10C0000}"/>
    <cellStyle name="Normal 2 2 2 5 5" xfId="4729" xr:uid="{00000000-0005-0000-0000-0000D20C0000}"/>
    <cellStyle name="Normal 2 2 2 6" xfId="696" xr:uid="{00000000-0005-0000-0000-0000D30C0000}"/>
    <cellStyle name="Normal 2 2 2 6 2" xfId="4730" xr:uid="{00000000-0005-0000-0000-0000D40C0000}"/>
    <cellStyle name="Normal 2 2 2 6 2 2" xfId="4731" xr:uid="{00000000-0005-0000-0000-0000D50C0000}"/>
    <cellStyle name="Normal 2 2 2 6 3" xfId="4732" xr:uid="{00000000-0005-0000-0000-0000D60C0000}"/>
    <cellStyle name="Normal 2 2 2 6 4" xfId="4733" xr:uid="{00000000-0005-0000-0000-0000D70C0000}"/>
    <cellStyle name="Normal 2 2 2 7" xfId="4734" xr:uid="{00000000-0005-0000-0000-0000D80C0000}"/>
    <cellStyle name="Normal 2 2 2 7 2" xfId="4735" xr:uid="{00000000-0005-0000-0000-0000D90C0000}"/>
    <cellStyle name="Normal 2 2 2 8" xfId="4736" xr:uid="{00000000-0005-0000-0000-0000DA0C0000}"/>
    <cellStyle name="Normal 2 2 2 9" xfId="4737" xr:uid="{00000000-0005-0000-0000-0000DB0C0000}"/>
    <cellStyle name="Normal 2 2 3" xfId="697" xr:uid="{00000000-0005-0000-0000-0000DC0C0000}"/>
    <cellStyle name="Normal 2 2 4" xfId="698" xr:uid="{00000000-0005-0000-0000-0000DD0C0000}"/>
    <cellStyle name="Normal 2 2 5" xfId="699" xr:uid="{00000000-0005-0000-0000-0000DE0C0000}"/>
    <cellStyle name="Normal 2 2 6" xfId="700" xr:uid="{00000000-0005-0000-0000-0000DF0C0000}"/>
    <cellStyle name="Normal 2 2 7" xfId="701" xr:uid="{00000000-0005-0000-0000-0000E00C0000}"/>
    <cellStyle name="Normal 2 2 8" xfId="702" xr:uid="{00000000-0005-0000-0000-0000E10C0000}"/>
    <cellStyle name="Normal 2 2 8 2" xfId="703" xr:uid="{00000000-0005-0000-0000-0000E20C0000}"/>
    <cellStyle name="Normal 2 2 8 2 2" xfId="704" xr:uid="{00000000-0005-0000-0000-0000E30C0000}"/>
    <cellStyle name="Normal 2 2 8 2 2 2" xfId="705" xr:uid="{00000000-0005-0000-0000-0000E40C0000}"/>
    <cellStyle name="Normal 2 2 8 2 2 2 2" xfId="4738" xr:uid="{00000000-0005-0000-0000-0000E50C0000}"/>
    <cellStyle name="Normal 2 2 8 2 2 2 2 2" xfId="4739" xr:uid="{00000000-0005-0000-0000-0000E60C0000}"/>
    <cellStyle name="Normal 2 2 8 2 2 2 3" xfId="4740" xr:uid="{00000000-0005-0000-0000-0000E70C0000}"/>
    <cellStyle name="Normal 2 2 8 2 2 2 4" xfId="4741" xr:uid="{00000000-0005-0000-0000-0000E80C0000}"/>
    <cellStyle name="Normal 2 2 8 2 2 3" xfId="4742" xr:uid="{00000000-0005-0000-0000-0000E90C0000}"/>
    <cellStyle name="Normal 2 2 8 2 2 3 2" xfId="4743" xr:uid="{00000000-0005-0000-0000-0000EA0C0000}"/>
    <cellStyle name="Normal 2 2 8 2 2 4" xfId="4744" xr:uid="{00000000-0005-0000-0000-0000EB0C0000}"/>
    <cellStyle name="Normal 2 2 8 2 2 5" xfId="4745" xr:uid="{00000000-0005-0000-0000-0000EC0C0000}"/>
    <cellStyle name="Normal 2 2 8 2 3" xfId="706" xr:uid="{00000000-0005-0000-0000-0000ED0C0000}"/>
    <cellStyle name="Normal 2 2 8 2 3 2" xfId="4746" xr:uid="{00000000-0005-0000-0000-0000EE0C0000}"/>
    <cellStyle name="Normal 2 2 8 2 3 2 2" xfId="4747" xr:uid="{00000000-0005-0000-0000-0000EF0C0000}"/>
    <cellStyle name="Normal 2 2 8 2 3 3" xfId="4748" xr:uid="{00000000-0005-0000-0000-0000F00C0000}"/>
    <cellStyle name="Normal 2 2 8 2 3 4" xfId="4749" xr:uid="{00000000-0005-0000-0000-0000F10C0000}"/>
    <cellStyle name="Normal 2 2 8 2 4" xfId="4750" xr:uid="{00000000-0005-0000-0000-0000F20C0000}"/>
    <cellStyle name="Normal 2 2 8 2 4 2" xfId="4751" xr:uid="{00000000-0005-0000-0000-0000F30C0000}"/>
    <cellStyle name="Normal 2 2 8 2 5" xfId="4752" xr:uid="{00000000-0005-0000-0000-0000F40C0000}"/>
    <cellStyle name="Normal 2 2 8 2 6" xfId="4753" xr:uid="{00000000-0005-0000-0000-0000F50C0000}"/>
    <cellStyle name="Normal 2 2 8 3" xfId="707" xr:uid="{00000000-0005-0000-0000-0000F60C0000}"/>
    <cellStyle name="Normal 2 2 8 3 2" xfId="708" xr:uid="{00000000-0005-0000-0000-0000F70C0000}"/>
    <cellStyle name="Normal 2 2 8 3 2 2" xfId="4754" xr:uid="{00000000-0005-0000-0000-0000F80C0000}"/>
    <cellStyle name="Normal 2 2 8 3 2 2 2" xfId="4755" xr:uid="{00000000-0005-0000-0000-0000F90C0000}"/>
    <cellStyle name="Normal 2 2 8 3 2 3" xfId="4756" xr:uid="{00000000-0005-0000-0000-0000FA0C0000}"/>
    <cellStyle name="Normal 2 2 8 3 2 4" xfId="4757" xr:uid="{00000000-0005-0000-0000-0000FB0C0000}"/>
    <cellStyle name="Normal 2 2 8 3 3" xfId="4758" xr:uid="{00000000-0005-0000-0000-0000FC0C0000}"/>
    <cellStyle name="Normal 2 2 8 3 3 2" xfId="4759" xr:uid="{00000000-0005-0000-0000-0000FD0C0000}"/>
    <cellStyle name="Normal 2 2 8 3 4" xfId="4760" xr:uid="{00000000-0005-0000-0000-0000FE0C0000}"/>
    <cellStyle name="Normal 2 2 8 3 5" xfId="4761" xr:uid="{00000000-0005-0000-0000-0000FF0C0000}"/>
    <cellStyle name="Normal 2 2 8 4" xfId="709" xr:uid="{00000000-0005-0000-0000-0000000D0000}"/>
    <cellStyle name="Normal 2 2 8 4 2" xfId="4762" xr:uid="{00000000-0005-0000-0000-0000010D0000}"/>
    <cellStyle name="Normal 2 2 8 4 2 2" xfId="4763" xr:uid="{00000000-0005-0000-0000-0000020D0000}"/>
    <cellStyle name="Normal 2 2 8 4 3" xfId="4764" xr:uid="{00000000-0005-0000-0000-0000030D0000}"/>
    <cellStyle name="Normal 2 2 8 4 4" xfId="4765" xr:uid="{00000000-0005-0000-0000-0000040D0000}"/>
    <cellStyle name="Normal 2 2 8 5" xfId="4766" xr:uid="{00000000-0005-0000-0000-0000050D0000}"/>
    <cellStyle name="Normal 2 2 8 5 2" xfId="4767" xr:uid="{00000000-0005-0000-0000-0000060D0000}"/>
    <cellStyle name="Normal 2 2 8 6" xfId="4768" xr:uid="{00000000-0005-0000-0000-0000070D0000}"/>
    <cellStyle name="Normal 2 2 8 7" xfId="4769" xr:uid="{00000000-0005-0000-0000-0000080D0000}"/>
    <cellStyle name="Normal 2 2 9" xfId="710" xr:uid="{00000000-0005-0000-0000-0000090D0000}"/>
    <cellStyle name="Normal 2 2 9 2" xfId="711" xr:uid="{00000000-0005-0000-0000-00000A0D0000}"/>
    <cellStyle name="Normal 2 2 9 3" xfId="712" xr:uid="{00000000-0005-0000-0000-00000B0D0000}"/>
    <cellStyle name="Normal 2 2 9 3 2" xfId="713" xr:uid="{00000000-0005-0000-0000-00000C0D0000}"/>
    <cellStyle name="Normal 2 2 9 3 2 2" xfId="4770" xr:uid="{00000000-0005-0000-0000-00000D0D0000}"/>
    <cellStyle name="Normal 2 2 9 3 2 2 2" xfId="4771" xr:uid="{00000000-0005-0000-0000-00000E0D0000}"/>
    <cellStyle name="Normal 2 2 9 3 2 3" xfId="4772" xr:uid="{00000000-0005-0000-0000-00000F0D0000}"/>
    <cellStyle name="Normal 2 2 9 3 2 4" xfId="4773" xr:uid="{00000000-0005-0000-0000-0000100D0000}"/>
    <cellStyle name="Normal 2 2 9 3 3" xfId="4774" xr:uid="{00000000-0005-0000-0000-0000110D0000}"/>
    <cellStyle name="Normal 2 2 9 3 3 2" xfId="4775" xr:uid="{00000000-0005-0000-0000-0000120D0000}"/>
    <cellStyle name="Normal 2 2 9 3 4" xfId="4776" xr:uid="{00000000-0005-0000-0000-0000130D0000}"/>
    <cellStyle name="Normal 2 2 9 3 5" xfId="4777" xr:uid="{00000000-0005-0000-0000-0000140D0000}"/>
    <cellStyle name="Normal 2 2 9 4" xfId="714" xr:uid="{00000000-0005-0000-0000-0000150D0000}"/>
    <cellStyle name="Normal 2 2 9 4 2" xfId="4778" xr:uid="{00000000-0005-0000-0000-0000160D0000}"/>
    <cellStyle name="Normal 2 2 9 4 2 2" xfId="4779" xr:uid="{00000000-0005-0000-0000-0000170D0000}"/>
    <cellStyle name="Normal 2 2 9 4 3" xfId="4780" xr:uid="{00000000-0005-0000-0000-0000180D0000}"/>
    <cellStyle name="Normal 2 2 9 4 4" xfId="4781" xr:uid="{00000000-0005-0000-0000-0000190D0000}"/>
    <cellStyle name="Normal 2 2 9 5" xfId="4782" xr:uid="{00000000-0005-0000-0000-00001A0D0000}"/>
    <cellStyle name="Normal 2 2 9 5 2" xfId="4783" xr:uid="{00000000-0005-0000-0000-00001B0D0000}"/>
    <cellStyle name="Normal 2 2 9 6" xfId="4784" xr:uid="{00000000-0005-0000-0000-00001C0D0000}"/>
    <cellStyle name="Normal 2 2 9 7" xfId="4785" xr:uid="{00000000-0005-0000-0000-00001D0D0000}"/>
    <cellStyle name="Normal 2 20" xfId="715" xr:uid="{00000000-0005-0000-0000-00001E0D0000}"/>
    <cellStyle name="Normal 2 21" xfId="716" xr:uid="{00000000-0005-0000-0000-00001F0D0000}"/>
    <cellStyle name="Normal 2 22" xfId="717" xr:uid="{00000000-0005-0000-0000-0000200D0000}"/>
    <cellStyle name="Normal 2 23" xfId="718" xr:uid="{00000000-0005-0000-0000-0000210D0000}"/>
    <cellStyle name="Normal 2 23 2" xfId="719" xr:uid="{00000000-0005-0000-0000-0000220D0000}"/>
    <cellStyle name="Normal 2 23 2 2" xfId="720" xr:uid="{00000000-0005-0000-0000-0000230D0000}"/>
    <cellStyle name="Normal 2 23 2 2 2" xfId="4786" xr:uid="{00000000-0005-0000-0000-0000240D0000}"/>
    <cellStyle name="Normal 2 23 2 2 2 2" xfId="4787" xr:uid="{00000000-0005-0000-0000-0000250D0000}"/>
    <cellStyle name="Normal 2 23 2 2 3" xfId="4788" xr:uid="{00000000-0005-0000-0000-0000260D0000}"/>
    <cellStyle name="Normal 2 23 2 2 4" xfId="4789" xr:uid="{00000000-0005-0000-0000-0000270D0000}"/>
    <cellStyle name="Normal 2 23 2 3" xfId="4790" xr:uid="{00000000-0005-0000-0000-0000280D0000}"/>
    <cellStyle name="Normal 2 23 2 3 2" xfId="4791" xr:uid="{00000000-0005-0000-0000-0000290D0000}"/>
    <cellStyle name="Normal 2 23 2 4" xfId="4792" xr:uid="{00000000-0005-0000-0000-00002A0D0000}"/>
    <cellStyle name="Normal 2 23 2 5" xfId="4793" xr:uid="{00000000-0005-0000-0000-00002B0D0000}"/>
    <cellStyle name="Normal 2 23 3" xfId="721" xr:uid="{00000000-0005-0000-0000-00002C0D0000}"/>
    <cellStyle name="Normal 2 23 3 2" xfId="4794" xr:uid="{00000000-0005-0000-0000-00002D0D0000}"/>
    <cellStyle name="Normal 2 23 3 2 2" xfId="4795" xr:uid="{00000000-0005-0000-0000-00002E0D0000}"/>
    <cellStyle name="Normal 2 23 3 3" xfId="4796" xr:uid="{00000000-0005-0000-0000-00002F0D0000}"/>
    <cellStyle name="Normal 2 23 3 4" xfId="4797" xr:uid="{00000000-0005-0000-0000-0000300D0000}"/>
    <cellStyle name="Normal 2 23 4" xfId="4798" xr:uid="{00000000-0005-0000-0000-0000310D0000}"/>
    <cellStyle name="Normal 2 23 4 2" xfId="4799" xr:uid="{00000000-0005-0000-0000-0000320D0000}"/>
    <cellStyle name="Normal 2 23 5" xfId="4800" xr:uid="{00000000-0005-0000-0000-0000330D0000}"/>
    <cellStyle name="Normal 2 23 6" xfId="4801" xr:uid="{00000000-0005-0000-0000-0000340D0000}"/>
    <cellStyle name="Normal 2 24" xfId="722" xr:uid="{00000000-0005-0000-0000-0000350D0000}"/>
    <cellStyle name="Normal 2 24 2" xfId="723" xr:uid="{00000000-0005-0000-0000-0000360D0000}"/>
    <cellStyle name="Normal 2 24 2 2" xfId="4802" xr:uid="{00000000-0005-0000-0000-0000370D0000}"/>
    <cellStyle name="Normal 2 24 2 2 2" xfId="4803" xr:uid="{00000000-0005-0000-0000-0000380D0000}"/>
    <cellStyle name="Normal 2 24 2 3" xfId="4804" xr:uid="{00000000-0005-0000-0000-0000390D0000}"/>
    <cellStyle name="Normal 2 24 2 4" xfId="4805" xr:uid="{00000000-0005-0000-0000-00003A0D0000}"/>
    <cellStyle name="Normal 2 24 3" xfId="4806" xr:uid="{00000000-0005-0000-0000-00003B0D0000}"/>
    <cellStyle name="Normal 2 24 3 2" xfId="4807" xr:uid="{00000000-0005-0000-0000-00003C0D0000}"/>
    <cellStyle name="Normal 2 24 4" xfId="4808" xr:uid="{00000000-0005-0000-0000-00003D0D0000}"/>
    <cellStyle name="Normal 2 24 5" xfId="4809" xr:uid="{00000000-0005-0000-0000-00003E0D0000}"/>
    <cellStyle name="Normal 2 25" xfId="724" xr:uid="{00000000-0005-0000-0000-00003F0D0000}"/>
    <cellStyle name="Normal 2 25 2" xfId="4810" xr:uid="{00000000-0005-0000-0000-0000400D0000}"/>
    <cellStyle name="Normal 2 25 2 2" xfId="4811" xr:uid="{00000000-0005-0000-0000-0000410D0000}"/>
    <cellStyle name="Normal 2 25 3" xfId="4812" xr:uid="{00000000-0005-0000-0000-0000420D0000}"/>
    <cellStyle name="Normal 2 25 4" xfId="4813" xr:uid="{00000000-0005-0000-0000-0000430D0000}"/>
    <cellStyle name="Normal 2 26" xfId="21" xr:uid="{00000000-0005-0000-0000-0000440D0000}"/>
    <cellStyle name="Normal 2 27" xfId="2146" xr:uid="{00000000-0005-0000-0000-0000450D0000}"/>
    <cellStyle name="Normal 2 27 2" xfId="4814" xr:uid="{00000000-0005-0000-0000-0000460D0000}"/>
    <cellStyle name="Normal 2 27 2 2" xfId="10347" xr:uid="{00000000-0005-0000-0000-0000470D0000}"/>
    <cellStyle name="Normal 2 27 3" xfId="10340" xr:uid="{00000000-0005-0000-0000-0000480D0000}"/>
    <cellStyle name="Normal 2 28" xfId="2147" xr:uid="{00000000-0005-0000-0000-0000490D0000}"/>
    <cellStyle name="Normal 2 28 2" xfId="10330" xr:uid="{00000000-0005-0000-0000-00004A0D0000}"/>
    <cellStyle name="Normal 2 28 2 2" xfId="10349" xr:uid="{00000000-0005-0000-0000-00004B0D0000}"/>
    <cellStyle name="Normal 2 28 3" xfId="10348" xr:uid="{00000000-0005-0000-0000-00004C0D0000}"/>
    <cellStyle name="Normal 2 29" xfId="4815" xr:uid="{00000000-0005-0000-0000-00004D0D0000}"/>
    <cellStyle name="Normal 2 29 2" xfId="10328" xr:uid="{00000000-0005-0000-0000-00004E0D0000}"/>
    <cellStyle name="Normal 2 3" xfId="11" xr:uid="{00000000-0005-0000-0000-00004F0D0000}"/>
    <cellStyle name="Normal 2 3 2" xfId="725" xr:uid="{00000000-0005-0000-0000-0000500D0000}"/>
    <cellStyle name="Normal 2 3 3" xfId="4816" xr:uid="{00000000-0005-0000-0000-0000510D0000}"/>
    <cellStyle name="Normal 2 3 3 2" xfId="4817" xr:uid="{00000000-0005-0000-0000-0000520D0000}"/>
    <cellStyle name="Normal 2 3 4" xfId="4818" xr:uid="{00000000-0005-0000-0000-0000530D0000}"/>
    <cellStyle name="Normal 2 3 5" xfId="4819" xr:uid="{00000000-0005-0000-0000-0000540D0000}"/>
    <cellStyle name="Normal 2 30" xfId="10333" xr:uid="{00000000-0005-0000-0000-0000550D0000}"/>
    <cellStyle name="Normal 2 4" xfId="6" xr:uid="{00000000-0005-0000-0000-0000560D0000}"/>
    <cellStyle name="Normal 2 4 2" xfId="726" xr:uid="{00000000-0005-0000-0000-0000570D0000}"/>
    <cellStyle name="Normal 2 4 3" xfId="4820" xr:uid="{00000000-0005-0000-0000-0000580D0000}"/>
    <cellStyle name="Normal 2 4 3 2" xfId="4821" xr:uid="{00000000-0005-0000-0000-0000590D0000}"/>
    <cellStyle name="Normal 2 4 4" xfId="4822" xr:uid="{00000000-0005-0000-0000-00005A0D0000}"/>
    <cellStyle name="Normal 2 4 5" xfId="4823" xr:uid="{00000000-0005-0000-0000-00005B0D0000}"/>
    <cellStyle name="Normal 2 5" xfId="13" xr:uid="{00000000-0005-0000-0000-00005C0D0000}"/>
    <cellStyle name="Normal 2 6" xfId="727" xr:uid="{00000000-0005-0000-0000-00005D0D0000}"/>
    <cellStyle name="Normal 2 6 10" xfId="4824" xr:uid="{00000000-0005-0000-0000-00005E0D0000}"/>
    <cellStyle name="Normal 2 6 2" xfId="728" xr:uid="{00000000-0005-0000-0000-00005F0D0000}"/>
    <cellStyle name="Normal 2 6 2 2" xfId="729" xr:uid="{00000000-0005-0000-0000-0000600D0000}"/>
    <cellStyle name="Normal 2 6 2 2 2" xfId="730" xr:uid="{00000000-0005-0000-0000-0000610D0000}"/>
    <cellStyle name="Normal 2 6 2 2 2 2" xfId="731" xr:uid="{00000000-0005-0000-0000-0000620D0000}"/>
    <cellStyle name="Normal 2 6 2 2 2 2 2" xfId="732" xr:uid="{00000000-0005-0000-0000-0000630D0000}"/>
    <cellStyle name="Normal 2 6 2 2 2 2 2 2" xfId="4825" xr:uid="{00000000-0005-0000-0000-0000640D0000}"/>
    <cellStyle name="Normal 2 6 2 2 2 2 2 2 2" xfId="4826" xr:uid="{00000000-0005-0000-0000-0000650D0000}"/>
    <cellStyle name="Normal 2 6 2 2 2 2 2 3" xfId="4827" xr:uid="{00000000-0005-0000-0000-0000660D0000}"/>
    <cellStyle name="Normal 2 6 2 2 2 2 2 4" xfId="4828" xr:uid="{00000000-0005-0000-0000-0000670D0000}"/>
    <cellStyle name="Normal 2 6 2 2 2 2 3" xfId="4829" xr:uid="{00000000-0005-0000-0000-0000680D0000}"/>
    <cellStyle name="Normal 2 6 2 2 2 2 3 2" xfId="4830" xr:uid="{00000000-0005-0000-0000-0000690D0000}"/>
    <cellStyle name="Normal 2 6 2 2 2 2 4" xfId="4831" xr:uid="{00000000-0005-0000-0000-00006A0D0000}"/>
    <cellStyle name="Normal 2 6 2 2 2 2 5" xfId="4832" xr:uid="{00000000-0005-0000-0000-00006B0D0000}"/>
    <cellStyle name="Normal 2 6 2 2 2 3" xfId="733" xr:uid="{00000000-0005-0000-0000-00006C0D0000}"/>
    <cellStyle name="Normal 2 6 2 2 2 3 2" xfId="4833" xr:uid="{00000000-0005-0000-0000-00006D0D0000}"/>
    <cellStyle name="Normal 2 6 2 2 2 3 2 2" xfId="4834" xr:uid="{00000000-0005-0000-0000-00006E0D0000}"/>
    <cellStyle name="Normal 2 6 2 2 2 3 3" xfId="4835" xr:uid="{00000000-0005-0000-0000-00006F0D0000}"/>
    <cellStyle name="Normal 2 6 2 2 2 3 4" xfId="4836" xr:uid="{00000000-0005-0000-0000-0000700D0000}"/>
    <cellStyle name="Normal 2 6 2 2 2 4" xfId="4837" xr:uid="{00000000-0005-0000-0000-0000710D0000}"/>
    <cellStyle name="Normal 2 6 2 2 2 4 2" xfId="4838" xr:uid="{00000000-0005-0000-0000-0000720D0000}"/>
    <cellStyle name="Normal 2 6 2 2 2 5" xfId="4839" xr:uid="{00000000-0005-0000-0000-0000730D0000}"/>
    <cellStyle name="Normal 2 6 2 2 2 6" xfId="4840" xr:uid="{00000000-0005-0000-0000-0000740D0000}"/>
    <cellStyle name="Normal 2 6 2 2 3" xfId="734" xr:uid="{00000000-0005-0000-0000-0000750D0000}"/>
    <cellStyle name="Normal 2 6 2 2 3 2" xfId="735" xr:uid="{00000000-0005-0000-0000-0000760D0000}"/>
    <cellStyle name="Normal 2 6 2 2 3 2 2" xfId="4841" xr:uid="{00000000-0005-0000-0000-0000770D0000}"/>
    <cellStyle name="Normal 2 6 2 2 3 2 2 2" xfId="4842" xr:uid="{00000000-0005-0000-0000-0000780D0000}"/>
    <cellStyle name="Normal 2 6 2 2 3 2 3" xfId="4843" xr:uid="{00000000-0005-0000-0000-0000790D0000}"/>
    <cellStyle name="Normal 2 6 2 2 3 2 4" xfId="4844" xr:uid="{00000000-0005-0000-0000-00007A0D0000}"/>
    <cellStyle name="Normal 2 6 2 2 3 3" xfId="4845" xr:uid="{00000000-0005-0000-0000-00007B0D0000}"/>
    <cellStyle name="Normal 2 6 2 2 3 3 2" xfId="4846" xr:uid="{00000000-0005-0000-0000-00007C0D0000}"/>
    <cellStyle name="Normal 2 6 2 2 3 4" xfId="4847" xr:uid="{00000000-0005-0000-0000-00007D0D0000}"/>
    <cellStyle name="Normal 2 6 2 2 3 5" xfId="4848" xr:uid="{00000000-0005-0000-0000-00007E0D0000}"/>
    <cellStyle name="Normal 2 6 2 2 4" xfId="736" xr:uid="{00000000-0005-0000-0000-00007F0D0000}"/>
    <cellStyle name="Normal 2 6 2 2 4 2" xfId="4849" xr:uid="{00000000-0005-0000-0000-0000800D0000}"/>
    <cellStyle name="Normal 2 6 2 2 4 2 2" xfId="4850" xr:uid="{00000000-0005-0000-0000-0000810D0000}"/>
    <cellStyle name="Normal 2 6 2 2 4 3" xfId="4851" xr:uid="{00000000-0005-0000-0000-0000820D0000}"/>
    <cellStyle name="Normal 2 6 2 2 4 4" xfId="4852" xr:uid="{00000000-0005-0000-0000-0000830D0000}"/>
    <cellStyle name="Normal 2 6 2 2 5" xfId="4853" xr:uid="{00000000-0005-0000-0000-0000840D0000}"/>
    <cellStyle name="Normal 2 6 2 2 5 2" xfId="4854" xr:uid="{00000000-0005-0000-0000-0000850D0000}"/>
    <cellStyle name="Normal 2 6 2 2 6" xfId="4855" xr:uid="{00000000-0005-0000-0000-0000860D0000}"/>
    <cellStyle name="Normal 2 6 2 2 7" xfId="4856" xr:uid="{00000000-0005-0000-0000-0000870D0000}"/>
    <cellStyle name="Normal 2 6 2 3" xfId="737" xr:uid="{00000000-0005-0000-0000-0000880D0000}"/>
    <cellStyle name="Normal 2 6 2 3 2" xfId="738" xr:uid="{00000000-0005-0000-0000-0000890D0000}"/>
    <cellStyle name="Normal 2 6 2 3 2 2" xfId="739" xr:uid="{00000000-0005-0000-0000-00008A0D0000}"/>
    <cellStyle name="Normal 2 6 2 3 2 2 2" xfId="4857" xr:uid="{00000000-0005-0000-0000-00008B0D0000}"/>
    <cellStyle name="Normal 2 6 2 3 2 2 2 2" xfId="4858" xr:uid="{00000000-0005-0000-0000-00008C0D0000}"/>
    <cellStyle name="Normal 2 6 2 3 2 2 3" xfId="4859" xr:uid="{00000000-0005-0000-0000-00008D0D0000}"/>
    <cellStyle name="Normal 2 6 2 3 2 2 4" xfId="4860" xr:uid="{00000000-0005-0000-0000-00008E0D0000}"/>
    <cellStyle name="Normal 2 6 2 3 2 3" xfId="4861" xr:uid="{00000000-0005-0000-0000-00008F0D0000}"/>
    <cellStyle name="Normal 2 6 2 3 2 3 2" xfId="4862" xr:uid="{00000000-0005-0000-0000-0000900D0000}"/>
    <cellStyle name="Normal 2 6 2 3 2 4" xfId="4863" xr:uid="{00000000-0005-0000-0000-0000910D0000}"/>
    <cellStyle name="Normal 2 6 2 3 2 5" xfId="4864" xr:uid="{00000000-0005-0000-0000-0000920D0000}"/>
    <cellStyle name="Normal 2 6 2 3 3" xfId="740" xr:uid="{00000000-0005-0000-0000-0000930D0000}"/>
    <cellStyle name="Normal 2 6 2 3 3 2" xfId="4865" xr:uid="{00000000-0005-0000-0000-0000940D0000}"/>
    <cellStyle name="Normal 2 6 2 3 3 2 2" xfId="4866" xr:uid="{00000000-0005-0000-0000-0000950D0000}"/>
    <cellStyle name="Normal 2 6 2 3 3 3" xfId="4867" xr:uid="{00000000-0005-0000-0000-0000960D0000}"/>
    <cellStyle name="Normal 2 6 2 3 3 4" xfId="4868" xr:uid="{00000000-0005-0000-0000-0000970D0000}"/>
    <cellStyle name="Normal 2 6 2 3 4" xfId="4869" xr:uid="{00000000-0005-0000-0000-0000980D0000}"/>
    <cellStyle name="Normal 2 6 2 3 4 2" xfId="4870" xr:uid="{00000000-0005-0000-0000-0000990D0000}"/>
    <cellStyle name="Normal 2 6 2 3 5" xfId="4871" xr:uid="{00000000-0005-0000-0000-00009A0D0000}"/>
    <cellStyle name="Normal 2 6 2 3 6" xfId="4872" xr:uid="{00000000-0005-0000-0000-00009B0D0000}"/>
    <cellStyle name="Normal 2 6 2 4" xfId="741" xr:uid="{00000000-0005-0000-0000-00009C0D0000}"/>
    <cellStyle name="Normal 2 6 2 4 2" xfId="742" xr:uid="{00000000-0005-0000-0000-00009D0D0000}"/>
    <cellStyle name="Normal 2 6 2 4 2 2" xfId="4873" xr:uid="{00000000-0005-0000-0000-00009E0D0000}"/>
    <cellStyle name="Normal 2 6 2 4 2 2 2" xfId="4874" xr:uid="{00000000-0005-0000-0000-00009F0D0000}"/>
    <cellStyle name="Normal 2 6 2 4 2 3" xfId="4875" xr:uid="{00000000-0005-0000-0000-0000A00D0000}"/>
    <cellStyle name="Normal 2 6 2 4 2 4" xfId="4876" xr:uid="{00000000-0005-0000-0000-0000A10D0000}"/>
    <cellStyle name="Normal 2 6 2 4 3" xfId="4877" xr:uid="{00000000-0005-0000-0000-0000A20D0000}"/>
    <cellStyle name="Normal 2 6 2 4 3 2" xfId="4878" xr:uid="{00000000-0005-0000-0000-0000A30D0000}"/>
    <cellStyle name="Normal 2 6 2 4 4" xfId="4879" xr:uid="{00000000-0005-0000-0000-0000A40D0000}"/>
    <cellStyle name="Normal 2 6 2 4 5" xfId="4880" xr:uid="{00000000-0005-0000-0000-0000A50D0000}"/>
    <cellStyle name="Normal 2 6 2 5" xfId="743" xr:uid="{00000000-0005-0000-0000-0000A60D0000}"/>
    <cellStyle name="Normal 2 6 2 5 2" xfId="4881" xr:uid="{00000000-0005-0000-0000-0000A70D0000}"/>
    <cellStyle name="Normal 2 6 2 5 2 2" xfId="4882" xr:uid="{00000000-0005-0000-0000-0000A80D0000}"/>
    <cellStyle name="Normal 2 6 2 5 3" xfId="4883" xr:uid="{00000000-0005-0000-0000-0000A90D0000}"/>
    <cellStyle name="Normal 2 6 2 5 4" xfId="4884" xr:uid="{00000000-0005-0000-0000-0000AA0D0000}"/>
    <cellStyle name="Normal 2 6 2 6" xfId="4885" xr:uid="{00000000-0005-0000-0000-0000AB0D0000}"/>
    <cellStyle name="Normal 2 6 2 6 2" xfId="4886" xr:uid="{00000000-0005-0000-0000-0000AC0D0000}"/>
    <cellStyle name="Normal 2 6 2 7" xfId="4887" xr:uid="{00000000-0005-0000-0000-0000AD0D0000}"/>
    <cellStyle name="Normal 2 6 2 8" xfId="4888" xr:uid="{00000000-0005-0000-0000-0000AE0D0000}"/>
    <cellStyle name="Normal 2 6 3" xfId="744" xr:uid="{00000000-0005-0000-0000-0000AF0D0000}"/>
    <cellStyle name="Normal 2 6 4" xfId="745" xr:uid="{00000000-0005-0000-0000-0000B00D0000}"/>
    <cellStyle name="Normal 2 6 4 2" xfId="746" xr:uid="{00000000-0005-0000-0000-0000B10D0000}"/>
    <cellStyle name="Normal 2 6 4 2 2" xfId="747" xr:uid="{00000000-0005-0000-0000-0000B20D0000}"/>
    <cellStyle name="Normal 2 6 4 2 2 2" xfId="748" xr:uid="{00000000-0005-0000-0000-0000B30D0000}"/>
    <cellStyle name="Normal 2 6 4 2 2 2 2" xfId="4889" xr:uid="{00000000-0005-0000-0000-0000B40D0000}"/>
    <cellStyle name="Normal 2 6 4 2 2 2 2 2" xfId="4890" xr:uid="{00000000-0005-0000-0000-0000B50D0000}"/>
    <cellStyle name="Normal 2 6 4 2 2 2 3" xfId="4891" xr:uid="{00000000-0005-0000-0000-0000B60D0000}"/>
    <cellStyle name="Normal 2 6 4 2 2 2 4" xfId="4892" xr:uid="{00000000-0005-0000-0000-0000B70D0000}"/>
    <cellStyle name="Normal 2 6 4 2 2 3" xfId="4893" xr:uid="{00000000-0005-0000-0000-0000B80D0000}"/>
    <cellStyle name="Normal 2 6 4 2 2 3 2" xfId="4894" xr:uid="{00000000-0005-0000-0000-0000B90D0000}"/>
    <cellStyle name="Normal 2 6 4 2 2 4" xfId="4895" xr:uid="{00000000-0005-0000-0000-0000BA0D0000}"/>
    <cellStyle name="Normal 2 6 4 2 2 5" xfId="4896" xr:uid="{00000000-0005-0000-0000-0000BB0D0000}"/>
    <cellStyle name="Normal 2 6 4 2 3" xfId="749" xr:uid="{00000000-0005-0000-0000-0000BC0D0000}"/>
    <cellStyle name="Normal 2 6 4 2 3 2" xfId="4897" xr:uid="{00000000-0005-0000-0000-0000BD0D0000}"/>
    <cellStyle name="Normal 2 6 4 2 3 2 2" xfId="4898" xr:uid="{00000000-0005-0000-0000-0000BE0D0000}"/>
    <cellStyle name="Normal 2 6 4 2 3 3" xfId="4899" xr:uid="{00000000-0005-0000-0000-0000BF0D0000}"/>
    <cellStyle name="Normal 2 6 4 2 3 4" xfId="4900" xr:uid="{00000000-0005-0000-0000-0000C00D0000}"/>
    <cellStyle name="Normal 2 6 4 2 4" xfId="4901" xr:uid="{00000000-0005-0000-0000-0000C10D0000}"/>
    <cellStyle name="Normal 2 6 4 2 4 2" xfId="4902" xr:uid="{00000000-0005-0000-0000-0000C20D0000}"/>
    <cellStyle name="Normal 2 6 4 2 5" xfId="4903" xr:uid="{00000000-0005-0000-0000-0000C30D0000}"/>
    <cellStyle name="Normal 2 6 4 2 6" xfId="4904" xr:uid="{00000000-0005-0000-0000-0000C40D0000}"/>
    <cellStyle name="Normal 2 6 4 3" xfId="750" xr:uid="{00000000-0005-0000-0000-0000C50D0000}"/>
    <cellStyle name="Normal 2 6 4 3 2" xfId="751" xr:uid="{00000000-0005-0000-0000-0000C60D0000}"/>
    <cellStyle name="Normal 2 6 4 3 2 2" xfId="4905" xr:uid="{00000000-0005-0000-0000-0000C70D0000}"/>
    <cellStyle name="Normal 2 6 4 3 2 2 2" xfId="4906" xr:uid="{00000000-0005-0000-0000-0000C80D0000}"/>
    <cellStyle name="Normal 2 6 4 3 2 3" xfId="4907" xr:uid="{00000000-0005-0000-0000-0000C90D0000}"/>
    <cellStyle name="Normal 2 6 4 3 2 4" xfId="4908" xr:uid="{00000000-0005-0000-0000-0000CA0D0000}"/>
    <cellStyle name="Normal 2 6 4 3 3" xfId="4909" xr:uid="{00000000-0005-0000-0000-0000CB0D0000}"/>
    <cellStyle name="Normal 2 6 4 3 3 2" xfId="4910" xr:uid="{00000000-0005-0000-0000-0000CC0D0000}"/>
    <cellStyle name="Normal 2 6 4 3 4" xfId="4911" xr:uid="{00000000-0005-0000-0000-0000CD0D0000}"/>
    <cellStyle name="Normal 2 6 4 3 5" xfId="4912" xr:uid="{00000000-0005-0000-0000-0000CE0D0000}"/>
    <cellStyle name="Normal 2 6 4 4" xfId="752" xr:uid="{00000000-0005-0000-0000-0000CF0D0000}"/>
    <cellStyle name="Normal 2 6 4 4 2" xfId="4913" xr:uid="{00000000-0005-0000-0000-0000D00D0000}"/>
    <cellStyle name="Normal 2 6 4 4 2 2" xfId="4914" xr:uid="{00000000-0005-0000-0000-0000D10D0000}"/>
    <cellStyle name="Normal 2 6 4 4 3" xfId="4915" xr:uid="{00000000-0005-0000-0000-0000D20D0000}"/>
    <cellStyle name="Normal 2 6 4 4 4" xfId="4916" xr:uid="{00000000-0005-0000-0000-0000D30D0000}"/>
    <cellStyle name="Normal 2 6 4 5" xfId="4917" xr:uid="{00000000-0005-0000-0000-0000D40D0000}"/>
    <cellStyle name="Normal 2 6 4 5 2" xfId="4918" xr:uid="{00000000-0005-0000-0000-0000D50D0000}"/>
    <cellStyle name="Normal 2 6 4 6" xfId="4919" xr:uid="{00000000-0005-0000-0000-0000D60D0000}"/>
    <cellStyle name="Normal 2 6 4 7" xfId="4920" xr:uid="{00000000-0005-0000-0000-0000D70D0000}"/>
    <cellStyle name="Normal 2 6 5" xfId="753" xr:uid="{00000000-0005-0000-0000-0000D80D0000}"/>
    <cellStyle name="Normal 2 6 5 2" xfId="754" xr:uid="{00000000-0005-0000-0000-0000D90D0000}"/>
    <cellStyle name="Normal 2 6 5 2 2" xfId="755" xr:uid="{00000000-0005-0000-0000-0000DA0D0000}"/>
    <cellStyle name="Normal 2 6 5 2 2 2" xfId="4921" xr:uid="{00000000-0005-0000-0000-0000DB0D0000}"/>
    <cellStyle name="Normal 2 6 5 2 2 2 2" xfId="4922" xr:uid="{00000000-0005-0000-0000-0000DC0D0000}"/>
    <cellStyle name="Normal 2 6 5 2 2 3" xfId="4923" xr:uid="{00000000-0005-0000-0000-0000DD0D0000}"/>
    <cellStyle name="Normal 2 6 5 2 2 4" xfId="4924" xr:uid="{00000000-0005-0000-0000-0000DE0D0000}"/>
    <cellStyle name="Normal 2 6 5 2 3" xfId="4925" xr:uid="{00000000-0005-0000-0000-0000DF0D0000}"/>
    <cellStyle name="Normal 2 6 5 2 3 2" xfId="4926" xr:uid="{00000000-0005-0000-0000-0000E00D0000}"/>
    <cellStyle name="Normal 2 6 5 2 4" xfId="4927" xr:uid="{00000000-0005-0000-0000-0000E10D0000}"/>
    <cellStyle name="Normal 2 6 5 2 5" xfId="4928" xr:uid="{00000000-0005-0000-0000-0000E20D0000}"/>
    <cellStyle name="Normal 2 6 5 3" xfId="756" xr:uid="{00000000-0005-0000-0000-0000E30D0000}"/>
    <cellStyle name="Normal 2 6 5 3 2" xfId="4929" xr:uid="{00000000-0005-0000-0000-0000E40D0000}"/>
    <cellStyle name="Normal 2 6 5 3 2 2" xfId="4930" xr:uid="{00000000-0005-0000-0000-0000E50D0000}"/>
    <cellStyle name="Normal 2 6 5 3 3" xfId="4931" xr:uid="{00000000-0005-0000-0000-0000E60D0000}"/>
    <cellStyle name="Normal 2 6 5 3 4" xfId="4932" xr:uid="{00000000-0005-0000-0000-0000E70D0000}"/>
    <cellStyle name="Normal 2 6 5 4" xfId="4933" xr:uid="{00000000-0005-0000-0000-0000E80D0000}"/>
    <cellStyle name="Normal 2 6 5 4 2" xfId="4934" xr:uid="{00000000-0005-0000-0000-0000E90D0000}"/>
    <cellStyle name="Normal 2 6 5 5" xfId="4935" xr:uid="{00000000-0005-0000-0000-0000EA0D0000}"/>
    <cellStyle name="Normal 2 6 5 6" xfId="4936" xr:uid="{00000000-0005-0000-0000-0000EB0D0000}"/>
    <cellStyle name="Normal 2 6 6" xfId="757" xr:uid="{00000000-0005-0000-0000-0000EC0D0000}"/>
    <cellStyle name="Normal 2 6 6 2" xfId="758" xr:uid="{00000000-0005-0000-0000-0000ED0D0000}"/>
    <cellStyle name="Normal 2 6 6 2 2" xfId="4937" xr:uid="{00000000-0005-0000-0000-0000EE0D0000}"/>
    <cellStyle name="Normal 2 6 6 2 2 2" xfId="4938" xr:uid="{00000000-0005-0000-0000-0000EF0D0000}"/>
    <cellStyle name="Normal 2 6 6 2 3" xfId="4939" xr:uid="{00000000-0005-0000-0000-0000F00D0000}"/>
    <cellStyle name="Normal 2 6 6 2 4" xfId="4940" xr:uid="{00000000-0005-0000-0000-0000F10D0000}"/>
    <cellStyle name="Normal 2 6 6 3" xfId="4941" xr:uid="{00000000-0005-0000-0000-0000F20D0000}"/>
    <cellStyle name="Normal 2 6 6 3 2" xfId="4942" xr:uid="{00000000-0005-0000-0000-0000F30D0000}"/>
    <cellStyle name="Normal 2 6 6 4" xfId="4943" xr:uid="{00000000-0005-0000-0000-0000F40D0000}"/>
    <cellStyle name="Normal 2 6 6 5" xfId="4944" xr:uid="{00000000-0005-0000-0000-0000F50D0000}"/>
    <cellStyle name="Normal 2 6 7" xfId="759" xr:uid="{00000000-0005-0000-0000-0000F60D0000}"/>
    <cellStyle name="Normal 2 6 7 2" xfId="4945" xr:uid="{00000000-0005-0000-0000-0000F70D0000}"/>
    <cellStyle name="Normal 2 6 7 2 2" xfId="4946" xr:uid="{00000000-0005-0000-0000-0000F80D0000}"/>
    <cellStyle name="Normal 2 6 7 3" xfId="4947" xr:uid="{00000000-0005-0000-0000-0000F90D0000}"/>
    <cellStyle name="Normal 2 6 7 4" xfId="4948" xr:uid="{00000000-0005-0000-0000-0000FA0D0000}"/>
    <cellStyle name="Normal 2 6 8" xfId="4949" xr:uid="{00000000-0005-0000-0000-0000FB0D0000}"/>
    <cellStyle name="Normal 2 6 8 2" xfId="4950" xr:uid="{00000000-0005-0000-0000-0000FC0D0000}"/>
    <cellStyle name="Normal 2 6 9" xfId="4951" xr:uid="{00000000-0005-0000-0000-0000FD0D0000}"/>
    <cellStyle name="Normal 2 7" xfId="760" xr:uid="{00000000-0005-0000-0000-0000FE0D0000}"/>
    <cellStyle name="Normal 2 7 2" xfId="761" xr:uid="{00000000-0005-0000-0000-0000FF0D0000}"/>
    <cellStyle name="Normal 2 7 2 2" xfId="762" xr:uid="{00000000-0005-0000-0000-0000000E0000}"/>
    <cellStyle name="Normal 2 7 2 2 2" xfId="763" xr:uid="{00000000-0005-0000-0000-0000010E0000}"/>
    <cellStyle name="Normal 2 7 2 2 2 2" xfId="764" xr:uid="{00000000-0005-0000-0000-0000020E0000}"/>
    <cellStyle name="Normal 2 7 2 2 2 2 2" xfId="765" xr:uid="{00000000-0005-0000-0000-0000030E0000}"/>
    <cellStyle name="Normal 2 7 2 2 2 2 2 2" xfId="4952" xr:uid="{00000000-0005-0000-0000-0000040E0000}"/>
    <cellStyle name="Normal 2 7 2 2 2 2 2 2 2" xfId="4953" xr:uid="{00000000-0005-0000-0000-0000050E0000}"/>
    <cellStyle name="Normal 2 7 2 2 2 2 2 3" xfId="4954" xr:uid="{00000000-0005-0000-0000-0000060E0000}"/>
    <cellStyle name="Normal 2 7 2 2 2 2 2 4" xfId="4955" xr:uid="{00000000-0005-0000-0000-0000070E0000}"/>
    <cellStyle name="Normal 2 7 2 2 2 2 3" xfId="4956" xr:uid="{00000000-0005-0000-0000-0000080E0000}"/>
    <cellStyle name="Normal 2 7 2 2 2 2 3 2" xfId="4957" xr:uid="{00000000-0005-0000-0000-0000090E0000}"/>
    <cellStyle name="Normal 2 7 2 2 2 2 4" xfId="4958" xr:uid="{00000000-0005-0000-0000-00000A0E0000}"/>
    <cellStyle name="Normal 2 7 2 2 2 2 5" xfId="4959" xr:uid="{00000000-0005-0000-0000-00000B0E0000}"/>
    <cellStyle name="Normal 2 7 2 2 2 3" xfId="766" xr:uid="{00000000-0005-0000-0000-00000C0E0000}"/>
    <cellStyle name="Normal 2 7 2 2 2 3 2" xfId="4960" xr:uid="{00000000-0005-0000-0000-00000D0E0000}"/>
    <cellStyle name="Normal 2 7 2 2 2 3 2 2" xfId="4961" xr:uid="{00000000-0005-0000-0000-00000E0E0000}"/>
    <cellStyle name="Normal 2 7 2 2 2 3 3" xfId="4962" xr:uid="{00000000-0005-0000-0000-00000F0E0000}"/>
    <cellStyle name="Normal 2 7 2 2 2 3 4" xfId="4963" xr:uid="{00000000-0005-0000-0000-0000100E0000}"/>
    <cellStyle name="Normal 2 7 2 2 2 4" xfId="4964" xr:uid="{00000000-0005-0000-0000-0000110E0000}"/>
    <cellStyle name="Normal 2 7 2 2 2 4 2" xfId="4965" xr:uid="{00000000-0005-0000-0000-0000120E0000}"/>
    <cellStyle name="Normal 2 7 2 2 2 5" xfId="4966" xr:uid="{00000000-0005-0000-0000-0000130E0000}"/>
    <cellStyle name="Normal 2 7 2 2 2 6" xfId="4967" xr:uid="{00000000-0005-0000-0000-0000140E0000}"/>
    <cellStyle name="Normal 2 7 2 2 3" xfId="767" xr:uid="{00000000-0005-0000-0000-0000150E0000}"/>
    <cellStyle name="Normal 2 7 2 2 3 2" xfId="768" xr:uid="{00000000-0005-0000-0000-0000160E0000}"/>
    <cellStyle name="Normal 2 7 2 2 3 2 2" xfId="4968" xr:uid="{00000000-0005-0000-0000-0000170E0000}"/>
    <cellStyle name="Normal 2 7 2 2 3 2 2 2" xfId="4969" xr:uid="{00000000-0005-0000-0000-0000180E0000}"/>
    <cellStyle name="Normal 2 7 2 2 3 2 3" xfId="4970" xr:uid="{00000000-0005-0000-0000-0000190E0000}"/>
    <cellStyle name="Normal 2 7 2 2 3 2 4" xfId="4971" xr:uid="{00000000-0005-0000-0000-00001A0E0000}"/>
    <cellStyle name="Normal 2 7 2 2 3 3" xfId="4972" xr:uid="{00000000-0005-0000-0000-00001B0E0000}"/>
    <cellStyle name="Normal 2 7 2 2 3 3 2" xfId="4973" xr:uid="{00000000-0005-0000-0000-00001C0E0000}"/>
    <cellStyle name="Normal 2 7 2 2 3 4" xfId="4974" xr:uid="{00000000-0005-0000-0000-00001D0E0000}"/>
    <cellStyle name="Normal 2 7 2 2 3 5" xfId="4975" xr:uid="{00000000-0005-0000-0000-00001E0E0000}"/>
    <cellStyle name="Normal 2 7 2 2 4" xfId="769" xr:uid="{00000000-0005-0000-0000-00001F0E0000}"/>
    <cellStyle name="Normal 2 7 2 2 4 2" xfId="4976" xr:uid="{00000000-0005-0000-0000-0000200E0000}"/>
    <cellStyle name="Normal 2 7 2 2 4 2 2" xfId="4977" xr:uid="{00000000-0005-0000-0000-0000210E0000}"/>
    <cellStyle name="Normal 2 7 2 2 4 3" xfId="4978" xr:uid="{00000000-0005-0000-0000-0000220E0000}"/>
    <cellStyle name="Normal 2 7 2 2 4 4" xfId="4979" xr:uid="{00000000-0005-0000-0000-0000230E0000}"/>
    <cellStyle name="Normal 2 7 2 2 5" xfId="4980" xr:uid="{00000000-0005-0000-0000-0000240E0000}"/>
    <cellStyle name="Normal 2 7 2 2 5 2" xfId="4981" xr:uid="{00000000-0005-0000-0000-0000250E0000}"/>
    <cellStyle name="Normal 2 7 2 2 6" xfId="4982" xr:uid="{00000000-0005-0000-0000-0000260E0000}"/>
    <cellStyle name="Normal 2 7 2 2 7" xfId="4983" xr:uid="{00000000-0005-0000-0000-0000270E0000}"/>
    <cellStyle name="Normal 2 7 2 3" xfId="770" xr:uid="{00000000-0005-0000-0000-0000280E0000}"/>
    <cellStyle name="Normal 2 7 2 3 2" xfId="771" xr:uid="{00000000-0005-0000-0000-0000290E0000}"/>
    <cellStyle name="Normal 2 7 2 3 2 2" xfId="772" xr:uid="{00000000-0005-0000-0000-00002A0E0000}"/>
    <cellStyle name="Normal 2 7 2 3 2 2 2" xfId="4984" xr:uid="{00000000-0005-0000-0000-00002B0E0000}"/>
    <cellStyle name="Normal 2 7 2 3 2 2 2 2" xfId="4985" xr:uid="{00000000-0005-0000-0000-00002C0E0000}"/>
    <cellStyle name="Normal 2 7 2 3 2 2 3" xfId="4986" xr:uid="{00000000-0005-0000-0000-00002D0E0000}"/>
    <cellStyle name="Normal 2 7 2 3 2 2 4" xfId="4987" xr:uid="{00000000-0005-0000-0000-00002E0E0000}"/>
    <cellStyle name="Normal 2 7 2 3 2 3" xfId="4988" xr:uid="{00000000-0005-0000-0000-00002F0E0000}"/>
    <cellStyle name="Normal 2 7 2 3 2 3 2" xfId="4989" xr:uid="{00000000-0005-0000-0000-0000300E0000}"/>
    <cellStyle name="Normal 2 7 2 3 2 4" xfId="4990" xr:uid="{00000000-0005-0000-0000-0000310E0000}"/>
    <cellStyle name="Normal 2 7 2 3 2 5" xfId="4991" xr:uid="{00000000-0005-0000-0000-0000320E0000}"/>
    <cellStyle name="Normal 2 7 2 3 3" xfId="773" xr:uid="{00000000-0005-0000-0000-0000330E0000}"/>
    <cellStyle name="Normal 2 7 2 3 3 2" xfId="4992" xr:uid="{00000000-0005-0000-0000-0000340E0000}"/>
    <cellStyle name="Normal 2 7 2 3 3 2 2" xfId="4993" xr:uid="{00000000-0005-0000-0000-0000350E0000}"/>
    <cellStyle name="Normal 2 7 2 3 3 3" xfId="4994" xr:uid="{00000000-0005-0000-0000-0000360E0000}"/>
    <cellStyle name="Normal 2 7 2 3 3 4" xfId="4995" xr:uid="{00000000-0005-0000-0000-0000370E0000}"/>
    <cellStyle name="Normal 2 7 2 3 4" xfId="4996" xr:uid="{00000000-0005-0000-0000-0000380E0000}"/>
    <cellStyle name="Normal 2 7 2 3 4 2" xfId="4997" xr:uid="{00000000-0005-0000-0000-0000390E0000}"/>
    <cellStyle name="Normal 2 7 2 3 5" xfId="4998" xr:uid="{00000000-0005-0000-0000-00003A0E0000}"/>
    <cellStyle name="Normal 2 7 2 3 6" xfId="4999" xr:uid="{00000000-0005-0000-0000-00003B0E0000}"/>
    <cellStyle name="Normal 2 7 2 4" xfId="774" xr:uid="{00000000-0005-0000-0000-00003C0E0000}"/>
    <cellStyle name="Normal 2 7 2 4 2" xfId="775" xr:uid="{00000000-0005-0000-0000-00003D0E0000}"/>
    <cellStyle name="Normal 2 7 2 4 2 2" xfId="5000" xr:uid="{00000000-0005-0000-0000-00003E0E0000}"/>
    <cellStyle name="Normal 2 7 2 4 2 2 2" xfId="5001" xr:uid="{00000000-0005-0000-0000-00003F0E0000}"/>
    <cellStyle name="Normal 2 7 2 4 2 3" xfId="5002" xr:uid="{00000000-0005-0000-0000-0000400E0000}"/>
    <cellStyle name="Normal 2 7 2 4 2 4" xfId="5003" xr:uid="{00000000-0005-0000-0000-0000410E0000}"/>
    <cellStyle name="Normal 2 7 2 4 3" xfId="5004" xr:uid="{00000000-0005-0000-0000-0000420E0000}"/>
    <cellStyle name="Normal 2 7 2 4 3 2" xfId="5005" xr:uid="{00000000-0005-0000-0000-0000430E0000}"/>
    <cellStyle name="Normal 2 7 2 4 4" xfId="5006" xr:uid="{00000000-0005-0000-0000-0000440E0000}"/>
    <cellStyle name="Normal 2 7 2 4 5" xfId="5007" xr:uid="{00000000-0005-0000-0000-0000450E0000}"/>
    <cellStyle name="Normal 2 7 2 5" xfId="776" xr:uid="{00000000-0005-0000-0000-0000460E0000}"/>
    <cellStyle name="Normal 2 7 2 5 2" xfId="5008" xr:uid="{00000000-0005-0000-0000-0000470E0000}"/>
    <cellStyle name="Normal 2 7 2 5 2 2" xfId="5009" xr:uid="{00000000-0005-0000-0000-0000480E0000}"/>
    <cellStyle name="Normal 2 7 2 5 3" xfId="5010" xr:uid="{00000000-0005-0000-0000-0000490E0000}"/>
    <cellStyle name="Normal 2 7 2 5 4" xfId="5011" xr:uid="{00000000-0005-0000-0000-00004A0E0000}"/>
    <cellStyle name="Normal 2 7 2 6" xfId="5012" xr:uid="{00000000-0005-0000-0000-00004B0E0000}"/>
    <cellStyle name="Normal 2 7 2 6 2" xfId="5013" xr:uid="{00000000-0005-0000-0000-00004C0E0000}"/>
    <cellStyle name="Normal 2 7 2 7" xfId="5014" xr:uid="{00000000-0005-0000-0000-00004D0E0000}"/>
    <cellStyle name="Normal 2 7 2 8" xfId="5015" xr:uid="{00000000-0005-0000-0000-00004E0E0000}"/>
    <cellStyle name="Normal 2 7 3" xfId="777" xr:uid="{00000000-0005-0000-0000-00004F0E0000}"/>
    <cellStyle name="Normal 2 7 3 2" xfId="778" xr:uid="{00000000-0005-0000-0000-0000500E0000}"/>
    <cellStyle name="Normal 2 7 3 2 2" xfId="779" xr:uid="{00000000-0005-0000-0000-0000510E0000}"/>
    <cellStyle name="Normal 2 7 3 2 2 2" xfId="780" xr:uid="{00000000-0005-0000-0000-0000520E0000}"/>
    <cellStyle name="Normal 2 7 3 2 2 2 2" xfId="5016" xr:uid="{00000000-0005-0000-0000-0000530E0000}"/>
    <cellStyle name="Normal 2 7 3 2 2 2 2 2" xfId="5017" xr:uid="{00000000-0005-0000-0000-0000540E0000}"/>
    <cellStyle name="Normal 2 7 3 2 2 2 3" xfId="5018" xr:uid="{00000000-0005-0000-0000-0000550E0000}"/>
    <cellStyle name="Normal 2 7 3 2 2 2 4" xfId="5019" xr:uid="{00000000-0005-0000-0000-0000560E0000}"/>
    <cellStyle name="Normal 2 7 3 2 2 3" xfId="5020" xr:uid="{00000000-0005-0000-0000-0000570E0000}"/>
    <cellStyle name="Normal 2 7 3 2 2 3 2" xfId="5021" xr:uid="{00000000-0005-0000-0000-0000580E0000}"/>
    <cellStyle name="Normal 2 7 3 2 2 4" xfId="5022" xr:uid="{00000000-0005-0000-0000-0000590E0000}"/>
    <cellStyle name="Normal 2 7 3 2 2 5" xfId="5023" xr:uid="{00000000-0005-0000-0000-00005A0E0000}"/>
    <cellStyle name="Normal 2 7 3 2 3" xfId="781" xr:uid="{00000000-0005-0000-0000-00005B0E0000}"/>
    <cellStyle name="Normal 2 7 3 2 3 2" xfId="5024" xr:uid="{00000000-0005-0000-0000-00005C0E0000}"/>
    <cellStyle name="Normal 2 7 3 2 3 2 2" xfId="5025" xr:uid="{00000000-0005-0000-0000-00005D0E0000}"/>
    <cellStyle name="Normal 2 7 3 2 3 3" xfId="5026" xr:uid="{00000000-0005-0000-0000-00005E0E0000}"/>
    <cellStyle name="Normal 2 7 3 2 3 4" xfId="5027" xr:uid="{00000000-0005-0000-0000-00005F0E0000}"/>
    <cellStyle name="Normal 2 7 3 2 4" xfId="5028" xr:uid="{00000000-0005-0000-0000-0000600E0000}"/>
    <cellStyle name="Normal 2 7 3 2 4 2" xfId="5029" xr:uid="{00000000-0005-0000-0000-0000610E0000}"/>
    <cellStyle name="Normal 2 7 3 2 5" xfId="5030" xr:uid="{00000000-0005-0000-0000-0000620E0000}"/>
    <cellStyle name="Normal 2 7 3 2 6" xfId="5031" xr:uid="{00000000-0005-0000-0000-0000630E0000}"/>
    <cellStyle name="Normal 2 7 3 3" xfId="782" xr:uid="{00000000-0005-0000-0000-0000640E0000}"/>
    <cellStyle name="Normal 2 7 3 3 2" xfId="783" xr:uid="{00000000-0005-0000-0000-0000650E0000}"/>
    <cellStyle name="Normal 2 7 3 3 2 2" xfId="5032" xr:uid="{00000000-0005-0000-0000-0000660E0000}"/>
    <cellStyle name="Normal 2 7 3 3 2 2 2" xfId="5033" xr:uid="{00000000-0005-0000-0000-0000670E0000}"/>
    <cellStyle name="Normal 2 7 3 3 2 3" xfId="5034" xr:uid="{00000000-0005-0000-0000-0000680E0000}"/>
    <cellStyle name="Normal 2 7 3 3 2 4" xfId="5035" xr:uid="{00000000-0005-0000-0000-0000690E0000}"/>
    <cellStyle name="Normal 2 7 3 3 3" xfId="5036" xr:uid="{00000000-0005-0000-0000-00006A0E0000}"/>
    <cellStyle name="Normal 2 7 3 3 3 2" xfId="5037" xr:uid="{00000000-0005-0000-0000-00006B0E0000}"/>
    <cellStyle name="Normal 2 7 3 3 4" xfId="5038" xr:uid="{00000000-0005-0000-0000-00006C0E0000}"/>
    <cellStyle name="Normal 2 7 3 3 5" xfId="5039" xr:uid="{00000000-0005-0000-0000-00006D0E0000}"/>
    <cellStyle name="Normal 2 7 3 4" xfId="784" xr:uid="{00000000-0005-0000-0000-00006E0E0000}"/>
    <cellStyle name="Normal 2 7 3 4 2" xfId="5040" xr:uid="{00000000-0005-0000-0000-00006F0E0000}"/>
    <cellStyle name="Normal 2 7 3 4 2 2" xfId="5041" xr:uid="{00000000-0005-0000-0000-0000700E0000}"/>
    <cellStyle name="Normal 2 7 3 4 3" xfId="5042" xr:uid="{00000000-0005-0000-0000-0000710E0000}"/>
    <cellStyle name="Normal 2 7 3 4 4" xfId="5043" xr:uid="{00000000-0005-0000-0000-0000720E0000}"/>
    <cellStyle name="Normal 2 7 3 5" xfId="5044" xr:uid="{00000000-0005-0000-0000-0000730E0000}"/>
    <cellStyle name="Normal 2 7 3 5 2" xfId="5045" xr:uid="{00000000-0005-0000-0000-0000740E0000}"/>
    <cellStyle name="Normal 2 7 3 6" xfId="5046" xr:uid="{00000000-0005-0000-0000-0000750E0000}"/>
    <cellStyle name="Normal 2 7 3 7" xfId="5047" xr:uid="{00000000-0005-0000-0000-0000760E0000}"/>
    <cellStyle name="Normal 2 7 4" xfId="785" xr:uid="{00000000-0005-0000-0000-0000770E0000}"/>
    <cellStyle name="Normal 2 7 4 2" xfId="786" xr:uid="{00000000-0005-0000-0000-0000780E0000}"/>
    <cellStyle name="Normal 2 7 4 2 2" xfId="787" xr:uid="{00000000-0005-0000-0000-0000790E0000}"/>
    <cellStyle name="Normal 2 7 4 2 2 2" xfId="5048" xr:uid="{00000000-0005-0000-0000-00007A0E0000}"/>
    <cellStyle name="Normal 2 7 4 2 2 2 2" xfId="5049" xr:uid="{00000000-0005-0000-0000-00007B0E0000}"/>
    <cellStyle name="Normal 2 7 4 2 2 3" xfId="5050" xr:uid="{00000000-0005-0000-0000-00007C0E0000}"/>
    <cellStyle name="Normal 2 7 4 2 2 4" xfId="5051" xr:uid="{00000000-0005-0000-0000-00007D0E0000}"/>
    <cellStyle name="Normal 2 7 4 2 3" xfId="5052" xr:uid="{00000000-0005-0000-0000-00007E0E0000}"/>
    <cellStyle name="Normal 2 7 4 2 3 2" xfId="5053" xr:uid="{00000000-0005-0000-0000-00007F0E0000}"/>
    <cellStyle name="Normal 2 7 4 2 4" xfId="5054" xr:uid="{00000000-0005-0000-0000-0000800E0000}"/>
    <cellStyle name="Normal 2 7 4 2 5" xfId="5055" xr:uid="{00000000-0005-0000-0000-0000810E0000}"/>
    <cellStyle name="Normal 2 7 4 3" xfId="788" xr:uid="{00000000-0005-0000-0000-0000820E0000}"/>
    <cellStyle name="Normal 2 7 4 3 2" xfId="5056" xr:uid="{00000000-0005-0000-0000-0000830E0000}"/>
    <cellStyle name="Normal 2 7 4 3 2 2" xfId="5057" xr:uid="{00000000-0005-0000-0000-0000840E0000}"/>
    <cellStyle name="Normal 2 7 4 3 3" xfId="5058" xr:uid="{00000000-0005-0000-0000-0000850E0000}"/>
    <cellStyle name="Normal 2 7 4 3 4" xfId="5059" xr:uid="{00000000-0005-0000-0000-0000860E0000}"/>
    <cellStyle name="Normal 2 7 4 4" xfId="5060" xr:uid="{00000000-0005-0000-0000-0000870E0000}"/>
    <cellStyle name="Normal 2 7 4 4 2" xfId="5061" xr:uid="{00000000-0005-0000-0000-0000880E0000}"/>
    <cellStyle name="Normal 2 7 4 5" xfId="5062" xr:uid="{00000000-0005-0000-0000-0000890E0000}"/>
    <cellStyle name="Normal 2 7 4 6" xfId="5063" xr:uid="{00000000-0005-0000-0000-00008A0E0000}"/>
    <cellStyle name="Normal 2 7 5" xfId="789" xr:uid="{00000000-0005-0000-0000-00008B0E0000}"/>
    <cellStyle name="Normal 2 7 5 2" xfId="790" xr:uid="{00000000-0005-0000-0000-00008C0E0000}"/>
    <cellStyle name="Normal 2 7 5 2 2" xfId="5064" xr:uid="{00000000-0005-0000-0000-00008D0E0000}"/>
    <cellStyle name="Normal 2 7 5 2 2 2" xfId="5065" xr:uid="{00000000-0005-0000-0000-00008E0E0000}"/>
    <cellStyle name="Normal 2 7 5 2 3" xfId="5066" xr:uid="{00000000-0005-0000-0000-00008F0E0000}"/>
    <cellStyle name="Normal 2 7 5 2 4" xfId="5067" xr:uid="{00000000-0005-0000-0000-0000900E0000}"/>
    <cellStyle name="Normal 2 7 5 3" xfId="5068" xr:uid="{00000000-0005-0000-0000-0000910E0000}"/>
    <cellStyle name="Normal 2 7 5 3 2" xfId="5069" xr:uid="{00000000-0005-0000-0000-0000920E0000}"/>
    <cellStyle name="Normal 2 7 5 4" xfId="5070" xr:uid="{00000000-0005-0000-0000-0000930E0000}"/>
    <cellStyle name="Normal 2 7 5 5" xfId="5071" xr:uid="{00000000-0005-0000-0000-0000940E0000}"/>
    <cellStyle name="Normal 2 7 6" xfId="791" xr:uid="{00000000-0005-0000-0000-0000950E0000}"/>
    <cellStyle name="Normal 2 7 6 2" xfId="5072" xr:uid="{00000000-0005-0000-0000-0000960E0000}"/>
    <cellStyle name="Normal 2 7 6 2 2" xfId="5073" xr:uid="{00000000-0005-0000-0000-0000970E0000}"/>
    <cellStyle name="Normal 2 7 6 3" xfId="5074" xr:uid="{00000000-0005-0000-0000-0000980E0000}"/>
    <cellStyle name="Normal 2 7 6 4" xfId="5075" xr:uid="{00000000-0005-0000-0000-0000990E0000}"/>
    <cellStyle name="Normal 2 7 7" xfId="5076" xr:uid="{00000000-0005-0000-0000-00009A0E0000}"/>
    <cellStyle name="Normal 2 7 7 2" xfId="5077" xr:uid="{00000000-0005-0000-0000-00009B0E0000}"/>
    <cellStyle name="Normal 2 7 8" xfId="5078" xr:uid="{00000000-0005-0000-0000-00009C0E0000}"/>
    <cellStyle name="Normal 2 7 9" xfId="5079" xr:uid="{00000000-0005-0000-0000-00009D0E0000}"/>
    <cellStyle name="Normal 2 8" xfId="792" xr:uid="{00000000-0005-0000-0000-00009E0E0000}"/>
    <cellStyle name="Normal 2 8 2" xfId="793" xr:uid="{00000000-0005-0000-0000-00009F0E0000}"/>
    <cellStyle name="Normal 2 8 2 2" xfId="794" xr:uid="{00000000-0005-0000-0000-0000A00E0000}"/>
    <cellStyle name="Normal 2 8 2 2 2" xfId="795" xr:uid="{00000000-0005-0000-0000-0000A10E0000}"/>
    <cellStyle name="Normal 2 8 2 2 2 2" xfId="796" xr:uid="{00000000-0005-0000-0000-0000A20E0000}"/>
    <cellStyle name="Normal 2 8 2 2 2 2 2" xfId="797" xr:uid="{00000000-0005-0000-0000-0000A30E0000}"/>
    <cellStyle name="Normal 2 8 2 2 2 2 2 2" xfId="5080" xr:uid="{00000000-0005-0000-0000-0000A40E0000}"/>
    <cellStyle name="Normal 2 8 2 2 2 2 2 2 2" xfId="5081" xr:uid="{00000000-0005-0000-0000-0000A50E0000}"/>
    <cellStyle name="Normal 2 8 2 2 2 2 2 3" xfId="5082" xr:uid="{00000000-0005-0000-0000-0000A60E0000}"/>
    <cellStyle name="Normal 2 8 2 2 2 2 2 4" xfId="5083" xr:uid="{00000000-0005-0000-0000-0000A70E0000}"/>
    <cellStyle name="Normal 2 8 2 2 2 2 3" xfId="5084" xr:uid="{00000000-0005-0000-0000-0000A80E0000}"/>
    <cellStyle name="Normal 2 8 2 2 2 2 3 2" xfId="5085" xr:uid="{00000000-0005-0000-0000-0000A90E0000}"/>
    <cellStyle name="Normal 2 8 2 2 2 2 4" xfId="5086" xr:uid="{00000000-0005-0000-0000-0000AA0E0000}"/>
    <cellStyle name="Normal 2 8 2 2 2 2 5" xfId="5087" xr:uid="{00000000-0005-0000-0000-0000AB0E0000}"/>
    <cellStyle name="Normal 2 8 2 2 2 3" xfId="798" xr:uid="{00000000-0005-0000-0000-0000AC0E0000}"/>
    <cellStyle name="Normal 2 8 2 2 2 3 2" xfId="5088" xr:uid="{00000000-0005-0000-0000-0000AD0E0000}"/>
    <cellStyle name="Normal 2 8 2 2 2 3 2 2" xfId="5089" xr:uid="{00000000-0005-0000-0000-0000AE0E0000}"/>
    <cellStyle name="Normal 2 8 2 2 2 3 3" xfId="5090" xr:uid="{00000000-0005-0000-0000-0000AF0E0000}"/>
    <cellStyle name="Normal 2 8 2 2 2 3 4" xfId="5091" xr:uid="{00000000-0005-0000-0000-0000B00E0000}"/>
    <cellStyle name="Normal 2 8 2 2 2 4" xfId="5092" xr:uid="{00000000-0005-0000-0000-0000B10E0000}"/>
    <cellStyle name="Normal 2 8 2 2 2 4 2" xfId="5093" xr:uid="{00000000-0005-0000-0000-0000B20E0000}"/>
    <cellStyle name="Normal 2 8 2 2 2 5" xfId="5094" xr:uid="{00000000-0005-0000-0000-0000B30E0000}"/>
    <cellStyle name="Normal 2 8 2 2 2 6" xfId="5095" xr:uid="{00000000-0005-0000-0000-0000B40E0000}"/>
    <cellStyle name="Normal 2 8 2 2 3" xfId="799" xr:uid="{00000000-0005-0000-0000-0000B50E0000}"/>
    <cellStyle name="Normal 2 8 2 2 3 2" xfId="800" xr:uid="{00000000-0005-0000-0000-0000B60E0000}"/>
    <cellStyle name="Normal 2 8 2 2 3 2 2" xfId="5096" xr:uid="{00000000-0005-0000-0000-0000B70E0000}"/>
    <cellStyle name="Normal 2 8 2 2 3 2 2 2" xfId="5097" xr:uid="{00000000-0005-0000-0000-0000B80E0000}"/>
    <cellStyle name="Normal 2 8 2 2 3 2 3" xfId="5098" xr:uid="{00000000-0005-0000-0000-0000B90E0000}"/>
    <cellStyle name="Normal 2 8 2 2 3 2 4" xfId="5099" xr:uid="{00000000-0005-0000-0000-0000BA0E0000}"/>
    <cellStyle name="Normal 2 8 2 2 3 3" xfId="5100" xr:uid="{00000000-0005-0000-0000-0000BB0E0000}"/>
    <cellStyle name="Normal 2 8 2 2 3 3 2" xfId="5101" xr:uid="{00000000-0005-0000-0000-0000BC0E0000}"/>
    <cellStyle name="Normal 2 8 2 2 3 4" xfId="5102" xr:uid="{00000000-0005-0000-0000-0000BD0E0000}"/>
    <cellStyle name="Normal 2 8 2 2 3 5" xfId="5103" xr:uid="{00000000-0005-0000-0000-0000BE0E0000}"/>
    <cellStyle name="Normal 2 8 2 2 4" xfId="801" xr:uid="{00000000-0005-0000-0000-0000BF0E0000}"/>
    <cellStyle name="Normal 2 8 2 2 4 2" xfId="5104" xr:uid="{00000000-0005-0000-0000-0000C00E0000}"/>
    <cellStyle name="Normal 2 8 2 2 4 2 2" xfId="5105" xr:uid="{00000000-0005-0000-0000-0000C10E0000}"/>
    <cellStyle name="Normal 2 8 2 2 4 3" xfId="5106" xr:uid="{00000000-0005-0000-0000-0000C20E0000}"/>
    <cellStyle name="Normal 2 8 2 2 4 4" xfId="5107" xr:uid="{00000000-0005-0000-0000-0000C30E0000}"/>
    <cellStyle name="Normal 2 8 2 2 5" xfId="5108" xr:uid="{00000000-0005-0000-0000-0000C40E0000}"/>
    <cellStyle name="Normal 2 8 2 2 5 2" xfId="5109" xr:uid="{00000000-0005-0000-0000-0000C50E0000}"/>
    <cellStyle name="Normal 2 8 2 2 6" xfId="5110" xr:uid="{00000000-0005-0000-0000-0000C60E0000}"/>
    <cellStyle name="Normal 2 8 2 2 7" xfId="5111" xr:uid="{00000000-0005-0000-0000-0000C70E0000}"/>
    <cellStyle name="Normal 2 8 2 3" xfId="802" xr:uid="{00000000-0005-0000-0000-0000C80E0000}"/>
    <cellStyle name="Normal 2 8 2 3 2" xfId="803" xr:uid="{00000000-0005-0000-0000-0000C90E0000}"/>
    <cellStyle name="Normal 2 8 2 3 2 2" xfId="804" xr:uid="{00000000-0005-0000-0000-0000CA0E0000}"/>
    <cellStyle name="Normal 2 8 2 3 2 2 2" xfId="5112" xr:uid="{00000000-0005-0000-0000-0000CB0E0000}"/>
    <cellStyle name="Normal 2 8 2 3 2 2 2 2" xfId="5113" xr:uid="{00000000-0005-0000-0000-0000CC0E0000}"/>
    <cellStyle name="Normal 2 8 2 3 2 2 3" xfId="5114" xr:uid="{00000000-0005-0000-0000-0000CD0E0000}"/>
    <cellStyle name="Normal 2 8 2 3 2 2 4" xfId="5115" xr:uid="{00000000-0005-0000-0000-0000CE0E0000}"/>
    <cellStyle name="Normal 2 8 2 3 2 3" xfId="5116" xr:uid="{00000000-0005-0000-0000-0000CF0E0000}"/>
    <cellStyle name="Normal 2 8 2 3 2 3 2" xfId="5117" xr:uid="{00000000-0005-0000-0000-0000D00E0000}"/>
    <cellStyle name="Normal 2 8 2 3 2 4" xfId="5118" xr:uid="{00000000-0005-0000-0000-0000D10E0000}"/>
    <cellStyle name="Normal 2 8 2 3 2 5" xfId="5119" xr:uid="{00000000-0005-0000-0000-0000D20E0000}"/>
    <cellStyle name="Normal 2 8 2 3 3" xfId="805" xr:uid="{00000000-0005-0000-0000-0000D30E0000}"/>
    <cellStyle name="Normal 2 8 2 3 3 2" xfId="5120" xr:uid="{00000000-0005-0000-0000-0000D40E0000}"/>
    <cellStyle name="Normal 2 8 2 3 3 2 2" xfId="5121" xr:uid="{00000000-0005-0000-0000-0000D50E0000}"/>
    <cellStyle name="Normal 2 8 2 3 3 3" xfId="5122" xr:uid="{00000000-0005-0000-0000-0000D60E0000}"/>
    <cellStyle name="Normal 2 8 2 3 3 4" xfId="5123" xr:uid="{00000000-0005-0000-0000-0000D70E0000}"/>
    <cellStyle name="Normal 2 8 2 3 4" xfId="5124" xr:uid="{00000000-0005-0000-0000-0000D80E0000}"/>
    <cellStyle name="Normal 2 8 2 3 4 2" xfId="5125" xr:uid="{00000000-0005-0000-0000-0000D90E0000}"/>
    <cellStyle name="Normal 2 8 2 3 5" xfId="5126" xr:uid="{00000000-0005-0000-0000-0000DA0E0000}"/>
    <cellStyle name="Normal 2 8 2 3 6" xfId="5127" xr:uid="{00000000-0005-0000-0000-0000DB0E0000}"/>
    <cellStyle name="Normal 2 8 2 4" xfId="806" xr:uid="{00000000-0005-0000-0000-0000DC0E0000}"/>
    <cellStyle name="Normal 2 8 2 4 2" xfId="807" xr:uid="{00000000-0005-0000-0000-0000DD0E0000}"/>
    <cellStyle name="Normal 2 8 2 4 2 2" xfId="5128" xr:uid="{00000000-0005-0000-0000-0000DE0E0000}"/>
    <cellStyle name="Normal 2 8 2 4 2 2 2" xfId="5129" xr:uid="{00000000-0005-0000-0000-0000DF0E0000}"/>
    <cellStyle name="Normal 2 8 2 4 2 3" xfId="5130" xr:uid="{00000000-0005-0000-0000-0000E00E0000}"/>
    <cellStyle name="Normal 2 8 2 4 2 4" xfId="5131" xr:uid="{00000000-0005-0000-0000-0000E10E0000}"/>
    <cellStyle name="Normal 2 8 2 4 3" xfId="5132" xr:uid="{00000000-0005-0000-0000-0000E20E0000}"/>
    <cellStyle name="Normal 2 8 2 4 3 2" xfId="5133" xr:uid="{00000000-0005-0000-0000-0000E30E0000}"/>
    <cellStyle name="Normal 2 8 2 4 4" xfId="5134" xr:uid="{00000000-0005-0000-0000-0000E40E0000}"/>
    <cellStyle name="Normal 2 8 2 4 5" xfId="5135" xr:uid="{00000000-0005-0000-0000-0000E50E0000}"/>
    <cellStyle name="Normal 2 8 2 5" xfId="808" xr:uid="{00000000-0005-0000-0000-0000E60E0000}"/>
    <cellStyle name="Normal 2 8 2 5 2" xfId="5136" xr:uid="{00000000-0005-0000-0000-0000E70E0000}"/>
    <cellStyle name="Normal 2 8 2 5 2 2" xfId="5137" xr:uid="{00000000-0005-0000-0000-0000E80E0000}"/>
    <cellStyle name="Normal 2 8 2 5 3" xfId="5138" xr:uid="{00000000-0005-0000-0000-0000E90E0000}"/>
    <cellStyle name="Normal 2 8 2 5 4" xfId="5139" xr:uid="{00000000-0005-0000-0000-0000EA0E0000}"/>
    <cellStyle name="Normal 2 8 2 6" xfId="5140" xr:uid="{00000000-0005-0000-0000-0000EB0E0000}"/>
    <cellStyle name="Normal 2 8 2 6 2" xfId="5141" xr:uid="{00000000-0005-0000-0000-0000EC0E0000}"/>
    <cellStyle name="Normal 2 8 2 7" xfId="5142" xr:uid="{00000000-0005-0000-0000-0000ED0E0000}"/>
    <cellStyle name="Normal 2 8 2 8" xfId="5143" xr:uid="{00000000-0005-0000-0000-0000EE0E0000}"/>
    <cellStyle name="Normal 2 9" xfId="809" xr:uid="{00000000-0005-0000-0000-0000EF0E0000}"/>
    <cellStyle name="Normal 2 9 2" xfId="810" xr:uid="{00000000-0005-0000-0000-0000F00E0000}"/>
    <cellStyle name="Normal 2 9 2 2" xfId="811" xr:uid="{00000000-0005-0000-0000-0000F10E0000}"/>
    <cellStyle name="Normal 2 9 2 2 2" xfId="812" xr:uid="{00000000-0005-0000-0000-0000F20E0000}"/>
    <cellStyle name="Normal 2 9 2 2 2 2" xfId="813" xr:uid="{00000000-0005-0000-0000-0000F30E0000}"/>
    <cellStyle name="Normal 2 9 2 2 2 2 2" xfId="5144" xr:uid="{00000000-0005-0000-0000-0000F40E0000}"/>
    <cellStyle name="Normal 2 9 2 2 2 2 2 2" xfId="5145" xr:uid="{00000000-0005-0000-0000-0000F50E0000}"/>
    <cellStyle name="Normal 2 9 2 2 2 2 3" xfId="5146" xr:uid="{00000000-0005-0000-0000-0000F60E0000}"/>
    <cellStyle name="Normal 2 9 2 2 2 2 4" xfId="5147" xr:uid="{00000000-0005-0000-0000-0000F70E0000}"/>
    <cellStyle name="Normal 2 9 2 2 2 3" xfId="5148" xr:uid="{00000000-0005-0000-0000-0000F80E0000}"/>
    <cellStyle name="Normal 2 9 2 2 2 3 2" xfId="5149" xr:uid="{00000000-0005-0000-0000-0000F90E0000}"/>
    <cellStyle name="Normal 2 9 2 2 2 4" xfId="5150" xr:uid="{00000000-0005-0000-0000-0000FA0E0000}"/>
    <cellStyle name="Normal 2 9 2 2 2 5" xfId="5151" xr:uid="{00000000-0005-0000-0000-0000FB0E0000}"/>
    <cellStyle name="Normal 2 9 2 2 3" xfId="814" xr:uid="{00000000-0005-0000-0000-0000FC0E0000}"/>
    <cellStyle name="Normal 2 9 2 2 3 2" xfId="5152" xr:uid="{00000000-0005-0000-0000-0000FD0E0000}"/>
    <cellStyle name="Normal 2 9 2 2 3 2 2" xfId="5153" xr:uid="{00000000-0005-0000-0000-0000FE0E0000}"/>
    <cellStyle name="Normal 2 9 2 2 3 3" xfId="5154" xr:uid="{00000000-0005-0000-0000-0000FF0E0000}"/>
    <cellStyle name="Normal 2 9 2 2 3 4" xfId="5155" xr:uid="{00000000-0005-0000-0000-0000000F0000}"/>
    <cellStyle name="Normal 2 9 2 2 4" xfId="5156" xr:uid="{00000000-0005-0000-0000-0000010F0000}"/>
    <cellStyle name="Normal 2 9 2 2 4 2" xfId="5157" xr:uid="{00000000-0005-0000-0000-0000020F0000}"/>
    <cellStyle name="Normal 2 9 2 2 5" xfId="5158" xr:uid="{00000000-0005-0000-0000-0000030F0000}"/>
    <cellStyle name="Normal 2 9 2 2 6" xfId="5159" xr:uid="{00000000-0005-0000-0000-0000040F0000}"/>
    <cellStyle name="Normal 2 9 2 3" xfId="815" xr:uid="{00000000-0005-0000-0000-0000050F0000}"/>
    <cellStyle name="Normal 2 9 2 3 2" xfId="816" xr:uid="{00000000-0005-0000-0000-0000060F0000}"/>
    <cellStyle name="Normal 2 9 2 3 2 2" xfId="5160" xr:uid="{00000000-0005-0000-0000-0000070F0000}"/>
    <cellStyle name="Normal 2 9 2 3 2 2 2" xfId="5161" xr:uid="{00000000-0005-0000-0000-0000080F0000}"/>
    <cellStyle name="Normal 2 9 2 3 2 3" xfId="5162" xr:uid="{00000000-0005-0000-0000-0000090F0000}"/>
    <cellStyle name="Normal 2 9 2 3 2 4" xfId="5163" xr:uid="{00000000-0005-0000-0000-00000A0F0000}"/>
    <cellStyle name="Normal 2 9 2 3 3" xfId="5164" xr:uid="{00000000-0005-0000-0000-00000B0F0000}"/>
    <cellStyle name="Normal 2 9 2 3 3 2" xfId="5165" xr:uid="{00000000-0005-0000-0000-00000C0F0000}"/>
    <cellStyle name="Normal 2 9 2 3 4" xfId="5166" xr:uid="{00000000-0005-0000-0000-00000D0F0000}"/>
    <cellStyle name="Normal 2 9 2 3 5" xfId="5167" xr:uid="{00000000-0005-0000-0000-00000E0F0000}"/>
    <cellStyle name="Normal 2 9 2 4" xfId="817" xr:uid="{00000000-0005-0000-0000-00000F0F0000}"/>
    <cellStyle name="Normal 2 9 2 4 2" xfId="5168" xr:uid="{00000000-0005-0000-0000-0000100F0000}"/>
    <cellStyle name="Normal 2 9 2 4 2 2" xfId="5169" xr:uid="{00000000-0005-0000-0000-0000110F0000}"/>
    <cellStyle name="Normal 2 9 2 4 3" xfId="5170" xr:uid="{00000000-0005-0000-0000-0000120F0000}"/>
    <cellStyle name="Normal 2 9 2 4 4" xfId="5171" xr:uid="{00000000-0005-0000-0000-0000130F0000}"/>
    <cellStyle name="Normal 2 9 2 5" xfId="5172" xr:uid="{00000000-0005-0000-0000-0000140F0000}"/>
    <cellStyle name="Normal 2 9 2 5 2" xfId="5173" xr:uid="{00000000-0005-0000-0000-0000150F0000}"/>
    <cellStyle name="Normal 2 9 2 6" xfId="5174" xr:uid="{00000000-0005-0000-0000-0000160F0000}"/>
    <cellStyle name="Normal 2 9 2 7" xfId="5175" xr:uid="{00000000-0005-0000-0000-0000170F0000}"/>
    <cellStyle name="Normal 2 9 3" xfId="818" xr:uid="{00000000-0005-0000-0000-0000180F0000}"/>
    <cellStyle name="Normal 2 9 3 2" xfId="819" xr:uid="{00000000-0005-0000-0000-0000190F0000}"/>
    <cellStyle name="Normal 2 9 3 2 2" xfId="820" xr:uid="{00000000-0005-0000-0000-00001A0F0000}"/>
    <cellStyle name="Normal 2 9 3 2 2 2" xfId="5176" xr:uid="{00000000-0005-0000-0000-00001B0F0000}"/>
    <cellStyle name="Normal 2 9 3 2 2 2 2" xfId="5177" xr:uid="{00000000-0005-0000-0000-00001C0F0000}"/>
    <cellStyle name="Normal 2 9 3 2 2 3" xfId="5178" xr:uid="{00000000-0005-0000-0000-00001D0F0000}"/>
    <cellStyle name="Normal 2 9 3 2 2 4" xfId="5179" xr:uid="{00000000-0005-0000-0000-00001E0F0000}"/>
    <cellStyle name="Normal 2 9 3 2 3" xfId="5180" xr:uid="{00000000-0005-0000-0000-00001F0F0000}"/>
    <cellStyle name="Normal 2 9 3 2 3 2" xfId="5181" xr:uid="{00000000-0005-0000-0000-0000200F0000}"/>
    <cellStyle name="Normal 2 9 3 2 4" xfId="5182" xr:uid="{00000000-0005-0000-0000-0000210F0000}"/>
    <cellStyle name="Normal 2 9 3 2 5" xfId="5183" xr:uid="{00000000-0005-0000-0000-0000220F0000}"/>
    <cellStyle name="Normal 2 9 3 3" xfId="821" xr:uid="{00000000-0005-0000-0000-0000230F0000}"/>
    <cellStyle name="Normal 2 9 3 3 2" xfId="5184" xr:uid="{00000000-0005-0000-0000-0000240F0000}"/>
    <cellStyle name="Normal 2 9 3 3 2 2" xfId="5185" xr:uid="{00000000-0005-0000-0000-0000250F0000}"/>
    <cellStyle name="Normal 2 9 3 3 3" xfId="5186" xr:uid="{00000000-0005-0000-0000-0000260F0000}"/>
    <cellStyle name="Normal 2 9 3 3 4" xfId="5187" xr:uid="{00000000-0005-0000-0000-0000270F0000}"/>
    <cellStyle name="Normal 2 9 3 4" xfId="5188" xr:uid="{00000000-0005-0000-0000-0000280F0000}"/>
    <cellStyle name="Normal 2 9 3 4 2" xfId="5189" xr:uid="{00000000-0005-0000-0000-0000290F0000}"/>
    <cellStyle name="Normal 2 9 3 5" xfId="5190" xr:uid="{00000000-0005-0000-0000-00002A0F0000}"/>
    <cellStyle name="Normal 2 9 3 6" xfId="5191" xr:uid="{00000000-0005-0000-0000-00002B0F0000}"/>
    <cellStyle name="Normal 2 9 4" xfId="822" xr:uid="{00000000-0005-0000-0000-00002C0F0000}"/>
    <cellStyle name="Normal 2 9 4 2" xfId="823" xr:uid="{00000000-0005-0000-0000-00002D0F0000}"/>
    <cellStyle name="Normal 2 9 4 2 2" xfId="5192" xr:uid="{00000000-0005-0000-0000-00002E0F0000}"/>
    <cellStyle name="Normal 2 9 4 2 2 2" xfId="5193" xr:uid="{00000000-0005-0000-0000-00002F0F0000}"/>
    <cellStyle name="Normal 2 9 4 2 3" xfId="5194" xr:uid="{00000000-0005-0000-0000-0000300F0000}"/>
    <cellStyle name="Normal 2 9 4 2 4" xfId="5195" xr:uid="{00000000-0005-0000-0000-0000310F0000}"/>
    <cellStyle name="Normal 2 9 4 3" xfId="5196" xr:uid="{00000000-0005-0000-0000-0000320F0000}"/>
    <cellStyle name="Normal 2 9 4 3 2" xfId="5197" xr:uid="{00000000-0005-0000-0000-0000330F0000}"/>
    <cellStyle name="Normal 2 9 4 4" xfId="5198" xr:uid="{00000000-0005-0000-0000-0000340F0000}"/>
    <cellStyle name="Normal 2 9 4 5" xfId="5199" xr:uid="{00000000-0005-0000-0000-0000350F0000}"/>
    <cellStyle name="Normal 2 9 5" xfId="824" xr:uid="{00000000-0005-0000-0000-0000360F0000}"/>
    <cellStyle name="Normal 2 9 5 2" xfId="5200" xr:uid="{00000000-0005-0000-0000-0000370F0000}"/>
    <cellStyle name="Normal 2 9 5 2 2" xfId="5201" xr:uid="{00000000-0005-0000-0000-0000380F0000}"/>
    <cellStyle name="Normal 2 9 5 3" xfId="5202" xr:uid="{00000000-0005-0000-0000-0000390F0000}"/>
    <cellStyle name="Normal 2 9 5 4" xfId="5203" xr:uid="{00000000-0005-0000-0000-00003A0F0000}"/>
    <cellStyle name="Normal 2 9 6" xfId="5204" xr:uid="{00000000-0005-0000-0000-00003B0F0000}"/>
    <cellStyle name="Normal 2 9 6 2" xfId="5205" xr:uid="{00000000-0005-0000-0000-00003C0F0000}"/>
    <cellStyle name="Normal 2 9 7" xfId="5206" xr:uid="{00000000-0005-0000-0000-00003D0F0000}"/>
    <cellStyle name="Normal 2 9 8" xfId="5207" xr:uid="{00000000-0005-0000-0000-00003E0F0000}"/>
    <cellStyle name="Normal 20" xfId="825" xr:uid="{00000000-0005-0000-0000-00003F0F0000}"/>
    <cellStyle name="Normal 20 10" xfId="5208" xr:uid="{00000000-0005-0000-0000-0000400F0000}"/>
    <cellStyle name="Normal 20 2" xfId="826" xr:uid="{00000000-0005-0000-0000-0000410F0000}"/>
    <cellStyle name="Normal 20 2 2" xfId="827" xr:uid="{00000000-0005-0000-0000-0000420F0000}"/>
    <cellStyle name="Normal 20 2 2 2" xfId="828" xr:uid="{00000000-0005-0000-0000-0000430F0000}"/>
    <cellStyle name="Normal 20 2 2 2 2" xfId="829" xr:uid="{00000000-0005-0000-0000-0000440F0000}"/>
    <cellStyle name="Normal 20 2 2 2 2 2" xfId="830" xr:uid="{00000000-0005-0000-0000-0000450F0000}"/>
    <cellStyle name="Normal 20 2 2 2 2 2 2" xfId="5209" xr:uid="{00000000-0005-0000-0000-0000460F0000}"/>
    <cellStyle name="Normal 20 2 2 2 2 2 2 2" xfId="5210" xr:uid="{00000000-0005-0000-0000-0000470F0000}"/>
    <cellStyle name="Normal 20 2 2 2 2 2 3" xfId="5211" xr:uid="{00000000-0005-0000-0000-0000480F0000}"/>
    <cellStyle name="Normal 20 2 2 2 2 2 4" xfId="5212" xr:uid="{00000000-0005-0000-0000-0000490F0000}"/>
    <cellStyle name="Normal 20 2 2 2 2 3" xfId="5213" xr:uid="{00000000-0005-0000-0000-00004A0F0000}"/>
    <cellStyle name="Normal 20 2 2 2 2 3 2" xfId="5214" xr:uid="{00000000-0005-0000-0000-00004B0F0000}"/>
    <cellStyle name="Normal 20 2 2 2 2 4" xfId="5215" xr:uid="{00000000-0005-0000-0000-00004C0F0000}"/>
    <cellStyle name="Normal 20 2 2 2 2 5" xfId="5216" xr:uid="{00000000-0005-0000-0000-00004D0F0000}"/>
    <cellStyle name="Normal 20 2 2 2 3" xfId="831" xr:uid="{00000000-0005-0000-0000-00004E0F0000}"/>
    <cellStyle name="Normal 20 2 2 2 3 2" xfId="5217" xr:uid="{00000000-0005-0000-0000-00004F0F0000}"/>
    <cellStyle name="Normal 20 2 2 2 3 2 2" xfId="5218" xr:uid="{00000000-0005-0000-0000-0000500F0000}"/>
    <cellStyle name="Normal 20 2 2 2 3 3" xfId="5219" xr:uid="{00000000-0005-0000-0000-0000510F0000}"/>
    <cellStyle name="Normal 20 2 2 2 3 4" xfId="5220" xr:uid="{00000000-0005-0000-0000-0000520F0000}"/>
    <cellStyle name="Normal 20 2 2 2 4" xfId="5221" xr:uid="{00000000-0005-0000-0000-0000530F0000}"/>
    <cellStyle name="Normal 20 2 2 2 4 2" xfId="5222" xr:uid="{00000000-0005-0000-0000-0000540F0000}"/>
    <cellStyle name="Normal 20 2 2 2 5" xfId="5223" xr:uid="{00000000-0005-0000-0000-0000550F0000}"/>
    <cellStyle name="Normal 20 2 2 2 6" xfId="5224" xr:uid="{00000000-0005-0000-0000-0000560F0000}"/>
    <cellStyle name="Normal 20 2 2 3" xfId="832" xr:uid="{00000000-0005-0000-0000-0000570F0000}"/>
    <cellStyle name="Normal 20 2 2 3 2" xfId="833" xr:uid="{00000000-0005-0000-0000-0000580F0000}"/>
    <cellStyle name="Normal 20 2 2 3 2 2" xfId="5225" xr:uid="{00000000-0005-0000-0000-0000590F0000}"/>
    <cellStyle name="Normal 20 2 2 3 2 2 2" xfId="5226" xr:uid="{00000000-0005-0000-0000-00005A0F0000}"/>
    <cellStyle name="Normal 20 2 2 3 2 3" xfId="5227" xr:uid="{00000000-0005-0000-0000-00005B0F0000}"/>
    <cellStyle name="Normal 20 2 2 3 2 4" xfId="5228" xr:uid="{00000000-0005-0000-0000-00005C0F0000}"/>
    <cellStyle name="Normal 20 2 2 3 3" xfId="5229" xr:uid="{00000000-0005-0000-0000-00005D0F0000}"/>
    <cellStyle name="Normal 20 2 2 3 3 2" xfId="5230" xr:uid="{00000000-0005-0000-0000-00005E0F0000}"/>
    <cellStyle name="Normal 20 2 2 3 4" xfId="5231" xr:uid="{00000000-0005-0000-0000-00005F0F0000}"/>
    <cellStyle name="Normal 20 2 2 3 5" xfId="5232" xr:uid="{00000000-0005-0000-0000-0000600F0000}"/>
    <cellStyle name="Normal 20 2 2 4" xfId="834" xr:uid="{00000000-0005-0000-0000-0000610F0000}"/>
    <cellStyle name="Normal 20 2 2 4 2" xfId="5233" xr:uid="{00000000-0005-0000-0000-0000620F0000}"/>
    <cellStyle name="Normal 20 2 2 4 2 2" xfId="5234" xr:uid="{00000000-0005-0000-0000-0000630F0000}"/>
    <cellStyle name="Normal 20 2 2 4 3" xfId="5235" xr:uid="{00000000-0005-0000-0000-0000640F0000}"/>
    <cellStyle name="Normal 20 2 2 4 4" xfId="5236" xr:uid="{00000000-0005-0000-0000-0000650F0000}"/>
    <cellStyle name="Normal 20 2 2 5" xfId="5237" xr:uid="{00000000-0005-0000-0000-0000660F0000}"/>
    <cellStyle name="Normal 20 2 2 5 2" xfId="5238" xr:uid="{00000000-0005-0000-0000-0000670F0000}"/>
    <cellStyle name="Normal 20 2 2 6" xfId="5239" xr:uid="{00000000-0005-0000-0000-0000680F0000}"/>
    <cellStyle name="Normal 20 2 2 7" xfId="5240" xr:uid="{00000000-0005-0000-0000-0000690F0000}"/>
    <cellStyle name="Normal 20 2 3" xfId="835" xr:uid="{00000000-0005-0000-0000-00006A0F0000}"/>
    <cellStyle name="Normal 20 2 3 2" xfId="836" xr:uid="{00000000-0005-0000-0000-00006B0F0000}"/>
    <cellStyle name="Normal 20 2 3 2 2" xfId="837" xr:uid="{00000000-0005-0000-0000-00006C0F0000}"/>
    <cellStyle name="Normal 20 2 3 2 2 2" xfId="5241" xr:uid="{00000000-0005-0000-0000-00006D0F0000}"/>
    <cellStyle name="Normal 20 2 3 2 2 2 2" xfId="5242" xr:uid="{00000000-0005-0000-0000-00006E0F0000}"/>
    <cellStyle name="Normal 20 2 3 2 2 3" xfId="5243" xr:uid="{00000000-0005-0000-0000-00006F0F0000}"/>
    <cellStyle name="Normal 20 2 3 2 2 4" xfId="5244" xr:uid="{00000000-0005-0000-0000-0000700F0000}"/>
    <cellStyle name="Normal 20 2 3 2 3" xfId="5245" xr:uid="{00000000-0005-0000-0000-0000710F0000}"/>
    <cellStyle name="Normal 20 2 3 2 3 2" xfId="5246" xr:uid="{00000000-0005-0000-0000-0000720F0000}"/>
    <cellStyle name="Normal 20 2 3 2 4" xfId="5247" xr:uid="{00000000-0005-0000-0000-0000730F0000}"/>
    <cellStyle name="Normal 20 2 3 2 5" xfId="5248" xr:uid="{00000000-0005-0000-0000-0000740F0000}"/>
    <cellStyle name="Normal 20 2 3 3" xfId="838" xr:uid="{00000000-0005-0000-0000-0000750F0000}"/>
    <cellStyle name="Normal 20 2 3 3 2" xfId="5249" xr:uid="{00000000-0005-0000-0000-0000760F0000}"/>
    <cellStyle name="Normal 20 2 3 3 2 2" xfId="5250" xr:uid="{00000000-0005-0000-0000-0000770F0000}"/>
    <cellStyle name="Normal 20 2 3 3 3" xfId="5251" xr:uid="{00000000-0005-0000-0000-0000780F0000}"/>
    <cellStyle name="Normal 20 2 3 3 4" xfId="5252" xr:uid="{00000000-0005-0000-0000-0000790F0000}"/>
    <cellStyle name="Normal 20 2 3 4" xfId="5253" xr:uid="{00000000-0005-0000-0000-00007A0F0000}"/>
    <cellStyle name="Normal 20 2 3 4 2" xfId="5254" xr:uid="{00000000-0005-0000-0000-00007B0F0000}"/>
    <cellStyle name="Normal 20 2 3 5" xfId="5255" xr:uid="{00000000-0005-0000-0000-00007C0F0000}"/>
    <cellStyle name="Normal 20 2 3 6" xfId="5256" xr:uid="{00000000-0005-0000-0000-00007D0F0000}"/>
    <cellStyle name="Normal 20 2 4" xfId="839" xr:uid="{00000000-0005-0000-0000-00007E0F0000}"/>
    <cellStyle name="Normal 20 2 4 2" xfId="840" xr:uid="{00000000-0005-0000-0000-00007F0F0000}"/>
    <cellStyle name="Normal 20 2 4 2 2" xfId="5257" xr:uid="{00000000-0005-0000-0000-0000800F0000}"/>
    <cellStyle name="Normal 20 2 4 2 2 2" xfId="5258" xr:uid="{00000000-0005-0000-0000-0000810F0000}"/>
    <cellStyle name="Normal 20 2 4 2 3" xfId="5259" xr:uid="{00000000-0005-0000-0000-0000820F0000}"/>
    <cellStyle name="Normal 20 2 4 2 4" xfId="5260" xr:uid="{00000000-0005-0000-0000-0000830F0000}"/>
    <cellStyle name="Normal 20 2 4 3" xfId="5261" xr:uid="{00000000-0005-0000-0000-0000840F0000}"/>
    <cellStyle name="Normal 20 2 4 3 2" xfId="5262" xr:uid="{00000000-0005-0000-0000-0000850F0000}"/>
    <cellStyle name="Normal 20 2 4 4" xfId="5263" xr:uid="{00000000-0005-0000-0000-0000860F0000}"/>
    <cellStyle name="Normal 20 2 4 5" xfId="5264" xr:uid="{00000000-0005-0000-0000-0000870F0000}"/>
    <cellStyle name="Normal 20 2 5" xfId="841" xr:uid="{00000000-0005-0000-0000-0000880F0000}"/>
    <cellStyle name="Normal 20 2 5 2" xfId="5265" xr:uid="{00000000-0005-0000-0000-0000890F0000}"/>
    <cellStyle name="Normal 20 2 5 2 2" xfId="5266" xr:uid="{00000000-0005-0000-0000-00008A0F0000}"/>
    <cellStyle name="Normal 20 2 5 3" xfId="5267" xr:uid="{00000000-0005-0000-0000-00008B0F0000}"/>
    <cellStyle name="Normal 20 2 5 4" xfId="5268" xr:uid="{00000000-0005-0000-0000-00008C0F0000}"/>
    <cellStyle name="Normal 20 2 6" xfId="5269" xr:uid="{00000000-0005-0000-0000-00008D0F0000}"/>
    <cellStyle name="Normal 20 2 6 2" xfId="5270" xr:uid="{00000000-0005-0000-0000-00008E0F0000}"/>
    <cellStyle name="Normal 20 2 7" xfId="5271" xr:uid="{00000000-0005-0000-0000-00008F0F0000}"/>
    <cellStyle name="Normal 20 2 8" xfId="5272" xr:uid="{00000000-0005-0000-0000-0000900F0000}"/>
    <cellStyle name="Normal 20 3" xfId="842" xr:uid="{00000000-0005-0000-0000-0000910F0000}"/>
    <cellStyle name="Normal 20 3 2" xfId="843" xr:uid="{00000000-0005-0000-0000-0000920F0000}"/>
    <cellStyle name="Normal 20 3 2 2" xfId="844" xr:uid="{00000000-0005-0000-0000-0000930F0000}"/>
    <cellStyle name="Normal 20 3 2 2 2" xfId="845" xr:uid="{00000000-0005-0000-0000-0000940F0000}"/>
    <cellStyle name="Normal 20 3 2 2 2 2" xfId="846" xr:uid="{00000000-0005-0000-0000-0000950F0000}"/>
    <cellStyle name="Normal 20 3 2 2 2 2 2" xfId="5273" xr:uid="{00000000-0005-0000-0000-0000960F0000}"/>
    <cellStyle name="Normal 20 3 2 2 2 2 2 2" xfId="5274" xr:uid="{00000000-0005-0000-0000-0000970F0000}"/>
    <cellStyle name="Normal 20 3 2 2 2 2 3" xfId="5275" xr:uid="{00000000-0005-0000-0000-0000980F0000}"/>
    <cellStyle name="Normal 20 3 2 2 2 2 4" xfId="5276" xr:uid="{00000000-0005-0000-0000-0000990F0000}"/>
    <cellStyle name="Normal 20 3 2 2 2 3" xfId="5277" xr:uid="{00000000-0005-0000-0000-00009A0F0000}"/>
    <cellStyle name="Normal 20 3 2 2 2 3 2" xfId="5278" xr:uid="{00000000-0005-0000-0000-00009B0F0000}"/>
    <cellStyle name="Normal 20 3 2 2 2 4" xfId="5279" xr:uid="{00000000-0005-0000-0000-00009C0F0000}"/>
    <cellStyle name="Normal 20 3 2 2 2 5" xfId="5280" xr:uid="{00000000-0005-0000-0000-00009D0F0000}"/>
    <cellStyle name="Normal 20 3 2 2 3" xfId="847" xr:uid="{00000000-0005-0000-0000-00009E0F0000}"/>
    <cellStyle name="Normal 20 3 2 2 3 2" xfId="5281" xr:uid="{00000000-0005-0000-0000-00009F0F0000}"/>
    <cellStyle name="Normal 20 3 2 2 3 2 2" xfId="5282" xr:uid="{00000000-0005-0000-0000-0000A00F0000}"/>
    <cellStyle name="Normal 20 3 2 2 3 3" xfId="5283" xr:uid="{00000000-0005-0000-0000-0000A10F0000}"/>
    <cellStyle name="Normal 20 3 2 2 3 4" xfId="5284" xr:uid="{00000000-0005-0000-0000-0000A20F0000}"/>
    <cellStyle name="Normal 20 3 2 2 4" xfId="5285" xr:uid="{00000000-0005-0000-0000-0000A30F0000}"/>
    <cellStyle name="Normal 20 3 2 2 4 2" xfId="5286" xr:uid="{00000000-0005-0000-0000-0000A40F0000}"/>
    <cellStyle name="Normal 20 3 2 2 5" xfId="5287" xr:uid="{00000000-0005-0000-0000-0000A50F0000}"/>
    <cellStyle name="Normal 20 3 2 2 6" xfId="5288" xr:uid="{00000000-0005-0000-0000-0000A60F0000}"/>
    <cellStyle name="Normal 20 3 2 3" xfId="848" xr:uid="{00000000-0005-0000-0000-0000A70F0000}"/>
    <cellStyle name="Normal 20 3 2 3 2" xfId="849" xr:uid="{00000000-0005-0000-0000-0000A80F0000}"/>
    <cellStyle name="Normal 20 3 2 3 2 2" xfId="5289" xr:uid="{00000000-0005-0000-0000-0000A90F0000}"/>
    <cellStyle name="Normal 20 3 2 3 2 2 2" xfId="5290" xr:uid="{00000000-0005-0000-0000-0000AA0F0000}"/>
    <cellStyle name="Normal 20 3 2 3 2 3" xfId="5291" xr:uid="{00000000-0005-0000-0000-0000AB0F0000}"/>
    <cellStyle name="Normal 20 3 2 3 2 4" xfId="5292" xr:uid="{00000000-0005-0000-0000-0000AC0F0000}"/>
    <cellStyle name="Normal 20 3 2 3 3" xfId="5293" xr:uid="{00000000-0005-0000-0000-0000AD0F0000}"/>
    <cellStyle name="Normal 20 3 2 3 3 2" xfId="5294" xr:uid="{00000000-0005-0000-0000-0000AE0F0000}"/>
    <cellStyle name="Normal 20 3 2 3 4" xfId="5295" xr:uid="{00000000-0005-0000-0000-0000AF0F0000}"/>
    <cellStyle name="Normal 20 3 2 3 5" xfId="5296" xr:uid="{00000000-0005-0000-0000-0000B00F0000}"/>
    <cellStyle name="Normal 20 3 2 4" xfId="850" xr:uid="{00000000-0005-0000-0000-0000B10F0000}"/>
    <cellStyle name="Normal 20 3 2 4 2" xfId="5297" xr:uid="{00000000-0005-0000-0000-0000B20F0000}"/>
    <cellStyle name="Normal 20 3 2 4 2 2" xfId="5298" xr:uid="{00000000-0005-0000-0000-0000B30F0000}"/>
    <cellStyle name="Normal 20 3 2 4 3" xfId="5299" xr:uid="{00000000-0005-0000-0000-0000B40F0000}"/>
    <cellStyle name="Normal 20 3 2 4 4" xfId="5300" xr:uid="{00000000-0005-0000-0000-0000B50F0000}"/>
    <cellStyle name="Normal 20 3 2 5" xfId="5301" xr:uid="{00000000-0005-0000-0000-0000B60F0000}"/>
    <cellStyle name="Normal 20 3 2 5 2" xfId="5302" xr:uid="{00000000-0005-0000-0000-0000B70F0000}"/>
    <cellStyle name="Normal 20 3 2 6" xfId="5303" xr:uid="{00000000-0005-0000-0000-0000B80F0000}"/>
    <cellStyle name="Normal 20 3 2 7" xfId="5304" xr:uid="{00000000-0005-0000-0000-0000B90F0000}"/>
    <cellStyle name="Normal 20 3 3" xfId="851" xr:uid="{00000000-0005-0000-0000-0000BA0F0000}"/>
    <cellStyle name="Normal 20 3 3 2" xfId="852" xr:uid="{00000000-0005-0000-0000-0000BB0F0000}"/>
    <cellStyle name="Normal 20 3 3 2 2" xfId="853" xr:uid="{00000000-0005-0000-0000-0000BC0F0000}"/>
    <cellStyle name="Normal 20 3 3 2 2 2" xfId="5305" xr:uid="{00000000-0005-0000-0000-0000BD0F0000}"/>
    <cellStyle name="Normal 20 3 3 2 2 2 2" xfId="5306" xr:uid="{00000000-0005-0000-0000-0000BE0F0000}"/>
    <cellStyle name="Normal 20 3 3 2 2 3" xfId="5307" xr:uid="{00000000-0005-0000-0000-0000BF0F0000}"/>
    <cellStyle name="Normal 20 3 3 2 2 4" xfId="5308" xr:uid="{00000000-0005-0000-0000-0000C00F0000}"/>
    <cellStyle name="Normal 20 3 3 2 3" xfId="5309" xr:uid="{00000000-0005-0000-0000-0000C10F0000}"/>
    <cellStyle name="Normal 20 3 3 2 3 2" xfId="5310" xr:uid="{00000000-0005-0000-0000-0000C20F0000}"/>
    <cellStyle name="Normal 20 3 3 2 4" xfId="5311" xr:uid="{00000000-0005-0000-0000-0000C30F0000}"/>
    <cellStyle name="Normal 20 3 3 2 5" xfId="5312" xr:uid="{00000000-0005-0000-0000-0000C40F0000}"/>
    <cellStyle name="Normal 20 3 3 3" xfId="854" xr:uid="{00000000-0005-0000-0000-0000C50F0000}"/>
    <cellStyle name="Normal 20 3 3 3 2" xfId="5313" xr:uid="{00000000-0005-0000-0000-0000C60F0000}"/>
    <cellStyle name="Normal 20 3 3 3 2 2" xfId="5314" xr:uid="{00000000-0005-0000-0000-0000C70F0000}"/>
    <cellStyle name="Normal 20 3 3 3 3" xfId="5315" xr:uid="{00000000-0005-0000-0000-0000C80F0000}"/>
    <cellStyle name="Normal 20 3 3 3 4" xfId="5316" xr:uid="{00000000-0005-0000-0000-0000C90F0000}"/>
    <cellStyle name="Normal 20 3 3 4" xfId="5317" xr:uid="{00000000-0005-0000-0000-0000CA0F0000}"/>
    <cellStyle name="Normal 20 3 3 4 2" xfId="5318" xr:uid="{00000000-0005-0000-0000-0000CB0F0000}"/>
    <cellStyle name="Normal 20 3 3 5" xfId="5319" xr:uid="{00000000-0005-0000-0000-0000CC0F0000}"/>
    <cellStyle name="Normal 20 3 3 6" xfId="5320" xr:uid="{00000000-0005-0000-0000-0000CD0F0000}"/>
    <cellStyle name="Normal 20 3 4" xfId="855" xr:uid="{00000000-0005-0000-0000-0000CE0F0000}"/>
    <cellStyle name="Normal 20 3 4 2" xfId="856" xr:uid="{00000000-0005-0000-0000-0000CF0F0000}"/>
    <cellStyle name="Normal 20 3 4 2 2" xfId="5321" xr:uid="{00000000-0005-0000-0000-0000D00F0000}"/>
    <cellStyle name="Normal 20 3 4 2 2 2" xfId="5322" xr:uid="{00000000-0005-0000-0000-0000D10F0000}"/>
    <cellStyle name="Normal 20 3 4 2 3" xfId="5323" xr:uid="{00000000-0005-0000-0000-0000D20F0000}"/>
    <cellStyle name="Normal 20 3 4 2 4" xfId="5324" xr:uid="{00000000-0005-0000-0000-0000D30F0000}"/>
    <cellStyle name="Normal 20 3 4 3" xfId="5325" xr:uid="{00000000-0005-0000-0000-0000D40F0000}"/>
    <cellStyle name="Normal 20 3 4 3 2" xfId="5326" xr:uid="{00000000-0005-0000-0000-0000D50F0000}"/>
    <cellStyle name="Normal 20 3 4 4" xfId="5327" xr:uid="{00000000-0005-0000-0000-0000D60F0000}"/>
    <cellStyle name="Normal 20 3 4 5" xfId="5328" xr:uid="{00000000-0005-0000-0000-0000D70F0000}"/>
    <cellStyle name="Normal 20 3 5" xfId="857" xr:uid="{00000000-0005-0000-0000-0000D80F0000}"/>
    <cellStyle name="Normal 20 3 5 2" xfId="5329" xr:uid="{00000000-0005-0000-0000-0000D90F0000}"/>
    <cellStyle name="Normal 20 3 5 2 2" xfId="5330" xr:uid="{00000000-0005-0000-0000-0000DA0F0000}"/>
    <cellStyle name="Normal 20 3 5 3" xfId="5331" xr:uid="{00000000-0005-0000-0000-0000DB0F0000}"/>
    <cellStyle name="Normal 20 3 5 4" xfId="5332" xr:uid="{00000000-0005-0000-0000-0000DC0F0000}"/>
    <cellStyle name="Normal 20 3 6" xfId="5333" xr:uid="{00000000-0005-0000-0000-0000DD0F0000}"/>
    <cellStyle name="Normal 20 3 6 2" xfId="5334" xr:uid="{00000000-0005-0000-0000-0000DE0F0000}"/>
    <cellStyle name="Normal 20 3 7" xfId="5335" xr:uid="{00000000-0005-0000-0000-0000DF0F0000}"/>
    <cellStyle name="Normal 20 3 8" xfId="5336" xr:uid="{00000000-0005-0000-0000-0000E00F0000}"/>
    <cellStyle name="Normal 20 4" xfId="858" xr:uid="{00000000-0005-0000-0000-0000E10F0000}"/>
    <cellStyle name="Normal 20 4 2" xfId="859" xr:uid="{00000000-0005-0000-0000-0000E20F0000}"/>
    <cellStyle name="Normal 20 4 2 2" xfId="860" xr:uid="{00000000-0005-0000-0000-0000E30F0000}"/>
    <cellStyle name="Normal 20 4 2 2 2" xfId="861" xr:uid="{00000000-0005-0000-0000-0000E40F0000}"/>
    <cellStyle name="Normal 20 4 2 2 2 2" xfId="5337" xr:uid="{00000000-0005-0000-0000-0000E50F0000}"/>
    <cellStyle name="Normal 20 4 2 2 2 2 2" xfId="5338" xr:uid="{00000000-0005-0000-0000-0000E60F0000}"/>
    <cellStyle name="Normal 20 4 2 2 2 3" xfId="5339" xr:uid="{00000000-0005-0000-0000-0000E70F0000}"/>
    <cellStyle name="Normal 20 4 2 2 2 4" xfId="5340" xr:uid="{00000000-0005-0000-0000-0000E80F0000}"/>
    <cellStyle name="Normal 20 4 2 2 3" xfId="5341" xr:uid="{00000000-0005-0000-0000-0000E90F0000}"/>
    <cellStyle name="Normal 20 4 2 2 3 2" xfId="5342" xr:uid="{00000000-0005-0000-0000-0000EA0F0000}"/>
    <cellStyle name="Normal 20 4 2 2 4" xfId="5343" xr:uid="{00000000-0005-0000-0000-0000EB0F0000}"/>
    <cellStyle name="Normal 20 4 2 2 5" xfId="5344" xr:uid="{00000000-0005-0000-0000-0000EC0F0000}"/>
    <cellStyle name="Normal 20 4 2 3" xfId="862" xr:uid="{00000000-0005-0000-0000-0000ED0F0000}"/>
    <cellStyle name="Normal 20 4 2 3 2" xfId="5345" xr:uid="{00000000-0005-0000-0000-0000EE0F0000}"/>
    <cellStyle name="Normal 20 4 2 3 2 2" xfId="5346" xr:uid="{00000000-0005-0000-0000-0000EF0F0000}"/>
    <cellStyle name="Normal 20 4 2 3 3" xfId="5347" xr:uid="{00000000-0005-0000-0000-0000F00F0000}"/>
    <cellStyle name="Normal 20 4 2 3 4" xfId="5348" xr:uid="{00000000-0005-0000-0000-0000F10F0000}"/>
    <cellStyle name="Normal 20 4 2 4" xfId="5349" xr:uid="{00000000-0005-0000-0000-0000F20F0000}"/>
    <cellStyle name="Normal 20 4 2 4 2" xfId="5350" xr:uid="{00000000-0005-0000-0000-0000F30F0000}"/>
    <cellStyle name="Normal 20 4 2 5" xfId="5351" xr:uid="{00000000-0005-0000-0000-0000F40F0000}"/>
    <cellStyle name="Normal 20 4 2 6" xfId="5352" xr:uid="{00000000-0005-0000-0000-0000F50F0000}"/>
    <cellStyle name="Normal 20 4 3" xfId="863" xr:uid="{00000000-0005-0000-0000-0000F60F0000}"/>
    <cellStyle name="Normal 20 4 3 2" xfId="864" xr:uid="{00000000-0005-0000-0000-0000F70F0000}"/>
    <cellStyle name="Normal 20 4 3 2 2" xfId="5353" xr:uid="{00000000-0005-0000-0000-0000F80F0000}"/>
    <cellStyle name="Normal 20 4 3 2 2 2" xfId="5354" xr:uid="{00000000-0005-0000-0000-0000F90F0000}"/>
    <cellStyle name="Normal 20 4 3 2 3" xfId="5355" xr:uid="{00000000-0005-0000-0000-0000FA0F0000}"/>
    <cellStyle name="Normal 20 4 3 2 4" xfId="5356" xr:uid="{00000000-0005-0000-0000-0000FB0F0000}"/>
    <cellStyle name="Normal 20 4 3 3" xfId="5357" xr:uid="{00000000-0005-0000-0000-0000FC0F0000}"/>
    <cellStyle name="Normal 20 4 3 3 2" xfId="5358" xr:uid="{00000000-0005-0000-0000-0000FD0F0000}"/>
    <cellStyle name="Normal 20 4 3 4" xfId="5359" xr:uid="{00000000-0005-0000-0000-0000FE0F0000}"/>
    <cellStyle name="Normal 20 4 3 5" xfId="5360" xr:uid="{00000000-0005-0000-0000-0000FF0F0000}"/>
    <cellStyle name="Normal 20 4 4" xfId="865" xr:uid="{00000000-0005-0000-0000-000000100000}"/>
    <cellStyle name="Normal 20 4 4 2" xfId="5361" xr:uid="{00000000-0005-0000-0000-000001100000}"/>
    <cellStyle name="Normal 20 4 4 2 2" xfId="5362" xr:uid="{00000000-0005-0000-0000-000002100000}"/>
    <cellStyle name="Normal 20 4 4 3" xfId="5363" xr:uid="{00000000-0005-0000-0000-000003100000}"/>
    <cellStyle name="Normal 20 4 4 4" xfId="5364" xr:uid="{00000000-0005-0000-0000-000004100000}"/>
    <cellStyle name="Normal 20 4 5" xfId="5365" xr:uid="{00000000-0005-0000-0000-000005100000}"/>
    <cellStyle name="Normal 20 4 5 2" xfId="5366" xr:uid="{00000000-0005-0000-0000-000006100000}"/>
    <cellStyle name="Normal 20 4 6" xfId="5367" xr:uid="{00000000-0005-0000-0000-000007100000}"/>
    <cellStyle name="Normal 20 4 7" xfId="5368" xr:uid="{00000000-0005-0000-0000-000008100000}"/>
    <cellStyle name="Normal 20 5" xfId="866" xr:uid="{00000000-0005-0000-0000-000009100000}"/>
    <cellStyle name="Normal 20 5 2" xfId="867" xr:uid="{00000000-0005-0000-0000-00000A100000}"/>
    <cellStyle name="Normal 20 5 2 2" xfId="868" xr:uid="{00000000-0005-0000-0000-00000B100000}"/>
    <cellStyle name="Normal 20 5 2 2 2" xfId="5369" xr:uid="{00000000-0005-0000-0000-00000C100000}"/>
    <cellStyle name="Normal 20 5 2 2 2 2" xfId="5370" xr:uid="{00000000-0005-0000-0000-00000D100000}"/>
    <cellStyle name="Normal 20 5 2 2 3" xfId="5371" xr:uid="{00000000-0005-0000-0000-00000E100000}"/>
    <cellStyle name="Normal 20 5 2 2 4" xfId="5372" xr:uid="{00000000-0005-0000-0000-00000F100000}"/>
    <cellStyle name="Normal 20 5 2 3" xfId="5373" xr:uid="{00000000-0005-0000-0000-000010100000}"/>
    <cellStyle name="Normal 20 5 2 3 2" xfId="5374" xr:uid="{00000000-0005-0000-0000-000011100000}"/>
    <cellStyle name="Normal 20 5 2 4" xfId="5375" xr:uid="{00000000-0005-0000-0000-000012100000}"/>
    <cellStyle name="Normal 20 5 2 5" xfId="5376" xr:uid="{00000000-0005-0000-0000-000013100000}"/>
    <cellStyle name="Normal 20 5 3" xfId="869" xr:uid="{00000000-0005-0000-0000-000014100000}"/>
    <cellStyle name="Normal 20 5 3 2" xfId="5377" xr:uid="{00000000-0005-0000-0000-000015100000}"/>
    <cellStyle name="Normal 20 5 3 2 2" xfId="5378" xr:uid="{00000000-0005-0000-0000-000016100000}"/>
    <cellStyle name="Normal 20 5 3 3" xfId="5379" xr:uid="{00000000-0005-0000-0000-000017100000}"/>
    <cellStyle name="Normal 20 5 3 4" xfId="5380" xr:uid="{00000000-0005-0000-0000-000018100000}"/>
    <cellStyle name="Normal 20 5 4" xfId="5381" xr:uid="{00000000-0005-0000-0000-000019100000}"/>
    <cellStyle name="Normal 20 5 4 2" xfId="5382" xr:uid="{00000000-0005-0000-0000-00001A100000}"/>
    <cellStyle name="Normal 20 5 5" xfId="5383" xr:uid="{00000000-0005-0000-0000-00001B100000}"/>
    <cellStyle name="Normal 20 5 6" xfId="5384" xr:uid="{00000000-0005-0000-0000-00001C100000}"/>
    <cellStyle name="Normal 20 6" xfId="870" xr:uid="{00000000-0005-0000-0000-00001D100000}"/>
    <cellStyle name="Normal 20 6 2" xfId="871" xr:uid="{00000000-0005-0000-0000-00001E100000}"/>
    <cellStyle name="Normal 20 6 2 2" xfId="5385" xr:uid="{00000000-0005-0000-0000-00001F100000}"/>
    <cellStyle name="Normal 20 6 2 2 2" xfId="5386" xr:uid="{00000000-0005-0000-0000-000020100000}"/>
    <cellStyle name="Normal 20 6 2 3" xfId="5387" xr:uid="{00000000-0005-0000-0000-000021100000}"/>
    <cellStyle name="Normal 20 6 2 4" xfId="5388" xr:uid="{00000000-0005-0000-0000-000022100000}"/>
    <cellStyle name="Normal 20 6 3" xfId="5389" xr:uid="{00000000-0005-0000-0000-000023100000}"/>
    <cellStyle name="Normal 20 6 3 2" xfId="5390" xr:uid="{00000000-0005-0000-0000-000024100000}"/>
    <cellStyle name="Normal 20 6 4" xfId="5391" xr:uid="{00000000-0005-0000-0000-000025100000}"/>
    <cellStyle name="Normal 20 6 5" xfId="5392" xr:uid="{00000000-0005-0000-0000-000026100000}"/>
    <cellStyle name="Normal 20 7" xfId="872" xr:uid="{00000000-0005-0000-0000-000027100000}"/>
    <cellStyle name="Normal 20 7 2" xfId="5393" xr:uid="{00000000-0005-0000-0000-000028100000}"/>
    <cellStyle name="Normal 20 7 2 2" xfId="5394" xr:uid="{00000000-0005-0000-0000-000029100000}"/>
    <cellStyle name="Normal 20 7 3" xfId="5395" xr:uid="{00000000-0005-0000-0000-00002A100000}"/>
    <cellStyle name="Normal 20 7 4" xfId="5396" xr:uid="{00000000-0005-0000-0000-00002B100000}"/>
    <cellStyle name="Normal 20 8" xfId="5397" xr:uid="{00000000-0005-0000-0000-00002C100000}"/>
    <cellStyle name="Normal 20 8 2" xfId="5398" xr:uid="{00000000-0005-0000-0000-00002D100000}"/>
    <cellStyle name="Normal 20 9" xfId="5399" xr:uid="{00000000-0005-0000-0000-00002E100000}"/>
    <cellStyle name="Normal 21" xfId="873" xr:uid="{00000000-0005-0000-0000-00002F100000}"/>
    <cellStyle name="Normal 21 2" xfId="874" xr:uid="{00000000-0005-0000-0000-000030100000}"/>
    <cellStyle name="Normal 21 2 2" xfId="875" xr:uid="{00000000-0005-0000-0000-000031100000}"/>
    <cellStyle name="Normal 21 2 2 2" xfId="876" xr:uid="{00000000-0005-0000-0000-000032100000}"/>
    <cellStyle name="Normal 21 2 2 2 2" xfId="877" xr:uid="{00000000-0005-0000-0000-000033100000}"/>
    <cellStyle name="Normal 21 2 2 2 2 2" xfId="878" xr:uid="{00000000-0005-0000-0000-000034100000}"/>
    <cellStyle name="Normal 21 2 2 2 2 2 2" xfId="5400" xr:uid="{00000000-0005-0000-0000-000035100000}"/>
    <cellStyle name="Normal 21 2 2 2 2 2 2 2" xfId="5401" xr:uid="{00000000-0005-0000-0000-000036100000}"/>
    <cellStyle name="Normal 21 2 2 2 2 2 3" xfId="5402" xr:uid="{00000000-0005-0000-0000-000037100000}"/>
    <cellStyle name="Normal 21 2 2 2 2 2 4" xfId="5403" xr:uid="{00000000-0005-0000-0000-000038100000}"/>
    <cellStyle name="Normal 21 2 2 2 2 3" xfId="5404" xr:uid="{00000000-0005-0000-0000-000039100000}"/>
    <cellStyle name="Normal 21 2 2 2 2 3 2" xfId="5405" xr:uid="{00000000-0005-0000-0000-00003A100000}"/>
    <cellStyle name="Normal 21 2 2 2 2 4" xfId="5406" xr:uid="{00000000-0005-0000-0000-00003B100000}"/>
    <cellStyle name="Normal 21 2 2 2 2 5" xfId="5407" xr:uid="{00000000-0005-0000-0000-00003C100000}"/>
    <cellStyle name="Normal 21 2 2 2 3" xfId="879" xr:uid="{00000000-0005-0000-0000-00003D100000}"/>
    <cellStyle name="Normal 21 2 2 2 3 2" xfId="5408" xr:uid="{00000000-0005-0000-0000-00003E100000}"/>
    <cellStyle name="Normal 21 2 2 2 3 2 2" xfId="5409" xr:uid="{00000000-0005-0000-0000-00003F100000}"/>
    <cellStyle name="Normal 21 2 2 2 3 3" xfId="5410" xr:uid="{00000000-0005-0000-0000-000040100000}"/>
    <cellStyle name="Normal 21 2 2 2 3 4" xfId="5411" xr:uid="{00000000-0005-0000-0000-000041100000}"/>
    <cellStyle name="Normal 21 2 2 2 4" xfId="5412" xr:uid="{00000000-0005-0000-0000-000042100000}"/>
    <cellStyle name="Normal 21 2 2 2 4 2" xfId="5413" xr:uid="{00000000-0005-0000-0000-000043100000}"/>
    <cellStyle name="Normal 21 2 2 2 5" xfId="5414" xr:uid="{00000000-0005-0000-0000-000044100000}"/>
    <cellStyle name="Normal 21 2 2 2 6" xfId="5415" xr:uid="{00000000-0005-0000-0000-000045100000}"/>
    <cellStyle name="Normal 21 2 2 3" xfId="880" xr:uid="{00000000-0005-0000-0000-000046100000}"/>
    <cellStyle name="Normal 21 2 2 3 2" xfId="881" xr:uid="{00000000-0005-0000-0000-000047100000}"/>
    <cellStyle name="Normal 21 2 2 3 2 2" xfId="5416" xr:uid="{00000000-0005-0000-0000-000048100000}"/>
    <cellStyle name="Normal 21 2 2 3 2 2 2" xfId="5417" xr:uid="{00000000-0005-0000-0000-000049100000}"/>
    <cellStyle name="Normal 21 2 2 3 2 3" xfId="5418" xr:uid="{00000000-0005-0000-0000-00004A100000}"/>
    <cellStyle name="Normal 21 2 2 3 2 4" xfId="5419" xr:uid="{00000000-0005-0000-0000-00004B100000}"/>
    <cellStyle name="Normal 21 2 2 3 3" xfId="5420" xr:uid="{00000000-0005-0000-0000-00004C100000}"/>
    <cellStyle name="Normal 21 2 2 3 3 2" xfId="5421" xr:uid="{00000000-0005-0000-0000-00004D100000}"/>
    <cellStyle name="Normal 21 2 2 3 4" xfId="5422" xr:uid="{00000000-0005-0000-0000-00004E100000}"/>
    <cellStyle name="Normal 21 2 2 3 5" xfId="5423" xr:uid="{00000000-0005-0000-0000-00004F100000}"/>
    <cellStyle name="Normal 21 2 2 4" xfId="882" xr:uid="{00000000-0005-0000-0000-000050100000}"/>
    <cellStyle name="Normal 21 2 2 4 2" xfId="5424" xr:uid="{00000000-0005-0000-0000-000051100000}"/>
    <cellStyle name="Normal 21 2 2 4 2 2" xfId="5425" xr:uid="{00000000-0005-0000-0000-000052100000}"/>
    <cellStyle name="Normal 21 2 2 4 3" xfId="5426" xr:uid="{00000000-0005-0000-0000-000053100000}"/>
    <cellStyle name="Normal 21 2 2 4 4" xfId="5427" xr:uid="{00000000-0005-0000-0000-000054100000}"/>
    <cellStyle name="Normal 21 2 2 5" xfId="5428" xr:uid="{00000000-0005-0000-0000-000055100000}"/>
    <cellStyle name="Normal 21 2 2 5 2" xfId="5429" xr:uid="{00000000-0005-0000-0000-000056100000}"/>
    <cellStyle name="Normal 21 2 2 6" xfId="5430" xr:uid="{00000000-0005-0000-0000-000057100000}"/>
    <cellStyle name="Normal 21 2 2 7" xfId="5431" xr:uid="{00000000-0005-0000-0000-000058100000}"/>
    <cellStyle name="Normal 21 2 3" xfId="883" xr:uid="{00000000-0005-0000-0000-000059100000}"/>
    <cellStyle name="Normal 21 2 3 2" xfId="884" xr:uid="{00000000-0005-0000-0000-00005A100000}"/>
    <cellStyle name="Normal 21 2 3 2 2" xfId="885" xr:uid="{00000000-0005-0000-0000-00005B100000}"/>
    <cellStyle name="Normal 21 2 3 2 2 2" xfId="5432" xr:uid="{00000000-0005-0000-0000-00005C100000}"/>
    <cellStyle name="Normal 21 2 3 2 2 2 2" xfId="5433" xr:uid="{00000000-0005-0000-0000-00005D100000}"/>
    <cellStyle name="Normal 21 2 3 2 2 3" xfId="5434" xr:uid="{00000000-0005-0000-0000-00005E100000}"/>
    <cellStyle name="Normal 21 2 3 2 2 4" xfId="5435" xr:uid="{00000000-0005-0000-0000-00005F100000}"/>
    <cellStyle name="Normal 21 2 3 2 3" xfId="5436" xr:uid="{00000000-0005-0000-0000-000060100000}"/>
    <cellStyle name="Normal 21 2 3 2 3 2" xfId="5437" xr:uid="{00000000-0005-0000-0000-000061100000}"/>
    <cellStyle name="Normal 21 2 3 2 4" xfId="5438" xr:uid="{00000000-0005-0000-0000-000062100000}"/>
    <cellStyle name="Normal 21 2 3 2 5" xfId="5439" xr:uid="{00000000-0005-0000-0000-000063100000}"/>
    <cellStyle name="Normal 21 2 3 3" xfId="886" xr:uid="{00000000-0005-0000-0000-000064100000}"/>
    <cellStyle name="Normal 21 2 3 3 2" xfId="5440" xr:uid="{00000000-0005-0000-0000-000065100000}"/>
    <cellStyle name="Normal 21 2 3 3 2 2" xfId="5441" xr:uid="{00000000-0005-0000-0000-000066100000}"/>
    <cellStyle name="Normal 21 2 3 3 3" xfId="5442" xr:uid="{00000000-0005-0000-0000-000067100000}"/>
    <cellStyle name="Normal 21 2 3 3 4" xfId="5443" xr:uid="{00000000-0005-0000-0000-000068100000}"/>
    <cellStyle name="Normal 21 2 3 4" xfId="5444" xr:uid="{00000000-0005-0000-0000-000069100000}"/>
    <cellStyle name="Normal 21 2 3 4 2" xfId="5445" xr:uid="{00000000-0005-0000-0000-00006A100000}"/>
    <cellStyle name="Normal 21 2 3 5" xfId="5446" xr:uid="{00000000-0005-0000-0000-00006B100000}"/>
    <cellStyle name="Normal 21 2 3 6" xfId="5447" xr:uid="{00000000-0005-0000-0000-00006C100000}"/>
    <cellStyle name="Normal 21 2 4" xfId="887" xr:uid="{00000000-0005-0000-0000-00006D100000}"/>
    <cellStyle name="Normal 21 2 4 2" xfId="888" xr:uid="{00000000-0005-0000-0000-00006E100000}"/>
    <cellStyle name="Normal 21 2 4 2 2" xfId="5448" xr:uid="{00000000-0005-0000-0000-00006F100000}"/>
    <cellStyle name="Normal 21 2 4 2 2 2" xfId="5449" xr:uid="{00000000-0005-0000-0000-000070100000}"/>
    <cellStyle name="Normal 21 2 4 2 3" xfId="5450" xr:uid="{00000000-0005-0000-0000-000071100000}"/>
    <cellStyle name="Normal 21 2 4 2 4" xfId="5451" xr:uid="{00000000-0005-0000-0000-000072100000}"/>
    <cellStyle name="Normal 21 2 4 3" xfId="5452" xr:uid="{00000000-0005-0000-0000-000073100000}"/>
    <cellStyle name="Normal 21 2 4 3 2" xfId="5453" xr:uid="{00000000-0005-0000-0000-000074100000}"/>
    <cellStyle name="Normal 21 2 4 4" xfId="5454" xr:uid="{00000000-0005-0000-0000-000075100000}"/>
    <cellStyle name="Normal 21 2 4 5" xfId="5455" xr:uid="{00000000-0005-0000-0000-000076100000}"/>
    <cellStyle name="Normal 21 2 5" xfId="889" xr:uid="{00000000-0005-0000-0000-000077100000}"/>
    <cellStyle name="Normal 21 2 5 2" xfId="5456" xr:uid="{00000000-0005-0000-0000-000078100000}"/>
    <cellStyle name="Normal 21 2 5 2 2" xfId="5457" xr:uid="{00000000-0005-0000-0000-000079100000}"/>
    <cellStyle name="Normal 21 2 5 3" xfId="5458" xr:uid="{00000000-0005-0000-0000-00007A100000}"/>
    <cellStyle name="Normal 21 2 5 4" xfId="5459" xr:uid="{00000000-0005-0000-0000-00007B100000}"/>
    <cellStyle name="Normal 21 2 6" xfId="5460" xr:uid="{00000000-0005-0000-0000-00007C100000}"/>
    <cellStyle name="Normal 21 2 6 2" xfId="5461" xr:uid="{00000000-0005-0000-0000-00007D100000}"/>
    <cellStyle name="Normal 21 2 7" xfId="5462" xr:uid="{00000000-0005-0000-0000-00007E100000}"/>
    <cellStyle name="Normal 21 2 8" xfId="5463" xr:uid="{00000000-0005-0000-0000-00007F100000}"/>
    <cellStyle name="Normal 21 3" xfId="890" xr:uid="{00000000-0005-0000-0000-000080100000}"/>
    <cellStyle name="Normal 21 3 2" xfId="891" xr:uid="{00000000-0005-0000-0000-000081100000}"/>
    <cellStyle name="Normal 21 3 2 2" xfId="892" xr:uid="{00000000-0005-0000-0000-000082100000}"/>
    <cellStyle name="Normal 21 3 2 2 2" xfId="893" xr:uid="{00000000-0005-0000-0000-000083100000}"/>
    <cellStyle name="Normal 21 3 2 2 2 2" xfId="5464" xr:uid="{00000000-0005-0000-0000-000084100000}"/>
    <cellStyle name="Normal 21 3 2 2 2 2 2" xfId="5465" xr:uid="{00000000-0005-0000-0000-000085100000}"/>
    <cellStyle name="Normal 21 3 2 2 2 3" xfId="5466" xr:uid="{00000000-0005-0000-0000-000086100000}"/>
    <cellStyle name="Normal 21 3 2 2 2 4" xfId="5467" xr:uid="{00000000-0005-0000-0000-000087100000}"/>
    <cellStyle name="Normal 21 3 2 2 3" xfId="5468" xr:uid="{00000000-0005-0000-0000-000088100000}"/>
    <cellStyle name="Normal 21 3 2 2 3 2" xfId="5469" xr:uid="{00000000-0005-0000-0000-000089100000}"/>
    <cellStyle name="Normal 21 3 2 2 4" xfId="5470" xr:uid="{00000000-0005-0000-0000-00008A100000}"/>
    <cellStyle name="Normal 21 3 2 2 5" xfId="5471" xr:uid="{00000000-0005-0000-0000-00008B100000}"/>
    <cellStyle name="Normal 21 3 2 3" xfId="894" xr:uid="{00000000-0005-0000-0000-00008C100000}"/>
    <cellStyle name="Normal 21 3 2 3 2" xfId="5472" xr:uid="{00000000-0005-0000-0000-00008D100000}"/>
    <cellStyle name="Normal 21 3 2 3 2 2" xfId="5473" xr:uid="{00000000-0005-0000-0000-00008E100000}"/>
    <cellStyle name="Normal 21 3 2 3 3" xfId="5474" xr:uid="{00000000-0005-0000-0000-00008F100000}"/>
    <cellStyle name="Normal 21 3 2 3 4" xfId="5475" xr:uid="{00000000-0005-0000-0000-000090100000}"/>
    <cellStyle name="Normal 21 3 2 4" xfId="5476" xr:uid="{00000000-0005-0000-0000-000091100000}"/>
    <cellStyle name="Normal 21 3 2 4 2" xfId="5477" xr:uid="{00000000-0005-0000-0000-000092100000}"/>
    <cellStyle name="Normal 21 3 2 5" xfId="5478" xr:uid="{00000000-0005-0000-0000-000093100000}"/>
    <cellStyle name="Normal 21 3 2 6" xfId="5479" xr:uid="{00000000-0005-0000-0000-000094100000}"/>
    <cellStyle name="Normal 21 3 3" xfId="895" xr:uid="{00000000-0005-0000-0000-000095100000}"/>
    <cellStyle name="Normal 21 3 3 2" xfId="896" xr:uid="{00000000-0005-0000-0000-000096100000}"/>
    <cellStyle name="Normal 21 3 3 2 2" xfId="5480" xr:uid="{00000000-0005-0000-0000-000097100000}"/>
    <cellStyle name="Normal 21 3 3 2 2 2" xfId="5481" xr:uid="{00000000-0005-0000-0000-000098100000}"/>
    <cellStyle name="Normal 21 3 3 2 3" xfId="5482" xr:uid="{00000000-0005-0000-0000-000099100000}"/>
    <cellStyle name="Normal 21 3 3 2 4" xfId="5483" xr:uid="{00000000-0005-0000-0000-00009A100000}"/>
    <cellStyle name="Normal 21 3 3 3" xfId="5484" xr:uid="{00000000-0005-0000-0000-00009B100000}"/>
    <cellStyle name="Normal 21 3 3 3 2" xfId="5485" xr:uid="{00000000-0005-0000-0000-00009C100000}"/>
    <cellStyle name="Normal 21 3 3 4" xfId="5486" xr:uid="{00000000-0005-0000-0000-00009D100000}"/>
    <cellStyle name="Normal 21 3 3 5" xfId="5487" xr:uid="{00000000-0005-0000-0000-00009E100000}"/>
    <cellStyle name="Normal 21 3 4" xfId="897" xr:uid="{00000000-0005-0000-0000-00009F100000}"/>
    <cellStyle name="Normal 21 3 4 2" xfId="5488" xr:uid="{00000000-0005-0000-0000-0000A0100000}"/>
    <cellStyle name="Normal 21 3 4 2 2" xfId="5489" xr:uid="{00000000-0005-0000-0000-0000A1100000}"/>
    <cellStyle name="Normal 21 3 4 3" xfId="5490" xr:uid="{00000000-0005-0000-0000-0000A2100000}"/>
    <cellStyle name="Normal 21 3 4 4" xfId="5491" xr:uid="{00000000-0005-0000-0000-0000A3100000}"/>
    <cellStyle name="Normal 21 3 5" xfId="5492" xr:uid="{00000000-0005-0000-0000-0000A4100000}"/>
    <cellStyle name="Normal 21 3 5 2" xfId="5493" xr:uid="{00000000-0005-0000-0000-0000A5100000}"/>
    <cellStyle name="Normal 21 3 6" xfId="5494" xr:uid="{00000000-0005-0000-0000-0000A6100000}"/>
    <cellStyle name="Normal 21 3 7" xfId="5495" xr:uid="{00000000-0005-0000-0000-0000A7100000}"/>
    <cellStyle name="Normal 21 4" xfId="898" xr:uid="{00000000-0005-0000-0000-0000A8100000}"/>
    <cellStyle name="Normal 21 4 2" xfId="899" xr:uid="{00000000-0005-0000-0000-0000A9100000}"/>
    <cellStyle name="Normal 21 4 2 2" xfId="900" xr:uid="{00000000-0005-0000-0000-0000AA100000}"/>
    <cellStyle name="Normal 21 4 2 2 2" xfId="5496" xr:uid="{00000000-0005-0000-0000-0000AB100000}"/>
    <cellStyle name="Normal 21 4 2 2 2 2" xfId="5497" xr:uid="{00000000-0005-0000-0000-0000AC100000}"/>
    <cellStyle name="Normal 21 4 2 2 3" xfId="5498" xr:uid="{00000000-0005-0000-0000-0000AD100000}"/>
    <cellStyle name="Normal 21 4 2 2 4" xfId="5499" xr:uid="{00000000-0005-0000-0000-0000AE100000}"/>
    <cellStyle name="Normal 21 4 2 3" xfId="5500" xr:uid="{00000000-0005-0000-0000-0000AF100000}"/>
    <cellStyle name="Normal 21 4 2 3 2" xfId="5501" xr:uid="{00000000-0005-0000-0000-0000B0100000}"/>
    <cellStyle name="Normal 21 4 2 4" xfId="5502" xr:uid="{00000000-0005-0000-0000-0000B1100000}"/>
    <cellStyle name="Normal 21 4 2 5" xfId="5503" xr:uid="{00000000-0005-0000-0000-0000B2100000}"/>
    <cellStyle name="Normal 21 4 3" xfId="901" xr:uid="{00000000-0005-0000-0000-0000B3100000}"/>
    <cellStyle name="Normal 21 4 3 2" xfId="5504" xr:uid="{00000000-0005-0000-0000-0000B4100000}"/>
    <cellStyle name="Normal 21 4 3 2 2" xfId="5505" xr:uid="{00000000-0005-0000-0000-0000B5100000}"/>
    <cellStyle name="Normal 21 4 3 3" xfId="5506" xr:uid="{00000000-0005-0000-0000-0000B6100000}"/>
    <cellStyle name="Normal 21 4 3 4" xfId="5507" xr:uid="{00000000-0005-0000-0000-0000B7100000}"/>
    <cellStyle name="Normal 21 4 4" xfId="5508" xr:uid="{00000000-0005-0000-0000-0000B8100000}"/>
    <cellStyle name="Normal 21 4 4 2" xfId="5509" xr:uid="{00000000-0005-0000-0000-0000B9100000}"/>
    <cellStyle name="Normal 21 4 5" xfId="5510" xr:uid="{00000000-0005-0000-0000-0000BA100000}"/>
    <cellStyle name="Normal 21 4 6" xfId="5511" xr:uid="{00000000-0005-0000-0000-0000BB100000}"/>
    <cellStyle name="Normal 21 5" xfId="902" xr:uid="{00000000-0005-0000-0000-0000BC100000}"/>
    <cellStyle name="Normal 21 5 2" xfId="903" xr:uid="{00000000-0005-0000-0000-0000BD100000}"/>
    <cellStyle name="Normal 21 5 2 2" xfId="5512" xr:uid="{00000000-0005-0000-0000-0000BE100000}"/>
    <cellStyle name="Normal 21 5 2 2 2" xfId="5513" xr:uid="{00000000-0005-0000-0000-0000BF100000}"/>
    <cellStyle name="Normal 21 5 2 3" xfId="5514" xr:uid="{00000000-0005-0000-0000-0000C0100000}"/>
    <cellStyle name="Normal 21 5 2 4" xfId="5515" xr:uid="{00000000-0005-0000-0000-0000C1100000}"/>
    <cellStyle name="Normal 21 5 3" xfId="5516" xr:uid="{00000000-0005-0000-0000-0000C2100000}"/>
    <cellStyle name="Normal 21 5 3 2" xfId="5517" xr:uid="{00000000-0005-0000-0000-0000C3100000}"/>
    <cellStyle name="Normal 21 5 4" xfId="5518" xr:uid="{00000000-0005-0000-0000-0000C4100000}"/>
    <cellStyle name="Normal 21 5 5" xfId="5519" xr:uid="{00000000-0005-0000-0000-0000C5100000}"/>
    <cellStyle name="Normal 21 6" xfId="904" xr:uid="{00000000-0005-0000-0000-0000C6100000}"/>
    <cellStyle name="Normal 21 6 2" xfId="5520" xr:uid="{00000000-0005-0000-0000-0000C7100000}"/>
    <cellStyle name="Normal 21 6 2 2" xfId="5521" xr:uid="{00000000-0005-0000-0000-0000C8100000}"/>
    <cellStyle name="Normal 21 6 3" xfId="5522" xr:uid="{00000000-0005-0000-0000-0000C9100000}"/>
    <cellStyle name="Normal 21 6 4" xfId="5523" xr:uid="{00000000-0005-0000-0000-0000CA100000}"/>
    <cellStyle name="Normal 21 7" xfId="5524" xr:uid="{00000000-0005-0000-0000-0000CB100000}"/>
    <cellStyle name="Normal 21 7 2" xfId="5525" xr:uid="{00000000-0005-0000-0000-0000CC100000}"/>
    <cellStyle name="Normal 21 8" xfId="5526" xr:uid="{00000000-0005-0000-0000-0000CD100000}"/>
    <cellStyle name="Normal 21 9" xfId="5527" xr:uid="{00000000-0005-0000-0000-0000CE100000}"/>
    <cellStyle name="Normal 22" xfId="905" xr:uid="{00000000-0005-0000-0000-0000CF100000}"/>
    <cellStyle name="Normal 22 2" xfId="906" xr:uid="{00000000-0005-0000-0000-0000D0100000}"/>
    <cellStyle name="Normal 22 2 2" xfId="907" xr:uid="{00000000-0005-0000-0000-0000D1100000}"/>
    <cellStyle name="Normal 22 2 2 2" xfId="908" xr:uid="{00000000-0005-0000-0000-0000D2100000}"/>
    <cellStyle name="Normal 22 2 2 2 2" xfId="909" xr:uid="{00000000-0005-0000-0000-0000D3100000}"/>
    <cellStyle name="Normal 22 2 2 2 2 2" xfId="910" xr:uid="{00000000-0005-0000-0000-0000D4100000}"/>
    <cellStyle name="Normal 22 2 2 2 2 2 2" xfId="5528" xr:uid="{00000000-0005-0000-0000-0000D5100000}"/>
    <cellStyle name="Normal 22 2 2 2 2 2 2 2" xfId="5529" xr:uid="{00000000-0005-0000-0000-0000D6100000}"/>
    <cellStyle name="Normal 22 2 2 2 2 2 3" xfId="5530" xr:uid="{00000000-0005-0000-0000-0000D7100000}"/>
    <cellStyle name="Normal 22 2 2 2 2 2 4" xfId="5531" xr:uid="{00000000-0005-0000-0000-0000D8100000}"/>
    <cellStyle name="Normal 22 2 2 2 2 3" xfId="5532" xr:uid="{00000000-0005-0000-0000-0000D9100000}"/>
    <cellStyle name="Normal 22 2 2 2 2 3 2" xfId="5533" xr:uid="{00000000-0005-0000-0000-0000DA100000}"/>
    <cellStyle name="Normal 22 2 2 2 2 4" xfId="5534" xr:uid="{00000000-0005-0000-0000-0000DB100000}"/>
    <cellStyle name="Normal 22 2 2 2 2 5" xfId="5535" xr:uid="{00000000-0005-0000-0000-0000DC100000}"/>
    <cellStyle name="Normal 22 2 2 2 3" xfId="911" xr:uid="{00000000-0005-0000-0000-0000DD100000}"/>
    <cellStyle name="Normal 22 2 2 2 3 2" xfId="5536" xr:uid="{00000000-0005-0000-0000-0000DE100000}"/>
    <cellStyle name="Normal 22 2 2 2 3 2 2" xfId="5537" xr:uid="{00000000-0005-0000-0000-0000DF100000}"/>
    <cellStyle name="Normal 22 2 2 2 3 3" xfId="5538" xr:uid="{00000000-0005-0000-0000-0000E0100000}"/>
    <cellStyle name="Normal 22 2 2 2 3 4" xfId="5539" xr:uid="{00000000-0005-0000-0000-0000E1100000}"/>
    <cellStyle name="Normal 22 2 2 2 4" xfId="5540" xr:uid="{00000000-0005-0000-0000-0000E2100000}"/>
    <cellStyle name="Normal 22 2 2 2 4 2" xfId="5541" xr:uid="{00000000-0005-0000-0000-0000E3100000}"/>
    <cellStyle name="Normal 22 2 2 2 5" xfId="5542" xr:uid="{00000000-0005-0000-0000-0000E4100000}"/>
    <cellStyle name="Normal 22 2 2 2 6" xfId="5543" xr:uid="{00000000-0005-0000-0000-0000E5100000}"/>
    <cellStyle name="Normal 22 2 2 3" xfId="912" xr:uid="{00000000-0005-0000-0000-0000E6100000}"/>
    <cellStyle name="Normal 22 2 2 3 2" xfId="913" xr:uid="{00000000-0005-0000-0000-0000E7100000}"/>
    <cellStyle name="Normal 22 2 2 3 2 2" xfId="5544" xr:uid="{00000000-0005-0000-0000-0000E8100000}"/>
    <cellStyle name="Normal 22 2 2 3 2 2 2" xfId="5545" xr:uid="{00000000-0005-0000-0000-0000E9100000}"/>
    <cellStyle name="Normal 22 2 2 3 2 3" xfId="5546" xr:uid="{00000000-0005-0000-0000-0000EA100000}"/>
    <cellStyle name="Normal 22 2 2 3 2 4" xfId="5547" xr:uid="{00000000-0005-0000-0000-0000EB100000}"/>
    <cellStyle name="Normal 22 2 2 3 3" xfId="5548" xr:uid="{00000000-0005-0000-0000-0000EC100000}"/>
    <cellStyle name="Normal 22 2 2 3 3 2" xfId="5549" xr:uid="{00000000-0005-0000-0000-0000ED100000}"/>
    <cellStyle name="Normal 22 2 2 3 4" xfId="5550" xr:uid="{00000000-0005-0000-0000-0000EE100000}"/>
    <cellStyle name="Normal 22 2 2 3 5" xfId="5551" xr:uid="{00000000-0005-0000-0000-0000EF100000}"/>
    <cellStyle name="Normal 22 2 2 4" xfId="914" xr:uid="{00000000-0005-0000-0000-0000F0100000}"/>
    <cellStyle name="Normal 22 2 2 4 2" xfId="5552" xr:uid="{00000000-0005-0000-0000-0000F1100000}"/>
    <cellStyle name="Normal 22 2 2 4 2 2" xfId="5553" xr:uid="{00000000-0005-0000-0000-0000F2100000}"/>
    <cellStyle name="Normal 22 2 2 4 3" xfId="5554" xr:uid="{00000000-0005-0000-0000-0000F3100000}"/>
    <cellStyle name="Normal 22 2 2 4 4" xfId="5555" xr:uid="{00000000-0005-0000-0000-0000F4100000}"/>
    <cellStyle name="Normal 22 2 2 5" xfId="5556" xr:uid="{00000000-0005-0000-0000-0000F5100000}"/>
    <cellStyle name="Normal 22 2 2 5 2" xfId="5557" xr:uid="{00000000-0005-0000-0000-0000F6100000}"/>
    <cellStyle name="Normal 22 2 2 6" xfId="5558" xr:uid="{00000000-0005-0000-0000-0000F7100000}"/>
    <cellStyle name="Normal 22 2 2 7" xfId="5559" xr:uid="{00000000-0005-0000-0000-0000F8100000}"/>
    <cellStyle name="Normal 22 2 3" xfId="915" xr:uid="{00000000-0005-0000-0000-0000F9100000}"/>
    <cellStyle name="Normal 22 2 3 2" xfId="916" xr:uid="{00000000-0005-0000-0000-0000FA100000}"/>
    <cellStyle name="Normal 22 2 3 2 2" xfId="917" xr:uid="{00000000-0005-0000-0000-0000FB100000}"/>
    <cellStyle name="Normal 22 2 3 2 2 2" xfId="5560" xr:uid="{00000000-0005-0000-0000-0000FC100000}"/>
    <cellStyle name="Normal 22 2 3 2 2 2 2" xfId="5561" xr:uid="{00000000-0005-0000-0000-0000FD100000}"/>
    <cellStyle name="Normal 22 2 3 2 2 3" xfId="5562" xr:uid="{00000000-0005-0000-0000-0000FE100000}"/>
    <cellStyle name="Normal 22 2 3 2 2 4" xfId="5563" xr:uid="{00000000-0005-0000-0000-0000FF100000}"/>
    <cellStyle name="Normal 22 2 3 2 3" xfId="5564" xr:uid="{00000000-0005-0000-0000-000000110000}"/>
    <cellStyle name="Normal 22 2 3 2 3 2" xfId="5565" xr:uid="{00000000-0005-0000-0000-000001110000}"/>
    <cellStyle name="Normal 22 2 3 2 4" xfId="5566" xr:uid="{00000000-0005-0000-0000-000002110000}"/>
    <cellStyle name="Normal 22 2 3 2 5" xfId="5567" xr:uid="{00000000-0005-0000-0000-000003110000}"/>
    <cellStyle name="Normal 22 2 3 3" xfId="918" xr:uid="{00000000-0005-0000-0000-000004110000}"/>
    <cellStyle name="Normal 22 2 3 3 2" xfId="5568" xr:uid="{00000000-0005-0000-0000-000005110000}"/>
    <cellStyle name="Normal 22 2 3 3 2 2" xfId="5569" xr:uid="{00000000-0005-0000-0000-000006110000}"/>
    <cellStyle name="Normal 22 2 3 3 3" xfId="5570" xr:uid="{00000000-0005-0000-0000-000007110000}"/>
    <cellStyle name="Normal 22 2 3 3 4" xfId="5571" xr:uid="{00000000-0005-0000-0000-000008110000}"/>
    <cellStyle name="Normal 22 2 3 4" xfId="5572" xr:uid="{00000000-0005-0000-0000-000009110000}"/>
    <cellStyle name="Normal 22 2 3 4 2" xfId="5573" xr:uid="{00000000-0005-0000-0000-00000A110000}"/>
    <cellStyle name="Normal 22 2 3 5" xfId="5574" xr:uid="{00000000-0005-0000-0000-00000B110000}"/>
    <cellStyle name="Normal 22 2 3 6" xfId="5575" xr:uid="{00000000-0005-0000-0000-00000C110000}"/>
    <cellStyle name="Normal 22 2 4" xfId="919" xr:uid="{00000000-0005-0000-0000-00000D110000}"/>
    <cellStyle name="Normal 22 2 4 2" xfId="920" xr:uid="{00000000-0005-0000-0000-00000E110000}"/>
    <cellStyle name="Normal 22 2 4 2 2" xfId="5576" xr:uid="{00000000-0005-0000-0000-00000F110000}"/>
    <cellStyle name="Normal 22 2 4 2 2 2" xfId="5577" xr:uid="{00000000-0005-0000-0000-000010110000}"/>
    <cellStyle name="Normal 22 2 4 2 3" xfId="5578" xr:uid="{00000000-0005-0000-0000-000011110000}"/>
    <cellStyle name="Normal 22 2 4 2 4" xfId="5579" xr:uid="{00000000-0005-0000-0000-000012110000}"/>
    <cellStyle name="Normal 22 2 4 3" xfId="5580" xr:uid="{00000000-0005-0000-0000-000013110000}"/>
    <cellStyle name="Normal 22 2 4 3 2" xfId="5581" xr:uid="{00000000-0005-0000-0000-000014110000}"/>
    <cellStyle name="Normal 22 2 4 4" xfId="5582" xr:uid="{00000000-0005-0000-0000-000015110000}"/>
    <cellStyle name="Normal 22 2 4 5" xfId="5583" xr:uid="{00000000-0005-0000-0000-000016110000}"/>
    <cellStyle name="Normal 22 2 5" xfId="921" xr:uid="{00000000-0005-0000-0000-000017110000}"/>
    <cellStyle name="Normal 22 2 5 2" xfId="5584" xr:uid="{00000000-0005-0000-0000-000018110000}"/>
    <cellStyle name="Normal 22 2 5 2 2" xfId="5585" xr:uid="{00000000-0005-0000-0000-000019110000}"/>
    <cellStyle name="Normal 22 2 5 3" xfId="5586" xr:uid="{00000000-0005-0000-0000-00001A110000}"/>
    <cellStyle name="Normal 22 2 5 4" xfId="5587" xr:uid="{00000000-0005-0000-0000-00001B110000}"/>
    <cellStyle name="Normal 22 2 6" xfId="5588" xr:uid="{00000000-0005-0000-0000-00001C110000}"/>
    <cellStyle name="Normal 22 2 6 2" xfId="5589" xr:uid="{00000000-0005-0000-0000-00001D110000}"/>
    <cellStyle name="Normal 22 2 7" xfId="5590" xr:uid="{00000000-0005-0000-0000-00001E110000}"/>
    <cellStyle name="Normal 22 2 8" xfId="5591" xr:uid="{00000000-0005-0000-0000-00001F110000}"/>
    <cellStyle name="Normal 22 3" xfId="922" xr:uid="{00000000-0005-0000-0000-000020110000}"/>
    <cellStyle name="Normal 22 3 2" xfId="923" xr:uid="{00000000-0005-0000-0000-000021110000}"/>
    <cellStyle name="Normal 22 3 2 2" xfId="924" xr:uid="{00000000-0005-0000-0000-000022110000}"/>
    <cellStyle name="Normal 22 3 2 2 2" xfId="925" xr:uid="{00000000-0005-0000-0000-000023110000}"/>
    <cellStyle name="Normal 22 3 2 2 2 2" xfId="5592" xr:uid="{00000000-0005-0000-0000-000024110000}"/>
    <cellStyle name="Normal 22 3 2 2 2 2 2" xfId="5593" xr:uid="{00000000-0005-0000-0000-000025110000}"/>
    <cellStyle name="Normal 22 3 2 2 2 3" xfId="5594" xr:uid="{00000000-0005-0000-0000-000026110000}"/>
    <cellStyle name="Normal 22 3 2 2 2 4" xfId="5595" xr:uid="{00000000-0005-0000-0000-000027110000}"/>
    <cellStyle name="Normal 22 3 2 2 3" xfId="5596" xr:uid="{00000000-0005-0000-0000-000028110000}"/>
    <cellStyle name="Normal 22 3 2 2 3 2" xfId="5597" xr:uid="{00000000-0005-0000-0000-000029110000}"/>
    <cellStyle name="Normal 22 3 2 2 4" xfId="5598" xr:uid="{00000000-0005-0000-0000-00002A110000}"/>
    <cellStyle name="Normal 22 3 2 2 5" xfId="5599" xr:uid="{00000000-0005-0000-0000-00002B110000}"/>
    <cellStyle name="Normal 22 3 2 3" xfId="926" xr:uid="{00000000-0005-0000-0000-00002C110000}"/>
    <cellStyle name="Normal 22 3 2 3 2" xfId="5600" xr:uid="{00000000-0005-0000-0000-00002D110000}"/>
    <cellStyle name="Normal 22 3 2 3 2 2" xfId="5601" xr:uid="{00000000-0005-0000-0000-00002E110000}"/>
    <cellStyle name="Normal 22 3 2 3 3" xfId="5602" xr:uid="{00000000-0005-0000-0000-00002F110000}"/>
    <cellStyle name="Normal 22 3 2 3 4" xfId="5603" xr:uid="{00000000-0005-0000-0000-000030110000}"/>
    <cellStyle name="Normal 22 3 2 4" xfId="5604" xr:uid="{00000000-0005-0000-0000-000031110000}"/>
    <cellStyle name="Normal 22 3 2 4 2" xfId="5605" xr:uid="{00000000-0005-0000-0000-000032110000}"/>
    <cellStyle name="Normal 22 3 2 5" xfId="5606" xr:uid="{00000000-0005-0000-0000-000033110000}"/>
    <cellStyle name="Normal 22 3 2 6" xfId="5607" xr:uid="{00000000-0005-0000-0000-000034110000}"/>
    <cellStyle name="Normal 22 3 3" xfId="927" xr:uid="{00000000-0005-0000-0000-000035110000}"/>
    <cellStyle name="Normal 22 3 3 2" xfId="928" xr:uid="{00000000-0005-0000-0000-000036110000}"/>
    <cellStyle name="Normal 22 3 3 2 2" xfId="5608" xr:uid="{00000000-0005-0000-0000-000037110000}"/>
    <cellStyle name="Normal 22 3 3 2 2 2" xfId="5609" xr:uid="{00000000-0005-0000-0000-000038110000}"/>
    <cellStyle name="Normal 22 3 3 2 3" xfId="5610" xr:uid="{00000000-0005-0000-0000-000039110000}"/>
    <cellStyle name="Normal 22 3 3 2 4" xfId="5611" xr:uid="{00000000-0005-0000-0000-00003A110000}"/>
    <cellStyle name="Normal 22 3 3 3" xfId="5612" xr:uid="{00000000-0005-0000-0000-00003B110000}"/>
    <cellStyle name="Normal 22 3 3 3 2" xfId="5613" xr:uid="{00000000-0005-0000-0000-00003C110000}"/>
    <cellStyle name="Normal 22 3 3 4" xfId="5614" xr:uid="{00000000-0005-0000-0000-00003D110000}"/>
    <cellStyle name="Normal 22 3 3 5" xfId="5615" xr:uid="{00000000-0005-0000-0000-00003E110000}"/>
    <cellStyle name="Normal 22 3 4" xfId="929" xr:uid="{00000000-0005-0000-0000-00003F110000}"/>
    <cellStyle name="Normal 22 3 4 2" xfId="5616" xr:uid="{00000000-0005-0000-0000-000040110000}"/>
    <cellStyle name="Normal 22 3 4 2 2" xfId="5617" xr:uid="{00000000-0005-0000-0000-000041110000}"/>
    <cellStyle name="Normal 22 3 4 3" xfId="5618" xr:uid="{00000000-0005-0000-0000-000042110000}"/>
    <cellStyle name="Normal 22 3 4 4" xfId="5619" xr:uid="{00000000-0005-0000-0000-000043110000}"/>
    <cellStyle name="Normal 22 3 5" xfId="5620" xr:uid="{00000000-0005-0000-0000-000044110000}"/>
    <cellStyle name="Normal 22 3 5 2" xfId="5621" xr:uid="{00000000-0005-0000-0000-000045110000}"/>
    <cellStyle name="Normal 22 3 6" xfId="5622" xr:uid="{00000000-0005-0000-0000-000046110000}"/>
    <cellStyle name="Normal 22 3 7" xfId="5623" xr:uid="{00000000-0005-0000-0000-000047110000}"/>
    <cellStyle name="Normal 22 4" xfId="930" xr:uid="{00000000-0005-0000-0000-000048110000}"/>
    <cellStyle name="Normal 22 4 2" xfId="931" xr:uid="{00000000-0005-0000-0000-000049110000}"/>
    <cellStyle name="Normal 22 4 2 2" xfId="932" xr:uid="{00000000-0005-0000-0000-00004A110000}"/>
    <cellStyle name="Normal 22 4 2 2 2" xfId="5624" xr:uid="{00000000-0005-0000-0000-00004B110000}"/>
    <cellStyle name="Normal 22 4 2 2 2 2" xfId="5625" xr:uid="{00000000-0005-0000-0000-00004C110000}"/>
    <cellStyle name="Normal 22 4 2 2 3" xfId="5626" xr:uid="{00000000-0005-0000-0000-00004D110000}"/>
    <cellStyle name="Normal 22 4 2 2 4" xfId="5627" xr:uid="{00000000-0005-0000-0000-00004E110000}"/>
    <cellStyle name="Normal 22 4 2 3" xfId="5628" xr:uid="{00000000-0005-0000-0000-00004F110000}"/>
    <cellStyle name="Normal 22 4 2 3 2" xfId="5629" xr:uid="{00000000-0005-0000-0000-000050110000}"/>
    <cellStyle name="Normal 22 4 2 4" xfId="5630" xr:uid="{00000000-0005-0000-0000-000051110000}"/>
    <cellStyle name="Normal 22 4 2 5" xfId="5631" xr:uid="{00000000-0005-0000-0000-000052110000}"/>
    <cellStyle name="Normal 22 4 3" xfId="933" xr:uid="{00000000-0005-0000-0000-000053110000}"/>
    <cellStyle name="Normal 22 4 3 2" xfId="5632" xr:uid="{00000000-0005-0000-0000-000054110000}"/>
    <cellStyle name="Normal 22 4 3 2 2" xfId="5633" xr:uid="{00000000-0005-0000-0000-000055110000}"/>
    <cellStyle name="Normal 22 4 3 3" xfId="5634" xr:uid="{00000000-0005-0000-0000-000056110000}"/>
    <cellStyle name="Normal 22 4 3 4" xfId="5635" xr:uid="{00000000-0005-0000-0000-000057110000}"/>
    <cellStyle name="Normal 22 4 4" xfId="5636" xr:uid="{00000000-0005-0000-0000-000058110000}"/>
    <cellStyle name="Normal 22 4 4 2" xfId="5637" xr:uid="{00000000-0005-0000-0000-000059110000}"/>
    <cellStyle name="Normal 22 4 5" xfId="5638" xr:uid="{00000000-0005-0000-0000-00005A110000}"/>
    <cellStyle name="Normal 22 4 6" xfId="5639" xr:uid="{00000000-0005-0000-0000-00005B110000}"/>
    <cellStyle name="Normal 22 5" xfId="934" xr:uid="{00000000-0005-0000-0000-00005C110000}"/>
    <cellStyle name="Normal 22 5 2" xfId="935" xr:uid="{00000000-0005-0000-0000-00005D110000}"/>
    <cellStyle name="Normal 22 5 2 2" xfId="5640" xr:uid="{00000000-0005-0000-0000-00005E110000}"/>
    <cellStyle name="Normal 22 5 2 2 2" xfId="5641" xr:uid="{00000000-0005-0000-0000-00005F110000}"/>
    <cellStyle name="Normal 22 5 2 3" xfId="5642" xr:uid="{00000000-0005-0000-0000-000060110000}"/>
    <cellStyle name="Normal 22 5 2 4" xfId="5643" xr:uid="{00000000-0005-0000-0000-000061110000}"/>
    <cellStyle name="Normal 22 5 3" xfId="5644" xr:uid="{00000000-0005-0000-0000-000062110000}"/>
    <cellStyle name="Normal 22 5 3 2" xfId="5645" xr:uid="{00000000-0005-0000-0000-000063110000}"/>
    <cellStyle name="Normal 22 5 4" xfId="5646" xr:uid="{00000000-0005-0000-0000-000064110000}"/>
    <cellStyle name="Normal 22 5 5" xfId="5647" xr:uid="{00000000-0005-0000-0000-000065110000}"/>
    <cellStyle name="Normal 22 6" xfId="936" xr:uid="{00000000-0005-0000-0000-000066110000}"/>
    <cellStyle name="Normal 22 6 2" xfId="5648" xr:uid="{00000000-0005-0000-0000-000067110000}"/>
    <cellStyle name="Normal 22 6 2 2" xfId="5649" xr:uid="{00000000-0005-0000-0000-000068110000}"/>
    <cellStyle name="Normal 22 6 3" xfId="5650" xr:uid="{00000000-0005-0000-0000-000069110000}"/>
    <cellStyle name="Normal 22 6 4" xfId="5651" xr:uid="{00000000-0005-0000-0000-00006A110000}"/>
    <cellStyle name="Normal 22 7" xfId="5652" xr:uid="{00000000-0005-0000-0000-00006B110000}"/>
    <cellStyle name="Normal 22 7 2" xfId="5653" xr:uid="{00000000-0005-0000-0000-00006C110000}"/>
    <cellStyle name="Normal 22 8" xfId="5654" xr:uid="{00000000-0005-0000-0000-00006D110000}"/>
    <cellStyle name="Normal 22 9" xfId="5655" xr:uid="{00000000-0005-0000-0000-00006E110000}"/>
    <cellStyle name="Normal 23" xfId="16" xr:uid="{00000000-0005-0000-0000-00006F110000}"/>
    <cellStyle name="Normal 24" xfId="937" xr:uid="{00000000-0005-0000-0000-000070110000}"/>
    <cellStyle name="Normal 24 2" xfId="938" xr:uid="{00000000-0005-0000-0000-000071110000}"/>
    <cellStyle name="Normal 24 2 2" xfId="939" xr:uid="{00000000-0005-0000-0000-000072110000}"/>
    <cellStyle name="Normal 24 2 2 2" xfId="940" xr:uid="{00000000-0005-0000-0000-000073110000}"/>
    <cellStyle name="Normal 24 2 2 2 2" xfId="941" xr:uid="{00000000-0005-0000-0000-000074110000}"/>
    <cellStyle name="Normal 24 2 2 2 2 2" xfId="5656" xr:uid="{00000000-0005-0000-0000-000075110000}"/>
    <cellStyle name="Normal 24 2 2 2 2 2 2" xfId="5657" xr:uid="{00000000-0005-0000-0000-000076110000}"/>
    <cellStyle name="Normal 24 2 2 2 2 3" xfId="5658" xr:uid="{00000000-0005-0000-0000-000077110000}"/>
    <cellStyle name="Normal 24 2 2 2 2 4" xfId="5659" xr:uid="{00000000-0005-0000-0000-000078110000}"/>
    <cellStyle name="Normal 24 2 2 2 3" xfId="5660" xr:uid="{00000000-0005-0000-0000-000079110000}"/>
    <cellStyle name="Normal 24 2 2 2 3 2" xfId="5661" xr:uid="{00000000-0005-0000-0000-00007A110000}"/>
    <cellStyle name="Normal 24 2 2 2 4" xfId="5662" xr:uid="{00000000-0005-0000-0000-00007B110000}"/>
    <cellStyle name="Normal 24 2 2 2 5" xfId="5663" xr:uid="{00000000-0005-0000-0000-00007C110000}"/>
    <cellStyle name="Normal 24 2 2 3" xfId="942" xr:uid="{00000000-0005-0000-0000-00007D110000}"/>
    <cellStyle name="Normal 24 2 2 3 2" xfId="5664" xr:uid="{00000000-0005-0000-0000-00007E110000}"/>
    <cellStyle name="Normal 24 2 2 3 2 2" xfId="5665" xr:uid="{00000000-0005-0000-0000-00007F110000}"/>
    <cellStyle name="Normal 24 2 2 3 3" xfId="5666" xr:uid="{00000000-0005-0000-0000-000080110000}"/>
    <cellStyle name="Normal 24 2 2 3 4" xfId="5667" xr:uid="{00000000-0005-0000-0000-000081110000}"/>
    <cellStyle name="Normal 24 2 2 4" xfId="5668" xr:uid="{00000000-0005-0000-0000-000082110000}"/>
    <cellStyle name="Normal 24 2 2 4 2" xfId="5669" xr:uid="{00000000-0005-0000-0000-000083110000}"/>
    <cellStyle name="Normal 24 2 2 5" xfId="5670" xr:uid="{00000000-0005-0000-0000-000084110000}"/>
    <cellStyle name="Normal 24 2 2 6" xfId="5671" xr:uid="{00000000-0005-0000-0000-000085110000}"/>
    <cellStyle name="Normal 24 2 3" xfId="943" xr:uid="{00000000-0005-0000-0000-000086110000}"/>
    <cellStyle name="Normal 24 2 3 2" xfId="944" xr:uid="{00000000-0005-0000-0000-000087110000}"/>
    <cellStyle name="Normal 24 2 3 2 2" xfId="5672" xr:uid="{00000000-0005-0000-0000-000088110000}"/>
    <cellStyle name="Normal 24 2 3 2 2 2" xfId="5673" xr:uid="{00000000-0005-0000-0000-000089110000}"/>
    <cellStyle name="Normal 24 2 3 2 3" xfId="5674" xr:uid="{00000000-0005-0000-0000-00008A110000}"/>
    <cellStyle name="Normal 24 2 3 2 4" xfId="5675" xr:uid="{00000000-0005-0000-0000-00008B110000}"/>
    <cellStyle name="Normal 24 2 3 3" xfId="5676" xr:uid="{00000000-0005-0000-0000-00008C110000}"/>
    <cellStyle name="Normal 24 2 3 3 2" xfId="5677" xr:uid="{00000000-0005-0000-0000-00008D110000}"/>
    <cellStyle name="Normal 24 2 3 4" xfId="5678" xr:uid="{00000000-0005-0000-0000-00008E110000}"/>
    <cellStyle name="Normal 24 2 3 5" xfId="5679" xr:uid="{00000000-0005-0000-0000-00008F110000}"/>
    <cellStyle name="Normal 24 2 4" xfId="945" xr:uid="{00000000-0005-0000-0000-000090110000}"/>
    <cellStyle name="Normal 24 2 4 2" xfId="5680" xr:uid="{00000000-0005-0000-0000-000091110000}"/>
    <cellStyle name="Normal 24 2 4 2 2" xfId="5681" xr:uid="{00000000-0005-0000-0000-000092110000}"/>
    <cellStyle name="Normal 24 2 4 3" xfId="5682" xr:uid="{00000000-0005-0000-0000-000093110000}"/>
    <cellStyle name="Normal 24 2 4 4" xfId="5683" xr:uid="{00000000-0005-0000-0000-000094110000}"/>
    <cellStyle name="Normal 24 2 5" xfId="5684" xr:uid="{00000000-0005-0000-0000-000095110000}"/>
    <cellStyle name="Normal 24 2 5 2" xfId="5685" xr:uid="{00000000-0005-0000-0000-000096110000}"/>
    <cellStyle name="Normal 24 2 6" xfId="5686" xr:uid="{00000000-0005-0000-0000-000097110000}"/>
    <cellStyle name="Normal 24 2 7" xfId="5687" xr:uid="{00000000-0005-0000-0000-000098110000}"/>
    <cellStyle name="Normal 24 3" xfId="946" xr:uid="{00000000-0005-0000-0000-000099110000}"/>
    <cellStyle name="Normal 24 3 2" xfId="947" xr:uid="{00000000-0005-0000-0000-00009A110000}"/>
    <cellStyle name="Normal 24 3 2 2" xfId="948" xr:uid="{00000000-0005-0000-0000-00009B110000}"/>
    <cellStyle name="Normal 24 3 2 2 2" xfId="5688" xr:uid="{00000000-0005-0000-0000-00009C110000}"/>
    <cellStyle name="Normal 24 3 2 2 2 2" xfId="5689" xr:uid="{00000000-0005-0000-0000-00009D110000}"/>
    <cellStyle name="Normal 24 3 2 2 3" xfId="5690" xr:uid="{00000000-0005-0000-0000-00009E110000}"/>
    <cellStyle name="Normal 24 3 2 2 4" xfId="5691" xr:uid="{00000000-0005-0000-0000-00009F110000}"/>
    <cellStyle name="Normal 24 3 2 3" xfId="5692" xr:uid="{00000000-0005-0000-0000-0000A0110000}"/>
    <cellStyle name="Normal 24 3 2 3 2" xfId="5693" xr:uid="{00000000-0005-0000-0000-0000A1110000}"/>
    <cellStyle name="Normal 24 3 2 4" xfId="5694" xr:uid="{00000000-0005-0000-0000-0000A2110000}"/>
    <cellStyle name="Normal 24 3 2 5" xfId="5695" xr:uid="{00000000-0005-0000-0000-0000A3110000}"/>
    <cellStyle name="Normal 24 3 3" xfId="949" xr:uid="{00000000-0005-0000-0000-0000A4110000}"/>
    <cellStyle name="Normal 24 3 3 2" xfId="5696" xr:uid="{00000000-0005-0000-0000-0000A5110000}"/>
    <cellStyle name="Normal 24 3 3 2 2" xfId="5697" xr:uid="{00000000-0005-0000-0000-0000A6110000}"/>
    <cellStyle name="Normal 24 3 3 3" xfId="5698" xr:uid="{00000000-0005-0000-0000-0000A7110000}"/>
    <cellStyle name="Normal 24 3 3 4" xfId="5699" xr:uid="{00000000-0005-0000-0000-0000A8110000}"/>
    <cellStyle name="Normal 24 3 4" xfId="5700" xr:uid="{00000000-0005-0000-0000-0000A9110000}"/>
    <cellStyle name="Normal 24 3 4 2" xfId="5701" xr:uid="{00000000-0005-0000-0000-0000AA110000}"/>
    <cellStyle name="Normal 24 3 5" xfId="5702" xr:uid="{00000000-0005-0000-0000-0000AB110000}"/>
    <cellStyle name="Normal 24 3 6" xfId="5703" xr:uid="{00000000-0005-0000-0000-0000AC110000}"/>
    <cellStyle name="Normal 24 4" xfId="950" xr:uid="{00000000-0005-0000-0000-0000AD110000}"/>
    <cellStyle name="Normal 24 4 2" xfId="951" xr:uid="{00000000-0005-0000-0000-0000AE110000}"/>
    <cellStyle name="Normal 24 4 2 2" xfId="5704" xr:uid="{00000000-0005-0000-0000-0000AF110000}"/>
    <cellStyle name="Normal 24 4 2 2 2" xfId="5705" xr:uid="{00000000-0005-0000-0000-0000B0110000}"/>
    <cellStyle name="Normal 24 4 2 3" xfId="5706" xr:uid="{00000000-0005-0000-0000-0000B1110000}"/>
    <cellStyle name="Normal 24 4 2 4" xfId="5707" xr:uid="{00000000-0005-0000-0000-0000B2110000}"/>
    <cellStyle name="Normal 24 4 3" xfId="5708" xr:uid="{00000000-0005-0000-0000-0000B3110000}"/>
    <cellStyle name="Normal 24 4 3 2" xfId="5709" xr:uid="{00000000-0005-0000-0000-0000B4110000}"/>
    <cellStyle name="Normal 24 4 4" xfId="5710" xr:uid="{00000000-0005-0000-0000-0000B5110000}"/>
    <cellStyle name="Normal 24 4 5" xfId="5711" xr:uid="{00000000-0005-0000-0000-0000B6110000}"/>
    <cellStyle name="Normal 24 5" xfId="952" xr:uid="{00000000-0005-0000-0000-0000B7110000}"/>
    <cellStyle name="Normal 24 5 2" xfId="5712" xr:uid="{00000000-0005-0000-0000-0000B8110000}"/>
    <cellStyle name="Normal 24 5 2 2" xfId="5713" xr:uid="{00000000-0005-0000-0000-0000B9110000}"/>
    <cellStyle name="Normal 24 5 3" xfId="5714" xr:uid="{00000000-0005-0000-0000-0000BA110000}"/>
    <cellStyle name="Normal 24 5 4" xfId="5715" xr:uid="{00000000-0005-0000-0000-0000BB110000}"/>
    <cellStyle name="Normal 24 6" xfId="5716" xr:uid="{00000000-0005-0000-0000-0000BC110000}"/>
    <cellStyle name="Normal 24 6 2" xfId="5717" xr:uid="{00000000-0005-0000-0000-0000BD110000}"/>
    <cellStyle name="Normal 24 7" xfId="5718" xr:uid="{00000000-0005-0000-0000-0000BE110000}"/>
    <cellStyle name="Normal 24 8" xfId="5719" xr:uid="{00000000-0005-0000-0000-0000BF110000}"/>
    <cellStyle name="Normal 25" xfId="953" xr:uid="{00000000-0005-0000-0000-0000C0110000}"/>
    <cellStyle name="Normal 25 2" xfId="954" xr:uid="{00000000-0005-0000-0000-0000C1110000}"/>
    <cellStyle name="Normal 25 2 2" xfId="955" xr:uid="{00000000-0005-0000-0000-0000C2110000}"/>
    <cellStyle name="Normal 25 2 2 2" xfId="956" xr:uid="{00000000-0005-0000-0000-0000C3110000}"/>
    <cellStyle name="Normal 25 2 2 2 2" xfId="957" xr:uid="{00000000-0005-0000-0000-0000C4110000}"/>
    <cellStyle name="Normal 25 2 2 2 2 2" xfId="958" xr:uid="{00000000-0005-0000-0000-0000C5110000}"/>
    <cellStyle name="Normal 25 2 2 2 2 2 2" xfId="5720" xr:uid="{00000000-0005-0000-0000-0000C6110000}"/>
    <cellStyle name="Normal 25 2 2 2 2 2 2 2" xfId="5721" xr:uid="{00000000-0005-0000-0000-0000C7110000}"/>
    <cellStyle name="Normal 25 2 2 2 2 2 3" xfId="5722" xr:uid="{00000000-0005-0000-0000-0000C8110000}"/>
    <cellStyle name="Normal 25 2 2 2 2 2 4" xfId="5723" xr:uid="{00000000-0005-0000-0000-0000C9110000}"/>
    <cellStyle name="Normal 25 2 2 2 2 3" xfId="5724" xr:uid="{00000000-0005-0000-0000-0000CA110000}"/>
    <cellStyle name="Normal 25 2 2 2 2 3 2" xfId="5725" xr:uid="{00000000-0005-0000-0000-0000CB110000}"/>
    <cellStyle name="Normal 25 2 2 2 2 4" xfId="5726" xr:uid="{00000000-0005-0000-0000-0000CC110000}"/>
    <cellStyle name="Normal 25 2 2 2 2 5" xfId="5727" xr:uid="{00000000-0005-0000-0000-0000CD110000}"/>
    <cellStyle name="Normal 25 2 2 2 3" xfId="959" xr:uid="{00000000-0005-0000-0000-0000CE110000}"/>
    <cellStyle name="Normal 25 2 2 2 3 2" xfId="5728" xr:uid="{00000000-0005-0000-0000-0000CF110000}"/>
    <cellStyle name="Normal 25 2 2 2 3 2 2" xfId="5729" xr:uid="{00000000-0005-0000-0000-0000D0110000}"/>
    <cellStyle name="Normal 25 2 2 2 3 3" xfId="5730" xr:uid="{00000000-0005-0000-0000-0000D1110000}"/>
    <cellStyle name="Normal 25 2 2 2 3 4" xfId="5731" xr:uid="{00000000-0005-0000-0000-0000D2110000}"/>
    <cellStyle name="Normal 25 2 2 2 4" xfId="5732" xr:uid="{00000000-0005-0000-0000-0000D3110000}"/>
    <cellStyle name="Normal 25 2 2 2 4 2" xfId="5733" xr:uid="{00000000-0005-0000-0000-0000D4110000}"/>
    <cellStyle name="Normal 25 2 2 2 5" xfId="5734" xr:uid="{00000000-0005-0000-0000-0000D5110000}"/>
    <cellStyle name="Normal 25 2 2 2 6" xfId="5735" xr:uid="{00000000-0005-0000-0000-0000D6110000}"/>
    <cellStyle name="Normal 25 2 2 3" xfId="960" xr:uid="{00000000-0005-0000-0000-0000D7110000}"/>
    <cellStyle name="Normal 25 2 2 3 2" xfId="961" xr:uid="{00000000-0005-0000-0000-0000D8110000}"/>
    <cellStyle name="Normal 25 2 2 3 2 2" xfId="5736" xr:uid="{00000000-0005-0000-0000-0000D9110000}"/>
    <cellStyle name="Normal 25 2 2 3 2 2 2" xfId="5737" xr:uid="{00000000-0005-0000-0000-0000DA110000}"/>
    <cellStyle name="Normal 25 2 2 3 2 3" xfId="5738" xr:uid="{00000000-0005-0000-0000-0000DB110000}"/>
    <cellStyle name="Normal 25 2 2 3 2 4" xfId="5739" xr:uid="{00000000-0005-0000-0000-0000DC110000}"/>
    <cellStyle name="Normal 25 2 2 3 3" xfId="5740" xr:uid="{00000000-0005-0000-0000-0000DD110000}"/>
    <cellStyle name="Normal 25 2 2 3 3 2" xfId="5741" xr:uid="{00000000-0005-0000-0000-0000DE110000}"/>
    <cellStyle name="Normal 25 2 2 3 4" xfId="5742" xr:uid="{00000000-0005-0000-0000-0000DF110000}"/>
    <cellStyle name="Normal 25 2 2 3 5" xfId="5743" xr:uid="{00000000-0005-0000-0000-0000E0110000}"/>
    <cellStyle name="Normal 25 2 2 4" xfId="962" xr:uid="{00000000-0005-0000-0000-0000E1110000}"/>
    <cellStyle name="Normal 25 2 2 4 2" xfId="5744" xr:uid="{00000000-0005-0000-0000-0000E2110000}"/>
    <cellStyle name="Normal 25 2 2 4 2 2" xfId="5745" xr:uid="{00000000-0005-0000-0000-0000E3110000}"/>
    <cellStyle name="Normal 25 2 2 4 3" xfId="5746" xr:uid="{00000000-0005-0000-0000-0000E4110000}"/>
    <cellStyle name="Normal 25 2 2 4 4" xfId="5747" xr:uid="{00000000-0005-0000-0000-0000E5110000}"/>
    <cellStyle name="Normal 25 2 2 5" xfId="5748" xr:uid="{00000000-0005-0000-0000-0000E6110000}"/>
    <cellStyle name="Normal 25 2 2 5 2" xfId="5749" xr:uid="{00000000-0005-0000-0000-0000E7110000}"/>
    <cellStyle name="Normal 25 2 2 6" xfId="5750" xr:uid="{00000000-0005-0000-0000-0000E8110000}"/>
    <cellStyle name="Normal 25 2 2 7" xfId="5751" xr:uid="{00000000-0005-0000-0000-0000E9110000}"/>
    <cellStyle name="Normal 25 2 3" xfId="963" xr:uid="{00000000-0005-0000-0000-0000EA110000}"/>
    <cellStyle name="Normal 25 2 3 2" xfId="964" xr:uid="{00000000-0005-0000-0000-0000EB110000}"/>
    <cellStyle name="Normal 25 2 3 2 2" xfId="965" xr:uid="{00000000-0005-0000-0000-0000EC110000}"/>
    <cellStyle name="Normal 25 2 3 2 2 2" xfId="5752" xr:uid="{00000000-0005-0000-0000-0000ED110000}"/>
    <cellStyle name="Normal 25 2 3 2 2 2 2" xfId="5753" xr:uid="{00000000-0005-0000-0000-0000EE110000}"/>
    <cellStyle name="Normal 25 2 3 2 2 3" xfId="5754" xr:uid="{00000000-0005-0000-0000-0000EF110000}"/>
    <cellStyle name="Normal 25 2 3 2 2 4" xfId="5755" xr:uid="{00000000-0005-0000-0000-0000F0110000}"/>
    <cellStyle name="Normal 25 2 3 2 3" xfId="5756" xr:uid="{00000000-0005-0000-0000-0000F1110000}"/>
    <cellStyle name="Normal 25 2 3 2 3 2" xfId="5757" xr:uid="{00000000-0005-0000-0000-0000F2110000}"/>
    <cellStyle name="Normal 25 2 3 2 4" xfId="5758" xr:uid="{00000000-0005-0000-0000-0000F3110000}"/>
    <cellStyle name="Normal 25 2 3 2 5" xfId="5759" xr:uid="{00000000-0005-0000-0000-0000F4110000}"/>
    <cellStyle name="Normal 25 2 3 3" xfId="966" xr:uid="{00000000-0005-0000-0000-0000F5110000}"/>
    <cellStyle name="Normal 25 2 3 3 2" xfId="5760" xr:uid="{00000000-0005-0000-0000-0000F6110000}"/>
    <cellStyle name="Normal 25 2 3 3 2 2" xfId="5761" xr:uid="{00000000-0005-0000-0000-0000F7110000}"/>
    <cellStyle name="Normal 25 2 3 3 3" xfId="5762" xr:uid="{00000000-0005-0000-0000-0000F8110000}"/>
    <cellStyle name="Normal 25 2 3 3 4" xfId="5763" xr:uid="{00000000-0005-0000-0000-0000F9110000}"/>
    <cellStyle name="Normal 25 2 3 4" xfId="5764" xr:uid="{00000000-0005-0000-0000-0000FA110000}"/>
    <cellStyle name="Normal 25 2 3 4 2" xfId="5765" xr:uid="{00000000-0005-0000-0000-0000FB110000}"/>
    <cellStyle name="Normal 25 2 3 5" xfId="5766" xr:uid="{00000000-0005-0000-0000-0000FC110000}"/>
    <cellStyle name="Normal 25 2 3 6" xfId="5767" xr:uid="{00000000-0005-0000-0000-0000FD110000}"/>
    <cellStyle name="Normal 25 2 4" xfId="967" xr:uid="{00000000-0005-0000-0000-0000FE110000}"/>
    <cellStyle name="Normal 25 2 4 2" xfId="968" xr:uid="{00000000-0005-0000-0000-0000FF110000}"/>
    <cellStyle name="Normal 25 2 4 2 2" xfId="5768" xr:uid="{00000000-0005-0000-0000-000000120000}"/>
    <cellStyle name="Normal 25 2 4 2 2 2" xfId="5769" xr:uid="{00000000-0005-0000-0000-000001120000}"/>
    <cellStyle name="Normal 25 2 4 2 3" xfId="5770" xr:uid="{00000000-0005-0000-0000-000002120000}"/>
    <cellStyle name="Normal 25 2 4 2 4" xfId="5771" xr:uid="{00000000-0005-0000-0000-000003120000}"/>
    <cellStyle name="Normal 25 2 4 3" xfId="5772" xr:uid="{00000000-0005-0000-0000-000004120000}"/>
    <cellStyle name="Normal 25 2 4 3 2" xfId="5773" xr:uid="{00000000-0005-0000-0000-000005120000}"/>
    <cellStyle name="Normal 25 2 4 4" xfId="5774" xr:uid="{00000000-0005-0000-0000-000006120000}"/>
    <cellStyle name="Normal 25 2 4 5" xfId="5775" xr:uid="{00000000-0005-0000-0000-000007120000}"/>
    <cellStyle name="Normal 25 2 5" xfId="969" xr:uid="{00000000-0005-0000-0000-000008120000}"/>
    <cellStyle name="Normal 25 2 5 2" xfId="5776" xr:uid="{00000000-0005-0000-0000-000009120000}"/>
    <cellStyle name="Normal 25 2 5 2 2" xfId="5777" xr:uid="{00000000-0005-0000-0000-00000A120000}"/>
    <cellStyle name="Normal 25 2 5 3" xfId="5778" xr:uid="{00000000-0005-0000-0000-00000B120000}"/>
    <cellStyle name="Normal 25 2 5 4" xfId="5779" xr:uid="{00000000-0005-0000-0000-00000C120000}"/>
    <cellStyle name="Normal 25 2 6" xfId="5780" xr:uid="{00000000-0005-0000-0000-00000D120000}"/>
    <cellStyle name="Normal 25 2 6 2" xfId="5781" xr:uid="{00000000-0005-0000-0000-00000E120000}"/>
    <cellStyle name="Normal 25 2 7" xfId="5782" xr:uid="{00000000-0005-0000-0000-00000F120000}"/>
    <cellStyle name="Normal 25 2 8" xfId="5783" xr:uid="{00000000-0005-0000-0000-000010120000}"/>
    <cellStyle name="Normal 25 3" xfId="970" xr:uid="{00000000-0005-0000-0000-000011120000}"/>
    <cellStyle name="Normal 25 3 2" xfId="971" xr:uid="{00000000-0005-0000-0000-000012120000}"/>
    <cellStyle name="Normal 25 3 2 2" xfId="972" xr:uid="{00000000-0005-0000-0000-000013120000}"/>
    <cellStyle name="Normal 25 3 2 2 2" xfId="973" xr:uid="{00000000-0005-0000-0000-000014120000}"/>
    <cellStyle name="Normal 25 3 2 2 2 2" xfId="5784" xr:uid="{00000000-0005-0000-0000-000015120000}"/>
    <cellStyle name="Normal 25 3 2 2 2 2 2" xfId="5785" xr:uid="{00000000-0005-0000-0000-000016120000}"/>
    <cellStyle name="Normal 25 3 2 2 2 3" xfId="5786" xr:uid="{00000000-0005-0000-0000-000017120000}"/>
    <cellStyle name="Normal 25 3 2 2 2 4" xfId="5787" xr:uid="{00000000-0005-0000-0000-000018120000}"/>
    <cellStyle name="Normal 25 3 2 2 3" xfId="5788" xr:uid="{00000000-0005-0000-0000-000019120000}"/>
    <cellStyle name="Normal 25 3 2 2 3 2" xfId="5789" xr:uid="{00000000-0005-0000-0000-00001A120000}"/>
    <cellStyle name="Normal 25 3 2 2 4" xfId="5790" xr:uid="{00000000-0005-0000-0000-00001B120000}"/>
    <cellStyle name="Normal 25 3 2 2 5" xfId="5791" xr:uid="{00000000-0005-0000-0000-00001C120000}"/>
    <cellStyle name="Normal 25 3 2 3" xfId="974" xr:uid="{00000000-0005-0000-0000-00001D120000}"/>
    <cellStyle name="Normal 25 3 2 3 2" xfId="5792" xr:uid="{00000000-0005-0000-0000-00001E120000}"/>
    <cellStyle name="Normal 25 3 2 3 2 2" xfId="5793" xr:uid="{00000000-0005-0000-0000-00001F120000}"/>
    <cellStyle name="Normal 25 3 2 3 3" xfId="5794" xr:uid="{00000000-0005-0000-0000-000020120000}"/>
    <cellStyle name="Normal 25 3 2 3 4" xfId="5795" xr:uid="{00000000-0005-0000-0000-000021120000}"/>
    <cellStyle name="Normal 25 3 2 4" xfId="5796" xr:uid="{00000000-0005-0000-0000-000022120000}"/>
    <cellStyle name="Normal 25 3 2 4 2" xfId="5797" xr:uid="{00000000-0005-0000-0000-000023120000}"/>
    <cellStyle name="Normal 25 3 2 5" xfId="5798" xr:uid="{00000000-0005-0000-0000-000024120000}"/>
    <cellStyle name="Normal 25 3 2 6" xfId="5799" xr:uid="{00000000-0005-0000-0000-000025120000}"/>
    <cellStyle name="Normal 25 3 3" xfId="975" xr:uid="{00000000-0005-0000-0000-000026120000}"/>
    <cellStyle name="Normal 25 3 3 2" xfId="976" xr:uid="{00000000-0005-0000-0000-000027120000}"/>
    <cellStyle name="Normal 25 3 3 2 2" xfId="5800" xr:uid="{00000000-0005-0000-0000-000028120000}"/>
    <cellStyle name="Normal 25 3 3 2 2 2" xfId="5801" xr:uid="{00000000-0005-0000-0000-000029120000}"/>
    <cellStyle name="Normal 25 3 3 2 3" xfId="5802" xr:uid="{00000000-0005-0000-0000-00002A120000}"/>
    <cellStyle name="Normal 25 3 3 2 4" xfId="5803" xr:uid="{00000000-0005-0000-0000-00002B120000}"/>
    <cellStyle name="Normal 25 3 3 3" xfId="5804" xr:uid="{00000000-0005-0000-0000-00002C120000}"/>
    <cellStyle name="Normal 25 3 3 3 2" xfId="5805" xr:uid="{00000000-0005-0000-0000-00002D120000}"/>
    <cellStyle name="Normal 25 3 3 4" xfId="5806" xr:uid="{00000000-0005-0000-0000-00002E120000}"/>
    <cellStyle name="Normal 25 3 3 5" xfId="5807" xr:uid="{00000000-0005-0000-0000-00002F120000}"/>
    <cellStyle name="Normal 25 3 4" xfId="977" xr:uid="{00000000-0005-0000-0000-000030120000}"/>
    <cellStyle name="Normal 25 3 4 2" xfId="5808" xr:uid="{00000000-0005-0000-0000-000031120000}"/>
    <cellStyle name="Normal 25 3 4 2 2" xfId="5809" xr:uid="{00000000-0005-0000-0000-000032120000}"/>
    <cellStyle name="Normal 25 3 4 3" xfId="5810" xr:uid="{00000000-0005-0000-0000-000033120000}"/>
    <cellStyle name="Normal 25 3 4 4" xfId="5811" xr:uid="{00000000-0005-0000-0000-000034120000}"/>
    <cellStyle name="Normal 25 3 5" xfId="5812" xr:uid="{00000000-0005-0000-0000-000035120000}"/>
    <cellStyle name="Normal 25 3 5 2" xfId="5813" xr:uid="{00000000-0005-0000-0000-000036120000}"/>
    <cellStyle name="Normal 25 3 6" xfId="5814" xr:uid="{00000000-0005-0000-0000-000037120000}"/>
    <cellStyle name="Normal 25 3 7" xfId="5815" xr:uid="{00000000-0005-0000-0000-000038120000}"/>
    <cellStyle name="Normal 25 4" xfId="978" xr:uid="{00000000-0005-0000-0000-000039120000}"/>
    <cellStyle name="Normal 25 4 2" xfId="979" xr:uid="{00000000-0005-0000-0000-00003A120000}"/>
    <cellStyle name="Normal 25 4 2 2" xfId="980" xr:uid="{00000000-0005-0000-0000-00003B120000}"/>
    <cellStyle name="Normal 25 4 2 2 2" xfId="5816" xr:uid="{00000000-0005-0000-0000-00003C120000}"/>
    <cellStyle name="Normal 25 4 2 2 2 2" xfId="5817" xr:uid="{00000000-0005-0000-0000-00003D120000}"/>
    <cellStyle name="Normal 25 4 2 2 3" xfId="5818" xr:uid="{00000000-0005-0000-0000-00003E120000}"/>
    <cellStyle name="Normal 25 4 2 2 4" xfId="5819" xr:uid="{00000000-0005-0000-0000-00003F120000}"/>
    <cellStyle name="Normal 25 4 2 3" xfId="5820" xr:uid="{00000000-0005-0000-0000-000040120000}"/>
    <cellStyle name="Normal 25 4 2 3 2" xfId="5821" xr:uid="{00000000-0005-0000-0000-000041120000}"/>
    <cellStyle name="Normal 25 4 2 4" xfId="5822" xr:uid="{00000000-0005-0000-0000-000042120000}"/>
    <cellStyle name="Normal 25 4 2 5" xfId="5823" xr:uid="{00000000-0005-0000-0000-000043120000}"/>
    <cellStyle name="Normal 25 4 3" xfId="981" xr:uid="{00000000-0005-0000-0000-000044120000}"/>
    <cellStyle name="Normal 25 4 3 2" xfId="5824" xr:uid="{00000000-0005-0000-0000-000045120000}"/>
    <cellStyle name="Normal 25 4 3 2 2" xfId="5825" xr:uid="{00000000-0005-0000-0000-000046120000}"/>
    <cellStyle name="Normal 25 4 3 3" xfId="5826" xr:uid="{00000000-0005-0000-0000-000047120000}"/>
    <cellStyle name="Normal 25 4 3 4" xfId="5827" xr:uid="{00000000-0005-0000-0000-000048120000}"/>
    <cellStyle name="Normal 25 4 4" xfId="5828" xr:uid="{00000000-0005-0000-0000-000049120000}"/>
    <cellStyle name="Normal 25 4 4 2" xfId="5829" xr:uid="{00000000-0005-0000-0000-00004A120000}"/>
    <cellStyle name="Normal 25 4 5" xfId="5830" xr:uid="{00000000-0005-0000-0000-00004B120000}"/>
    <cellStyle name="Normal 25 4 6" xfId="5831" xr:uid="{00000000-0005-0000-0000-00004C120000}"/>
    <cellStyle name="Normal 25 5" xfId="982" xr:uid="{00000000-0005-0000-0000-00004D120000}"/>
    <cellStyle name="Normal 25 5 2" xfId="983" xr:uid="{00000000-0005-0000-0000-00004E120000}"/>
    <cellStyle name="Normal 25 5 2 2" xfId="5832" xr:uid="{00000000-0005-0000-0000-00004F120000}"/>
    <cellStyle name="Normal 25 5 2 2 2" xfId="5833" xr:uid="{00000000-0005-0000-0000-000050120000}"/>
    <cellStyle name="Normal 25 5 2 3" xfId="5834" xr:uid="{00000000-0005-0000-0000-000051120000}"/>
    <cellStyle name="Normal 25 5 2 4" xfId="5835" xr:uid="{00000000-0005-0000-0000-000052120000}"/>
    <cellStyle name="Normal 25 5 3" xfId="5836" xr:uid="{00000000-0005-0000-0000-000053120000}"/>
    <cellStyle name="Normal 25 5 3 2" xfId="5837" xr:uid="{00000000-0005-0000-0000-000054120000}"/>
    <cellStyle name="Normal 25 5 4" xfId="5838" xr:uid="{00000000-0005-0000-0000-000055120000}"/>
    <cellStyle name="Normal 25 5 5" xfId="5839" xr:uid="{00000000-0005-0000-0000-000056120000}"/>
    <cellStyle name="Normal 25 6" xfId="984" xr:uid="{00000000-0005-0000-0000-000057120000}"/>
    <cellStyle name="Normal 25 6 2" xfId="5840" xr:uid="{00000000-0005-0000-0000-000058120000}"/>
    <cellStyle name="Normal 25 6 2 2" xfId="5841" xr:uid="{00000000-0005-0000-0000-000059120000}"/>
    <cellStyle name="Normal 25 6 3" xfId="5842" xr:uid="{00000000-0005-0000-0000-00005A120000}"/>
    <cellStyle name="Normal 25 6 4" xfId="5843" xr:uid="{00000000-0005-0000-0000-00005B120000}"/>
    <cellStyle name="Normal 25 7" xfId="5844" xr:uid="{00000000-0005-0000-0000-00005C120000}"/>
    <cellStyle name="Normal 25 7 2" xfId="5845" xr:uid="{00000000-0005-0000-0000-00005D120000}"/>
    <cellStyle name="Normal 25 8" xfId="5846" xr:uid="{00000000-0005-0000-0000-00005E120000}"/>
    <cellStyle name="Normal 25 9" xfId="5847" xr:uid="{00000000-0005-0000-0000-00005F120000}"/>
    <cellStyle name="Normal 26" xfId="985" xr:uid="{00000000-0005-0000-0000-000060120000}"/>
    <cellStyle name="Normal 26 2" xfId="986" xr:uid="{00000000-0005-0000-0000-000061120000}"/>
    <cellStyle name="Normal 26 3" xfId="987" xr:uid="{00000000-0005-0000-0000-000062120000}"/>
    <cellStyle name="Normal 27" xfId="988" xr:uid="{00000000-0005-0000-0000-000063120000}"/>
    <cellStyle name="Normal 27 2" xfId="989" xr:uid="{00000000-0005-0000-0000-000064120000}"/>
    <cellStyle name="Normal 27 2 2" xfId="990" xr:uid="{00000000-0005-0000-0000-000065120000}"/>
    <cellStyle name="Normal 27 2 2 2" xfId="991" xr:uid="{00000000-0005-0000-0000-000066120000}"/>
    <cellStyle name="Normal 27 2 2 2 2" xfId="992" xr:uid="{00000000-0005-0000-0000-000067120000}"/>
    <cellStyle name="Normal 27 2 2 2 2 2" xfId="5848" xr:uid="{00000000-0005-0000-0000-000068120000}"/>
    <cellStyle name="Normal 27 2 2 2 2 2 2" xfId="5849" xr:uid="{00000000-0005-0000-0000-000069120000}"/>
    <cellStyle name="Normal 27 2 2 2 2 3" xfId="5850" xr:uid="{00000000-0005-0000-0000-00006A120000}"/>
    <cellStyle name="Normal 27 2 2 2 2 4" xfId="5851" xr:uid="{00000000-0005-0000-0000-00006B120000}"/>
    <cellStyle name="Normal 27 2 2 2 3" xfId="5852" xr:uid="{00000000-0005-0000-0000-00006C120000}"/>
    <cellStyle name="Normal 27 2 2 2 3 2" xfId="5853" xr:uid="{00000000-0005-0000-0000-00006D120000}"/>
    <cellStyle name="Normal 27 2 2 2 4" xfId="5854" xr:uid="{00000000-0005-0000-0000-00006E120000}"/>
    <cellStyle name="Normal 27 2 2 2 5" xfId="5855" xr:uid="{00000000-0005-0000-0000-00006F120000}"/>
    <cellStyle name="Normal 27 2 2 3" xfId="993" xr:uid="{00000000-0005-0000-0000-000070120000}"/>
    <cellStyle name="Normal 27 2 2 3 2" xfId="5856" xr:uid="{00000000-0005-0000-0000-000071120000}"/>
    <cellStyle name="Normal 27 2 2 3 2 2" xfId="5857" xr:uid="{00000000-0005-0000-0000-000072120000}"/>
    <cellStyle name="Normal 27 2 2 3 3" xfId="5858" xr:uid="{00000000-0005-0000-0000-000073120000}"/>
    <cellStyle name="Normal 27 2 2 3 4" xfId="5859" xr:uid="{00000000-0005-0000-0000-000074120000}"/>
    <cellStyle name="Normal 27 2 2 4" xfId="5860" xr:uid="{00000000-0005-0000-0000-000075120000}"/>
    <cellStyle name="Normal 27 2 2 4 2" xfId="5861" xr:uid="{00000000-0005-0000-0000-000076120000}"/>
    <cellStyle name="Normal 27 2 2 5" xfId="5862" xr:uid="{00000000-0005-0000-0000-000077120000}"/>
    <cellStyle name="Normal 27 2 2 6" xfId="5863" xr:uid="{00000000-0005-0000-0000-000078120000}"/>
    <cellStyle name="Normal 27 2 3" xfId="994" xr:uid="{00000000-0005-0000-0000-000079120000}"/>
    <cellStyle name="Normal 27 2 3 2" xfId="995" xr:uid="{00000000-0005-0000-0000-00007A120000}"/>
    <cellStyle name="Normal 27 2 3 2 2" xfId="5864" xr:uid="{00000000-0005-0000-0000-00007B120000}"/>
    <cellStyle name="Normal 27 2 3 2 2 2" xfId="5865" xr:uid="{00000000-0005-0000-0000-00007C120000}"/>
    <cellStyle name="Normal 27 2 3 2 3" xfId="5866" xr:uid="{00000000-0005-0000-0000-00007D120000}"/>
    <cellStyle name="Normal 27 2 3 2 4" xfId="5867" xr:uid="{00000000-0005-0000-0000-00007E120000}"/>
    <cellStyle name="Normal 27 2 3 3" xfId="5868" xr:uid="{00000000-0005-0000-0000-00007F120000}"/>
    <cellStyle name="Normal 27 2 3 3 2" xfId="5869" xr:uid="{00000000-0005-0000-0000-000080120000}"/>
    <cellStyle name="Normal 27 2 3 4" xfId="5870" xr:uid="{00000000-0005-0000-0000-000081120000}"/>
    <cellStyle name="Normal 27 2 3 5" xfId="5871" xr:uid="{00000000-0005-0000-0000-000082120000}"/>
    <cellStyle name="Normal 27 2 4" xfId="996" xr:uid="{00000000-0005-0000-0000-000083120000}"/>
    <cellStyle name="Normal 27 2 4 2" xfId="5872" xr:uid="{00000000-0005-0000-0000-000084120000}"/>
    <cellStyle name="Normal 27 2 4 2 2" xfId="5873" xr:uid="{00000000-0005-0000-0000-000085120000}"/>
    <cellStyle name="Normal 27 2 4 3" xfId="5874" xr:uid="{00000000-0005-0000-0000-000086120000}"/>
    <cellStyle name="Normal 27 2 4 4" xfId="5875" xr:uid="{00000000-0005-0000-0000-000087120000}"/>
    <cellStyle name="Normal 27 2 5" xfId="5876" xr:uid="{00000000-0005-0000-0000-000088120000}"/>
    <cellStyle name="Normal 27 2 5 2" xfId="5877" xr:uid="{00000000-0005-0000-0000-000089120000}"/>
    <cellStyle name="Normal 27 2 6" xfId="5878" xr:uid="{00000000-0005-0000-0000-00008A120000}"/>
    <cellStyle name="Normal 27 2 7" xfId="5879" xr:uid="{00000000-0005-0000-0000-00008B120000}"/>
    <cellStyle name="Normal 27 3" xfId="997" xr:uid="{00000000-0005-0000-0000-00008C120000}"/>
    <cellStyle name="Normal 27 3 2" xfId="998" xr:uid="{00000000-0005-0000-0000-00008D120000}"/>
    <cellStyle name="Normal 27 3 2 2" xfId="999" xr:uid="{00000000-0005-0000-0000-00008E120000}"/>
    <cellStyle name="Normal 27 3 2 2 2" xfId="5880" xr:uid="{00000000-0005-0000-0000-00008F120000}"/>
    <cellStyle name="Normal 27 3 2 2 2 2" xfId="5881" xr:uid="{00000000-0005-0000-0000-000090120000}"/>
    <cellStyle name="Normal 27 3 2 2 3" xfId="5882" xr:uid="{00000000-0005-0000-0000-000091120000}"/>
    <cellStyle name="Normal 27 3 2 2 4" xfId="5883" xr:uid="{00000000-0005-0000-0000-000092120000}"/>
    <cellStyle name="Normal 27 3 2 3" xfId="5884" xr:uid="{00000000-0005-0000-0000-000093120000}"/>
    <cellStyle name="Normal 27 3 2 3 2" xfId="5885" xr:uid="{00000000-0005-0000-0000-000094120000}"/>
    <cellStyle name="Normal 27 3 2 4" xfId="5886" xr:uid="{00000000-0005-0000-0000-000095120000}"/>
    <cellStyle name="Normal 27 3 2 5" xfId="5887" xr:uid="{00000000-0005-0000-0000-000096120000}"/>
    <cellStyle name="Normal 27 3 3" xfId="1000" xr:uid="{00000000-0005-0000-0000-000097120000}"/>
    <cellStyle name="Normal 27 3 3 2" xfId="5888" xr:uid="{00000000-0005-0000-0000-000098120000}"/>
    <cellStyle name="Normal 27 3 3 2 2" xfId="5889" xr:uid="{00000000-0005-0000-0000-000099120000}"/>
    <cellStyle name="Normal 27 3 3 3" xfId="5890" xr:uid="{00000000-0005-0000-0000-00009A120000}"/>
    <cellStyle name="Normal 27 3 3 4" xfId="5891" xr:uid="{00000000-0005-0000-0000-00009B120000}"/>
    <cellStyle name="Normal 27 3 4" xfId="5892" xr:uid="{00000000-0005-0000-0000-00009C120000}"/>
    <cellStyle name="Normal 27 3 4 2" xfId="5893" xr:uid="{00000000-0005-0000-0000-00009D120000}"/>
    <cellStyle name="Normal 27 3 5" xfId="5894" xr:uid="{00000000-0005-0000-0000-00009E120000}"/>
    <cellStyle name="Normal 27 3 6" xfId="5895" xr:uid="{00000000-0005-0000-0000-00009F120000}"/>
    <cellStyle name="Normal 27 4" xfId="1001" xr:uid="{00000000-0005-0000-0000-0000A0120000}"/>
    <cellStyle name="Normal 27 4 2" xfId="1002" xr:uid="{00000000-0005-0000-0000-0000A1120000}"/>
    <cellStyle name="Normal 27 4 2 2" xfId="5896" xr:uid="{00000000-0005-0000-0000-0000A2120000}"/>
    <cellStyle name="Normal 27 4 2 2 2" xfId="5897" xr:uid="{00000000-0005-0000-0000-0000A3120000}"/>
    <cellStyle name="Normal 27 4 2 3" xfId="5898" xr:uid="{00000000-0005-0000-0000-0000A4120000}"/>
    <cellStyle name="Normal 27 4 2 4" xfId="5899" xr:uid="{00000000-0005-0000-0000-0000A5120000}"/>
    <cellStyle name="Normal 27 4 3" xfId="5900" xr:uid="{00000000-0005-0000-0000-0000A6120000}"/>
    <cellStyle name="Normal 27 4 3 2" xfId="5901" xr:uid="{00000000-0005-0000-0000-0000A7120000}"/>
    <cellStyle name="Normal 27 4 4" xfId="5902" xr:uid="{00000000-0005-0000-0000-0000A8120000}"/>
    <cellStyle name="Normal 27 4 5" xfId="5903" xr:uid="{00000000-0005-0000-0000-0000A9120000}"/>
    <cellStyle name="Normal 27 5" xfId="1003" xr:uid="{00000000-0005-0000-0000-0000AA120000}"/>
    <cellStyle name="Normal 27 5 2" xfId="5904" xr:uid="{00000000-0005-0000-0000-0000AB120000}"/>
    <cellStyle name="Normal 27 5 2 2" xfId="5905" xr:uid="{00000000-0005-0000-0000-0000AC120000}"/>
    <cellStyle name="Normal 27 5 3" xfId="5906" xr:uid="{00000000-0005-0000-0000-0000AD120000}"/>
    <cellStyle name="Normal 27 5 4" xfId="5907" xr:uid="{00000000-0005-0000-0000-0000AE120000}"/>
    <cellStyle name="Normal 27 6" xfId="5908" xr:uid="{00000000-0005-0000-0000-0000AF120000}"/>
    <cellStyle name="Normal 27 6 2" xfId="5909" xr:uid="{00000000-0005-0000-0000-0000B0120000}"/>
    <cellStyle name="Normal 27 7" xfId="5910" xr:uid="{00000000-0005-0000-0000-0000B1120000}"/>
    <cellStyle name="Normal 27 8" xfId="5911" xr:uid="{00000000-0005-0000-0000-0000B2120000}"/>
    <cellStyle name="Normal 28" xfId="1004" xr:uid="{00000000-0005-0000-0000-0000B3120000}"/>
    <cellStyle name="Normal 28 2" xfId="1005" xr:uid="{00000000-0005-0000-0000-0000B4120000}"/>
    <cellStyle name="Normal 28 3" xfId="1006" xr:uid="{00000000-0005-0000-0000-0000B5120000}"/>
    <cellStyle name="Normal 29" xfId="1007" xr:uid="{00000000-0005-0000-0000-0000B6120000}"/>
    <cellStyle name="Normal 29 2" xfId="1008" xr:uid="{00000000-0005-0000-0000-0000B7120000}"/>
    <cellStyle name="Normal 29 2 2" xfId="1009" xr:uid="{00000000-0005-0000-0000-0000B8120000}"/>
    <cellStyle name="Normal 29 2 2 2" xfId="1010" xr:uid="{00000000-0005-0000-0000-0000B9120000}"/>
    <cellStyle name="Normal 29 2 2 2 2" xfId="1011" xr:uid="{00000000-0005-0000-0000-0000BA120000}"/>
    <cellStyle name="Normal 29 2 2 2 2 2" xfId="5912" xr:uid="{00000000-0005-0000-0000-0000BB120000}"/>
    <cellStyle name="Normal 29 2 2 2 2 2 2" xfId="5913" xr:uid="{00000000-0005-0000-0000-0000BC120000}"/>
    <cellStyle name="Normal 29 2 2 2 2 3" xfId="5914" xr:uid="{00000000-0005-0000-0000-0000BD120000}"/>
    <cellStyle name="Normal 29 2 2 2 2 4" xfId="5915" xr:uid="{00000000-0005-0000-0000-0000BE120000}"/>
    <cellStyle name="Normal 29 2 2 2 3" xfId="5916" xr:uid="{00000000-0005-0000-0000-0000BF120000}"/>
    <cellStyle name="Normal 29 2 2 2 3 2" xfId="5917" xr:uid="{00000000-0005-0000-0000-0000C0120000}"/>
    <cellStyle name="Normal 29 2 2 2 4" xfId="5918" xr:uid="{00000000-0005-0000-0000-0000C1120000}"/>
    <cellStyle name="Normal 29 2 2 2 5" xfId="5919" xr:uid="{00000000-0005-0000-0000-0000C2120000}"/>
    <cellStyle name="Normal 29 2 2 3" xfId="1012" xr:uid="{00000000-0005-0000-0000-0000C3120000}"/>
    <cellStyle name="Normal 29 2 2 3 2" xfId="5920" xr:uid="{00000000-0005-0000-0000-0000C4120000}"/>
    <cellStyle name="Normal 29 2 2 3 2 2" xfId="5921" xr:uid="{00000000-0005-0000-0000-0000C5120000}"/>
    <cellStyle name="Normal 29 2 2 3 3" xfId="5922" xr:uid="{00000000-0005-0000-0000-0000C6120000}"/>
    <cellStyle name="Normal 29 2 2 3 4" xfId="5923" xr:uid="{00000000-0005-0000-0000-0000C7120000}"/>
    <cellStyle name="Normal 29 2 2 4" xfId="5924" xr:uid="{00000000-0005-0000-0000-0000C8120000}"/>
    <cellStyle name="Normal 29 2 2 4 2" xfId="5925" xr:uid="{00000000-0005-0000-0000-0000C9120000}"/>
    <cellStyle name="Normal 29 2 2 5" xfId="5926" xr:uid="{00000000-0005-0000-0000-0000CA120000}"/>
    <cellStyle name="Normal 29 2 2 6" xfId="5927" xr:uid="{00000000-0005-0000-0000-0000CB120000}"/>
    <cellStyle name="Normal 29 2 3" xfId="1013" xr:uid="{00000000-0005-0000-0000-0000CC120000}"/>
    <cellStyle name="Normal 29 2 3 2" xfId="1014" xr:uid="{00000000-0005-0000-0000-0000CD120000}"/>
    <cellStyle name="Normal 29 2 3 2 2" xfId="5928" xr:uid="{00000000-0005-0000-0000-0000CE120000}"/>
    <cellStyle name="Normal 29 2 3 2 2 2" xfId="5929" xr:uid="{00000000-0005-0000-0000-0000CF120000}"/>
    <cellStyle name="Normal 29 2 3 2 3" xfId="5930" xr:uid="{00000000-0005-0000-0000-0000D0120000}"/>
    <cellStyle name="Normal 29 2 3 2 4" xfId="5931" xr:uid="{00000000-0005-0000-0000-0000D1120000}"/>
    <cellStyle name="Normal 29 2 3 3" xfId="5932" xr:uid="{00000000-0005-0000-0000-0000D2120000}"/>
    <cellStyle name="Normal 29 2 3 3 2" xfId="5933" xr:uid="{00000000-0005-0000-0000-0000D3120000}"/>
    <cellStyle name="Normal 29 2 3 4" xfId="5934" xr:uid="{00000000-0005-0000-0000-0000D4120000}"/>
    <cellStyle name="Normal 29 2 3 5" xfId="5935" xr:uid="{00000000-0005-0000-0000-0000D5120000}"/>
    <cellStyle name="Normal 29 2 4" xfId="1015" xr:uid="{00000000-0005-0000-0000-0000D6120000}"/>
    <cellStyle name="Normal 29 2 4 2" xfId="5936" xr:uid="{00000000-0005-0000-0000-0000D7120000}"/>
    <cellStyle name="Normal 29 2 4 2 2" xfId="5937" xr:uid="{00000000-0005-0000-0000-0000D8120000}"/>
    <cellStyle name="Normal 29 2 4 3" xfId="5938" xr:uid="{00000000-0005-0000-0000-0000D9120000}"/>
    <cellStyle name="Normal 29 2 4 4" xfId="5939" xr:uid="{00000000-0005-0000-0000-0000DA120000}"/>
    <cellStyle name="Normal 29 2 5" xfId="5940" xr:uid="{00000000-0005-0000-0000-0000DB120000}"/>
    <cellStyle name="Normal 29 2 5 2" xfId="5941" xr:uid="{00000000-0005-0000-0000-0000DC120000}"/>
    <cellStyle name="Normal 29 2 6" xfId="5942" xr:uid="{00000000-0005-0000-0000-0000DD120000}"/>
    <cellStyle name="Normal 29 2 7" xfId="5943" xr:uid="{00000000-0005-0000-0000-0000DE120000}"/>
    <cellStyle name="Normal 29 3" xfId="1016" xr:uid="{00000000-0005-0000-0000-0000DF120000}"/>
    <cellStyle name="Normal 29 3 2" xfId="1017" xr:uid="{00000000-0005-0000-0000-0000E0120000}"/>
    <cellStyle name="Normal 29 3 2 2" xfId="1018" xr:uid="{00000000-0005-0000-0000-0000E1120000}"/>
    <cellStyle name="Normal 29 3 2 2 2" xfId="5944" xr:uid="{00000000-0005-0000-0000-0000E2120000}"/>
    <cellStyle name="Normal 29 3 2 2 2 2" xfId="5945" xr:uid="{00000000-0005-0000-0000-0000E3120000}"/>
    <cellStyle name="Normal 29 3 2 2 3" xfId="5946" xr:uid="{00000000-0005-0000-0000-0000E4120000}"/>
    <cellStyle name="Normal 29 3 2 2 4" xfId="5947" xr:uid="{00000000-0005-0000-0000-0000E5120000}"/>
    <cellStyle name="Normal 29 3 2 3" xfId="5948" xr:uid="{00000000-0005-0000-0000-0000E6120000}"/>
    <cellStyle name="Normal 29 3 2 3 2" xfId="5949" xr:uid="{00000000-0005-0000-0000-0000E7120000}"/>
    <cellStyle name="Normal 29 3 2 4" xfId="5950" xr:uid="{00000000-0005-0000-0000-0000E8120000}"/>
    <cellStyle name="Normal 29 3 2 5" xfId="5951" xr:uid="{00000000-0005-0000-0000-0000E9120000}"/>
    <cellStyle name="Normal 29 3 3" xfId="1019" xr:uid="{00000000-0005-0000-0000-0000EA120000}"/>
    <cellStyle name="Normal 29 3 3 2" xfId="5952" xr:uid="{00000000-0005-0000-0000-0000EB120000}"/>
    <cellStyle name="Normal 29 3 3 2 2" xfId="5953" xr:uid="{00000000-0005-0000-0000-0000EC120000}"/>
    <cellStyle name="Normal 29 3 3 3" xfId="5954" xr:uid="{00000000-0005-0000-0000-0000ED120000}"/>
    <cellStyle name="Normal 29 3 3 4" xfId="5955" xr:uid="{00000000-0005-0000-0000-0000EE120000}"/>
    <cellStyle name="Normal 29 3 4" xfId="5956" xr:uid="{00000000-0005-0000-0000-0000EF120000}"/>
    <cellStyle name="Normal 29 3 4 2" xfId="5957" xr:uid="{00000000-0005-0000-0000-0000F0120000}"/>
    <cellStyle name="Normal 29 3 5" xfId="5958" xr:uid="{00000000-0005-0000-0000-0000F1120000}"/>
    <cellStyle name="Normal 29 3 6" xfId="5959" xr:uid="{00000000-0005-0000-0000-0000F2120000}"/>
    <cellStyle name="Normal 29 4" xfId="1020" xr:uid="{00000000-0005-0000-0000-0000F3120000}"/>
    <cellStyle name="Normal 29 4 2" xfId="1021" xr:uid="{00000000-0005-0000-0000-0000F4120000}"/>
    <cellStyle name="Normal 29 4 2 2" xfId="5960" xr:uid="{00000000-0005-0000-0000-0000F5120000}"/>
    <cellStyle name="Normal 29 4 2 2 2" xfId="5961" xr:uid="{00000000-0005-0000-0000-0000F6120000}"/>
    <cellStyle name="Normal 29 4 2 3" xfId="5962" xr:uid="{00000000-0005-0000-0000-0000F7120000}"/>
    <cellStyle name="Normal 29 4 2 4" xfId="5963" xr:uid="{00000000-0005-0000-0000-0000F8120000}"/>
    <cellStyle name="Normal 29 4 3" xfId="5964" xr:uid="{00000000-0005-0000-0000-0000F9120000}"/>
    <cellStyle name="Normal 29 4 3 2" xfId="5965" xr:uid="{00000000-0005-0000-0000-0000FA120000}"/>
    <cellStyle name="Normal 29 4 4" xfId="5966" xr:uid="{00000000-0005-0000-0000-0000FB120000}"/>
    <cellStyle name="Normal 29 4 5" xfId="5967" xr:uid="{00000000-0005-0000-0000-0000FC120000}"/>
    <cellStyle name="Normal 29 5" xfId="1022" xr:uid="{00000000-0005-0000-0000-0000FD120000}"/>
    <cellStyle name="Normal 29 5 2" xfId="5968" xr:uid="{00000000-0005-0000-0000-0000FE120000}"/>
    <cellStyle name="Normal 29 5 2 2" xfId="5969" xr:uid="{00000000-0005-0000-0000-0000FF120000}"/>
    <cellStyle name="Normal 29 5 3" xfId="5970" xr:uid="{00000000-0005-0000-0000-000000130000}"/>
    <cellStyle name="Normal 29 5 4" xfId="5971" xr:uid="{00000000-0005-0000-0000-000001130000}"/>
    <cellStyle name="Normal 29 6" xfId="5972" xr:uid="{00000000-0005-0000-0000-000002130000}"/>
    <cellStyle name="Normal 29 6 2" xfId="5973" xr:uid="{00000000-0005-0000-0000-000003130000}"/>
    <cellStyle name="Normal 29 7" xfId="5974" xr:uid="{00000000-0005-0000-0000-000004130000}"/>
    <cellStyle name="Normal 29 8" xfId="5975" xr:uid="{00000000-0005-0000-0000-000005130000}"/>
    <cellStyle name="Normal 3" xfId="9" xr:uid="{00000000-0005-0000-0000-000006130000}"/>
    <cellStyle name="Normal 3 10" xfId="1023" xr:uid="{00000000-0005-0000-0000-000007130000}"/>
    <cellStyle name="Normal 3 10 2" xfId="5976" xr:uid="{00000000-0005-0000-0000-000008130000}"/>
    <cellStyle name="Normal 3 10 2 2" xfId="5977" xr:uid="{00000000-0005-0000-0000-000009130000}"/>
    <cellStyle name="Normal 3 10 3" xfId="5978" xr:uid="{00000000-0005-0000-0000-00000A130000}"/>
    <cellStyle name="Normal 3 10 4" xfId="5979" xr:uid="{00000000-0005-0000-0000-00000B130000}"/>
    <cellStyle name="Normal 3 2" xfId="1024" xr:uid="{00000000-0005-0000-0000-00000C130000}"/>
    <cellStyle name="Normal 3 2 2" xfId="1025" xr:uid="{00000000-0005-0000-0000-00000D130000}"/>
    <cellStyle name="Normal 3 2 2 2" xfId="1026" xr:uid="{00000000-0005-0000-0000-00000E130000}"/>
    <cellStyle name="Normal 3 2 2 3" xfId="1027" xr:uid="{00000000-0005-0000-0000-00000F130000}"/>
    <cellStyle name="Normal 3 2 2 3 2" xfId="1028" xr:uid="{00000000-0005-0000-0000-000010130000}"/>
    <cellStyle name="Normal 3 2 2 3 2 2" xfId="1029" xr:uid="{00000000-0005-0000-0000-000011130000}"/>
    <cellStyle name="Normal 3 2 2 3 2 2 2" xfId="5980" xr:uid="{00000000-0005-0000-0000-000012130000}"/>
    <cellStyle name="Normal 3 2 2 3 2 2 2 2" xfId="5981" xr:uid="{00000000-0005-0000-0000-000013130000}"/>
    <cellStyle name="Normal 3 2 2 3 2 2 3" xfId="5982" xr:uid="{00000000-0005-0000-0000-000014130000}"/>
    <cellStyle name="Normal 3 2 2 3 2 2 4" xfId="5983" xr:uid="{00000000-0005-0000-0000-000015130000}"/>
    <cellStyle name="Normal 3 2 2 3 2 3" xfId="5984" xr:uid="{00000000-0005-0000-0000-000016130000}"/>
    <cellStyle name="Normal 3 2 2 3 2 3 2" xfId="5985" xr:uid="{00000000-0005-0000-0000-000017130000}"/>
    <cellStyle name="Normal 3 2 2 3 2 4" xfId="5986" xr:uid="{00000000-0005-0000-0000-000018130000}"/>
    <cellStyle name="Normal 3 2 2 3 2 5" xfId="5987" xr:uid="{00000000-0005-0000-0000-000019130000}"/>
    <cellStyle name="Normal 3 2 2 3 3" xfId="1030" xr:uid="{00000000-0005-0000-0000-00001A130000}"/>
    <cellStyle name="Normal 3 2 2 3 3 2" xfId="5988" xr:uid="{00000000-0005-0000-0000-00001B130000}"/>
    <cellStyle name="Normal 3 2 2 3 3 2 2" xfId="5989" xr:uid="{00000000-0005-0000-0000-00001C130000}"/>
    <cellStyle name="Normal 3 2 2 3 3 3" xfId="5990" xr:uid="{00000000-0005-0000-0000-00001D130000}"/>
    <cellStyle name="Normal 3 2 2 3 3 4" xfId="5991" xr:uid="{00000000-0005-0000-0000-00001E130000}"/>
    <cellStyle name="Normal 3 2 2 3 4" xfId="5992" xr:uid="{00000000-0005-0000-0000-00001F130000}"/>
    <cellStyle name="Normal 3 2 2 3 4 2" xfId="5993" xr:uid="{00000000-0005-0000-0000-000020130000}"/>
    <cellStyle name="Normal 3 2 2 3 5" xfId="5994" xr:uid="{00000000-0005-0000-0000-000021130000}"/>
    <cellStyle name="Normal 3 2 2 3 6" xfId="5995" xr:uid="{00000000-0005-0000-0000-000022130000}"/>
    <cellStyle name="Normal 3 2 2 4" xfId="1031" xr:uid="{00000000-0005-0000-0000-000023130000}"/>
    <cellStyle name="Normal 3 2 2 4 2" xfId="1032" xr:uid="{00000000-0005-0000-0000-000024130000}"/>
    <cellStyle name="Normal 3 2 2 4 2 2" xfId="5996" xr:uid="{00000000-0005-0000-0000-000025130000}"/>
    <cellStyle name="Normal 3 2 2 4 2 2 2" xfId="5997" xr:uid="{00000000-0005-0000-0000-000026130000}"/>
    <cellStyle name="Normal 3 2 2 4 2 3" xfId="5998" xr:uid="{00000000-0005-0000-0000-000027130000}"/>
    <cellStyle name="Normal 3 2 2 4 2 4" xfId="5999" xr:uid="{00000000-0005-0000-0000-000028130000}"/>
    <cellStyle name="Normal 3 2 2 4 3" xfId="6000" xr:uid="{00000000-0005-0000-0000-000029130000}"/>
    <cellStyle name="Normal 3 2 2 4 3 2" xfId="6001" xr:uid="{00000000-0005-0000-0000-00002A130000}"/>
    <cellStyle name="Normal 3 2 2 4 4" xfId="6002" xr:uid="{00000000-0005-0000-0000-00002B130000}"/>
    <cellStyle name="Normal 3 2 2 4 5" xfId="6003" xr:uid="{00000000-0005-0000-0000-00002C130000}"/>
    <cellStyle name="Normal 3 2 2 5" xfId="1033" xr:uid="{00000000-0005-0000-0000-00002D130000}"/>
    <cellStyle name="Normal 3 2 2 5 2" xfId="6004" xr:uid="{00000000-0005-0000-0000-00002E130000}"/>
    <cellStyle name="Normal 3 2 2 5 2 2" xfId="6005" xr:uid="{00000000-0005-0000-0000-00002F130000}"/>
    <cellStyle name="Normal 3 2 2 5 3" xfId="6006" xr:uid="{00000000-0005-0000-0000-000030130000}"/>
    <cellStyle name="Normal 3 2 2 5 4" xfId="6007" xr:uid="{00000000-0005-0000-0000-000031130000}"/>
    <cellStyle name="Normal 3 2 2 6" xfId="6008" xr:uid="{00000000-0005-0000-0000-000032130000}"/>
    <cellStyle name="Normal 3 2 2 6 2" xfId="6009" xr:uid="{00000000-0005-0000-0000-000033130000}"/>
    <cellStyle name="Normal 3 2 2 7" xfId="6010" xr:uid="{00000000-0005-0000-0000-000034130000}"/>
    <cellStyle name="Normal 3 2 2 8" xfId="6011" xr:uid="{00000000-0005-0000-0000-000035130000}"/>
    <cellStyle name="Normal 3 3" xfId="1034" xr:uid="{00000000-0005-0000-0000-000036130000}"/>
    <cellStyle name="Normal 3 3 2" xfId="1035" xr:uid="{00000000-0005-0000-0000-000037130000}"/>
    <cellStyle name="Normal 3 3 2 2" xfId="1036" xr:uid="{00000000-0005-0000-0000-000038130000}"/>
    <cellStyle name="Normal 3 3 2 2 2" xfId="1037" xr:uid="{00000000-0005-0000-0000-000039130000}"/>
    <cellStyle name="Normal 3 3 2 2 2 2" xfId="1038" xr:uid="{00000000-0005-0000-0000-00003A130000}"/>
    <cellStyle name="Normal 3 3 2 2 2 2 2" xfId="1039" xr:uid="{00000000-0005-0000-0000-00003B130000}"/>
    <cellStyle name="Normal 3 3 2 2 2 2 2 2" xfId="6012" xr:uid="{00000000-0005-0000-0000-00003C130000}"/>
    <cellStyle name="Normal 3 3 2 2 2 2 2 2 2" xfId="6013" xr:uid="{00000000-0005-0000-0000-00003D130000}"/>
    <cellStyle name="Normal 3 3 2 2 2 2 2 3" xfId="6014" xr:uid="{00000000-0005-0000-0000-00003E130000}"/>
    <cellStyle name="Normal 3 3 2 2 2 2 2 4" xfId="6015" xr:uid="{00000000-0005-0000-0000-00003F130000}"/>
    <cellStyle name="Normal 3 3 2 2 2 2 3" xfId="6016" xr:uid="{00000000-0005-0000-0000-000040130000}"/>
    <cellStyle name="Normal 3 3 2 2 2 2 3 2" xfId="6017" xr:uid="{00000000-0005-0000-0000-000041130000}"/>
    <cellStyle name="Normal 3 3 2 2 2 2 4" xfId="6018" xr:uid="{00000000-0005-0000-0000-000042130000}"/>
    <cellStyle name="Normal 3 3 2 2 2 2 5" xfId="6019" xr:uid="{00000000-0005-0000-0000-000043130000}"/>
    <cellStyle name="Normal 3 3 2 2 2 3" xfId="1040" xr:uid="{00000000-0005-0000-0000-000044130000}"/>
    <cellStyle name="Normal 3 3 2 2 2 3 2" xfId="6020" xr:uid="{00000000-0005-0000-0000-000045130000}"/>
    <cellStyle name="Normal 3 3 2 2 2 3 2 2" xfId="6021" xr:uid="{00000000-0005-0000-0000-000046130000}"/>
    <cellStyle name="Normal 3 3 2 2 2 3 3" xfId="6022" xr:uid="{00000000-0005-0000-0000-000047130000}"/>
    <cellStyle name="Normal 3 3 2 2 2 3 4" xfId="6023" xr:uid="{00000000-0005-0000-0000-000048130000}"/>
    <cellStyle name="Normal 3 3 2 2 2 4" xfId="6024" xr:uid="{00000000-0005-0000-0000-000049130000}"/>
    <cellStyle name="Normal 3 3 2 2 2 4 2" xfId="6025" xr:uid="{00000000-0005-0000-0000-00004A130000}"/>
    <cellStyle name="Normal 3 3 2 2 2 5" xfId="6026" xr:uid="{00000000-0005-0000-0000-00004B130000}"/>
    <cellStyle name="Normal 3 3 2 2 2 6" xfId="6027" xr:uid="{00000000-0005-0000-0000-00004C130000}"/>
    <cellStyle name="Normal 3 3 2 2 3" xfId="1041" xr:uid="{00000000-0005-0000-0000-00004D130000}"/>
    <cellStyle name="Normal 3 3 2 2 3 2" xfId="1042" xr:uid="{00000000-0005-0000-0000-00004E130000}"/>
    <cellStyle name="Normal 3 3 2 2 3 2 2" xfId="6028" xr:uid="{00000000-0005-0000-0000-00004F130000}"/>
    <cellStyle name="Normal 3 3 2 2 3 2 2 2" xfId="6029" xr:uid="{00000000-0005-0000-0000-000050130000}"/>
    <cellStyle name="Normal 3 3 2 2 3 2 3" xfId="6030" xr:uid="{00000000-0005-0000-0000-000051130000}"/>
    <cellStyle name="Normal 3 3 2 2 3 2 4" xfId="6031" xr:uid="{00000000-0005-0000-0000-000052130000}"/>
    <cellStyle name="Normal 3 3 2 2 3 3" xfId="6032" xr:uid="{00000000-0005-0000-0000-000053130000}"/>
    <cellStyle name="Normal 3 3 2 2 3 3 2" xfId="6033" xr:uid="{00000000-0005-0000-0000-000054130000}"/>
    <cellStyle name="Normal 3 3 2 2 3 4" xfId="6034" xr:uid="{00000000-0005-0000-0000-000055130000}"/>
    <cellStyle name="Normal 3 3 2 2 3 5" xfId="6035" xr:uid="{00000000-0005-0000-0000-000056130000}"/>
    <cellStyle name="Normal 3 3 2 2 4" xfId="1043" xr:uid="{00000000-0005-0000-0000-000057130000}"/>
    <cellStyle name="Normal 3 3 2 2 4 2" xfId="6036" xr:uid="{00000000-0005-0000-0000-000058130000}"/>
    <cellStyle name="Normal 3 3 2 2 4 2 2" xfId="6037" xr:uid="{00000000-0005-0000-0000-000059130000}"/>
    <cellStyle name="Normal 3 3 2 2 4 3" xfId="6038" xr:uid="{00000000-0005-0000-0000-00005A130000}"/>
    <cellStyle name="Normal 3 3 2 2 4 4" xfId="6039" xr:uid="{00000000-0005-0000-0000-00005B130000}"/>
    <cellStyle name="Normal 3 3 2 2 5" xfId="6040" xr:uid="{00000000-0005-0000-0000-00005C130000}"/>
    <cellStyle name="Normal 3 3 2 2 5 2" xfId="6041" xr:uid="{00000000-0005-0000-0000-00005D130000}"/>
    <cellStyle name="Normal 3 3 2 2 6" xfId="6042" xr:uid="{00000000-0005-0000-0000-00005E130000}"/>
    <cellStyle name="Normal 3 3 2 2 7" xfId="6043" xr:uid="{00000000-0005-0000-0000-00005F130000}"/>
    <cellStyle name="Normal 3 3 2 3" xfId="1044" xr:uid="{00000000-0005-0000-0000-000060130000}"/>
    <cellStyle name="Normal 3 3 2 3 2" xfId="1045" xr:uid="{00000000-0005-0000-0000-000061130000}"/>
    <cellStyle name="Normal 3 3 2 3 2 2" xfId="1046" xr:uid="{00000000-0005-0000-0000-000062130000}"/>
    <cellStyle name="Normal 3 3 2 3 2 2 2" xfId="6044" xr:uid="{00000000-0005-0000-0000-000063130000}"/>
    <cellStyle name="Normal 3 3 2 3 2 2 2 2" xfId="6045" xr:uid="{00000000-0005-0000-0000-000064130000}"/>
    <cellStyle name="Normal 3 3 2 3 2 2 3" xfId="6046" xr:uid="{00000000-0005-0000-0000-000065130000}"/>
    <cellStyle name="Normal 3 3 2 3 2 2 4" xfId="6047" xr:uid="{00000000-0005-0000-0000-000066130000}"/>
    <cellStyle name="Normal 3 3 2 3 2 3" xfId="6048" xr:uid="{00000000-0005-0000-0000-000067130000}"/>
    <cellStyle name="Normal 3 3 2 3 2 3 2" xfId="6049" xr:uid="{00000000-0005-0000-0000-000068130000}"/>
    <cellStyle name="Normal 3 3 2 3 2 4" xfId="6050" xr:uid="{00000000-0005-0000-0000-000069130000}"/>
    <cellStyle name="Normal 3 3 2 3 2 5" xfId="6051" xr:uid="{00000000-0005-0000-0000-00006A130000}"/>
    <cellStyle name="Normal 3 3 2 3 3" xfId="1047" xr:uid="{00000000-0005-0000-0000-00006B130000}"/>
    <cellStyle name="Normal 3 3 2 3 3 2" xfId="6052" xr:uid="{00000000-0005-0000-0000-00006C130000}"/>
    <cellStyle name="Normal 3 3 2 3 3 2 2" xfId="6053" xr:uid="{00000000-0005-0000-0000-00006D130000}"/>
    <cellStyle name="Normal 3 3 2 3 3 3" xfId="6054" xr:uid="{00000000-0005-0000-0000-00006E130000}"/>
    <cellStyle name="Normal 3 3 2 3 3 4" xfId="6055" xr:uid="{00000000-0005-0000-0000-00006F130000}"/>
    <cellStyle name="Normal 3 3 2 3 4" xfId="6056" xr:uid="{00000000-0005-0000-0000-000070130000}"/>
    <cellStyle name="Normal 3 3 2 3 4 2" xfId="6057" xr:uid="{00000000-0005-0000-0000-000071130000}"/>
    <cellStyle name="Normal 3 3 2 3 5" xfId="6058" xr:uid="{00000000-0005-0000-0000-000072130000}"/>
    <cellStyle name="Normal 3 3 2 3 6" xfId="6059" xr:uid="{00000000-0005-0000-0000-000073130000}"/>
    <cellStyle name="Normal 3 3 2 4" xfId="1048" xr:uid="{00000000-0005-0000-0000-000074130000}"/>
    <cellStyle name="Normal 3 3 2 4 2" xfId="1049" xr:uid="{00000000-0005-0000-0000-000075130000}"/>
    <cellStyle name="Normal 3 3 2 4 2 2" xfId="6060" xr:uid="{00000000-0005-0000-0000-000076130000}"/>
    <cellStyle name="Normal 3 3 2 4 2 2 2" xfId="6061" xr:uid="{00000000-0005-0000-0000-000077130000}"/>
    <cellStyle name="Normal 3 3 2 4 2 3" xfId="6062" xr:uid="{00000000-0005-0000-0000-000078130000}"/>
    <cellStyle name="Normal 3 3 2 4 2 4" xfId="6063" xr:uid="{00000000-0005-0000-0000-000079130000}"/>
    <cellStyle name="Normal 3 3 2 4 3" xfId="6064" xr:uid="{00000000-0005-0000-0000-00007A130000}"/>
    <cellStyle name="Normal 3 3 2 4 3 2" xfId="6065" xr:uid="{00000000-0005-0000-0000-00007B130000}"/>
    <cellStyle name="Normal 3 3 2 4 4" xfId="6066" xr:uid="{00000000-0005-0000-0000-00007C130000}"/>
    <cellStyle name="Normal 3 3 2 4 5" xfId="6067" xr:uid="{00000000-0005-0000-0000-00007D130000}"/>
    <cellStyle name="Normal 3 3 2 5" xfId="1050" xr:uid="{00000000-0005-0000-0000-00007E130000}"/>
    <cellStyle name="Normal 3 3 2 5 2" xfId="6068" xr:uid="{00000000-0005-0000-0000-00007F130000}"/>
    <cellStyle name="Normal 3 3 2 5 2 2" xfId="6069" xr:uid="{00000000-0005-0000-0000-000080130000}"/>
    <cellStyle name="Normal 3 3 2 5 3" xfId="6070" xr:uid="{00000000-0005-0000-0000-000081130000}"/>
    <cellStyle name="Normal 3 3 2 5 4" xfId="6071" xr:uid="{00000000-0005-0000-0000-000082130000}"/>
    <cellStyle name="Normal 3 3 2 6" xfId="6072" xr:uid="{00000000-0005-0000-0000-000083130000}"/>
    <cellStyle name="Normal 3 3 2 6 2" xfId="6073" xr:uid="{00000000-0005-0000-0000-000084130000}"/>
    <cellStyle name="Normal 3 3 2 7" xfId="6074" xr:uid="{00000000-0005-0000-0000-000085130000}"/>
    <cellStyle name="Normal 3 3 2 8" xfId="6075" xr:uid="{00000000-0005-0000-0000-000086130000}"/>
    <cellStyle name="Normal 3 3 3" xfId="1051" xr:uid="{00000000-0005-0000-0000-000087130000}"/>
    <cellStyle name="Normal 3 3 3 2" xfId="1052" xr:uid="{00000000-0005-0000-0000-000088130000}"/>
    <cellStyle name="Normal 3 3 3 2 2" xfId="1053" xr:uid="{00000000-0005-0000-0000-000089130000}"/>
    <cellStyle name="Normal 3 3 3 2 2 2" xfId="1054" xr:uid="{00000000-0005-0000-0000-00008A130000}"/>
    <cellStyle name="Normal 3 3 3 2 2 2 2" xfId="6076" xr:uid="{00000000-0005-0000-0000-00008B130000}"/>
    <cellStyle name="Normal 3 3 3 2 2 2 2 2" xfId="6077" xr:uid="{00000000-0005-0000-0000-00008C130000}"/>
    <cellStyle name="Normal 3 3 3 2 2 2 3" xfId="6078" xr:uid="{00000000-0005-0000-0000-00008D130000}"/>
    <cellStyle name="Normal 3 3 3 2 2 2 4" xfId="6079" xr:uid="{00000000-0005-0000-0000-00008E130000}"/>
    <cellStyle name="Normal 3 3 3 2 2 3" xfId="6080" xr:uid="{00000000-0005-0000-0000-00008F130000}"/>
    <cellStyle name="Normal 3 3 3 2 2 3 2" xfId="6081" xr:uid="{00000000-0005-0000-0000-000090130000}"/>
    <cellStyle name="Normal 3 3 3 2 2 4" xfId="6082" xr:uid="{00000000-0005-0000-0000-000091130000}"/>
    <cellStyle name="Normal 3 3 3 2 2 5" xfId="6083" xr:uid="{00000000-0005-0000-0000-000092130000}"/>
    <cellStyle name="Normal 3 3 3 2 3" xfId="1055" xr:uid="{00000000-0005-0000-0000-000093130000}"/>
    <cellStyle name="Normal 3 3 3 2 3 2" xfId="6084" xr:uid="{00000000-0005-0000-0000-000094130000}"/>
    <cellStyle name="Normal 3 3 3 2 3 2 2" xfId="6085" xr:uid="{00000000-0005-0000-0000-000095130000}"/>
    <cellStyle name="Normal 3 3 3 2 3 3" xfId="6086" xr:uid="{00000000-0005-0000-0000-000096130000}"/>
    <cellStyle name="Normal 3 3 3 2 3 4" xfId="6087" xr:uid="{00000000-0005-0000-0000-000097130000}"/>
    <cellStyle name="Normal 3 3 3 2 4" xfId="6088" xr:uid="{00000000-0005-0000-0000-000098130000}"/>
    <cellStyle name="Normal 3 3 3 2 4 2" xfId="6089" xr:uid="{00000000-0005-0000-0000-000099130000}"/>
    <cellStyle name="Normal 3 3 3 2 5" xfId="6090" xr:uid="{00000000-0005-0000-0000-00009A130000}"/>
    <cellStyle name="Normal 3 3 3 2 6" xfId="6091" xr:uid="{00000000-0005-0000-0000-00009B130000}"/>
    <cellStyle name="Normal 3 3 3 3" xfId="1056" xr:uid="{00000000-0005-0000-0000-00009C130000}"/>
    <cellStyle name="Normal 3 3 3 3 2" xfId="1057" xr:uid="{00000000-0005-0000-0000-00009D130000}"/>
    <cellStyle name="Normal 3 3 3 3 2 2" xfId="6092" xr:uid="{00000000-0005-0000-0000-00009E130000}"/>
    <cellStyle name="Normal 3 3 3 3 2 2 2" xfId="6093" xr:uid="{00000000-0005-0000-0000-00009F130000}"/>
    <cellStyle name="Normal 3 3 3 3 2 3" xfId="6094" xr:uid="{00000000-0005-0000-0000-0000A0130000}"/>
    <cellStyle name="Normal 3 3 3 3 2 4" xfId="6095" xr:uid="{00000000-0005-0000-0000-0000A1130000}"/>
    <cellStyle name="Normal 3 3 3 3 3" xfId="6096" xr:uid="{00000000-0005-0000-0000-0000A2130000}"/>
    <cellStyle name="Normal 3 3 3 3 3 2" xfId="6097" xr:uid="{00000000-0005-0000-0000-0000A3130000}"/>
    <cellStyle name="Normal 3 3 3 3 4" xfId="6098" xr:uid="{00000000-0005-0000-0000-0000A4130000}"/>
    <cellStyle name="Normal 3 3 3 3 5" xfId="6099" xr:uid="{00000000-0005-0000-0000-0000A5130000}"/>
    <cellStyle name="Normal 3 3 3 4" xfId="1058" xr:uid="{00000000-0005-0000-0000-0000A6130000}"/>
    <cellStyle name="Normal 3 3 3 4 2" xfId="6100" xr:uid="{00000000-0005-0000-0000-0000A7130000}"/>
    <cellStyle name="Normal 3 3 3 4 2 2" xfId="6101" xr:uid="{00000000-0005-0000-0000-0000A8130000}"/>
    <cellStyle name="Normal 3 3 3 4 3" xfId="6102" xr:uid="{00000000-0005-0000-0000-0000A9130000}"/>
    <cellStyle name="Normal 3 3 3 4 4" xfId="6103" xr:uid="{00000000-0005-0000-0000-0000AA130000}"/>
    <cellStyle name="Normal 3 3 3 5" xfId="6104" xr:uid="{00000000-0005-0000-0000-0000AB130000}"/>
    <cellStyle name="Normal 3 3 3 5 2" xfId="6105" xr:uid="{00000000-0005-0000-0000-0000AC130000}"/>
    <cellStyle name="Normal 3 3 3 6" xfId="6106" xr:uid="{00000000-0005-0000-0000-0000AD130000}"/>
    <cellStyle name="Normal 3 3 3 7" xfId="6107" xr:uid="{00000000-0005-0000-0000-0000AE130000}"/>
    <cellStyle name="Normal 3 3 4" xfId="1059" xr:uid="{00000000-0005-0000-0000-0000AF130000}"/>
    <cellStyle name="Normal 3 3 4 2" xfId="1060" xr:uid="{00000000-0005-0000-0000-0000B0130000}"/>
    <cellStyle name="Normal 3 3 4 2 2" xfId="1061" xr:uid="{00000000-0005-0000-0000-0000B1130000}"/>
    <cellStyle name="Normal 3 3 4 2 2 2" xfId="6108" xr:uid="{00000000-0005-0000-0000-0000B2130000}"/>
    <cellStyle name="Normal 3 3 4 2 2 2 2" xfId="6109" xr:uid="{00000000-0005-0000-0000-0000B3130000}"/>
    <cellStyle name="Normal 3 3 4 2 2 3" xfId="6110" xr:uid="{00000000-0005-0000-0000-0000B4130000}"/>
    <cellStyle name="Normal 3 3 4 2 2 4" xfId="6111" xr:uid="{00000000-0005-0000-0000-0000B5130000}"/>
    <cellStyle name="Normal 3 3 4 2 3" xfId="6112" xr:uid="{00000000-0005-0000-0000-0000B6130000}"/>
    <cellStyle name="Normal 3 3 4 2 3 2" xfId="6113" xr:uid="{00000000-0005-0000-0000-0000B7130000}"/>
    <cellStyle name="Normal 3 3 4 2 4" xfId="6114" xr:uid="{00000000-0005-0000-0000-0000B8130000}"/>
    <cellStyle name="Normal 3 3 4 2 5" xfId="6115" xr:uid="{00000000-0005-0000-0000-0000B9130000}"/>
    <cellStyle name="Normal 3 3 4 3" xfId="1062" xr:uid="{00000000-0005-0000-0000-0000BA130000}"/>
    <cellStyle name="Normal 3 3 4 3 2" xfId="6116" xr:uid="{00000000-0005-0000-0000-0000BB130000}"/>
    <cellStyle name="Normal 3 3 4 3 2 2" xfId="6117" xr:uid="{00000000-0005-0000-0000-0000BC130000}"/>
    <cellStyle name="Normal 3 3 4 3 3" xfId="6118" xr:uid="{00000000-0005-0000-0000-0000BD130000}"/>
    <cellStyle name="Normal 3 3 4 3 4" xfId="6119" xr:uid="{00000000-0005-0000-0000-0000BE130000}"/>
    <cellStyle name="Normal 3 3 4 4" xfId="6120" xr:uid="{00000000-0005-0000-0000-0000BF130000}"/>
    <cellStyle name="Normal 3 3 4 4 2" xfId="6121" xr:uid="{00000000-0005-0000-0000-0000C0130000}"/>
    <cellStyle name="Normal 3 3 4 5" xfId="6122" xr:uid="{00000000-0005-0000-0000-0000C1130000}"/>
    <cellStyle name="Normal 3 3 4 6" xfId="6123" xr:uid="{00000000-0005-0000-0000-0000C2130000}"/>
    <cellStyle name="Normal 3 3 5" xfId="1063" xr:uid="{00000000-0005-0000-0000-0000C3130000}"/>
    <cellStyle name="Normal 3 3 5 2" xfId="1064" xr:uid="{00000000-0005-0000-0000-0000C4130000}"/>
    <cellStyle name="Normal 3 3 5 2 2" xfId="6124" xr:uid="{00000000-0005-0000-0000-0000C5130000}"/>
    <cellStyle name="Normal 3 3 5 2 2 2" xfId="6125" xr:uid="{00000000-0005-0000-0000-0000C6130000}"/>
    <cellStyle name="Normal 3 3 5 2 3" xfId="6126" xr:uid="{00000000-0005-0000-0000-0000C7130000}"/>
    <cellStyle name="Normal 3 3 5 2 4" xfId="6127" xr:uid="{00000000-0005-0000-0000-0000C8130000}"/>
    <cellStyle name="Normal 3 3 5 3" xfId="6128" xr:uid="{00000000-0005-0000-0000-0000C9130000}"/>
    <cellStyle name="Normal 3 3 5 3 2" xfId="6129" xr:uid="{00000000-0005-0000-0000-0000CA130000}"/>
    <cellStyle name="Normal 3 3 5 4" xfId="6130" xr:uid="{00000000-0005-0000-0000-0000CB130000}"/>
    <cellStyle name="Normal 3 3 5 5" xfId="6131" xr:uid="{00000000-0005-0000-0000-0000CC130000}"/>
    <cellStyle name="Normal 3 3 6" xfId="1065" xr:uid="{00000000-0005-0000-0000-0000CD130000}"/>
    <cellStyle name="Normal 3 3 6 2" xfId="6132" xr:uid="{00000000-0005-0000-0000-0000CE130000}"/>
    <cellStyle name="Normal 3 3 6 2 2" xfId="6133" xr:uid="{00000000-0005-0000-0000-0000CF130000}"/>
    <cellStyle name="Normal 3 3 6 3" xfId="6134" xr:uid="{00000000-0005-0000-0000-0000D0130000}"/>
    <cellStyle name="Normal 3 3 6 4" xfId="6135" xr:uid="{00000000-0005-0000-0000-0000D1130000}"/>
    <cellStyle name="Normal 3 3 7" xfId="6136" xr:uid="{00000000-0005-0000-0000-0000D2130000}"/>
    <cellStyle name="Normal 3 3 7 2" xfId="6137" xr:uid="{00000000-0005-0000-0000-0000D3130000}"/>
    <cellStyle name="Normal 3 3 8" xfId="6138" xr:uid="{00000000-0005-0000-0000-0000D4130000}"/>
    <cellStyle name="Normal 3 3 9" xfId="6139" xr:uid="{00000000-0005-0000-0000-0000D5130000}"/>
    <cellStyle name="Normal 3 4" xfId="1066" xr:uid="{00000000-0005-0000-0000-0000D6130000}"/>
    <cellStyle name="Normal 3 4 2" xfId="1067" xr:uid="{00000000-0005-0000-0000-0000D7130000}"/>
    <cellStyle name="Normal 3 4 2 2" xfId="1068" xr:uid="{00000000-0005-0000-0000-0000D8130000}"/>
    <cellStyle name="Normal 3 4 2 2 2" xfId="1069" xr:uid="{00000000-0005-0000-0000-0000D9130000}"/>
    <cellStyle name="Normal 3 4 2 2 2 2" xfId="1070" xr:uid="{00000000-0005-0000-0000-0000DA130000}"/>
    <cellStyle name="Normal 3 4 2 2 2 2 2" xfId="1071" xr:uid="{00000000-0005-0000-0000-0000DB130000}"/>
    <cellStyle name="Normal 3 4 2 2 2 2 2 2" xfId="6140" xr:uid="{00000000-0005-0000-0000-0000DC130000}"/>
    <cellStyle name="Normal 3 4 2 2 2 2 2 2 2" xfId="6141" xr:uid="{00000000-0005-0000-0000-0000DD130000}"/>
    <cellStyle name="Normal 3 4 2 2 2 2 2 3" xfId="6142" xr:uid="{00000000-0005-0000-0000-0000DE130000}"/>
    <cellStyle name="Normal 3 4 2 2 2 2 2 4" xfId="6143" xr:uid="{00000000-0005-0000-0000-0000DF130000}"/>
    <cellStyle name="Normal 3 4 2 2 2 2 3" xfId="6144" xr:uid="{00000000-0005-0000-0000-0000E0130000}"/>
    <cellStyle name="Normal 3 4 2 2 2 2 3 2" xfId="6145" xr:uid="{00000000-0005-0000-0000-0000E1130000}"/>
    <cellStyle name="Normal 3 4 2 2 2 2 4" xfId="6146" xr:uid="{00000000-0005-0000-0000-0000E2130000}"/>
    <cellStyle name="Normal 3 4 2 2 2 2 5" xfId="6147" xr:uid="{00000000-0005-0000-0000-0000E3130000}"/>
    <cellStyle name="Normal 3 4 2 2 2 3" xfId="1072" xr:uid="{00000000-0005-0000-0000-0000E4130000}"/>
    <cellStyle name="Normal 3 4 2 2 2 3 2" xfId="6148" xr:uid="{00000000-0005-0000-0000-0000E5130000}"/>
    <cellStyle name="Normal 3 4 2 2 2 3 2 2" xfId="6149" xr:uid="{00000000-0005-0000-0000-0000E6130000}"/>
    <cellStyle name="Normal 3 4 2 2 2 3 3" xfId="6150" xr:uid="{00000000-0005-0000-0000-0000E7130000}"/>
    <cellStyle name="Normal 3 4 2 2 2 3 4" xfId="6151" xr:uid="{00000000-0005-0000-0000-0000E8130000}"/>
    <cellStyle name="Normal 3 4 2 2 2 4" xfId="6152" xr:uid="{00000000-0005-0000-0000-0000E9130000}"/>
    <cellStyle name="Normal 3 4 2 2 2 4 2" xfId="6153" xr:uid="{00000000-0005-0000-0000-0000EA130000}"/>
    <cellStyle name="Normal 3 4 2 2 2 5" xfId="6154" xr:uid="{00000000-0005-0000-0000-0000EB130000}"/>
    <cellStyle name="Normal 3 4 2 2 2 6" xfId="6155" xr:uid="{00000000-0005-0000-0000-0000EC130000}"/>
    <cellStyle name="Normal 3 4 2 2 3" xfId="1073" xr:uid="{00000000-0005-0000-0000-0000ED130000}"/>
    <cellStyle name="Normal 3 4 2 2 3 2" xfId="1074" xr:uid="{00000000-0005-0000-0000-0000EE130000}"/>
    <cellStyle name="Normal 3 4 2 2 3 2 2" xfId="6156" xr:uid="{00000000-0005-0000-0000-0000EF130000}"/>
    <cellStyle name="Normal 3 4 2 2 3 2 2 2" xfId="6157" xr:uid="{00000000-0005-0000-0000-0000F0130000}"/>
    <cellStyle name="Normal 3 4 2 2 3 2 3" xfId="6158" xr:uid="{00000000-0005-0000-0000-0000F1130000}"/>
    <cellStyle name="Normal 3 4 2 2 3 2 4" xfId="6159" xr:uid="{00000000-0005-0000-0000-0000F2130000}"/>
    <cellStyle name="Normal 3 4 2 2 3 3" xfId="6160" xr:uid="{00000000-0005-0000-0000-0000F3130000}"/>
    <cellStyle name="Normal 3 4 2 2 3 3 2" xfId="6161" xr:uid="{00000000-0005-0000-0000-0000F4130000}"/>
    <cellStyle name="Normal 3 4 2 2 3 4" xfId="6162" xr:uid="{00000000-0005-0000-0000-0000F5130000}"/>
    <cellStyle name="Normal 3 4 2 2 3 5" xfId="6163" xr:uid="{00000000-0005-0000-0000-0000F6130000}"/>
    <cellStyle name="Normal 3 4 2 2 4" xfId="1075" xr:uid="{00000000-0005-0000-0000-0000F7130000}"/>
    <cellStyle name="Normal 3 4 2 2 4 2" xfId="6164" xr:uid="{00000000-0005-0000-0000-0000F8130000}"/>
    <cellStyle name="Normal 3 4 2 2 4 2 2" xfId="6165" xr:uid="{00000000-0005-0000-0000-0000F9130000}"/>
    <cellStyle name="Normal 3 4 2 2 4 3" xfId="6166" xr:uid="{00000000-0005-0000-0000-0000FA130000}"/>
    <cellStyle name="Normal 3 4 2 2 4 4" xfId="6167" xr:uid="{00000000-0005-0000-0000-0000FB130000}"/>
    <cellStyle name="Normal 3 4 2 2 5" xfId="6168" xr:uid="{00000000-0005-0000-0000-0000FC130000}"/>
    <cellStyle name="Normal 3 4 2 2 5 2" xfId="6169" xr:uid="{00000000-0005-0000-0000-0000FD130000}"/>
    <cellStyle name="Normal 3 4 2 2 6" xfId="6170" xr:uid="{00000000-0005-0000-0000-0000FE130000}"/>
    <cellStyle name="Normal 3 4 2 2 7" xfId="6171" xr:uid="{00000000-0005-0000-0000-0000FF130000}"/>
    <cellStyle name="Normal 3 4 2 3" xfId="1076" xr:uid="{00000000-0005-0000-0000-000000140000}"/>
    <cellStyle name="Normal 3 4 2 3 2" xfId="1077" xr:uid="{00000000-0005-0000-0000-000001140000}"/>
    <cellStyle name="Normal 3 4 2 3 2 2" xfId="1078" xr:uid="{00000000-0005-0000-0000-000002140000}"/>
    <cellStyle name="Normal 3 4 2 3 2 2 2" xfId="6172" xr:uid="{00000000-0005-0000-0000-000003140000}"/>
    <cellStyle name="Normal 3 4 2 3 2 2 2 2" xfId="6173" xr:uid="{00000000-0005-0000-0000-000004140000}"/>
    <cellStyle name="Normal 3 4 2 3 2 2 3" xfId="6174" xr:uid="{00000000-0005-0000-0000-000005140000}"/>
    <cellStyle name="Normal 3 4 2 3 2 2 4" xfId="6175" xr:uid="{00000000-0005-0000-0000-000006140000}"/>
    <cellStyle name="Normal 3 4 2 3 2 3" xfId="6176" xr:uid="{00000000-0005-0000-0000-000007140000}"/>
    <cellStyle name="Normal 3 4 2 3 2 3 2" xfId="6177" xr:uid="{00000000-0005-0000-0000-000008140000}"/>
    <cellStyle name="Normal 3 4 2 3 2 4" xfId="6178" xr:uid="{00000000-0005-0000-0000-000009140000}"/>
    <cellStyle name="Normal 3 4 2 3 2 5" xfId="6179" xr:uid="{00000000-0005-0000-0000-00000A140000}"/>
    <cellStyle name="Normal 3 4 2 3 3" xfId="1079" xr:uid="{00000000-0005-0000-0000-00000B140000}"/>
    <cellStyle name="Normal 3 4 2 3 3 2" xfId="6180" xr:uid="{00000000-0005-0000-0000-00000C140000}"/>
    <cellStyle name="Normal 3 4 2 3 3 2 2" xfId="6181" xr:uid="{00000000-0005-0000-0000-00000D140000}"/>
    <cellStyle name="Normal 3 4 2 3 3 3" xfId="6182" xr:uid="{00000000-0005-0000-0000-00000E140000}"/>
    <cellStyle name="Normal 3 4 2 3 3 4" xfId="6183" xr:uid="{00000000-0005-0000-0000-00000F140000}"/>
    <cellStyle name="Normal 3 4 2 3 4" xfId="6184" xr:uid="{00000000-0005-0000-0000-000010140000}"/>
    <cellStyle name="Normal 3 4 2 3 4 2" xfId="6185" xr:uid="{00000000-0005-0000-0000-000011140000}"/>
    <cellStyle name="Normal 3 4 2 3 5" xfId="6186" xr:uid="{00000000-0005-0000-0000-000012140000}"/>
    <cellStyle name="Normal 3 4 2 3 6" xfId="6187" xr:uid="{00000000-0005-0000-0000-000013140000}"/>
    <cellStyle name="Normal 3 4 2 4" xfId="1080" xr:uid="{00000000-0005-0000-0000-000014140000}"/>
    <cellStyle name="Normal 3 4 2 4 2" xfId="1081" xr:uid="{00000000-0005-0000-0000-000015140000}"/>
    <cellStyle name="Normal 3 4 2 4 2 2" xfId="6188" xr:uid="{00000000-0005-0000-0000-000016140000}"/>
    <cellStyle name="Normal 3 4 2 4 2 2 2" xfId="6189" xr:uid="{00000000-0005-0000-0000-000017140000}"/>
    <cellStyle name="Normal 3 4 2 4 2 3" xfId="6190" xr:uid="{00000000-0005-0000-0000-000018140000}"/>
    <cellStyle name="Normal 3 4 2 4 2 4" xfId="6191" xr:uid="{00000000-0005-0000-0000-000019140000}"/>
    <cellStyle name="Normal 3 4 2 4 3" xfId="6192" xr:uid="{00000000-0005-0000-0000-00001A140000}"/>
    <cellStyle name="Normal 3 4 2 4 3 2" xfId="6193" xr:uid="{00000000-0005-0000-0000-00001B140000}"/>
    <cellStyle name="Normal 3 4 2 4 4" xfId="6194" xr:uid="{00000000-0005-0000-0000-00001C140000}"/>
    <cellStyle name="Normal 3 4 2 4 5" xfId="6195" xr:uid="{00000000-0005-0000-0000-00001D140000}"/>
    <cellStyle name="Normal 3 4 2 5" xfId="1082" xr:uid="{00000000-0005-0000-0000-00001E140000}"/>
    <cellStyle name="Normal 3 4 2 5 2" xfId="6196" xr:uid="{00000000-0005-0000-0000-00001F140000}"/>
    <cellStyle name="Normal 3 4 2 5 2 2" xfId="6197" xr:uid="{00000000-0005-0000-0000-000020140000}"/>
    <cellStyle name="Normal 3 4 2 5 3" xfId="6198" xr:uid="{00000000-0005-0000-0000-000021140000}"/>
    <cellStyle name="Normal 3 4 2 5 4" xfId="6199" xr:uid="{00000000-0005-0000-0000-000022140000}"/>
    <cellStyle name="Normal 3 4 2 6" xfId="6200" xr:uid="{00000000-0005-0000-0000-000023140000}"/>
    <cellStyle name="Normal 3 4 2 6 2" xfId="6201" xr:uid="{00000000-0005-0000-0000-000024140000}"/>
    <cellStyle name="Normal 3 4 2 7" xfId="6202" xr:uid="{00000000-0005-0000-0000-000025140000}"/>
    <cellStyle name="Normal 3 4 2 8" xfId="6203" xr:uid="{00000000-0005-0000-0000-000026140000}"/>
    <cellStyle name="Normal 3 4 3" xfId="1083" xr:uid="{00000000-0005-0000-0000-000027140000}"/>
    <cellStyle name="Normal 3 4 3 2" xfId="1084" xr:uid="{00000000-0005-0000-0000-000028140000}"/>
    <cellStyle name="Normal 3 4 3 2 2" xfId="1085" xr:uid="{00000000-0005-0000-0000-000029140000}"/>
    <cellStyle name="Normal 3 4 3 2 2 2" xfId="1086" xr:uid="{00000000-0005-0000-0000-00002A140000}"/>
    <cellStyle name="Normal 3 4 3 2 2 2 2" xfId="6204" xr:uid="{00000000-0005-0000-0000-00002B140000}"/>
    <cellStyle name="Normal 3 4 3 2 2 2 2 2" xfId="6205" xr:uid="{00000000-0005-0000-0000-00002C140000}"/>
    <cellStyle name="Normal 3 4 3 2 2 2 3" xfId="6206" xr:uid="{00000000-0005-0000-0000-00002D140000}"/>
    <cellStyle name="Normal 3 4 3 2 2 2 4" xfId="6207" xr:uid="{00000000-0005-0000-0000-00002E140000}"/>
    <cellStyle name="Normal 3 4 3 2 2 3" xfId="6208" xr:uid="{00000000-0005-0000-0000-00002F140000}"/>
    <cellStyle name="Normal 3 4 3 2 2 3 2" xfId="6209" xr:uid="{00000000-0005-0000-0000-000030140000}"/>
    <cellStyle name="Normal 3 4 3 2 2 4" xfId="6210" xr:uid="{00000000-0005-0000-0000-000031140000}"/>
    <cellStyle name="Normal 3 4 3 2 2 5" xfId="6211" xr:uid="{00000000-0005-0000-0000-000032140000}"/>
    <cellStyle name="Normal 3 4 3 2 3" xfId="1087" xr:uid="{00000000-0005-0000-0000-000033140000}"/>
    <cellStyle name="Normal 3 4 3 2 3 2" xfId="6212" xr:uid="{00000000-0005-0000-0000-000034140000}"/>
    <cellStyle name="Normal 3 4 3 2 3 2 2" xfId="6213" xr:uid="{00000000-0005-0000-0000-000035140000}"/>
    <cellStyle name="Normal 3 4 3 2 3 3" xfId="6214" xr:uid="{00000000-0005-0000-0000-000036140000}"/>
    <cellStyle name="Normal 3 4 3 2 3 4" xfId="6215" xr:uid="{00000000-0005-0000-0000-000037140000}"/>
    <cellStyle name="Normal 3 4 3 2 4" xfId="6216" xr:uid="{00000000-0005-0000-0000-000038140000}"/>
    <cellStyle name="Normal 3 4 3 2 4 2" xfId="6217" xr:uid="{00000000-0005-0000-0000-000039140000}"/>
    <cellStyle name="Normal 3 4 3 2 5" xfId="6218" xr:uid="{00000000-0005-0000-0000-00003A140000}"/>
    <cellStyle name="Normal 3 4 3 2 6" xfId="6219" xr:uid="{00000000-0005-0000-0000-00003B140000}"/>
    <cellStyle name="Normal 3 4 3 3" xfId="1088" xr:uid="{00000000-0005-0000-0000-00003C140000}"/>
    <cellStyle name="Normal 3 4 3 3 2" xfId="1089" xr:uid="{00000000-0005-0000-0000-00003D140000}"/>
    <cellStyle name="Normal 3 4 3 3 2 2" xfId="6220" xr:uid="{00000000-0005-0000-0000-00003E140000}"/>
    <cellStyle name="Normal 3 4 3 3 2 2 2" xfId="6221" xr:uid="{00000000-0005-0000-0000-00003F140000}"/>
    <cellStyle name="Normal 3 4 3 3 2 3" xfId="6222" xr:uid="{00000000-0005-0000-0000-000040140000}"/>
    <cellStyle name="Normal 3 4 3 3 2 4" xfId="6223" xr:uid="{00000000-0005-0000-0000-000041140000}"/>
    <cellStyle name="Normal 3 4 3 3 3" xfId="6224" xr:uid="{00000000-0005-0000-0000-000042140000}"/>
    <cellStyle name="Normal 3 4 3 3 3 2" xfId="6225" xr:uid="{00000000-0005-0000-0000-000043140000}"/>
    <cellStyle name="Normal 3 4 3 3 4" xfId="6226" xr:uid="{00000000-0005-0000-0000-000044140000}"/>
    <cellStyle name="Normal 3 4 3 3 5" xfId="6227" xr:uid="{00000000-0005-0000-0000-000045140000}"/>
    <cellStyle name="Normal 3 4 3 4" xfId="1090" xr:uid="{00000000-0005-0000-0000-000046140000}"/>
    <cellStyle name="Normal 3 4 3 4 2" xfId="6228" xr:uid="{00000000-0005-0000-0000-000047140000}"/>
    <cellStyle name="Normal 3 4 3 4 2 2" xfId="6229" xr:uid="{00000000-0005-0000-0000-000048140000}"/>
    <cellStyle name="Normal 3 4 3 4 3" xfId="6230" xr:uid="{00000000-0005-0000-0000-000049140000}"/>
    <cellStyle name="Normal 3 4 3 4 4" xfId="6231" xr:uid="{00000000-0005-0000-0000-00004A140000}"/>
    <cellStyle name="Normal 3 4 3 5" xfId="6232" xr:uid="{00000000-0005-0000-0000-00004B140000}"/>
    <cellStyle name="Normal 3 4 3 5 2" xfId="6233" xr:uid="{00000000-0005-0000-0000-00004C140000}"/>
    <cellStyle name="Normal 3 4 3 6" xfId="6234" xr:uid="{00000000-0005-0000-0000-00004D140000}"/>
    <cellStyle name="Normal 3 4 3 7" xfId="6235" xr:uid="{00000000-0005-0000-0000-00004E140000}"/>
    <cellStyle name="Normal 3 4 4" xfId="1091" xr:uid="{00000000-0005-0000-0000-00004F140000}"/>
    <cellStyle name="Normal 3 4 4 2" xfId="1092" xr:uid="{00000000-0005-0000-0000-000050140000}"/>
    <cellStyle name="Normal 3 4 4 2 2" xfId="1093" xr:uid="{00000000-0005-0000-0000-000051140000}"/>
    <cellStyle name="Normal 3 4 4 2 2 2" xfId="6236" xr:uid="{00000000-0005-0000-0000-000052140000}"/>
    <cellStyle name="Normal 3 4 4 2 2 2 2" xfId="6237" xr:uid="{00000000-0005-0000-0000-000053140000}"/>
    <cellStyle name="Normal 3 4 4 2 2 3" xfId="6238" xr:uid="{00000000-0005-0000-0000-000054140000}"/>
    <cellStyle name="Normal 3 4 4 2 2 4" xfId="6239" xr:uid="{00000000-0005-0000-0000-000055140000}"/>
    <cellStyle name="Normal 3 4 4 2 3" xfId="6240" xr:uid="{00000000-0005-0000-0000-000056140000}"/>
    <cellStyle name="Normal 3 4 4 2 3 2" xfId="6241" xr:uid="{00000000-0005-0000-0000-000057140000}"/>
    <cellStyle name="Normal 3 4 4 2 4" xfId="6242" xr:uid="{00000000-0005-0000-0000-000058140000}"/>
    <cellStyle name="Normal 3 4 4 2 5" xfId="6243" xr:uid="{00000000-0005-0000-0000-000059140000}"/>
    <cellStyle name="Normal 3 4 4 3" xfId="1094" xr:uid="{00000000-0005-0000-0000-00005A140000}"/>
    <cellStyle name="Normal 3 4 4 3 2" xfId="6244" xr:uid="{00000000-0005-0000-0000-00005B140000}"/>
    <cellStyle name="Normal 3 4 4 3 2 2" xfId="6245" xr:uid="{00000000-0005-0000-0000-00005C140000}"/>
    <cellStyle name="Normal 3 4 4 3 3" xfId="6246" xr:uid="{00000000-0005-0000-0000-00005D140000}"/>
    <cellStyle name="Normal 3 4 4 3 4" xfId="6247" xr:uid="{00000000-0005-0000-0000-00005E140000}"/>
    <cellStyle name="Normal 3 4 4 4" xfId="6248" xr:uid="{00000000-0005-0000-0000-00005F140000}"/>
    <cellStyle name="Normal 3 4 4 4 2" xfId="6249" xr:uid="{00000000-0005-0000-0000-000060140000}"/>
    <cellStyle name="Normal 3 4 4 5" xfId="6250" xr:uid="{00000000-0005-0000-0000-000061140000}"/>
    <cellStyle name="Normal 3 4 4 6" xfId="6251" xr:uid="{00000000-0005-0000-0000-000062140000}"/>
    <cellStyle name="Normal 3 4 5" xfId="1095" xr:uid="{00000000-0005-0000-0000-000063140000}"/>
    <cellStyle name="Normal 3 4 5 2" xfId="1096" xr:uid="{00000000-0005-0000-0000-000064140000}"/>
    <cellStyle name="Normal 3 4 5 2 2" xfId="6252" xr:uid="{00000000-0005-0000-0000-000065140000}"/>
    <cellStyle name="Normal 3 4 5 2 2 2" xfId="6253" xr:uid="{00000000-0005-0000-0000-000066140000}"/>
    <cellStyle name="Normal 3 4 5 2 3" xfId="6254" xr:uid="{00000000-0005-0000-0000-000067140000}"/>
    <cellStyle name="Normal 3 4 5 2 4" xfId="6255" xr:uid="{00000000-0005-0000-0000-000068140000}"/>
    <cellStyle name="Normal 3 4 5 3" xfId="6256" xr:uid="{00000000-0005-0000-0000-000069140000}"/>
    <cellStyle name="Normal 3 4 5 3 2" xfId="6257" xr:uid="{00000000-0005-0000-0000-00006A140000}"/>
    <cellStyle name="Normal 3 4 5 4" xfId="6258" xr:uid="{00000000-0005-0000-0000-00006B140000}"/>
    <cellStyle name="Normal 3 4 5 5" xfId="6259" xr:uid="{00000000-0005-0000-0000-00006C140000}"/>
    <cellStyle name="Normal 3 4 6" xfId="1097" xr:uid="{00000000-0005-0000-0000-00006D140000}"/>
    <cellStyle name="Normal 3 4 6 2" xfId="6260" xr:uid="{00000000-0005-0000-0000-00006E140000}"/>
    <cellStyle name="Normal 3 4 6 2 2" xfId="6261" xr:uid="{00000000-0005-0000-0000-00006F140000}"/>
    <cellStyle name="Normal 3 4 6 3" xfId="6262" xr:uid="{00000000-0005-0000-0000-000070140000}"/>
    <cellStyle name="Normal 3 4 6 4" xfId="6263" xr:uid="{00000000-0005-0000-0000-000071140000}"/>
    <cellStyle name="Normal 3 4 7" xfId="6264" xr:uid="{00000000-0005-0000-0000-000072140000}"/>
    <cellStyle name="Normal 3 4 7 2" xfId="6265" xr:uid="{00000000-0005-0000-0000-000073140000}"/>
    <cellStyle name="Normal 3 4 8" xfId="6266" xr:uid="{00000000-0005-0000-0000-000074140000}"/>
    <cellStyle name="Normal 3 4 9" xfId="6267" xr:uid="{00000000-0005-0000-0000-000075140000}"/>
    <cellStyle name="Normal 3 5" xfId="1098" xr:uid="{00000000-0005-0000-0000-000076140000}"/>
    <cellStyle name="Normal 3 5 2" xfId="1099" xr:uid="{00000000-0005-0000-0000-000077140000}"/>
    <cellStyle name="Normal 3 5 2 2" xfId="1100" xr:uid="{00000000-0005-0000-0000-000078140000}"/>
    <cellStyle name="Normal 3 5 2 2 2" xfId="1101" xr:uid="{00000000-0005-0000-0000-000079140000}"/>
    <cellStyle name="Normal 3 5 2 2 2 2" xfId="1102" xr:uid="{00000000-0005-0000-0000-00007A140000}"/>
    <cellStyle name="Normal 3 5 2 2 2 2 2" xfId="6268" xr:uid="{00000000-0005-0000-0000-00007B140000}"/>
    <cellStyle name="Normal 3 5 2 2 2 2 2 2" xfId="6269" xr:uid="{00000000-0005-0000-0000-00007C140000}"/>
    <cellStyle name="Normal 3 5 2 2 2 2 3" xfId="6270" xr:uid="{00000000-0005-0000-0000-00007D140000}"/>
    <cellStyle name="Normal 3 5 2 2 2 2 4" xfId="6271" xr:uid="{00000000-0005-0000-0000-00007E140000}"/>
    <cellStyle name="Normal 3 5 2 2 2 3" xfId="6272" xr:uid="{00000000-0005-0000-0000-00007F140000}"/>
    <cellStyle name="Normal 3 5 2 2 2 3 2" xfId="6273" xr:uid="{00000000-0005-0000-0000-000080140000}"/>
    <cellStyle name="Normal 3 5 2 2 2 4" xfId="6274" xr:uid="{00000000-0005-0000-0000-000081140000}"/>
    <cellStyle name="Normal 3 5 2 2 2 5" xfId="6275" xr:uid="{00000000-0005-0000-0000-000082140000}"/>
    <cellStyle name="Normal 3 5 2 2 3" xfId="1103" xr:uid="{00000000-0005-0000-0000-000083140000}"/>
    <cellStyle name="Normal 3 5 2 2 3 2" xfId="6276" xr:uid="{00000000-0005-0000-0000-000084140000}"/>
    <cellStyle name="Normal 3 5 2 2 3 2 2" xfId="6277" xr:uid="{00000000-0005-0000-0000-000085140000}"/>
    <cellStyle name="Normal 3 5 2 2 3 3" xfId="6278" xr:uid="{00000000-0005-0000-0000-000086140000}"/>
    <cellStyle name="Normal 3 5 2 2 3 4" xfId="6279" xr:uid="{00000000-0005-0000-0000-000087140000}"/>
    <cellStyle name="Normal 3 5 2 2 4" xfId="6280" xr:uid="{00000000-0005-0000-0000-000088140000}"/>
    <cellStyle name="Normal 3 5 2 2 4 2" xfId="6281" xr:uid="{00000000-0005-0000-0000-000089140000}"/>
    <cellStyle name="Normal 3 5 2 2 5" xfId="6282" xr:uid="{00000000-0005-0000-0000-00008A140000}"/>
    <cellStyle name="Normal 3 5 2 2 6" xfId="6283" xr:uid="{00000000-0005-0000-0000-00008B140000}"/>
    <cellStyle name="Normal 3 5 2 3" xfId="1104" xr:uid="{00000000-0005-0000-0000-00008C140000}"/>
    <cellStyle name="Normal 3 5 2 3 2" xfId="1105" xr:uid="{00000000-0005-0000-0000-00008D140000}"/>
    <cellStyle name="Normal 3 5 2 3 2 2" xfId="6284" xr:uid="{00000000-0005-0000-0000-00008E140000}"/>
    <cellStyle name="Normal 3 5 2 3 2 2 2" xfId="6285" xr:uid="{00000000-0005-0000-0000-00008F140000}"/>
    <cellStyle name="Normal 3 5 2 3 2 3" xfId="6286" xr:uid="{00000000-0005-0000-0000-000090140000}"/>
    <cellStyle name="Normal 3 5 2 3 2 4" xfId="6287" xr:uid="{00000000-0005-0000-0000-000091140000}"/>
    <cellStyle name="Normal 3 5 2 3 3" xfId="6288" xr:uid="{00000000-0005-0000-0000-000092140000}"/>
    <cellStyle name="Normal 3 5 2 3 3 2" xfId="6289" xr:uid="{00000000-0005-0000-0000-000093140000}"/>
    <cellStyle name="Normal 3 5 2 3 4" xfId="6290" xr:uid="{00000000-0005-0000-0000-000094140000}"/>
    <cellStyle name="Normal 3 5 2 3 5" xfId="6291" xr:uid="{00000000-0005-0000-0000-000095140000}"/>
    <cellStyle name="Normal 3 5 2 4" xfId="1106" xr:uid="{00000000-0005-0000-0000-000096140000}"/>
    <cellStyle name="Normal 3 5 2 4 2" xfId="6292" xr:uid="{00000000-0005-0000-0000-000097140000}"/>
    <cellStyle name="Normal 3 5 2 4 2 2" xfId="6293" xr:uid="{00000000-0005-0000-0000-000098140000}"/>
    <cellStyle name="Normal 3 5 2 4 3" xfId="6294" xr:uid="{00000000-0005-0000-0000-000099140000}"/>
    <cellStyle name="Normal 3 5 2 4 4" xfId="6295" xr:uid="{00000000-0005-0000-0000-00009A140000}"/>
    <cellStyle name="Normal 3 5 2 5" xfId="6296" xr:uid="{00000000-0005-0000-0000-00009B140000}"/>
    <cellStyle name="Normal 3 5 2 5 2" xfId="6297" xr:uid="{00000000-0005-0000-0000-00009C140000}"/>
    <cellStyle name="Normal 3 5 2 6" xfId="6298" xr:uid="{00000000-0005-0000-0000-00009D140000}"/>
    <cellStyle name="Normal 3 5 2 7" xfId="6299" xr:uid="{00000000-0005-0000-0000-00009E140000}"/>
    <cellStyle name="Normal 3 5 3" xfId="1107" xr:uid="{00000000-0005-0000-0000-00009F140000}"/>
    <cellStyle name="Normal 3 5 3 2" xfId="1108" xr:uid="{00000000-0005-0000-0000-0000A0140000}"/>
    <cellStyle name="Normal 3 5 3 2 2" xfId="1109" xr:uid="{00000000-0005-0000-0000-0000A1140000}"/>
    <cellStyle name="Normal 3 5 3 2 2 2" xfId="6300" xr:uid="{00000000-0005-0000-0000-0000A2140000}"/>
    <cellStyle name="Normal 3 5 3 2 2 2 2" xfId="6301" xr:uid="{00000000-0005-0000-0000-0000A3140000}"/>
    <cellStyle name="Normal 3 5 3 2 2 3" xfId="6302" xr:uid="{00000000-0005-0000-0000-0000A4140000}"/>
    <cellStyle name="Normal 3 5 3 2 2 4" xfId="6303" xr:uid="{00000000-0005-0000-0000-0000A5140000}"/>
    <cellStyle name="Normal 3 5 3 2 3" xfId="6304" xr:uid="{00000000-0005-0000-0000-0000A6140000}"/>
    <cellStyle name="Normal 3 5 3 2 3 2" xfId="6305" xr:uid="{00000000-0005-0000-0000-0000A7140000}"/>
    <cellStyle name="Normal 3 5 3 2 4" xfId="6306" xr:uid="{00000000-0005-0000-0000-0000A8140000}"/>
    <cellStyle name="Normal 3 5 3 2 5" xfId="6307" xr:uid="{00000000-0005-0000-0000-0000A9140000}"/>
    <cellStyle name="Normal 3 5 3 3" xfId="1110" xr:uid="{00000000-0005-0000-0000-0000AA140000}"/>
    <cellStyle name="Normal 3 5 3 3 2" xfId="6308" xr:uid="{00000000-0005-0000-0000-0000AB140000}"/>
    <cellStyle name="Normal 3 5 3 3 2 2" xfId="6309" xr:uid="{00000000-0005-0000-0000-0000AC140000}"/>
    <cellStyle name="Normal 3 5 3 3 3" xfId="6310" xr:uid="{00000000-0005-0000-0000-0000AD140000}"/>
    <cellStyle name="Normal 3 5 3 3 4" xfId="6311" xr:uid="{00000000-0005-0000-0000-0000AE140000}"/>
    <cellStyle name="Normal 3 5 3 4" xfId="6312" xr:uid="{00000000-0005-0000-0000-0000AF140000}"/>
    <cellStyle name="Normal 3 5 3 4 2" xfId="6313" xr:uid="{00000000-0005-0000-0000-0000B0140000}"/>
    <cellStyle name="Normal 3 5 3 5" xfId="6314" xr:uid="{00000000-0005-0000-0000-0000B1140000}"/>
    <cellStyle name="Normal 3 5 3 6" xfId="6315" xr:uid="{00000000-0005-0000-0000-0000B2140000}"/>
    <cellStyle name="Normal 3 5 4" xfId="1111" xr:uid="{00000000-0005-0000-0000-0000B3140000}"/>
    <cellStyle name="Normal 3 5 4 2" xfId="1112" xr:uid="{00000000-0005-0000-0000-0000B4140000}"/>
    <cellStyle name="Normal 3 5 4 2 2" xfId="6316" xr:uid="{00000000-0005-0000-0000-0000B5140000}"/>
    <cellStyle name="Normal 3 5 4 2 2 2" xfId="6317" xr:uid="{00000000-0005-0000-0000-0000B6140000}"/>
    <cellStyle name="Normal 3 5 4 2 3" xfId="6318" xr:uid="{00000000-0005-0000-0000-0000B7140000}"/>
    <cellStyle name="Normal 3 5 4 2 4" xfId="6319" xr:uid="{00000000-0005-0000-0000-0000B8140000}"/>
    <cellStyle name="Normal 3 5 4 3" xfId="6320" xr:uid="{00000000-0005-0000-0000-0000B9140000}"/>
    <cellStyle name="Normal 3 5 4 3 2" xfId="6321" xr:uid="{00000000-0005-0000-0000-0000BA140000}"/>
    <cellStyle name="Normal 3 5 4 4" xfId="6322" xr:uid="{00000000-0005-0000-0000-0000BB140000}"/>
    <cellStyle name="Normal 3 5 4 5" xfId="6323" xr:uid="{00000000-0005-0000-0000-0000BC140000}"/>
    <cellStyle name="Normal 3 5 5" xfId="1113" xr:uid="{00000000-0005-0000-0000-0000BD140000}"/>
    <cellStyle name="Normal 3 5 5 2" xfId="6324" xr:uid="{00000000-0005-0000-0000-0000BE140000}"/>
    <cellStyle name="Normal 3 5 5 2 2" xfId="6325" xr:uid="{00000000-0005-0000-0000-0000BF140000}"/>
    <cellStyle name="Normal 3 5 5 3" xfId="6326" xr:uid="{00000000-0005-0000-0000-0000C0140000}"/>
    <cellStyle name="Normal 3 5 5 4" xfId="6327" xr:uid="{00000000-0005-0000-0000-0000C1140000}"/>
    <cellStyle name="Normal 3 5 6" xfId="6328" xr:uid="{00000000-0005-0000-0000-0000C2140000}"/>
    <cellStyle name="Normal 3 5 6 2" xfId="6329" xr:uid="{00000000-0005-0000-0000-0000C3140000}"/>
    <cellStyle name="Normal 3 5 7" xfId="6330" xr:uid="{00000000-0005-0000-0000-0000C4140000}"/>
    <cellStyle name="Normal 3 5 8" xfId="6331" xr:uid="{00000000-0005-0000-0000-0000C5140000}"/>
    <cellStyle name="Normal 3 6" xfId="1114" xr:uid="{00000000-0005-0000-0000-0000C6140000}"/>
    <cellStyle name="Normal 3 7" xfId="1115" xr:uid="{00000000-0005-0000-0000-0000C7140000}"/>
    <cellStyle name="Normal 3 7 2" xfId="1116" xr:uid="{00000000-0005-0000-0000-0000C8140000}"/>
    <cellStyle name="Normal 3 7 2 2" xfId="1117" xr:uid="{00000000-0005-0000-0000-0000C9140000}"/>
    <cellStyle name="Normal 3 7 2 2 2" xfId="6332" xr:uid="{00000000-0005-0000-0000-0000CA140000}"/>
    <cellStyle name="Normal 3 7 2 2 2 2" xfId="6333" xr:uid="{00000000-0005-0000-0000-0000CB140000}"/>
    <cellStyle name="Normal 3 7 2 2 3" xfId="6334" xr:uid="{00000000-0005-0000-0000-0000CC140000}"/>
    <cellStyle name="Normal 3 7 2 2 4" xfId="6335" xr:uid="{00000000-0005-0000-0000-0000CD140000}"/>
    <cellStyle name="Normal 3 7 2 3" xfId="6336" xr:uid="{00000000-0005-0000-0000-0000CE140000}"/>
    <cellStyle name="Normal 3 7 2 3 2" xfId="6337" xr:uid="{00000000-0005-0000-0000-0000CF140000}"/>
    <cellStyle name="Normal 3 7 2 4" xfId="6338" xr:uid="{00000000-0005-0000-0000-0000D0140000}"/>
    <cellStyle name="Normal 3 7 2 5" xfId="6339" xr:uid="{00000000-0005-0000-0000-0000D1140000}"/>
    <cellStyle name="Normal 3 7 3" xfId="1118" xr:uid="{00000000-0005-0000-0000-0000D2140000}"/>
    <cellStyle name="Normal 3 7 3 2" xfId="6340" xr:uid="{00000000-0005-0000-0000-0000D3140000}"/>
    <cellStyle name="Normal 3 7 3 2 2" xfId="6341" xr:uid="{00000000-0005-0000-0000-0000D4140000}"/>
    <cellStyle name="Normal 3 7 3 3" xfId="6342" xr:uid="{00000000-0005-0000-0000-0000D5140000}"/>
    <cellStyle name="Normal 3 7 3 4" xfId="6343" xr:uid="{00000000-0005-0000-0000-0000D6140000}"/>
    <cellStyle name="Normal 3 7 4" xfId="6344" xr:uid="{00000000-0005-0000-0000-0000D7140000}"/>
    <cellStyle name="Normal 3 7 4 2" xfId="6345" xr:uid="{00000000-0005-0000-0000-0000D8140000}"/>
    <cellStyle name="Normal 3 7 5" xfId="6346" xr:uid="{00000000-0005-0000-0000-0000D9140000}"/>
    <cellStyle name="Normal 3 7 6" xfId="6347" xr:uid="{00000000-0005-0000-0000-0000DA140000}"/>
    <cellStyle name="Normal 3 8" xfId="1119" xr:uid="{00000000-0005-0000-0000-0000DB140000}"/>
    <cellStyle name="Normal 3 8 2" xfId="1120" xr:uid="{00000000-0005-0000-0000-0000DC140000}"/>
    <cellStyle name="Normal 3 8 2 2" xfId="6348" xr:uid="{00000000-0005-0000-0000-0000DD140000}"/>
    <cellStyle name="Normal 3 8 2 2 2" xfId="6349" xr:uid="{00000000-0005-0000-0000-0000DE140000}"/>
    <cellStyle name="Normal 3 8 2 3" xfId="6350" xr:uid="{00000000-0005-0000-0000-0000DF140000}"/>
    <cellStyle name="Normal 3 8 2 4" xfId="6351" xr:uid="{00000000-0005-0000-0000-0000E0140000}"/>
    <cellStyle name="Normal 3 8 3" xfId="6352" xr:uid="{00000000-0005-0000-0000-0000E1140000}"/>
    <cellStyle name="Normal 3 8 3 2" xfId="6353" xr:uid="{00000000-0005-0000-0000-0000E2140000}"/>
    <cellStyle name="Normal 3 8 4" xfId="6354" xr:uid="{00000000-0005-0000-0000-0000E3140000}"/>
    <cellStyle name="Normal 3 8 5" xfId="6355" xr:uid="{00000000-0005-0000-0000-0000E4140000}"/>
    <cellStyle name="Normal 3 9" xfId="1121" xr:uid="{00000000-0005-0000-0000-0000E5140000}"/>
    <cellStyle name="Normal 3 9 2" xfId="6356" xr:uid="{00000000-0005-0000-0000-0000E6140000}"/>
    <cellStyle name="Normal 3 9 2 2" xfId="6357" xr:uid="{00000000-0005-0000-0000-0000E7140000}"/>
    <cellStyle name="Normal 3 9 3" xfId="6358" xr:uid="{00000000-0005-0000-0000-0000E8140000}"/>
    <cellStyle name="Normal 3 9 4" xfId="6359" xr:uid="{00000000-0005-0000-0000-0000E9140000}"/>
    <cellStyle name="Normal 30" xfId="1122" xr:uid="{00000000-0005-0000-0000-0000EA140000}"/>
    <cellStyle name="Normal 30 2" xfId="1123" xr:uid="{00000000-0005-0000-0000-0000EB140000}"/>
    <cellStyle name="Normal 30 2 2" xfId="1124" xr:uid="{00000000-0005-0000-0000-0000EC140000}"/>
    <cellStyle name="Normal 30 2 2 2" xfId="1125" xr:uid="{00000000-0005-0000-0000-0000ED140000}"/>
    <cellStyle name="Normal 30 2 2 2 2" xfId="1126" xr:uid="{00000000-0005-0000-0000-0000EE140000}"/>
    <cellStyle name="Normal 30 2 2 2 2 2" xfId="6360" xr:uid="{00000000-0005-0000-0000-0000EF140000}"/>
    <cellStyle name="Normal 30 2 2 2 2 2 2" xfId="6361" xr:uid="{00000000-0005-0000-0000-0000F0140000}"/>
    <cellStyle name="Normal 30 2 2 2 2 3" xfId="6362" xr:uid="{00000000-0005-0000-0000-0000F1140000}"/>
    <cellStyle name="Normal 30 2 2 2 2 4" xfId="6363" xr:uid="{00000000-0005-0000-0000-0000F2140000}"/>
    <cellStyle name="Normal 30 2 2 2 3" xfId="6364" xr:uid="{00000000-0005-0000-0000-0000F3140000}"/>
    <cellStyle name="Normal 30 2 2 2 3 2" xfId="6365" xr:uid="{00000000-0005-0000-0000-0000F4140000}"/>
    <cellStyle name="Normal 30 2 2 2 4" xfId="6366" xr:uid="{00000000-0005-0000-0000-0000F5140000}"/>
    <cellStyle name="Normal 30 2 2 2 5" xfId="6367" xr:uid="{00000000-0005-0000-0000-0000F6140000}"/>
    <cellStyle name="Normal 30 2 2 3" xfId="1127" xr:uid="{00000000-0005-0000-0000-0000F7140000}"/>
    <cellStyle name="Normal 30 2 2 3 2" xfId="6368" xr:uid="{00000000-0005-0000-0000-0000F8140000}"/>
    <cellStyle name="Normal 30 2 2 3 2 2" xfId="6369" xr:uid="{00000000-0005-0000-0000-0000F9140000}"/>
    <cellStyle name="Normal 30 2 2 3 3" xfId="6370" xr:uid="{00000000-0005-0000-0000-0000FA140000}"/>
    <cellStyle name="Normal 30 2 2 3 4" xfId="6371" xr:uid="{00000000-0005-0000-0000-0000FB140000}"/>
    <cellStyle name="Normal 30 2 2 4" xfId="6372" xr:uid="{00000000-0005-0000-0000-0000FC140000}"/>
    <cellStyle name="Normal 30 2 2 4 2" xfId="6373" xr:uid="{00000000-0005-0000-0000-0000FD140000}"/>
    <cellStyle name="Normal 30 2 2 5" xfId="6374" xr:uid="{00000000-0005-0000-0000-0000FE140000}"/>
    <cellStyle name="Normal 30 2 2 6" xfId="6375" xr:uid="{00000000-0005-0000-0000-0000FF140000}"/>
    <cellStyle name="Normal 30 2 3" xfId="1128" xr:uid="{00000000-0005-0000-0000-000000150000}"/>
    <cellStyle name="Normal 30 2 3 2" xfId="1129" xr:uid="{00000000-0005-0000-0000-000001150000}"/>
    <cellStyle name="Normal 30 2 3 2 2" xfId="6376" xr:uid="{00000000-0005-0000-0000-000002150000}"/>
    <cellStyle name="Normal 30 2 3 2 2 2" xfId="6377" xr:uid="{00000000-0005-0000-0000-000003150000}"/>
    <cellStyle name="Normal 30 2 3 2 3" xfId="6378" xr:uid="{00000000-0005-0000-0000-000004150000}"/>
    <cellStyle name="Normal 30 2 3 2 4" xfId="6379" xr:uid="{00000000-0005-0000-0000-000005150000}"/>
    <cellStyle name="Normal 30 2 3 3" xfId="6380" xr:uid="{00000000-0005-0000-0000-000006150000}"/>
    <cellStyle name="Normal 30 2 3 3 2" xfId="6381" xr:uid="{00000000-0005-0000-0000-000007150000}"/>
    <cellStyle name="Normal 30 2 3 4" xfId="6382" xr:uid="{00000000-0005-0000-0000-000008150000}"/>
    <cellStyle name="Normal 30 2 3 5" xfId="6383" xr:uid="{00000000-0005-0000-0000-000009150000}"/>
    <cellStyle name="Normal 30 2 4" xfId="1130" xr:uid="{00000000-0005-0000-0000-00000A150000}"/>
    <cellStyle name="Normal 30 2 4 2" xfId="6384" xr:uid="{00000000-0005-0000-0000-00000B150000}"/>
    <cellStyle name="Normal 30 2 4 2 2" xfId="6385" xr:uid="{00000000-0005-0000-0000-00000C150000}"/>
    <cellStyle name="Normal 30 2 4 3" xfId="6386" xr:uid="{00000000-0005-0000-0000-00000D150000}"/>
    <cellStyle name="Normal 30 2 4 4" xfId="6387" xr:uid="{00000000-0005-0000-0000-00000E150000}"/>
    <cellStyle name="Normal 30 2 5" xfId="6388" xr:uid="{00000000-0005-0000-0000-00000F150000}"/>
    <cellStyle name="Normal 30 2 5 2" xfId="6389" xr:uid="{00000000-0005-0000-0000-000010150000}"/>
    <cellStyle name="Normal 30 2 6" xfId="6390" xr:uid="{00000000-0005-0000-0000-000011150000}"/>
    <cellStyle name="Normal 30 2 7" xfId="6391" xr:uid="{00000000-0005-0000-0000-000012150000}"/>
    <cellStyle name="Normal 30 3" xfId="1131" xr:uid="{00000000-0005-0000-0000-000013150000}"/>
    <cellStyle name="Normal 30 3 2" xfId="1132" xr:uid="{00000000-0005-0000-0000-000014150000}"/>
    <cellStyle name="Normal 30 3 2 2" xfId="1133" xr:uid="{00000000-0005-0000-0000-000015150000}"/>
    <cellStyle name="Normal 30 3 2 2 2" xfId="6392" xr:uid="{00000000-0005-0000-0000-000016150000}"/>
    <cellStyle name="Normal 30 3 2 2 2 2" xfId="6393" xr:uid="{00000000-0005-0000-0000-000017150000}"/>
    <cellStyle name="Normal 30 3 2 2 3" xfId="6394" xr:uid="{00000000-0005-0000-0000-000018150000}"/>
    <cellStyle name="Normal 30 3 2 2 4" xfId="6395" xr:uid="{00000000-0005-0000-0000-000019150000}"/>
    <cellStyle name="Normal 30 3 2 3" xfId="6396" xr:uid="{00000000-0005-0000-0000-00001A150000}"/>
    <cellStyle name="Normal 30 3 2 3 2" xfId="6397" xr:uid="{00000000-0005-0000-0000-00001B150000}"/>
    <cellStyle name="Normal 30 3 2 4" xfId="6398" xr:uid="{00000000-0005-0000-0000-00001C150000}"/>
    <cellStyle name="Normal 30 3 2 5" xfId="6399" xr:uid="{00000000-0005-0000-0000-00001D150000}"/>
    <cellStyle name="Normal 30 3 3" xfId="1134" xr:uid="{00000000-0005-0000-0000-00001E150000}"/>
    <cellStyle name="Normal 30 3 3 2" xfId="6400" xr:uid="{00000000-0005-0000-0000-00001F150000}"/>
    <cellStyle name="Normal 30 3 3 2 2" xfId="6401" xr:uid="{00000000-0005-0000-0000-000020150000}"/>
    <cellStyle name="Normal 30 3 3 3" xfId="6402" xr:uid="{00000000-0005-0000-0000-000021150000}"/>
    <cellStyle name="Normal 30 3 3 4" xfId="6403" xr:uid="{00000000-0005-0000-0000-000022150000}"/>
    <cellStyle name="Normal 30 3 4" xfId="6404" xr:uid="{00000000-0005-0000-0000-000023150000}"/>
    <cellStyle name="Normal 30 3 4 2" xfId="6405" xr:uid="{00000000-0005-0000-0000-000024150000}"/>
    <cellStyle name="Normal 30 3 5" xfId="6406" xr:uid="{00000000-0005-0000-0000-000025150000}"/>
    <cellStyle name="Normal 30 3 6" xfId="6407" xr:uid="{00000000-0005-0000-0000-000026150000}"/>
    <cellStyle name="Normal 30 4" xfId="1135" xr:uid="{00000000-0005-0000-0000-000027150000}"/>
    <cellStyle name="Normal 30 4 2" xfId="1136" xr:uid="{00000000-0005-0000-0000-000028150000}"/>
    <cellStyle name="Normal 30 4 2 2" xfId="6408" xr:uid="{00000000-0005-0000-0000-000029150000}"/>
    <cellStyle name="Normal 30 4 2 2 2" xfId="6409" xr:uid="{00000000-0005-0000-0000-00002A150000}"/>
    <cellStyle name="Normal 30 4 2 3" xfId="6410" xr:uid="{00000000-0005-0000-0000-00002B150000}"/>
    <cellStyle name="Normal 30 4 2 4" xfId="6411" xr:uid="{00000000-0005-0000-0000-00002C150000}"/>
    <cellStyle name="Normal 30 4 3" xfId="6412" xr:uid="{00000000-0005-0000-0000-00002D150000}"/>
    <cellStyle name="Normal 30 4 3 2" xfId="6413" xr:uid="{00000000-0005-0000-0000-00002E150000}"/>
    <cellStyle name="Normal 30 4 4" xfId="6414" xr:uid="{00000000-0005-0000-0000-00002F150000}"/>
    <cellStyle name="Normal 30 4 5" xfId="6415" xr:uid="{00000000-0005-0000-0000-000030150000}"/>
    <cellStyle name="Normal 30 5" xfId="1137" xr:uid="{00000000-0005-0000-0000-000031150000}"/>
    <cellStyle name="Normal 30 5 2" xfId="6416" xr:uid="{00000000-0005-0000-0000-000032150000}"/>
    <cellStyle name="Normal 30 5 2 2" xfId="6417" xr:uid="{00000000-0005-0000-0000-000033150000}"/>
    <cellStyle name="Normal 30 5 3" xfId="6418" xr:uid="{00000000-0005-0000-0000-000034150000}"/>
    <cellStyle name="Normal 30 5 4" xfId="6419" xr:uid="{00000000-0005-0000-0000-000035150000}"/>
    <cellStyle name="Normal 30 6" xfId="6420" xr:uid="{00000000-0005-0000-0000-000036150000}"/>
    <cellStyle name="Normal 30 6 2" xfId="6421" xr:uid="{00000000-0005-0000-0000-000037150000}"/>
    <cellStyle name="Normal 30 7" xfId="6422" xr:uid="{00000000-0005-0000-0000-000038150000}"/>
    <cellStyle name="Normal 30 8" xfId="6423" xr:uid="{00000000-0005-0000-0000-000039150000}"/>
    <cellStyle name="Normal 31" xfId="1138" xr:uid="{00000000-0005-0000-0000-00003A150000}"/>
    <cellStyle name="Normal 31 2" xfId="1139" xr:uid="{00000000-0005-0000-0000-00003B150000}"/>
    <cellStyle name="Normal 31 2 2" xfId="1140" xr:uid="{00000000-0005-0000-0000-00003C150000}"/>
    <cellStyle name="Normal 31 2 2 2" xfId="1141" xr:uid="{00000000-0005-0000-0000-00003D150000}"/>
    <cellStyle name="Normal 31 2 2 2 2" xfId="1142" xr:uid="{00000000-0005-0000-0000-00003E150000}"/>
    <cellStyle name="Normal 31 2 2 2 2 2" xfId="6424" xr:uid="{00000000-0005-0000-0000-00003F150000}"/>
    <cellStyle name="Normal 31 2 2 2 2 2 2" xfId="6425" xr:uid="{00000000-0005-0000-0000-000040150000}"/>
    <cellStyle name="Normal 31 2 2 2 2 3" xfId="6426" xr:uid="{00000000-0005-0000-0000-000041150000}"/>
    <cellStyle name="Normal 31 2 2 2 2 4" xfId="6427" xr:uid="{00000000-0005-0000-0000-000042150000}"/>
    <cellStyle name="Normal 31 2 2 2 3" xfId="6428" xr:uid="{00000000-0005-0000-0000-000043150000}"/>
    <cellStyle name="Normal 31 2 2 2 3 2" xfId="6429" xr:uid="{00000000-0005-0000-0000-000044150000}"/>
    <cellStyle name="Normal 31 2 2 2 4" xfId="6430" xr:uid="{00000000-0005-0000-0000-000045150000}"/>
    <cellStyle name="Normal 31 2 2 2 5" xfId="6431" xr:uid="{00000000-0005-0000-0000-000046150000}"/>
    <cellStyle name="Normal 31 2 2 3" xfId="1143" xr:uid="{00000000-0005-0000-0000-000047150000}"/>
    <cellStyle name="Normal 31 2 2 3 2" xfId="6432" xr:uid="{00000000-0005-0000-0000-000048150000}"/>
    <cellStyle name="Normal 31 2 2 3 2 2" xfId="6433" xr:uid="{00000000-0005-0000-0000-000049150000}"/>
    <cellStyle name="Normal 31 2 2 3 3" xfId="6434" xr:uid="{00000000-0005-0000-0000-00004A150000}"/>
    <cellStyle name="Normal 31 2 2 3 4" xfId="6435" xr:uid="{00000000-0005-0000-0000-00004B150000}"/>
    <cellStyle name="Normal 31 2 2 4" xfId="6436" xr:uid="{00000000-0005-0000-0000-00004C150000}"/>
    <cellStyle name="Normal 31 2 2 4 2" xfId="6437" xr:uid="{00000000-0005-0000-0000-00004D150000}"/>
    <cellStyle name="Normal 31 2 2 5" xfId="6438" xr:uid="{00000000-0005-0000-0000-00004E150000}"/>
    <cellStyle name="Normal 31 2 2 6" xfId="6439" xr:uid="{00000000-0005-0000-0000-00004F150000}"/>
    <cellStyle name="Normal 31 2 3" xfId="1144" xr:uid="{00000000-0005-0000-0000-000050150000}"/>
    <cellStyle name="Normal 31 2 3 2" xfId="1145" xr:uid="{00000000-0005-0000-0000-000051150000}"/>
    <cellStyle name="Normal 31 2 3 2 2" xfId="6440" xr:uid="{00000000-0005-0000-0000-000052150000}"/>
    <cellStyle name="Normal 31 2 3 2 2 2" xfId="6441" xr:uid="{00000000-0005-0000-0000-000053150000}"/>
    <cellStyle name="Normal 31 2 3 2 3" xfId="6442" xr:uid="{00000000-0005-0000-0000-000054150000}"/>
    <cellStyle name="Normal 31 2 3 2 4" xfId="6443" xr:uid="{00000000-0005-0000-0000-000055150000}"/>
    <cellStyle name="Normal 31 2 3 3" xfId="6444" xr:uid="{00000000-0005-0000-0000-000056150000}"/>
    <cellStyle name="Normal 31 2 3 3 2" xfId="6445" xr:uid="{00000000-0005-0000-0000-000057150000}"/>
    <cellStyle name="Normal 31 2 3 4" xfId="6446" xr:uid="{00000000-0005-0000-0000-000058150000}"/>
    <cellStyle name="Normal 31 2 3 5" xfId="6447" xr:uid="{00000000-0005-0000-0000-000059150000}"/>
    <cellStyle name="Normal 31 2 4" xfId="1146" xr:uid="{00000000-0005-0000-0000-00005A150000}"/>
    <cellStyle name="Normal 31 2 4 2" xfId="6448" xr:uid="{00000000-0005-0000-0000-00005B150000}"/>
    <cellStyle name="Normal 31 2 4 2 2" xfId="6449" xr:uid="{00000000-0005-0000-0000-00005C150000}"/>
    <cellStyle name="Normal 31 2 4 3" xfId="6450" xr:uid="{00000000-0005-0000-0000-00005D150000}"/>
    <cellStyle name="Normal 31 2 4 4" xfId="6451" xr:uid="{00000000-0005-0000-0000-00005E150000}"/>
    <cellStyle name="Normal 31 2 5" xfId="6452" xr:uid="{00000000-0005-0000-0000-00005F150000}"/>
    <cellStyle name="Normal 31 2 5 2" xfId="6453" xr:uid="{00000000-0005-0000-0000-000060150000}"/>
    <cellStyle name="Normal 31 2 6" xfId="6454" xr:uid="{00000000-0005-0000-0000-000061150000}"/>
    <cellStyle name="Normal 31 2 7" xfId="6455" xr:uid="{00000000-0005-0000-0000-000062150000}"/>
    <cellStyle name="Normal 31 3" xfId="1147" xr:uid="{00000000-0005-0000-0000-000063150000}"/>
    <cellStyle name="Normal 31 3 2" xfId="1148" xr:uid="{00000000-0005-0000-0000-000064150000}"/>
    <cellStyle name="Normal 31 3 2 2" xfId="1149" xr:uid="{00000000-0005-0000-0000-000065150000}"/>
    <cellStyle name="Normal 31 3 2 2 2" xfId="6456" xr:uid="{00000000-0005-0000-0000-000066150000}"/>
    <cellStyle name="Normal 31 3 2 2 2 2" xfId="6457" xr:uid="{00000000-0005-0000-0000-000067150000}"/>
    <cellStyle name="Normal 31 3 2 2 3" xfId="6458" xr:uid="{00000000-0005-0000-0000-000068150000}"/>
    <cellStyle name="Normal 31 3 2 2 4" xfId="6459" xr:uid="{00000000-0005-0000-0000-000069150000}"/>
    <cellStyle name="Normal 31 3 2 3" xfId="6460" xr:uid="{00000000-0005-0000-0000-00006A150000}"/>
    <cellStyle name="Normal 31 3 2 3 2" xfId="6461" xr:uid="{00000000-0005-0000-0000-00006B150000}"/>
    <cellStyle name="Normal 31 3 2 4" xfId="6462" xr:uid="{00000000-0005-0000-0000-00006C150000}"/>
    <cellStyle name="Normal 31 3 2 5" xfId="6463" xr:uid="{00000000-0005-0000-0000-00006D150000}"/>
    <cellStyle name="Normal 31 3 3" xfId="1150" xr:uid="{00000000-0005-0000-0000-00006E150000}"/>
    <cellStyle name="Normal 31 3 3 2" xfId="6464" xr:uid="{00000000-0005-0000-0000-00006F150000}"/>
    <cellStyle name="Normal 31 3 3 2 2" xfId="6465" xr:uid="{00000000-0005-0000-0000-000070150000}"/>
    <cellStyle name="Normal 31 3 3 3" xfId="6466" xr:uid="{00000000-0005-0000-0000-000071150000}"/>
    <cellStyle name="Normal 31 3 3 4" xfId="6467" xr:uid="{00000000-0005-0000-0000-000072150000}"/>
    <cellStyle name="Normal 31 3 4" xfId="6468" xr:uid="{00000000-0005-0000-0000-000073150000}"/>
    <cellStyle name="Normal 31 3 4 2" xfId="6469" xr:uid="{00000000-0005-0000-0000-000074150000}"/>
    <cellStyle name="Normal 31 3 5" xfId="6470" xr:uid="{00000000-0005-0000-0000-000075150000}"/>
    <cellStyle name="Normal 31 3 6" xfId="6471" xr:uid="{00000000-0005-0000-0000-000076150000}"/>
    <cellStyle name="Normal 31 4" xfId="1151" xr:uid="{00000000-0005-0000-0000-000077150000}"/>
    <cellStyle name="Normal 31 4 2" xfId="1152" xr:uid="{00000000-0005-0000-0000-000078150000}"/>
    <cellStyle name="Normal 31 4 2 2" xfId="6472" xr:uid="{00000000-0005-0000-0000-000079150000}"/>
    <cellStyle name="Normal 31 4 2 2 2" xfId="6473" xr:uid="{00000000-0005-0000-0000-00007A150000}"/>
    <cellStyle name="Normal 31 4 2 3" xfId="6474" xr:uid="{00000000-0005-0000-0000-00007B150000}"/>
    <cellStyle name="Normal 31 4 2 4" xfId="6475" xr:uid="{00000000-0005-0000-0000-00007C150000}"/>
    <cellStyle name="Normal 31 4 3" xfId="6476" xr:uid="{00000000-0005-0000-0000-00007D150000}"/>
    <cellStyle name="Normal 31 4 3 2" xfId="6477" xr:uid="{00000000-0005-0000-0000-00007E150000}"/>
    <cellStyle name="Normal 31 4 4" xfId="6478" xr:uid="{00000000-0005-0000-0000-00007F150000}"/>
    <cellStyle name="Normal 31 4 5" xfId="6479" xr:uid="{00000000-0005-0000-0000-000080150000}"/>
    <cellStyle name="Normal 31 5" xfId="1153" xr:uid="{00000000-0005-0000-0000-000081150000}"/>
    <cellStyle name="Normal 31 5 2" xfId="6480" xr:uid="{00000000-0005-0000-0000-000082150000}"/>
    <cellStyle name="Normal 31 5 2 2" xfId="6481" xr:uid="{00000000-0005-0000-0000-000083150000}"/>
    <cellStyle name="Normal 31 5 3" xfId="6482" xr:uid="{00000000-0005-0000-0000-000084150000}"/>
    <cellStyle name="Normal 31 5 4" xfId="6483" xr:uid="{00000000-0005-0000-0000-000085150000}"/>
    <cellStyle name="Normal 31 6" xfId="6484" xr:uid="{00000000-0005-0000-0000-000086150000}"/>
    <cellStyle name="Normal 31 6 2" xfId="6485" xr:uid="{00000000-0005-0000-0000-000087150000}"/>
    <cellStyle name="Normal 31 7" xfId="6486" xr:uid="{00000000-0005-0000-0000-000088150000}"/>
    <cellStyle name="Normal 31 8" xfId="6487" xr:uid="{00000000-0005-0000-0000-000089150000}"/>
    <cellStyle name="Normal 32" xfId="1154" xr:uid="{00000000-0005-0000-0000-00008A150000}"/>
    <cellStyle name="Normal 32 2" xfId="1155" xr:uid="{00000000-0005-0000-0000-00008B150000}"/>
    <cellStyle name="Normal 32 2 2" xfId="1156" xr:uid="{00000000-0005-0000-0000-00008C150000}"/>
    <cellStyle name="Normal 32 2 2 2" xfId="1157" xr:uid="{00000000-0005-0000-0000-00008D150000}"/>
    <cellStyle name="Normal 32 2 2 2 2" xfId="1158" xr:uid="{00000000-0005-0000-0000-00008E150000}"/>
    <cellStyle name="Normal 32 2 2 2 2 2" xfId="6488" xr:uid="{00000000-0005-0000-0000-00008F150000}"/>
    <cellStyle name="Normal 32 2 2 2 2 2 2" xfId="6489" xr:uid="{00000000-0005-0000-0000-000090150000}"/>
    <cellStyle name="Normal 32 2 2 2 2 3" xfId="6490" xr:uid="{00000000-0005-0000-0000-000091150000}"/>
    <cellStyle name="Normal 32 2 2 2 2 4" xfId="6491" xr:uid="{00000000-0005-0000-0000-000092150000}"/>
    <cellStyle name="Normal 32 2 2 2 3" xfId="6492" xr:uid="{00000000-0005-0000-0000-000093150000}"/>
    <cellStyle name="Normal 32 2 2 2 3 2" xfId="6493" xr:uid="{00000000-0005-0000-0000-000094150000}"/>
    <cellStyle name="Normal 32 2 2 2 4" xfId="6494" xr:uid="{00000000-0005-0000-0000-000095150000}"/>
    <cellStyle name="Normal 32 2 2 2 5" xfId="6495" xr:uid="{00000000-0005-0000-0000-000096150000}"/>
    <cellStyle name="Normal 32 2 2 3" xfId="1159" xr:uid="{00000000-0005-0000-0000-000097150000}"/>
    <cellStyle name="Normal 32 2 2 3 2" xfId="6496" xr:uid="{00000000-0005-0000-0000-000098150000}"/>
    <cellStyle name="Normal 32 2 2 3 2 2" xfId="6497" xr:uid="{00000000-0005-0000-0000-000099150000}"/>
    <cellStyle name="Normal 32 2 2 3 3" xfId="6498" xr:uid="{00000000-0005-0000-0000-00009A150000}"/>
    <cellStyle name="Normal 32 2 2 3 4" xfId="6499" xr:uid="{00000000-0005-0000-0000-00009B150000}"/>
    <cellStyle name="Normal 32 2 2 4" xfId="6500" xr:uid="{00000000-0005-0000-0000-00009C150000}"/>
    <cellStyle name="Normal 32 2 2 4 2" xfId="6501" xr:uid="{00000000-0005-0000-0000-00009D150000}"/>
    <cellStyle name="Normal 32 2 2 5" xfId="6502" xr:uid="{00000000-0005-0000-0000-00009E150000}"/>
    <cellStyle name="Normal 32 2 2 6" xfId="6503" xr:uid="{00000000-0005-0000-0000-00009F150000}"/>
    <cellStyle name="Normal 32 2 3" xfId="1160" xr:uid="{00000000-0005-0000-0000-0000A0150000}"/>
    <cellStyle name="Normal 32 2 3 2" xfId="1161" xr:uid="{00000000-0005-0000-0000-0000A1150000}"/>
    <cellStyle name="Normal 32 2 3 2 2" xfId="6504" xr:uid="{00000000-0005-0000-0000-0000A2150000}"/>
    <cellStyle name="Normal 32 2 3 2 2 2" xfId="6505" xr:uid="{00000000-0005-0000-0000-0000A3150000}"/>
    <cellStyle name="Normal 32 2 3 2 3" xfId="6506" xr:uid="{00000000-0005-0000-0000-0000A4150000}"/>
    <cellStyle name="Normal 32 2 3 2 4" xfId="6507" xr:uid="{00000000-0005-0000-0000-0000A5150000}"/>
    <cellStyle name="Normal 32 2 3 3" xfId="6508" xr:uid="{00000000-0005-0000-0000-0000A6150000}"/>
    <cellStyle name="Normal 32 2 3 3 2" xfId="6509" xr:uid="{00000000-0005-0000-0000-0000A7150000}"/>
    <cellStyle name="Normal 32 2 3 4" xfId="6510" xr:uid="{00000000-0005-0000-0000-0000A8150000}"/>
    <cellStyle name="Normal 32 2 3 5" xfId="6511" xr:uid="{00000000-0005-0000-0000-0000A9150000}"/>
    <cellStyle name="Normal 32 2 4" xfId="1162" xr:uid="{00000000-0005-0000-0000-0000AA150000}"/>
    <cellStyle name="Normal 32 2 4 2" xfId="6512" xr:uid="{00000000-0005-0000-0000-0000AB150000}"/>
    <cellStyle name="Normal 32 2 4 2 2" xfId="6513" xr:uid="{00000000-0005-0000-0000-0000AC150000}"/>
    <cellStyle name="Normal 32 2 4 3" xfId="6514" xr:uid="{00000000-0005-0000-0000-0000AD150000}"/>
    <cellStyle name="Normal 32 2 4 4" xfId="6515" xr:uid="{00000000-0005-0000-0000-0000AE150000}"/>
    <cellStyle name="Normal 32 2 5" xfId="6516" xr:uid="{00000000-0005-0000-0000-0000AF150000}"/>
    <cellStyle name="Normal 32 2 5 2" xfId="6517" xr:uid="{00000000-0005-0000-0000-0000B0150000}"/>
    <cellStyle name="Normal 32 2 6" xfId="6518" xr:uid="{00000000-0005-0000-0000-0000B1150000}"/>
    <cellStyle name="Normal 32 2 7" xfId="6519" xr:uid="{00000000-0005-0000-0000-0000B2150000}"/>
    <cellStyle name="Normal 32 3" xfId="1163" xr:uid="{00000000-0005-0000-0000-0000B3150000}"/>
    <cellStyle name="Normal 32 3 2" xfId="1164" xr:uid="{00000000-0005-0000-0000-0000B4150000}"/>
    <cellStyle name="Normal 32 3 2 2" xfId="1165" xr:uid="{00000000-0005-0000-0000-0000B5150000}"/>
    <cellStyle name="Normal 32 3 2 2 2" xfId="6520" xr:uid="{00000000-0005-0000-0000-0000B6150000}"/>
    <cellStyle name="Normal 32 3 2 2 2 2" xfId="6521" xr:uid="{00000000-0005-0000-0000-0000B7150000}"/>
    <cellStyle name="Normal 32 3 2 2 3" xfId="6522" xr:uid="{00000000-0005-0000-0000-0000B8150000}"/>
    <cellStyle name="Normal 32 3 2 2 4" xfId="6523" xr:uid="{00000000-0005-0000-0000-0000B9150000}"/>
    <cellStyle name="Normal 32 3 2 3" xfId="6524" xr:uid="{00000000-0005-0000-0000-0000BA150000}"/>
    <cellStyle name="Normal 32 3 2 3 2" xfId="6525" xr:uid="{00000000-0005-0000-0000-0000BB150000}"/>
    <cellStyle name="Normal 32 3 2 4" xfId="6526" xr:uid="{00000000-0005-0000-0000-0000BC150000}"/>
    <cellStyle name="Normal 32 3 2 5" xfId="6527" xr:uid="{00000000-0005-0000-0000-0000BD150000}"/>
    <cellStyle name="Normal 32 3 3" xfId="1166" xr:uid="{00000000-0005-0000-0000-0000BE150000}"/>
    <cellStyle name="Normal 32 3 3 2" xfId="6528" xr:uid="{00000000-0005-0000-0000-0000BF150000}"/>
    <cellStyle name="Normal 32 3 3 2 2" xfId="6529" xr:uid="{00000000-0005-0000-0000-0000C0150000}"/>
    <cellStyle name="Normal 32 3 3 3" xfId="6530" xr:uid="{00000000-0005-0000-0000-0000C1150000}"/>
    <cellStyle name="Normal 32 3 3 4" xfId="6531" xr:uid="{00000000-0005-0000-0000-0000C2150000}"/>
    <cellStyle name="Normal 32 3 4" xfId="6532" xr:uid="{00000000-0005-0000-0000-0000C3150000}"/>
    <cellStyle name="Normal 32 3 4 2" xfId="6533" xr:uid="{00000000-0005-0000-0000-0000C4150000}"/>
    <cellStyle name="Normal 32 3 5" xfId="6534" xr:uid="{00000000-0005-0000-0000-0000C5150000}"/>
    <cellStyle name="Normal 32 3 6" xfId="6535" xr:uid="{00000000-0005-0000-0000-0000C6150000}"/>
    <cellStyle name="Normal 32 4" xfId="1167" xr:uid="{00000000-0005-0000-0000-0000C7150000}"/>
    <cellStyle name="Normal 32 4 2" xfId="1168" xr:uid="{00000000-0005-0000-0000-0000C8150000}"/>
    <cellStyle name="Normal 32 4 2 2" xfId="6536" xr:uid="{00000000-0005-0000-0000-0000C9150000}"/>
    <cellStyle name="Normal 32 4 2 2 2" xfId="6537" xr:uid="{00000000-0005-0000-0000-0000CA150000}"/>
    <cellStyle name="Normal 32 4 2 3" xfId="6538" xr:uid="{00000000-0005-0000-0000-0000CB150000}"/>
    <cellStyle name="Normal 32 4 2 4" xfId="6539" xr:uid="{00000000-0005-0000-0000-0000CC150000}"/>
    <cellStyle name="Normal 32 4 3" xfId="6540" xr:uid="{00000000-0005-0000-0000-0000CD150000}"/>
    <cellStyle name="Normal 32 4 3 2" xfId="6541" xr:uid="{00000000-0005-0000-0000-0000CE150000}"/>
    <cellStyle name="Normal 32 4 4" xfId="6542" xr:uid="{00000000-0005-0000-0000-0000CF150000}"/>
    <cellStyle name="Normal 32 4 5" xfId="6543" xr:uid="{00000000-0005-0000-0000-0000D0150000}"/>
    <cellStyle name="Normal 32 5" xfId="1169" xr:uid="{00000000-0005-0000-0000-0000D1150000}"/>
    <cellStyle name="Normal 32 5 2" xfId="6544" xr:uid="{00000000-0005-0000-0000-0000D2150000}"/>
    <cellStyle name="Normal 32 5 2 2" xfId="6545" xr:uid="{00000000-0005-0000-0000-0000D3150000}"/>
    <cellStyle name="Normal 32 5 3" xfId="6546" xr:uid="{00000000-0005-0000-0000-0000D4150000}"/>
    <cellStyle name="Normal 32 5 4" xfId="6547" xr:uid="{00000000-0005-0000-0000-0000D5150000}"/>
    <cellStyle name="Normal 32 6" xfId="6548" xr:uid="{00000000-0005-0000-0000-0000D6150000}"/>
    <cellStyle name="Normal 32 6 2" xfId="6549" xr:uid="{00000000-0005-0000-0000-0000D7150000}"/>
    <cellStyle name="Normal 32 7" xfId="6550" xr:uid="{00000000-0005-0000-0000-0000D8150000}"/>
    <cellStyle name="Normal 32 8" xfId="6551" xr:uid="{00000000-0005-0000-0000-0000D9150000}"/>
    <cellStyle name="Normal 33" xfId="1170" xr:uid="{00000000-0005-0000-0000-0000DA150000}"/>
    <cellStyle name="Normal 33 2" xfId="1171" xr:uid="{00000000-0005-0000-0000-0000DB150000}"/>
    <cellStyle name="Normal 33 2 2" xfId="1172" xr:uid="{00000000-0005-0000-0000-0000DC150000}"/>
    <cellStyle name="Normal 33 2 2 2" xfId="1173" xr:uid="{00000000-0005-0000-0000-0000DD150000}"/>
    <cellStyle name="Normal 33 2 2 2 2" xfId="1174" xr:uid="{00000000-0005-0000-0000-0000DE150000}"/>
    <cellStyle name="Normal 33 2 2 2 2 2" xfId="6552" xr:uid="{00000000-0005-0000-0000-0000DF150000}"/>
    <cellStyle name="Normal 33 2 2 2 2 2 2" xfId="6553" xr:uid="{00000000-0005-0000-0000-0000E0150000}"/>
    <cellStyle name="Normal 33 2 2 2 2 3" xfId="6554" xr:uid="{00000000-0005-0000-0000-0000E1150000}"/>
    <cellStyle name="Normal 33 2 2 2 2 4" xfId="6555" xr:uid="{00000000-0005-0000-0000-0000E2150000}"/>
    <cellStyle name="Normal 33 2 2 2 3" xfId="6556" xr:uid="{00000000-0005-0000-0000-0000E3150000}"/>
    <cellStyle name="Normal 33 2 2 2 3 2" xfId="6557" xr:uid="{00000000-0005-0000-0000-0000E4150000}"/>
    <cellStyle name="Normal 33 2 2 2 4" xfId="6558" xr:uid="{00000000-0005-0000-0000-0000E5150000}"/>
    <cellStyle name="Normal 33 2 2 2 5" xfId="6559" xr:uid="{00000000-0005-0000-0000-0000E6150000}"/>
    <cellStyle name="Normal 33 2 2 3" xfId="1175" xr:uid="{00000000-0005-0000-0000-0000E7150000}"/>
    <cellStyle name="Normal 33 2 2 3 2" xfId="6560" xr:uid="{00000000-0005-0000-0000-0000E8150000}"/>
    <cellStyle name="Normal 33 2 2 3 2 2" xfId="6561" xr:uid="{00000000-0005-0000-0000-0000E9150000}"/>
    <cellStyle name="Normal 33 2 2 3 3" xfId="6562" xr:uid="{00000000-0005-0000-0000-0000EA150000}"/>
    <cellStyle name="Normal 33 2 2 3 4" xfId="6563" xr:uid="{00000000-0005-0000-0000-0000EB150000}"/>
    <cellStyle name="Normal 33 2 2 4" xfId="6564" xr:uid="{00000000-0005-0000-0000-0000EC150000}"/>
    <cellStyle name="Normal 33 2 2 4 2" xfId="6565" xr:uid="{00000000-0005-0000-0000-0000ED150000}"/>
    <cellStyle name="Normal 33 2 2 5" xfId="6566" xr:uid="{00000000-0005-0000-0000-0000EE150000}"/>
    <cellStyle name="Normal 33 2 2 6" xfId="6567" xr:uid="{00000000-0005-0000-0000-0000EF150000}"/>
    <cellStyle name="Normal 33 2 3" xfId="1176" xr:uid="{00000000-0005-0000-0000-0000F0150000}"/>
    <cellStyle name="Normal 33 2 3 2" xfId="1177" xr:uid="{00000000-0005-0000-0000-0000F1150000}"/>
    <cellStyle name="Normal 33 2 3 2 2" xfId="6568" xr:uid="{00000000-0005-0000-0000-0000F2150000}"/>
    <cellStyle name="Normal 33 2 3 2 2 2" xfId="6569" xr:uid="{00000000-0005-0000-0000-0000F3150000}"/>
    <cellStyle name="Normal 33 2 3 2 3" xfId="6570" xr:uid="{00000000-0005-0000-0000-0000F4150000}"/>
    <cellStyle name="Normal 33 2 3 2 4" xfId="6571" xr:uid="{00000000-0005-0000-0000-0000F5150000}"/>
    <cellStyle name="Normal 33 2 3 3" xfId="6572" xr:uid="{00000000-0005-0000-0000-0000F6150000}"/>
    <cellStyle name="Normal 33 2 3 3 2" xfId="6573" xr:uid="{00000000-0005-0000-0000-0000F7150000}"/>
    <cellStyle name="Normal 33 2 3 4" xfId="6574" xr:uid="{00000000-0005-0000-0000-0000F8150000}"/>
    <cellStyle name="Normal 33 2 3 5" xfId="6575" xr:uid="{00000000-0005-0000-0000-0000F9150000}"/>
    <cellStyle name="Normal 33 2 4" xfId="1178" xr:uid="{00000000-0005-0000-0000-0000FA150000}"/>
    <cellStyle name="Normal 33 2 4 2" xfId="6576" xr:uid="{00000000-0005-0000-0000-0000FB150000}"/>
    <cellStyle name="Normal 33 2 4 2 2" xfId="6577" xr:uid="{00000000-0005-0000-0000-0000FC150000}"/>
    <cellStyle name="Normal 33 2 4 3" xfId="6578" xr:uid="{00000000-0005-0000-0000-0000FD150000}"/>
    <cellStyle name="Normal 33 2 4 4" xfId="6579" xr:uid="{00000000-0005-0000-0000-0000FE150000}"/>
    <cellStyle name="Normal 33 2 5" xfId="6580" xr:uid="{00000000-0005-0000-0000-0000FF150000}"/>
    <cellStyle name="Normal 33 2 5 2" xfId="6581" xr:uid="{00000000-0005-0000-0000-000000160000}"/>
    <cellStyle name="Normal 33 2 6" xfId="6582" xr:uid="{00000000-0005-0000-0000-000001160000}"/>
    <cellStyle name="Normal 33 2 7" xfId="6583" xr:uid="{00000000-0005-0000-0000-000002160000}"/>
    <cellStyle name="Normal 33 3" xfId="1179" xr:uid="{00000000-0005-0000-0000-000003160000}"/>
    <cellStyle name="Normal 33 3 2" xfId="1180" xr:uid="{00000000-0005-0000-0000-000004160000}"/>
    <cellStyle name="Normal 33 3 2 2" xfId="1181" xr:uid="{00000000-0005-0000-0000-000005160000}"/>
    <cellStyle name="Normal 33 3 2 2 2" xfId="6584" xr:uid="{00000000-0005-0000-0000-000006160000}"/>
    <cellStyle name="Normal 33 3 2 2 2 2" xfId="6585" xr:uid="{00000000-0005-0000-0000-000007160000}"/>
    <cellStyle name="Normal 33 3 2 2 3" xfId="6586" xr:uid="{00000000-0005-0000-0000-000008160000}"/>
    <cellStyle name="Normal 33 3 2 2 4" xfId="6587" xr:uid="{00000000-0005-0000-0000-000009160000}"/>
    <cellStyle name="Normal 33 3 2 3" xfId="6588" xr:uid="{00000000-0005-0000-0000-00000A160000}"/>
    <cellStyle name="Normal 33 3 2 3 2" xfId="6589" xr:uid="{00000000-0005-0000-0000-00000B160000}"/>
    <cellStyle name="Normal 33 3 2 4" xfId="6590" xr:uid="{00000000-0005-0000-0000-00000C160000}"/>
    <cellStyle name="Normal 33 3 2 5" xfId="6591" xr:uid="{00000000-0005-0000-0000-00000D160000}"/>
    <cellStyle name="Normal 33 3 3" xfId="1182" xr:uid="{00000000-0005-0000-0000-00000E160000}"/>
    <cellStyle name="Normal 33 3 3 2" xfId="6592" xr:uid="{00000000-0005-0000-0000-00000F160000}"/>
    <cellStyle name="Normal 33 3 3 2 2" xfId="6593" xr:uid="{00000000-0005-0000-0000-000010160000}"/>
    <cellStyle name="Normal 33 3 3 3" xfId="6594" xr:uid="{00000000-0005-0000-0000-000011160000}"/>
    <cellStyle name="Normal 33 3 3 4" xfId="6595" xr:uid="{00000000-0005-0000-0000-000012160000}"/>
    <cellStyle name="Normal 33 3 4" xfId="6596" xr:uid="{00000000-0005-0000-0000-000013160000}"/>
    <cellStyle name="Normal 33 3 4 2" xfId="6597" xr:uid="{00000000-0005-0000-0000-000014160000}"/>
    <cellStyle name="Normal 33 3 5" xfId="6598" xr:uid="{00000000-0005-0000-0000-000015160000}"/>
    <cellStyle name="Normal 33 3 6" xfId="6599" xr:uid="{00000000-0005-0000-0000-000016160000}"/>
    <cellStyle name="Normal 33 4" xfId="1183" xr:uid="{00000000-0005-0000-0000-000017160000}"/>
    <cellStyle name="Normal 33 4 2" xfId="1184" xr:uid="{00000000-0005-0000-0000-000018160000}"/>
    <cellStyle name="Normal 33 4 2 2" xfId="6600" xr:uid="{00000000-0005-0000-0000-000019160000}"/>
    <cellStyle name="Normal 33 4 2 2 2" xfId="6601" xr:uid="{00000000-0005-0000-0000-00001A160000}"/>
    <cellStyle name="Normal 33 4 2 3" xfId="6602" xr:uid="{00000000-0005-0000-0000-00001B160000}"/>
    <cellStyle name="Normal 33 4 2 4" xfId="6603" xr:uid="{00000000-0005-0000-0000-00001C160000}"/>
    <cellStyle name="Normal 33 4 3" xfId="6604" xr:uid="{00000000-0005-0000-0000-00001D160000}"/>
    <cellStyle name="Normal 33 4 3 2" xfId="6605" xr:uid="{00000000-0005-0000-0000-00001E160000}"/>
    <cellStyle name="Normal 33 4 4" xfId="6606" xr:uid="{00000000-0005-0000-0000-00001F160000}"/>
    <cellStyle name="Normal 33 4 5" xfId="6607" xr:uid="{00000000-0005-0000-0000-000020160000}"/>
    <cellStyle name="Normal 33 5" xfId="1185" xr:uid="{00000000-0005-0000-0000-000021160000}"/>
    <cellStyle name="Normal 33 5 2" xfId="6608" xr:uid="{00000000-0005-0000-0000-000022160000}"/>
    <cellStyle name="Normal 33 5 2 2" xfId="6609" xr:uid="{00000000-0005-0000-0000-000023160000}"/>
    <cellStyle name="Normal 33 5 3" xfId="6610" xr:uid="{00000000-0005-0000-0000-000024160000}"/>
    <cellStyle name="Normal 33 5 4" xfId="6611" xr:uid="{00000000-0005-0000-0000-000025160000}"/>
    <cellStyle name="Normal 33 6" xfId="6612" xr:uid="{00000000-0005-0000-0000-000026160000}"/>
    <cellStyle name="Normal 33 6 2" xfId="6613" xr:uid="{00000000-0005-0000-0000-000027160000}"/>
    <cellStyle name="Normal 33 7" xfId="6614" xr:uid="{00000000-0005-0000-0000-000028160000}"/>
    <cellStyle name="Normal 33 8" xfId="6615" xr:uid="{00000000-0005-0000-0000-000029160000}"/>
    <cellStyle name="Normal 34" xfId="1186" xr:uid="{00000000-0005-0000-0000-00002A160000}"/>
    <cellStyle name="Normal 34 2" xfId="1187" xr:uid="{00000000-0005-0000-0000-00002B160000}"/>
    <cellStyle name="Normal 34 2 2" xfId="1188" xr:uid="{00000000-0005-0000-0000-00002C160000}"/>
    <cellStyle name="Normal 34 2 2 2" xfId="1189" xr:uid="{00000000-0005-0000-0000-00002D160000}"/>
    <cellStyle name="Normal 34 2 2 2 2" xfId="1190" xr:uid="{00000000-0005-0000-0000-00002E160000}"/>
    <cellStyle name="Normal 34 2 2 2 2 2" xfId="6616" xr:uid="{00000000-0005-0000-0000-00002F160000}"/>
    <cellStyle name="Normal 34 2 2 2 2 2 2" xfId="6617" xr:uid="{00000000-0005-0000-0000-000030160000}"/>
    <cellStyle name="Normal 34 2 2 2 2 3" xfId="6618" xr:uid="{00000000-0005-0000-0000-000031160000}"/>
    <cellStyle name="Normal 34 2 2 2 2 4" xfId="6619" xr:uid="{00000000-0005-0000-0000-000032160000}"/>
    <cellStyle name="Normal 34 2 2 2 3" xfId="6620" xr:uid="{00000000-0005-0000-0000-000033160000}"/>
    <cellStyle name="Normal 34 2 2 2 3 2" xfId="6621" xr:uid="{00000000-0005-0000-0000-000034160000}"/>
    <cellStyle name="Normal 34 2 2 2 4" xfId="6622" xr:uid="{00000000-0005-0000-0000-000035160000}"/>
    <cellStyle name="Normal 34 2 2 2 5" xfId="6623" xr:uid="{00000000-0005-0000-0000-000036160000}"/>
    <cellStyle name="Normal 34 2 2 3" xfId="1191" xr:uid="{00000000-0005-0000-0000-000037160000}"/>
    <cellStyle name="Normal 34 2 2 3 2" xfId="6624" xr:uid="{00000000-0005-0000-0000-000038160000}"/>
    <cellStyle name="Normal 34 2 2 3 2 2" xfId="6625" xr:uid="{00000000-0005-0000-0000-000039160000}"/>
    <cellStyle name="Normal 34 2 2 3 3" xfId="6626" xr:uid="{00000000-0005-0000-0000-00003A160000}"/>
    <cellStyle name="Normal 34 2 2 3 4" xfId="6627" xr:uid="{00000000-0005-0000-0000-00003B160000}"/>
    <cellStyle name="Normal 34 2 2 4" xfId="6628" xr:uid="{00000000-0005-0000-0000-00003C160000}"/>
    <cellStyle name="Normal 34 2 2 4 2" xfId="6629" xr:uid="{00000000-0005-0000-0000-00003D160000}"/>
    <cellStyle name="Normal 34 2 2 5" xfId="6630" xr:uid="{00000000-0005-0000-0000-00003E160000}"/>
    <cellStyle name="Normal 34 2 2 6" xfId="6631" xr:uid="{00000000-0005-0000-0000-00003F160000}"/>
    <cellStyle name="Normal 34 2 3" xfId="1192" xr:uid="{00000000-0005-0000-0000-000040160000}"/>
    <cellStyle name="Normal 34 2 3 2" xfId="1193" xr:uid="{00000000-0005-0000-0000-000041160000}"/>
    <cellStyle name="Normal 34 2 3 2 2" xfId="6632" xr:uid="{00000000-0005-0000-0000-000042160000}"/>
    <cellStyle name="Normal 34 2 3 2 2 2" xfId="6633" xr:uid="{00000000-0005-0000-0000-000043160000}"/>
    <cellStyle name="Normal 34 2 3 2 3" xfId="6634" xr:uid="{00000000-0005-0000-0000-000044160000}"/>
    <cellStyle name="Normal 34 2 3 2 4" xfId="6635" xr:uid="{00000000-0005-0000-0000-000045160000}"/>
    <cellStyle name="Normal 34 2 3 3" xfId="6636" xr:uid="{00000000-0005-0000-0000-000046160000}"/>
    <cellStyle name="Normal 34 2 3 3 2" xfId="6637" xr:uid="{00000000-0005-0000-0000-000047160000}"/>
    <cellStyle name="Normal 34 2 3 4" xfId="6638" xr:uid="{00000000-0005-0000-0000-000048160000}"/>
    <cellStyle name="Normal 34 2 3 5" xfId="6639" xr:uid="{00000000-0005-0000-0000-000049160000}"/>
    <cellStyle name="Normal 34 2 4" xfId="1194" xr:uid="{00000000-0005-0000-0000-00004A160000}"/>
    <cellStyle name="Normal 34 2 4 2" xfId="6640" xr:uid="{00000000-0005-0000-0000-00004B160000}"/>
    <cellStyle name="Normal 34 2 4 2 2" xfId="6641" xr:uid="{00000000-0005-0000-0000-00004C160000}"/>
    <cellStyle name="Normal 34 2 4 3" xfId="6642" xr:uid="{00000000-0005-0000-0000-00004D160000}"/>
    <cellStyle name="Normal 34 2 4 4" xfId="6643" xr:uid="{00000000-0005-0000-0000-00004E160000}"/>
    <cellStyle name="Normal 34 2 5" xfId="6644" xr:uid="{00000000-0005-0000-0000-00004F160000}"/>
    <cellStyle name="Normal 34 2 5 2" xfId="6645" xr:uid="{00000000-0005-0000-0000-000050160000}"/>
    <cellStyle name="Normal 34 2 6" xfId="6646" xr:uid="{00000000-0005-0000-0000-000051160000}"/>
    <cellStyle name="Normal 34 2 7" xfId="6647" xr:uid="{00000000-0005-0000-0000-000052160000}"/>
    <cellStyle name="Normal 34 3" xfId="1195" xr:uid="{00000000-0005-0000-0000-000053160000}"/>
    <cellStyle name="Normal 34 3 2" xfId="1196" xr:uid="{00000000-0005-0000-0000-000054160000}"/>
    <cellStyle name="Normal 34 3 2 2" xfId="1197" xr:uid="{00000000-0005-0000-0000-000055160000}"/>
    <cellStyle name="Normal 34 3 2 2 2" xfId="6648" xr:uid="{00000000-0005-0000-0000-000056160000}"/>
    <cellStyle name="Normal 34 3 2 2 2 2" xfId="6649" xr:uid="{00000000-0005-0000-0000-000057160000}"/>
    <cellStyle name="Normal 34 3 2 2 3" xfId="6650" xr:uid="{00000000-0005-0000-0000-000058160000}"/>
    <cellStyle name="Normal 34 3 2 2 4" xfId="6651" xr:uid="{00000000-0005-0000-0000-000059160000}"/>
    <cellStyle name="Normal 34 3 2 3" xfId="6652" xr:uid="{00000000-0005-0000-0000-00005A160000}"/>
    <cellStyle name="Normal 34 3 2 3 2" xfId="6653" xr:uid="{00000000-0005-0000-0000-00005B160000}"/>
    <cellStyle name="Normal 34 3 2 4" xfId="6654" xr:uid="{00000000-0005-0000-0000-00005C160000}"/>
    <cellStyle name="Normal 34 3 2 5" xfId="6655" xr:uid="{00000000-0005-0000-0000-00005D160000}"/>
    <cellStyle name="Normal 34 3 3" xfId="1198" xr:uid="{00000000-0005-0000-0000-00005E160000}"/>
    <cellStyle name="Normal 34 3 3 2" xfId="6656" xr:uid="{00000000-0005-0000-0000-00005F160000}"/>
    <cellStyle name="Normal 34 3 3 2 2" xfId="6657" xr:uid="{00000000-0005-0000-0000-000060160000}"/>
    <cellStyle name="Normal 34 3 3 3" xfId="6658" xr:uid="{00000000-0005-0000-0000-000061160000}"/>
    <cellStyle name="Normal 34 3 3 4" xfId="6659" xr:uid="{00000000-0005-0000-0000-000062160000}"/>
    <cellStyle name="Normal 34 3 4" xfId="6660" xr:uid="{00000000-0005-0000-0000-000063160000}"/>
    <cellStyle name="Normal 34 3 4 2" xfId="6661" xr:uid="{00000000-0005-0000-0000-000064160000}"/>
    <cellStyle name="Normal 34 3 5" xfId="6662" xr:uid="{00000000-0005-0000-0000-000065160000}"/>
    <cellStyle name="Normal 34 3 6" xfId="6663" xr:uid="{00000000-0005-0000-0000-000066160000}"/>
    <cellStyle name="Normal 34 4" xfId="1199" xr:uid="{00000000-0005-0000-0000-000067160000}"/>
    <cellStyle name="Normal 34 4 2" xfId="1200" xr:uid="{00000000-0005-0000-0000-000068160000}"/>
    <cellStyle name="Normal 34 4 2 2" xfId="6664" xr:uid="{00000000-0005-0000-0000-000069160000}"/>
    <cellStyle name="Normal 34 4 2 2 2" xfId="6665" xr:uid="{00000000-0005-0000-0000-00006A160000}"/>
    <cellStyle name="Normal 34 4 2 3" xfId="6666" xr:uid="{00000000-0005-0000-0000-00006B160000}"/>
    <cellStyle name="Normal 34 4 2 4" xfId="6667" xr:uid="{00000000-0005-0000-0000-00006C160000}"/>
    <cellStyle name="Normal 34 4 3" xfId="6668" xr:uid="{00000000-0005-0000-0000-00006D160000}"/>
    <cellStyle name="Normal 34 4 3 2" xfId="6669" xr:uid="{00000000-0005-0000-0000-00006E160000}"/>
    <cellStyle name="Normal 34 4 4" xfId="6670" xr:uid="{00000000-0005-0000-0000-00006F160000}"/>
    <cellStyle name="Normal 34 4 5" xfId="6671" xr:uid="{00000000-0005-0000-0000-000070160000}"/>
    <cellStyle name="Normal 34 5" xfId="1201" xr:uid="{00000000-0005-0000-0000-000071160000}"/>
    <cellStyle name="Normal 34 5 2" xfId="6672" xr:uid="{00000000-0005-0000-0000-000072160000}"/>
    <cellStyle name="Normal 34 5 2 2" xfId="6673" xr:uid="{00000000-0005-0000-0000-000073160000}"/>
    <cellStyle name="Normal 34 5 3" xfId="6674" xr:uid="{00000000-0005-0000-0000-000074160000}"/>
    <cellStyle name="Normal 34 5 4" xfId="6675" xr:uid="{00000000-0005-0000-0000-000075160000}"/>
    <cellStyle name="Normal 34 6" xfId="6676" xr:uid="{00000000-0005-0000-0000-000076160000}"/>
    <cellStyle name="Normal 34 6 2" xfId="6677" xr:uid="{00000000-0005-0000-0000-000077160000}"/>
    <cellStyle name="Normal 34 7" xfId="6678" xr:uid="{00000000-0005-0000-0000-000078160000}"/>
    <cellStyle name="Normal 34 8" xfId="6679" xr:uid="{00000000-0005-0000-0000-000079160000}"/>
    <cellStyle name="Normal 35" xfId="1202" xr:uid="{00000000-0005-0000-0000-00007A160000}"/>
    <cellStyle name="Normal 35 2" xfId="1203" xr:uid="{00000000-0005-0000-0000-00007B160000}"/>
    <cellStyle name="Normal 35 2 2" xfId="1204" xr:uid="{00000000-0005-0000-0000-00007C160000}"/>
    <cellStyle name="Normal 35 2 2 2" xfId="1205" xr:uid="{00000000-0005-0000-0000-00007D160000}"/>
    <cellStyle name="Normal 35 2 2 2 2" xfId="1206" xr:uid="{00000000-0005-0000-0000-00007E160000}"/>
    <cellStyle name="Normal 35 2 2 2 2 2" xfId="6680" xr:uid="{00000000-0005-0000-0000-00007F160000}"/>
    <cellStyle name="Normal 35 2 2 2 2 2 2" xfId="6681" xr:uid="{00000000-0005-0000-0000-000080160000}"/>
    <cellStyle name="Normal 35 2 2 2 2 3" xfId="6682" xr:uid="{00000000-0005-0000-0000-000081160000}"/>
    <cellStyle name="Normal 35 2 2 2 2 4" xfId="6683" xr:uid="{00000000-0005-0000-0000-000082160000}"/>
    <cellStyle name="Normal 35 2 2 2 3" xfId="6684" xr:uid="{00000000-0005-0000-0000-000083160000}"/>
    <cellStyle name="Normal 35 2 2 2 3 2" xfId="6685" xr:uid="{00000000-0005-0000-0000-000084160000}"/>
    <cellStyle name="Normal 35 2 2 2 4" xfId="6686" xr:uid="{00000000-0005-0000-0000-000085160000}"/>
    <cellStyle name="Normal 35 2 2 2 5" xfId="6687" xr:uid="{00000000-0005-0000-0000-000086160000}"/>
    <cellStyle name="Normal 35 2 2 3" xfId="1207" xr:uid="{00000000-0005-0000-0000-000087160000}"/>
    <cellStyle name="Normal 35 2 2 3 2" xfId="6688" xr:uid="{00000000-0005-0000-0000-000088160000}"/>
    <cellStyle name="Normal 35 2 2 3 2 2" xfId="6689" xr:uid="{00000000-0005-0000-0000-000089160000}"/>
    <cellStyle name="Normal 35 2 2 3 3" xfId="6690" xr:uid="{00000000-0005-0000-0000-00008A160000}"/>
    <cellStyle name="Normal 35 2 2 3 4" xfId="6691" xr:uid="{00000000-0005-0000-0000-00008B160000}"/>
    <cellStyle name="Normal 35 2 2 4" xfId="6692" xr:uid="{00000000-0005-0000-0000-00008C160000}"/>
    <cellStyle name="Normal 35 2 2 4 2" xfId="6693" xr:uid="{00000000-0005-0000-0000-00008D160000}"/>
    <cellStyle name="Normal 35 2 2 5" xfId="6694" xr:uid="{00000000-0005-0000-0000-00008E160000}"/>
    <cellStyle name="Normal 35 2 2 6" xfId="6695" xr:uid="{00000000-0005-0000-0000-00008F160000}"/>
    <cellStyle name="Normal 35 2 3" xfId="1208" xr:uid="{00000000-0005-0000-0000-000090160000}"/>
    <cellStyle name="Normal 35 2 3 2" xfId="1209" xr:uid="{00000000-0005-0000-0000-000091160000}"/>
    <cellStyle name="Normal 35 2 3 2 2" xfId="6696" xr:uid="{00000000-0005-0000-0000-000092160000}"/>
    <cellStyle name="Normal 35 2 3 2 2 2" xfId="6697" xr:uid="{00000000-0005-0000-0000-000093160000}"/>
    <cellStyle name="Normal 35 2 3 2 3" xfId="6698" xr:uid="{00000000-0005-0000-0000-000094160000}"/>
    <cellStyle name="Normal 35 2 3 2 4" xfId="6699" xr:uid="{00000000-0005-0000-0000-000095160000}"/>
    <cellStyle name="Normal 35 2 3 3" xfId="6700" xr:uid="{00000000-0005-0000-0000-000096160000}"/>
    <cellStyle name="Normal 35 2 3 3 2" xfId="6701" xr:uid="{00000000-0005-0000-0000-000097160000}"/>
    <cellStyle name="Normal 35 2 3 4" xfId="6702" xr:uid="{00000000-0005-0000-0000-000098160000}"/>
    <cellStyle name="Normal 35 2 3 5" xfId="6703" xr:uid="{00000000-0005-0000-0000-000099160000}"/>
    <cellStyle name="Normal 35 2 4" xfId="1210" xr:uid="{00000000-0005-0000-0000-00009A160000}"/>
    <cellStyle name="Normal 35 2 4 2" xfId="6704" xr:uid="{00000000-0005-0000-0000-00009B160000}"/>
    <cellStyle name="Normal 35 2 4 2 2" xfId="6705" xr:uid="{00000000-0005-0000-0000-00009C160000}"/>
    <cellStyle name="Normal 35 2 4 3" xfId="6706" xr:uid="{00000000-0005-0000-0000-00009D160000}"/>
    <cellStyle name="Normal 35 2 4 4" xfId="6707" xr:uid="{00000000-0005-0000-0000-00009E160000}"/>
    <cellStyle name="Normal 35 2 5" xfId="6708" xr:uid="{00000000-0005-0000-0000-00009F160000}"/>
    <cellStyle name="Normal 35 2 5 2" xfId="6709" xr:uid="{00000000-0005-0000-0000-0000A0160000}"/>
    <cellStyle name="Normal 35 2 6" xfId="6710" xr:uid="{00000000-0005-0000-0000-0000A1160000}"/>
    <cellStyle name="Normal 35 2 7" xfId="6711" xr:uid="{00000000-0005-0000-0000-0000A2160000}"/>
    <cellStyle name="Normal 35 3" xfId="1211" xr:uid="{00000000-0005-0000-0000-0000A3160000}"/>
    <cellStyle name="Normal 35 3 2" xfId="1212" xr:uid="{00000000-0005-0000-0000-0000A4160000}"/>
    <cellStyle name="Normal 35 3 2 2" xfId="1213" xr:uid="{00000000-0005-0000-0000-0000A5160000}"/>
    <cellStyle name="Normal 35 3 2 2 2" xfId="6712" xr:uid="{00000000-0005-0000-0000-0000A6160000}"/>
    <cellStyle name="Normal 35 3 2 2 2 2" xfId="6713" xr:uid="{00000000-0005-0000-0000-0000A7160000}"/>
    <cellStyle name="Normal 35 3 2 2 3" xfId="6714" xr:uid="{00000000-0005-0000-0000-0000A8160000}"/>
    <cellStyle name="Normal 35 3 2 2 4" xfId="6715" xr:uid="{00000000-0005-0000-0000-0000A9160000}"/>
    <cellStyle name="Normal 35 3 2 3" xfId="6716" xr:uid="{00000000-0005-0000-0000-0000AA160000}"/>
    <cellStyle name="Normal 35 3 2 3 2" xfId="6717" xr:uid="{00000000-0005-0000-0000-0000AB160000}"/>
    <cellStyle name="Normal 35 3 2 4" xfId="6718" xr:uid="{00000000-0005-0000-0000-0000AC160000}"/>
    <cellStyle name="Normal 35 3 2 5" xfId="6719" xr:uid="{00000000-0005-0000-0000-0000AD160000}"/>
    <cellStyle name="Normal 35 3 3" xfId="1214" xr:uid="{00000000-0005-0000-0000-0000AE160000}"/>
    <cellStyle name="Normal 35 3 3 2" xfId="6720" xr:uid="{00000000-0005-0000-0000-0000AF160000}"/>
    <cellStyle name="Normal 35 3 3 2 2" xfId="6721" xr:uid="{00000000-0005-0000-0000-0000B0160000}"/>
    <cellStyle name="Normal 35 3 3 3" xfId="6722" xr:uid="{00000000-0005-0000-0000-0000B1160000}"/>
    <cellStyle name="Normal 35 3 3 4" xfId="6723" xr:uid="{00000000-0005-0000-0000-0000B2160000}"/>
    <cellStyle name="Normal 35 3 4" xfId="6724" xr:uid="{00000000-0005-0000-0000-0000B3160000}"/>
    <cellStyle name="Normal 35 3 4 2" xfId="6725" xr:uid="{00000000-0005-0000-0000-0000B4160000}"/>
    <cellStyle name="Normal 35 3 5" xfId="6726" xr:uid="{00000000-0005-0000-0000-0000B5160000}"/>
    <cellStyle name="Normal 35 3 6" xfId="6727" xr:uid="{00000000-0005-0000-0000-0000B6160000}"/>
    <cellStyle name="Normal 35 4" xfId="1215" xr:uid="{00000000-0005-0000-0000-0000B7160000}"/>
    <cellStyle name="Normal 35 4 2" xfId="1216" xr:uid="{00000000-0005-0000-0000-0000B8160000}"/>
    <cellStyle name="Normal 35 4 2 2" xfId="6728" xr:uid="{00000000-0005-0000-0000-0000B9160000}"/>
    <cellStyle name="Normal 35 4 2 2 2" xfId="6729" xr:uid="{00000000-0005-0000-0000-0000BA160000}"/>
    <cellStyle name="Normal 35 4 2 3" xfId="6730" xr:uid="{00000000-0005-0000-0000-0000BB160000}"/>
    <cellStyle name="Normal 35 4 2 4" xfId="6731" xr:uid="{00000000-0005-0000-0000-0000BC160000}"/>
    <cellStyle name="Normal 35 4 3" xfId="6732" xr:uid="{00000000-0005-0000-0000-0000BD160000}"/>
    <cellStyle name="Normal 35 4 3 2" xfId="6733" xr:uid="{00000000-0005-0000-0000-0000BE160000}"/>
    <cellStyle name="Normal 35 4 4" xfId="6734" xr:uid="{00000000-0005-0000-0000-0000BF160000}"/>
    <cellStyle name="Normal 35 4 5" xfId="6735" xr:uid="{00000000-0005-0000-0000-0000C0160000}"/>
    <cellStyle name="Normal 35 5" xfId="1217" xr:uid="{00000000-0005-0000-0000-0000C1160000}"/>
    <cellStyle name="Normal 35 5 2" xfId="6736" xr:uid="{00000000-0005-0000-0000-0000C2160000}"/>
    <cellStyle name="Normal 35 5 2 2" xfId="6737" xr:uid="{00000000-0005-0000-0000-0000C3160000}"/>
    <cellStyle name="Normal 35 5 3" xfId="6738" xr:uid="{00000000-0005-0000-0000-0000C4160000}"/>
    <cellStyle name="Normal 35 5 4" xfId="6739" xr:uid="{00000000-0005-0000-0000-0000C5160000}"/>
    <cellStyle name="Normal 35 6" xfId="6740" xr:uid="{00000000-0005-0000-0000-0000C6160000}"/>
    <cellStyle name="Normal 35 6 2" xfId="6741" xr:uid="{00000000-0005-0000-0000-0000C7160000}"/>
    <cellStyle name="Normal 35 7" xfId="6742" xr:uid="{00000000-0005-0000-0000-0000C8160000}"/>
    <cellStyle name="Normal 35 8" xfId="6743" xr:uid="{00000000-0005-0000-0000-0000C9160000}"/>
    <cellStyle name="Normal 36" xfId="1218" xr:uid="{00000000-0005-0000-0000-0000CA160000}"/>
    <cellStyle name="Normal 36 2" xfId="1219" xr:uid="{00000000-0005-0000-0000-0000CB160000}"/>
    <cellStyle name="Normal 36 2 2" xfId="1220" xr:uid="{00000000-0005-0000-0000-0000CC160000}"/>
    <cellStyle name="Normal 36 2 2 2" xfId="1221" xr:uid="{00000000-0005-0000-0000-0000CD160000}"/>
    <cellStyle name="Normal 36 2 2 2 2" xfId="1222" xr:uid="{00000000-0005-0000-0000-0000CE160000}"/>
    <cellStyle name="Normal 36 2 2 2 2 2" xfId="6744" xr:uid="{00000000-0005-0000-0000-0000CF160000}"/>
    <cellStyle name="Normal 36 2 2 2 2 2 2" xfId="6745" xr:uid="{00000000-0005-0000-0000-0000D0160000}"/>
    <cellStyle name="Normal 36 2 2 2 2 3" xfId="6746" xr:uid="{00000000-0005-0000-0000-0000D1160000}"/>
    <cellStyle name="Normal 36 2 2 2 2 4" xfId="6747" xr:uid="{00000000-0005-0000-0000-0000D2160000}"/>
    <cellStyle name="Normal 36 2 2 2 3" xfId="6748" xr:uid="{00000000-0005-0000-0000-0000D3160000}"/>
    <cellStyle name="Normal 36 2 2 2 3 2" xfId="6749" xr:uid="{00000000-0005-0000-0000-0000D4160000}"/>
    <cellStyle name="Normal 36 2 2 2 4" xfId="6750" xr:uid="{00000000-0005-0000-0000-0000D5160000}"/>
    <cellStyle name="Normal 36 2 2 2 5" xfId="6751" xr:uid="{00000000-0005-0000-0000-0000D6160000}"/>
    <cellStyle name="Normal 36 2 2 3" xfId="1223" xr:uid="{00000000-0005-0000-0000-0000D7160000}"/>
    <cellStyle name="Normal 36 2 2 3 2" xfId="6752" xr:uid="{00000000-0005-0000-0000-0000D8160000}"/>
    <cellStyle name="Normal 36 2 2 3 2 2" xfId="6753" xr:uid="{00000000-0005-0000-0000-0000D9160000}"/>
    <cellStyle name="Normal 36 2 2 3 3" xfId="6754" xr:uid="{00000000-0005-0000-0000-0000DA160000}"/>
    <cellStyle name="Normal 36 2 2 3 4" xfId="6755" xr:uid="{00000000-0005-0000-0000-0000DB160000}"/>
    <cellStyle name="Normal 36 2 2 4" xfId="6756" xr:uid="{00000000-0005-0000-0000-0000DC160000}"/>
    <cellStyle name="Normal 36 2 2 4 2" xfId="6757" xr:uid="{00000000-0005-0000-0000-0000DD160000}"/>
    <cellStyle name="Normal 36 2 2 5" xfId="6758" xr:uid="{00000000-0005-0000-0000-0000DE160000}"/>
    <cellStyle name="Normal 36 2 2 6" xfId="6759" xr:uid="{00000000-0005-0000-0000-0000DF160000}"/>
    <cellStyle name="Normal 36 2 3" xfId="1224" xr:uid="{00000000-0005-0000-0000-0000E0160000}"/>
    <cellStyle name="Normal 36 2 3 2" xfId="1225" xr:uid="{00000000-0005-0000-0000-0000E1160000}"/>
    <cellStyle name="Normal 36 2 3 2 2" xfId="6760" xr:uid="{00000000-0005-0000-0000-0000E2160000}"/>
    <cellStyle name="Normal 36 2 3 2 2 2" xfId="6761" xr:uid="{00000000-0005-0000-0000-0000E3160000}"/>
    <cellStyle name="Normal 36 2 3 2 3" xfId="6762" xr:uid="{00000000-0005-0000-0000-0000E4160000}"/>
    <cellStyle name="Normal 36 2 3 2 4" xfId="6763" xr:uid="{00000000-0005-0000-0000-0000E5160000}"/>
    <cellStyle name="Normal 36 2 3 3" xfId="6764" xr:uid="{00000000-0005-0000-0000-0000E6160000}"/>
    <cellStyle name="Normal 36 2 3 3 2" xfId="6765" xr:uid="{00000000-0005-0000-0000-0000E7160000}"/>
    <cellStyle name="Normal 36 2 3 4" xfId="6766" xr:uid="{00000000-0005-0000-0000-0000E8160000}"/>
    <cellStyle name="Normal 36 2 3 5" xfId="6767" xr:uid="{00000000-0005-0000-0000-0000E9160000}"/>
    <cellStyle name="Normal 36 2 4" xfId="1226" xr:uid="{00000000-0005-0000-0000-0000EA160000}"/>
    <cellStyle name="Normal 36 2 4 2" xfId="6768" xr:uid="{00000000-0005-0000-0000-0000EB160000}"/>
    <cellStyle name="Normal 36 2 4 2 2" xfId="6769" xr:uid="{00000000-0005-0000-0000-0000EC160000}"/>
    <cellStyle name="Normal 36 2 4 3" xfId="6770" xr:uid="{00000000-0005-0000-0000-0000ED160000}"/>
    <cellStyle name="Normal 36 2 4 4" xfId="6771" xr:uid="{00000000-0005-0000-0000-0000EE160000}"/>
    <cellStyle name="Normal 36 2 5" xfId="6772" xr:uid="{00000000-0005-0000-0000-0000EF160000}"/>
    <cellStyle name="Normal 36 2 5 2" xfId="6773" xr:uid="{00000000-0005-0000-0000-0000F0160000}"/>
    <cellStyle name="Normal 36 2 6" xfId="6774" xr:uid="{00000000-0005-0000-0000-0000F1160000}"/>
    <cellStyle name="Normal 36 2 7" xfId="6775" xr:uid="{00000000-0005-0000-0000-0000F2160000}"/>
    <cellStyle name="Normal 36 3" xfId="1227" xr:uid="{00000000-0005-0000-0000-0000F3160000}"/>
    <cellStyle name="Normal 36 3 2" xfId="1228" xr:uid="{00000000-0005-0000-0000-0000F4160000}"/>
    <cellStyle name="Normal 36 3 2 2" xfId="1229" xr:uid="{00000000-0005-0000-0000-0000F5160000}"/>
    <cellStyle name="Normal 36 3 2 2 2" xfId="6776" xr:uid="{00000000-0005-0000-0000-0000F6160000}"/>
    <cellStyle name="Normal 36 3 2 2 2 2" xfId="6777" xr:uid="{00000000-0005-0000-0000-0000F7160000}"/>
    <cellStyle name="Normal 36 3 2 2 3" xfId="6778" xr:uid="{00000000-0005-0000-0000-0000F8160000}"/>
    <cellStyle name="Normal 36 3 2 2 4" xfId="6779" xr:uid="{00000000-0005-0000-0000-0000F9160000}"/>
    <cellStyle name="Normal 36 3 2 3" xfId="6780" xr:uid="{00000000-0005-0000-0000-0000FA160000}"/>
    <cellStyle name="Normal 36 3 2 3 2" xfId="6781" xr:uid="{00000000-0005-0000-0000-0000FB160000}"/>
    <cellStyle name="Normal 36 3 2 4" xfId="6782" xr:uid="{00000000-0005-0000-0000-0000FC160000}"/>
    <cellStyle name="Normal 36 3 2 5" xfId="6783" xr:uid="{00000000-0005-0000-0000-0000FD160000}"/>
    <cellStyle name="Normal 36 3 3" xfId="1230" xr:uid="{00000000-0005-0000-0000-0000FE160000}"/>
    <cellStyle name="Normal 36 3 3 2" xfId="6784" xr:uid="{00000000-0005-0000-0000-0000FF160000}"/>
    <cellStyle name="Normal 36 3 3 2 2" xfId="6785" xr:uid="{00000000-0005-0000-0000-000000170000}"/>
    <cellStyle name="Normal 36 3 3 3" xfId="6786" xr:uid="{00000000-0005-0000-0000-000001170000}"/>
    <cellStyle name="Normal 36 3 3 4" xfId="6787" xr:uid="{00000000-0005-0000-0000-000002170000}"/>
    <cellStyle name="Normal 36 3 4" xfId="6788" xr:uid="{00000000-0005-0000-0000-000003170000}"/>
    <cellStyle name="Normal 36 3 4 2" xfId="6789" xr:uid="{00000000-0005-0000-0000-000004170000}"/>
    <cellStyle name="Normal 36 3 5" xfId="6790" xr:uid="{00000000-0005-0000-0000-000005170000}"/>
    <cellStyle name="Normal 36 3 6" xfId="6791" xr:uid="{00000000-0005-0000-0000-000006170000}"/>
    <cellStyle name="Normal 36 4" xfId="1231" xr:uid="{00000000-0005-0000-0000-000007170000}"/>
    <cellStyle name="Normal 36 4 2" xfId="1232" xr:uid="{00000000-0005-0000-0000-000008170000}"/>
    <cellStyle name="Normal 36 4 2 2" xfId="6792" xr:uid="{00000000-0005-0000-0000-000009170000}"/>
    <cellStyle name="Normal 36 4 2 2 2" xfId="6793" xr:uid="{00000000-0005-0000-0000-00000A170000}"/>
    <cellStyle name="Normal 36 4 2 3" xfId="6794" xr:uid="{00000000-0005-0000-0000-00000B170000}"/>
    <cellStyle name="Normal 36 4 2 4" xfId="6795" xr:uid="{00000000-0005-0000-0000-00000C170000}"/>
    <cellStyle name="Normal 36 4 3" xfId="6796" xr:uid="{00000000-0005-0000-0000-00000D170000}"/>
    <cellStyle name="Normal 36 4 3 2" xfId="6797" xr:uid="{00000000-0005-0000-0000-00000E170000}"/>
    <cellStyle name="Normal 36 4 4" xfId="6798" xr:uid="{00000000-0005-0000-0000-00000F170000}"/>
    <cellStyle name="Normal 36 4 5" xfId="6799" xr:uid="{00000000-0005-0000-0000-000010170000}"/>
    <cellStyle name="Normal 36 5" xfId="1233" xr:uid="{00000000-0005-0000-0000-000011170000}"/>
    <cellStyle name="Normal 36 5 2" xfId="6800" xr:uid="{00000000-0005-0000-0000-000012170000}"/>
    <cellStyle name="Normal 36 5 2 2" xfId="6801" xr:uid="{00000000-0005-0000-0000-000013170000}"/>
    <cellStyle name="Normal 36 5 3" xfId="6802" xr:uid="{00000000-0005-0000-0000-000014170000}"/>
    <cellStyle name="Normal 36 5 4" xfId="6803" xr:uid="{00000000-0005-0000-0000-000015170000}"/>
    <cellStyle name="Normal 36 6" xfId="6804" xr:uid="{00000000-0005-0000-0000-000016170000}"/>
    <cellStyle name="Normal 36 6 2" xfId="6805" xr:uid="{00000000-0005-0000-0000-000017170000}"/>
    <cellStyle name="Normal 36 7" xfId="6806" xr:uid="{00000000-0005-0000-0000-000018170000}"/>
    <cellStyle name="Normal 36 8" xfId="6807" xr:uid="{00000000-0005-0000-0000-000019170000}"/>
    <cellStyle name="Normal 37" xfId="1234" xr:uid="{00000000-0005-0000-0000-00001A170000}"/>
    <cellStyle name="Normal 37 2" xfId="1235" xr:uid="{00000000-0005-0000-0000-00001B170000}"/>
    <cellStyle name="Normal 37 2 2" xfId="1236" xr:uid="{00000000-0005-0000-0000-00001C170000}"/>
    <cellStyle name="Normal 37 2 2 2" xfId="1237" xr:uid="{00000000-0005-0000-0000-00001D170000}"/>
    <cellStyle name="Normal 37 2 2 2 2" xfId="6808" xr:uid="{00000000-0005-0000-0000-00001E170000}"/>
    <cellStyle name="Normal 37 2 2 2 2 2" xfId="6809" xr:uid="{00000000-0005-0000-0000-00001F170000}"/>
    <cellStyle name="Normal 37 2 2 2 3" xfId="6810" xr:uid="{00000000-0005-0000-0000-000020170000}"/>
    <cellStyle name="Normal 37 2 2 2 4" xfId="6811" xr:uid="{00000000-0005-0000-0000-000021170000}"/>
    <cellStyle name="Normal 37 2 2 3" xfId="6812" xr:uid="{00000000-0005-0000-0000-000022170000}"/>
    <cellStyle name="Normal 37 2 2 3 2" xfId="6813" xr:uid="{00000000-0005-0000-0000-000023170000}"/>
    <cellStyle name="Normal 37 2 2 4" xfId="6814" xr:uid="{00000000-0005-0000-0000-000024170000}"/>
    <cellStyle name="Normal 37 2 2 5" xfId="6815" xr:uid="{00000000-0005-0000-0000-000025170000}"/>
    <cellStyle name="Normal 37 2 3" xfId="1238" xr:uid="{00000000-0005-0000-0000-000026170000}"/>
    <cellStyle name="Normal 37 2 3 2" xfId="6816" xr:uid="{00000000-0005-0000-0000-000027170000}"/>
    <cellStyle name="Normal 37 2 3 2 2" xfId="6817" xr:uid="{00000000-0005-0000-0000-000028170000}"/>
    <cellStyle name="Normal 37 2 3 3" xfId="6818" xr:uid="{00000000-0005-0000-0000-000029170000}"/>
    <cellStyle name="Normal 37 2 3 4" xfId="6819" xr:uid="{00000000-0005-0000-0000-00002A170000}"/>
    <cellStyle name="Normal 37 2 4" xfId="6820" xr:uid="{00000000-0005-0000-0000-00002B170000}"/>
    <cellStyle name="Normal 37 2 4 2" xfId="6821" xr:uid="{00000000-0005-0000-0000-00002C170000}"/>
    <cellStyle name="Normal 37 2 5" xfId="6822" xr:uid="{00000000-0005-0000-0000-00002D170000}"/>
    <cellStyle name="Normal 37 2 6" xfId="6823" xr:uid="{00000000-0005-0000-0000-00002E170000}"/>
    <cellStyle name="Normal 37 3" xfId="1239" xr:uid="{00000000-0005-0000-0000-00002F170000}"/>
    <cellStyle name="Normal 37 3 2" xfId="1240" xr:uid="{00000000-0005-0000-0000-000030170000}"/>
    <cellStyle name="Normal 37 3 2 2" xfId="6824" xr:uid="{00000000-0005-0000-0000-000031170000}"/>
    <cellStyle name="Normal 37 3 2 2 2" xfId="6825" xr:uid="{00000000-0005-0000-0000-000032170000}"/>
    <cellStyle name="Normal 37 3 2 3" xfId="6826" xr:uid="{00000000-0005-0000-0000-000033170000}"/>
    <cellStyle name="Normal 37 3 2 4" xfId="6827" xr:uid="{00000000-0005-0000-0000-000034170000}"/>
    <cellStyle name="Normal 37 3 3" xfId="6828" xr:uid="{00000000-0005-0000-0000-000035170000}"/>
    <cellStyle name="Normal 37 3 3 2" xfId="6829" xr:uid="{00000000-0005-0000-0000-000036170000}"/>
    <cellStyle name="Normal 37 3 4" xfId="6830" xr:uid="{00000000-0005-0000-0000-000037170000}"/>
    <cellStyle name="Normal 37 3 5" xfId="6831" xr:uid="{00000000-0005-0000-0000-000038170000}"/>
    <cellStyle name="Normal 37 4" xfId="1241" xr:uid="{00000000-0005-0000-0000-000039170000}"/>
    <cellStyle name="Normal 37 4 2" xfId="6832" xr:uid="{00000000-0005-0000-0000-00003A170000}"/>
    <cellStyle name="Normal 37 4 2 2" xfId="6833" xr:uid="{00000000-0005-0000-0000-00003B170000}"/>
    <cellStyle name="Normal 37 4 3" xfId="6834" xr:uid="{00000000-0005-0000-0000-00003C170000}"/>
    <cellStyle name="Normal 37 4 4" xfId="6835" xr:uid="{00000000-0005-0000-0000-00003D170000}"/>
    <cellStyle name="Normal 37 5" xfId="6836" xr:uid="{00000000-0005-0000-0000-00003E170000}"/>
    <cellStyle name="Normal 37 5 2" xfId="6837" xr:uid="{00000000-0005-0000-0000-00003F170000}"/>
    <cellStyle name="Normal 37 6" xfId="6838" xr:uid="{00000000-0005-0000-0000-000040170000}"/>
    <cellStyle name="Normal 37 7" xfId="6839" xr:uid="{00000000-0005-0000-0000-000041170000}"/>
    <cellStyle name="Normal 38" xfId="1242" xr:uid="{00000000-0005-0000-0000-000042170000}"/>
    <cellStyle name="Normal 38 2" xfId="1243" xr:uid="{00000000-0005-0000-0000-000043170000}"/>
    <cellStyle name="Normal 38 2 2" xfId="1244" xr:uid="{00000000-0005-0000-0000-000044170000}"/>
    <cellStyle name="Normal 38 2 2 2" xfId="1245" xr:uid="{00000000-0005-0000-0000-000045170000}"/>
    <cellStyle name="Normal 38 2 2 2 2" xfId="6840" xr:uid="{00000000-0005-0000-0000-000046170000}"/>
    <cellStyle name="Normal 38 2 2 2 2 2" xfId="6841" xr:uid="{00000000-0005-0000-0000-000047170000}"/>
    <cellStyle name="Normal 38 2 2 2 3" xfId="6842" xr:uid="{00000000-0005-0000-0000-000048170000}"/>
    <cellStyle name="Normal 38 2 2 2 4" xfId="6843" xr:uid="{00000000-0005-0000-0000-000049170000}"/>
    <cellStyle name="Normal 38 2 2 3" xfId="6844" xr:uid="{00000000-0005-0000-0000-00004A170000}"/>
    <cellStyle name="Normal 38 2 2 3 2" xfId="6845" xr:uid="{00000000-0005-0000-0000-00004B170000}"/>
    <cellStyle name="Normal 38 2 2 4" xfId="6846" xr:uid="{00000000-0005-0000-0000-00004C170000}"/>
    <cellStyle name="Normal 38 2 2 5" xfId="6847" xr:uid="{00000000-0005-0000-0000-00004D170000}"/>
    <cellStyle name="Normal 38 2 3" xfId="1246" xr:uid="{00000000-0005-0000-0000-00004E170000}"/>
    <cellStyle name="Normal 38 2 3 2" xfId="6848" xr:uid="{00000000-0005-0000-0000-00004F170000}"/>
    <cellStyle name="Normal 38 2 3 2 2" xfId="6849" xr:uid="{00000000-0005-0000-0000-000050170000}"/>
    <cellStyle name="Normal 38 2 3 3" xfId="6850" xr:uid="{00000000-0005-0000-0000-000051170000}"/>
    <cellStyle name="Normal 38 2 3 4" xfId="6851" xr:uid="{00000000-0005-0000-0000-000052170000}"/>
    <cellStyle name="Normal 38 2 4" xfId="6852" xr:uid="{00000000-0005-0000-0000-000053170000}"/>
    <cellStyle name="Normal 38 2 4 2" xfId="6853" xr:uid="{00000000-0005-0000-0000-000054170000}"/>
    <cellStyle name="Normal 38 2 5" xfId="6854" xr:uid="{00000000-0005-0000-0000-000055170000}"/>
    <cellStyle name="Normal 38 2 6" xfId="6855" xr:uid="{00000000-0005-0000-0000-000056170000}"/>
    <cellStyle name="Normal 38 3" xfId="1247" xr:uid="{00000000-0005-0000-0000-000057170000}"/>
    <cellStyle name="Normal 38 3 2" xfId="1248" xr:uid="{00000000-0005-0000-0000-000058170000}"/>
    <cellStyle name="Normal 38 3 2 2" xfId="6856" xr:uid="{00000000-0005-0000-0000-000059170000}"/>
    <cellStyle name="Normal 38 3 2 2 2" xfId="6857" xr:uid="{00000000-0005-0000-0000-00005A170000}"/>
    <cellStyle name="Normal 38 3 2 3" xfId="6858" xr:uid="{00000000-0005-0000-0000-00005B170000}"/>
    <cellStyle name="Normal 38 3 2 4" xfId="6859" xr:uid="{00000000-0005-0000-0000-00005C170000}"/>
    <cellStyle name="Normal 38 3 3" xfId="6860" xr:uid="{00000000-0005-0000-0000-00005D170000}"/>
    <cellStyle name="Normal 38 3 3 2" xfId="6861" xr:uid="{00000000-0005-0000-0000-00005E170000}"/>
    <cellStyle name="Normal 38 3 4" xfId="6862" xr:uid="{00000000-0005-0000-0000-00005F170000}"/>
    <cellStyle name="Normal 38 3 5" xfId="6863" xr:uid="{00000000-0005-0000-0000-000060170000}"/>
    <cellStyle name="Normal 38 4" xfId="1249" xr:uid="{00000000-0005-0000-0000-000061170000}"/>
    <cellStyle name="Normal 38 4 2" xfId="6864" xr:uid="{00000000-0005-0000-0000-000062170000}"/>
    <cellStyle name="Normal 38 4 2 2" xfId="6865" xr:uid="{00000000-0005-0000-0000-000063170000}"/>
    <cellStyle name="Normal 38 4 3" xfId="6866" xr:uid="{00000000-0005-0000-0000-000064170000}"/>
    <cellStyle name="Normal 38 4 4" xfId="6867" xr:uid="{00000000-0005-0000-0000-000065170000}"/>
    <cellStyle name="Normal 38 5" xfId="6868" xr:uid="{00000000-0005-0000-0000-000066170000}"/>
    <cellStyle name="Normal 38 5 2" xfId="6869" xr:uid="{00000000-0005-0000-0000-000067170000}"/>
    <cellStyle name="Normal 38 6" xfId="6870" xr:uid="{00000000-0005-0000-0000-000068170000}"/>
    <cellStyle name="Normal 38 7" xfId="6871" xr:uid="{00000000-0005-0000-0000-000069170000}"/>
    <cellStyle name="Normal 39" xfId="1250" xr:uid="{00000000-0005-0000-0000-00006A170000}"/>
    <cellStyle name="Normal 39 2" xfId="1251" xr:uid="{00000000-0005-0000-0000-00006B170000}"/>
    <cellStyle name="Normal 39 2 2" xfId="1252" xr:uid="{00000000-0005-0000-0000-00006C170000}"/>
    <cellStyle name="Normal 39 2 2 2" xfId="1253" xr:uid="{00000000-0005-0000-0000-00006D170000}"/>
    <cellStyle name="Normal 39 2 2 2 2" xfId="6872" xr:uid="{00000000-0005-0000-0000-00006E170000}"/>
    <cellStyle name="Normal 39 2 2 2 2 2" xfId="6873" xr:uid="{00000000-0005-0000-0000-00006F170000}"/>
    <cellStyle name="Normal 39 2 2 2 3" xfId="6874" xr:uid="{00000000-0005-0000-0000-000070170000}"/>
    <cellStyle name="Normal 39 2 2 2 4" xfId="6875" xr:uid="{00000000-0005-0000-0000-000071170000}"/>
    <cellStyle name="Normal 39 2 2 3" xfId="6876" xr:uid="{00000000-0005-0000-0000-000072170000}"/>
    <cellStyle name="Normal 39 2 2 3 2" xfId="6877" xr:uid="{00000000-0005-0000-0000-000073170000}"/>
    <cellStyle name="Normal 39 2 2 4" xfId="6878" xr:uid="{00000000-0005-0000-0000-000074170000}"/>
    <cellStyle name="Normal 39 2 2 5" xfId="6879" xr:uid="{00000000-0005-0000-0000-000075170000}"/>
    <cellStyle name="Normal 39 2 3" xfId="1254" xr:uid="{00000000-0005-0000-0000-000076170000}"/>
    <cellStyle name="Normal 39 2 3 2" xfId="6880" xr:uid="{00000000-0005-0000-0000-000077170000}"/>
    <cellStyle name="Normal 39 2 3 2 2" xfId="6881" xr:uid="{00000000-0005-0000-0000-000078170000}"/>
    <cellStyle name="Normal 39 2 3 3" xfId="6882" xr:uid="{00000000-0005-0000-0000-000079170000}"/>
    <cellStyle name="Normal 39 2 3 4" xfId="6883" xr:uid="{00000000-0005-0000-0000-00007A170000}"/>
    <cellStyle name="Normal 39 2 4" xfId="6884" xr:uid="{00000000-0005-0000-0000-00007B170000}"/>
    <cellStyle name="Normal 39 2 4 2" xfId="6885" xr:uid="{00000000-0005-0000-0000-00007C170000}"/>
    <cellStyle name="Normal 39 2 5" xfId="6886" xr:uid="{00000000-0005-0000-0000-00007D170000}"/>
    <cellStyle name="Normal 39 2 6" xfId="6887" xr:uid="{00000000-0005-0000-0000-00007E170000}"/>
    <cellStyle name="Normal 39 3" xfId="1255" xr:uid="{00000000-0005-0000-0000-00007F170000}"/>
    <cellStyle name="Normal 39 3 2" xfId="1256" xr:uid="{00000000-0005-0000-0000-000080170000}"/>
    <cellStyle name="Normal 39 3 2 2" xfId="6888" xr:uid="{00000000-0005-0000-0000-000081170000}"/>
    <cellStyle name="Normal 39 3 2 2 2" xfId="6889" xr:uid="{00000000-0005-0000-0000-000082170000}"/>
    <cellStyle name="Normal 39 3 2 3" xfId="6890" xr:uid="{00000000-0005-0000-0000-000083170000}"/>
    <cellStyle name="Normal 39 3 2 4" xfId="6891" xr:uid="{00000000-0005-0000-0000-000084170000}"/>
    <cellStyle name="Normal 39 3 3" xfId="6892" xr:uid="{00000000-0005-0000-0000-000085170000}"/>
    <cellStyle name="Normal 39 3 3 2" xfId="6893" xr:uid="{00000000-0005-0000-0000-000086170000}"/>
    <cellStyle name="Normal 39 3 4" xfId="6894" xr:uid="{00000000-0005-0000-0000-000087170000}"/>
    <cellStyle name="Normal 39 3 5" xfId="6895" xr:uid="{00000000-0005-0000-0000-000088170000}"/>
    <cellStyle name="Normal 39 4" xfId="1257" xr:uid="{00000000-0005-0000-0000-000089170000}"/>
    <cellStyle name="Normal 39 4 2" xfId="6896" xr:uid="{00000000-0005-0000-0000-00008A170000}"/>
    <cellStyle name="Normal 39 4 2 2" xfId="6897" xr:uid="{00000000-0005-0000-0000-00008B170000}"/>
    <cellStyle name="Normal 39 4 3" xfId="6898" xr:uid="{00000000-0005-0000-0000-00008C170000}"/>
    <cellStyle name="Normal 39 4 4" xfId="6899" xr:uid="{00000000-0005-0000-0000-00008D170000}"/>
    <cellStyle name="Normal 39 5" xfId="6900" xr:uid="{00000000-0005-0000-0000-00008E170000}"/>
    <cellStyle name="Normal 39 5 2" xfId="6901" xr:uid="{00000000-0005-0000-0000-00008F170000}"/>
    <cellStyle name="Normal 39 6" xfId="6902" xr:uid="{00000000-0005-0000-0000-000090170000}"/>
    <cellStyle name="Normal 39 7" xfId="6903" xr:uid="{00000000-0005-0000-0000-000091170000}"/>
    <cellStyle name="Normal 4" xfId="7" xr:uid="{00000000-0005-0000-0000-000092170000}"/>
    <cellStyle name="Normal 4 10" xfId="2134" xr:uid="{00000000-0005-0000-0000-000093170000}"/>
    <cellStyle name="Normal 4 10 2" xfId="6904" xr:uid="{00000000-0005-0000-0000-000094170000}"/>
    <cellStyle name="Normal 4 10 2 2" xfId="6905" xr:uid="{00000000-0005-0000-0000-000095170000}"/>
    <cellStyle name="Normal 4 10 3" xfId="6906" xr:uid="{00000000-0005-0000-0000-000096170000}"/>
    <cellStyle name="Normal 4 10 4" xfId="6907" xr:uid="{00000000-0005-0000-0000-000097170000}"/>
    <cellStyle name="Normal 4 2" xfId="1259" xr:uid="{00000000-0005-0000-0000-000098170000}"/>
    <cellStyle name="Normal 4 2 2" xfId="1260" xr:uid="{00000000-0005-0000-0000-000099170000}"/>
    <cellStyle name="Normal 4 2 2 2" xfId="1261" xr:uid="{00000000-0005-0000-0000-00009A170000}"/>
    <cellStyle name="Normal 4 2 2 2 2" xfId="1262" xr:uid="{00000000-0005-0000-0000-00009B170000}"/>
    <cellStyle name="Normal 4 2 2 2 2 2" xfId="1263" xr:uid="{00000000-0005-0000-0000-00009C170000}"/>
    <cellStyle name="Normal 4 2 2 2 2 2 2" xfId="1264" xr:uid="{00000000-0005-0000-0000-00009D170000}"/>
    <cellStyle name="Normal 4 2 2 2 2 2 2 2" xfId="6908" xr:uid="{00000000-0005-0000-0000-00009E170000}"/>
    <cellStyle name="Normal 4 2 2 2 2 2 2 2 2" xfId="6909" xr:uid="{00000000-0005-0000-0000-00009F170000}"/>
    <cellStyle name="Normal 4 2 2 2 2 2 2 3" xfId="6910" xr:uid="{00000000-0005-0000-0000-0000A0170000}"/>
    <cellStyle name="Normal 4 2 2 2 2 2 2 4" xfId="6911" xr:uid="{00000000-0005-0000-0000-0000A1170000}"/>
    <cellStyle name="Normal 4 2 2 2 2 2 3" xfId="6912" xr:uid="{00000000-0005-0000-0000-0000A2170000}"/>
    <cellStyle name="Normal 4 2 2 2 2 2 3 2" xfId="6913" xr:uid="{00000000-0005-0000-0000-0000A3170000}"/>
    <cellStyle name="Normal 4 2 2 2 2 2 4" xfId="6914" xr:uid="{00000000-0005-0000-0000-0000A4170000}"/>
    <cellStyle name="Normal 4 2 2 2 2 2 5" xfId="6915" xr:uid="{00000000-0005-0000-0000-0000A5170000}"/>
    <cellStyle name="Normal 4 2 2 2 2 3" xfId="1265" xr:uid="{00000000-0005-0000-0000-0000A6170000}"/>
    <cellStyle name="Normal 4 2 2 2 2 3 2" xfId="6916" xr:uid="{00000000-0005-0000-0000-0000A7170000}"/>
    <cellStyle name="Normal 4 2 2 2 2 3 2 2" xfId="6917" xr:uid="{00000000-0005-0000-0000-0000A8170000}"/>
    <cellStyle name="Normal 4 2 2 2 2 3 3" xfId="6918" xr:uid="{00000000-0005-0000-0000-0000A9170000}"/>
    <cellStyle name="Normal 4 2 2 2 2 3 4" xfId="6919" xr:uid="{00000000-0005-0000-0000-0000AA170000}"/>
    <cellStyle name="Normal 4 2 2 2 2 4" xfId="6920" xr:uid="{00000000-0005-0000-0000-0000AB170000}"/>
    <cellStyle name="Normal 4 2 2 2 2 4 2" xfId="6921" xr:uid="{00000000-0005-0000-0000-0000AC170000}"/>
    <cellStyle name="Normal 4 2 2 2 2 5" xfId="6922" xr:uid="{00000000-0005-0000-0000-0000AD170000}"/>
    <cellStyle name="Normal 4 2 2 2 2 6" xfId="6923" xr:uid="{00000000-0005-0000-0000-0000AE170000}"/>
    <cellStyle name="Normal 4 2 2 2 3" xfId="1266" xr:uid="{00000000-0005-0000-0000-0000AF170000}"/>
    <cellStyle name="Normal 4 2 2 2 3 2" xfId="1267" xr:uid="{00000000-0005-0000-0000-0000B0170000}"/>
    <cellStyle name="Normal 4 2 2 2 3 2 2" xfId="6924" xr:uid="{00000000-0005-0000-0000-0000B1170000}"/>
    <cellStyle name="Normal 4 2 2 2 3 2 2 2" xfId="6925" xr:uid="{00000000-0005-0000-0000-0000B2170000}"/>
    <cellStyle name="Normal 4 2 2 2 3 2 3" xfId="6926" xr:uid="{00000000-0005-0000-0000-0000B3170000}"/>
    <cellStyle name="Normal 4 2 2 2 3 2 4" xfId="6927" xr:uid="{00000000-0005-0000-0000-0000B4170000}"/>
    <cellStyle name="Normal 4 2 2 2 3 3" xfId="6928" xr:uid="{00000000-0005-0000-0000-0000B5170000}"/>
    <cellStyle name="Normal 4 2 2 2 3 3 2" xfId="6929" xr:uid="{00000000-0005-0000-0000-0000B6170000}"/>
    <cellStyle name="Normal 4 2 2 2 3 4" xfId="6930" xr:uid="{00000000-0005-0000-0000-0000B7170000}"/>
    <cellStyle name="Normal 4 2 2 2 3 5" xfId="6931" xr:uid="{00000000-0005-0000-0000-0000B8170000}"/>
    <cellStyle name="Normal 4 2 2 2 4" xfId="1268" xr:uid="{00000000-0005-0000-0000-0000B9170000}"/>
    <cellStyle name="Normal 4 2 2 2 4 2" xfId="6932" xr:uid="{00000000-0005-0000-0000-0000BA170000}"/>
    <cellStyle name="Normal 4 2 2 2 4 2 2" xfId="6933" xr:uid="{00000000-0005-0000-0000-0000BB170000}"/>
    <cellStyle name="Normal 4 2 2 2 4 3" xfId="6934" xr:uid="{00000000-0005-0000-0000-0000BC170000}"/>
    <cellStyle name="Normal 4 2 2 2 4 4" xfId="6935" xr:uid="{00000000-0005-0000-0000-0000BD170000}"/>
    <cellStyle name="Normal 4 2 2 2 5" xfId="6936" xr:uid="{00000000-0005-0000-0000-0000BE170000}"/>
    <cellStyle name="Normal 4 2 2 2 5 2" xfId="6937" xr:uid="{00000000-0005-0000-0000-0000BF170000}"/>
    <cellStyle name="Normal 4 2 2 2 6" xfId="6938" xr:uid="{00000000-0005-0000-0000-0000C0170000}"/>
    <cellStyle name="Normal 4 2 2 2 7" xfId="6939" xr:uid="{00000000-0005-0000-0000-0000C1170000}"/>
    <cellStyle name="Normal 4 2 2 3" xfId="1269" xr:uid="{00000000-0005-0000-0000-0000C2170000}"/>
    <cellStyle name="Normal 4 2 2 3 2" xfId="1270" xr:uid="{00000000-0005-0000-0000-0000C3170000}"/>
    <cellStyle name="Normal 4 2 2 3 2 2" xfId="1271" xr:uid="{00000000-0005-0000-0000-0000C4170000}"/>
    <cellStyle name="Normal 4 2 2 3 2 2 2" xfId="6940" xr:uid="{00000000-0005-0000-0000-0000C5170000}"/>
    <cellStyle name="Normal 4 2 2 3 2 2 2 2" xfId="6941" xr:uid="{00000000-0005-0000-0000-0000C6170000}"/>
    <cellStyle name="Normal 4 2 2 3 2 2 3" xfId="6942" xr:uid="{00000000-0005-0000-0000-0000C7170000}"/>
    <cellStyle name="Normal 4 2 2 3 2 2 4" xfId="6943" xr:uid="{00000000-0005-0000-0000-0000C8170000}"/>
    <cellStyle name="Normal 4 2 2 3 2 3" xfId="6944" xr:uid="{00000000-0005-0000-0000-0000C9170000}"/>
    <cellStyle name="Normal 4 2 2 3 2 3 2" xfId="6945" xr:uid="{00000000-0005-0000-0000-0000CA170000}"/>
    <cellStyle name="Normal 4 2 2 3 2 4" xfId="6946" xr:uid="{00000000-0005-0000-0000-0000CB170000}"/>
    <cellStyle name="Normal 4 2 2 3 2 5" xfId="6947" xr:uid="{00000000-0005-0000-0000-0000CC170000}"/>
    <cellStyle name="Normal 4 2 2 3 3" xfId="1272" xr:uid="{00000000-0005-0000-0000-0000CD170000}"/>
    <cellStyle name="Normal 4 2 2 3 3 2" xfId="6948" xr:uid="{00000000-0005-0000-0000-0000CE170000}"/>
    <cellStyle name="Normal 4 2 2 3 3 2 2" xfId="6949" xr:uid="{00000000-0005-0000-0000-0000CF170000}"/>
    <cellStyle name="Normal 4 2 2 3 3 3" xfId="6950" xr:uid="{00000000-0005-0000-0000-0000D0170000}"/>
    <cellStyle name="Normal 4 2 2 3 3 4" xfId="6951" xr:uid="{00000000-0005-0000-0000-0000D1170000}"/>
    <cellStyle name="Normal 4 2 2 3 4" xfId="6952" xr:uid="{00000000-0005-0000-0000-0000D2170000}"/>
    <cellStyle name="Normal 4 2 2 3 4 2" xfId="6953" xr:uid="{00000000-0005-0000-0000-0000D3170000}"/>
    <cellStyle name="Normal 4 2 2 3 5" xfId="6954" xr:uid="{00000000-0005-0000-0000-0000D4170000}"/>
    <cellStyle name="Normal 4 2 2 3 6" xfId="6955" xr:uid="{00000000-0005-0000-0000-0000D5170000}"/>
    <cellStyle name="Normal 4 2 2 4" xfId="1273" xr:uid="{00000000-0005-0000-0000-0000D6170000}"/>
    <cellStyle name="Normal 4 2 2 4 2" xfId="1274" xr:uid="{00000000-0005-0000-0000-0000D7170000}"/>
    <cellStyle name="Normal 4 2 2 4 2 2" xfId="6956" xr:uid="{00000000-0005-0000-0000-0000D8170000}"/>
    <cellStyle name="Normal 4 2 2 4 2 2 2" xfId="6957" xr:uid="{00000000-0005-0000-0000-0000D9170000}"/>
    <cellStyle name="Normal 4 2 2 4 2 3" xfId="6958" xr:uid="{00000000-0005-0000-0000-0000DA170000}"/>
    <cellStyle name="Normal 4 2 2 4 2 4" xfId="6959" xr:uid="{00000000-0005-0000-0000-0000DB170000}"/>
    <cellStyle name="Normal 4 2 2 4 3" xfId="6960" xr:uid="{00000000-0005-0000-0000-0000DC170000}"/>
    <cellStyle name="Normal 4 2 2 4 3 2" xfId="6961" xr:uid="{00000000-0005-0000-0000-0000DD170000}"/>
    <cellStyle name="Normal 4 2 2 4 4" xfId="6962" xr:uid="{00000000-0005-0000-0000-0000DE170000}"/>
    <cellStyle name="Normal 4 2 2 4 5" xfId="6963" xr:uid="{00000000-0005-0000-0000-0000DF170000}"/>
    <cellStyle name="Normal 4 2 2 5" xfId="1275" xr:uid="{00000000-0005-0000-0000-0000E0170000}"/>
    <cellStyle name="Normal 4 2 2 5 2" xfId="6964" xr:uid="{00000000-0005-0000-0000-0000E1170000}"/>
    <cellStyle name="Normal 4 2 2 5 2 2" xfId="6965" xr:uid="{00000000-0005-0000-0000-0000E2170000}"/>
    <cellStyle name="Normal 4 2 2 5 3" xfId="6966" xr:uid="{00000000-0005-0000-0000-0000E3170000}"/>
    <cellStyle name="Normal 4 2 2 5 4" xfId="6967" xr:uid="{00000000-0005-0000-0000-0000E4170000}"/>
    <cellStyle name="Normal 4 2 2 6" xfId="6968" xr:uid="{00000000-0005-0000-0000-0000E5170000}"/>
    <cellStyle name="Normal 4 2 2 6 2" xfId="6969" xr:uid="{00000000-0005-0000-0000-0000E6170000}"/>
    <cellStyle name="Normal 4 2 2 7" xfId="6970" xr:uid="{00000000-0005-0000-0000-0000E7170000}"/>
    <cellStyle name="Normal 4 2 2 8" xfId="6971" xr:uid="{00000000-0005-0000-0000-0000E8170000}"/>
    <cellStyle name="Normal 4 2 3" xfId="1276" xr:uid="{00000000-0005-0000-0000-0000E9170000}"/>
    <cellStyle name="Normal 4 2 3 2" xfId="1277" xr:uid="{00000000-0005-0000-0000-0000EA170000}"/>
    <cellStyle name="Normal 4 2 3 2 2" xfId="1278" xr:uid="{00000000-0005-0000-0000-0000EB170000}"/>
    <cellStyle name="Normal 4 2 3 2 2 2" xfId="1279" xr:uid="{00000000-0005-0000-0000-0000EC170000}"/>
    <cellStyle name="Normal 4 2 3 2 2 2 2" xfId="6972" xr:uid="{00000000-0005-0000-0000-0000ED170000}"/>
    <cellStyle name="Normal 4 2 3 2 2 2 2 2" xfId="6973" xr:uid="{00000000-0005-0000-0000-0000EE170000}"/>
    <cellStyle name="Normal 4 2 3 2 2 2 3" xfId="6974" xr:uid="{00000000-0005-0000-0000-0000EF170000}"/>
    <cellStyle name="Normal 4 2 3 2 2 2 4" xfId="6975" xr:uid="{00000000-0005-0000-0000-0000F0170000}"/>
    <cellStyle name="Normal 4 2 3 2 2 3" xfId="6976" xr:uid="{00000000-0005-0000-0000-0000F1170000}"/>
    <cellStyle name="Normal 4 2 3 2 2 3 2" xfId="6977" xr:uid="{00000000-0005-0000-0000-0000F2170000}"/>
    <cellStyle name="Normal 4 2 3 2 2 4" xfId="6978" xr:uid="{00000000-0005-0000-0000-0000F3170000}"/>
    <cellStyle name="Normal 4 2 3 2 2 5" xfId="6979" xr:uid="{00000000-0005-0000-0000-0000F4170000}"/>
    <cellStyle name="Normal 4 2 3 2 3" xfId="1280" xr:uid="{00000000-0005-0000-0000-0000F5170000}"/>
    <cellStyle name="Normal 4 2 3 2 3 2" xfId="6980" xr:uid="{00000000-0005-0000-0000-0000F6170000}"/>
    <cellStyle name="Normal 4 2 3 2 3 2 2" xfId="6981" xr:uid="{00000000-0005-0000-0000-0000F7170000}"/>
    <cellStyle name="Normal 4 2 3 2 3 3" xfId="6982" xr:uid="{00000000-0005-0000-0000-0000F8170000}"/>
    <cellStyle name="Normal 4 2 3 2 3 4" xfId="6983" xr:uid="{00000000-0005-0000-0000-0000F9170000}"/>
    <cellStyle name="Normal 4 2 3 2 4" xfId="6984" xr:uid="{00000000-0005-0000-0000-0000FA170000}"/>
    <cellStyle name="Normal 4 2 3 2 4 2" xfId="6985" xr:uid="{00000000-0005-0000-0000-0000FB170000}"/>
    <cellStyle name="Normal 4 2 3 2 5" xfId="6986" xr:uid="{00000000-0005-0000-0000-0000FC170000}"/>
    <cellStyle name="Normal 4 2 3 2 6" xfId="6987" xr:uid="{00000000-0005-0000-0000-0000FD170000}"/>
    <cellStyle name="Normal 4 2 3 3" xfId="1281" xr:uid="{00000000-0005-0000-0000-0000FE170000}"/>
    <cellStyle name="Normal 4 2 3 3 2" xfId="1282" xr:uid="{00000000-0005-0000-0000-0000FF170000}"/>
    <cellStyle name="Normal 4 2 3 3 2 2" xfId="6988" xr:uid="{00000000-0005-0000-0000-000000180000}"/>
    <cellStyle name="Normal 4 2 3 3 2 2 2" xfId="6989" xr:uid="{00000000-0005-0000-0000-000001180000}"/>
    <cellStyle name="Normal 4 2 3 3 2 3" xfId="6990" xr:uid="{00000000-0005-0000-0000-000002180000}"/>
    <cellStyle name="Normal 4 2 3 3 2 4" xfId="6991" xr:uid="{00000000-0005-0000-0000-000003180000}"/>
    <cellStyle name="Normal 4 2 3 3 3" xfId="6992" xr:uid="{00000000-0005-0000-0000-000004180000}"/>
    <cellStyle name="Normal 4 2 3 3 3 2" xfId="6993" xr:uid="{00000000-0005-0000-0000-000005180000}"/>
    <cellStyle name="Normal 4 2 3 3 4" xfId="6994" xr:uid="{00000000-0005-0000-0000-000006180000}"/>
    <cellStyle name="Normal 4 2 3 3 5" xfId="6995" xr:uid="{00000000-0005-0000-0000-000007180000}"/>
    <cellStyle name="Normal 4 2 3 4" xfId="1283" xr:uid="{00000000-0005-0000-0000-000008180000}"/>
    <cellStyle name="Normal 4 2 3 4 2" xfId="6996" xr:uid="{00000000-0005-0000-0000-000009180000}"/>
    <cellStyle name="Normal 4 2 3 4 2 2" xfId="6997" xr:uid="{00000000-0005-0000-0000-00000A180000}"/>
    <cellStyle name="Normal 4 2 3 4 3" xfId="6998" xr:uid="{00000000-0005-0000-0000-00000B180000}"/>
    <cellStyle name="Normal 4 2 3 4 4" xfId="6999" xr:uid="{00000000-0005-0000-0000-00000C180000}"/>
    <cellStyle name="Normal 4 2 3 5" xfId="7000" xr:uid="{00000000-0005-0000-0000-00000D180000}"/>
    <cellStyle name="Normal 4 2 3 5 2" xfId="7001" xr:uid="{00000000-0005-0000-0000-00000E180000}"/>
    <cellStyle name="Normal 4 2 3 6" xfId="7002" xr:uid="{00000000-0005-0000-0000-00000F180000}"/>
    <cellStyle name="Normal 4 2 3 7" xfId="7003" xr:uid="{00000000-0005-0000-0000-000010180000}"/>
    <cellStyle name="Normal 4 2 4" xfId="1284" xr:uid="{00000000-0005-0000-0000-000011180000}"/>
    <cellStyle name="Normal 4 2 4 2" xfId="1285" xr:uid="{00000000-0005-0000-0000-000012180000}"/>
    <cellStyle name="Normal 4 2 4 2 2" xfId="1286" xr:uid="{00000000-0005-0000-0000-000013180000}"/>
    <cellStyle name="Normal 4 2 4 2 2 2" xfId="7004" xr:uid="{00000000-0005-0000-0000-000014180000}"/>
    <cellStyle name="Normal 4 2 4 2 2 2 2" xfId="7005" xr:uid="{00000000-0005-0000-0000-000015180000}"/>
    <cellStyle name="Normal 4 2 4 2 2 3" xfId="7006" xr:uid="{00000000-0005-0000-0000-000016180000}"/>
    <cellStyle name="Normal 4 2 4 2 2 4" xfId="7007" xr:uid="{00000000-0005-0000-0000-000017180000}"/>
    <cellStyle name="Normal 4 2 4 2 3" xfId="7008" xr:uid="{00000000-0005-0000-0000-000018180000}"/>
    <cellStyle name="Normal 4 2 4 2 3 2" xfId="7009" xr:uid="{00000000-0005-0000-0000-000019180000}"/>
    <cellStyle name="Normal 4 2 4 2 4" xfId="7010" xr:uid="{00000000-0005-0000-0000-00001A180000}"/>
    <cellStyle name="Normal 4 2 4 2 5" xfId="7011" xr:uid="{00000000-0005-0000-0000-00001B180000}"/>
    <cellStyle name="Normal 4 2 4 3" xfId="1287" xr:uid="{00000000-0005-0000-0000-00001C180000}"/>
    <cellStyle name="Normal 4 2 4 3 2" xfId="7012" xr:uid="{00000000-0005-0000-0000-00001D180000}"/>
    <cellStyle name="Normal 4 2 4 3 2 2" xfId="7013" xr:uid="{00000000-0005-0000-0000-00001E180000}"/>
    <cellStyle name="Normal 4 2 4 3 3" xfId="7014" xr:uid="{00000000-0005-0000-0000-00001F180000}"/>
    <cellStyle name="Normal 4 2 4 3 4" xfId="7015" xr:uid="{00000000-0005-0000-0000-000020180000}"/>
    <cellStyle name="Normal 4 2 4 4" xfId="7016" xr:uid="{00000000-0005-0000-0000-000021180000}"/>
    <cellStyle name="Normal 4 2 4 4 2" xfId="7017" xr:uid="{00000000-0005-0000-0000-000022180000}"/>
    <cellStyle name="Normal 4 2 4 5" xfId="7018" xr:uid="{00000000-0005-0000-0000-000023180000}"/>
    <cellStyle name="Normal 4 2 4 6" xfId="7019" xr:uid="{00000000-0005-0000-0000-000024180000}"/>
    <cellStyle name="Normal 4 2 5" xfId="1288" xr:uid="{00000000-0005-0000-0000-000025180000}"/>
    <cellStyle name="Normal 4 2 5 2" xfId="1289" xr:uid="{00000000-0005-0000-0000-000026180000}"/>
    <cellStyle name="Normal 4 2 5 2 2" xfId="7020" xr:uid="{00000000-0005-0000-0000-000027180000}"/>
    <cellStyle name="Normal 4 2 5 2 2 2" xfId="7021" xr:uid="{00000000-0005-0000-0000-000028180000}"/>
    <cellStyle name="Normal 4 2 5 2 3" xfId="7022" xr:uid="{00000000-0005-0000-0000-000029180000}"/>
    <cellStyle name="Normal 4 2 5 2 4" xfId="7023" xr:uid="{00000000-0005-0000-0000-00002A180000}"/>
    <cellStyle name="Normal 4 2 5 3" xfId="7024" xr:uid="{00000000-0005-0000-0000-00002B180000}"/>
    <cellStyle name="Normal 4 2 5 3 2" xfId="7025" xr:uid="{00000000-0005-0000-0000-00002C180000}"/>
    <cellStyle name="Normal 4 2 5 4" xfId="7026" xr:uid="{00000000-0005-0000-0000-00002D180000}"/>
    <cellStyle name="Normal 4 2 5 5" xfId="7027" xr:uid="{00000000-0005-0000-0000-00002E180000}"/>
    <cellStyle name="Normal 4 2 6" xfId="1290" xr:uid="{00000000-0005-0000-0000-00002F180000}"/>
    <cellStyle name="Normal 4 2 6 2" xfId="7028" xr:uid="{00000000-0005-0000-0000-000030180000}"/>
    <cellStyle name="Normal 4 2 6 2 2" xfId="7029" xr:uid="{00000000-0005-0000-0000-000031180000}"/>
    <cellStyle name="Normal 4 2 6 3" xfId="7030" xr:uid="{00000000-0005-0000-0000-000032180000}"/>
    <cellStyle name="Normal 4 2 6 4" xfId="7031" xr:uid="{00000000-0005-0000-0000-000033180000}"/>
    <cellStyle name="Normal 4 2 7" xfId="7032" xr:uid="{00000000-0005-0000-0000-000034180000}"/>
    <cellStyle name="Normal 4 2 7 2" xfId="7033" xr:uid="{00000000-0005-0000-0000-000035180000}"/>
    <cellStyle name="Normal 4 2 8" xfId="7034" xr:uid="{00000000-0005-0000-0000-000036180000}"/>
    <cellStyle name="Normal 4 2 9" xfId="7035" xr:uid="{00000000-0005-0000-0000-000037180000}"/>
    <cellStyle name="Normal 4 3" xfId="1291" xr:uid="{00000000-0005-0000-0000-000038180000}"/>
    <cellStyle name="Normal 4 3 2" xfId="1292" xr:uid="{00000000-0005-0000-0000-000039180000}"/>
    <cellStyle name="Normal 4 3 2 2" xfId="1293" xr:uid="{00000000-0005-0000-0000-00003A180000}"/>
    <cellStyle name="Normal 4 3 2 2 2" xfId="1294" xr:uid="{00000000-0005-0000-0000-00003B180000}"/>
    <cellStyle name="Normal 4 3 2 2 2 2" xfId="1295" xr:uid="{00000000-0005-0000-0000-00003C180000}"/>
    <cellStyle name="Normal 4 3 2 2 2 2 2" xfId="1296" xr:uid="{00000000-0005-0000-0000-00003D180000}"/>
    <cellStyle name="Normal 4 3 2 2 2 2 2 2" xfId="7036" xr:uid="{00000000-0005-0000-0000-00003E180000}"/>
    <cellStyle name="Normal 4 3 2 2 2 2 2 2 2" xfId="7037" xr:uid="{00000000-0005-0000-0000-00003F180000}"/>
    <cellStyle name="Normal 4 3 2 2 2 2 2 3" xfId="7038" xr:uid="{00000000-0005-0000-0000-000040180000}"/>
    <cellStyle name="Normal 4 3 2 2 2 2 2 4" xfId="7039" xr:uid="{00000000-0005-0000-0000-000041180000}"/>
    <cellStyle name="Normal 4 3 2 2 2 2 3" xfId="7040" xr:uid="{00000000-0005-0000-0000-000042180000}"/>
    <cellStyle name="Normal 4 3 2 2 2 2 3 2" xfId="7041" xr:uid="{00000000-0005-0000-0000-000043180000}"/>
    <cellStyle name="Normal 4 3 2 2 2 2 4" xfId="7042" xr:uid="{00000000-0005-0000-0000-000044180000}"/>
    <cellStyle name="Normal 4 3 2 2 2 2 5" xfId="7043" xr:uid="{00000000-0005-0000-0000-000045180000}"/>
    <cellStyle name="Normal 4 3 2 2 2 3" xfId="1297" xr:uid="{00000000-0005-0000-0000-000046180000}"/>
    <cellStyle name="Normal 4 3 2 2 2 3 2" xfId="7044" xr:uid="{00000000-0005-0000-0000-000047180000}"/>
    <cellStyle name="Normal 4 3 2 2 2 3 2 2" xfId="7045" xr:uid="{00000000-0005-0000-0000-000048180000}"/>
    <cellStyle name="Normal 4 3 2 2 2 3 3" xfId="7046" xr:uid="{00000000-0005-0000-0000-000049180000}"/>
    <cellStyle name="Normal 4 3 2 2 2 3 4" xfId="7047" xr:uid="{00000000-0005-0000-0000-00004A180000}"/>
    <cellStyle name="Normal 4 3 2 2 2 4" xfId="7048" xr:uid="{00000000-0005-0000-0000-00004B180000}"/>
    <cellStyle name="Normal 4 3 2 2 2 4 2" xfId="7049" xr:uid="{00000000-0005-0000-0000-00004C180000}"/>
    <cellStyle name="Normal 4 3 2 2 2 5" xfId="7050" xr:uid="{00000000-0005-0000-0000-00004D180000}"/>
    <cellStyle name="Normal 4 3 2 2 2 6" xfId="7051" xr:uid="{00000000-0005-0000-0000-00004E180000}"/>
    <cellStyle name="Normal 4 3 2 2 3" xfId="1298" xr:uid="{00000000-0005-0000-0000-00004F180000}"/>
    <cellStyle name="Normal 4 3 2 2 3 2" xfId="1299" xr:uid="{00000000-0005-0000-0000-000050180000}"/>
    <cellStyle name="Normal 4 3 2 2 3 2 2" xfId="7052" xr:uid="{00000000-0005-0000-0000-000051180000}"/>
    <cellStyle name="Normal 4 3 2 2 3 2 2 2" xfId="7053" xr:uid="{00000000-0005-0000-0000-000052180000}"/>
    <cellStyle name="Normal 4 3 2 2 3 2 3" xfId="7054" xr:uid="{00000000-0005-0000-0000-000053180000}"/>
    <cellStyle name="Normal 4 3 2 2 3 2 4" xfId="7055" xr:uid="{00000000-0005-0000-0000-000054180000}"/>
    <cellStyle name="Normal 4 3 2 2 3 3" xfId="7056" xr:uid="{00000000-0005-0000-0000-000055180000}"/>
    <cellStyle name="Normal 4 3 2 2 3 3 2" xfId="7057" xr:uid="{00000000-0005-0000-0000-000056180000}"/>
    <cellStyle name="Normal 4 3 2 2 3 4" xfId="7058" xr:uid="{00000000-0005-0000-0000-000057180000}"/>
    <cellStyle name="Normal 4 3 2 2 3 5" xfId="7059" xr:uid="{00000000-0005-0000-0000-000058180000}"/>
    <cellStyle name="Normal 4 3 2 2 4" xfId="1300" xr:uid="{00000000-0005-0000-0000-000059180000}"/>
    <cellStyle name="Normal 4 3 2 2 4 2" xfId="7060" xr:uid="{00000000-0005-0000-0000-00005A180000}"/>
    <cellStyle name="Normal 4 3 2 2 4 2 2" xfId="7061" xr:uid="{00000000-0005-0000-0000-00005B180000}"/>
    <cellStyle name="Normal 4 3 2 2 4 3" xfId="7062" xr:uid="{00000000-0005-0000-0000-00005C180000}"/>
    <cellStyle name="Normal 4 3 2 2 4 4" xfId="7063" xr:uid="{00000000-0005-0000-0000-00005D180000}"/>
    <cellStyle name="Normal 4 3 2 2 5" xfId="7064" xr:uid="{00000000-0005-0000-0000-00005E180000}"/>
    <cellStyle name="Normal 4 3 2 2 5 2" xfId="7065" xr:uid="{00000000-0005-0000-0000-00005F180000}"/>
    <cellStyle name="Normal 4 3 2 2 6" xfId="7066" xr:uid="{00000000-0005-0000-0000-000060180000}"/>
    <cellStyle name="Normal 4 3 2 2 7" xfId="7067" xr:uid="{00000000-0005-0000-0000-000061180000}"/>
    <cellStyle name="Normal 4 3 2 3" xfId="1301" xr:uid="{00000000-0005-0000-0000-000062180000}"/>
    <cellStyle name="Normal 4 3 2 3 2" xfId="1302" xr:uid="{00000000-0005-0000-0000-000063180000}"/>
    <cellStyle name="Normal 4 3 2 3 2 2" xfId="1303" xr:uid="{00000000-0005-0000-0000-000064180000}"/>
    <cellStyle name="Normal 4 3 2 3 2 2 2" xfId="7068" xr:uid="{00000000-0005-0000-0000-000065180000}"/>
    <cellStyle name="Normal 4 3 2 3 2 2 2 2" xfId="7069" xr:uid="{00000000-0005-0000-0000-000066180000}"/>
    <cellStyle name="Normal 4 3 2 3 2 2 3" xfId="7070" xr:uid="{00000000-0005-0000-0000-000067180000}"/>
    <cellStyle name="Normal 4 3 2 3 2 2 4" xfId="7071" xr:uid="{00000000-0005-0000-0000-000068180000}"/>
    <cellStyle name="Normal 4 3 2 3 2 3" xfId="7072" xr:uid="{00000000-0005-0000-0000-000069180000}"/>
    <cellStyle name="Normal 4 3 2 3 2 3 2" xfId="7073" xr:uid="{00000000-0005-0000-0000-00006A180000}"/>
    <cellStyle name="Normal 4 3 2 3 2 4" xfId="7074" xr:uid="{00000000-0005-0000-0000-00006B180000}"/>
    <cellStyle name="Normal 4 3 2 3 2 5" xfId="7075" xr:uid="{00000000-0005-0000-0000-00006C180000}"/>
    <cellStyle name="Normal 4 3 2 3 3" xfId="1304" xr:uid="{00000000-0005-0000-0000-00006D180000}"/>
    <cellStyle name="Normal 4 3 2 3 3 2" xfId="7076" xr:uid="{00000000-0005-0000-0000-00006E180000}"/>
    <cellStyle name="Normal 4 3 2 3 3 2 2" xfId="7077" xr:uid="{00000000-0005-0000-0000-00006F180000}"/>
    <cellStyle name="Normal 4 3 2 3 3 3" xfId="7078" xr:uid="{00000000-0005-0000-0000-000070180000}"/>
    <cellStyle name="Normal 4 3 2 3 3 4" xfId="7079" xr:uid="{00000000-0005-0000-0000-000071180000}"/>
    <cellStyle name="Normal 4 3 2 3 4" xfId="7080" xr:uid="{00000000-0005-0000-0000-000072180000}"/>
    <cellStyle name="Normal 4 3 2 3 4 2" xfId="7081" xr:uid="{00000000-0005-0000-0000-000073180000}"/>
    <cellStyle name="Normal 4 3 2 3 5" xfId="7082" xr:uid="{00000000-0005-0000-0000-000074180000}"/>
    <cellStyle name="Normal 4 3 2 3 6" xfId="7083" xr:uid="{00000000-0005-0000-0000-000075180000}"/>
    <cellStyle name="Normal 4 3 2 4" xfId="1305" xr:uid="{00000000-0005-0000-0000-000076180000}"/>
    <cellStyle name="Normal 4 3 2 4 2" xfId="1306" xr:uid="{00000000-0005-0000-0000-000077180000}"/>
    <cellStyle name="Normal 4 3 2 4 2 2" xfId="7084" xr:uid="{00000000-0005-0000-0000-000078180000}"/>
    <cellStyle name="Normal 4 3 2 4 2 2 2" xfId="7085" xr:uid="{00000000-0005-0000-0000-000079180000}"/>
    <cellStyle name="Normal 4 3 2 4 2 3" xfId="7086" xr:uid="{00000000-0005-0000-0000-00007A180000}"/>
    <cellStyle name="Normal 4 3 2 4 2 4" xfId="7087" xr:uid="{00000000-0005-0000-0000-00007B180000}"/>
    <cellStyle name="Normal 4 3 2 4 3" xfId="7088" xr:uid="{00000000-0005-0000-0000-00007C180000}"/>
    <cellStyle name="Normal 4 3 2 4 3 2" xfId="7089" xr:uid="{00000000-0005-0000-0000-00007D180000}"/>
    <cellStyle name="Normal 4 3 2 4 4" xfId="7090" xr:uid="{00000000-0005-0000-0000-00007E180000}"/>
    <cellStyle name="Normal 4 3 2 4 5" xfId="7091" xr:uid="{00000000-0005-0000-0000-00007F180000}"/>
    <cellStyle name="Normal 4 3 2 5" xfId="1307" xr:uid="{00000000-0005-0000-0000-000080180000}"/>
    <cellStyle name="Normal 4 3 2 5 2" xfId="7092" xr:uid="{00000000-0005-0000-0000-000081180000}"/>
    <cellStyle name="Normal 4 3 2 5 2 2" xfId="7093" xr:uid="{00000000-0005-0000-0000-000082180000}"/>
    <cellStyle name="Normal 4 3 2 5 3" xfId="7094" xr:uid="{00000000-0005-0000-0000-000083180000}"/>
    <cellStyle name="Normal 4 3 2 5 4" xfId="7095" xr:uid="{00000000-0005-0000-0000-000084180000}"/>
    <cellStyle name="Normal 4 3 2 6" xfId="7096" xr:uid="{00000000-0005-0000-0000-000085180000}"/>
    <cellStyle name="Normal 4 3 2 6 2" xfId="7097" xr:uid="{00000000-0005-0000-0000-000086180000}"/>
    <cellStyle name="Normal 4 3 2 7" xfId="7098" xr:uid="{00000000-0005-0000-0000-000087180000}"/>
    <cellStyle name="Normal 4 3 2 8" xfId="7099" xr:uid="{00000000-0005-0000-0000-000088180000}"/>
    <cellStyle name="Normal 4 3 3" xfId="1308" xr:uid="{00000000-0005-0000-0000-000089180000}"/>
    <cellStyle name="Normal 4 3 3 2" xfId="1309" xr:uid="{00000000-0005-0000-0000-00008A180000}"/>
    <cellStyle name="Normal 4 3 3 2 2" xfId="1310" xr:uid="{00000000-0005-0000-0000-00008B180000}"/>
    <cellStyle name="Normal 4 3 3 2 2 2" xfId="1311" xr:uid="{00000000-0005-0000-0000-00008C180000}"/>
    <cellStyle name="Normal 4 3 3 2 2 2 2" xfId="7100" xr:uid="{00000000-0005-0000-0000-00008D180000}"/>
    <cellStyle name="Normal 4 3 3 2 2 2 2 2" xfId="7101" xr:uid="{00000000-0005-0000-0000-00008E180000}"/>
    <cellStyle name="Normal 4 3 3 2 2 2 3" xfId="7102" xr:uid="{00000000-0005-0000-0000-00008F180000}"/>
    <cellStyle name="Normal 4 3 3 2 2 2 4" xfId="7103" xr:uid="{00000000-0005-0000-0000-000090180000}"/>
    <cellStyle name="Normal 4 3 3 2 2 3" xfId="7104" xr:uid="{00000000-0005-0000-0000-000091180000}"/>
    <cellStyle name="Normal 4 3 3 2 2 3 2" xfId="7105" xr:uid="{00000000-0005-0000-0000-000092180000}"/>
    <cellStyle name="Normal 4 3 3 2 2 4" xfId="7106" xr:uid="{00000000-0005-0000-0000-000093180000}"/>
    <cellStyle name="Normal 4 3 3 2 2 5" xfId="7107" xr:uid="{00000000-0005-0000-0000-000094180000}"/>
    <cellStyle name="Normal 4 3 3 2 3" xfId="1312" xr:uid="{00000000-0005-0000-0000-000095180000}"/>
    <cellStyle name="Normal 4 3 3 2 3 2" xfId="7108" xr:uid="{00000000-0005-0000-0000-000096180000}"/>
    <cellStyle name="Normal 4 3 3 2 3 2 2" xfId="7109" xr:uid="{00000000-0005-0000-0000-000097180000}"/>
    <cellStyle name="Normal 4 3 3 2 3 3" xfId="7110" xr:uid="{00000000-0005-0000-0000-000098180000}"/>
    <cellStyle name="Normal 4 3 3 2 3 4" xfId="7111" xr:uid="{00000000-0005-0000-0000-000099180000}"/>
    <cellStyle name="Normal 4 3 3 2 4" xfId="7112" xr:uid="{00000000-0005-0000-0000-00009A180000}"/>
    <cellStyle name="Normal 4 3 3 2 4 2" xfId="7113" xr:uid="{00000000-0005-0000-0000-00009B180000}"/>
    <cellStyle name="Normal 4 3 3 2 5" xfId="7114" xr:uid="{00000000-0005-0000-0000-00009C180000}"/>
    <cellStyle name="Normal 4 3 3 2 6" xfId="7115" xr:uid="{00000000-0005-0000-0000-00009D180000}"/>
    <cellStyle name="Normal 4 3 3 3" xfId="1313" xr:uid="{00000000-0005-0000-0000-00009E180000}"/>
    <cellStyle name="Normal 4 3 3 3 2" xfId="1314" xr:uid="{00000000-0005-0000-0000-00009F180000}"/>
    <cellStyle name="Normal 4 3 3 3 2 2" xfId="7116" xr:uid="{00000000-0005-0000-0000-0000A0180000}"/>
    <cellStyle name="Normal 4 3 3 3 2 2 2" xfId="7117" xr:uid="{00000000-0005-0000-0000-0000A1180000}"/>
    <cellStyle name="Normal 4 3 3 3 2 3" xfId="7118" xr:uid="{00000000-0005-0000-0000-0000A2180000}"/>
    <cellStyle name="Normal 4 3 3 3 2 4" xfId="7119" xr:uid="{00000000-0005-0000-0000-0000A3180000}"/>
    <cellStyle name="Normal 4 3 3 3 3" xfId="7120" xr:uid="{00000000-0005-0000-0000-0000A4180000}"/>
    <cellStyle name="Normal 4 3 3 3 3 2" xfId="7121" xr:uid="{00000000-0005-0000-0000-0000A5180000}"/>
    <cellStyle name="Normal 4 3 3 3 4" xfId="7122" xr:uid="{00000000-0005-0000-0000-0000A6180000}"/>
    <cellStyle name="Normal 4 3 3 3 5" xfId="7123" xr:uid="{00000000-0005-0000-0000-0000A7180000}"/>
    <cellStyle name="Normal 4 3 3 4" xfId="1315" xr:uid="{00000000-0005-0000-0000-0000A8180000}"/>
    <cellStyle name="Normal 4 3 3 4 2" xfId="7124" xr:uid="{00000000-0005-0000-0000-0000A9180000}"/>
    <cellStyle name="Normal 4 3 3 4 2 2" xfId="7125" xr:uid="{00000000-0005-0000-0000-0000AA180000}"/>
    <cellStyle name="Normal 4 3 3 4 3" xfId="7126" xr:uid="{00000000-0005-0000-0000-0000AB180000}"/>
    <cellStyle name="Normal 4 3 3 4 4" xfId="7127" xr:uid="{00000000-0005-0000-0000-0000AC180000}"/>
    <cellStyle name="Normal 4 3 3 5" xfId="7128" xr:uid="{00000000-0005-0000-0000-0000AD180000}"/>
    <cellStyle name="Normal 4 3 3 5 2" xfId="7129" xr:uid="{00000000-0005-0000-0000-0000AE180000}"/>
    <cellStyle name="Normal 4 3 3 6" xfId="7130" xr:uid="{00000000-0005-0000-0000-0000AF180000}"/>
    <cellStyle name="Normal 4 3 3 7" xfId="7131" xr:uid="{00000000-0005-0000-0000-0000B0180000}"/>
    <cellStyle name="Normal 4 3 4" xfId="1316" xr:uid="{00000000-0005-0000-0000-0000B1180000}"/>
    <cellStyle name="Normal 4 3 4 2" xfId="1317" xr:uid="{00000000-0005-0000-0000-0000B2180000}"/>
    <cellStyle name="Normal 4 3 4 2 2" xfId="1318" xr:uid="{00000000-0005-0000-0000-0000B3180000}"/>
    <cellStyle name="Normal 4 3 4 2 2 2" xfId="7132" xr:uid="{00000000-0005-0000-0000-0000B4180000}"/>
    <cellStyle name="Normal 4 3 4 2 2 2 2" xfId="7133" xr:uid="{00000000-0005-0000-0000-0000B5180000}"/>
    <cellStyle name="Normal 4 3 4 2 2 3" xfId="7134" xr:uid="{00000000-0005-0000-0000-0000B6180000}"/>
    <cellStyle name="Normal 4 3 4 2 2 4" xfId="7135" xr:uid="{00000000-0005-0000-0000-0000B7180000}"/>
    <cellStyle name="Normal 4 3 4 2 3" xfId="7136" xr:uid="{00000000-0005-0000-0000-0000B8180000}"/>
    <cellStyle name="Normal 4 3 4 2 3 2" xfId="7137" xr:uid="{00000000-0005-0000-0000-0000B9180000}"/>
    <cellStyle name="Normal 4 3 4 2 4" xfId="7138" xr:uid="{00000000-0005-0000-0000-0000BA180000}"/>
    <cellStyle name="Normal 4 3 4 2 5" xfId="7139" xr:uid="{00000000-0005-0000-0000-0000BB180000}"/>
    <cellStyle name="Normal 4 3 4 3" xfId="1319" xr:uid="{00000000-0005-0000-0000-0000BC180000}"/>
    <cellStyle name="Normal 4 3 4 3 2" xfId="7140" xr:uid="{00000000-0005-0000-0000-0000BD180000}"/>
    <cellStyle name="Normal 4 3 4 3 2 2" xfId="7141" xr:uid="{00000000-0005-0000-0000-0000BE180000}"/>
    <cellStyle name="Normal 4 3 4 3 3" xfId="7142" xr:uid="{00000000-0005-0000-0000-0000BF180000}"/>
    <cellStyle name="Normal 4 3 4 3 4" xfId="7143" xr:uid="{00000000-0005-0000-0000-0000C0180000}"/>
    <cellStyle name="Normal 4 3 4 4" xfId="7144" xr:uid="{00000000-0005-0000-0000-0000C1180000}"/>
    <cellStyle name="Normal 4 3 4 4 2" xfId="7145" xr:uid="{00000000-0005-0000-0000-0000C2180000}"/>
    <cellStyle name="Normal 4 3 4 5" xfId="7146" xr:uid="{00000000-0005-0000-0000-0000C3180000}"/>
    <cellStyle name="Normal 4 3 4 6" xfId="7147" xr:uid="{00000000-0005-0000-0000-0000C4180000}"/>
    <cellStyle name="Normal 4 3 5" xfId="1320" xr:uid="{00000000-0005-0000-0000-0000C5180000}"/>
    <cellStyle name="Normal 4 3 5 2" xfId="1321" xr:uid="{00000000-0005-0000-0000-0000C6180000}"/>
    <cellStyle name="Normal 4 3 5 2 2" xfId="7148" xr:uid="{00000000-0005-0000-0000-0000C7180000}"/>
    <cellStyle name="Normal 4 3 5 2 2 2" xfId="7149" xr:uid="{00000000-0005-0000-0000-0000C8180000}"/>
    <cellStyle name="Normal 4 3 5 2 3" xfId="7150" xr:uid="{00000000-0005-0000-0000-0000C9180000}"/>
    <cellStyle name="Normal 4 3 5 2 4" xfId="7151" xr:uid="{00000000-0005-0000-0000-0000CA180000}"/>
    <cellStyle name="Normal 4 3 5 3" xfId="7152" xr:uid="{00000000-0005-0000-0000-0000CB180000}"/>
    <cellStyle name="Normal 4 3 5 3 2" xfId="7153" xr:uid="{00000000-0005-0000-0000-0000CC180000}"/>
    <cellStyle name="Normal 4 3 5 4" xfId="7154" xr:uid="{00000000-0005-0000-0000-0000CD180000}"/>
    <cellStyle name="Normal 4 3 5 5" xfId="7155" xr:uid="{00000000-0005-0000-0000-0000CE180000}"/>
    <cellStyle name="Normal 4 3 6" xfId="1322" xr:uid="{00000000-0005-0000-0000-0000CF180000}"/>
    <cellStyle name="Normal 4 3 6 2" xfId="7156" xr:uid="{00000000-0005-0000-0000-0000D0180000}"/>
    <cellStyle name="Normal 4 3 6 2 2" xfId="7157" xr:uid="{00000000-0005-0000-0000-0000D1180000}"/>
    <cellStyle name="Normal 4 3 6 3" xfId="7158" xr:uid="{00000000-0005-0000-0000-0000D2180000}"/>
    <cellStyle name="Normal 4 3 6 4" xfId="7159" xr:uid="{00000000-0005-0000-0000-0000D3180000}"/>
    <cellStyle name="Normal 4 3 7" xfId="7160" xr:uid="{00000000-0005-0000-0000-0000D4180000}"/>
    <cellStyle name="Normal 4 3 7 2" xfId="7161" xr:uid="{00000000-0005-0000-0000-0000D5180000}"/>
    <cellStyle name="Normal 4 3 8" xfId="7162" xr:uid="{00000000-0005-0000-0000-0000D6180000}"/>
    <cellStyle name="Normal 4 3 9" xfId="7163" xr:uid="{00000000-0005-0000-0000-0000D7180000}"/>
    <cellStyle name="Normal 4 4" xfId="1323" xr:uid="{00000000-0005-0000-0000-0000D8180000}"/>
    <cellStyle name="Normal 4 4 2" xfId="1324" xr:uid="{00000000-0005-0000-0000-0000D9180000}"/>
    <cellStyle name="Normal 4 4 2 2" xfId="1325" xr:uid="{00000000-0005-0000-0000-0000DA180000}"/>
    <cellStyle name="Normal 4 4 2 2 2" xfId="1326" xr:uid="{00000000-0005-0000-0000-0000DB180000}"/>
    <cellStyle name="Normal 4 4 2 2 2 2" xfId="1327" xr:uid="{00000000-0005-0000-0000-0000DC180000}"/>
    <cellStyle name="Normal 4 4 2 2 2 2 2" xfId="7164" xr:uid="{00000000-0005-0000-0000-0000DD180000}"/>
    <cellStyle name="Normal 4 4 2 2 2 2 2 2" xfId="7165" xr:uid="{00000000-0005-0000-0000-0000DE180000}"/>
    <cellStyle name="Normal 4 4 2 2 2 2 3" xfId="7166" xr:uid="{00000000-0005-0000-0000-0000DF180000}"/>
    <cellStyle name="Normal 4 4 2 2 2 2 4" xfId="7167" xr:uid="{00000000-0005-0000-0000-0000E0180000}"/>
    <cellStyle name="Normal 4 4 2 2 2 3" xfId="7168" xr:uid="{00000000-0005-0000-0000-0000E1180000}"/>
    <cellStyle name="Normal 4 4 2 2 2 3 2" xfId="7169" xr:uid="{00000000-0005-0000-0000-0000E2180000}"/>
    <cellStyle name="Normal 4 4 2 2 2 4" xfId="7170" xr:uid="{00000000-0005-0000-0000-0000E3180000}"/>
    <cellStyle name="Normal 4 4 2 2 2 5" xfId="7171" xr:uid="{00000000-0005-0000-0000-0000E4180000}"/>
    <cellStyle name="Normal 4 4 2 2 3" xfId="1328" xr:uid="{00000000-0005-0000-0000-0000E5180000}"/>
    <cellStyle name="Normal 4 4 2 2 3 2" xfId="7172" xr:uid="{00000000-0005-0000-0000-0000E6180000}"/>
    <cellStyle name="Normal 4 4 2 2 3 2 2" xfId="7173" xr:uid="{00000000-0005-0000-0000-0000E7180000}"/>
    <cellStyle name="Normal 4 4 2 2 3 3" xfId="7174" xr:uid="{00000000-0005-0000-0000-0000E8180000}"/>
    <cellStyle name="Normal 4 4 2 2 3 4" xfId="7175" xr:uid="{00000000-0005-0000-0000-0000E9180000}"/>
    <cellStyle name="Normal 4 4 2 2 4" xfId="7176" xr:uid="{00000000-0005-0000-0000-0000EA180000}"/>
    <cellStyle name="Normal 4 4 2 2 4 2" xfId="7177" xr:uid="{00000000-0005-0000-0000-0000EB180000}"/>
    <cellStyle name="Normal 4 4 2 2 5" xfId="7178" xr:uid="{00000000-0005-0000-0000-0000EC180000}"/>
    <cellStyle name="Normal 4 4 2 2 6" xfId="7179" xr:uid="{00000000-0005-0000-0000-0000ED180000}"/>
    <cellStyle name="Normal 4 4 2 3" xfId="1329" xr:uid="{00000000-0005-0000-0000-0000EE180000}"/>
    <cellStyle name="Normal 4 4 2 3 2" xfId="1330" xr:uid="{00000000-0005-0000-0000-0000EF180000}"/>
    <cellStyle name="Normal 4 4 2 3 2 2" xfId="7180" xr:uid="{00000000-0005-0000-0000-0000F0180000}"/>
    <cellStyle name="Normal 4 4 2 3 2 2 2" xfId="7181" xr:uid="{00000000-0005-0000-0000-0000F1180000}"/>
    <cellStyle name="Normal 4 4 2 3 2 3" xfId="7182" xr:uid="{00000000-0005-0000-0000-0000F2180000}"/>
    <cellStyle name="Normal 4 4 2 3 2 4" xfId="7183" xr:uid="{00000000-0005-0000-0000-0000F3180000}"/>
    <cellStyle name="Normal 4 4 2 3 3" xfId="7184" xr:uid="{00000000-0005-0000-0000-0000F4180000}"/>
    <cellStyle name="Normal 4 4 2 3 3 2" xfId="7185" xr:uid="{00000000-0005-0000-0000-0000F5180000}"/>
    <cellStyle name="Normal 4 4 2 3 4" xfId="7186" xr:uid="{00000000-0005-0000-0000-0000F6180000}"/>
    <cellStyle name="Normal 4 4 2 3 5" xfId="7187" xr:uid="{00000000-0005-0000-0000-0000F7180000}"/>
    <cellStyle name="Normal 4 4 2 4" xfId="1331" xr:uid="{00000000-0005-0000-0000-0000F8180000}"/>
    <cellStyle name="Normal 4 4 2 4 2" xfId="7188" xr:uid="{00000000-0005-0000-0000-0000F9180000}"/>
    <cellStyle name="Normal 4 4 2 4 2 2" xfId="7189" xr:uid="{00000000-0005-0000-0000-0000FA180000}"/>
    <cellStyle name="Normal 4 4 2 4 3" xfId="7190" xr:uid="{00000000-0005-0000-0000-0000FB180000}"/>
    <cellStyle name="Normal 4 4 2 4 4" xfId="7191" xr:uid="{00000000-0005-0000-0000-0000FC180000}"/>
    <cellStyle name="Normal 4 4 2 5" xfId="7192" xr:uid="{00000000-0005-0000-0000-0000FD180000}"/>
    <cellStyle name="Normal 4 4 2 5 2" xfId="7193" xr:uid="{00000000-0005-0000-0000-0000FE180000}"/>
    <cellStyle name="Normal 4 4 2 6" xfId="7194" xr:uid="{00000000-0005-0000-0000-0000FF180000}"/>
    <cellStyle name="Normal 4 4 2 7" xfId="7195" xr:uid="{00000000-0005-0000-0000-000000190000}"/>
    <cellStyle name="Normal 4 4 3" xfId="1332" xr:uid="{00000000-0005-0000-0000-000001190000}"/>
    <cellStyle name="Normal 4 4 3 2" xfId="1333" xr:uid="{00000000-0005-0000-0000-000002190000}"/>
    <cellStyle name="Normal 4 4 3 2 2" xfId="1334" xr:uid="{00000000-0005-0000-0000-000003190000}"/>
    <cellStyle name="Normal 4 4 3 2 2 2" xfId="7196" xr:uid="{00000000-0005-0000-0000-000004190000}"/>
    <cellStyle name="Normal 4 4 3 2 2 2 2" xfId="7197" xr:uid="{00000000-0005-0000-0000-000005190000}"/>
    <cellStyle name="Normal 4 4 3 2 2 3" xfId="7198" xr:uid="{00000000-0005-0000-0000-000006190000}"/>
    <cellStyle name="Normal 4 4 3 2 2 4" xfId="7199" xr:uid="{00000000-0005-0000-0000-000007190000}"/>
    <cellStyle name="Normal 4 4 3 2 3" xfId="7200" xr:uid="{00000000-0005-0000-0000-000008190000}"/>
    <cellStyle name="Normal 4 4 3 2 3 2" xfId="7201" xr:uid="{00000000-0005-0000-0000-000009190000}"/>
    <cellStyle name="Normal 4 4 3 2 4" xfId="7202" xr:uid="{00000000-0005-0000-0000-00000A190000}"/>
    <cellStyle name="Normal 4 4 3 2 5" xfId="7203" xr:uid="{00000000-0005-0000-0000-00000B190000}"/>
    <cellStyle name="Normal 4 4 3 3" xfId="1335" xr:uid="{00000000-0005-0000-0000-00000C190000}"/>
    <cellStyle name="Normal 4 4 3 3 2" xfId="7204" xr:uid="{00000000-0005-0000-0000-00000D190000}"/>
    <cellStyle name="Normal 4 4 3 3 2 2" xfId="7205" xr:uid="{00000000-0005-0000-0000-00000E190000}"/>
    <cellStyle name="Normal 4 4 3 3 3" xfId="7206" xr:uid="{00000000-0005-0000-0000-00000F190000}"/>
    <cellStyle name="Normal 4 4 3 3 4" xfId="7207" xr:uid="{00000000-0005-0000-0000-000010190000}"/>
    <cellStyle name="Normal 4 4 3 4" xfId="7208" xr:uid="{00000000-0005-0000-0000-000011190000}"/>
    <cellStyle name="Normal 4 4 3 4 2" xfId="7209" xr:uid="{00000000-0005-0000-0000-000012190000}"/>
    <cellStyle name="Normal 4 4 3 5" xfId="7210" xr:uid="{00000000-0005-0000-0000-000013190000}"/>
    <cellStyle name="Normal 4 4 3 6" xfId="7211" xr:uid="{00000000-0005-0000-0000-000014190000}"/>
    <cellStyle name="Normal 4 4 4" xfId="1336" xr:uid="{00000000-0005-0000-0000-000015190000}"/>
    <cellStyle name="Normal 4 4 4 2" xfId="1337" xr:uid="{00000000-0005-0000-0000-000016190000}"/>
    <cellStyle name="Normal 4 4 4 2 2" xfId="7212" xr:uid="{00000000-0005-0000-0000-000017190000}"/>
    <cellStyle name="Normal 4 4 4 2 2 2" xfId="7213" xr:uid="{00000000-0005-0000-0000-000018190000}"/>
    <cellStyle name="Normal 4 4 4 2 3" xfId="7214" xr:uid="{00000000-0005-0000-0000-000019190000}"/>
    <cellStyle name="Normal 4 4 4 2 4" xfId="7215" xr:uid="{00000000-0005-0000-0000-00001A190000}"/>
    <cellStyle name="Normal 4 4 4 3" xfId="7216" xr:uid="{00000000-0005-0000-0000-00001B190000}"/>
    <cellStyle name="Normal 4 4 4 3 2" xfId="7217" xr:uid="{00000000-0005-0000-0000-00001C190000}"/>
    <cellStyle name="Normal 4 4 4 4" xfId="7218" xr:uid="{00000000-0005-0000-0000-00001D190000}"/>
    <cellStyle name="Normal 4 4 4 5" xfId="7219" xr:uid="{00000000-0005-0000-0000-00001E190000}"/>
    <cellStyle name="Normal 4 4 5" xfId="1338" xr:uid="{00000000-0005-0000-0000-00001F190000}"/>
    <cellStyle name="Normal 4 4 5 2" xfId="7220" xr:uid="{00000000-0005-0000-0000-000020190000}"/>
    <cellStyle name="Normal 4 4 5 2 2" xfId="7221" xr:uid="{00000000-0005-0000-0000-000021190000}"/>
    <cellStyle name="Normal 4 4 5 3" xfId="7222" xr:uid="{00000000-0005-0000-0000-000022190000}"/>
    <cellStyle name="Normal 4 4 5 4" xfId="7223" xr:uid="{00000000-0005-0000-0000-000023190000}"/>
    <cellStyle name="Normal 4 4 6" xfId="7224" xr:uid="{00000000-0005-0000-0000-000024190000}"/>
    <cellStyle name="Normal 4 4 6 2" xfId="7225" xr:uid="{00000000-0005-0000-0000-000025190000}"/>
    <cellStyle name="Normal 4 4 7" xfId="7226" xr:uid="{00000000-0005-0000-0000-000026190000}"/>
    <cellStyle name="Normal 4 4 8" xfId="7227" xr:uid="{00000000-0005-0000-0000-000027190000}"/>
    <cellStyle name="Normal 4 5" xfId="1339" xr:uid="{00000000-0005-0000-0000-000028190000}"/>
    <cellStyle name="Normal 4 5 2" xfId="1340" xr:uid="{00000000-0005-0000-0000-000029190000}"/>
    <cellStyle name="Normal 4 5 2 2" xfId="1341" xr:uid="{00000000-0005-0000-0000-00002A190000}"/>
    <cellStyle name="Normal 4 5 2 2 2" xfId="1342" xr:uid="{00000000-0005-0000-0000-00002B190000}"/>
    <cellStyle name="Normal 4 5 2 2 2 2" xfId="7228" xr:uid="{00000000-0005-0000-0000-00002C190000}"/>
    <cellStyle name="Normal 4 5 2 2 2 2 2" xfId="7229" xr:uid="{00000000-0005-0000-0000-00002D190000}"/>
    <cellStyle name="Normal 4 5 2 2 2 3" xfId="7230" xr:uid="{00000000-0005-0000-0000-00002E190000}"/>
    <cellStyle name="Normal 4 5 2 2 2 4" xfId="7231" xr:uid="{00000000-0005-0000-0000-00002F190000}"/>
    <cellStyle name="Normal 4 5 2 2 3" xfId="7232" xr:uid="{00000000-0005-0000-0000-000030190000}"/>
    <cellStyle name="Normal 4 5 2 2 3 2" xfId="7233" xr:uid="{00000000-0005-0000-0000-000031190000}"/>
    <cellStyle name="Normal 4 5 2 2 4" xfId="7234" xr:uid="{00000000-0005-0000-0000-000032190000}"/>
    <cellStyle name="Normal 4 5 2 2 5" xfId="7235" xr:uid="{00000000-0005-0000-0000-000033190000}"/>
    <cellStyle name="Normal 4 5 2 3" xfId="1343" xr:uid="{00000000-0005-0000-0000-000034190000}"/>
    <cellStyle name="Normal 4 5 2 3 2" xfId="7236" xr:uid="{00000000-0005-0000-0000-000035190000}"/>
    <cellStyle name="Normal 4 5 2 3 2 2" xfId="7237" xr:uid="{00000000-0005-0000-0000-000036190000}"/>
    <cellStyle name="Normal 4 5 2 3 3" xfId="7238" xr:uid="{00000000-0005-0000-0000-000037190000}"/>
    <cellStyle name="Normal 4 5 2 3 4" xfId="7239" xr:uid="{00000000-0005-0000-0000-000038190000}"/>
    <cellStyle name="Normal 4 5 2 4" xfId="7240" xr:uid="{00000000-0005-0000-0000-000039190000}"/>
    <cellStyle name="Normal 4 5 2 4 2" xfId="7241" xr:uid="{00000000-0005-0000-0000-00003A190000}"/>
    <cellStyle name="Normal 4 5 2 5" xfId="7242" xr:uid="{00000000-0005-0000-0000-00003B190000}"/>
    <cellStyle name="Normal 4 5 2 6" xfId="7243" xr:uid="{00000000-0005-0000-0000-00003C190000}"/>
    <cellStyle name="Normal 4 5 3" xfId="1344" xr:uid="{00000000-0005-0000-0000-00003D190000}"/>
    <cellStyle name="Normal 4 5 3 2" xfId="1345" xr:uid="{00000000-0005-0000-0000-00003E190000}"/>
    <cellStyle name="Normal 4 5 3 2 2" xfId="7244" xr:uid="{00000000-0005-0000-0000-00003F190000}"/>
    <cellStyle name="Normal 4 5 3 2 2 2" xfId="7245" xr:uid="{00000000-0005-0000-0000-000040190000}"/>
    <cellStyle name="Normal 4 5 3 2 3" xfId="7246" xr:uid="{00000000-0005-0000-0000-000041190000}"/>
    <cellStyle name="Normal 4 5 3 2 4" xfId="7247" xr:uid="{00000000-0005-0000-0000-000042190000}"/>
    <cellStyle name="Normal 4 5 3 3" xfId="7248" xr:uid="{00000000-0005-0000-0000-000043190000}"/>
    <cellStyle name="Normal 4 5 3 3 2" xfId="7249" xr:uid="{00000000-0005-0000-0000-000044190000}"/>
    <cellStyle name="Normal 4 5 3 4" xfId="7250" xr:uid="{00000000-0005-0000-0000-000045190000}"/>
    <cellStyle name="Normal 4 5 3 5" xfId="7251" xr:uid="{00000000-0005-0000-0000-000046190000}"/>
    <cellStyle name="Normal 4 5 4" xfId="1346" xr:uid="{00000000-0005-0000-0000-000047190000}"/>
    <cellStyle name="Normal 4 5 4 2" xfId="7252" xr:uid="{00000000-0005-0000-0000-000048190000}"/>
    <cellStyle name="Normal 4 5 4 2 2" xfId="7253" xr:uid="{00000000-0005-0000-0000-000049190000}"/>
    <cellStyle name="Normal 4 5 4 3" xfId="7254" xr:uid="{00000000-0005-0000-0000-00004A190000}"/>
    <cellStyle name="Normal 4 5 4 4" xfId="7255" xr:uid="{00000000-0005-0000-0000-00004B190000}"/>
    <cellStyle name="Normal 4 5 5" xfId="7256" xr:uid="{00000000-0005-0000-0000-00004C190000}"/>
    <cellStyle name="Normal 4 5 5 2" xfId="7257" xr:uid="{00000000-0005-0000-0000-00004D190000}"/>
    <cellStyle name="Normal 4 5 6" xfId="7258" xr:uid="{00000000-0005-0000-0000-00004E190000}"/>
    <cellStyle name="Normal 4 5 7" xfId="7259" xr:uid="{00000000-0005-0000-0000-00004F190000}"/>
    <cellStyle name="Normal 4 6" xfId="1347" xr:uid="{00000000-0005-0000-0000-000050190000}"/>
    <cellStyle name="Normal 4 6 2" xfId="1348" xr:uid="{00000000-0005-0000-0000-000051190000}"/>
    <cellStyle name="Normal 4 6 2 2" xfId="1349" xr:uid="{00000000-0005-0000-0000-000052190000}"/>
    <cellStyle name="Normal 4 6 2 2 2" xfId="7260" xr:uid="{00000000-0005-0000-0000-000053190000}"/>
    <cellStyle name="Normal 4 6 2 2 2 2" xfId="7261" xr:uid="{00000000-0005-0000-0000-000054190000}"/>
    <cellStyle name="Normal 4 6 2 2 3" xfId="7262" xr:uid="{00000000-0005-0000-0000-000055190000}"/>
    <cellStyle name="Normal 4 6 2 2 4" xfId="7263" xr:uid="{00000000-0005-0000-0000-000056190000}"/>
    <cellStyle name="Normal 4 6 2 3" xfId="7264" xr:uid="{00000000-0005-0000-0000-000057190000}"/>
    <cellStyle name="Normal 4 6 2 3 2" xfId="7265" xr:uid="{00000000-0005-0000-0000-000058190000}"/>
    <cellStyle name="Normal 4 6 2 4" xfId="7266" xr:uid="{00000000-0005-0000-0000-000059190000}"/>
    <cellStyle name="Normal 4 6 2 5" xfId="7267" xr:uid="{00000000-0005-0000-0000-00005A190000}"/>
    <cellStyle name="Normal 4 6 3" xfId="1350" xr:uid="{00000000-0005-0000-0000-00005B190000}"/>
    <cellStyle name="Normal 4 6 3 2" xfId="7268" xr:uid="{00000000-0005-0000-0000-00005C190000}"/>
    <cellStyle name="Normal 4 6 3 2 2" xfId="7269" xr:uid="{00000000-0005-0000-0000-00005D190000}"/>
    <cellStyle name="Normal 4 6 3 3" xfId="7270" xr:uid="{00000000-0005-0000-0000-00005E190000}"/>
    <cellStyle name="Normal 4 6 3 4" xfId="7271" xr:uid="{00000000-0005-0000-0000-00005F190000}"/>
    <cellStyle name="Normal 4 6 4" xfId="7272" xr:uid="{00000000-0005-0000-0000-000060190000}"/>
    <cellStyle name="Normal 4 6 4 2" xfId="7273" xr:uid="{00000000-0005-0000-0000-000061190000}"/>
    <cellStyle name="Normal 4 6 5" xfId="7274" xr:uid="{00000000-0005-0000-0000-000062190000}"/>
    <cellStyle name="Normal 4 6 6" xfId="7275" xr:uid="{00000000-0005-0000-0000-000063190000}"/>
    <cellStyle name="Normal 4 7" xfId="1351" xr:uid="{00000000-0005-0000-0000-000064190000}"/>
    <cellStyle name="Normal 4 7 2" xfId="1352" xr:uid="{00000000-0005-0000-0000-000065190000}"/>
    <cellStyle name="Normal 4 7 2 2" xfId="7276" xr:uid="{00000000-0005-0000-0000-000066190000}"/>
    <cellStyle name="Normal 4 7 2 2 2" xfId="7277" xr:uid="{00000000-0005-0000-0000-000067190000}"/>
    <cellStyle name="Normal 4 7 2 3" xfId="7278" xr:uid="{00000000-0005-0000-0000-000068190000}"/>
    <cellStyle name="Normal 4 7 2 4" xfId="7279" xr:uid="{00000000-0005-0000-0000-000069190000}"/>
    <cellStyle name="Normal 4 7 3" xfId="7280" xr:uid="{00000000-0005-0000-0000-00006A190000}"/>
    <cellStyle name="Normal 4 7 3 2" xfId="7281" xr:uid="{00000000-0005-0000-0000-00006B190000}"/>
    <cellStyle name="Normal 4 7 4" xfId="7282" xr:uid="{00000000-0005-0000-0000-00006C190000}"/>
    <cellStyle name="Normal 4 7 5" xfId="7283" xr:uid="{00000000-0005-0000-0000-00006D190000}"/>
    <cellStyle name="Normal 4 8" xfId="1353" xr:uid="{00000000-0005-0000-0000-00006E190000}"/>
    <cellStyle name="Normal 4 8 2" xfId="7284" xr:uid="{00000000-0005-0000-0000-00006F190000}"/>
    <cellStyle name="Normal 4 8 2 2" xfId="7285" xr:uid="{00000000-0005-0000-0000-000070190000}"/>
    <cellStyle name="Normal 4 8 3" xfId="7286" xr:uid="{00000000-0005-0000-0000-000071190000}"/>
    <cellStyle name="Normal 4 8 4" xfId="7287" xr:uid="{00000000-0005-0000-0000-000072190000}"/>
    <cellStyle name="Normal 4 9" xfId="1258" xr:uid="{00000000-0005-0000-0000-000073190000}"/>
    <cellStyle name="Normal 4 9 2" xfId="7288" xr:uid="{00000000-0005-0000-0000-000074190000}"/>
    <cellStyle name="Normal 4 9 2 2" xfId="7289" xr:uid="{00000000-0005-0000-0000-000075190000}"/>
    <cellStyle name="Normal 4 9 3" xfId="7290" xr:uid="{00000000-0005-0000-0000-000076190000}"/>
    <cellStyle name="Normal 4 9 4" xfId="7291" xr:uid="{00000000-0005-0000-0000-000077190000}"/>
    <cellStyle name="Normal 40" xfId="1354" xr:uid="{00000000-0005-0000-0000-000078190000}"/>
    <cellStyle name="Normal 40 2" xfId="1355" xr:uid="{00000000-0005-0000-0000-000079190000}"/>
    <cellStyle name="Normal 40 2 2" xfId="1356" xr:uid="{00000000-0005-0000-0000-00007A190000}"/>
    <cellStyle name="Normal 40 2 2 2" xfId="1357" xr:uid="{00000000-0005-0000-0000-00007B190000}"/>
    <cellStyle name="Normal 40 2 2 2 2" xfId="7292" xr:uid="{00000000-0005-0000-0000-00007C190000}"/>
    <cellStyle name="Normal 40 2 2 2 2 2" xfId="7293" xr:uid="{00000000-0005-0000-0000-00007D190000}"/>
    <cellStyle name="Normal 40 2 2 2 3" xfId="7294" xr:uid="{00000000-0005-0000-0000-00007E190000}"/>
    <cellStyle name="Normal 40 2 2 2 4" xfId="7295" xr:uid="{00000000-0005-0000-0000-00007F190000}"/>
    <cellStyle name="Normal 40 2 2 3" xfId="7296" xr:uid="{00000000-0005-0000-0000-000080190000}"/>
    <cellStyle name="Normal 40 2 2 3 2" xfId="7297" xr:uid="{00000000-0005-0000-0000-000081190000}"/>
    <cellStyle name="Normal 40 2 2 4" xfId="7298" xr:uid="{00000000-0005-0000-0000-000082190000}"/>
    <cellStyle name="Normal 40 2 2 5" xfId="7299" xr:uid="{00000000-0005-0000-0000-000083190000}"/>
    <cellStyle name="Normal 40 2 3" xfId="1358" xr:uid="{00000000-0005-0000-0000-000084190000}"/>
    <cellStyle name="Normal 40 2 3 2" xfId="7300" xr:uid="{00000000-0005-0000-0000-000085190000}"/>
    <cellStyle name="Normal 40 2 3 2 2" xfId="7301" xr:uid="{00000000-0005-0000-0000-000086190000}"/>
    <cellStyle name="Normal 40 2 3 3" xfId="7302" xr:uid="{00000000-0005-0000-0000-000087190000}"/>
    <cellStyle name="Normal 40 2 3 4" xfId="7303" xr:uid="{00000000-0005-0000-0000-000088190000}"/>
    <cellStyle name="Normal 40 2 4" xfId="7304" xr:uid="{00000000-0005-0000-0000-000089190000}"/>
    <cellStyle name="Normal 40 2 4 2" xfId="7305" xr:uid="{00000000-0005-0000-0000-00008A190000}"/>
    <cellStyle name="Normal 40 2 5" xfId="7306" xr:uid="{00000000-0005-0000-0000-00008B190000}"/>
    <cellStyle name="Normal 40 2 6" xfId="7307" xr:uid="{00000000-0005-0000-0000-00008C190000}"/>
    <cellStyle name="Normal 40 3" xfId="1359" xr:uid="{00000000-0005-0000-0000-00008D190000}"/>
    <cellStyle name="Normal 40 3 2" xfId="1360" xr:uid="{00000000-0005-0000-0000-00008E190000}"/>
    <cellStyle name="Normal 40 3 2 2" xfId="7308" xr:uid="{00000000-0005-0000-0000-00008F190000}"/>
    <cellStyle name="Normal 40 3 2 2 2" xfId="7309" xr:uid="{00000000-0005-0000-0000-000090190000}"/>
    <cellStyle name="Normal 40 3 2 3" xfId="7310" xr:uid="{00000000-0005-0000-0000-000091190000}"/>
    <cellStyle name="Normal 40 3 2 4" xfId="7311" xr:uid="{00000000-0005-0000-0000-000092190000}"/>
    <cellStyle name="Normal 40 3 3" xfId="7312" xr:uid="{00000000-0005-0000-0000-000093190000}"/>
    <cellStyle name="Normal 40 3 3 2" xfId="7313" xr:uid="{00000000-0005-0000-0000-000094190000}"/>
    <cellStyle name="Normal 40 3 4" xfId="7314" xr:uid="{00000000-0005-0000-0000-000095190000}"/>
    <cellStyle name="Normal 40 3 5" xfId="7315" xr:uid="{00000000-0005-0000-0000-000096190000}"/>
    <cellStyle name="Normal 40 4" xfId="1361" xr:uid="{00000000-0005-0000-0000-000097190000}"/>
    <cellStyle name="Normal 40 4 2" xfId="7316" xr:uid="{00000000-0005-0000-0000-000098190000}"/>
    <cellStyle name="Normal 40 4 2 2" xfId="7317" xr:uid="{00000000-0005-0000-0000-000099190000}"/>
    <cellStyle name="Normal 40 4 3" xfId="7318" xr:uid="{00000000-0005-0000-0000-00009A190000}"/>
    <cellStyle name="Normal 40 4 4" xfId="7319" xr:uid="{00000000-0005-0000-0000-00009B190000}"/>
    <cellStyle name="Normal 40 5" xfId="7320" xr:uid="{00000000-0005-0000-0000-00009C190000}"/>
    <cellStyle name="Normal 40 5 2" xfId="7321" xr:uid="{00000000-0005-0000-0000-00009D190000}"/>
    <cellStyle name="Normal 40 6" xfId="7322" xr:uid="{00000000-0005-0000-0000-00009E190000}"/>
    <cellStyle name="Normal 40 7" xfId="7323" xr:uid="{00000000-0005-0000-0000-00009F190000}"/>
    <cellStyle name="Normal 41" xfId="1362" xr:uid="{00000000-0005-0000-0000-0000A0190000}"/>
    <cellStyle name="Normal 41 2" xfId="1363" xr:uid="{00000000-0005-0000-0000-0000A1190000}"/>
    <cellStyle name="Normal 41 2 2" xfId="1364" xr:uid="{00000000-0005-0000-0000-0000A2190000}"/>
    <cellStyle name="Normal 41 2 2 2" xfId="1365" xr:uid="{00000000-0005-0000-0000-0000A3190000}"/>
    <cellStyle name="Normal 41 2 2 2 2" xfId="7324" xr:uid="{00000000-0005-0000-0000-0000A4190000}"/>
    <cellStyle name="Normal 41 2 2 2 2 2" xfId="7325" xr:uid="{00000000-0005-0000-0000-0000A5190000}"/>
    <cellStyle name="Normal 41 2 2 2 3" xfId="7326" xr:uid="{00000000-0005-0000-0000-0000A6190000}"/>
    <cellStyle name="Normal 41 2 2 2 4" xfId="7327" xr:uid="{00000000-0005-0000-0000-0000A7190000}"/>
    <cellStyle name="Normal 41 2 2 3" xfId="7328" xr:uid="{00000000-0005-0000-0000-0000A8190000}"/>
    <cellStyle name="Normal 41 2 2 3 2" xfId="7329" xr:uid="{00000000-0005-0000-0000-0000A9190000}"/>
    <cellStyle name="Normal 41 2 2 4" xfId="7330" xr:uid="{00000000-0005-0000-0000-0000AA190000}"/>
    <cellStyle name="Normal 41 2 2 5" xfId="7331" xr:uid="{00000000-0005-0000-0000-0000AB190000}"/>
    <cellStyle name="Normal 41 2 3" xfId="1366" xr:uid="{00000000-0005-0000-0000-0000AC190000}"/>
    <cellStyle name="Normal 41 2 3 2" xfId="7332" xr:uid="{00000000-0005-0000-0000-0000AD190000}"/>
    <cellStyle name="Normal 41 2 3 2 2" xfId="7333" xr:uid="{00000000-0005-0000-0000-0000AE190000}"/>
    <cellStyle name="Normal 41 2 3 3" xfId="7334" xr:uid="{00000000-0005-0000-0000-0000AF190000}"/>
    <cellStyle name="Normal 41 2 3 4" xfId="7335" xr:uid="{00000000-0005-0000-0000-0000B0190000}"/>
    <cellStyle name="Normal 41 2 4" xfId="7336" xr:uid="{00000000-0005-0000-0000-0000B1190000}"/>
    <cellStyle name="Normal 41 2 4 2" xfId="7337" xr:uid="{00000000-0005-0000-0000-0000B2190000}"/>
    <cellStyle name="Normal 41 2 5" xfId="7338" xr:uid="{00000000-0005-0000-0000-0000B3190000}"/>
    <cellStyle name="Normal 41 2 6" xfId="7339" xr:uid="{00000000-0005-0000-0000-0000B4190000}"/>
    <cellStyle name="Normal 41 3" xfId="1367" xr:uid="{00000000-0005-0000-0000-0000B5190000}"/>
    <cellStyle name="Normal 41 3 2" xfId="1368" xr:uid="{00000000-0005-0000-0000-0000B6190000}"/>
    <cellStyle name="Normal 41 3 2 2" xfId="7340" xr:uid="{00000000-0005-0000-0000-0000B7190000}"/>
    <cellStyle name="Normal 41 3 2 2 2" xfId="7341" xr:uid="{00000000-0005-0000-0000-0000B8190000}"/>
    <cellStyle name="Normal 41 3 2 3" xfId="7342" xr:uid="{00000000-0005-0000-0000-0000B9190000}"/>
    <cellStyle name="Normal 41 3 2 4" xfId="7343" xr:uid="{00000000-0005-0000-0000-0000BA190000}"/>
    <cellStyle name="Normal 41 3 3" xfId="7344" xr:uid="{00000000-0005-0000-0000-0000BB190000}"/>
    <cellStyle name="Normal 41 3 3 2" xfId="7345" xr:uid="{00000000-0005-0000-0000-0000BC190000}"/>
    <cellStyle name="Normal 41 3 4" xfId="7346" xr:uid="{00000000-0005-0000-0000-0000BD190000}"/>
    <cellStyle name="Normal 41 3 5" xfId="7347" xr:uid="{00000000-0005-0000-0000-0000BE190000}"/>
    <cellStyle name="Normal 41 4" xfId="1369" xr:uid="{00000000-0005-0000-0000-0000BF190000}"/>
    <cellStyle name="Normal 41 4 2" xfId="7348" xr:uid="{00000000-0005-0000-0000-0000C0190000}"/>
    <cellStyle name="Normal 41 4 2 2" xfId="7349" xr:uid="{00000000-0005-0000-0000-0000C1190000}"/>
    <cellStyle name="Normal 41 4 3" xfId="7350" xr:uid="{00000000-0005-0000-0000-0000C2190000}"/>
    <cellStyle name="Normal 41 4 4" xfId="7351" xr:uid="{00000000-0005-0000-0000-0000C3190000}"/>
    <cellStyle name="Normal 41 5" xfId="7352" xr:uid="{00000000-0005-0000-0000-0000C4190000}"/>
    <cellStyle name="Normal 41 5 2" xfId="7353" xr:uid="{00000000-0005-0000-0000-0000C5190000}"/>
    <cellStyle name="Normal 41 6" xfId="7354" xr:uid="{00000000-0005-0000-0000-0000C6190000}"/>
    <cellStyle name="Normal 41 7" xfId="7355" xr:uid="{00000000-0005-0000-0000-0000C7190000}"/>
    <cellStyle name="Normal 42" xfId="1370" xr:uid="{00000000-0005-0000-0000-0000C8190000}"/>
    <cellStyle name="Normal 42 2" xfId="1371" xr:uid="{00000000-0005-0000-0000-0000C9190000}"/>
    <cellStyle name="Normal 42 2 2" xfId="1372" xr:uid="{00000000-0005-0000-0000-0000CA190000}"/>
    <cellStyle name="Normal 42 2 2 2" xfId="1373" xr:uid="{00000000-0005-0000-0000-0000CB190000}"/>
    <cellStyle name="Normal 42 2 2 2 2" xfId="7356" xr:uid="{00000000-0005-0000-0000-0000CC190000}"/>
    <cellStyle name="Normal 42 2 2 2 2 2" xfId="7357" xr:uid="{00000000-0005-0000-0000-0000CD190000}"/>
    <cellStyle name="Normal 42 2 2 2 3" xfId="7358" xr:uid="{00000000-0005-0000-0000-0000CE190000}"/>
    <cellStyle name="Normal 42 2 2 2 4" xfId="7359" xr:uid="{00000000-0005-0000-0000-0000CF190000}"/>
    <cellStyle name="Normal 42 2 2 3" xfId="7360" xr:uid="{00000000-0005-0000-0000-0000D0190000}"/>
    <cellStyle name="Normal 42 2 2 3 2" xfId="7361" xr:uid="{00000000-0005-0000-0000-0000D1190000}"/>
    <cellStyle name="Normal 42 2 2 4" xfId="7362" xr:uid="{00000000-0005-0000-0000-0000D2190000}"/>
    <cellStyle name="Normal 42 2 2 5" xfId="7363" xr:uid="{00000000-0005-0000-0000-0000D3190000}"/>
    <cellStyle name="Normal 42 2 3" xfId="1374" xr:uid="{00000000-0005-0000-0000-0000D4190000}"/>
    <cellStyle name="Normal 42 2 3 2" xfId="7364" xr:uid="{00000000-0005-0000-0000-0000D5190000}"/>
    <cellStyle name="Normal 42 2 3 2 2" xfId="7365" xr:uid="{00000000-0005-0000-0000-0000D6190000}"/>
    <cellStyle name="Normal 42 2 3 3" xfId="7366" xr:uid="{00000000-0005-0000-0000-0000D7190000}"/>
    <cellStyle name="Normal 42 2 3 4" xfId="7367" xr:uid="{00000000-0005-0000-0000-0000D8190000}"/>
    <cellStyle name="Normal 42 2 4" xfId="7368" xr:uid="{00000000-0005-0000-0000-0000D9190000}"/>
    <cellStyle name="Normal 42 2 4 2" xfId="7369" xr:uid="{00000000-0005-0000-0000-0000DA190000}"/>
    <cellStyle name="Normal 42 2 5" xfId="7370" xr:uid="{00000000-0005-0000-0000-0000DB190000}"/>
    <cellStyle name="Normal 42 2 6" xfId="7371" xr:uid="{00000000-0005-0000-0000-0000DC190000}"/>
    <cellStyle name="Normal 42 3" xfId="1375" xr:uid="{00000000-0005-0000-0000-0000DD190000}"/>
    <cellStyle name="Normal 42 3 2" xfId="1376" xr:uid="{00000000-0005-0000-0000-0000DE190000}"/>
    <cellStyle name="Normal 42 3 2 2" xfId="7372" xr:uid="{00000000-0005-0000-0000-0000DF190000}"/>
    <cellStyle name="Normal 42 3 2 2 2" xfId="7373" xr:uid="{00000000-0005-0000-0000-0000E0190000}"/>
    <cellStyle name="Normal 42 3 2 3" xfId="7374" xr:uid="{00000000-0005-0000-0000-0000E1190000}"/>
    <cellStyle name="Normal 42 3 2 4" xfId="7375" xr:uid="{00000000-0005-0000-0000-0000E2190000}"/>
    <cellStyle name="Normal 42 3 3" xfId="7376" xr:uid="{00000000-0005-0000-0000-0000E3190000}"/>
    <cellStyle name="Normal 42 3 3 2" xfId="7377" xr:uid="{00000000-0005-0000-0000-0000E4190000}"/>
    <cellStyle name="Normal 42 3 4" xfId="7378" xr:uid="{00000000-0005-0000-0000-0000E5190000}"/>
    <cellStyle name="Normal 42 3 5" xfId="7379" xr:uid="{00000000-0005-0000-0000-0000E6190000}"/>
    <cellStyle name="Normal 42 4" xfId="1377" xr:uid="{00000000-0005-0000-0000-0000E7190000}"/>
    <cellStyle name="Normal 42 4 2" xfId="7380" xr:uid="{00000000-0005-0000-0000-0000E8190000}"/>
    <cellStyle name="Normal 42 4 2 2" xfId="7381" xr:uid="{00000000-0005-0000-0000-0000E9190000}"/>
    <cellStyle name="Normal 42 4 3" xfId="7382" xr:uid="{00000000-0005-0000-0000-0000EA190000}"/>
    <cellStyle name="Normal 42 4 4" xfId="7383" xr:uid="{00000000-0005-0000-0000-0000EB190000}"/>
    <cellStyle name="Normal 42 5" xfId="7384" xr:uid="{00000000-0005-0000-0000-0000EC190000}"/>
    <cellStyle name="Normal 42 5 2" xfId="7385" xr:uid="{00000000-0005-0000-0000-0000ED190000}"/>
    <cellStyle name="Normal 42 6" xfId="7386" xr:uid="{00000000-0005-0000-0000-0000EE190000}"/>
    <cellStyle name="Normal 42 7" xfId="7387" xr:uid="{00000000-0005-0000-0000-0000EF190000}"/>
    <cellStyle name="Normal 43" xfId="1378" xr:uid="{00000000-0005-0000-0000-0000F0190000}"/>
    <cellStyle name="Normal 43 2" xfId="1379" xr:uid="{00000000-0005-0000-0000-0000F1190000}"/>
    <cellStyle name="Normal 43 2 2" xfId="1380" xr:uid="{00000000-0005-0000-0000-0000F2190000}"/>
    <cellStyle name="Normal 43 2 2 2" xfId="1381" xr:uid="{00000000-0005-0000-0000-0000F3190000}"/>
    <cellStyle name="Normal 43 2 2 2 2" xfId="7388" xr:uid="{00000000-0005-0000-0000-0000F4190000}"/>
    <cellStyle name="Normal 43 2 2 2 2 2" xfId="7389" xr:uid="{00000000-0005-0000-0000-0000F5190000}"/>
    <cellStyle name="Normal 43 2 2 2 3" xfId="7390" xr:uid="{00000000-0005-0000-0000-0000F6190000}"/>
    <cellStyle name="Normal 43 2 2 2 4" xfId="7391" xr:uid="{00000000-0005-0000-0000-0000F7190000}"/>
    <cellStyle name="Normal 43 2 2 3" xfId="7392" xr:uid="{00000000-0005-0000-0000-0000F8190000}"/>
    <cellStyle name="Normal 43 2 2 3 2" xfId="7393" xr:uid="{00000000-0005-0000-0000-0000F9190000}"/>
    <cellStyle name="Normal 43 2 2 4" xfId="7394" xr:uid="{00000000-0005-0000-0000-0000FA190000}"/>
    <cellStyle name="Normal 43 2 2 5" xfId="7395" xr:uid="{00000000-0005-0000-0000-0000FB190000}"/>
    <cellStyle name="Normal 43 2 3" xfId="1382" xr:uid="{00000000-0005-0000-0000-0000FC190000}"/>
    <cellStyle name="Normal 43 2 3 2" xfId="7396" xr:uid="{00000000-0005-0000-0000-0000FD190000}"/>
    <cellStyle name="Normal 43 2 3 2 2" xfId="7397" xr:uid="{00000000-0005-0000-0000-0000FE190000}"/>
    <cellStyle name="Normal 43 2 3 3" xfId="7398" xr:uid="{00000000-0005-0000-0000-0000FF190000}"/>
    <cellStyle name="Normal 43 2 3 4" xfId="7399" xr:uid="{00000000-0005-0000-0000-0000001A0000}"/>
    <cellStyle name="Normal 43 2 4" xfId="7400" xr:uid="{00000000-0005-0000-0000-0000011A0000}"/>
    <cellStyle name="Normal 43 2 4 2" xfId="7401" xr:uid="{00000000-0005-0000-0000-0000021A0000}"/>
    <cellStyle name="Normal 43 2 5" xfId="7402" xr:uid="{00000000-0005-0000-0000-0000031A0000}"/>
    <cellStyle name="Normal 43 2 6" xfId="7403" xr:uid="{00000000-0005-0000-0000-0000041A0000}"/>
    <cellStyle name="Normal 43 3" xfId="1383" xr:uid="{00000000-0005-0000-0000-0000051A0000}"/>
    <cellStyle name="Normal 43 3 2" xfId="1384" xr:uid="{00000000-0005-0000-0000-0000061A0000}"/>
    <cellStyle name="Normal 43 3 2 2" xfId="7404" xr:uid="{00000000-0005-0000-0000-0000071A0000}"/>
    <cellStyle name="Normal 43 3 2 2 2" xfId="7405" xr:uid="{00000000-0005-0000-0000-0000081A0000}"/>
    <cellStyle name="Normal 43 3 2 3" xfId="7406" xr:uid="{00000000-0005-0000-0000-0000091A0000}"/>
    <cellStyle name="Normal 43 3 2 4" xfId="7407" xr:uid="{00000000-0005-0000-0000-00000A1A0000}"/>
    <cellStyle name="Normal 43 3 3" xfId="7408" xr:uid="{00000000-0005-0000-0000-00000B1A0000}"/>
    <cellStyle name="Normal 43 3 3 2" xfId="7409" xr:uid="{00000000-0005-0000-0000-00000C1A0000}"/>
    <cellStyle name="Normal 43 3 4" xfId="7410" xr:uid="{00000000-0005-0000-0000-00000D1A0000}"/>
    <cellStyle name="Normal 43 3 5" xfId="7411" xr:uid="{00000000-0005-0000-0000-00000E1A0000}"/>
    <cellStyle name="Normal 43 4" xfId="1385" xr:uid="{00000000-0005-0000-0000-00000F1A0000}"/>
    <cellStyle name="Normal 43 4 2" xfId="7412" xr:uid="{00000000-0005-0000-0000-0000101A0000}"/>
    <cellStyle name="Normal 43 4 2 2" xfId="7413" xr:uid="{00000000-0005-0000-0000-0000111A0000}"/>
    <cellStyle name="Normal 43 4 3" xfId="7414" xr:uid="{00000000-0005-0000-0000-0000121A0000}"/>
    <cellStyle name="Normal 43 4 4" xfId="7415" xr:uid="{00000000-0005-0000-0000-0000131A0000}"/>
    <cellStyle name="Normal 43 5" xfId="7416" xr:uid="{00000000-0005-0000-0000-0000141A0000}"/>
    <cellStyle name="Normal 43 5 2" xfId="7417" xr:uid="{00000000-0005-0000-0000-0000151A0000}"/>
    <cellStyle name="Normal 43 6" xfId="7418" xr:uid="{00000000-0005-0000-0000-0000161A0000}"/>
    <cellStyle name="Normal 43 7" xfId="7419" xr:uid="{00000000-0005-0000-0000-0000171A0000}"/>
    <cellStyle name="Normal 44" xfId="1386" xr:uid="{00000000-0005-0000-0000-0000181A0000}"/>
    <cellStyle name="Normal 44 2" xfId="1387" xr:uid="{00000000-0005-0000-0000-0000191A0000}"/>
    <cellStyle name="Normal 44 2 2" xfId="1388" xr:uid="{00000000-0005-0000-0000-00001A1A0000}"/>
    <cellStyle name="Normal 44 3" xfId="1389" xr:uid="{00000000-0005-0000-0000-00001B1A0000}"/>
    <cellStyle name="Normal 44 3 2" xfId="1390" xr:uid="{00000000-0005-0000-0000-00001C1A0000}"/>
    <cellStyle name="Normal 44 3 2 2" xfId="7420" xr:uid="{00000000-0005-0000-0000-00001D1A0000}"/>
    <cellStyle name="Normal 44 3 2 2 2" xfId="7421" xr:uid="{00000000-0005-0000-0000-00001E1A0000}"/>
    <cellStyle name="Normal 44 3 2 3" xfId="7422" xr:uid="{00000000-0005-0000-0000-00001F1A0000}"/>
    <cellStyle name="Normal 44 3 2 4" xfId="7423" xr:uid="{00000000-0005-0000-0000-0000201A0000}"/>
    <cellStyle name="Normal 44 3 3" xfId="7424" xr:uid="{00000000-0005-0000-0000-0000211A0000}"/>
    <cellStyle name="Normal 44 3 3 2" xfId="7425" xr:uid="{00000000-0005-0000-0000-0000221A0000}"/>
    <cellStyle name="Normal 44 3 4" xfId="7426" xr:uid="{00000000-0005-0000-0000-0000231A0000}"/>
    <cellStyle name="Normal 44 3 5" xfId="7427" xr:uid="{00000000-0005-0000-0000-0000241A0000}"/>
    <cellStyle name="Normal 44 4" xfId="1391" xr:uid="{00000000-0005-0000-0000-0000251A0000}"/>
    <cellStyle name="Normal 44 4 2" xfId="7428" xr:uid="{00000000-0005-0000-0000-0000261A0000}"/>
    <cellStyle name="Normal 44 4 2 2" xfId="7429" xr:uid="{00000000-0005-0000-0000-0000271A0000}"/>
    <cellStyle name="Normal 44 4 3" xfId="7430" xr:uid="{00000000-0005-0000-0000-0000281A0000}"/>
    <cellStyle name="Normal 44 4 4" xfId="7431" xr:uid="{00000000-0005-0000-0000-0000291A0000}"/>
    <cellStyle name="Normal 44 5" xfId="7432" xr:uid="{00000000-0005-0000-0000-00002A1A0000}"/>
    <cellStyle name="Normal 44 5 2" xfId="7433" xr:uid="{00000000-0005-0000-0000-00002B1A0000}"/>
    <cellStyle name="Normal 44 6" xfId="7434" xr:uid="{00000000-0005-0000-0000-00002C1A0000}"/>
    <cellStyle name="Normal 44 7" xfId="7435" xr:uid="{00000000-0005-0000-0000-00002D1A0000}"/>
    <cellStyle name="Normal 45" xfId="1392" xr:uid="{00000000-0005-0000-0000-00002E1A0000}"/>
    <cellStyle name="Normal 45 2" xfId="1393" xr:uid="{00000000-0005-0000-0000-00002F1A0000}"/>
    <cellStyle name="Normal 45 2 2" xfId="1394" xr:uid="{00000000-0005-0000-0000-0000301A0000}"/>
    <cellStyle name="Normal 45 2 2 2" xfId="7436" xr:uid="{00000000-0005-0000-0000-0000311A0000}"/>
    <cellStyle name="Normal 45 2 2 2 2" xfId="7437" xr:uid="{00000000-0005-0000-0000-0000321A0000}"/>
    <cellStyle name="Normal 45 2 2 3" xfId="7438" xr:uid="{00000000-0005-0000-0000-0000331A0000}"/>
    <cellStyle name="Normal 45 2 2 4" xfId="7439" xr:uid="{00000000-0005-0000-0000-0000341A0000}"/>
    <cellStyle name="Normal 45 2 3" xfId="7440" xr:uid="{00000000-0005-0000-0000-0000351A0000}"/>
    <cellStyle name="Normal 45 2 3 2" xfId="7441" xr:uid="{00000000-0005-0000-0000-0000361A0000}"/>
    <cellStyle name="Normal 45 2 4" xfId="7442" xr:uid="{00000000-0005-0000-0000-0000371A0000}"/>
    <cellStyle name="Normal 45 2 5" xfId="7443" xr:uid="{00000000-0005-0000-0000-0000381A0000}"/>
    <cellStyle name="Normal 45 3" xfId="1395" xr:uid="{00000000-0005-0000-0000-0000391A0000}"/>
    <cellStyle name="Normal 45 3 2" xfId="7444" xr:uid="{00000000-0005-0000-0000-00003A1A0000}"/>
    <cellStyle name="Normal 45 3 2 2" xfId="7445" xr:uid="{00000000-0005-0000-0000-00003B1A0000}"/>
    <cellStyle name="Normal 45 3 3" xfId="7446" xr:uid="{00000000-0005-0000-0000-00003C1A0000}"/>
    <cellStyle name="Normal 45 3 4" xfId="7447" xr:uid="{00000000-0005-0000-0000-00003D1A0000}"/>
    <cellStyle name="Normal 45 4" xfId="7448" xr:uid="{00000000-0005-0000-0000-00003E1A0000}"/>
    <cellStyle name="Normal 45 4 2" xfId="7449" xr:uid="{00000000-0005-0000-0000-00003F1A0000}"/>
    <cellStyle name="Normal 45 5" xfId="7450" xr:uid="{00000000-0005-0000-0000-0000401A0000}"/>
    <cellStyle name="Normal 45 6" xfId="7451" xr:uid="{00000000-0005-0000-0000-0000411A0000}"/>
    <cellStyle name="Normal 46" xfId="1396" xr:uid="{00000000-0005-0000-0000-0000421A0000}"/>
    <cellStyle name="Normal 46 2" xfId="1397" xr:uid="{00000000-0005-0000-0000-0000431A0000}"/>
    <cellStyle name="Normal 46 2 2" xfId="1398" xr:uid="{00000000-0005-0000-0000-0000441A0000}"/>
    <cellStyle name="Normal 46 2 2 2" xfId="7452" xr:uid="{00000000-0005-0000-0000-0000451A0000}"/>
    <cellStyle name="Normal 46 2 2 2 2" xfId="7453" xr:uid="{00000000-0005-0000-0000-0000461A0000}"/>
    <cellStyle name="Normal 46 2 2 3" xfId="7454" xr:uid="{00000000-0005-0000-0000-0000471A0000}"/>
    <cellStyle name="Normal 46 2 2 4" xfId="7455" xr:uid="{00000000-0005-0000-0000-0000481A0000}"/>
    <cellStyle name="Normal 46 2 3" xfId="7456" xr:uid="{00000000-0005-0000-0000-0000491A0000}"/>
    <cellStyle name="Normal 46 2 3 2" xfId="7457" xr:uid="{00000000-0005-0000-0000-00004A1A0000}"/>
    <cellStyle name="Normal 46 2 4" xfId="7458" xr:uid="{00000000-0005-0000-0000-00004B1A0000}"/>
    <cellStyle name="Normal 46 2 5" xfId="7459" xr:uid="{00000000-0005-0000-0000-00004C1A0000}"/>
    <cellStyle name="Normal 46 3" xfId="1399" xr:uid="{00000000-0005-0000-0000-00004D1A0000}"/>
    <cellStyle name="Normal 46 3 2" xfId="7460" xr:uid="{00000000-0005-0000-0000-00004E1A0000}"/>
    <cellStyle name="Normal 46 3 2 2" xfId="7461" xr:uid="{00000000-0005-0000-0000-00004F1A0000}"/>
    <cellStyle name="Normal 46 3 3" xfId="7462" xr:uid="{00000000-0005-0000-0000-0000501A0000}"/>
    <cellStyle name="Normal 46 3 4" xfId="7463" xr:uid="{00000000-0005-0000-0000-0000511A0000}"/>
    <cellStyle name="Normal 46 4" xfId="7464" xr:uid="{00000000-0005-0000-0000-0000521A0000}"/>
    <cellStyle name="Normal 46 4 2" xfId="7465" xr:uid="{00000000-0005-0000-0000-0000531A0000}"/>
    <cellStyle name="Normal 46 5" xfId="7466" xr:uid="{00000000-0005-0000-0000-0000541A0000}"/>
    <cellStyle name="Normal 46 6" xfId="7467" xr:uid="{00000000-0005-0000-0000-0000551A0000}"/>
    <cellStyle name="Normal 47" xfId="1400" xr:uid="{00000000-0005-0000-0000-0000561A0000}"/>
    <cellStyle name="Normal 47 2" xfId="1401" xr:uid="{00000000-0005-0000-0000-0000571A0000}"/>
    <cellStyle name="Normal 47 2 2" xfId="1402" xr:uid="{00000000-0005-0000-0000-0000581A0000}"/>
    <cellStyle name="Normal 47 2 2 2" xfId="7468" xr:uid="{00000000-0005-0000-0000-0000591A0000}"/>
    <cellStyle name="Normal 47 2 2 2 2" xfId="7469" xr:uid="{00000000-0005-0000-0000-00005A1A0000}"/>
    <cellStyle name="Normal 47 2 2 3" xfId="7470" xr:uid="{00000000-0005-0000-0000-00005B1A0000}"/>
    <cellStyle name="Normal 47 2 2 4" xfId="7471" xr:uid="{00000000-0005-0000-0000-00005C1A0000}"/>
    <cellStyle name="Normal 47 2 3" xfId="7472" xr:uid="{00000000-0005-0000-0000-00005D1A0000}"/>
    <cellStyle name="Normal 47 2 3 2" xfId="7473" xr:uid="{00000000-0005-0000-0000-00005E1A0000}"/>
    <cellStyle name="Normal 47 2 4" xfId="7474" xr:uid="{00000000-0005-0000-0000-00005F1A0000}"/>
    <cellStyle name="Normal 47 2 5" xfId="7475" xr:uid="{00000000-0005-0000-0000-0000601A0000}"/>
    <cellStyle name="Normal 47 3" xfId="1403" xr:uid="{00000000-0005-0000-0000-0000611A0000}"/>
    <cellStyle name="Normal 47 3 2" xfId="7476" xr:uid="{00000000-0005-0000-0000-0000621A0000}"/>
    <cellStyle name="Normal 47 3 2 2" xfId="7477" xr:uid="{00000000-0005-0000-0000-0000631A0000}"/>
    <cellStyle name="Normal 47 3 3" xfId="7478" xr:uid="{00000000-0005-0000-0000-0000641A0000}"/>
    <cellStyle name="Normal 47 3 4" xfId="7479" xr:uid="{00000000-0005-0000-0000-0000651A0000}"/>
    <cellStyle name="Normal 47 4" xfId="7480" xr:uid="{00000000-0005-0000-0000-0000661A0000}"/>
    <cellStyle name="Normal 47 4 2" xfId="7481" xr:uid="{00000000-0005-0000-0000-0000671A0000}"/>
    <cellStyle name="Normal 47 5" xfId="7482" xr:uid="{00000000-0005-0000-0000-0000681A0000}"/>
    <cellStyle name="Normal 47 6" xfId="7483" xr:uid="{00000000-0005-0000-0000-0000691A0000}"/>
    <cellStyle name="Normal 48" xfId="1404" xr:uid="{00000000-0005-0000-0000-00006A1A0000}"/>
    <cellStyle name="Normal 48 2" xfId="1405" xr:uid="{00000000-0005-0000-0000-00006B1A0000}"/>
    <cellStyle name="Normal 48 2 2" xfId="1406" xr:uid="{00000000-0005-0000-0000-00006C1A0000}"/>
    <cellStyle name="Normal 48 2 2 2" xfId="7484" xr:uid="{00000000-0005-0000-0000-00006D1A0000}"/>
    <cellStyle name="Normal 48 2 2 2 2" xfId="7485" xr:uid="{00000000-0005-0000-0000-00006E1A0000}"/>
    <cellStyle name="Normal 48 2 2 3" xfId="7486" xr:uid="{00000000-0005-0000-0000-00006F1A0000}"/>
    <cellStyle name="Normal 48 2 2 4" xfId="7487" xr:uid="{00000000-0005-0000-0000-0000701A0000}"/>
    <cellStyle name="Normal 48 2 3" xfId="7488" xr:uid="{00000000-0005-0000-0000-0000711A0000}"/>
    <cellStyle name="Normal 48 2 3 2" xfId="7489" xr:uid="{00000000-0005-0000-0000-0000721A0000}"/>
    <cellStyle name="Normal 48 2 4" xfId="7490" xr:uid="{00000000-0005-0000-0000-0000731A0000}"/>
    <cellStyle name="Normal 48 2 5" xfId="7491" xr:uid="{00000000-0005-0000-0000-0000741A0000}"/>
    <cellStyle name="Normal 48 3" xfId="1407" xr:uid="{00000000-0005-0000-0000-0000751A0000}"/>
    <cellStyle name="Normal 48 3 2" xfId="7492" xr:uid="{00000000-0005-0000-0000-0000761A0000}"/>
    <cellStyle name="Normal 48 3 2 2" xfId="7493" xr:uid="{00000000-0005-0000-0000-0000771A0000}"/>
    <cellStyle name="Normal 48 3 3" xfId="7494" xr:uid="{00000000-0005-0000-0000-0000781A0000}"/>
    <cellStyle name="Normal 48 3 4" xfId="7495" xr:uid="{00000000-0005-0000-0000-0000791A0000}"/>
    <cellStyle name="Normal 48 4" xfId="7496" xr:uid="{00000000-0005-0000-0000-00007A1A0000}"/>
    <cellStyle name="Normal 48 4 2" xfId="7497" xr:uid="{00000000-0005-0000-0000-00007B1A0000}"/>
    <cellStyle name="Normal 48 5" xfId="7498" xr:uid="{00000000-0005-0000-0000-00007C1A0000}"/>
    <cellStyle name="Normal 48 6" xfId="7499" xr:uid="{00000000-0005-0000-0000-00007D1A0000}"/>
    <cellStyle name="Normal 49" xfId="1408" xr:uid="{00000000-0005-0000-0000-00007E1A0000}"/>
    <cellStyle name="Normal 49 2" xfId="1409" xr:uid="{00000000-0005-0000-0000-00007F1A0000}"/>
    <cellStyle name="Normal 49 2 2" xfId="1410" xr:uid="{00000000-0005-0000-0000-0000801A0000}"/>
    <cellStyle name="Normal 49 2 2 2" xfId="7500" xr:uid="{00000000-0005-0000-0000-0000811A0000}"/>
    <cellStyle name="Normal 49 2 2 2 2" xfId="7501" xr:uid="{00000000-0005-0000-0000-0000821A0000}"/>
    <cellStyle name="Normal 49 2 2 3" xfId="7502" xr:uid="{00000000-0005-0000-0000-0000831A0000}"/>
    <cellStyle name="Normal 49 2 2 4" xfId="7503" xr:uid="{00000000-0005-0000-0000-0000841A0000}"/>
    <cellStyle name="Normal 49 2 3" xfId="7504" xr:uid="{00000000-0005-0000-0000-0000851A0000}"/>
    <cellStyle name="Normal 49 2 3 2" xfId="7505" xr:uid="{00000000-0005-0000-0000-0000861A0000}"/>
    <cellStyle name="Normal 49 2 4" xfId="7506" xr:uid="{00000000-0005-0000-0000-0000871A0000}"/>
    <cellStyle name="Normal 49 2 5" xfId="7507" xr:uid="{00000000-0005-0000-0000-0000881A0000}"/>
    <cellStyle name="Normal 49 3" xfId="1411" xr:uid="{00000000-0005-0000-0000-0000891A0000}"/>
    <cellStyle name="Normal 49 3 2" xfId="7508" xr:uid="{00000000-0005-0000-0000-00008A1A0000}"/>
    <cellStyle name="Normal 49 3 2 2" xfId="7509" xr:uid="{00000000-0005-0000-0000-00008B1A0000}"/>
    <cellStyle name="Normal 49 3 3" xfId="7510" xr:uid="{00000000-0005-0000-0000-00008C1A0000}"/>
    <cellStyle name="Normal 49 3 4" xfId="7511" xr:uid="{00000000-0005-0000-0000-00008D1A0000}"/>
    <cellStyle name="Normal 49 4" xfId="7512" xr:uid="{00000000-0005-0000-0000-00008E1A0000}"/>
    <cellStyle name="Normal 49 4 2" xfId="7513" xr:uid="{00000000-0005-0000-0000-00008F1A0000}"/>
    <cellStyle name="Normal 49 5" xfId="7514" xr:uid="{00000000-0005-0000-0000-0000901A0000}"/>
    <cellStyle name="Normal 49 6" xfId="7515" xr:uid="{00000000-0005-0000-0000-0000911A0000}"/>
    <cellStyle name="Normal 5" xfId="5" xr:uid="{00000000-0005-0000-0000-0000921A0000}"/>
    <cellStyle name="Normal 5 2" xfId="1413" xr:uid="{00000000-0005-0000-0000-0000931A0000}"/>
    <cellStyle name="Normal 5 2 2" xfId="1414" xr:uid="{00000000-0005-0000-0000-0000941A0000}"/>
    <cellStyle name="Normal 5 2 2 2" xfId="1415" xr:uid="{00000000-0005-0000-0000-0000951A0000}"/>
    <cellStyle name="Normal 5 2 2 2 2" xfId="1416" xr:uid="{00000000-0005-0000-0000-0000961A0000}"/>
    <cellStyle name="Normal 5 2 2 2 2 2" xfId="1417" xr:uid="{00000000-0005-0000-0000-0000971A0000}"/>
    <cellStyle name="Normal 5 2 2 2 2 2 2" xfId="1418" xr:uid="{00000000-0005-0000-0000-0000981A0000}"/>
    <cellStyle name="Normal 5 2 2 2 2 2 2 2" xfId="7516" xr:uid="{00000000-0005-0000-0000-0000991A0000}"/>
    <cellStyle name="Normal 5 2 2 2 2 2 2 2 2" xfId="7517" xr:uid="{00000000-0005-0000-0000-00009A1A0000}"/>
    <cellStyle name="Normal 5 2 2 2 2 2 2 3" xfId="7518" xr:uid="{00000000-0005-0000-0000-00009B1A0000}"/>
    <cellStyle name="Normal 5 2 2 2 2 2 2 4" xfId="7519" xr:uid="{00000000-0005-0000-0000-00009C1A0000}"/>
    <cellStyle name="Normal 5 2 2 2 2 2 3" xfId="7520" xr:uid="{00000000-0005-0000-0000-00009D1A0000}"/>
    <cellStyle name="Normal 5 2 2 2 2 2 3 2" xfId="7521" xr:uid="{00000000-0005-0000-0000-00009E1A0000}"/>
    <cellStyle name="Normal 5 2 2 2 2 2 4" xfId="7522" xr:uid="{00000000-0005-0000-0000-00009F1A0000}"/>
    <cellStyle name="Normal 5 2 2 2 2 2 5" xfId="7523" xr:uid="{00000000-0005-0000-0000-0000A01A0000}"/>
    <cellStyle name="Normal 5 2 2 2 2 3" xfId="1419" xr:uid="{00000000-0005-0000-0000-0000A11A0000}"/>
    <cellStyle name="Normal 5 2 2 2 2 3 2" xfId="7524" xr:uid="{00000000-0005-0000-0000-0000A21A0000}"/>
    <cellStyle name="Normal 5 2 2 2 2 3 2 2" xfId="7525" xr:uid="{00000000-0005-0000-0000-0000A31A0000}"/>
    <cellStyle name="Normal 5 2 2 2 2 3 3" xfId="7526" xr:uid="{00000000-0005-0000-0000-0000A41A0000}"/>
    <cellStyle name="Normal 5 2 2 2 2 3 4" xfId="7527" xr:uid="{00000000-0005-0000-0000-0000A51A0000}"/>
    <cellStyle name="Normal 5 2 2 2 2 4" xfId="7528" xr:uid="{00000000-0005-0000-0000-0000A61A0000}"/>
    <cellStyle name="Normal 5 2 2 2 2 4 2" xfId="7529" xr:uid="{00000000-0005-0000-0000-0000A71A0000}"/>
    <cellStyle name="Normal 5 2 2 2 2 5" xfId="7530" xr:uid="{00000000-0005-0000-0000-0000A81A0000}"/>
    <cellStyle name="Normal 5 2 2 2 2 6" xfId="7531" xr:uid="{00000000-0005-0000-0000-0000A91A0000}"/>
    <cellStyle name="Normal 5 2 2 2 3" xfId="1420" xr:uid="{00000000-0005-0000-0000-0000AA1A0000}"/>
    <cellStyle name="Normal 5 2 2 2 3 2" xfId="1421" xr:uid="{00000000-0005-0000-0000-0000AB1A0000}"/>
    <cellStyle name="Normal 5 2 2 2 3 2 2" xfId="7532" xr:uid="{00000000-0005-0000-0000-0000AC1A0000}"/>
    <cellStyle name="Normal 5 2 2 2 3 2 2 2" xfId="7533" xr:uid="{00000000-0005-0000-0000-0000AD1A0000}"/>
    <cellStyle name="Normal 5 2 2 2 3 2 3" xfId="7534" xr:uid="{00000000-0005-0000-0000-0000AE1A0000}"/>
    <cellStyle name="Normal 5 2 2 2 3 2 4" xfId="7535" xr:uid="{00000000-0005-0000-0000-0000AF1A0000}"/>
    <cellStyle name="Normal 5 2 2 2 3 3" xfId="7536" xr:uid="{00000000-0005-0000-0000-0000B01A0000}"/>
    <cellStyle name="Normal 5 2 2 2 3 3 2" xfId="7537" xr:uid="{00000000-0005-0000-0000-0000B11A0000}"/>
    <cellStyle name="Normal 5 2 2 2 3 4" xfId="7538" xr:uid="{00000000-0005-0000-0000-0000B21A0000}"/>
    <cellStyle name="Normal 5 2 2 2 3 5" xfId="7539" xr:uid="{00000000-0005-0000-0000-0000B31A0000}"/>
    <cellStyle name="Normal 5 2 2 2 4" xfId="1422" xr:uid="{00000000-0005-0000-0000-0000B41A0000}"/>
    <cellStyle name="Normal 5 2 2 2 4 2" xfId="7540" xr:uid="{00000000-0005-0000-0000-0000B51A0000}"/>
    <cellStyle name="Normal 5 2 2 2 4 2 2" xfId="7541" xr:uid="{00000000-0005-0000-0000-0000B61A0000}"/>
    <cellStyle name="Normal 5 2 2 2 4 3" xfId="7542" xr:uid="{00000000-0005-0000-0000-0000B71A0000}"/>
    <cellStyle name="Normal 5 2 2 2 4 4" xfId="7543" xr:uid="{00000000-0005-0000-0000-0000B81A0000}"/>
    <cellStyle name="Normal 5 2 2 2 5" xfId="7544" xr:uid="{00000000-0005-0000-0000-0000B91A0000}"/>
    <cellStyle name="Normal 5 2 2 2 5 2" xfId="7545" xr:uid="{00000000-0005-0000-0000-0000BA1A0000}"/>
    <cellStyle name="Normal 5 2 2 2 6" xfId="7546" xr:uid="{00000000-0005-0000-0000-0000BB1A0000}"/>
    <cellStyle name="Normal 5 2 2 2 7" xfId="7547" xr:uid="{00000000-0005-0000-0000-0000BC1A0000}"/>
    <cellStyle name="Normal 5 2 2 3" xfId="1423" xr:uid="{00000000-0005-0000-0000-0000BD1A0000}"/>
    <cellStyle name="Normal 5 2 2 3 2" xfId="1424" xr:uid="{00000000-0005-0000-0000-0000BE1A0000}"/>
    <cellStyle name="Normal 5 2 2 3 2 2" xfId="1425" xr:uid="{00000000-0005-0000-0000-0000BF1A0000}"/>
    <cellStyle name="Normal 5 2 2 3 2 2 2" xfId="7548" xr:uid="{00000000-0005-0000-0000-0000C01A0000}"/>
    <cellStyle name="Normal 5 2 2 3 2 2 2 2" xfId="7549" xr:uid="{00000000-0005-0000-0000-0000C11A0000}"/>
    <cellStyle name="Normal 5 2 2 3 2 2 3" xfId="7550" xr:uid="{00000000-0005-0000-0000-0000C21A0000}"/>
    <cellStyle name="Normal 5 2 2 3 2 2 4" xfId="7551" xr:uid="{00000000-0005-0000-0000-0000C31A0000}"/>
    <cellStyle name="Normal 5 2 2 3 2 3" xfId="7552" xr:uid="{00000000-0005-0000-0000-0000C41A0000}"/>
    <cellStyle name="Normal 5 2 2 3 2 3 2" xfId="7553" xr:uid="{00000000-0005-0000-0000-0000C51A0000}"/>
    <cellStyle name="Normal 5 2 2 3 2 4" xfId="7554" xr:uid="{00000000-0005-0000-0000-0000C61A0000}"/>
    <cellStyle name="Normal 5 2 2 3 2 5" xfId="7555" xr:uid="{00000000-0005-0000-0000-0000C71A0000}"/>
    <cellStyle name="Normal 5 2 2 3 3" xfId="1426" xr:uid="{00000000-0005-0000-0000-0000C81A0000}"/>
    <cellStyle name="Normal 5 2 2 3 3 2" xfId="7556" xr:uid="{00000000-0005-0000-0000-0000C91A0000}"/>
    <cellStyle name="Normal 5 2 2 3 3 2 2" xfId="7557" xr:uid="{00000000-0005-0000-0000-0000CA1A0000}"/>
    <cellStyle name="Normal 5 2 2 3 3 3" xfId="7558" xr:uid="{00000000-0005-0000-0000-0000CB1A0000}"/>
    <cellStyle name="Normal 5 2 2 3 3 4" xfId="7559" xr:uid="{00000000-0005-0000-0000-0000CC1A0000}"/>
    <cellStyle name="Normal 5 2 2 3 4" xfId="7560" xr:uid="{00000000-0005-0000-0000-0000CD1A0000}"/>
    <cellStyle name="Normal 5 2 2 3 4 2" xfId="7561" xr:uid="{00000000-0005-0000-0000-0000CE1A0000}"/>
    <cellStyle name="Normal 5 2 2 3 5" xfId="7562" xr:uid="{00000000-0005-0000-0000-0000CF1A0000}"/>
    <cellStyle name="Normal 5 2 2 3 6" xfId="7563" xr:uid="{00000000-0005-0000-0000-0000D01A0000}"/>
    <cellStyle name="Normal 5 2 2 4" xfId="1427" xr:uid="{00000000-0005-0000-0000-0000D11A0000}"/>
    <cellStyle name="Normal 5 2 2 4 2" xfId="1428" xr:uid="{00000000-0005-0000-0000-0000D21A0000}"/>
    <cellStyle name="Normal 5 2 2 4 2 2" xfId="7564" xr:uid="{00000000-0005-0000-0000-0000D31A0000}"/>
    <cellStyle name="Normal 5 2 2 4 2 2 2" xfId="7565" xr:uid="{00000000-0005-0000-0000-0000D41A0000}"/>
    <cellStyle name="Normal 5 2 2 4 2 3" xfId="7566" xr:uid="{00000000-0005-0000-0000-0000D51A0000}"/>
    <cellStyle name="Normal 5 2 2 4 2 4" xfId="7567" xr:uid="{00000000-0005-0000-0000-0000D61A0000}"/>
    <cellStyle name="Normal 5 2 2 4 3" xfId="7568" xr:uid="{00000000-0005-0000-0000-0000D71A0000}"/>
    <cellStyle name="Normal 5 2 2 4 3 2" xfId="7569" xr:uid="{00000000-0005-0000-0000-0000D81A0000}"/>
    <cellStyle name="Normal 5 2 2 4 4" xfId="7570" xr:uid="{00000000-0005-0000-0000-0000D91A0000}"/>
    <cellStyle name="Normal 5 2 2 4 5" xfId="7571" xr:uid="{00000000-0005-0000-0000-0000DA1A0000}"/>
    <cellStyle name="Normal 5 2 2 5" xfId="1429" xr:uid="{00000000-0005-0000-0000-0000DB1A0000}"/>
    <cellStyle name="Normal 5 2 2 5 2" xfId="7572" xr:uid="{00000000-0005-0000-0000-0000DC1A0000}"/>
    <cellStyle name="Normal 5 2 2 5 2 2" xfId="7573" xr:uid="{00000000-0005-0000-0000-0000DD1A0000}"/>
    <cellStyle name="Normal 5 2 2 5 3" xfId="7574" xr:uid="{00000000-0005-0000-0000-0000DE1A0000}"/>
    <cellStyle name="Normal 5 2 2 5 4" xfId="7575" xr:uid="{00000000-0005-0000-0000-0000DF1A0000}"/>
    <cellStyle name="Normal 5 2 2 6" xfId="7576" xr:uid="{00000000-0005-0000-0000-0000E01A0000}"/>
    <cellStyle name="Normal 5 2 2 6 2" xfId="7577" xr:uid="{00000000-0005-0000-0000-0000E11A0000}"/>
    <cellStyle name="Normal 5 2 2 7" xfId="7578" xr:uid="{00000000-0005-0000-0000-0000E21A0000}"/>
    <cellStyle name="Normal 5 2 2 8" xfId="7579" xr:uid="{00000000-0005-0000-0000-0000E31A0000}"/>
    <cellStyle name="Normal 5 2 3" xfId="1430" xr:uid="{00000000-0005-0000-0000-0000E41A0000}"/>
    <cellStyle name="Normal 5 2 3 2" xfId="1431" xr:uid="{00000000-0005-0000-0000-0000E51A0000}"/>
    <cellStyle name="Normal 5 2 3 2 2" xfId="1432" xr:uid="{00000000-0005-0000-0000-0000E61A0000}"/>
    <cellStyle name="Normal 5 2 3 2 2 2" xfId="1433" xr:uid="{00000000-0005-0000-0000-0000E71A0000}"/>
    <cellStyle name="Normal 5 2 3 2 2 2 2" xfId="7580" xr:uid="{00000000-0005-0000-0000-0000E81A0000}"/>
    <cellStyle name="Normal 5 2 3 2 2 2 2 2" xfId="7581" xr:uid="{00000000-0005-0000-0000-0000E91A0000}"/>
    <cellStyle name="Normal 5 2 3 2 2 2 3" xfId="7582" xr:uid="{00000000-0005-0000-0000-0000EA1A0000}"/>
    <cellStyle name="Normal 5 2 3 2 2 2 4" xfId="7583" xr:uid="{00000000-0005-0000-0000-0000EB1A0000}"/>
    <cellStyle name="Normal 5 2 3 2 2 3" xfId="7584" xr:uid="{00000000-0005-0000-0000-0000EC1A0000}"/>
    <cellStyle name="Normal 5 2 3 2 2 3 2" xfId="7585" xr:uid="{00000000-0005-0000-0000-0000ED1A0000}"/>
    <cellStyle name="Normal 5 2 3 2 2 4" xfId="7586" xr:uid="{00000000-0005-0000-0000-0000EE1A0000}"/>
    <cellStyle name="Normal 5 2 3 2 2 5" xfId="7587" xr:uid="{00000000-0005-0000-0000-0000EF1A0000}"/>
    <cellStyle name="Normal 5 2 3 2 3" xfId="1434" xr:uid="{00000000-0005-0000-0000-0000F01A0000}"/>
    <cellStyle name="Normal 5 2 3 2 3 2" xfId="7588" xr:uid="{00000000-0005-0000-0000-0000F11A0000}"/>
    <cellStyle name="Normal 5 2 3 2 3 2 2" xfId="7589" xr:uid="{00000000-0005-0000-0000-0000F21A0000}"/>
    <cellStyle name="Normal 5 2 3 2 3 3" xfId="7590" xr:uid="{00000000-0005-0000-0000-0000F31A0000}"/>
    <cellStyle name="Normal 5 2 3 2 3 4" xfId="7591" xr:uid="{00000000-0005-0000-0000-0000F41A0000}"/>
    <cellStyle name="Normal 5 2 3 2 4" xfId="7592" xr:uid="{00000000-0005-0000-0000-0000F51A0000}"/>
    <cellStyle name="Normal 5 2 3 2 4 2" xfId="7593" xr:uid="{00000000-0005-0000-0000-0000F61A0000}"/>
    <cellStyle name="Normal 5 2 3 2 5" xfId="7594" xr:uid="{00000000-0005-0000-0000-0000F71A0000}"/>
    <cellStyle name="Normal 5 2 3 2 6" xfId="7595" xr:uid="{00000000-0005-0000-0000-0000F81A0000}"/>
    <cellStyle name="Normal 5 2 3 3" xfId="1435" xr:uid="{00000000-0005-0000-0000-0000F91A0000}"/>
    <cellStyle name="Normal 5 2 3 3 2" xfId="1436" xr:uid="{00000000-0005-0000-0000-0000FA1A0000}"/>
    <cellStyle name="Normal 5 2 3 3 2 2" xfId="7596" xr:uid="{00000000-0005-0000-0000-0000FB1A0000}"/>
    <cellStyle name="Normal 5 2 3 3 2 2 2" xfId="7597" xr:uid="{00000000-0005-0000-0000-0000FC1A0000}"/>
    <cellStyle name="Normal 5 2 3 3 2 3" xfId="7598" xr:uid="{00000000-0005-0000-0000-0000FD1A0000}"/>
    <cellStyle name="Normal 5 2 3 3 2 4" xfId="7599" xr:uid="{00000000-0005-0000-0000-0000FE1A0000}"/>
    <cellStyle name="Normal 5 2 3 3 3" xfId="7600" xr:uid="{00000000-0005-0000-0000-0000FF1A0000}"/>
    <cellStyle name="Normal 5 2 3 3 3 2" xfId="7601" xr:uid="{00000000-0005-0000-0000-0000001B0000}"/>
    <cellStyle name="Normal 5 2 3 3 4" xfId="7602" xr:uid="{00000000-0005-0000-0000-0000011B0000}"/>
    <cellStyle name="Normal 5 2 3 3 5" xfId="7603" xr:uid="{00000000-0005-0000-0000-0000021B0000}"/>
    <cellStyle name="Normal 5 2 3 4" xfId="1437" xr:uid="{00000000-0005-0000-0000-0000031B0000}"/>
    <cellStyle name="Normal 5 2 3 4 2" xfId="7604" xr:uid="{00000000-0005-0000-0000-0000041B0000}"/>
    <cellStyle name="Normal 5 2 3 4 2 2" xfId="7605" xr:uid="{00000000-0005-0000-0000-0000051B0000}"/>
    <cellStyle name="Normal 5 2 3 4 3" xfId="7606" xr:uid="{00000000-0005-0000-0000-0000061B0000}"/>
    <cellStyle name="Normal 5 2 3 4 4" xfId="7607" xr:uid="{00000000-0005-0000-0000-0000071B0000}"/>
    <cellStyle name="Normal 5 2 3 5" xfId="7608" xr:uid="{00000000-0005-0000-0000-0000081B0000}"/>
    <cellStyle name="Normal 5 2 3 5 2" xfId="7609" xr:uid="{00000000-0005-0000-0000-0000091B0000}"/>
    <cellStyle name="Normal 5 2 3 6" xfId="7610" xr:uid="{00000000-0005-0000-0000-00000A1B0000}"/>
    <cellStyle name="Normal 5 2 3 7" xfId="7611" xr:uid="{00000000-0005-0000-0000-00000B1B0000}"/>
    <cellStyle name="Normal 5 2 4" xfId="1438" xr:uid="{00000000-0005-0000-0000-00000C1B0000}"/>
    <cellStyle name="Normal 5 2 4 2" xfId="1439" xr:uid="{00000000-0005-0000-0000-00000D1B0000}"/>
    <cellStyle name="Normal 5 2 4 2 2" xfId="1440" xr:uid="{00000000-0005-0000-0000-00000E1B0000}"/>
    <cellStyle name="Normal 5 2 4 2 2 2" xfId="7612" xr:uid="{00000000-0005-0000-0000-00000F1B0000}"/>
    <cellStyle name="Normal 5 2 4 2 2 2 2" xfId="7613" xr:uid="{00000000-0005-0000-0000-0000101B0000}"/>
    <cellStyle name="Normal 5 2 4 2 2 3" xfId="7614" xr:uid="{00000000-0005-0000-0000-0000111B0000}"/>
    <cellStyle name="Normal 5 2 4 2 2 4" xfId="7615" xr:uid="{00000000-0005-0000-0000-0000121B0000}"/>
    <cellStyle name="Normal 5 2 4 2 3" xfId="7616" xr:uid="{00000000-0005-0000-0000-0000131B0000}"/>
    <cellStyle name="Normal 5 2 4 2 3 2" xfId="7617" xr:uid="{00000000-0005-0000-0000-0000141B0000}"/>
    <cellStyle name="Normal 5 2 4 2 4" xfId="7618" xr:uid="{00000000-0005-0000-0000-0000151B0000}"/>
    <cellStyle name="Normal 5 2 4 2 5" xfId="7619" xr:uid="{00000000-0005-0000-0000-0000161B0000}"/>
    <cellStyle name="Normal 5 2 4 3" xfId="1441" xr:uid="{00000000-0005-0000-0000-0000171B0000}"/>
    <cellStyle name="Normal 5 2 4 3 2" xfId="7620" xr:uid="{00000000-0005-0000-0000-0000181B0000}"/>
    <cellStyle name="Normal 5 2 4 3 2 2" xfId="7621" xr:uid="{00000000-0005-0000-0000-0000191B0000}"/>
    <cellStyle name="Normal 5 2 4 3 3" xfId="7622" xr:uid="{00000000-0005-0000-0000-00001A1B0000}"/>
    <cellStyle name="Normal 5 2 4 3 4" xfId="7623" xr:uid="{00000000-0005-0000-0000-00001B1B0000}"/>
    <cellStyle name="Normal 5 2 4 4" xfId="7624" xr:uid="{00000000-0005-0000-0000-00001C1B0000}"/>
    <cellStyle name="Normal 5 2 4 4 2" xfId="7625" xr:uid="{00000000-0005-0000-0000-00001D1B0000}"/>
    <cellStyle name="Normal 5 2 4 5" xfId="7626" xr:uid="{00000000-0005-0000-0000-00001E1B0000}"/>
    <cellStyle name="Normal 5 2 4 6" xfId="7627" xr:uid="{00000000-0005-0000-0000-00001F1B0000}"/>
    <cellStyle name="Normal 5 2 5" xfId="1442" xr:uid="{00000000-0005-0000-0000-0000201B0000}"/>
    <cellStyle name="Normal 5 2 5 2" xfId="1443" xr:uid="{00000000-0005-0000-0000-0000211B0000}"/>
    <cellStyle name="Normal 5 2 5 2 2" xfId="7628" xr:uid="{00000000-0005-0000-0000-0000221B0000}"/>
    <cellStyle name="Normal 5 2 5 2 2 2" xfId="7629" xr:uid="{00000000-0005-0000-0000-0000231B0000}"/>
    <cellStyle name="Normal 5 2 5 2 3" xfId="7630" xr:uid="{00000000-0005-0000-0000-0000241B0000}"/>
    <cellStyle name="Normal 5 2 5 2 4" xfId="7631" xr:uid="{00000000-0005-0000-0000-0000251B0000}"/>
    <cellStyle name="Normal 5 2 5 3" xfId="7632" xr:uid="{00000000-0005-0000-0000-0000261B0000}"/>
    <cellStyle name="Normal 5 2 5 3 2" xfId="7633" xr:uid="{00000000-0005-0000-0000-0000271B0000}"/>
    <cellStyle name="Normal 5 2 5 4" xfId="7634" xr:uid="{00000000-0005-0000-0000-0000281B0000}"/>
    <cellStyle name="Normal 5 2 5 5" xfId="7635" xr:uid="{00000000-0005-0000-0000-0000291B0000}"/>
    <cellStyle name="Normal 5 2 6" xfId="1444" xr:uid="{00000000-0005-0000-0000-00002A1B0000}"/>
    <cellStyle name="Normal 5 2 6 2" xfId="7636" xr:uid="{00000000-0005-0000-0000-00002B1B0000}"/>
    <cellStyle name="Normal 5 2 6 2 2" xfId="7637" xr:uid="{00000000-0005-0000-0000-00002C1B0000}"/>
    <cellStyle name="Normal 5 2 6 3" xfId="7638" xr:uid="{00000000-0005-0000-0000-00002D1B0000}"/>
    <cellStyle name="Normal 5 2 6 4" xfId="7639" xr:uid="{00000000-0005-0000-0000-00002E1B0000}"/>
    <cellStyle name="Normal 5 2 7" xfId="7640" xr:uid="{00000000-0005-0000-0000-00002F1B0000}"/>
    <cellStyle name="Normal 5 2 7 2" xfId="7641" xr:uid="{00000000-0005-0000-0000-0000301B0000}"/>
    <cellStyle name="Normal 5 2 8" xfId="7642" xr:uid="{00000000-0005-0000-0000-0000311B0000}"/>
    <cellStyle name="Normal 5 2 9" xfId="7643" xr:uid="{00000000-0005-0000-0000-0000321B0000}"/>
    <cellStyle name="Normal 5 3" xfId="1445" xr:uid="{00000000-0005-0000-0000-0000331B0000}"/>
    <cellStyle name="Normal 5 3 2" xfId="1446" xr:uid="{00000000-0005-0000-0000-0000341B0000}"/>
    <cellStyle name="Normal 5 3 2 2" xfId="1447" xr:uid="{00000000-0005-0000-0000-0000351B0000}"/>
    <cellStyle name="Normal 5 3 2 2 2" xfId="1448" xr:uid="{00000000-0005-0000-0000-0000361B0000}"/>
    <cellStyle name="Normal 5 3 2 2 2 2" xfId="1449" xr:uid="{00000000-0005-0000-0000-0000371B0000}"/>
    <cellStyle name="Normal 5 3 2 2 2 2 2" xfId="1450" xr:uid="{00000000-0005-0000-0000-0000381B0000}"/>
    <cellStyle name="Normal 5 3 2 2 2 2 2 2" xfId="7644" xr:uid="{00000000-0005-0000-0000-0000391B0000}"/>
    <cellStyle name="Normal 5 3 2 2 2 2 2 2 2" xfId="7645" xr:uid="{00000000-0005-0000-0000-00003A1B0000}"/>
    <cellStyle name="Normal 5 3 2 2 2 2 2 3" xfId="7646" xr:uid="{00000000-0005-0000-0000-00003B1B0000}"/>
    <cellStyle name="Normal 5 3 2 2 2 2 2 4" xfId="7647" xr:uid="{00000000-0005-0000-0000-00003C1B0000}"/>
    <cellStyle name="Normal 5 3 2 2 2 2 3" xfId="7648" xr:uid="{00000000-0005-0000-0000-00003D1B0000}"/>
    <cellStyle name="Normal 5 3 2 2 2 2 3 2" xfId="7649" xr:uid="{00000000-0005-0000-0000-00003E1B0000}"/>
    <cellStyle name="Normal 5 3 2 2 2 2 4" xfId="7650" xr:uid="{00000000-0005-0000-0000-00003F1B0000}"/>
    <cellStyle name="Normal 5 3 2 2 2 2 5" xfId="7651" xr:uid="{00000000-0005-0000-0000-0000401B0000}"/>
    <cellStyle name="Normal 5 3 2 2 2 3" xfId="1451" xr:uid="{00000000-0005-0000-0000-0000411B0000}"/>
    <cellStyle name="Normal 5 3 2 2 2 3 2" xfId="7652" xr:uid="{00000000-0005-0000-0000-0000421B0000}"/>
    <cellStyle name="Normal 5 3 2 2 2 3 2 2" xfId="7653" xr:uid="{00000000-0005-0000-0000-0000431B0000}"/>
    <cellStyle name="Normal 5 3 2 2 2 3 3" xfId="7654" xr:uid="{00000000-0005-0000-0000-0000441B0000}"/>
    <cellStyle name="Normal 5 3 2 2 2 3 4" xfId="7655" xr:uid="{00000000-0005-0000-0000-0000451B0000}"/>
    <cellStyle name="Normal 5 3 2 2 2 4" xfId="7656" xr:uid="{00000000-0005-0000-0000-0000461B0000}"/>
    <cellStyle name="Normal 5 3 2 2 2 4 2" xfId="7657" xr:uid="{00000000-0005-0000-0000-0000471B0000}"/>
    <cellStyle name="Normal 5 3 2 2 2 5" xfId="7658" xr:uid="{00000000-0005-0000-0000-0000481B0000}"/>
    <cellStyle name="Normal 5 3 2 2 2 6" xfId="7659" xr:uid="{00000000-0005-0000-0000-0000491B0000}"/>
    <cellStyle name="Normal 5 3 2 2 3" xfId="1452" xr:uid="{00000000-0005-0000-0000-00004A1B0000}"/>
    <cellStyle name="Normal 5 3 2 2 3 2" xfId="1453" xr:uid="{00000000-0005-0000-0000-00004B1B0000}"/>
    <cellStyle name="Normal 5 3 2 2 3 2 2" xfId="7660" xr:uid="{00000000-0005-0000-0000-00004C1B0000}"/>
    <cellStyle name="Normal 5 3 2 2 3 2 2 2" xfId="7661" xr:uid="{00000000-0005-0000-0000-00004D1B0000}"/>
    <cellStyle name="Normal 5 3 2 2 3 2 3" xfId="7662" xr:uid="{00000000-0005-0000-0000-00004E1B0000}"/>
    <cellStyle name="Normal 5 3 2 2 3 2 4" xfId="7663" xr:uid="{00000000-0005-0000-0000-00004F1B0000}"/>
    <cellStyle name="Normal 5 3 2 2 3 3" xfId="7664" xr:uid="{00000000-0005-0000-0000-0000501B0000}"/>
    <cellStyle name="Normal 5 3 2 2 3 3 2" xfId="7665" xr:uid="{00000000-0005-0000-0000-0000511B0000}"/>
    <cellStyle name="Normal 5 3 2 2 3 4" xfId="7666" xr:uid="{00000000-0005-0000-0000-0000521B0000}"/>
    <cellStyle name="Normal 5 3 2 2 3 5" xfId="7667" xr:uid="{00000000-0005-0000-0000-0000531B0000}"/>
    <cellStyle name="Normal 5 3 2 2 4" xfId="1454" xr:uid="{00000000-0005-0000-0000-0000541B0000}"/>
    <cellStyle name="Normal 5 3 2 2 4 2" xfId="7668" xr:uid="{00000000-0005-0000-0000-0000551B0000}"/>
    <cellStyle name="Normal 5 3 2 2 4 2 2" xfId="7669" xr:uid="{00000000-0005-0000-0000-0000561B0000}"/>
    <cellStyle name="Normal 5 3 2 2 4 3" xfId="7670" xr:uid="{00000000-0005-0000-0000-0000571B0000}"/>
    <cellStyle name="Normal 5 3 2 2 4 4" xfId="7671" xr:uid="{00000000-0005-0000-0000-0000581B0000}"/>
    <cellStyle name="Normal 5 3 2 2 5" xfId="7672" xr:uid="{00000000-0005-0000-0000-0000591B0000}"/>
    <cellStyle name="Normal 5 3 2 2 5 2" xfId="7673" xr:uid="{00000000-0005-0000-0000-00005A1B0000}"/>
    <cellStyle name="Normal 5 3 2 2 6" xfId="7674" xr:uid="{00000000-0005-0000-0000-00005B1B0000}"/>
    <cellStyle name="Normal 5 3 2 2 7" xfId="7675" xr:uid="{00000000-0005-0000-0000-00005C1B0000}"/>
    <cellStyle name="Normal 5 3 2 3" xfId="1455" xr:uid="{00000000-0005-0000-0000-00005D1B0000}"/>
    <cellStyle name="Normal 5 3 2 3 2" xfId="1456" xr:uid="{00000000-0005-0000-0000-00005E1B0000}"/>
    <cellStyle name="Normal 5 3 2 3 2 2" xfId="1457" xr:uid="{00000000-0005-0000-0000-00005F1B0000}"/>
    <cellStyle name="Normal 5 3 2 3 2 2 2" xfId="7676" xr:uid="{00000000-0005-0000-0000-0000601B0000}"/>
    <cellStyle name="Normal 5 3 2 3 2 2 2 2" xfId="7677" xr:uid="{00000000-0005-0000-0000-0000611B0000}"/>
    <cellStyle name="Normal 5 3 2 3 2 2 3" xfId="7678" xr:uid="{00000000-0005-0000-0000-0000621B0000}"/>
    <cellStyle name="Normal 5 3 2 3 2 2 4" xfId="7679" xr:uid="{00000000-0005-0000-0000-0000631B0000}"/>
    <cellStyle name="Normal 5 3 2 3 2 3" xfId="7680" xr:uid="{00000000-0005-0000-0000-0000641B0000}"/>
    <cellStyle name="Normal 5 3 2 3 2 3 2" xfId="7681" xr:uid="{00000000-0005-0000-0000-0000651B0000}"/>
    <cellStyle name="Normal 5 3 2 3 2 4" xfId="7682" xr:uid="{00000000-0005-0000-0000-0000661B0000}"/>
    <cellStyle name="Normal 5 3 2 3 2 5" xfId="7683" xr:uid="{00000000-0005-0000-0000-0000671B0000}"/>
    <cellStyle name="Normal 5 3 2 3 3" xfId="1458" xr:uid="{00000000-0005-0000-0000-0000681B0000}"/>
    <cellStyle name="Normal 5 3 2 3 3 2" xfId="7684" xr:uid="{00000000-0005-0000-0000-0000691B0000}"/>
    <cellStyle name="Normal 5 3 2 3 3 2 2" xfId="7685" xr:uid="{00000000-0005-0000-0000-00006A1B0000}"/>
    <cellStyle name="Normal 5 3 2 3 3 3" xfId="7686" xr:uid="{00000000-0005-0000-0000-00006B1B0000}"/>
    <cellStyle name="Normal 5 3 2 3 3 4" xfId="7687" xr:uid="{00000000-0005-0000-0000-00006C1B0000}"/>
    <cellStyle name="Normal 5 3 2 3 4" xfId="7688" xr:uid="{00000000-0005-0000-0000-00006D1B0000}"/>
    <cellStyle name="Normal 5 3 2 3 4 2" xfId="7689" xr:uid="{00000000-0005-0000-0000-00006E1B0000}"/>
    <cellStyle name="Normal 5 3 2 3 5" xfId="7690" xr:uid="{00000000-0005-0000-0000-00006F1B0000}"/>
    <cellStyle name="Normal 5 3 2 3 6" xfId="7691" xr:uid="{00000000-0005-0000-0000-0000701B0000}"/>
    <cellStyle name="Normal 5 3 2 4" xfId="1459" xr:uid="{00000000-0005-0000-0000-0000711B0000}"/>
    <cellStyle name="Normal 5 3 2 4 2" xfId="1460" xr:uid="{00000000-0005-0000-0000-0000721B0000}"/>
    <cellStyle name="Normal 5 3 2 4 2 2" xfId="7692" xr:uid="{00000000-0005-0000-0000-0000731B0000}"/>
    <cellStyle name="Normal 5 3 2 4 2 2 2" xfId="7693" xr:uid="{00000000-0005-0000-0000-0000741B0000}"/>
    <cellStyle name="Normal 5 3 2 4 2 3" xfId="7694" xr:uid="{00000000-0005-0000-0000-0000751B0000}"/>
    <cellStyle name="Normal 5 3 2 4 2 4" xfId="7695" xr:uid="{00000000-0005-0000-0000-0000761B0000}"/>
    <cellStyle name="Normal 5 3 2 4 3" xfId="7696" xr:uid="{00000000-0005-0000-0000-0000771B0000}"/>
    <cellStyle name="Normal 5 3 2 4 3 2" xfId="7697" xr:uid="{00000000-0005-0000-0000-0000781B0000}"/>
    <cellStyle name="Normal 5 3 2 4 4" xfId="7698" xr:uid="{00000000-0005-0000-0000-0000791B0000}"/>
    <cellStyle name="Normal 5 3 2 4 5" xfId="7699" xr:uid="{00000000-0005-0000-0000-00007A1B0000}"/>
    <cellStyle name="Normal 5 3 2 5" xfId="1461" xr:uid="{00000000-0005-0000-0000-00007B1B0000}"/>
    <cellStyle name="Normal 5 3 2 5 2" xfId="7700" xr:uid="{00000000-0005-0000-0000-00007C1B0000}"/>
    <cellStyle name="Normal 5 3 2 5 2 2" xfId="7701" xr:uid="{00000000-0005-0000-0000-00007D1B0000}"/>
    <cellStyle name="Normal 5 3 2 5 3" xfId="7702" xr:uid="{00000000-0005-0000-0000-00007E1B0000}"/>
    <cellStyle name="Normal 5 3 2 5 4" xfId="7703" xr:uid="{00000000-0005-0000-0000-00007F1B0000}"/>
    <cellStyle name="Normal 5 3 2 6" xfId="7704" xr:uid="{00000000-0005-0000-0000-0000801B0000}"/>
    <cellStyle name="Normal 5 3 2 6 2" xfId="7705" xr:uid="{00000000-0005-0000-0000-0000811B0000}"/>
    <cellStyle name="Normal 5 3 2 7" xfId="7706" xr:uid="{00000000-0005-0000-0000-0000821B0000}"/>
    <cellStyle name="Normal 5 3 2 8" xfId="7707" xr:uid="{00000000-0005-0000-0000-0000831B0000}"/>
    <cellStyle name="Normal 5 3 3" xfId="1462" xr:uid="{00000000-0005-0000-0000-0000841B0000}"/>
    <cellStyle name="Normal 5 3 3 2" xfId="1463" xr:uid="{00000000-0005-0000-0000-0000851B0000}"/>
    <cellStyle name="Normal 5 3 3 2 2" xfId="1464" xr:uid="{00000000-0005-0000-0000-0000861B0000}"/>
    <cellStyle name="Normal 5 3 3 2 2 2" xfId="1465" xr:uid="{00000000-0005-0000-0000-0000871B0000}"/>
    <cellStyle name="Normal 5 3 3 2 2 2 2" xfId="7708" xr:uid="{00000000-0005-0000-0000-0000881B0000}"/>
    <cellStyle name="Normal 5 3 3 2 2 2 2 2" xfId="7709" xr:uid="{00000000-0005-0000-0000-0000891B0000}"/>
    <cellStyle name="Normal 5 3 3 2 2 2 3" xfId="7710" xr:uid="{00000000-0005-0000-0000-00008A1B0000}"/>
    <cellStyle name="Normal 5 3 3 2 2 2 4" xfId="7711" xr:uid="{00000000-0005-0000-0000-00008B1B0000}"/>
    <cellStyle name="Normal 5 3 3 2 2 3" xfId="7712" xr:uid="{00000000-0005-0000-0000-00008C1B0000}"/>
    <cellStyle name="Normal 5 3 3 2 2 3 2" xfId="7713" xr:uid="{00000000-0005-0000-0000-00008D1B0000}"/>
    <cellStyle name="Normal 5 3 3 2 2 4" xfId="7714" xr:uid="{00000000-0005-0000-0000-00008E1B0000}"/>
    <cellStyle name="Normal 5 3 3 2 2 5" xfId="7715" xr:uid="{00000000-0005-0000-0000-00008F1B0000}"/>
    <cellStyle name="Normal 5 3 3 2 3" xfId="1466" xr:uid="{00000000-0005-0000-0000-0000901B0000}"/>
    <cellStyle name="Normal 5 3 3 2 3 2" xfId="7716" xr:uid="{00000000-0005-0000-0000-0000911B0000}"/>
    <cellStyle name="Normal 5 3 3 2 3 2 2" xfId="7717" xr:uid="{00000000-0005-0000-0000-0000921B0000}"/>
    <cellStyle name="Normal 5 3 3 2 3 3" xfId="7718" xr:uid="{00000000-0005-0000-0000-0000931B0000}"/>
    <cellStyle name="Normal 5 3 3 2 3 4" xfId="7719" xr:uid="{00000000-0005-0000-0000-0000941B0000}"/>
    <cellStyle name="Normal 5 3 3 2 4" xfId="7720" xr:uid="{00000000-0005-0000-0000-0000951B0000}"/>
    <cellStyle name="Normal 5 3 3 2 4 2" xfId="7721" xr:uid="{00000000-0005-0000-0000-0000961B0000}"/>
    <cellStyle name="Normal 5 3 3 2 5" xfId="7722" xr:uid="{00000000-0005-0000-0000-0000971B0000}"/>
    <cellStyle name="Normal 5 3 3 2 6" xfId="7723" xr:uid="{00000000-0005-0000-0000-0000981B0000}"/>
    <cellStyle name="Normal 5 3 3 3" xfId="1467" xr:uid="{00000000-0005-0000-0000-0000991B0000}"/>
    <cellStyle name="Normal 5 3 3 3 2" xfId="1468" xr:uid="{00000000-0005-0000-0000-00009A1B0000}"/>
    <cellStyle name="Normal 5 3 3 3 2 2" xfId="7724" xr:uid="{00000000-0005-0000-0000-00009B1B0000}"/>
    <cellStyle name="Normal 5 3 3 3 2 2 2" xfId="7725" xr:uid="{00000000-0005-0000-0000-00009C1B0000}"/>
    <cellStyle name="Normal 5 3 3 3 2 3" xfId="7726" xr:uid="{00000000-0005-0000-0000-00009D1B0000}"/>
    <cellStyle name="Normal 5 3 3 3 2 4" xfId="7727" xr:uid="{00000000-0005-0000-0000-00009E1B0000}"/>
    <cellStyle name="Normal 5 3 3 3 3" xfId="7728" xr:uid="{00000000-0005-0000-0000-00009F1B0000}"/>
    <cellStyle name="Normal 5 3 3 3 3 2" xfId="7729" xr:uid="{00000000-0005-0000-0000-0000A01B0000}"/>
    <cellStyle name="Normal 5 3 3 3 4" xfId="7730" xr:uid="{00000000-0005-0000-0000-0000A11B0000}"/>
    <cellStyle name="Normal 5 3 3 3 5" xfId="7731" xr:uid="{00000000-0005-0000-0000-0000A21B0000}"/>
    <cellStyle name="Normal 5 3 3 4" xfId="1469" xr:uid="{00000000-0005-0000-0000-0000A31B0000}"/>
    <cellStyle name="Normal 5 3 3 4 2" xfId="7732" xr:uid="{00000000-0005-0000-0000-0000A41B0000}"/>
    <cellStyle name="Normal 5 3 3 4 2 2" xfId="7733" xr:uid="{00000000-0005-0000-0000-0000A51B0000}"/>
    <cellStyle name="Normal 5 3 3 4 3" xfId="7734" xr:uid="{00000000-0005-0000-0000-0000A61B0000}"/>
    <cellStyle name="Normal 5 3 3 4 4" xfId="7735" xr:uid="{00000000-0005-0000-0000-0000A71B0000}"/>
    <cellStyle name="Normal 5 3 3 5" xfId="7736" xr:uid="{00000000-0005-0000-0000-0000A81B0000}"/>
    <cellStyle name="Normal 5 3 3 5 2" xfId="7737" xr:uid="{00000000-0005-0000-0000-0000A91B0000}"/>
    <cellStyle name="Normal 5 3 3 6" xfId="7738" xr:uid="{00000000-0005-0000-0000-0000AA1B0000}"/>
    <cellStyle name="Normal 5 3 3 7" xfId="7739" xr:uid="{00000000-0005-0000-0000-0000AB1B0000}"/>
    <cellStyle name="Normal 5 3 4" xfId="1470" xr:uid="{00000000-0005-0000-0000-0000AC1B0000}"/>
    <cellStyle name="Normal 5 3 4 2" xfId="1471" xr:uid="{00000000-0005-0000-0000-0000AD1B0000}"/>
    <cellStyle name="Normal 5 3 4 2 2" xfId="1472" xr:uid="{00000000-0005-0000-0000-0000AE1B0000}"/>
    <cellStyle name="Normal 5 3 4 2 2 2" xfId="7740" xr:uid="{00000000-0005-0000-0000-0000AF1B0000}"/>
    <cellStyle name="Normal 5 3 4 2 2 2 2" xfId="7741" xr:uid="{00000000-0005-0000-0000-0000B01B0000}"/>
    <cellStyle name="Normal 5 3 4 2 2 3" xfId="7742" xr:uid="{00000000-0005-0000-0000-0000B11B0000}"/>
    <cellStyle name="Normal 5 3 4 2 2 4" xfId="7743" xr:uid="{00000000-0005-0000-0000-0000B21B0000}"/>
    <cellStyle name="Normal 5 3 4 2 3" xfId="7744" xr:uid="{00000000-0005-0000-0000-0000B31B0000}"/>
    <cellStyle name="Normal 5 3 4 2 3 2" xfId="7745" xr:uid="{00000000-0005-0000-0000-0000B41B0000}"/>
    <cellStyle name="Normal 5 3 4 2 4" xfId="7746" xr:uid="{00000000-0005-0000-0000-0000B51B0000}"/>
    <cellStyle name="Normal 5 3 4 2 5" xfId="7747" xr:uid="{00000000-0005-0000-0000-0000B61B0000}"/>
    <cellStyle name="Normal 5 3 4 3" xfId="1473" xr:uid="{00000000-0005-0000-0000-0000B71B0000}"/>
    <cellStyle name="Normal 5 3 4 3 2" xfId="7748" xr:uid="{00000000-0005-0000-0000-0000B81B0000}"/>
    <cellStyle name="Normal 5 3 4 3 2 2" xfId="7749" xr:uid="{00000000-0005-0000-0000-0000B91B0000}"/>
    <cellStyle name="Normal 5 3 4 3 3" xfId="7750" xr:uid="{00000000-0005-0000-0000-0000BA1B0000}"/>
    <cellStyle name="Normal 5 3 4 3 4" xfId="7751" xr:uid="{00000000-0005-0000-0000-0000BB1B0000}"/>
    <cellStyle name="Normal 5 3 4 4" xfId="7752" xr:uid="{00000000-0005-0000-0000-0000BC1B0000}"/>
    <cellStyle name="Normal 5 3 4 4 2" xfId="7753" xr:uid="{00000000-0005-0000-0000-0000BD1B0000}"/>
    <cellStyle name="Normal 5 3 4 5" xfId="7754" xr:uid="{00000000-0005-0000-0000-0000BE1B0000}"/>
    <cellStyle name="Normal 5 3 4 6" xfId="7755" xr:uid="{00000000-0005-0000-0000-0000BF1B0000}"/>
    <cellStyle name="Normal 5 3 5" xfId="1474" xr:uid="{00000000-0005-0000-0000-0000C01B0000}"/>
    <cellStyle name="Normal 5 3 5 2" xfId="1475" xr:uid="{00000000-0005-0000-0000-0000C11B0000}"/>
    <cellStyle name="Normal 5 3 5 2 2" xfId="7756" xr:uid="{00000000-0005-0000-0000-0000C21B0000}"/>
    <cellStyle name="Normal 5 3 5 2 2 2" xfId="7757" xr:uid="{00000000-0005-0000-0000-0000C31B0000}"/>
    <cellStyle name="Normal 5 3 5 2 3" xfId="7758" xr:uid="{00000000-0005-0000-0000-0000C41B0000}"/>
    <cellStyle name="Normal 5 3 5 2 4" xfId="7759" xr:uid="{00000000-0005-0000-0000-0000C51B0000}"/>
    <cellStyle name="Normal 5 3 5 3" xfId="7760" xr:uid="{00000000-0005-0000-0000-0000C61B0000}"/>
    <cellStyle name="Normal 5 3 5 3 2" xfId="7761" xr:uid="{00000000-0005-0000-0000-0000C71B0000}"/>
    <cellStyle name="Normal 5 3 5 4" xfId="7762" xr:uid="{00000000-0005-0000-0000-0000C81B0000}"/>
    <cellStyle name="Normal 5 3 5 5" xfId="7763" xr:uid="{00000000-0005-0000-0000-0000C91B0000}"/>
    <cellStyle name="Normal 5 3 6" xfId="1476" xr:uid="{00000000-0005-0000-0000-0000CA1B0000}"/>
    <cellStyle name="Normal 5 3 6 2" xfId="7764" xr:uid="{00000000-0005-0000-0000-0000CB1B0000}"/>
    <cellStyle name="Normal 5 3 6 2 2" xfId="7765" xr:uid="{00000000-0005-0000-0000-0000CC1B0000}"/>
    <cellStyle name="Normal 5 3 6 3" xfId="7766" xr:uid="{00000000-0005-0000-0000-0000CD1B0000}"/>
    <cellStyle name="Normal 5 3 6 4" xfId="7767" xr:uid="{00000000-0005-0000-0000-0000CE1B0000}"/>
    <cellStyle name="Normal 5 3 7" xfId="7768" xr:uid="{00000000-0005-0000-0000-0000CF1B0000}"/>
    <cellStyle name="Normal 5 3 7 2" xfId="7769" xr:uid="{00000000-0005-0000-0000-0000D01B0000}"/>
    <cellStyle name="Normal 5 3 8" xfId="7770" xr:uid="{00000000-0005-0000-0000-0000D11B0000}"/>
    <cellStyle name="Normal 5 3 9" xfId="7771" xr:uid="{00000000-0005-0000-0000-0000D21B0000}"/>
    <cellStyle name="Normal 5 4" xfId="1477" xr:uid="{00000000-0005-0000-0000-0000D31B0000}"/>
    <cellStyle name="Normal 5 4 2" xfId="1478" xr:uid="{00000000-0005-0000-0000-0000D41B0000}"/>
    <cellStyle name="Normal 5 4 2 2" xfId="1479" xr:uid="{00000000-0005-0000-0000-0000D51B0000}"/>
    <cellStyle name="Normal 5 4 2 2 2" xfId="1480" xr:uid="{00000000-0005-0000-0000-0000D61B0000}"/>
    <cellStyle name="Normal 5 4 2 2 2 2" xfId="1481" xr:uid="{00000000-0005-0000-0000-0000D71B0000}"/>
    <cellStyle name="Normal 5 4 2 2 2 2 2" xfId="7772" xr:uid="{00000000-0005-0000-0000-0000D81B0000}"/>
    <cellStyle name="Normal 5 4 2 2 2 2 2 2" xfId="7773" xr:uid="{00000000-0005-0000-0000-0000D91B0000}"/>
    <cellStyle name="Normal 5 4 2 2 2 2 3" xfId="7774" xr:uid="{00000000-0005-0000-0000-0000DA1B0000}"/>
    <cellStyle name="Normal 5 4 2 2 2 2 4" xfId="7775" xr:uid="{00000000-0005-0000-0000-0000DB1B0000}"/>
    <cellStyle name="Normal 5 4 2 2 2 3" xfId="7776" xr:uid="{00000000-0005-0000-0000-0000DC1B0000}"/>
    <cellStyle name="Normal 5 4 2 2 2 3 2" xfId="7777" xr:uid="{00000000-0005-0000-0000-0000DD1B0000}"/>
    <cellStyle name="Normal 5 4 2 2 2 4" xfId="7778" xr:uid="{00000000-0005-0000-0000-0000DE1B0000}"/>
    <cellStyle name="Normal 5 4 2 2 2 5" xfId="7779" xr:uid="{00000000-0005-0000-0000-0000DF1B0000}"/>
    <cellStyle name="Normal 5 4 2 2 3" xfId="1482" xr:uid="{00000000-0005-0000-0000-0000E01B0000}"/>
    <cellStyle name="Normal 5 4 2 2 3 2" xfId="7780" xr:uid="{00000000-0005-0000-0000-0000E11B0000}"/>
    <cellStyle name="Normal 5 4 2 2 3 2 2" xfId="7781" xr:uid="{00000000-0005-0000-0000-0000E21B0000}"/>
    <cellStyle name="Normal 5 4 2 2 3 3" xfId="7782" xr:uid="{00000000-0005-0000-0000-0000E31B0000}"/>
    <cellStyle name="Normal 5 4 2 2 3 4" xfId="7783" xr:uid="{00000000-0005-0000-0000-0000E41B0000}"/>
    <cellStyle name="Normal 5 4 2 2 4" xfId="7784" xr:uid="{00000000-0005-0000-0000-0000E51B0000}"/>
    <cellStyle name="Normal 5 4 2 2 4 2" xfId="7785" xr:uid="{00000000-0005-0000-0000-0000E61B0000}"/>
    <cellStyle name="Normal 5 4 2 2 5" xfId="7786" xr:uid="{00000000-0005-0000-0000-0000E71B0000}"/>
    <cellStyle name="Normal 5 4 2 2 6" xfId="7787" xr:uid="{00000000-0005-0000-0000-0000E81B0000}"/>
    <cellStyle name="Normal 5 4 2 3" xfId="1483" xr:uid="{00000000-0005-0000-0000-0000E91B0000}"/>
    <cellStyle name="Normal 5 4 2 3 2" xfId="1484" xr:uid="{00000000-0005-0000-0000-0000EA1B0000}"/>
    <cellStyle name="Normal 5 4 2 3 2 2" xfId="7788" xr:uid="{00000000-0005-0000-0000-0000EB1B0000}"/>
    <cellStyle name="Normal 5 4 2 3 2 2 2" xfId="7789" xr:uid="{00000000-0005-0000-0000-0000EC1B0000}"/>
    <cellStyle name="Normal 5 4 2 3 2 3" xfId="7790" xr:uid="{00000000-0005-0000-0000-0000ED1B0000}"/>
    <cellStyle name="Normal 5 4 2 3 2 4" xfId="7791" xr:uid="{00000000-0005-0000-0000-0000EE1B0000}"/>
    <cellStyle name="Normal 5 4 2 3 3" xfId="7792" xr:uid="{00000000-0005-0000-0000-0000EF1B0000}"/>
    <cellStyle name="Normal 5 4 2 3 3 2" xfId="7793" xr:uid="{00000000-0005-0000-0000-0000F01B0000}"/>
    <cellStyle name="Normal 5 4 2 3 4" xfId="7794" xr:uid="{00000000-0005-0000-0000-0000F11B0000}"/>
    <cellStyle name="Normal 5 4 2 3 5" xfId="7795" xr:uid="{00000000-0005-0000-0000-0000F21B0000}"/>
    <cellStyle name="Normal 5 4 2 4" xfId="1485" xr:uid="{00000000-0005-0000-0000-0000F31B0000}"/>
    <cellStyle name="Normal 5 4 2 4 2" xfId="7796" xr:uid="{00000000-0005-0000-0000-0000F41B0000}"/>
    <cellStyle name="Normal 5 4 2 4 2 2" xfId="7797" xr:uid="{00000000-0005-0000-0000-0000F51B0000}"/>
    <cellStyle name="Normal 5 4 2 4 3" xfId="7798" xr:uid="{00000000-0005-0000-0000-0000F61B0000}"/>
    <cellStyle name="Normal 5 4 2 4 4" xfId="7799" xr:uid="{00000000-0005-0000-0000-0000F71B0000}"/>
    <cellStyle name="Normal 5 4 2 5" xfId="7800" xr:uid="{00000000-0005-0000-0000-0000F81B0000}"/>
    <cellStyle name="Normal 5 4 2 5 2" xfId="7801" xr:uid="{00000000-0005-0000-0000-0000F91B0000}"/>
    <cellStyle name="Normal 5 4 2 6" xfId="7802" xr:uid="{00000000-0005-0000-0000-0000FA1B0000}"/>
    <cellStyle name="Normal 5 4 2 7" xfId="7803" xr:uid="{00000000-0005-0000-0000-0000FB1B0000}"/>
    <cellStyle name="Normal 5 4 3" xfId="1486" xr:uid="{00000000-0005-0000-0000-0000FC1B0000}"/>
    <cellStyle name="Normal 5 4 3 2" xfId="1487" xr:uid="{00000000-0005-0000-0000-0000FD1B0000}"/>
    <cellStyle name="Normal 5 4 3 2 2" xfId="1488" xr:uid="{00000000-0005-0000-0000-0000FE1B0000}"/>
    <cellStyle name="Normal 5 4 3 2 2 2" xfId="7804" xr:uid="{00000000-0005-0000-0000-0000FF1B0000}"/>
    <cellStyle name="Normal 5 4 3 2 2 2 2" xfId="7805" xr:uid="{00000000-0005-0000-0000-0000001C0000}"/>
    <cellStyle name="Normal 5 4 3 2 2 3" xfId="7806" xr:uid="{00000000-0005-0000-0000-0000011C0000}"/>
    <cellStyle name="Normal 5 4 3 2 2 4" xfId="7807" xr:uid="{00000000-0005-0000-0000-0000021C0000}"/>
    <cellStyle name="Normal 5 4 3 2 3" xfId="7808" xr:uid="{00000000-0005-0000-0000-0000031C0000}"/>
    <cellStyle name="Normal 5 4 3 2 3 2" xfId="7809" xr:uid="{00000000-0005-0000-0000-0000041C0000}"/>
    <cellStyle name="Normal 5 4 3 2 4" xfId="7810" xr:uid="{00000000-0005-0000-0000-0000051C0000}"/>
    <cellStyle name="Normal 5 4 3 2 5" xfId="7811" xr:uid="{00000000-0005-0000-0000-0000061C0000}"/>
    <cellStyle name="Normal 5 4 3 3" xfId="1489" xr:uid="{00000000-0005-0000-0000-0000071C0000}"/>
    <cellStyle name="Normal 5 4 3 3 2" xfId="7812" xr:uid="{00000000-0005-0000-0000-0000081C0000}"/>
    <cellStyle name="Normal 5 4 3 3 2 2" xfId="7813" xr:uid="{00000000-0005-0000-0000-0000091C0000}"/>
    <cellStyle name="Normal 5 4 3 3 3" xfId="7814" xr:uid="{00000000-0005-0000-0000-00000A1C0000}"/>
    <cellStyle name="Normal 5 4 3 3 4" xfId="7815" xr:uid="{00000000-0005-0000-0000-00000B1C0000}"/>
    <cellStyle name="Normal 5 4 3 4" xfId="7816" xr:uid="{00000000-0005-0000-0000-00000C1C0000}"/>
    <cellStyle name="Normal 5 4 3 4 2" xfId="7817" xr:uid="{00000000-0005-0000-0000-00000D1C0000}"/>
    <cellStyle name="Normal 5 4 3 5" xfId="7818" xr:uid="{00000000-0005-0000-0000-00000E1C0000}"/>
    <cellStyle name="Normal 5 4 3 6" xfId="7819" xr:uid="{00000000-0005-0000-0000-00000F1C0000}"/>
    <cellStyle name="Normal 5 4 4" xfId="1490" xr:uid="{00000000-0005-0000-0000-0000101C0000}"/>
    <cellStyle name="Normal 5 4 4 2" xfId="1491" xr:uid="{00000000-0005-0000-0000-0000111C0000}"/>
    <cellStyle name="Normal 5 4 4 2 2" xfId="7820" xr:uid="{00000000-0005-0000-0000-0000121C0000}"/>
    <cellStyle name="Normal 5 4 4 2 2 2" xfId="7821" xr:uid="{00000000-0005-0000-0000-0000131C0000}"/>
    <cellStyle name="Normal 5 4 4 2 3" xfId="7822" xr:uid="{00000000-0005-0000-0000-0000141C0000}"/>
    <cellStyle name="Normal 5 4 4 2 4" xfId="7823" xr:uid="{00000000-0005-0000-0000-0000151C0000}"/>
    <cellStyle name="Normal 5 4 4 3" xfId="7824" xr:uid="{00000000-0005-0000-0000-0000161C0000}"/>
    <cellStyle name="Normal 5 4 4 3 2" xfId="7825" xr:uid="{00000000-0005-0000-0000-0000171C0000}"/>
    <cellStyle name="Normal 5 4 4 4" xfId="7826" xr:uid="{00000000-0005-0000-0000-0000181C0000}"/>
    <cellStyle name="Normal 5 4 4 5" xfId="7827" xr:uid="{00000000-0005-0000-0000-0000191C0000}"/>
    <cellStyle name="Normal 5 4 5" xfId="1492" xr:uid="{00000000-0005-0000-0000-00001A1C0000}"/>
    <cellStyle name="Normal 5 4 5 2" xfId="7828" xr:uid="{00000000-0005-0000-0000-00001B1C0000}"/>
    <cellStyle name="Normal 5 4 5 2 2" xfId="7829" xr:uid="{00000000-0005-0000-0000-00001C1C0000}"/>
    <cellStyle name="Normal 5 4 5 3" xfId="7830" xr:uid="{00000000-0005-0000-0000-00001D1C0000}"/>
    <cellStyle name="Normal 5 4 5 4" xfId="7831" xr:uid="{00000000-0005-0000-0000-00001E1C0000}"/>
    <cellStyle name="Normal 5 4 6" xfId="7832" xr:uid="{00000000-0005-0000-0000-00001F1C0000}"/>
    <cellStyle name="Normal 5 4 6 2" xfId="7833" xr:uid="{00000000-0005-0000-0000-0000201C0000}"/>
    <cellStyle name="Normal 5 4 7" xfId="7834" xr:uid="{00000000-0005-0000-0000-0000211C0000}"/>
    <cellStyle name="Normal 5 4 8" xfId="7835" xr:uid="{00000000-0005-0000-0000-0000221C0000}"/>
    <cellStyle name="Normal 5 5" xfId="1493" xr:uid="{00000000-0005-0000-0000-0000231C0000}"/>
    <cellStyle name="Normal 5 5 2" xfId="1494" xr:uid="{00000000-0005-0000-0000-0000241C0000}"/>
    <cellStyle name="Normal 5 5 2 2" xfId="1495" xr:uid="{00000000-0005-0000-0000-0000251C0000}"/>
    <cellStyle name="Normal 5 5 2 2 2" xfId="1496" xr:uid="{00000000-0005-0000-0000-0000261C0000}"/>
    <cellStyle name="Normal 5 5 2 2 2 2" xfId="7836" xr:uid="{00000000-0005-0000-0000-0000271C0000}"/>
    <cellStyle name="Normal 5 5 2 2 2 2 2" xfId="7837" xr:uid="{00000000-0005-0000-0000-0000281C0000}"/>
    <cellStyle name="Normal 5 5 2 2 2 3" xfId="7838" xr:uid="{00000000-0005-0000-0000-0000291C0000}"/>
    <cellStyle name="Normal 5 5 2 2 2 4" xfId="7839" xr:uid="{00000000-0005-0000-0000-00002A1C0000}"/>
    <cellStyle name="Normal 5 5 2 2 3" xfId="7840" xr:uid="{00000000-0005-0000-0000-00002B1C0000}"/>
    <cellStyle name="Normal 5 5 2 2 3 2" xfId="7841" xr:uid="{00000000-0005-0000-0000-00002C1C0000}"/>
    <cellStyle name="Normal 5 5 2 2 4" xfId="7842" xr:uid="{00000000-0005-0000-0000-00002D1C0000}"/>
    <cellStyle name="Normal 5 5 2 2 5" xfId="7843" xr:uid="{00000000-0005-0000-0000-00002E1C0000}"/>
    <cellStyle name="Normal 5 5 2 3" xfId="1497" xr:uid="{00000000-0005-0000-0000-00002F1C0000}"/>
    <cellStyle name="Normal 5 5 2 3 2" xfId="7844" xr:uid="{00000000-0005-0000-0000-0000301C0000}"/>
    <cellStyle name="Normal 5 5 2 3 2 2" xfId="7845" xr:uid="{00000000-0005-0000-0000-0000311C0000}"/>
    <cellStyle name="Normal 5 5 2 3 3" xfId="7846" xr:uid="{00000000-0005-0000-0000-0000321C0000}"/>
    <cellStyle name="Normal 5 5 2 3 4" xfId="7847" xr:uid="{00000000-0005-0000-0000-0000331C0000}"/>
    <cellStyle name="Normal 5 5 2 4" xfId="7848" xr:uid="{00000000-0005-0000-0000-0000341C0000}"/>
    <cellStyle name="Normal 5 5 2 4 2" xfId="7849" xr:uid="{00000000-0005-0000-0000-0000351C0000}"/>
    <cellStyle name="Normal 5 5 2 5" xfId="7850" xr:uid="{00000000-0005-0000-0000-0000361C0000}"/>
    <cellStyle name="Normal 5 5 2 6" xfId="7851" xr:uid="{00000000-0005-0000-0000-0000371C0000}"/>
    <cellStyle name="Normal 5 5 3" xfId="1498" xr:uid="{00000000-0005-0000-0000-0000381C0000}"/>
    <cellStyle name="Normal 5 5 3 2" xfId="1499" xr:uid="{00000000-0005-0000-0000-0000391C0000}"/>
    <cellStyle name="Normal 5 5 3 2 2" xfId="7852" xr:uid="{00000000-0005-0000-0000-00003A1C0000}"/>
    <cellStyle name="Normal 5 5 3 2 2 2" xfId="7853" xr:uid="{00000000-0005-0000-0000-00003B1C0000}"/>
    <cellStyle name="Normal 5 5 3 2 3" xfId="7854" xr:uid="{00000000-0005-0000-0000-00003C1C0000}"/>
    <cellStyle name="Normal 5 5 3 2 4" xfId="7855" xr:uid="{00000000-0005-0000-0000-00003D1C0000}"/>
    <cellStyle name="Normal 5 5 3 3" xfId="7856" xr:uid="{00000000-0005-0000-0000-00003E1C0000}"/>
    <cellStyle name="Normal 5 5 3 3 2" xfId="7857" xr:uid="{00000000-0005-0000-0000-00003F1C0000}"/>
    <cellStyle name="Normal 5 5 3 4" xfId="7858" xr:uid="{00000000-0005-0000-0000-0000401C0000}"/>
    <cellStyle name="Normal 5 5 3 5" xfId="7859" xr:uid="{00000000-0005-0000-0000-0000411C0000}"/>
    <cellStyle name="Normal 5 5 4" xfId="1500" xr:uid="{00000000-0005-0000-0000-0000421C0000}"/>
    <cellStyle name="Normal 5 5 4 2" xfId="7860" xr:uid="{00000000-0005-0000-0000-0000431C0000}"/>
    <cellStyle name="Normal 5 5 4 2 2" xfId="7861" xr:uid="{00000000-0005-0000-0000-0000441C0000}"/>
    <cellStyle name="Normal 5 5 4 3" xfId="7862" xr:uid="{00000000-0005-0000-0000-0000451C0000}"/>
    <cellStyle name="Normal 5 5 4 4" xfId="7863" xr:uid="{00000000-0005-0000-0000-0000461C0000}"/>
    <cellStyle name="Normal 5 5 5" xfId="7864" xr:uid="{00000000-0005-0000-0000-0000471C0000}"/>
    <cellStyle name="Normal 5 5 5 2" xfId="7865" xr:uid="{00000000-0005-0000-0000-0000481C0000}"/>
    <cellStyle name="Normal 5 5 6" xfId="7866" xr:uid="{00000000-0005-0000-0000-0000491C0000}"/>
    <cellStyle name="Normal 5 5 7" xfId="7867" xr:uid="{00000000-0005-0000-0000-00004A1C0000}"/>
    <cellStyle name="Normal 5 6" xfId="1501" xr:uid="{00000000-0005-0000-0000-00004B1C0000}"/>
    <cellStyle name="Normal 5 6 2" xfId="1502" xr:uid="{00000000-0005-0000-0000-00004C1C0000}"/>
    <cellStyle name="Normal 5 6 2 2" xfId="1503" xr:uid="{00000000-0005-0000-0000-00004D1C0000}"/>
    <cellStyle name="Normal 5 6 2 2 2" xfId="7868" xr:uid="{00000000-0005-0000-0000-00004E1C0000}"/>
    <cellStyle name="Normal 5 6 2 2 2 2" xfId="7869" xr:uid="{00000000-0005-0000-0000-00004F1C0000}"/>
    <cellStyle name="Normal 5 6 2 2 3" xfId="7870" xr:uid="{00000000-0005-0000-0000-0000501C0000}"/>
    <cellStyle name="Normal 5 6 2 2 4" xfId="7871" xr:uid="{00000000-0005-0000-0000-0000511C0000}"/>
    <cellStyle name="Normal 5 6 2 3" xfId="7872" xr:uid="{00000000-0005-0000-0000-0000521C0000}"/>
    <cellStyle name="Normal 5 6 2 3 2" xfId="7873" xr:uid="{00000000-0005-0000-0000-0000531C0000}"/>
    <cellStyle name="Normal 5 6 2 4" xfId="7874" xr:uid="{00000000-0005-0000-0000-0000541C0000}"/>
    <cellStyle name="Normal 5 6 2 5" xfId="7875" xr:uid="{00000000-0005-0000-0000-0000551C0000}"/>
    <cellStyle name="Normal 5 6 3" xfId="1504" xr:uid="{00000000-0005-0000-0000-0000561C0000}"/>
    <cellStyle name="Normal 5 6 3 2" xfId="7876" xr:uid="{00000000-0005-0000-0000-0000571C0000}"/>
    <cellStyle name="Normal 5 6 3 2 2" xfId="7877" xr:uid="{00000000-0005-0000-0000-0000581C0000}"/>
    <cellStyle name="Normal 5 6 3 3" xfId="7878" xr:uid="{00000000-0005-0000-0000-0000591C0000}"/>
    <cellStyle name="Normal 5 6 3 4" xfId="7879" xr:uid="{00000000-0005-0000-0000-00005A1C0000}"/>
    <cellStyle name="Normal 5 6 4" xfId="7880" xr:uid="{00000000-0005-0000-0000-00005B1C0000}"/>
    <cellStyle name="Normal 5 6 4 2" xfId="7881" xr:uid="{00000000-0005-0000-0000-00005C1C0000}"/>
    <cellStyle name="Normal 5 6 5" xfId="7882" xr:uid="{00000000-0005-0000-0000-00005D1C0000}"/>
    <cellStyle name="Normal 5 6 6" xfId="7883" xr:uid="{00000000-0005-0000-0000-00005E1C0000}"/>
    <cellStyle name="Normal 5 7" xfId="1505" xr:uid="{00000000-0005-0000-0000-00005F1C0000}"/>
    <cellStyle name="Normal 5 7 2" xfId="1506" xr:uid="{00000000-0005-0000-0000-0000601C0000}"/>
    <cellStyle name="Normal 5 7 2 2" xfId="7884" xr:uid="{00000000-0005-0000-0000-0000611C0000}"/>
    <cellStyle name="Normal 5 7 2 2 2" xfId="7885" xr:uid="{00000000-0005-0000-0000-0000621C0000}"/>
    <cellStyle name="Normal 5 7 2 3" xfId="7886" xr:uid="{00000000-0005-0000-0000-0000631C0000}"/>
    <cellStyle name="Normal 5 7 2 4" xfId="7887" xr:uid="{00000000-0005-0000-0000-0000641C0000}"/>
    <cellStyle name="Normal 5 7 3" xfId="7888" xr:uid="{00000000-0005-0000-0000-0000651C0000}"/>
    <cellStyle name="Normal 5 7 3 2" xfId="7889" xr:uid="{00000000-0005-0000-0000-0000661C0000}"/>
    <cellStyle name="Normal 5 7 4" xfId="7890" xr:uid="{00000000-0005-0000-0000-0000671C0000}"/>
    <cellStyle name="Normal 5 7 5" xfId="7891" xr:uid="{00000000-0005-0000-0000-0000681C0000}"/>
    <cellStyle name="Normal 5 8" xfId="1507" xr:uid="{00000000-0005-0000-0000-0000691C0000}"/>
    <cellStyle name="Normal 5 8 2" xfId="7892" xr:uid="{00000000-0005-0000-0000-00006A1C0000}"/>
    <cellStyle name="Normal 5 8 2 2" xfId="7893" xr:uid="{00000000-0005-0000-0000-00006B1C0000}"/>
    <cellStyle name="Normal 5 8 3" xfId="7894" xr:uid="{00000000-0005-0000-0000-00006C1C0000}"/>
    <cellStyle name="Normal 5 8 4" xfId="7895" xr:uid="{00000000-0005-0000-0000-00006D1C0000}"/>
    <cellStyle name="Normal 5 9" xfId="1412" xr:uid="{00000000-0005-0000-0000-00006E1C0000}"/>
    <cellStyle name="Normal 5 9 2" xfId="7896" xr:uid="{00000000-0005-0000-0000-00006F1C0000}"/>
    <cellStyle name="Normal 5 9 2 2" xfId="7897" xr:uid="{00000000-0005-0000-0000-0000701C0000}"/>
    <cellStyle name="Normal 5 9 3" xfId="7898" xr:uid="{00000000-0005-0000-0000-0000711C0000}"/>
    <cellStyle name="Normal 5 9 4" xfId="7899" xr:uid="{00000000-0005-0000-0000-0000721C0000}"/>
    <cellStyle name="Normal 50" xfId="1508" xr:uid="{00000000-0005-0000-0000-0000731C0000}"/>
    <cellStyle name="Normal 50 2" xfId="1509" xr:uid="{00000000-0005-0000-0000-0000741C0000}"/>
    <cellStyle name="Normal 50 2 2" xfId="1510" xr:uid="{00000000-0005-0000-0000-0000751C0000}"/>
    <cellStyle name="Normal 50 2 2 2" xfId="7900" xr:uid="{00000000-0005-0000-0000-0000761C0000}"/>
    <cellStyle name="Normal 50 2 2 2 2" xfId="7901" xr:uid="{00000000-0005-0000-0000-0000771C0000}"/>
    <cellStyle name="Normal 50 2 2 3" xfId="7902" xr:uid="{00000000-0005-0000-0000-0000781C0000}"/>
    <cellStyle name="Normal 50 2 2 4" xfId="7903" xr:uid="{00000000-0005-0000-0000-0000791C0000}"/>
    <cellStyle name="Normal 50 2 3" xfId="7904" xr:uid="{00000000-0005-0000-0000-00007A1C0000}"/>
    <cellStyle name="Normal 50 2 3 2" xfId="7905" xr:uid="{00000000-0005-0000-0000-00007B1C0000}"/>
    <cellStyle name="Normal 50 2 4" xfId="7906" xr:uid="{00000000-0005-0000-0000-00007C1C0000}"/>
    <cellStyle name="Normal 50 2 5" xfId="7907" xr:uid="{00000000-0005-0000-0000-00007D1C0000}"/>
    <cellStyle name="Normal 50 3" xfId="1511" xr:uid="{00000000-0005-0000-0000-00007E1C0000}"/>
    <cellStyle name="Normal 50 3 2" xfId="7908" xr:uid="{00000000-0005-0000-0000-00007F1C0000}"/>
    <cellStyle name="Normal 50 3 2 2" xfId="7909" xr:uid="{00000000-0005-0000-0000-0000801C0000}"/>
    <cellStyle name="Normal 50 3 3" xfId="7910" xr:uid="{00000000-0005-0000-0000-0000811C0000}"/>
    <cellStyle name="Normal 50 3 4" xfId="7911" xr:uid="{00000000-0005-0000-0000-0000821C0000}"/>
    <cellStyle name="Normal 50 4" xfId="7912" xr:uid="{00000000-0005-0000-0000-0000831C0000}"/>
    <cellStyle name="Normal 50 4 2" xfId="7913" xr:uid="{00000000-0005-0000-0000-0000841C0000}"/>
    <cellStyle name="Normal 50 5" xfId="7914" xr:uid="{00000000-0005-0000-0000-0000851C0000}"/>
    <cellStyle name="Normal 50 6" xfId="7915" xr:uid="{00000000-0005-0000-0000-0000861C0000}"/>
    <cellStyle name="Normal 51" xfId="1512" xr:uid="{00000000-0005-0000-0000-0000871C0000}"/>
    <cellStyle name="Normal 51 2" xfId="1513" xr:uid="{00000000-0005-0000-0000-0000881C0000}"/>
    <cellStyle name="Normal 51 2 2" xfId="1514" xr:uid="{00000000-0005-0000-0000-0000891C0000}"/>
    <cellStyle name="Normal 51 2 2 2" xfId="7916" xr:uid="{00000000-0005-0000-0000-00008A1C0000}"/>
    <cellStyle name="Normal 51 2 2 2 2" xfId="7917" xr:uid="{00000000-0005-0000-0000-00008B1C0000}"/>
    <cellStyle name="Normal 51 2 2 3" xfId="7918" xr:uid="{00000000-0005-0000-0000-00008C1C0000}"/>
    <cellStyle name="Normal 51 2 2 4" xfId="7919" xr:uid="{00000000-0005-0000-0000-00008D1C0000}"/>
    <cellStyle name="Normal 51 2 3" xfId="7920" xr:uid="{00000000-0005-0000-0000-00008E1C0000}"/>
    <cellStyle name="Normal 51 2 3 2" xfId="7921" xr:uid="{00000000-0005-0000-0000-00008F1C0000}"/>
    <cellStyle name="Normal 51 2 4" xfId="7922" xr:uid="{00000000-0005-0000-0000-0000901C0000}"/>
    <cellStyle name="Normal 51 2 5" xfId="7923" xr:uid="{00000000-0005-0000-0000-0000911C0000}"/>
    <cellStyle name="Normal 51 3" xfId="1515" xr:uid="{00000000-0005-0000-0000-0000921C0000}"/>
    <cellStyle name="Normal 51 3 2" xfId="7924" xr:uid="{00000000-0005-0000-0000-0000931C0000}"/>
    <cellStyle name="Normal 51 3 2 2" xfId="7925" xr:uid="{00000000-0005-0000-0000-0000941C0000}"/>
    <cellStyle name="Normal 51 3 3" xfId="7926" xr:uid="{00000000-0005-0000-0000-0000951C0000}"/>
    <cellStyle name="Normal 51 3 4" xfId="7927" xr:uid="{00000000-0005-0000-0000-0000961C0000}"/>
    <cellStyle name="Normal 51 4" xfId="7928" xr:uid="{00000000-0005-0000-0000-0000971C0000}"/>
    <cellStyle name="Normal 51 4 2" xfId="7929" xr:uid="{00000000-0005-0000-0000-0000981C0000}"/>
    <cellStyle name="Normal 51 5" xfId="7930" xr:uid="{00000000-0005-0000-0000-0000991C0000}"/>
    <cellStyle name="Normal 51 6" xfId="7931" xr:uid="{00000000-0005-0000-0000-00009A1C0000}"/>
    <cellStyle name="Normal 52" xfId="1516" xr:uid="{00000000-0005-0000-0000-00009B1C0000}"/>
    <cellStyle name="Normal 52 2" xfId="1517" xr:uid="{00000000-0005-0000-0000-00009C1C0000}"/>
    <cellStyle name="Normal 52 2 2" xfId="1518" xr:uid="{00000000-0005-0000-0000-00009D1C0000}"/>
    <cellStyle name="Normal 52 2 2 2" xfId="7932" xr:uid="{00000000-0005-0000-0000-00009E1C0000}"/>
    <cellStyle name="Normal 52 2 2 2 2" xfId="7933" xr:uid="{00000000-0005-0000-0000-00009F1C0000}"/>
    <cellStyle name="Normal 52 2 2 3" xfId="7934" xr:uid="{00000000-0005-0000-0000-0000A01C0000}"/>
    <cellStyle name="Normal 52 2 2 4" xfId="7935" xr:uid="{00000000-0005-0000-0000-0000A11C0000}"/>
    <cellStyle name="Normal 52 2 3" xfId="7936" xr:uid="{00000000-0005-0000-0000-0000A21C0000}"/>
    <cellStyle name="Normal 52 2 3 2" xfId="7937" xr:uid="{00000000-0005-0000-0000-0000A31C0000}"/>
    <cellStyle name="Normal 52 2 4" xfId="7938" xr:uid="{00000000-0005-0000-0000-0000A41C0000}"/>
    <cellStyle name="Normal 52 2 5" xfId="7939" xr:uid="{00000000-0005-0000-0000-0000A51C0000}"/>
    <cellStyle name="Normal 52 3" xfId="1519" xr:uid="{00000000-0005-0000-0000-0000A61C0000}"/>
    <cellStyle name="Normal 52 3 2" xfId="7940" xr:uid="{00000000-0005-0000-0000-0000A71C0000}"/>
    <cellStyle name="Normal 52 3 2 2" xfId="7941" xr:uid="{00000000-0005-0000-0000-0000A81C0000}"/>
    <cellStyle name="Normal 52 3 3" xfId="7942" xr:uid="{00000000-0005-0000-0000-0000A91C0000}"/>
    <cellStyle name="Normal 52 3 4" xfId="7943" xr:uid="{00000000-0005-0000-0000-0000AA1C0000}"/>
    <cellStyle name="Normal 52 4" xfId="7944" xr:uid="{00000000-0005-0000-0000-0000AB1C0000}"/>
    <cellStyle name="Normal 52 4 2" xfId="7945" xr:uid="{00000000-0005-0000-0000-0000AC1C0000}"/>
    <cellStyle name="Normal 52 5" xfId="7946" xr:uid="{00000000-0005-0000-0000-0000AD1C0000}"/>
    <cellStyle name="Normal 52 6" xfId="7947" xr:uid="{00000000-0005-0000-0000-0000AE1C0000}"/>
    <cellStyle name="Normal 53" xfId="1520" xr:uid="{00000000-0005-0000-0000-0000AF1C0000}"/>
    <cellStyle name="Normal 53 2" xfId="1521" xr:uid="{00000000-0005-0000-0000-0000B01C0000}"/>
    <cellStyle name="Normal 53 2 2" xfId="1522" xr:uid="{00000000-0005-0000-0000-0000B11C0000}"/>
    <cellStyle name="Normal 53 2 2 2" xfId="7948" xr:uid="{00000000-0005-0000-0000-0000B21C0000}"/>
    <cellStyle name="Normal 53 2 2 2 2" xfId="7949" xr:uid="{00000000-0005-0000-0000-0000B31C0000}"/>
    <cellStyle name="Normal 53 2 2 3" xfId="7950" xr:uid="{00000000-0005-0000-0000-0000B41C0000}"/>
    <cellStyle name="Normal 53 2 2 4" xfId="7951" xr:uid="{00000000-0005-0000-0000-0000B51C0000}"/>
    <cellStyle name="Normal 53 2 3" xfId="7952" xr:uid="{00000000-0005-0000-0000-0000B61C0000}"/>
    <cellStyle name="Normal 53 2 3 2" xfId="7953" xr:uid="{00000000-0005-0000-0000-0000B71C0000}"/>
    <cellStyle name="Normal 53 2 4" xfId="7954" xr:uid="{00000000-0005-0000-0000-0000B81C0000}"/>
    <cellStyle name="Normal 53 2 5" xfId="7955" xr:uid="{00000000-0005-0000-0000-0000B91C0000}"/>
    <cellStyle name="Normal 53 3" xfId="1523" xr:uid="{00000000-0005-0000-0000-0000BA1C0000}"/>
    <cellStyle name="Normal 53 3 2" xfId="7956" xr:uid="{00000000-0005-0000-0000-0000BB1C0000}"/>
    <cellStyle name="Normal 53 3 2 2" xfId="7957" xr:uid="{00000000-0005-0000-0000-0000BC1C0000}"/>
    <cellStyle name="Normal 53 3 3" xfId="7958" xr:uid="{00000000-0005-0000-0000-0000BD1C0000}"/>
    <cellStyle name="Normal 53 3 4" xfId="7959" xr:uid="{00000000-0005-0000-0000-0000BE1C0000}"/>
    <cellStyle name="Normal 53 4" xfId="7960" xr:uid="{00000000-0005-0000-0000-0000BF1C0000}"/>
    <cellStyle name="Normal 53 4 2" xfId="7961" xr:uid="{00000000-0005-0000-0000-0000C01C0000}"/>
    <cellStyle name="Normal 53 5" xfId="7962" xr:uid="{00000000-0005-0000-0000-0000C11C0000}"/>
    <cellStyle name="Normal 53 6" xfId="7963" xr:uid="{00000000-0005-0000-0000-0000C21C0000}"/>
    <cellStyle name="Normal 54" xfId="1524" xr:uid="{00000000-0005-0000-0000-0000C31C0000}"/>
    <cellStyle name="Normal 54 2" xfId="1525" xr:uid="{00000000-0005-0000-0000-0000C41C0000}"/>
    <cellStyle name="Normal 54 2 2" xfId="1526" xr:uid="{00000000-0005-0000-0000-0000C51C0000}"/>
    <cellStyle name="Normal 54 2 2 2" xfId="7964" xr:uid="{00000000-0005-0000-0000-0000C61C0000}"/>
    <cellStyle name="Normal 54 2 2 2 2" xfId="7965" xr:uid="{00000000-0005-0000-0000-0000C71C0000}"/>
    <cellStyle name="Normal 54 2 2 3" xfId="7966" xr:uid="{00000000-0005-0000-0000-0000C81C0000}"/>
    <cellStyle name="Normal 54 2 2 4" xfId="7967" xr:uid="{00000000-0005-0000-0000-0000C91C0000}"/>
    <cellStyle name="Normal 54 2 3" xfId="7968" xr:uid="{00000000-0005-0000-0000-0000CA1C0000}"/>
    <cellStyle name="Normal 54 2 3 2" xfId="7969" xr:uid="{00000000-0005-0000-0000-0000CB1C0000}"/>
    <cellStyle name="Normal 54 2 4" xfId="7970" xr:uid="{00000000-0005-0000-0000-0000CC1C0000}"/>
    <cellStyle name="Normal 54 2 5" xfId="7971" xr:uid="{00000000-0005-0000-0000-0000CD1C0000}"/>
    <cellStyle name="Normal 54 3" xfId="1527" xr:uid="{00000000-0005-0000-0000-0000CE1C0000}"/>
    <cellStyle name="Normal 54 3 2" xfId="7972" xr:uid="{00000000-0005-0000-0000-0000CF1C0000}"/>
    <cellStyle name="Normal 54 3 2 2" xfId="7973" xr:uid="{00000000-0005-0000-0000-0000D01C0000}"/>
    <cellStyle name="Normal 54 3 3" xfId="7974" xr:uid="{00000000-0005-0000-0000-0000D11C0000}"/>
    <cellStyle name="Normal 54 3 4" xfId="7975" xr:uid="{00000000-0005-0000-0000-0000D21C0000}"/>
    <cellStyle name="Normal 54 4" xfId="7976" xr:uid="{00000000-0005-0000-0000-0000D31C0000}"/>
    <cellStyle name="Normal 54 4 2" xfId="7977" xr:uid="{00000000-0005-0000-0000-0000D41C0000}"/>
    <cellStyle name="Normal 54 5" xfId="7978" xr:uid="{00000000-0005-0000-0000-0000D51C0000}"/>
    <cellStyle name="Normal 54 6" xfId="7979" xr:uid="{00000000-0005-0000-0000-0000D61C0000}"/>
    <cellStyle name="Normal 55" xfId="1528" xr:uid="{00000000-0005-0000-0000-0000D71C0000}"/>
    <cellStyle name="Normal 55 2" xfId="1529" xr:uid="{00000000-0005-0000-0000-0000D81C0000}"/>
    <cellStyle name="Normal 55 2 2" xfId="1530" xr:uid="{00000000-0005-0000-0000-0000D91C0000}"/>
    <cellStyle name="Normal 55 2 2 2" xfId="7980" xr:uid="{00000000-0005-0000-0000-0000DA1C0000}"/>
    <cellStyle name="Normal 55 2 2 2 2" xfId="7981" xr:uid="{00000000-0005-0000-0000-0000DB1C0000}"/>
    <cellStyle name="Normal 55 2 2 3" xfId="7982" xr:uid="{00000000-0005-0000-0000-0000DC1C0000}"/>
    <cellStyle name="Normal 55 2 2 4" xfId="7983" xr:uid="{00000000-0005-0000-0000-0000DD1C0000}"/>
    <cellStyle name="Normal 55 2 3" xfId="7984" xr:uid="{00000000-0005-0000-0000-0000DE1C0000}"/>
    <cellStyle name="Normal 55 2 3 2" xfId="7985" xr:uid="{00000000-0005-0000-0000-0000DF1C0000}"/>
    <cellStyle name="Normal 55 2 4" xfId="7986" xr:uid="{00000000-0005-0000-0000-0000E01C0000}"/>
    <cellStyle name="Normal 55 2 5" xfId="7987" xr:uid="{00000000-0005-0000-0000-0000E11C0000}"/>
    <cellStyle name="Normal 55 3" xfId="1531" xr:uid="{00000000-0005-0000-0000-0000E21C0000}"/>
    <cellStyle name="Normal 55 3 2" xfId="7988" xr:uid="{00000000-0005-0000-0000-0000E31C0000}"/>
    <cellStyle name="Normal 55 3 2 2" xfId="7989" xr:uid="{00000000-0005-0000-0000-0000E41C0000}"/>
    <cellStyle name="Normal 55 3 3" xfId="7990" xr:uid="{00000000-0005-0000-0000-0000E51C0000}"/>
    <cellStyle name="Normal 55 3 4" xfId="7991" xr:uid="{00000000-0005-0000-0000-0000E61C0000}"/>
    <cellStyle name="Normal 55 4" xfId="7992" xr:uid="{00000000-0005-0000-0000-0000E71C0000}"/>
    <cellStyle name="Normal 55 4 2" xfId="7993" xr:uid="{00000000-0005-0000-0000-0000E81C0000}"/>
    <cellStyle name="Normal 55 5" xfId="7994" xr:uid="{00000000-0005-0000-0000-0000E91C0000}"/>
    <cellStyle name="Normal 55 6" xfId="7995" xr:uid="{00000000-0005-0000-0000-0000EA1C0000}"/>
    <cellStyle name="Normal 56" xfId="1532" xr:uid="{00000000-0005-0000-0000-0000EB1C0000}"/>
    <cellStyle name="Normal 56 2" xfId="1533" xr:uid="{00000000-0005-0000-0000-0000EC1C0000}"/>
    <cellStyle name="Normal 56 2 2" xfId="1534" xr:uid="{00000000-0005-0000-0000-0000ED1C0000}"/>
    <cellStyle name="Normal 56 2 2 2" xfId="7996" xr:uid="{00000000-0005-0000-0000-0000EE1C0000}"/>
    <cellStyle name="Normal 56 2 2 2 2" xfId="7997" xr:uid="{00000000-0005-0000-0000-0000EF1C0000}"/>
    <cellStyle name="Normal 56 2 2 3" xfId="7998" xr:uid="{00000000-0005-0000-0000-0000F01C0000}"/>
    <cellStyle name="Normal 56 2 2 4" xfId="7999" xr:uid="{00000000-0005-0000-0000-0000F11C0000}"/>
    <cellStyle name="Normal 56 2 3" xfId="8000" xr:uid="{00000000-0005-0000-0000-0000F21C0000}"/>
    <cellStyle name="Normal 56 2 3 2" xfId="8001" xr:uid="{00000000-0005-0000-0000-0000F31C0000}"/>
    <cellStyle name="Normal 56 2 4" xfId="8002" xr:uid="{00000000-0005-0000-0000-0000F41C0000}"/>
    <cellStyle name="Normal 56 2 5" xfId="8003" xr:uid="{00000000-0005-0000-0000-0000F51C0000}"/>
    <cellStyle name="Normal 56 3" xfId="1535" xr:uid="{00000000-0005-0000-0000-0000F61C0000}"/>
    <cellStyle name="Normal 56 3 2" xfId="8004" xr:uid="{00000000-0005-0000-0000-0000F71C0000}"/>
    <cellStyle name="Normal 56 3 2 2" xfId="8005" xr:uid="{00000000-0005-0000-0000-0000F81C0000}"/>
    <cellStyle name="Normal 56 3 3" xfId="8006" xr:uid="{00000000-0005-0000-0000-0000F91C0000}"/>
    <cellStyle name="Normal 56 3 4" xfId="8007" xr:uid="{00000000-0005-0000-0000-0000FA1C0000}"/>
    <cellStyle name="Normal 56 4" xfId="8008" xr:uid="{00000000-0005-0000-0000-0000FB1C0000}"/>
    <cellStyle name="Normal 56 4 2" xfId="8009" xr:uid="{00000000-0005-0000-0000-0000FC1C0000}"/>
    <cellStyle name="Normal 56 5" xfId="8010" xr:uid="{00000000-0005-0000-0000-0000FD1C0000}"/>
    <cellStyle name="Normal 56 6" xfId="8011" xr:uid="{00000000-0005-0000-0000-0000FE1C0000}"/>
    <cellStyle name="Normal 57" xfId="1536" xr:uid="{00000000-0005-0000-0000-0000FF1C0000}"/>
    <cellStyle name="Normal 57 2" xfId="1537" xr:uid="{00000000-0005-0000-0000-0000001D0000}"/>
    <cellStyle name="Normal 57 2 2" xfId="1538" xr:uid="{00000000-0005-0000-0000-0000011D0000}"/>
    <cellStyle name="Normal 57 2 2 2" xfId="8012" xr:uid="{00000000-0005-0000-0000-0000021D0000}"/>
    <cellStyle name="Normal 57 2 2 2 2" xfId="8013" xr:uid="{00000000-0005-0000-0000-0000031D0000}"/>
    <cellStyle name="Normal 57 2 2 3" xfId="8014" xr:uid="{00000000-0005-0000-0000-0000041D0000}"/>
    <cellStyle name="Normal 57 2 2 4" xfId="8015" xr:uid="{00000000-0005-0000-0000-0000051D0000}"/>
    <cellStyle name="Normal 57 2 3" xfId="8016" xr:uid="{00000000-0005-0000-0000-0000061D0000}"/>
    <cellStyle name="Normal 57 2 3 2" xfId="8017" xr:uid="{00000000-0005-0000-0000-0000071D0000}"/>
    <cellStyle name="Normal 57 2 4" xfId="8018" xr:uid="{00000000-0005-0000-0000-0000081D0000}"/>
    <cellStyle name="Normal 57 2 5" xfId="8019" xr:uid="{00000000-0005-0000-0000-0000091D0000}"/>
    <cellStyle name="Normal 57 3" xfId="1539" xr:uid="{00000000-0005-0000-0000-00000A1D0000}"/>
    <cellStyle name="Normal 57 3 2" xfId="8020" xr:uid="{00000000-0005-0000-0000-00000B1D0000}"/>
    <cellStyle name="Normal 57 3 2 2" xfId="8021" xr:uid="{00000000-0005-0000-0000-00000C1D0000}"/>
    <cellStyle name="Normal 57 3 3" xfId="8022" xr:uid="{00000000-0005-0000-0000-00000D1D0000}"/>
    <cellStyle name="Normal 57 3 4" xfId="8023" xr:uid="{00000000-0005-0000-0000-00000E1D0000}"/>
    <cellStyle name="Normal 57 4" xfId="8024" xr:uid="{00000000-0005-0000-0000-00000F1D0000}"/>
    <cellStyle name="Normal 57 4 2" xfId="8025" xr:uid="{00000000-0005-0000-0000-0000101D0000}"/>
    <cellStyle name="Normal 57 5" xfId="8026" xr:uid="{00000000-0005-0000-0000-0000111D0000}"/>
    <cellStyle name="Normal 57 6" xfId="8027" xr:uid="{00000000-0005-0000-0000-0000121D0000}"/>
    <cellStyle name="Normal 58" xfId="1540" xr:uid="{00000000-0005-0000-0000-0000131D0000}"/>
    <cellStyle name="Normal 58 2" xfId="1541" xr:uid="{00000000-0005-0000-0000-0000141D0000}"/>
    <cellStyle name="Normal 58 2 2" xfId="1542" xr:uid="{00000000-0005-0000-0000-0000151D0000}"/>
    <cellStyle name="Normal 58 2 2 2" xfId="8028" xr:uid="{00000000-0005-0000-0000-0000161D0000}"/>
    <cellStyle name="Normal 58 2 2 2 2" xfId="8029" xr:uid="{00000000-0005-0000-0000-0000171D0000}"/>
    <cellStyle name="Normal 58 2 2 3" xfId="8030" xr:uid="{00000000-0005-0000-0000-0000181D0000}"/>
    <cellStyle name="Normal 58 2 2 4" xfId="8031" xr:uid="{00000000-0005-0000-0000-0000191D0000}"/>
    <cellStyle name="Normal 58 2 3" xfId="8032" xr:uid="{00000000-0005-0000-0000-00001A1D0000}"/>
    <cellStyle name="Normal 58 2 3 2" xfId="8033" xr:uid="{00000000-0005-0000-0000-00001B1D0000}"/>
    <cellStyle name="Normal 58 2 4" xfId="8034" xr:uid="{00000000-0005-0000-0000-00001C1D0000}"/>
    <cellStyle name="Normal 58 2 5" xfId="8035" xr:uid="{00000000-0005-0000-0000-00001D1D0000}"/>
    <cellStyle name="Normal 58 3" xfId="1543" xr:uid="{00000000-0005-0000-0000-00001E1D0000}"/>
    <cellStyle name="Normal 58 3 2" xfId="8036" xr:uid="{00000000-0005-0000-0000-00001F1D0000}"/>
    <cellStyle name="Normal 58 3 2 2" xfId="8037" xr:uid="{00000000-0005-0000-0000-0000201D0000}"/>
    <cellStyle name="Normal 58 3 3" xfId="8038" xr:uid="{00000000-0005-0000-0000-0000211D0000}"/>
    <cellStyle name="Normal 58 3 4" xfId="8039" xr:uid="{00000000-0005-0000-0000-0000221D0000}"/>
    <cellStyle name="Normal 58 4" xfId="8040" xr:uid="{00000000-0005-0000-0000-0000231D0000}"/>
    <cellStyle name="Normal 58 4 2" xfId="8041" xr:uid="{00000000-0005-0000-0000-0000241D0000}"/>
    <cellStyle name="Normal 58 5" xfId="8042" xr:uid="{00000000-0005-0000-0000-0000251D0000}"/>
    <cellStyle name="Normal 58 6" xfId="8043" xr:uid="{00000000-0005-0000-0000-0000261D0000}"/>
    <cellStyle name="Normal 59" xfId="1544" xr:uid="{00000000-0005-0000-0000-0000271D0000}"/>
    <cellStyle name="Normal 59 2" xfId="1545" xr:uid="{00000000-0005-0000-0000-0000281D0000}"/>
    <cellStyle name="Normal 59 2 2" xfId="1546" xr:uid="{00000000-0005-0000-0000-0000291D0000}"/>
    <cellStyle name="Normal 59 2 2 2" xfId="8044" xr:uid="{00000000-0005-0000-0000-00002A1D0000}"/>
    <cellStyle name="Normal 59 2 2 2 2" xfId="8045" xr:uid="{00000000-0005-0000-0000-00002B1D0000}"/>
    <cellStyle name="Normal 59 2 2 3" xfId="8046" xr:uid="{00000000-0005-0000-0000-00002C1D0000}"/>
    <cellStyle name="Normal 59 2 2 4" xfId="8047" xr:uid="{00000000-0005-0000-0000-00002D1D0000}"/>
    <cellStyle name="Normal 59 2 3" xfId="8048" xr:uid="{00000000-0005-0000-0000-00002E1D0000}"/>
    <cellStyle name="Normal 59 2 3 2" xfId="8049" xr:uid="{00000000-0005-0000-0000-00002F1D0000}"/>
    <cellStyle name="Normal 59 2 4" xfId="8050" xr:uid="{00000000-0005-0000-0000-0000301D0000}"/>
    <cellStyle name="Normal 59 2 5" xfId="8051" xr:uid="{00000000-0005-0000-0000-0000311D0000}"/>
    <cellStyle name="Normal 59 3" xfId="1547" xr:uid="{00000000-0005-0000-0000-0000321D0000}"/>
    <cellStyle name="Normal 59 3 2" xfId="8052" xr:uid="{00000000-0005-0000-0000-0000331D0000}"/>
    <cellStyle name="Normal 59 3 2 2" xfId="8053" xr:uid="{00000000-0005-0000-0000-0000341D0000}"/>
    <cellStyle name="Normal 59 3 3" xfId="8054" xr:uid="{00000000-0005-0000-0000-0000351D0000}"/>
    <cellStyle name="Normal 59 3 4" xfId="8055" xr:uid="{00000000-0005-0000-0000-0000361D0000}"/>
    <cellStyle name="Normal 59 4" xfId="8056" xr:uid="{00000000-0005-0000-0000-0000371D0000}"/>
    <cellStyle name="Normal 59 4 2" xfId="8057" xr:uid="{00000000-0005-0000-0000-0000381D0000}"/>
    <cellStyle name="Normal 59 5" xfId="8058" xr:uid="{00000000-0005-0000-0000-0000391D0000}"/>
    <cellStyle name="Normal 59 6" xfId="8059" xr:uid="{00000000-0005-0000-0000-00003A1D0000}"/>
    <cellStyle name="Normal 6" xfId="12" xr:uid="{00000000-0005-0000-0000-00003B1D0000}"/>
    <cellStyle name="Normal 6 10" xfId="8060" xr:uid="{00000000-0005-0000-0000-00003C1D0000}"/>
    <cellStyle name="Normal 6 10 2" xfId="8061" xr:uid="{00000000-0005-0000-0000-00003D1D0000}"/>
    <cellStyle name="Normal 6 11" xfId="8062" xr:uid="{00000000-0005-0000-0000-00003E1D0000}"/>
    <cellStyle name="Normal 6 12" xfId="8063" xr:uid="{00000000-0005-0000-0000-00003F1D0000}"/>
    <cellStyle name="Normal 6 2" xfId="1549" xr:uid="{00000000-0005-0000-0000-0000401D0000}"/>
    <cellStyle name="Normal 6 2 2" xfId="1550" xr:uid="{00000000-0005-0000-0000-0000411D0000}"/>
    <cellStyle name="Normal 6 2 2 2" xfId="1551" xr:uid="{00000000-0005-0000-0000-0000421D0000}"/>
    <cellStyle name="Normal 6 2 2 2 2" xfId="1552" xr:uid="{00000000-0005-0000-0000-0000431D0000}"/>
    <cellStyle name="Normal 6 2 2 2 2 2" xfId="1553" xr:uid="{00000000-0005-0000-0000-0000441D0000}"/>
    <cellStyle name="Normal 6 2 2 2 2 2 2" xfId="1554" xr:uid="{00000000-0005-0000-0000-0000451D0000}"/>
    <cellStyle name="Normal 6 2 2 2 2 2 2 2" xfId="8064" xr:uid="{00000000-0005-0000-0000-0000461D0000}"/>
    <cellStyle name="Normal 6 2 2 2 2 2 2 2 2" xfId="8065" xr:uid="{00000000-0005-0000-0000-0000471D0000}"/>
    <cellStyle name="Normal 6 2 2 2 2 2 2 3" xfId="8066" xr:uid="{00000000-0005-0000-0000-0000481D0000}"/>
    <cellStyle name="Normal 6 2 2 2 2 2 2 4" xfId="8067" xr:uid="{00000000-0005-0000-0000-0000491D0000}"/>
    <cellStyle name="Normal 6 2 2 2 2 2 3" xfId="8068" xr:uid="{00000000-0005-0000-0000-00004A1D0000}"/>
    <cellStyle name="Normal 6 2 2 2 2 2 3 2" xfId="8069" xr:uid="{00000000-0005-0000-0000-00004B1D0000}"/>
    <cellStyle name="Normal 6 2 2 2 2 2 4" xfId="8070" xr:uid="{00000000-0005-0000-0000-00004C1D0000}"/>
    <cellStyle name="Normal 6 2 2 2 2 2 5" xfId="8071" xr:uid="{00000000-0005-0000-0000-00004D1D0000}"/>
    <cellStyle name="Normal 6 2 2 2 2 3" xfId="1555" xr:uid="{00000000-0005-0000-0000-00004E1D0000}"/>
    <cellStyle name="Normal 6 2 2 2 2 3 2" xfId="8072" xr:uid="{00000000-0005-0000-0000-00004F1D0000}"/>
    <cellStyle name="Normal 6 2 2 2 2 3 2 2" xfId="8073" xr:uid="{00000000-0005-0000-0000-0000501D0000}"/>
    <cellStyle name="Normal 6 2 2 2 2 3 3" xfId="8074" xr:uid="{00000000-0005-0000-0000-0000511D0000}"/>
    <cellStyle name="Normal 6 2 2 2 2 3 4" xfId="8075" xr:uid="{00000000-0005-0000-0000-0000521D0000}"/>
    <cellStyle name="Normal 6 2 2 2 2 4" xfId="8076" xr:uid="{00000000-0005-0000-0000-0000531D0000}"/>
    <cellStyle name="Normal 6 2 2 2 2 4 2" xfId="8077" xr:uid="{00000000-0005-0000-0000-0000541D0000}"/>
    <cellStyle name="Normal 6 2 2 2 2 5" xfId="8078" xr:uid="{00000000-0005-0000-0000-0000551D0000}"/>
    <cellStyle name="Normal 6 2 2 2 2 6" xfId="8079" xr:uid="{00000000-0005-0000-0000-0000561D0000}"/>
    <cellStyle name="Normal 6 2 2 2 3" xfId="1556" xr:uid="{00000000-0005-0000-0000-0000571D0000}"/>
    <cellStyle name="Normal 6 2 2 2 3 2" xfId="1557" xr:uid="{00000000-0005-0000-0000-0000581D0000}"/>
    <cellStyle name="Normal 6 2 2 2 3 2 2" xfId="8080" xr:uid="{00000000-0005-0000-0000-0000591D0000}"/>
    <cellStyle name="Normal 6 2 2 2 3 2 2 2" xfId="8081" xr:uid="{00000000-0005-0000-0000-00005A1D0000}"/>
    <cellStyle name="Normal 6 2 2 2 3 2 3" xfId="8082" xr:uid="{00000000-0005-0000-0000-00005B1D0000}"/>
    <cellStyle name="Normal 6 2 2 2 3 2 4" xfId="8083" xr:uid="{00000000-0005-0000-0000-00005C1D0000}"/>
    <cellStyle name="Normal 6 2 2 2 3 3" xfId="8084" xr:uid="{00000000-0005-0000-0000-00005D1D0000}"/>
    <cellStyle name="Normal 6 2 2 2 3 3 2" xfId="8085" xr:uid="{00000000-0005-0000-0000-00005E1D0000}"/>
    <cellStyle name="Normal 6 2 2 2 3 4" xfId="8086" xr:uid="{00000000-0005-0000-0000-00005F1D0000}"/>
    <cellStyle name="Normal 6 2 2 2 3 5" xfId="8087" xr:uid="{00000000-0005-0000-0000-0000601D0000}"/>
    <cellStyle name="Normal 6 2 2 2 4" xfId="1558" xr:uid="{00000000-0005-0000-0000-0000611D0000}"/>
    <cellStyle name="Normal 6 2 2 2 4 2" xfId="8088" xr:uid="{00000000-0005-0000-0000-0000621D0000}"/>
    <cellStyle name="Normal 6 2 2 2 4 2 2" xfId="8089" xr:uid="{00000000-0005-0000-0000-0000631D0000}"/>
    <cellStyle name="Normal 6 2 2 2 4 3" xfId="8090" xr:uid="{00000000-0005-0000-0000-0000641D0000}"/>
    <cellStyle name="Normal 6 2 2 2 4 4" xfId="8091" xr:uid="{00000000-0005-0000-0000-0000651D0000}"/>
    <cellStyle name="Normal 6 2 2 2 5" xfId="8092" xr:uid="{00000000-0005-0000-0000-0000661D0000}"/>
    <cellStyle name="Normal 6 2 2 2 5 2" xfId="8093" xr:uid="{00000000-0005-0000-0000-0000671D0000}"/>
    <cellStyle name="Normal 6 2 2 2 6" xfId="8094" xr:uid="{00000000-0005-0000-0000-0000681D0000}"/>
    <cellStyle name="Normal 6 2 2 2 7" xfId="8095" xr:uid="{00000000-0005-0000-0000-0000691D0000}"/>
    <cellStyle name="Normal 6 2 2 3" xfId="1559" xr:uid="{00000000-0005-0000-0000-00006A1D0000}"/>
    <cellStyle name="Normal 6 2 2 3 2" xfId="1560" xr:uid="{00000000-0005-0000-0000-00006B1D0000}"/>
    <cellStyle name="Normal 6 2 2 3 2 2" xfId="1561" xr:uid="{00000000-0005-0000-0000-00006C1D0000}"/>
    <cellStyle name="Normal 6 2 2 3 2 2 2" xfId="8096" xr:uid="{00000000-0005-0000-0000-00006D1D0000}"/>
    <cellStyle name="Normal 6 2 2 3 2 2 2 2" xfId="8097" xr:uid="{00000000-0005-0000-0000-00006E1D0000}"/>
    <cellStyle name="Normal 6 2 2 3 2 2 3" xfId="8098" xr:uid="{00000000-0005-0000-0000-00006F1D0000}"/>
    <cellStyle name="Normal 6 2 2 3 2 2 4" xfId="8099" xr:uid="{00000000-0005-0000-0000-0000701D0000}"/>
    <cellStyle name="Normal 6 2 2 3 2 3" xfId="8100" xr:uid="{00000000-0005-0000-0000-0000711D0000}"/>
    <cellStyle name="Normal 6 2 2 3 2 3 2" xfId="8101" xr:uid="{00000000-0005-0000-0000-0000721D0000}"/>
    <cellStyle name="Normal 6 2 2 3 2 4" xfId="8102" xr:uid="{00000000-0005-0000-0000-0000731D0000}"/>
    <cellStyle name="Normal 6 2 2 3 2 5" xfId="8103" xr:uid="{00000000-0005-0000-0000-0000741D0000}"/>
    <cellStyle name="Normal 6 2 2 3 3" xfId="1562" xr:uid="{00000000-0005-0000-0000-0000751D0000}"/>
    <cellStyle name="Normal 6 2 2 3 3 2" xfId="8104" xr:uid="{00000000-0005-0000-0000-0000761D0000}"/>
    <cellStyle name="Normal 6 2 2 3 3 2 2" xfId="8105" xr:uid="{00000000-0005-0000-0000-0000771D0000}"/>
    <cellStyle name="Normal 6 2 2 3 3 3" xfId="8106" xr:uid="{00000000-0005-0000-0000-0000781D0000}"/>
    <cellStyle name="Normal 6 2 2 3 3 4" xfId="8107" xr:uid="{00000000-0005-0000-0000-0000791D0000}"/>
    <cellStyle name="Normal 6 2 2 3 4" xfId="8108" xr:uid="{00000000-0005-0000-0000-00007A1D0000}"/>
    <cellStyle name="Normal 6 2 2 3 4 2" xfId="8109" xr:uid="{00000000-0005-0000-0000-00007B1D0000}"/>
    <cellStyle name="Normal 6 2 2 3 5" xfId="8110" xr:uid="{00000000-0005-0000-0000-00007C1D0000}"/>
    <cellStyle name="Normal 6 2 2 3 6" xfId="8111" xr:uid="{00000000-0005-0000-0000-00007D1D0000}"/>
    <cellStyle name="Normal 6 2 2 4" xfId="1563" xr:uid="{00000000-0005-0000-0000-00007E1D0000}"/>
    <cellStyle name="Normal 6 2 2 4 2" xfId="1564" xr:uid="{00000000-0005-0000-0000-00007F1D0000}"/>
    <cellStyle name="Normal 6 2 2 4 2 2" xfId="8112" xr:uid="{00000000-0005-0000-0000-0000801D0000}"/>
    <cellStyle name="Normal 6 2 2 4 2 2 2" xfId="8113" xr:uid="{00000000-0005-0000-0000-0000811D0000}"/>
    <cellStyle name="Normal 6 2 2 4 2 3" xfId="8114" xr:uid="{00000000-0005-0000-0000-0000821D0000}"/>
    <cellStyle name="Normal 6 2 2 4 2 4" xfId="8115" xr:uid="{00000000-0005-0000-0000-0000831D0000}"/>
    <cellStyle name="Normal 6 2 2 4 3" xfId="8116" xr:uid="{00000000-0005-0000-0000-0000841D0000}"/>
    <cellStyle name="Normal 6 2 2 4 3 2" xfId="8117" xr:uid="{00000000-0005-0000-0000-0000851D0000}"/>
    <cellStyle name="Normal 6 2 2 4 4" xfId="8118" xr:uid="{00000000-0005-0000-0000-0000861D0000}"/>
    <cellStyle name="Normal 6 2 2 4 5" xfId="8119" xr:uid="{00000000-0005-0000-0000-0000871D0000}"/>
    <cellStyle name="Normal 6 2 2 5" xfId="1565" xr:uid="{00000000-0005-0000-0000-0000881D0000}"/>
    <cellStyle name="Normal 6 2 2 5 2" xfId="8120" xr:uid="{00000000-0005-0000-0000-0000891D0000}"/>
    <cellStyle name="Normal 6 2 2 5 2 2" xfId="8121" xr:uid="{00000000-0005-0000-0000-00008A1D0000}"/>
    <cellStyle name="Normal 6 2 2 5 3" xfId="8122" xr:uid="{00000000-0005-0000-0000-00008B1D0000}"/>
    <cellStyle name="Normal 6 2 2 5 4" xfId="8123" xr:uid="{00000000-0005-0000-0000-00008C1D0000}"/>
    <cellStyle name="Normal 6 2 2 6" xfId="8124" xr:uid="{00000000-0005-0000-0000-00008D1D0000}"/>
    <cellStyle name="Normal 6 2 2 6 2" xfId="8125" xr:uid="{00000000-0005-0000-0000-00008E1D0000}"/>
    <cellStyle name="Normal 6 2 2 7" xfId="8126" xr:uid="{00000000-0005-0000-0000-00008F1D0000}"/>
    <cellStyle name="Normal 6 2 2 8" xfId="8127" xr:uid="{00000000-0005-0000-0000-0000901D0000}"/>
    <cellStyle name="Normal 6 2 3" xfId="1566" xr:uid="{00000000-0005-0000-0000-0000911D0000}"/>
    <cellStyle name="Normal 6 2 3 2" xfId="1567" xr:uid="{00000000-0005-0000-0000-0000921D0000}"/>
    <cellStyle name="Normal 6 2 3 2 2" xfId="1568" xr:uid="{00000000-0005-0000-0000-0000931D0000}"/>
    <cellStyle name="Normal 6 2 3 2 2 2" xfId="1569" xr:uid="{00000000-0005-0000-0000-0000941D0000}"/>
    <cellStyle name="Normal 6 2 3 2 2 2 2" xfId="8128" xr:uid="{00000000-0005-0000-0000-0000951D0000}"/>
    <cellStyle name="Normal 6 2 3 2 2 2 2 2" xfId="8129" xr:uid="{00000000-0005-0000-0000-0000961D0000}"/>
    <cellStyle name="Normal 6 2 3 2 2 2 3" xfId="8130" xr:uid="{00000000-0005-0000-0000-0000971D0000}"/>
    <cellStyle name="Normal 6 2 3 2 2 2 4" xfId="8131" xr:uid="{00000000-0005-0000-0000-0000981D0000}"/>
    <cellStyle name="Normal 6 2 3 2 2 3" xfId="8132" xr:uid="{00000000-0005-0000-0000-0000991D0000}"/>
    <cellStyle name="Normal 6 2 3 2 2 3 2" xfId="8133" xr:uid="{00000000-0005-0000-0000-00009A1D0000}"/>
    <cellStyle name="Normal 6 2 3 2 2 4" xfId="8134" xr:uid="{00000000-0005-0000-0000-00009B1D0000}"/>
    <cellStyle name="Normal 6 2 3 2 2 5" xfId="8135" xr:uid="{00000000-0005-0000-0000-00009C1D0000}"/>
    <cellStyle name="Normal 6 2 3 2 3" xfId="1570" xr:uid="{00000000-0005-0000-0000-00009D1D0000}"/>
    <cellStyle name="Normal 6 2 3 2 3 2" xfId="8136" xr:uid="{00000000-0005-0000-0000-00009E1D0000}"/>
    <cellStyle name="Normal 6 2 3 2 3 2 2" xfId="8137" xr:uid="{00000000-0005-0000-0000-00009F1D0000}"/>
    <cellStyle name="Normal 6 2 3 2 3 3" xfId="8138" xr:uid="{00000000-0005-0000-0000-0000A01D0000}"/>
    <cellStyle name="Normal 6 2 3 2 3 4" xfId="8139" xr:uid="{00000000-0005-0000-0000-0000A11D0000}"/>
    <cellStyle name="Normal 6 2 3 2 4" xfId="8140" xr:uid="{00000000-0005-0000-0000-0000A21D0000}"/>
    <cellStyle name="Normal 6 2 3 2 4 2" xfId="8141" xr:uid="{00000000-0005-0000-0000-0000A31D0000}"/>
    <cellStyle name="Normal 6 2 3 2 5" xfId="8142" xr:uid="{00000000-0005-0000-0000-0000A41D0000}"/>
    <cellStyle name="Normal 6 2 3 2 6" xfId="8143" xr:uid="{00000000-0005-0000-0000-0000A51D0000}"/>
    <cellStyle name="Normal 6 2 3 3" xfId="1571" xr:uid="{00000000-0005-0000-0000-0000A61D0000}"/>
    <cellStyle name="Normal 6 2 3 3 2" xfId="1572" xr:uid="{00000000-0005-0000-0000-0000A71D0000}"/>
    <cellStyle name="Normal 6 2 3 3 2 2" xfId="8144" xr:uid="{00000000-0005-0000-0000-0000A81D0000}"/>
    <cellStyle name="Normal 6 2 3 3 2 2 2" xfId="8145" xr:uid="{00000000-0005-0000-0000-0000A91D0000}"/>
    <cellStyle name="Normal 6 2 3 3 2 3" xfId="8146" xr:uid="{00000000-0005-0000-0000-0000AA1D0000}"/>
    <cellStyle name="Normal 6 2 3 3 2 4" xfId="8147" xr:uid="{00000000-0005-0000-0000-0000AB1D0000}"/>
    <cellStyle name="Normal 6 2 3 3 3" xfId="8148" xr:uid="{00000000-0005-0000-0000-0000AC1D0000}"/>
    <cellStyle name="Normal 6 2 3 3 3 2" xfId="8149" xr:uid="{00000000-0005-0000-0000-0000AD1D0000}"/>
    <cellStyle name="Normal 6 2 3 3 4" xfId="8150" xr:uid="{00000000-0005-0000-0000-0000AE1D0000}"/>
    <cellStyle name="Normal 6 2 3 3 5" xfId="8151" xr:uid="{00000000-0005-0000-0000-0000AF1D0000}"/>
    <cellStyle name="Normal 6 2 3 4" xfId="1573" xr:uid="{00000000-0005-0000-0000-0000B01D0000}"/>
    <cellStyle name="Normal 6 2 3 4 2" xfId="8152" xr:uid="{00000000-0005-0000-0000-0000B11D0000}"/>
    <cellStyle name="Normal 6 2 3 4 2 2" xfId="8153" xr:uid="{00000000-0005-0000-0000-0000B21D0000}"/>
    <cellStyle name="Normal 6 2 3 4 3" xfId="8154" xr:uid="{00000000-0005-0000-0000-0000B31D0000}"/>
    <cellStyle name="Normal 6 2 3 4 4" xfId="8155" xr:uid="{00000000-0005-0000-0000-0000B41D0000}"/>
    <cellStyle name="Normal 6 2 3 5" xfId="8156" xr:uid="{00000000-0005-0000-0000-0000B51D0000}"/>
    <cellStyle name="Normal 6 2 3 5 2" xfId="8157" xr:uid="{00000000-0005-0000-0000-0000B61D0000}"/>
    <cellStyle name="Normal 6 2 3 6" xfId="8158" xr:uid="{00000000-0005-0000-0000-0000B71D0000}"/>
    <cellStyle name="Normal 6 2 3 7" xfId="8159" xr:uid="{00000000-0005-0000-0000-0000B81D0000}"/>
    <cellStyle name="Normal 6 2 4" xfId="1574" xr:uid="{00000000-0005-0000-0000-0000B91D0000}"/>
    <cellStyle name="Normal 6 2 4 2" xfId="1575" xr:uid="{00000000-0005-0000-0000-0000BA1D0000}"/>
    <cellStyle name="Normal 6 2 4 2 2" xfId="1576" xr:uid="{00000000-0005-0000-0000-0000BB1D0000}"/>
    <cellStyle name="Normal 6 2 4 2 2 2" xfId="8160" xr:uid="{00000000-0005-0000-0000-0000BC1D0000}"/>
    <cellStyle name="Normal 6 2 4 2 2 2 2" xfId="8161" xr:uid="{00000000-0005-0000-0000-0000BD1D0000}"/>
    <cellStyle name="Normal 6 2 4 2 2 3" xfId="8162" xr:uid="{00000000-0005-0000-0000-0000BE1D0000}"/>
    <cellStyle name="Normal 6 2 4 2 2 4" xfId="8163" xr:uid="{00000000-0005-0000-0000-0000BF1D0000}"/>
    <cellStyle name="Normal 6 2 4 2 3" xfId="8164" xr:uid="{00000000-0005-0000-0000-0000C01D0000}"/>
    <cellStyle name="Normal 6 2 4 2 3 2" xfId="8165" xr:uid="{00000000-0005-0000-0000-0000C11D0000}"/>
    <cellStyle name="Normal 6 2 4 2 4" xfId="8166" xr:uid="{00000000-0005-0000-0000-0000C21D0000}"/>
    <cellStyle name="Normal 6 2 4 2 5" xfId="8167" xr:uid="{00000000-0005-0000-0000-0000C31D0000}"/>
    <cellStyle name="Normal 6 2 4 3" xfId="1577" xr:uid="{00000000-0005-0000-0000-0000C41D0000}"/>
    <cellStyle name="Normal 6 2 4 3 2" xfId="8168" xr:uid="{00000000-0005-0000-0000-0000C51D0000}"/>
    <cellStyle name="Normal 6 2 4 3 2 2" xfId="8169" xr:uid="{00000000-0005-0000-0000-0000C61D0000}"/>
    <cellStyle name="Normal 6 2 4 3 3" xfId="8170" xr:uid="{00000000-0005-0000-0000-0000C71D0000}"/>
    <cellStyle name="Normal 6 2 4 3 4" xfId="8171" xr:uid="{00000000-0005-0000-0000-0000C81D0000}"/>
    <cellStyle name="Normal 6 2 4 4" xfId="8172" xr:uid="{00000000-0005-0000-0000-0000C91D0000}"/>
    <cellStyle name="Normal 6 2 4 4 2" xfId="8173" xr:uid="{00000000-0005-0000-0000-0000CA1D0000}"/>
    <cellStyle name="Normal 6 2 4 5" xfId="8174" xr:uid="{00000000-0005-0000-0000-0000CB1D0000}"/>
    <cellStyle name="Normal 6 2 4 6" xfId="8175" xr:uid="{00000000-0005-0000-0000-0000CC1D0000}"/>
    <cellStyle name="Normal 6 2 5" xfId="1578" xr:uid="{00000000-0005-0000-0000-0000CD1D0000}"/>
    <cellStyle name="Normal 6 2 5 2" xfId="1579" xr:uid="{00000000-0005-0000-0000-0000CE1D0000}"/>
    <cellStyle name="Normal 6 2 5 2 2" xfId="8176" xr:uid="{00000000-0005-0000-0000-0000CF1D0000}"/>
    <cellStyle name="Normal 6 2 5 2 2 2" xfId="8177" xr:uid="{00000000-0005-0000-0000-0000D01D0000}"/>
    <cellStyle name="Normal 6 2 5 2 3" xfId="8178" xr:uid="{00000000-0005-0000-0000-0000D11D0000}"/>
    <cellStyle name="Normal 6 2 5 2 4" xfId="8179" xr:uid="{00000000-0005-0000-0000-0000D21D0000}"/>
    <cellStyle name="Normal 6 2 5 3" xfId="8180" xr:uid="{00000000-0005-0000-0000-0000D31D0000}"/>
    <cellStyle name="Normal 6 2 5 3 2" xfId="8181" xr:uid="{00000000-0005-0000-0000-0000D41D0000}"/>
    <cellStyle name="Normal 6 2 5 4" xfId="8182" xr:uid="{00000000-0005-0000-0000-0000D51D0000}"/>
    <cellStyle name="Normal 6 2 5 5" xfId="8183" xr:uid="{00000000-0005-0000-0000-0000D61D0000}"/>
    <cellStyle name="Normal 6 2 6" xfId="1580" xr:uid="{00000000-0005-0000-0000-0000D71D0000}"/>
    <cellStyle name="Normal 6 2 6 2" xfId="8184" xr:uid="{00000000-0005-0000-0000-0000D81D0000}"/>
    <cellStyle name="Normal 6 2 6 2 2" xfId="8185" xr:uid="{00000000-0005-0000-0000-0000D91D0000}"/>
    <cellStyle name="Normal 6 2 6 3" xfId="8186" xr:uid="{00000000-0005-0000-0000-0000DA1D0000}"/>
    <cellStyle name="Normal 6 2 6 4" xfId="8187" xr:uid="{00000000-0005-0000-0000-0000DB1D0000}"/>
    <cellStyle name="Normal 6 2 7" xfId="8188" xr:uid="{00000000-0005-0000-0000-0000DC1D0000}"/>
    <cellStyle name="Normal 6 2 7 2" xfId="8189" xr:uid="{00000000-0005-0000-0000-0000DD1D0000}"/>
    <cellStyle name="Normal 6 2 8" xfId="8190" xr:uid="{00000000-0005-0000-0000-0000DE1D0000}"/>
    <cellStyle name="Normal 6 2 9" xfId="8191" xr:uid="{00000000-0005-0000-0000-0000DF1D0000}"/>
    <cellStyle name="Normal 6 3" xfId="1581" xr:uid="{00000000-0005-0000-0000-0000E01D0000}"/>
    <cellStyle name="Normal 6 3 2" xfId="1582" xr:uid="{00000000-0005-0000-0000-0000E11D0000}"/>
    <cellStyle name="Normal 6 3 2 2" xfId="1583" xr:uid="{00000000-0005-0000-0000-0000E21D0000}"/>
    <cellStyle name="Normal 6 3 2 2 2" xfId="1584" xr:uid="{00000000-0005-0000-0000-0000E31D0000}"/>
    <cellStyle name="Normal 6 3 2 2 2 2" xfId="1585" xr:uid="{00000000-0005-0000-0000-0000E41D0000}"/>
    <cellStyle name="Normal 6 3 2 2 2 2 2" xfId="1586" xr:uid="{00000000-0005-0000-0000-0000E51D0000}"/>
    <cellStyle name="Normal 6 3 2 2 2 2 2 2" xfId="8192" xr:uid="{00000000-0005-0000-0000-0000E61D0000}"/>
    <cellStyle name="Normal 6 3 2 2 2 2 2 2 2" xfId="8193" xr:uid="{00000000-0005-0000-0000-0000E71D0000}"/>
    <cellStyle name="Normal 6 3 2 2 2 2 2 3" xfId="8194" xr:uid="{00000000-0005-0000-0000-0000E81D0000}"/>
    <cellStyle name="Normal 6 3 2 2 2 2 2 4" xfId="8195" xr:uid="{00000000-0005-0000-0000-0000E91D0000}"/>
    <cellStyle name="Normal 6 3 2 2 2 2 3" xfId="8196" xr:uid="{00000000-0005-0000-0000-0000EA1D0000}"/>
    <cellStyle name="Normal 6 3 2 2 2 2 3 2" xfId="8197" xr:uid="{00000000-0005-0000-0000-0000EB1D0000}"/>
    <cellStyle name="Normal 6 3 2 2 2 2 4" xfId="8198" xr:uid="{00000000-0005-0000-0000-0000EC1D0000}"/>
    <cellStyle name="Normal 6 3 2 2 2 2 5" xfId="8199" xr:uid="{00000000-0005-0000-0000-0000ED1D0000}"/>
    <cellStyle name="Normal 6 3 2 2 2 3" xfId="1587" xr:uid="{00000000-0005-0000-0000-0000EE1D0000}"/>
    <cellStyle name="Normal 6 3 2 2 2 3 2" xfId="8200" xr:uid="{00000000-0005-0000-0000-0000EF1D0000}"/>
    <cellStyle name="Normal 6 3 2 2 2 3 2 2" xfId="8201" xr:uid="{00000000-0005-0000-0000-0000F01D0000}"/>
    <cellStyle name="Normal 6 3 2 2 2 3 3" xfId="8202" xr:uid="{00000000-0005-0000-0000-0000F11D0000}"/>
    <cellStyle name="Normal 6 3 2 2 2 3 4" xfId="8203" xr:uid="{00000000-0005-0000-0000-0000F21D0000}"/>
    <cellStyle name="Normal 6 3 2 2 2 4" xfId="8204" xr:uid="{00000000-0005-0000-0000-0000F31D0000}"/>
    <cellStyle name="Normal 6 3 2 2 2 4 2" xfId="8205" xr:uid="{00000000-0005-0000-0000-0000F41D0000}"/>
    <cellStyle name="Normal 6 3 2 2 2 5" xfId="8206" xr:uid="{00000000-0005-0000-0000-0000F51D0000}"/>
    <cellStyle name="Normal 6 3 2 2 2 6" xfId="8207" xr:uid="{00000000-0005-0000-0000-0000F61D0000}"/>
    <cellStyle name="Normal 6 3 2 2 3" xfId="1588" xr:uid="{00000000-0005-0000-0000-0000F71D0000}"/>
    <cellStyle name="Normal 6 3 2 2 3 2" xfId="1589" xr:uid="{00000000-0005-0000-0000-0000F81D0000}"/>
    <cellStyle name="Normal 6 3 2 2 3 2 2" xfId="8208" xr:uid="{00000000-0005-0000-0000-0000F91D0000}"/>
    <cellStyle name="Normal 6 3 2 2 3 2 2 2" xfId="8209" xr:uid="{00000000-0005-0000-0000-0000FA1D0000}"/>
    <cellStyle name="Normal 6 3 2 2 3 2 3" xfId="8210" xr:uid="{00000000-0005-0000-0000-0000FB1D0000}"/>
    <cellStyle name="Normal 6 3 2 2 3 2 4" xfId="8211" xr:uid="{00000000-0005-0000-0000-0000FC1D0000}"/>
    <cellStyle name="Normal 6 3 2 2 3 3" xfId="8212" xr:uid="{00000000-0005-0000-0000-0000FD1D0000}"/>
    <cellStyle name="Normal 6 3 2 2 3 3 2" xfId="8213" xr:uid="{00000000-0005-0000-0000-0000FE1D0000}"/>
    <cellStyle name="Normal 6 3 2 2 3 4" xfId="8214" xr:uid="{00000000-0005-0000-0000-0000FF1D0000}"/>
    <cellStyle name="Normal 6 3 2 2 3 5" xfId="8215" xr:uid="{00000000-0005-0000-0000-0000001E0000}"/>
    <cellStyle name="Normal 6 3 2 2 4" xfId="1590" xr:uid="{00000000-0005-0000-0000-0000011E0000}"/>
    <cellStyle name="Normal 6 3 2 2 4 2" xfId="8216" xr:uid="{00000000-0005-0000-0000-0000021E0000}"/>
    <cellStyle name="Normal 6 3 2 2 4 2 2" xfId="8217" xr:uid="{00000000-0005-0000-0000-0000031E0000}"/>
    <cellStyle name="Normal 6 3 2 2 4 3" xfId="8218" xr:uid="{00000000-0005-0000-0000-0000041E0000}"/>
    <cellStyle name="Normal 6 3 2 2 4 4" xfId="8219" xr:uid="{00000000-0005-0000-0000-0000051E0000}"/>
    <cellStyle name="Normal 6 3 2 2 5" xfId="8220" xr:uid="{00000000-0005-0000-0000-0000061E0000}"/>
    <cellStyle name="Normal 6 3 2 2 5 2" xfId="8221" xr:uid="{00000000-0005-0000-0000-0000071E0000}"/>
    <cellStyle name="Normal 6 3 2 2 6" xfId="8222" xr:uid="{00000000-0005-0000-0000-0000081E0000}"/>
    <cellStyle name="Normal 6 3 2 2 7" xfId="8223" xr:uid="{00000000-0005-0000-0000-0000091E0000}"/>
    <cellStyle name="Normal 6 3 2 3" xfId="1591" xr:uid="{00000000-0005-0000-0000-00000A1E0000}"/>
    <cellStyle name="Normal 6 3 2 3 2" xfId="1592" xr:uid="{00000000-0005-0000-0000-00000B1E0000}"/>
    <cellStyle name="Normal 6 3 2 3 2 2" xfId="1593" xr:uid="{00000000-0005-0000-0000-00000C1E0000}"/>
    <cellStyle name="Normal 6 3 2 3 2 2 2" xfId="8224" xr:uid="{00000000-0005-0000-0000-00000D1E0000}"/>
    <cellStyle name="Normal 6 3 2 3 2 2 2 2" xfId="8225" xr:uid="{00000000-0005-0000-0000-00000E1E0000}"/>
    <cellStyle name="Normal 6 3 2 3 2 2 3" xfId="8226" xr:uid="{00000000-0005-0000-0000-00000F1E0000}"/>
    <cellStyle name="Normal 6 3 2 3 2 2 4" xfId="8227" xr:uid="{00000000-0005-0000-0000-0000101E0000}"/>
    <cellStyle name="Normal 6 3 2 3 2 3" xfId="8228" xr:uid="{00000000-0005-0000-0000-0000111E0000}"/>
    <cellStyle name="Normal 6 3 2 3 2 3 2" xfId="8229" xr:uid="{00000000-0005-0000-0000-0000121E0000}"/>
    <cellStyle name="Normal 6 3 2 3 2 4" xfId="8230" xr:uid="{00000000-0005-0000-0000-0000131E0000}"/>
    <cellStyle name="Normal 6 3 2 3 2 5" xfId="8231" xr:uid="{00000000-0005-0000-0000-0000141E0000}"/>
    <cellStyle name="Normal 6 3 2 3 3" xfId="1594" xr:uid="{00000000-0005-0000-0000-0000151E0000}"/>
    <cellStyle name="Normal 6 3 2 3 3 2" xfId="8232" xr:uid="{00000000-0005-0000-0000-0000161E0000}"/>
    <cellStyle name="Normal 6 3 2 3 3 2 2" xfId="8233" xr:uid="{00000000-0005-0000-0000-0000171E0000}"/>
    <cellStyle name="Normal 6 3 2 3 3 3" xfId="8234" xr:uid="{00000000-0005-0000-0000-0000181E0000}"/>
    <cellStyle name="Normal 6 3 2 3 3 4" xfId="8235" xr:uid="{00000000-0005-0000-0000-0000191E0000}"/>
    <cellStyle name="Normal 6 3 2 3 4" xfId="8236" xr:uid="{00000000-0005-0000-0000-00001A1E0000}"/>
    <cellStyle name="Normal 6 3 2 3 4 2" xfId="8237" xr:uid="{00000000-0005-0000-0000-00001B1E0000}"/>
    <cellStyle name="Normal 6 3 2 3 5" xfId="8238" xr:uid="{00000000-0005-0000-0000-00001C1E0000}"/>
    <cellStyle name="Normal 6 3 2 3 6" xfId="8239" xr:uid="{00000000-0005-0000-0000-00001D1E0000}"/>
    <cellStyle name="Normal 6 3 2 4" xfId="1595" xr:uid="{00000000-0005-0000-0000-00001E1E0000}"/>
    <cellStyle name="Normal 6 3 2 4 2" xfId="1596" xr:uid="{00000000-0005-0000-0000-00001F1E0000}"/>
    <cellStyle name="Normal 6 3 2 4 2 2" xfId="8240" xr:uid="{00000000-0005-0000-0000-0000201E0000}"/>
    <cellStyle name="Normal 6 3 2 4 2 2 2" xfId="8241" xr:uid="{00000000-0005-0000-0000-0000211E0000}"/>
    <cellStyle name="Normal 6 3 2 4 2 3" xfId="8242" xr:uid="{00000000-0005-0000-0000-0000221E0000}"/>
    <cellStyle name="Normal 6 3 2 4 2 4" xfId="8243" xr:uid="{00000000-0005-0000-0000-0000231E0000}"/>
    <cellStyle name="Normal 6 3 2 4 3" xfId="8244" xr:uid="{00000000-0005-0000-0000-0000241E0000}"/>
    <cellStyle name="Normal 6 3 2 4 3 2" xfId="8245" xr:uid="{00000000-0005-0000-0000-0000251E0000}"/>
    <cellStyle name="Normal 6 3 2 4 4" xfId="8246" xr:uid="{00000000-0005-0000-0000-0000261E0000}"/>
    <cellStyle name="Normal 6 3 2 4 5" xfId="8247" xr:uid="{00000000-0005-0000-0000-0000271E0000}"/>
    <cellStyle name="Normal 6 3 2 5" xfId="1597" xr:uid="{00000000-0005-0000-0000-0000281E0000}"/>
    <cellStyle name="Normal 6 3 2 5 2" xfId="8248" xr:uid="{00000000-0005-0000-0000-0000291E0000}"/>
    <cellStyle name="Normal 6 3 2 5 2 2" xfId="8249" xr:uid="{00000000-0005-0000-0000-00002A1E0000}"/>
    <cellStyle name="Normal 6 3 2 5 3" xfId="8250" xr:uid="{00000000-0005-0000-0000-00002B1E0000}"/>
    <cellStyle name="Normal 6 3 2 5 4" xfId="8251" xr:uid="{00000000-0005-0000-0000-00002C1E0000}"/>
    <cellStyle name="Normal 6 3 2 6" xfId="8252" xr:uid="{00000000-0005-0000-0000-00002D1E0000}"/>
    <cellStyle name="Normal 6 3 2 6 2" xfId="8253" xr:uid="{00000000-0005-0000-0000-00002E1E0000}"/>
    <cellStyle name="Normal 6 3 2 7" xfId="8254" xr:uid="{00000000-0005-0000-0000-00002F1E0000}"/>
    <cellStyle name="Normal 6 3 2 8" xfId="8255" xr:uid="{00000000-0005-0000-0000-0000301E0000}"/>
    <cellStyle name="Normal 6 3 3" xfId="1598" xr:uid="{00000000-0005-0000-0000-0000311E0000}"/>
    <cellStyle name="Normal 6 3 3 2" xfId="1599" xr:uid="{00000000-0005-0000-0000-0000321E0000}"/>
    <cellStyle name="Normal 6 3 3 2 2" xfId="1600" xr:uid="{00000000-0005-0000-0000-0000331E0000}"/>
    <cellStyle name="Normal 6 3 3 2 2 2" xfId="1601" xr:uid="{00000000-0005-0000-0000-0000341E0000}"/>
    <cellStyle name="Normal 6 3 3 2 2 2 2" xfId="8256" xr:uid="{00000000-0005-0000-0000-0000351E0000}"/>
    <cellStyle name="Normal 6 3 3 2 2 2 2 2" xfId="8257" xr:uid="{00000000-0005-0000-0000-0000361E0000}"/>
    <cellStyle name="Normal 6 3 3 2 2 2 3" xfId="8258" xr:uid="{00000000-0005-0000-0000-0000371E0000}"/>
    <cellStyle name="Normal 6 3 3 2 2 2 4" xfId="8259" xr:uid="{00000000-0005-0000-0000-0000381E0000}"/>
    <cellStyle name="Normal 6 3 3 2 2 3" xfId="8260" xr:uid="{00000000-0005-0000-0000-0000391E0000}"/>
    <cellStyle name="Normal 6 3 3 2 2 3 2" xfId="8261" xr:uid="{00000000-0005-0000-0000-00003A1E0000}"/>
    <cellStyle name="Normal 6 3 3 2 2 4" xfId="8262" xr:uid="{00000000-0005-0000-0000-00003B1E0000}"/>
    <cellStyle name="Normal 6 3 3 2 2 5" xfId="8263" xr:uid="{00000000-0005-0000-0000-00003C1E0000}"/>
    <cellStyle name="Normal 6 3 3 2 3" xfId="1602" xr:uid="{00000000-0005-0000-0000-00003D1E0000}"/>
    <cellStyle name="Normal 6 3 3 2 3 2" xfId="8264" xr:uid="{00000000-0005-0000-0000-00003E1E0000}"/>
    <cellStyle name="Normal 6 3 3 2 3 2 2" xfId="8265" xr:uid="{00000000-0005-0000-0000-00003F1E0000}"/>
    <cellStyle name="Normal 6 3 3 2 3 3" xfId="8266" xr:uid="{00000000-0005-0000-0000-0000401E0000}"/>
    <cellStyle name="Normal 6 3 3 2 3 4" xfId="8267" xr:uid="{00000000-0005-0000-0000-0000411E0000}"/>
    <cellStyle name="Normal 6 3 3 2 4" xfId="8268" xr:uid="{00000000-0005-0000-0000-0000421E0000}"/>
    <cellStyle name="Normal 6 3 3 2 4 2" xfId="8269" xr:uid="{00000000-0005-0000-0000-0000431E0000}"/>
    <cellStyle name="Normal 6 3 3 2 5" xfId="8270" xr:uid="{00000000-0005-0000-0000-0000441E0000}"/>
    <cellStyle name="Normal 6 3 3 2 6" xfId="8271" xr:uid="{00000000-0005-0000-0000-0000451E0000}"/>
    <cellStyle name="Normal 6 3 3 3" xfId="1603" xr:uid="{00000000-0005-0000-0000-0000461E0000}"/>
    <cellStyle name="Normal 6 3 3 3 2" xfId="1604" xr:uid="{00000000-0005-0000-0000-0000471E0000}"/>
    <cellStyle name="Normal 6 3 3 3 2 2" xfId="8272" xr:uid="{00000000-0005-0000-0000-0000481E0000}"/>
    <cellStyle name="Normal 6 3 3 3 2 2 2" xfId="8273" xr:uid="{00000000-0005-0000-0000-0000491E0000}"/>
    <cellStyle name="Normal 6 3 3 3 2 3" xfId="8274" xr:uid="{00000000-0005-0000-0000-00004A1E0000}"/>
    <cellStyle name="Normal 6 3 3 3 2 4" xfId="8275" xr:uid="{00000000-0005-0000-0000-00004B1E0000}"/>
    <cellStyle name="Normal 6 3 3 3 3" xfId="8276" xr:uid="{00000000-0005-0000-0000-00004C1E0000}"/>
    <cellStyle name="Normal 6 3 3 3 3 2" xfId="8277" xr:uid="{00000000-0005-0000-0000-00004D1E0000}"/>
    <cellStyle name="Normal 6 3 3 3 4" xfId="8278" xr:uid="{00000000-0005-0000-0000-00004E1E0000}"/>
    <cellStyle name="Normal 6 3 3 3 5" xfId="8279" xr:uid="{00000000-0005-0000-0000-00004F1E0000}"/>
    <cellStyle name="Normal 6 3 3 4" xfId="1605" xr:uid="{00000000-0005-0000-0000-0000501E0000}"/>
    <cellStyle name="Normal 6 3 3 4 2" xfId="8280" xr:uid="{00000000-0005-0000-0000-0000511E0000}"/>
    <cellStyle name="Normal 6 3 3 4 2 2" xfId="8281" xr:uid="{00000000-0005-0000-0000-0000521E0000}"/>
    <cellStyle name="Normal 6 3 3 4 3" xfId="8282" xr:uid="{00000000-0005-0000-0000-0000531E0000}"/>
    <cellStyle name="Normal 6 3 3 4 4" xfId="8283" xr:uid="{00000000-0005-0000-0000-0000541E0000}"/>
    <cellStyle name="Normal 6 3 3 5" xfId="8284" xr:uid="{00000000-0005-0000-0000-0000551E0000}"/>
    <cellStyle name="Normal 6 3 3 5 2" xfId="8285" xr:uid="{00000000-0005-0000-0000-0000561E0000}"/>
    <cellStyle name="Normal 6 3 3 6" xfId="8286" xr:uid="{00000000-0005-0000-0000-0000571E0000}"/>
    <cellStyle name="Normal 6 3 3 7" xfId="8287" xr:uid="{00000000-0005-0000-0000-0000581E0000}"/>
    <cellStyle name="Normal 6 3 4" xfId="1606" xr:uid="{00000000-0005-0000-0000-0000591E0000}"/>
    <cellStyle name="Normal 6 3 4 2" xfId="1607" xr:uid="{00000000-0005-0000-0000-00005A1E0000}"/>
    <cellStyle name="Normal 6 3 4 2 2" xfId="1608" xr:uid="{00000000-0005-0000-0000-00005B1E0000}"/>
    <cellStyle name="Normal 6 3 4 2 2 2" xfId="8288" xr:uid="{00000000-0005-0000-0000-00005C1E0000}"/>
    <cellStyle name="Normal 6 3 4 2 2 2 2" xfId="8289" xr:uid="{00000000-0005-0000-0000-00005D1E0000}"/>
    <cellStyle name="Normal 6 3 4 2 2 3" xfId="8290" xr:uid="{00000000-0005-0000-0000-00005E1E0000}"/>
    <cellStyle name="Normal 6 3 4 2 2 4" xfId="8291" xr:uid="{00000000-0005-0000-0000-00005F1E0000}"/>
    <cellStyle name="Normal 6 3 4 2 3" xfId="8292" xr:uid="{00000000-0005-0000-0000-0000601E0000}"/>
    <cellStyle name="Normal 6 3 4 2 3 2" xfId="8293" xr:uid="{00000000-0005-0000-0000-0000611E0000}"/>
    <cellStyle name="Normal 6 3 4 2 4" xfId="8294" xr:uid="{00000000-0005-0000-0000-0000621E0000}"/>
    <cellStyle name="Normal 6 3 4 2 5" xfId="8295" xr:uid="{00000000-0005-0000-0000-0000631E0000}"/>
    <cellStyle name="Normal 6 3 4 3" xfId="1609" xr:uid="{00000000-0005-0000-0000-0000641E0000}"/>
    <cellStyle name="Normal 6 3 4 3 2" xfId="8296" xr:uid="{00000000-0005-0000-0000-0000651E0000}"/>
    <cellStyle name="Normal 6 3 4 3 2 2" xfId="8297" xr:uid="{00000000-0005-0000-0000-0000661E0000}"/>
    <cellStyle name="Normal 6 3 4 3 3" xfId="8298" xr:uid="{00000000-0005-0000-0000-0000671E0000}"/>
    <cellStyle name="Normal 6 3 4 3 4" xfId="8299" xr:uid="{00000000-0005-0000-0000-0000681E0000}"/>
    <cellStyle name="Normal 6 3 4 4" xfId="8300" xr:uid="{00000000-0005-0000-0000-0000691E0000}"/>
    <cellStyle name="Normal 6 3 4 4 2" xfId="8301" xr:uid="{00000000-0005-0000-0000-00006A1E0000}"/>
    <cellStyle name="Normal 6 3 4 5" xfId="8302" xr:uid="{00000000-0005-0000-0000-00006B1E0000}"/>
    <cellStyle name="Normal 6 3 4 6" xfId="8303" xr:uid="{00000000-0005-0000-0000-00006C1E0000}"/>
    <cellStyle name="Normal 6 3 5" xfId="1610" xr:uid="{00000000-0005-0000-0000-00006D1E0000}"/>
    <cellStyle name="Normal 6 3 5 2" xfId="1611" xr:uid="{00000000-0005-0000-0000-00006E1E0000}"/>
    <cellStyle name="Normal 6 3 5 2 2" xfId="8304" xr:uid="{00000000-0005-0000-0000-00006F1E0000}"/>
    <cellStyle name="Normal 6 3 5 2 2 2" xfId="8305" xr:uid="{00000000-0005-0000-0000-0000701E0000}"/>
    <cellStyle name="Normal 6 3 5 2 3" xfId="8306" xr:uid="{00000000-0005-0000-0000-0000711E0000}"/>
    <cellStyle name="Normal 6 3 5 2 4" xfId="8307" xr:uid="{00000000-0005-0000-0000-0000721E0000}"/>
    <cellStyle name="Normal 6 3 5 3" xfId="8308" xr:uid="{00000000-0005-0000-0000-0000731E0000}"/>
    <cellStyle name="Normal 6 3 5 3 2" xfId="8309" xr:uid="{00000000-0005-0000-0000-0000741E0000}"/>
    <cellStyle name="Normal 6 3 5 4" xfId="8310" xr:uid="{00000000-0005-0000-0000-0000751E0000}"/>
    <cellStyle name="Normal 6 3 5 5" xfId="8311" xr:uid="{00000000-0005-0000-0000-0000761E0000}"/>
    <cellStyle name="Normal 6 3 6" xfId="1612" xr:uid="{00000000-0005-0000-0000-0000771E0000}"/>
    <cellStyle name="Normal 6 3 6 2" xfId="8312" xr:uid="{00000000-0005-0000-0000-0000781E0000}"/>
    <cellStyle name="Normal 6 3 6 2 2" xfId="8313" xr:uid="{00000000-0005-0000-0000-0000791E0000}"/>
    <cellStyle name="Normal 6 3 6 3" xfId="8314" xr:uid="{00000000-0005-0000-0000-00007A1E0000}"/>
    <cellStyle name="Normal 6 3 6 4" xfId="8315" xr:uid="{00000000-0005-0000-0000-00007B1E0000}"/>
    <cellStyle name="Normal 6 3 7" xfId="8316" xr:uid="{00000000-0005-0000-0000-00007C1E0000}"/>
    <cellStyle name="Normal 6 3 7 2" xfId="8317" xr:uid="{00000000-0005-0000-0000-00007D1E0000}"/>
    <cellStyle name="Normal 6 3 8" xfId="8318" xr:uid="{00000000-0005-0000-0000-00007E1E0000}"/>
    <cellStyle name="Normal 6 3 9" xfId="8319" xr:uid="{00000000-0005-0000-0000-00007F1E0000}"/>
    <cellStyle name="Normal 6 4" xfId="1613" xr:uid="{00000000-0005-0000-0000-0000801E0000}"/>
    <cellStyle name="Normal 6 4 2" xfId="1614" xr:uid="{00000000-0005-0000-0000-0000811E0000}"/>
    <cellStyle name="Normal 6 4 2 2" xfId="1615" xr:uid="{00000000-0005-0000-0000-0000821E0000}"/>
    <cellStyle name="Normal 6 4 2 2 2" xfId="1616" xr:uid="{00000000-0005-0000-0000-0000831E0000}"/>
    <cellStyle name="Normal 6 4 2 2 2 2" xfId="1617" xr:uid="{00000000-0005-0000-0000-0000841E0000}"/>
    <cellStyle name="Normal 6 4 2 2 2 2 2" xfId="8320" xr:uid="{00000000-0005-0000-0000-0000851E0000}"/>
    <cellStyle name="Normal 6 4 2 2 2 2 2 2" xfId="8321" xr:uid="{00000000-0005-0000-0000-0000861E0000}"/>
    <cellStyle name="Normal 6 4 2 2 2 2 3" xfId="8322" xr:uid="{00000000-0005-0000-0000-0000871E0000}"/>
    <cellStyle name="Normal 6 4 2 2 2 2 4" xfId="8323" xr:uid="{00000000-0005-0000-0000-0000881E0000}"/>
    <cellStyle name="Normal 6 4 2 2 2 3" xfId="8324" xr:uid="{00000000-0005-0000-0000-0000891E0000}"/>
    <cellStyle name="Normal 6 4 2 2 2 3 2" xfId="8325" xr:uid="{00000000-0005-0000-0000-00008A1E0000}"/>
    <cellStyle name="Normal 6 4 2 2 2 4" xfId="8326" xr:uid="{00000000-0005-0000-0000-00008B1E0000}"/>
    <cellStyle name="Normal 6 4 2 2 2 5" xfId="8327" xr:uid="{00000000-0005-0000-0000-00008C1E0000}"/>
    <cellStyle name="Normal 6 4 2 2 3" xfId="1618" xr:uid="{00000000-0005-0000-0000-00008D1E0000}"/>
    <cellStyle name="Normal 6 4 2 2 3 2" xfId="8328" xr:uid="{00000000-0005-0000-0000-00008E1E0000}"/>
    <cellStyle name="Normal 6 4 2 2 3 2 2" xfId="8329" xr:uid="{00000000-0005-0000-0000-00008F1E0000}"/>
    <cellStyle name="Normal 6 4 2 2 3 3" xfId="8330" xr:uid="{00000000-0005-0000-0000-0000901E0000}"/>
    <cellStyle name="Normal 6 4 2 2 3 4" xfId="8331" xr:uid="{00000000-0005-0000-0000-0000911E0000}"/>
    <cellStyle name="Normal 6 4 2 2 4" xfId="8332" xr:uid="{00000000-0005-0000-0000-0000921E0000}"/>
    <cellStyle name="Normal 6 4 2 2 4 2" xfId="8333" xr:uid="{00000000-0005-0000-0000-0000931E0000}"/>
    <cellStyle name="Normal 6 4 2 2 5" xfId="8334" xr:uid="{00000000-0005-0000-0000-0000941E0000}"/>
    <cellStyle name="Normal 6 4 2 2 6" xfId="8335" xr:uid="{00000000-0005-0000-0000-0000951E0000}"/>
    <cellStyle name="Normal 6 4 2 3" xfId="1619" xr:uid="{00000000-0005-0000-0000-0000961E0000}"/>
    <cellStyle name="Normal 6 4 2 3 2" xfId="1620" xr:uid="{00000000-0005-0000-0000-0000971E0000}"/>
    <cellStyle name="Normal 6 4 2 3 2 2" xfId="8336" xr:uid="{00000000-0005-0000-0000-0000981E0000}"/>
    <cellStyle name="Normal 6 4 2 3 2 2 2" xfId="8337" xr:uid="{00000000-0005-0000-0000-0000991E0000}"/>
    <cellStyle name="Normal 6 4 2 3 2 3" xfId="8338" xr:uid="{00000000-0005-0000-0000-00009A1E0000}"/>
    <cellStyle name="Normal 6 4 2 3 2 4" xfId="8339" xr:uid="{00000000-0005-0000-0000-00009B1E0000}"/>
    <cellStyle name="Normal 6 4 2 3 3" xfId="8340" xr:uid="{00000000-0005-0000-0000-00009C1E0000}"/>
    <cellStyle name="Normal 6 4 2 3 3 2" xfId="8341" xr:uid="{00000000-0005-0000-0000-00009D1E0000}"/>
    <cellStyle name="Normal 6 4 2 3 4" xfId="8342" xr:uid="{00000000-0005-0000-0000-00009E1E0000}"/>
    <cellStyle name="Normal 6 4 2 3 5" xfId="8343" xr:uid="{00000000-0005-0000-0000-00009F1E0000}"/>
    <cellStyle name="Normal 6 4 2 4" xfId="1621" xr:uid="{00000000-0005-0000-0000-0000A01E0000}"/>
    <cellStyle name="Normal 6 4 2 4 2" xfId="8344" xr:uid="{00000000-0005-0000-0000-0000A11E0000}"/>
    <cellStyle name="Normal 6 4 2 4 2 2" xfId="8345" xr:uid="{00000000-0005-0000-0000-0000A21E0000}"/>
    <cellStyle name="Normal 6 4 2 4 3" xfId="8346" xr:uid="{00000000-0005-0000-0000-0000A31E0000}"/>
    <cellStyle name="Normal 6 4 2 4 4" xfId="8347" xr:uid="{00000000-0005-0000-0000-0000A41E0000}"/>
    <cellStyle name="Normal 6 4 2 5" xfId="8348" xr:uid="{00000000-0005-0000-0000-0000A51E0000}"/>
    <cellStyle name="Normal 6 4 2 5 2" xfId="8349" xr:uid="{00000000-0005-0000-0000-0000A61E0000}"/>
    <cellStyle name="Normal 6 4 2 6" xfId="8350" xr:uid="{00000000-0005-0000-0000-0000A71E0000}"/>
    <cellStyle name="Normal 6 4 2 7" xfId="8351" xr:uid="{00000000-0005-0000-0000-0000A81E0000}"/>
    <cellStyle name="Normal 6 4 3" xfId="1622" xr:uid="{00000000-0005-0000-0000-0000A91E0000}"/>
    <cellStyle name="Normal 6 4 3 2" xfId="1623" xr:uid="{00000000-0005-0000-0000-0000AA1E0000}"/>
    <cellStyle name="Normal 6 4 3 2 2" xfId="1624" xr:uid="{00000000-0005-0000-0000-0000AB1E0000}"/>
    <cellStyle name="Normal 6 4 3 2 2 2" xfId="8352" xr:uid="{00000000-0005-0000-0000-0000AC1E0000}"/>
    <cellStyle name="Normal 6 4 3 2 2 2 2" xfId="8353" xr:uid="{00000000-0005-0000-0000-0000AD1E0000}"/>
    <cellStyle name="Normal 6 4 3 2 2 3" xfId="8354" xr:uid="{00000000-0005-0000-0000-0000AE1E0000}"/>
    <cellStyle name="Normal 6 4 3 2 2 4" xfId="8355" xr:uid="{00000000-0005-0000-0000-0000AF1E0000}"/>
    <cellStyle name="Normal 6 4 3 2 3" xfId="8356" xr:uid="{00000000-0005-0000-0000-0000B01E0000}"/>
    <cellStyle name="Normal 6 4 3 2 3 2" xfId="8357" xr:uid="{00000000-0005-0000-0000-0000B11E0000}"/>
    <cellStyle name="Normal 6 4 3 2 4" xfId="8358" xr:uid="{00000000-0005-0000-0000-0000B21E0000}"/>
    <cellStyle name="Normal 6 4 3 2 5" xfId="8359" xr:uid="{00000000-0005-0000-0000-0000B31E0000}"/>
    <cellStyle name="Normal 6 4 3 3" xfId="1625" xr:uid="{00000000-0005-0000-0000-0000B41E0000}"/>
    <cellStyle name="Normal 6 4 3 3 2" xfId="8360" xr:uid="{00000000-0005-0000-0000-0000B51E0000}"/>
    <cellStyle name="Normal 6 4 3 3 2 2" xfId="8361" xr:uid="{00000000-0005-0000-0000-0000B61E0000}"/>
    <cellStyle name="Normal 6 4 3 3 3" xfId="8362" xr:uid="{00000000-0005-0000-0000-0000B71E0000}"/>
    <cellStyle name="Normal 6 4 3 3 4" xfId="8363" xr:uid="{00000000-0005-0000-0000-0000B81E0000}"/>
    <cellStyle name="Normal 6 4 3 4" xfId="8364" xr:uid="{00000000-0005-0000-0000-0000B91E0000}"/>
    <cellStyle name="Normal 6 4 3 4 2" xfId="8365" xr:uid="{00000000-0005-0000-0000-0000BA1E0000}"/>
    <cellStyle name="Normal 6 4 3 5" xfId="8366" xr:uid="{00000000-0005-0000-0000-0000BB1E0000}"/>
    <cellStyle name="Normal 6 4 3 6" xfId="8367" xr:uid="{00000000-0005-0000-0000-0000BC1E0000}"/>
    <cellStyle name="Normal 6 4 4" xfId="1626" xr:uid="{00000000-0005-0000-0000-0000BD1E0000}"/>
    <cellStyle name="Normal 6 4 4 2" xfId="1627" xr:uid="{00000000-0005-0000-0000-0000BE1E0000}"/>
    <cellStyle name="Normal 6 4 4 2 2" xfId="8368" xr:uid="{00000000-0005-0000-0000-0000BF1E0000}"/>
    <cellStyle name="Normal 6 4 4 2 2 2" xfId="8369" xr:uid="{00000000-0005-0000-0000-0000C01E0000}"/>
    <cellStyle name="Normal 6 4 4 2 3" xfId="8370" xr:uid="{00000000-0005-0000-0000-0000C11E0000}"/>
    <cellStyle name="Normal 6 4 4 2 4" xfId="8371" xr:uid="{00000000-0005-0000-0000-0000C21E0000}"/>
    <cellStyle name="Normal 6 4 4 3" xfId="8372" xr:uid="{00000000-0005-0000-0000-0000C31E0000}"/>
    <cellStyle name="Normal 6 4 4 3 2" xfId="8373" xr:uid="{00000000-0005-0000-0000-0000C41E0000}"/>
    <cellStyle name="Normal 6 4 4 4" xfId="8374" xr:uid="{00000000-0005-0000-0000-0000C51E0000}"/>
    <cellStyle name="Normal 6 4 4 5" xfId="8375" xr:uid="{00000000-0005-0000-0000-0000C61E0000}"/>
    <cellStyle name="Normal 6 4 5" xfId="1628" xr:uid="{00000000-0005-0000-0000-0000C71E0000}"/>
    <cellStyle name="Normal 6 4 5 2" xfId="8376" xr:uid="{00000000-0005-0000-0000-0000C81E0000}"/>
    <cellStyle name="Normal 6 4 5 2 2" xfId="8377" xr:uid="{00000000-0005-0000-0000-0000C91E0000}"/>
    <cellStyle name="Normal 6 4 5 3" xfId="8378" xr:uid="{00000000-0005-0000-0000-0000CA1E0000}"/>
    <cellStyle name="Normal 6 4 5 4" xfId="8379" xr:uid="{00000000-0005-0000-0000-0000CB1E0000}"/>
    <cellStyle name="Normal 6 4 6" xfId="8380" xr:uid="{00000000-0005-0000-0000-0000CC1E0000}"/>
    <cellStyle name="Normal 6 4 6 2" xfId="8381" xr:uid="{00000000-0005-0000-0000-0000CD1E0000}"/>
    <cellStyle name="Normal 6 4 7" xfId="8382" xr:uid="{00000000-0005-0000-0000-0000CE1E0000}"/>
    <cellStyle name="Normal 6 4 8" xfId="8383" xr:uid="{00000000-0005-0000-0000-0000CF1E0000}"/>
    <cellStyle name="Normal 6 5" xfId="1629" xr:uid="{00000000-0005-0000-0000-0000D01E0000}"/>
    <cellStyle name="Normal 6 5 2" xfId="1630" xr:uid="{00000000-0005-0000-0000-0000D11E0000}"/>
    <cellStyle name="Normal 6 5 2 2" xfId="1631" xr:uid="{00000000-0005-0000-0000-0000D21E0000}"/>
    <cellStyle name="Normal 6 5 2 2 2" xfId="1632" xr:uid="{00000000-0005-0000-0000-0000D31E0000}"/>
    <cellStyle name="Normal 6 5 2 2 2 2" xfId="8384" xr:uid="{00000000-0005-0000-0000-0000D41E0000}"/>
    <cellStyle name="Normal 6 5 2 2 2 2 2" xfId="8385" xr:uid="{00000000-0005-0000-0000-0000D51E0000}"/>
    <cellStyle name="Normal 6 5 2 2 2 3" xfId="8386" xr:uid="{00000000-0005-0000-0000-0000D61E0000}"/>
    <cellStyle name="Normal 6 5 2 2 2 4" xfId="8387" xr:uid="{00000000-0005-0000-0000-0000D71E0000}"/>
    <cellStyle name="Normal 6 5 2 2 3" xfId="8388" xr:uid="{00000000-0005-0000-0000-0000D81E0000}"/>
    <cellStyle name="Normal 6 5 2 2 3 2" xfId="8389" xr:uid="{00000000-0005-0000-0000-0000D91E0000}"/>
    <cellStyle name="Normal 6 5 2 2 4" xfId="8390" xr:uid="{00000000-0005-0000-0000-0000DA1E0000}"/>
    <cellStyle name="Normal 6 5 2 2 5" xfId="8391" xr:uid="{00000000-0005-0000-0000-0000DB1E0000}"/>
    <cellStyle name="Normal 6 5 2 3" xfId="1633" xr:uid="{00000000-0005-0000-0000-0000DC1E0000}"/>
    <cellStyle name="Normal 6 5 2 3 2" xfId="8392" xr:uid="{00000000-0005-0000-0000-0000DD1E0000}"/>
    <cellStyle name="Normal 6 5 2 3 2 2" xfId="8393" xr:uid="{00000000-0005-0000-0000-0000DE1E0000}"/>
    <cellStyle name="Normal 6 5 2 3 3" xfId="8394" xr:uid="{00000000-0005-0000-0000-0000DF1E0000}"/>
    <cellStyle name="Normal 6 5 2 3 4" xfId="8395" xr:uid="{00000000-0005-0000-0000-0000E01E0000}"/>
    <cellStyle name="Normal 6 5 2 4" xfId="8396" xr:uid="{00000000-0005-0000-0000-0000E11E0000}"/>
    <cellStyle name="Normal 6 5 2 4 2" xfId="8397" xr:uid="{00000000-0005-0000-0000-0000E21E0000}"/>
    <cellStyle name="Normal 6 5 2 5" xfId="8398" xr:uid="{00000000-0005-0000-0000-0000E31E0000}"/>
    <cellStyle name="Normal 6 5 2 6" xfId="8399" xr:uid="{00000000-0005-0000-0000-0000E41E0000}"/>
    <cellStyle name="Normal 6 5 3" xfId="1634" xr:uid="{00000000-0005-0000-0000-0000E51E0000}"/>
    <cellStyle name="Normal 6 5 3 2" xfId="1635" xr:uid="{00000000-0005-0000-0000-0000E61E0000}"/>
    <cellStyle name="Normal 6 5 3 2 2" xfId="8400" xr:uid="{00000000-0005-0000-0000-0000E71E0000}"/>
    <cellStyle name="Normal 6 5 3 2 2 2" xfId="8401" xr:uid="{00000000-0005-0000-0000-0000E81E0000}"/>
    <cellStyle name="Normal 6 5 3 2 3" xfId="8402" xr:uid="{00000000-0005-0000-0000-0000E91E0000}"/>
    <cellStyle name="Normal 6 5 3 2 4" xfId="8403" xr:uid="{00000000-0005-0000-0000-0000EA1E0000}"/>
    <cellStyle name="Normal 6 5 3 3" xfId="8404" xr:uid="{00000000-0005-0000-0000-0000EB1E0000}"/>
    <cellStyle name="Normal 6 5 3 3 2" xfId="8405" xr:uid="{00000000-0005-0000-0000-0000EC1E0000}"/>
    <cellStyle name="Normal 6 5 3 4" xfId="8406" xr:uid="{00000000-0005-0000-0000-0000ED1E0000}"/>
    <cellStyle name="Normal 6 5 3 5" xfId="8407" xr:uid="{00000000-0005-0000-0000-0000EE1E0000}"/>
    <cellStyle name="Normal 6 5 4" xfId="1636" xr:uid="{00000000-0005-0000-0000-0000EF1E0000}"/>
    <cellStyle name="Normal 6 5 4 2" xfId="8408" xr:uid="{00000000-0005-0000-0000-0000F01E0000}"/>
    <cellStyle name="Normal 6 5 4 2 2" xfId="8409" xr:uid="{00000000-0005-0000-0000-0000F11E0000}"/>
    <cellStyle name="Normal 6 5 4 3" xfId="8410" xr:uid="{00000000-0005-0000-0000-0000F21E0000}"/>
    <cellStyle name="Normal 6 5 4 4" xfId="8411" xr:uid="{00000000-0005-0000-0000-0000F31E0000}"/>
    <cellStyle name="Normal 6 5 5" xfId="8412" xr:uid="{00000000-0005-0000-0000-0000F41E0000}"/>
    <cellStyle name="Normal 6 5 5 2" xfId="8413" xr:uid="{00000000-0005-0000-0000-0000F51E0000}"/>
    <cellStyle name="Normal 6 5 6" xfId="8414" xr:uid="{00000000-0005-0000-0000-0000F61E0000}"/>
    <cellStyle name="Normal 6 5 7" xfId="8415" xr:uid="{00000000-0005-0000-0000-0000F71E0000}"/>
    <cellStyle name="Normal 6 6" xfId="1637" xr:uid="{00000000-0005-0000-0000-0000F81E0000}"/>
    <cellStyle name="Normal 6 6 2" xfId="1638" xr:uid="{00000000-0005-0000-0000-0000F91E0000}"/>
    <cellStyle name="Normal 6 6 2 2" xfId="1639" xr:uid="{00000000-0005-0000-0000-0000FA1E0000}"/>
    <cellStyle name="Normal 6 6 2 2 2" xfId="8416" xr:uid="{00000000-0005-0000-0000-0000FB1E0000}"/>
    <cellStyle name="Normal 6 6 2 2 2 2" xfId="8417" xr:uid="{00000000-0005-0000-0000-0000FC1E0000}"/>
    <cellStyle name="Normal 6 6 2 2 3" xfId="8418" xr:uid="{00000000-0005-0000-0000-0000FD1E0000}"/>
    <cellStyle name="Normal 6 6 2 2 4" xfId="8419" xr:uid="{00000000-0005-0000-0000-0000FE1E0000}"/>
    <cellStyle name="Normal 6 6 2 3" xfId="8420" xr:uid="{00000000-0005-0000-0000-0000FF1E0000}"/>
    <cellStyle name="Normal 6 6 2 3 2" xfId="8421" xr:uid="{00000000-0005-0000-0000-0000001F0000}"/>
    <cellStyle name="Normal 6 6 2 4" xfId="8422" xr:uid="{00000000-0005-0000-0000-0000011F0000}"/>
    <cellStyle name="Normal 6 6 2 5" xfId="8423" xr:uid="{00000000-0005-0000-0000-0000021F0000}"/>
    <cellStyle name="Normal 6 6 3" xfId="1640" xr:uid="{00000000-0005-0000-0000-0000031F0000}"/>
    <cellStyle name="Normal 6 6 3 2" xfId="8424" xr:uid="{00000000-0005-0000-0000-0000041F0000}"/>
    <cellStyle name="Normal 6 6 3 2 2" xfId="8425" xr:uid="{00000000-0005-0000-0000-0000051F0000}"/>
    <cellStyle name="Normal 6 6 3 3" xfId="8426" xr:uid="{00000000-0005-0000-0000-0000061F0000}"/>
    <cellStyle name="Normal 6 6 3 4" xfId="8427" xr:uid="{00000000-0005-0000-0000-0000071F0000}"/>
    <cellStyle name="Normal 6 6 4" xfId="8428" xr:uid="{00000000-0005-0000-0000-0000081F0000}"/>
    <cellStyle name="Normal 6 6 4 2" xfId="8429" xr:uid="{00000000-0005-0000-0000-0000091F0000}"/>
    <cellStyle name="Normal 6 6 5" xfId="8430" xr:uid="{00000000-0005-0000-0000-00000A1F0000}"/>
    <cellStyle name="Normal 6 6 6" xfId="8431" xr:uid="{00000000-0005-0000-0000-00000B1F0000}"/>
    <cellStyle name="Normal 6 7" xfId="1641" xr:uid="{00000000-0005-0000-0000-00000C1F0000}"/>
    <cellStyle name="Normal 6 7 2" xfId="1642" xr:uid="{00000000-0005-0000-0000-00000D1F0000}"/>
    <cellStyle name="Normal 6 7 2 2" xfId="8432" xr:uid="{00000000-0005-0000-0000-00000E1F0000}"/>
    <cellStyle name="Normal 6 7 2 2 2" xfId="8433" xr:uid="{00000000-0005-0000-0000-00000F1F0000}"/>
    <cellStyle name="Normal 6 7 2 3" xfId="8434" xr:uid="{00000000-0005-0000-0000-0000101F0000}"/>
    <cellStyle name="Normal 6 7 2 4" xfId="8435" xr:uid="{00000000-0005-0000-0000-0000111F0000}"/>
    <cellStyle name="Normal 6 7 3" xfId="8436" xr:uid="{00000000-0005-0000-0000-0000121F0000}"/>
    <cellStyle name="Normal 6 7 3 2" xfId="8437" xr:uid="{00000000-0005-0000-0000-0000131F0000}"/>
    <cellStyle name="Normal 6 7 4" xfId="8438" xr:uid="{00000000-0005-0000-0000-0000141F0000}"/>
    <cellStyle name="Normal 6 7 5" xfId="8439" xr:uid="{00000000-0005-0000-0000-0000151F0000}"/>
    <cellStyle name="Normal 6 8" xfId="1643" xr:uid="{00000000-0005-0000-0000-0000161F0000}"/>
    <cellStyle name="Normal 6 8 2" xfId="8440" xr:uid="{00000000-0005-0000-0000-0000171F0000}"/>
    <cellStyle name="Normal 6 8 2 2" xfId="8441" xr:uid="{00000000-0005-0000-0000-0000181F0000}"/>
    <cellStyle name="Normal 6 8 3" xfId="8442" xr:uid="{00000000-0005-0000-0000-0000191F0000}"/>
    <cellStyle name="Normal 6 8 4" xfId="8443" xr:uid="{00000000-0005-0000-0000-00001A1F0000}"/>
    <cellStyle name="Normal 6 9" xfId="1548" xr:uid="{00000000-0005-0000-0000-00001B1F0000}"/>
    <cellStyle name="Normal 6 9 2" xfId="8444" xr:uid="{00000000-0005-0000-0000-00001C1F0000}"/>
    <cellStyle name="Normal 6 9 2 2" xfId="8445" xr:uid="{00000000-0005-0000-0000-00001D1F0000}"/>
    <cellStyle name="Normal 6 9 3" xfId="8446" xr:uid="{00000000-0005-0000-0000-00001E1F0000}"/>
    <cellStyle name="Normal 6 9 4" xfId="8447" xr:uid="{00000000-0005-0000-0000-00001F1F0000}"/>
    <cellStyle name="Normal 60" xfId="1644" xr:uid="{00000000-0005-0000-0000-0000201F0000}"/>
    <cellStyle name="Normal 60 2" xfId="1645" xr:uid="{00000000-0005-0000-0000-0000211F0000}"/>
    <cellStyle name="Normal 60 2 2" xfId="1646" xr:uid="{00000000-0005-0000-0000-0000221F0000}"/>
    <cellStyle name="Normal 60 2 2 2" xfId="8448" xr:uid="{00000000-0005-0000-0000-0000231F0000}"/>
    <cellStyle name="Normal 60 2 2 2 2" xfId="8449" xr:uid="{00000000-0005-0000-0000-0000241F0000}"/>
    <cellStyle name="Normal 60 2 2 3" xfId="8450" xr:uid="{00000000-0005-0000-0000-0000251F0000}"/>
    <cellStyle name="Normal 60 2 2 4" xfId="8451" xr:uid="{00000000-0005-0000-0000-0000261F0000}"/>
    <cellStyle name="Normal 60 2 3" xfId="8452" xr:uid="{00000000-0005-0000-0000-0000271F0000}"/>
    <cellStyle name="Normal 60 2 3 2" xfId="8453" xr:uid="{00000000-0005-0000-0000-0000281F0000}"/>
    <cellStyle name="Normal 60 2 4" xfId="8454" xr:uid="{00000000-0005-0000-0000-0000291F0000}"/>
    <cellStyle name="Normal 60 2 5" xfId="8455" xr:uid="{00000000-0005-0000-0000-00002A1F0000}"/>
    <cellStyle name="Normal 60 3" xfId="1647" xr:uid="{00000000-0005-0000-0000-00002B1F0000}"/>
    <cellStyle name="Normal 60 3 2" xfId="8456" xr:uid="{00000000-0005-0000-0000-00002C1F0000}"/>
    <cellStyle name="Normal 60 3 2 2" xfId="8457" xr:uid="{00000000-0005-0000-0000-00002D1F0000}"/>
    <cellStyle name="Normal 60 3 3" xfId="8458" xr:uid="{00000000-0005-0000-0000-00002E1F0000}"/>
    <cellStyle name="Normal 60 3 4" xfId="8459" xr:uid="{00000000-0005-0000-0000-00002F1F0000}"/>
    <cellStyle name="Normal 60 4" xfId="8460" xr:uid="{00000000-0005-0000-0000-0000301F0000}"/>
    <cellStyle name="Normal 60 4 2" xfId="8461" xr:uid="{00000000-0005-0000-0000-0000311F0000}"/>
    <cellStyle name="Normal 60 5" xfId="8462" xr:uid="{00000000-0005-0000-0000-0000321F0000}"/>
    <cellStyle name="Normal 60 6" xfId="8463" xr:uid="{00000000-0005-0000-0000-0000331F0000}"/>
    <cellStyle name="Normal 61" xfId="1648" xr:uid="{00000000-0005-0000-0000-0000341F0000}"/>
    <cellStyle name="Normal 61 2" xfId="1649" xr:uid="{00000000-0005-0000-0000-0000351F0000}"/>
    <cellStyle name="Normal 61 2 2" xfId="1650" xr:uid="{00000000-0005-0000-0000-0000361F0000}"/>
    <cellStyle name="Normal 61 2 2 2" xfId="8464" xr:uid="{00000000-0005-0000-0000-0000371F0000}"/>
    <cellStyle name="Normal 61 2 2 2 2" xfId="8465" xr:uid="{00000000-0005-0000-0000-0000381F0000}"/>
    <cellStyle name="Normal 61 2 2 3" xfId="8466" xr:uid="{00000000-0005-0000-0000-0000391F0000}"/>
    <cellStyle name="Normal 61 2 2 4" xfId="8467" xr:uid="{00000000-0005-0000-0000-00003A1F0000}"/>
    <cellStyle name="Normal 61 2 3" xfId="8468" xr:uid="{00000000-0005-0000-0000-00003B1F0000}"/>
    <cellStyle name="Normal 61 2 3 2" xfId="8469" xr:uid="{00000000-0005-0000-0000-00003C1F0000}"/>
    <cellStyle name="Normal 61 2 4" xfId="8470" xr:uid="{00000000-0005-0000-0000-00003D1F0000}"/>
    <cellStyle name="Normal 61 2 5" xfId="8471" xr:uid="{00000000-0005-0000-0000-00003E1F0000}"/>
    <cellStyle name="Normal 61 3" xfId="1651" xr:uid="{00000000-0005-0000-0000-00003F1F0000}"/>
    <cellStyle name="Normal 61 3 2" xfId="8472" xr:uid="{00000000-0005-0000-0000-0000401F0000}"/>
    <cellStyle name="Normal 61 3 2 2" xfId="8473" xr:uid="{00000000-0005-0000-0000-0000411F0000}"/>
    <cellStyle name="Normal 61 3 3" xfId="8474" xr:uid="{00000000-0005-0000-0000-0000421F0000}"/>
    <cellStyle name="Normal 61 3 4" xfId="8475" xr:uid="{00000000-0005-0000-0000-0000431F0000}"/>
    <cellStyle name="Normal 61 4" xfId="8476" xr:uid="{00000000-0005-0000-0000-0000441F0000}"/>
    <cellStyle name="Normal 61 4 2" xfId="8477" xr:uid="{00000000-0005-0000-0000-0000451F0000}"/>
    <cellStyle name="Normal 61 5" xfId="8478" xr:uid="{00000000-0005-0000-0000-0000461F0000}"/>
    <cellStyle name="Normal 61 6" xfId="8479" xr:uid="{00000000-0005-0000-0000-0000471F0000}"/>
    <cellStyle name="Normal 62" xfId="1652" xr:uid="{00000000-0005-0000-0000-0000481F0000}"/>
    <cellStyle name="Normal 62 2" xfId="1653" xr:uid="{00000000-0005-0000-0000-0000491F0000}"/>
    <cellStyle name="Normal 62 2 2" xfId="1654" xr:uid="{00000000-0005-0000-0000-00004A1F0000}"/>
    <cellStyle name="Normal 62 2 2 2" xfId="8480" xr:uid="{00000000-0005-0000-0000-00004B1F0000}"/>
    <cellStyle name="Normal 62 2 2 2 2" xfId="8481" xr:uid="{00000000-0005-0000-0000-00004C1F0000}"/>
    <cellStyle name="Normal 62 2 2 3" xfId="8482" xr:uid="{00000000-0005-0000-0000-00004D1F0000}"/>
    <cellStyle name="Normal 62 2 2 4" xfId="8483" xr:uid="{00000000-0005-0000-0000-00004E1F0000}"/>
    <cellStyle name="Normal 62 2 3" xfId="8484" xr:uid="{00000000-0005-0000-0000-00004F1F0000}"/>
    <cellStyle name="Normal 62 2 3 2" xfId="8485" xr:uid="{00000000-0005-0000-0000-0000501F0000}"/>
    <cellStyle name="Normal 62 2 4" xfId="8486" xr:uid="{00000000-0005-0000-0000-0000511F0000}"/>
    <cellStyle name="Normal 62 2 5" xfId="8487" xr:uid="{00000000-0005-0000-0000-0000521F0000}"/>
    <cellStyle name="Normal 62 3" xfId="1655" xr:uid="{00000000-0005-0000-0000-0000531F0000}"/>
    <cellStyle name="Normal 62 3 2" xfId="8488" xr:uid="{00000000-0005-0000-0000-0000541F0000}"/>
    <cellStyle name="Normal 62 3 2 2" xfId="8489" xr:uid="{00000000-0005-0000-0000-0000551F0000}"/>
    <cellStyle name="Normal 62 3 3" xfId="8490" xr:uid="{00000000-0005-0000-0000-0000561F0000}"/>
    <cellStyle name="Normal 62 3 4" xfId="8491" xr:uid="{00000000-0005-0000-0000-0000571F0000}"/>
    <cellStyle name="Normal 62 4" xfId="8492" xr:uid="{00000000-0005-0000-0000-0000581F0000}"/>
    <cellStyle name="Normal 62 4 2" xfId="8493" xr:uid="{00000000-0005-0000-0000-0000591F0000}"/>
    <cellStyle name="Normal 62 5" xfId="8494" xr:uid="{00000000-0005-0000-0000-00005A1F0000}"/>
    <cellStyle name="Normal 62 6" xfId="8495" xr:uid="{00000000-0005-0000-0000-00005B1F0000}"/>
    <cellStyle name="Normal 63" xfId="1656" xr:uid="{00000000-0005-0000-0000-00005C1F0000}"/>
    <cellStyle name="Normal 63 2" xfId="1657" xr:uid="{00000000-0005-0000-0000-00005D1F0000}"/>
    <cellStyle name="Normal 63 2 2" xfId="1658" xr:uid="{00000000-0005-0000-0000-00005E1F0000}"/>
    <cellStyle name="Normal 63 2 2 2" xfId="8496" xr:uid="{00000000-0005-0000-0000-00005F1F0000}"/>
    <cellStyle name="Normal 63 2 2 2 2" xfId="8497" xr:uid="{00000000-0005-0000-0000-0000601F0000}"/>
    <cellStyle name="Normal 63 2 2 3" xfId="8498" xr:uid="{00000000-0005-0000-0000-0000611F0000}"/>
    <cellStyle name="Normal 63 2 2 4" xfId="8499" xr:uid="{00000000-0005-0000-0000-0000621F0000}"/>
    <cellStyle name="Normal 63 2 3" xfId="8500" xr:uid="{00000000-0005-0000-0000-0000631F0000}"/>
    <cellStyle name="Normal 63 2 3 2" xfId="8501" xr:uid="{00000000-0005-0000-0000-0000641F0000}"/>
    <cellStyle name="Normal 63 2 4" xfId="8502" xr:uid="{00000000-0005-0000-0000-0000651F0000}"/>
    <cellStyle name="Normal 63 2 5" xfId="8503" xr:uid="{00000000-0005-0000-0000-0000661F0000}"/>
    <cellStyle name="Normal 63 3" xfId="1659" xr:uid="{00000000-0005-0000-0000-0000671F0000}"/>
    <cellStyle name="Normal 63 3 2" xfId="8504" xr:uid="{00000000-0005-0000-0000-0000681F0000}"/>
    <cellStyle name="Normal 63 3 2 2" xfId="8505" xr:uid="{00000000-0005-0000-0000-0000691F0000}"/>
    <cellStyle name="Normal 63 3 3" xfId="8506" xr:uid="{00000000-0005-0000-0000-00006A1F0000}"/>
    <cellStyle name="Normal 63 3 4" xfId="8507" xr:uid="{00000000-0005-0000-0000-00006B1F0000}"/>
    <cellStyle name="Normal 63 4" xfId="8508" xr:uid="{00000000-0005-0000-0000-00006C1F0000}"/>
    <cellStyle name="Normal 63 4 2" xfId="8509" xr:uid="{00000000-0005-0000-0000-00006D1F0000}"/>
    <cellStyle name="Normal 63 5" xfId="8510" xr:uid="{00000000-0005-0000-0000-00006E1F0000}"/>
    <cellStyle name="Normal 63 6" xfId="8511" xr:uid="{00000000-0005-0000-0000-00006F1F0000}"/>
    <cellStyle name="Normal 64" xfId="1660" xr:uid="{00000000-0005-0000-0000-0000701F0000}"/>
    <cellStyle name="Normal 64 2" xfId="1661" xr:uid="{00000000-0005-0000-0000-0000711F0000}"/>
    <cellStyle name="Normal 64 2 2" xfId="1662" xr:uid="{00000000-0005-0000-0000-0000721F0000}"/>
    <cellStyle name="Normal 64 2 2 2" xfId="8512" xr:uid="{00000000-0005-0000-0000-0000731F0000}"/>
    <cellStyle name="Normal 64 2 2 2 2" xfId="8513" xr:uid="{00000000-0005-0000-0000-0000741F0000}"/>
    <cellStyle name="Normal 64 2 2 3" xfId="8514" xr:uid="{00000000-0005-0000-0000-0000751F0000}"/>
    <cellStyle name="Normal 64 2 2 4" xfId="8515" xr:uid="{00000000-0005-0000-0000-0000761F0000}"/>
    <cellStyle name="Normal 64 2 3" xfId="8516" xr:uid="{00000000-0005-0000-0000-0000771F0000}"/>
    <cellStyle name="Normal 64 2 3 2" xfId="8517" xr:uid="{00000000-0005-0000-0000-0000781F0000}"/>
    <cellStyle name="Normal 64 2 4" xfId="8518" xr:uid="{00000000-0005-0000-0000-0000791F0000}"/>
    <cellStyle name="Normal 64 2 5" xfId="8519" xr:uid="{00000000-0005-0000-0000-00007A1F0000}"/>
    <cellStyle name="Normal 64 3" xfId="1663" xr:uid="{00000000-0005-0000-0000-00007B1F0000}"/>
    <cellStyle name="Normal 64 3 2" xfId="8520" xr:uid="{00000000-0005-0000-0000-00007C1F0000}"/>
    <cellStyle name="Normal 64 3 2 2" xfId="8521" xr:uid="{00000000-0005-0000-0000-00007D1F0000}"/>
    <cellStyle name="Normal 64 3 3" xfId="8522" xr:uid="{00000000-0005-0000-0000-00007E1F0000}"/>
    <cellStyle name="Normal 64 3 4" xfId="8523" xr:uid="{00000000-0005-0000-0000-00007F1F0000}"/>
    <cellStyle name="Normal 64 4" xfId="8524" xr:uid="{00000000-0005-0000-0000-0000801F0000}"/>
    <cellStyle name="Normal 64 4 2" xfId="8525" xr:uid="{00000000-0005-0000-0000-0000811F0000}"/>
    <cellStyle name="Normal 64 5" xfId="8526" xr:uid="{00000000-0005-0000-0000-0000821F0000}"/>
    <cellStyle name="Normal 64 6" xfId="8527" xr:uid="{00000000-0005-0000-0000-0000831F0000}"/>
    <cellStyle name="Normal 65" xfId="1664" xr:uid="{00000000-0005-0000-0000-0000841F0000}"/>
    <cellStyle name="Normal 65 2" xfId="1665" xr:uid="{00000000-0005-0000-0000-0000851F0000}"/>
    <cellStyle name="Normal 65 2 2" xfId="1666" xr:uid="{00000000-0005-0000-0000-0000861F0000}"/>
    <cellStyle name="Normal 65 2 2 2" xfId="8528" xr:uid="{00000000-0005-0000-0000-0000871F0000}"/>
    <cellStyle name="Normal 65 2 2 2 2" xfId="8529" xr:uid="{00000000-0005-0000-0000-0000881F0000}"/>
    <cellStyle name="Normal 65 2 2 3" xfId="8530" xr:uid="{00000000-0005-0000-0000-0000891F0000}"/>
    <cellStyle name="Normal 65 2 2 4" xfId="8531" xr:uid="{00000000-0005-0000-0000-00008A1F0000}"/>
    <cellStyle name="Normal 65 2 3" xfId="8532" xr:uid="{00000000-0005-0000-0000-00008B1F0000}"/>
    <cellStyle name="Normal 65 2 3 2" xfId="8533" xr:uid="{00000000-0005-0000-0000-00008C1F0000}"/>
    <cellStyle name="Normal 65 2 4" xfId="8534" xr:uid="{00000000-0005-0000-0000-00008D1F0000}"/>
    <cellStyle name="Normal 65 2 5" xfId="8535" xr:uid="{00000000-0005-0000-0000-00008E1F0000}"/>
    <cellStyle name="Normal 65 3" xfId="1667" xr:uid="{00000000-0005-0000-0000-00008F1F0000}"/>
    <cellStyle name="Normal 65 3 2" xfId="8536" xr:uid="{00000000-0005-0000-0000-0000901F0000}"/>
    <cellStyle name="Normal 65 3 2 2" xfId="8537" xr:uid="{00000000-0005-0000-0000-0000911F0000}"/>
    <cellStyle name="Normal 65 3 3" xfId="8538" xr:uid="{00000000-0005-0000-0000-0000921F0000}"/>
    <cellStyle name="Normal 65 3 4" xfId="8539" xr:uid="{00000000-0005-0000-0000-0000931F0000}"/>
    <cellStyle name="Normal 65 4" xfId="8540" xr:uid="{00000000-0005-0000-0000-0000941F0000}"/>
    <cellStyle name="Normal 65 4 2" xfId="8541" xr:uid="{00000000-0005-0000-0000-0000951F0000}"/>
    <cellStyle name="Normal 65 5" xfId="8542" xr:uid="{00000000-0005-0000-0000-0000961F0000}"/>
    <cellStyle name="Normal 65 6" xfId="8543" xr:uid="{00000000-0005-0000-0000-0000971F0000}"/>
    <cellStyle name="Normal 66" xfId="19" xr:uid="{00000000-0005-0000-0000-0000981F0000}"/>
    <cellStyle name="Normal 66 2" xfId="1668" xr:uid="{00000000-0005-0000-0000-0000991F0000}"/>
    <cellStyle name="Normal 66 2 2" xfId="1669" xr:uid="{00000000-0005-0000-0000-00009A1F0000}"/>
    <cellStyle name="Normal 66 2 2 2" xfId="8544" xr:uid="{00000000-0005-0000-0000-00009B1F0000}"/>
    <cellStyle name="Normal 66 2 2 2 2" xfId="8545" xr:uid="{00000000-0005-0000-0000-00009C1F0000}"/>
    <cellStyle name="Normal 66 2 2 3" xfId="8546" xr:uid="{00000000-0005-0000-0000-00009D1F0000}"/>
    <cellStyle name="Normal 66 2 2 4" xfId="8547" xr:uid="{00000000-0005-0000-0000-00009E1F0000}"/>
    <cellStyle name="Normal 66 2 3" xfId="8548" xr:uid="{00000000-0005-0000-0000-00009F1F0000}"/>
    <cellStyle name="Normal 66 2 3 2" xfId="8549" xr:uid="{00000000-0005-0000-0000-0000A01F0000}"/>
    <cellStyle name="Normal 66 2 4" xfId="8550" xr:uid="{00000000-0005-0000-0000-0000A11F0000}"/>
    <cellStyle name="Normal 66 2 5" xfId="8551" xr:uid="{00000000-0005-0000-0000-0000A21F0000}"/>
    <cellStyle name="Normal 66 3" xfId="1670" xr:uid="{00000000-0005-0000-0000-0000A31F0000}"/>
    <cellStyle name="Normal 66 3 2" xfId="8552" xr:uid="{00000000-0005-0000-0000-0000A41F0000}"/>
    <cellStyle name="Normal 66 3 2 2" xfId="8553" xr:uid="{00000000-0005-0000-0000-0000A51F0000}"/>
    <cellStyle name="Normal 66 3 3" xfId="8554" xr:uid="{00000000-0005-0000-0000-0000A61F0000}"/>
    <cellStyle name="Normal 66 3 4" xfId="8555" xr:uid="{00000000-0005-0000-0000-0000A71F0000}"/>
    <cellStyle name="Normal 66 4" xfId="8556" xr:uid="{00000000-0005-0000-0000-0000A81F0000}"/>
    <cellStyle name="Normal 66 4 2" xfId="8557" xr:uid="{00000000-0005-0000-0000-0000A91F0000}"/>
    <cellStyle name="Normal 66 5" xfId="8558" xr:uid="{00000000-0005-0000-0000-0000AA1F0000}"/>
    <cellStyle name="Normal 66 6" xfId="8559" xr:uid="{00000000-0005-0000-0000-0000AB1F0000}"/>
    <cellStyle name="Normal 67" xfId="20" xr:uid="{00000000-0005-0000-0000-0000AC1F0000}"/>
    <cellStyle name="Normal 67 2" xfId="1671" xr:uid="{00000000-0005-0000-0000-0000AD1F0000}"/>
    <cellStyle name="Normal 67 2 2" xfId="1672" xr:uid="{00000000-0005-0000-0000-0000AE1F0000}"/>
    <cellStyle name="Normal 67 2 2 2" xfId="8560" xr:uid="{00000000-0005-0000-0000-0000AF1F0000}"/>
    <cellStyle name="Normal 67 2 2 2 2" xfId="8561" xr:uid="{00000000-0005-0000-0000-0000B01F0000}"/>
    <cellStyle name="Normal 67 2 2 3" xfId="8562" xr:uid="{00000000-0005-0000-0000-0000B11F0000}"/>
    <cellStyle name="Normal 67 2 2 4" xfId="8563" xr:uid="{00000000-0005-0000-0000-0000B21F0000}"/>
    <cellStyle name="Normal 67 2 3" xfId="8564" xr:uid="{00000000-0005-0000-0000-0000B31F0000}"/>
    <cellStyle name="Normal 67 2 3 2" xfId="8565" xr:uid="{00000000-0005-0000-0000-0000B41F0000}"/>
    <cellStyle name="Normal 67 2 4" xfId="8566" xr:uid="{00000000-0005-0000-0000-0000B51F0000}"/>
    <cellStyle name="Normal 67 2 5" xfId="8567" xr:uid="{00000000-0005-0000-0000-0000B61F0000}"/>
    <cellStyle name="Normal 67 3" xfId="1673" xr:uid="{00000000-0005-0000-0000-0000B71F0000}"/>
    <cellStyle name="Normal 67 3 2" xfId="8568" xr:uid="{00000000-0005-0000-0000-0000B81F0000}"/>
    <cellStyle name="Normal 67 3 2 2" xfId="8569" xr:uid="{00000000-0005-0000-0000-0000B91F0000}"/>
    <cellStyle name="Normal 67 3 3" xfId="8570" xr:uid="{00000000-0005-0000-0000-0000BA1F0000}"/>
    <cellStyle name="Normal 67 3 4" xfId="8571" xr:uid="{00000000-0005-0000-0000-0000BB1F0000}"/>
    <cellStyle name="Normal 67 4" xfId="8572" xr:uid="{00000000-0005-0000-0000-0000BC1F0000}"/>
    <cellStyle name="Normal 67 4 2" xfId="8573" xr:uid="{00000000-0005-0000-0000-0000BD1F0000}"/>
    <cellStyle name="Normal 67 5" xfId="8574" xr:uid="{00000000-0005-0000-0000-0000BE1F0000}"/>
    <cellStyle name="Normal 67 6" xfId="8575" xr:uid="{00000000-0005-0000-0000-0000BF1F0000}"/>
    <cellStyle name="Normal 68" xfId="18" xr:uid="{00000000-0005-0000-0000-0000C01F0000}"/>
    <cellStyle name="Normal 68 2" xfId="1674" xr:uid="{00000000-0005-0000-0000-0000C11F0000}"/>
    <cellStyle name="Normal 68 2 2" xfId="1675" xr:uid="{00000000-0005-0000-0000-0000C21F0000}"/>
    <cellStyle name="Normal 68 2 2 2" xfId="8576" xr:uid="{00000000-0005-0000-0000-0000C31F0000}"/>
    <cellStyle name="Normal 68 2 2 2 2" xfId="8577" xr:uid="{00000000-0005-0000-0000-0000C41F0000}"/>
    <cellStyle name="Normal 68 2 2 3" xfId="8578" xr:uid="{00000000-0005-0000-0000-0000C51F0000}"/>
    <cellStyle name="Normal 68 2 2 4" xfId="8579" xr:uid="{00000000-0005-0000-0000-0000C61F0000}"/>
    <cellStyle name="Normal 68 2 3" xfId="8580" xr:uid="{00000000-0005-0000-0000-0000C71F0000}"/>
    <cellStyle name="Normal 68 2 3 2" xfId="8581" xr:uid="{00000000-0005-0000-0000-0000C81F0000}"/>
    <cellStyle name="Normal 68 2 4" xfId="8582" xr:uid="{00000000-0005-0000-0000-0000C91F0000}"/>
    <cellStyle name="Normal 68 2 5" xfId="8583" xr:uid="{00000000-0005-0000-0000-0000CA1F0000}"/>
    <cellStyle name="Normal 68 3" xfId="1676" xr:uid="{00000000-0005-0000-0000-0000CB1F0000}"/>
    <cellStyle name="Normal 68 3 2" xfId="8584" xr:uid="{00000000-0005-0000-0000-0000CC1F0000}"/>
    <cellStyle name="Normal 68 3 2 2" xfId="8585" xr:uid="{00000000-0005-0000-0000-0000CD1F0000}"/>
    <cellStyle name="Normal 68 3 3" xfId="8586" xr:uid="{00000000-0005-0000-0000-0000CE1F0000}"/>
    <cellStyle name="Normal 68 3 4" xfId="8587" xr:uid="{00000000-0005-0000-0000-0000CF1F0000}"/>
    <cellStyle name="Normal 68 4" xfId="8588" xr:uid="{00000000-0005-0000-0000-0000D01F0000}"/>
    <cellStyle name="Normal 68 4 2" xfId="8589" xr:uid="{00000000-0005-0000-0000-0000D11F0000}"/>
    <cellStyle name="Normal 68 5" xfId="8590" xr:uid="{00000000-0005-0000-0000-0000D21F0000}"/>
    <cellStyle name="Normal 68 6" xfId="8591" xr:uid="{00000000-0005-0000-0000-0000D31F0000}"/>
    <cellStyle name="Normal 69" xfId="1677" xr:uid="{00000000-0005-0000-0000-0000D41F0000}"/>
    <cellStyle name="Normal 69 2" xfId="1678" xr:uid="{00000000-0005-0000-0000-0000D51F0000}"/>
    <cellStyle name="Normal 69 2 2" xfId="1679" xr:uid="{00000000-0005-0000-0000-0000D61F0000}"/>
    <cellStyle name="Normal 69 2 2 2" xfId="8592" xr:uid="{00000000-0005-0000-0000-0000D71F0000}"/>
    <cellStyle name="Normal 69 2 2 2 2" xfId="8593" xr:uid="{00000000-0005-0000-0000-0000D81F0000}"/>
    <cellStyle name="Normal 69 2 2 3" xfId="8594" xr:uid="{00000000-0005-0000-0000-0000D91F0000}"/>
    <cellStyle name="Normal 69 2 2 4" xfId="8595" xr:uid="{00000000-0005-0000-0000-0000DA1F0000}"/>
    <cellStyle name="Normal 69 2 3" xfId="8596" xr:uid="{00000000-0005-0000-0000-0000DB1F0000}"/>
    <cellStyle name="Normal 69 2 3 2" xfId="8597" xr:uid="{00000000-0005-0000-0000-0000DC1F0000}"/>
    <cellStyle name="Normal 69 2 4" xfId="8598" xr:uid="{00000000-0005-0000-0000-0000DD1F0000}"/>
    <cellStyle name="Normal 69 2 5" xfId="8599" xr:uid="{00000000-0005-0000-0000-0000DE1F0000}"/>
    <cellStyle name="Normal 69 3" xfId="1680" xr:uid="{00000000-0005-0000-0000-0000DF1F0000}"/>
    <cellStyle name="Normal 69 3 2" xfId="8600" xr:uid="{00000000-0005-0000-0000-0000E01F0000}"/>
    <cellStyle name="Normal 69 3 2 2" xfId="8601" xr:uid="{00000000-0005-0000-0000-0000E11F0000}"/>
    <cellStyle name="Normal 69 3 3" xfId="8602" xr:uid="{00000000-0005-0000-0000-0000E21F0000}"/>
    <cellStyle name="Normal 69 3 4" xfId="8603" xr:uid="{00000000-0005-0000-0000-0000E31F0000}"/>
    <cellStyle name="Normal 69 4" xfId="8604" xr:uid="{00000000-0005-0000-0000-0000E41F0000}"/>
    <cellStyle name="Normal 69 4 2" xfId="8605" xr:uid="{00000000-0005-0000-0000-0000E51F0000}"/>
    <cellStyle name="Normal 69 5" xfId="8606" xr:uid="{00000000-0005-0000-0000-0000E61F0000}"/>
    <cellStyle name="Normal 69 6" xfId="8607" xr:uid="{00000000-0005-0000-0000-0000E71F0000}"/>
    <cellStyle name="Normal 7" xfId="1681" xr:uid="{00000000-0005-0000-0000-0000E81F0000}"/>
    <cellStyle name="Normal 7 10" xfId="8608" xr:uid="{00000000-0005-0000-0000-0000E91F0000}"/>
    <cellStyle name="Normal 7 11" xfId="8609" xr:uid="{00000000-0005-0000-0000-0000EA1F0000}"/>
    <cellStyle name="Normal 7 2" xfId="1682" xr:uid="{00000000-0005-0000-0000-0000EB1F0000}"/>
    <cellStyle name="Normal 7 2 2" xfId="1683" xr:uid="{00000000-0005-0000-0000-0000EC1F0000}"/>
    <cellStyle name="Normal 7 2 2 2" xfId="1684" xr:uid="{00000000-0005-0000-0000-0000ED1F0000}"/>
    <cellStyle name="Normal 7 2 2 2 2" xfId="1685" xr:uid="{00000000-0005-0000-0000-0000EE1F0000}"/>
    <cellStyle name="Normal 7 2 2 2 2 2" xfId="1686" xr:uid="{00000000-0005-0000-0000-0000EF1F0000}"/>
    <cellStyle name="Normal 7 2 2 2 2 2 2" xfId="1687" xr:uid="{00000000-0005-0000-0000-0000F01F0000}"/>
    <cellStyle name="Normal 7 2 2 2 2 2 2 2" xfId="8610" xr:uid="{00000000-0005-0000-0000-0000F11F0000}"/>
    <cellStyle name="Normal 7 2 2 2 2 2 2 2 2" xfId="8611" xr:uid="{00000000-0005-0000-0000-0000F21F0000}"/>
    <cellStyle name="Normal 7 2 2 2 2 2 2 3" xfId="8612" xr:uid="{00000000-0005-0000-0000-0000F31F0000}"/>
    <cellStyle name="Normal 7 2 2 2 2 2 2 4" xfId="8613" xr:uid="{00000000-0005-0000-0000-0000F41F0000}"/>
    <cellStyle name="Normal 7 2 2 2 2 2 3" xfId="8614" xr:uid="{00000000-0005-0000-0000-0000F51F0000}"/>
    <cellStyle name="Normal 7 2 2 2 2 2 3 2" xfId="8615" xr:uid="{00000000-0005-0000-0000-0000F61F0000}"/>
    <cellStyle name="Normal 7 2 2 2 2 2 4" xfId="8616" xr:uid="{00000000-0005-0000-0000-0000F71F0000}"/>
    <cellStyle name="Normal 7 2 2 2 2 2 5" xfId="8617" xr:uid="{00000000-0005-0000-0000-0000F81F0000}"/>
    <cellStyle name="Normal 7 2 2 2 2 3" xfId="1688" xr:uid="{00000000-0005-0000-0000-0000F91F0000}"/>
    <cellStyle name="Normal 7 2 2 2 2 3 2" xfId="8618" xr:uid="{00000000-0005-0000-0000-0000FA1F0000}"/>
    <cellStyle name="Normal 7 2 2 2 2 3 2 2" xfId="8619" xr:uid="{00000000-0005-0000-0000-0000FB1F0000}"/>
    <cellStyle name="Normal 7 2 2 2 2 3 3" xfId="8620" xr:uid="{00000000-0005-0000-0000-0000FC1F0000}"/>
    <cellStyle name="Normal 7 2 2 2 2 3 4" xfId="8621" xr:uid="{00000000-0005-0000-0000-0000FD1F0000}"/>
    <cellStyle name="Normal 7 2 2 2 2 4" xfId="8622" xr:uid="{00000000-0005-0000-0000-0000FE1F0000}"/>
    <cellStyle name="Normal 7 2 2 2 2 4 2" xfId="8623" xr:uid="{00000000-0005-0000-0000-0000FF1F0000}"/>
    <cellStyle name="Normal 7 2 2 2 2 5" xfId="8624" xr:uid="{00000000-0005-0000-0000-000000200000}"/>
    <cellStyle name="Normal 7 2 2 2 2 6" xfId="8625" xr:uid="{00000000-0005-0000-0000-000001200000}"/>
    <cellStyle name="Normal 7 2 2 2 3" xfId="1689" xr:uid="{00000000-0005-0000-0000-000002200000}"/>
    <cellStyle name="Normal 7 2 2 2 3 2" xfId="1690" xr:uid="{00000000-0005-0000-0000-000003200000}"/>
    <cellStyle name="Normal 7 2 2 2 3 2 2" xfId="8626" xr:uid="{00000000-0005-0000-0000-000004200000}"/>
    <cellStyle name="Normal 7 2 2 2 3 2 2 2" xfId="8627" xr:uid="{00000000-0005-0000-0000-000005200000}"/>
    <cellStyle name="Normal 7 2 2 2 3 2 3" xfId="8628" xr:uid="{00000000-0005-0000-0000-000006200000}"/>
    <cellStyle name="Normal 7 2 2 2 3 2 4" xfId="8629" xr:uid="{00000000-0005-0000-0000-000007200000}"/>
    <cellStyle name="Normal 7 2 2 2 3 3" xfId="8630" xr:uid="{00000000-0005-0000-0000-000008200000}"/>
    <cellStyle name="Normal 7 2 2 2 3 3 2" xfId="8631" xr:uid="{00000000-0005-0000-0000-000009200000}"/>
    <cellStyle name="Normal 7 2 2 2 3 4" xfId="8632" xr:uid="{00000000-0005-0000-0000-00000A200000}"/>
    <cellStyle name="Normal 7 2 2 2 3 5" xfId="8633" xr:uid="{00000000-0005-0000-0000-00000B200000}"/>
    <cellStyle name="Normal 7 2 2 2 4" xfId="1691" xr:uid="{00000000-0005-0000-0000-00000C200000}"/>
    <cellStyle name="Normal 7 2 2 2 4 2" xfId="8634" xr:uid="{00000000-0005-0000-0000-00000D200000}"/>
    <cellStyle name="Normal 7 2 2 2 4 2 2" xfId="8635" xr:uid="{00000000-0005-0000-0000-00000E200000}"/>
    <cellStyle name="Normal 7 2 2 2 4 3" xfId="8636" xr:uid="{00000000-0005-0000-0000-00000F200000}"/>
    <cellStyle name="Normal 7 2 2 2 4 4" xfId="8637" xr:uid="{00000000-0005-0000-0000-000010200000}"/>
    <cellStyle name="Normal 7 2 2 2 5" xfId="8638" xr:uid="{00000000-0005-0000-0000-000011200000}"/>
    <cellStyle name="Normal 7 2 2 2 5 2" xfId="8639" xr:uid="{00000000-0005-0000-0000-000012200000}"/>
    <cellStyle name="Normal 7 2 2 2 6" xfId="8640" xr:uid="{00000000-0005-0000-0000-000013200000}"/>
    <cellStyle name="Normal 7 2 2 2 7" xfId="8641" xr:uid="{00000000-0005-0000-0000-000014200000}"/>
    <cellStyle name="Normal 7 2 2 3" xfId="1692" xr:uid="{00000000-0005-0000-0000-000015200000}"/>
    <cellStyle name="Normal 7 2 2 3 2" xfId="1693" xr:uid="{00000000-0005-0000-0000-000016200000}"/>
    <cellStyle name="Normal 7 2 2 3 2 2" xfId="1694" xr:uid="{00000000-0005-0000-0000-000017200000}"/>
    <cellStyle name="Normal 7 2 2 3 2 2 2" xfId="8642" xr:uid="{00000000-0005-0000-0000-000018200000}"/>
    <cellStyle name="Normal 7 2 2 3 2 2 2 2" xfId="8643" xr:uid="{00000000-0005-0000-0000-000019200000}"/>
    <cellStyle name="Normal 7 2 2 3 2 2 3" xfId="8644" xr:uid="{00000000-0005-0000-0000-00001A200000}"/>
    <cellStyle name="Normal 7 2 2 3 2 2 4" xfId="8645" xr:uid="{00000000-0005-0000-0000-00001B200000}"/>
    <cellStyle name="Normal 7 2 2 3 2 3" xfId="8646" xr:uid="{00000000-0005-0000-0000-00001C200000}"/>
    <cellStyle name="Normal 7 2 2 3 2 3 2" xfId="8647" xr:uid="{00000000-0005-0000-0000-00001D200000}"/>
    <cellStyle name="Normal 7 2 2 3 2 4" xfId="8648" xr:uid="{00000000-0005-0000-0000-00001E200000}"/>
    <cellStyle name="Normal 7 2 2 3 2 5" xfId="8649" xr:uid="{00000000-0005-0000-0000-00001F200000}"/>
    <cellStyle name="Normal 7 2 2 3 3" xfId="1695" xr:uid="{00000000-0005-0000-0000-000020200000}"/>
    <cellStyle name="Normal 7 2 2 3 3 2" xfId="8650" xr:uid="{00000000-0005-0000-0000-000021200000}"/>
    <cellStyle name="Normal 7 2 2 3 3 2 2" xfId="8651" xr:uid="{00000000-0005-0000-0000-000022200000}"/>
    <cellStyle name="Normal 7 2 2 3 3 3" xfId="8652" xr:uid="{00000000-0005-0000-0000-000023200000}"/>
    <cellStyle name="Normal 7 2 2 3 3 4" xfId="8653" xr:uid="{00000000-0005-0000-0000-000024200000}"/>
    <cellStyle name="Normal 7 2 2 3 4" xfId="8654" xr:uid="{00000000-0005-0000-0000-000025200000}"/>
    <cellStyle name="Normal 7 2 2 3 4 2" xfId="8655" xr:uid="{00000000-0005-0000-0000-000026200000}"/>
    <cellStyle name="Normal 7 2 2 3 5" xfId="8656" xr:uid="{00000000-0005-0000-0000-000027200000}"/>
    <cellStyle name="Normal 7 2 2 3 6" xfId="8657" xr:uid="{00000000-0005-0000-0000-000028200000}"/>
    <cellStyle name="Normal 7 2 2 4" xfId="1696" xr:uid="{00000000-0005-0000-0000-000029200000}"/>
    <cellStyle name="Normal 7 2 2 4 2" xfId="1697" xr:uid="{00000000-0005-0000-0000-00002A200000}"/>
    <cellStyle name="Normal 7 2 2 4 2 2" xfId="8658" xr:uid="{00000000-0005-0000-0000-00002B200000}"/>
    <cellStyle name="Normal 7 2 2 4 2 2 2" xfId="8659" xr:uid="{00000000-0005-0000-0000-00002C200000}"/>
    <cellStyle name="Normal 7 2 2 4 2 3" xfId="8660" xr:uid="{00000000-0005-0000-0000-00002D200000}"/>
    <cellStyle name="Normal 7 2 2 4 2 4" xfId="8661" xr:uid="{00000000-0005-0000-0000-00002E200000}"/>
    <cellStyle name="Normal 7 2 2 4 3" xfId="8662" xr:uid="{00000000-0005-0000-0000-00002F200000}"/>
    <cellStyle name="Normal 7 2 2 4 3 2" xfId="8663" xr:uid="{00000000-0005-0000-0000-000030200000}"/>
    <cellStyle name="Normal 7 2 2 4 4" xfId="8664" xr:uid="{00000000-0005-0000-0000-000031200000}"/>
    <cellStyle name="Normal 7 2 2 4 5" xfId="8665" xr:uid="{00000000-0005-0000-0000-000032200000}"/>
    <cellStyle name="Normal 7 2 2 5" xfId="1698" xr:uid="{00000000-0005-0000-0000-000033200000}"/>
    <cellStyle name="Normal 7 2 2 5 2" xfId="8666" xr:uid="{00000000-0005-0000-0000-000034200000}"/>
    <cellStyle name="Normal 7 2 2 5 2 2" xfId="8667" xr:uid="{00000000-0005-0000-0000-000035200000}"/>
    <cellStyle name="Normal 7 2 2 5 3" xfId="8668" xr:uid="{00000000-0005-0000-0000-000036200000}"/>
    <cellStyle name="Normal 7 2 2 5 4" xfId="8669" xr:uid="{00000000-0005-0000-0000-000037200000}"/>
    <cellStyle name="Normal 7 2 2 6" xfId="8670" xr:uid="{00000000-0005-0000-0000-000038200000}"/>
    <cellStyle name="Normal 7 2 2 6 2" xfId="8671" xr:uid="{00000000-0005-0000-0000-000039200000}"/>
    <cellStyle name="Normal 7 2 2 7" xfId="8672" xr:uid="{00000000-0005-0000-0000-00003A200000}"/>
    <cellStyle name="Normal 7 2 2 8" xfId="8673" xr:uid="{00000000-0005-0000-0000-00003B200000}"/>
    <cellStyle name="Normal 7 2 3" xfId="1699" xr:uid="{00000000-0005-0000-0000-00003C200000}"/>
    <cellStyle name="Normal 7 2 3 2" xfId="1700" xr:uid="{00000000-0005-0000-0000-00003D200000}"/>
    <cellStyle name="Normal 7 2 3 2 2" xfId="1701" xr:uid="{00000000-0005-0000-0000-00003E200000}"/>
    <cellStyle name="Normal 7 2 3 2 2 2" xfId="1702" xr:uid="{00000000-0005-0000-0000-00003F200000}"/>
    <cellStyle name="Normal 7 2 3 2 2 2 2" xfId="8674" xr:uid="{00000000-0005-0000-0000-000040200000}"/>
    <cellStyle name="Normal 7 2 3 2 2 2 2 2" xfId="8675" xr:uid="{00000000-0005-0000-0000-000041200000}"/>
    <cellStyle name="Normal 7 2 3 2 2 2 3" xfId="8676" xr:uid="{00000000-0005-0000-0000-000042200000}"/>
    <cellStyle name="Normal 7 2 3 2 2 2 4" xfId="8677" xr:uid="{00000000-0005-0000-0000-000043200000}"/>
    <cellStyle name="Normal 7 2 3 2 2 3" xfId="8678" xr:uid="{00000000-0005-0000-0000-000044200000}"/>
    <cellStyle name="Normal 7 2 3 2 2 3 2" xfId="8679" xr:uid="{00000000-0005-0000-0000-000045200000}"/>
    <cellStyle name="Normal 7 2 3 2 2 4" xfId="8680" xr:uid="{00000000-0005-0000-0000-000046200000}"/>
    <cellStyle name="Normal 7 2 3 2 2 5" xfId="8681" xr:uid="{00000000-0005-0000-0000-000047200000}"/>
    <cellStyle name="Normal 7 2 3 2 3" xfId="1703" xr:uid="{00000000-0005-0000-0000-000048200000}"/>
    <cellStyle name="Normal 7 2 3 2 3 2" xfId="8682" xr:uid="{00000000-0005-0000-0000-000049200000}"/>
    <cellStyle name="Normal 7 2 3 2 3 2 2" xfId="8683" xr:uid="{00000000-0005-0000-0000-00004A200000}"/>
    <cellStyle name="Normal 7 2 3 2 3 3" xfId="8684" xr:uid="{00000000-0005-0000-0000-00004B200000}"/>
    <cellStyle name="Normal 7 2 3 2 3 4" xfId="8685" xr:uid="{00000000-0005-0000-0000-00004C200000}"/>
    <cellStyle name="Normal 7 2 3 2 4" xfId="8686" xr:uid="{00000000-0005-0000-0000-00004D200000}"/>
    <cellStyle name="Normal 7 2 3 2 4 2" xfId="8687" xr:uid="{00000000-0005-0000-0000-00004E200000}"/>
    <cellStyle name="Normal 7 2 3 2 5" xfId="8688" xr:uid="{00000000-0005-0000-0000-00004F200000}"/>
    <cellStyle name="Normal 7 2 3 2 6" xfId="8689" xr:uid="{00000000-0005-0000-0000-000050200000}"/>
    <cellStyle name="Normal 7 2 3 3" xfId="1704" xr:uid="{00000000-0005-0000-0000-000051200000}"/>
    <cellStyle name="Normal 7 2 3 3 2" xfId="1705" xr:uid="{00000000-0005-0000-0000-000052200000}"/>
    <cellStyle name="Normal 7 2 3 3 2 2" xfId="8690" xr:uid="{00000000-0005-0000-0000-000053200000}"/>
    <cellStyle name="Normal 7 2 3 3 2 2 2" xfId="8691" xr:uid="{00000000-0005-0000-0000-000054200000}"/>
    <cellStyle name="Normal 7 2 3 3 2 3" xfId="8692" xr:uid="{00000000-0005-0000-0000-000055200000}"/>
    <cellStyle name="Normal 7 2 3 3 2 4" xfId="8693" xr:uid="{00000000-0005-0000-0000-000056200000}"/>
    <cellStyle name="Normal 7 2 3 3 3" xfId="8694" xr:uid="{00000000-0005-0000-0000-000057200000}"/>
    <cellStyle name="Normal 7 2 3 3 3 2" xfId="8695" xr:uid="{00000000-0005-0000-0000-000058200000}"/>
    <cellStyle name="Normal 7 2 3 3 4" xfId="8696" xr:uid="{00000000-0005-0000-0000-000059200000}"/>
    <cellStyle name="Normal 7 2 3 3 5" xfId="8697" xr:uid="{00000000-0005-0000-0000-00005A200000}"/>
    <cellStyle name="Normal 7 2 3 4" xfId="1706" xr:uid="{00000000-0005-0000-0000-00005B200000}"/>
    <cellStyle name="Normal 7 2 3 4 2" xfId="8698" xr:uid="{00000000-0005-0000-0000-00005C200000}"/>
    <cellStyle name="Normal 7 2 3 4 2 2" xfId="8699" xr:uid="{00000000-0005-0000-0000-00005D200000}"/>
    <cellStyle name="Normal 7 2 3 4 3" xfId="8700" xr:uid="{00000000-0005-0000-0000-00005E200000}"/>
    <cellStyle name="Normal 7 2 3 4 4" xfId="8701" xr:uid="{00000000-0005-0000-0000-00005F200000}"/>
    <cellStyle name="Normal 7 2 3 5" xfId="8702" xr:uid="{00000000-0005-0000-0000-000060200000}"/>
    <cellStyle name="Normal 7 2 3 5 2" xfId="8703" xr:uid="{00000000-0005-0000-0000-000061200000}"/>
    <cellStyle name="Normal 7 2 3 6" xfId="8704" xr:uid="{00000000-0005-0000-0000-000062200000}"/>
    <cellStyle name="Normal 7 2 3 7" xfId="8705" xr:uid="{00000000-0005-0000-0000-000063200000}"/>
    <cellStyle name="Normal 7 2 4" xfId="1707" xr:uid="{00000000-0005-0000-0000-000064200000}"/>
    <cellStyle name="Normal 7 2 4 2" xfId="1708" xr:uid="{00000000-0005-0000-0000-000065200000}"/>
    <cellStyle name="Normal 7 2 4 2 2" xfId="1709" xr:uid="{00000000-0005-0000-0000-000066200000}"/>
    <cellStyle name="Normal 7 2 4 2 2 2" xfId="8706" xr:uid="{00000000-0005-0000-0000-000067200000}"/>
    <cellStyle name="Normal 7 2 4 2 2 2 2" xfId="8707" xr:uid="{00000000-0005-0000-0000-000068200000}"/>
    <cellStyle name="Normal 7 2 4 2 2 3" xfId="8708" xr:uid="{00000000-0005-0000-0000-000069200000}"/>
    <cellStyle name="Normal 7 2 4 2 2 4" xfId="8709" xr:uid="{00000000-0005-0000-0000-00006A200000}"/>
    <cellStyle name="Normal 7 2 4 2 3" xfId="8710" xr:uid="{00000000-0005-0000-0000-00006B200000}"/>
    <cellStyle name="Normal 7 2 4 2 3 2" xfId="8711" xr:uid="{00000000-0005-0000-0000-00006C200000}"/>
    <cellStyle name="Normal 7 2 4 2 4" xfId="8712" xr:uid="{00000000-0005-0000-0000-00006D200000}"/>
    <cellStyle name="Normal 7 2 4 2 5" xfId="8713" xr:uid="{00000000-0005-0000-0000-00006E200000}"/>
    <cellStyle name="Normal 7 2 4 3" xfId="1710" xr:uid="{00000000-0005-0000-0000-00006F200000}"/>
    <cellStyle name="Normal 7 2 4 3 2" xfId="8714" xr:uid="{00000000-0005-0000-0000-000070200000}"/>
    <cellStyle name="Normal 7 2 4 3 2 2" xfId="8715" xr:uid="{00000000-0005-0000-0000-000071200000}"/>
    <cellStyle name="Normal 7 2 4 3 3" xfId="8716" xr:uid="{00000000-0005-0000-0000-000072200000}"/>
    <cellStyle name="Normal 7 2 4 3 4" xfId="8717" xr:uid="{00000000-0005-0000-0000-000073200000}"/>
    <cellStyle name="Normal 7 2 4 4" xfId="8718" xr:uid="{00000000-0005-0000-0000-000074200000}"/>
    <cellStyle name="Normal 7 2 4 4 2" xfId="8719" xr:uid="{00000000-0005-0000-0000-000075200000}"/>
    <cellStyle name="Normal 7 2 4 5" xfId="8720" xr:uid="{00000000-0005-0000-0000-000076200000}"/>
    <cellStyle name="Normal 7 2 4 6" xfId="8721" xr:uid="{00000000-0005-0000-0000-000077200000}"/>
    <cellStyle name="Normal 7 2 5" xfId="1711" xr:uid="{00000000-0005-0000-0000-000078200000}"/>
    <cellStyle name="Normal 7 2 5 2" xfId="1712" xr:uid="{00000000-0005-0000-0000-000079200000}"/>
    <cellStyle name="Normal 7 2 5 2 2" xfId="8722" xr:uid="{00000000-0005-0000-0000-00007A200000}"/>
    <cellStyle name="Normal 7 2 5 2 2 2" xfId="8723" xr:uid="{00000000-0005-0000-0000-00007B200000}"/>
    <cellStyle name="Normal 7 2 5 2 3" xfId="8724" xr:uid="{00000000-0005-0000-0000-00007C200000}"/>
    <cellStyle name="Normal 7 2 5 2 4" xfId="8725" xr:uid="{00000000-0005-0000-0000-00007D200000}"/>
    <cellStyle name="Normal 7 2 5 3" xfId="8726" xr:uid="{00000000-0005-0000-0000-00007E200000}"/>
    <cellStyle name="Normal 7 2 5 3 2" xfId="8727" xr:uid="{00000000-0005-0000-0000-00007F200000}"/>
    <cellStyle name="Normal 7 2 5 4" xfId="8728" xr:uid="{00000000-0005-0000-0000-000080200000}"/>
    <cellStyle name="Normal 7 2 5 5" xfId="8729" xr:uid="{00000000-0005-0000-0000-000081200000}"/>
    <cellStyle name="Normal 7 2 6" xfId="1713" xr:uid="{00000000-0005-0000-0000-000082200000}"/>
    <cellStyle name="Normal 7 2 6 2" xfId="8730" xr:uid="{00000000-0005-0000-0000-000083200000}"/>
    <cellStyle name="Normal 7 2 6 2 2" xfId="8731" xr:uid="{00000000-0005-0000-0000-000084200000}"/>
    <cellStyle name="Normal 7 2 6 3" xfId="8732" xr:uid="{00000000-0005-0000-0000-000085200000}"/>
    <cellStyle name="Normal 7 2 6 4" xfId="8733" xr:uid="{00000000-0005-0000-0000-000086200000}"/>
    <cellStyle name="Normal 7 2 7" xfId="8734" xr:uid="{00000000-0005-0000-0000-000087200000}"/>
    <cellStyle name="Normal 7 2 7 2" xfId="8735" xr:uid="{00000000-0005-0000-0000-000088200000}"/>
    <cellStyle name="Normal 7 2 8" xfId="8736" xr:uid="{00000000-0005-0000-0000-000089200000}"/>
    <cellStyle name="Normal 7 2 9" xfId="8737" xr:uid="{00000000-0005-0000-0000-00008A200000}"/>
    <cellStyle name="Normal 7 3" xfId="1714" xr:uid="{00000000-0005-0000-0000-00008B200000}"/>
    <cellStyle name="Normal 7 3 2" xfId="1715" xr:uid="{00000000-0005-0000-0000-00008C200000}"/>
    <cellStyle name="Normal 7 3 2 2" xfId="1716" xr:uid="{00000000-0005-0000-0000-00008D200000}"/>
    <cellStyle name="Normal 7 3 2 2 2" xfId="1717" xr:uid="{00000000-0005-0000-0000-00008E200000}"/>
    <cellStyle name="Normal 7 3 2 2 2 2" xfId="1718" xr:uid="{00000000-0005-0000-0000-00008F200000}"/>
    <cellStyle name="Normal 7 3 2 2 2 2 2" xfId="1719" xr:uid="{00000000-0005-0000-0000-000090200000}"/>
    <cellStyle name="Normal 7 3 2 2 2 2 2 2" xfId="8738" xr:uid="{00000000-0005-0000-0000-000091200000}"/>
    <cellStyle name="Normal 7 3 2 2 2 2 2 2 2" xfId="8739" xr:uid="{00000000-0005-0000-0000-000092200000}"/>
    <cellStyle name="Normal 7 3 2 2 2 2 2 3" xfId="8740" xr:uid="{00000000-0005-0000-0000-000093200000}"/>
    <cellStyle name="Normal 7 3 2 2 2 2 2 4" xfId="8741" xr:uid="{00000000-0005-0000-0000-000094200000}"/>
    <cellStyle name="Normal 7 3 2 2 2 2 3" xfId="8742" xr:uid="{00000000-0005-0000-0000-000095200000}"/>
    <cellStyle name="Normal 7 3 2 2 2 2 3 2" xfId="8743" xr:uid="{00000000-0005-0000-0000-000096200000}"/>
    <cellStyle name="Normal 7 3 2 2 2 2 4" xfId="8744" xr:uid="{00000000-0005-0000-0000-000097200000}"/>
    <cellStyle name="Normal 7 3 2 2 2 2 5" xfId="8745" xr:uid="{00000000-0005-0000-0000-000098200000}"/>
    <cellStyle name="Normal 7 3 2 2 2 3" xfId="1720" xr:uid="{00000000-0005-0000-0000-000099200000}"/>
    <cellStyle name="Normal 7 3 2 2 2 3 2" xfId="8746" xr:uid="{00000000-0005-0000-0000-00009A200000}"/>
    <cellStyle name="Normal 7 3 2 2 2 3 2 2" xfId="8747" xr:uid="{00000000-0005-0000-0000-00009B200000}"/>
    <cellStyle name="Normal 7 3 2 2 2 3 3" xfId="8748" xr:uid="{00000000-0005-0000-0000-00009C200000}"/>
    <cellStyle name="Normal 7 3 2 2 2 3 4" xfId="8749" xr:uid="{00000000-0005-0000-0000-00009D200000}"/>
    <cellStyle name="Normal 7 3 2 2 2 4" xfId="8750" xr:uid="{00000000-0005-0000-0000-00009E200000}"/>
    <cellStyle name="Normal 7 3 2 2 2 4 2" xfId="8751" xr:uid="{00000000-0005-0000-0000-00009F200000}"/>
    <cellStyle name="Normal 7 3 2 2 2 5" xfId="8752" xr:uid="{00000000-0005-0000-0000-0000A0200000}"/>
    <cellStyle name="Normal 7 3 2 2 2 6" xfId="8753" xr:uid="{00000000-0005-0000-0000-0000A1200000}"/>
    <cellStyle name="Normal 7 3 2 2 3" xfId="1721" xr:uid="{00000000-0005-0000-0000-0000A2200000}"/>
    <cellStyle name="Normal 7 3 2 2 3 2" xfId="1722" xr:uid="{00000000-0005-0000-0000-0000A3200000}"/>
    <cellStyle name="Normal 7 3 2 2 3 2 2" xfId="8754" xr:uid="{00000000-0005-0000-0000-0000A4200000}"/>
    <cellStyle name="Normal 7 3 2 2 3 2 2 2" xfId="8755" xr:uid="{00000000-0005-0000-0000-0000A5200000}"/>
    <cellStyle name="Normal 7 3 2 2 3 2 3" xfId="8756" xr:uid="{00000000-0005-0000-0000-0000A6200000}"/>
    <cellStyle name="Normal 7 3 2 2 3 2 4" xfId="8757" xr:uid="{00000000-0005-0000-0000-0000A7200000}"/>
    <cellStyle name="Normal 7 3 2 2 3 3" xfId="8758" xr:uid="{00000000-0005-0000-0000-0000A8200000}"/>
    <cellStyle name="Normal 7 3 2 2 3 3 2" xfId="8759" xr:uid="{00000000-0005-0000-0000-0000A9200000}"/>
    <cellStyle name="Normal 7 3 2 2 3 4" xfId="8760" xr:uid="{00000000-0005-0000-0000-0000AA200000}"/>
    <cellStyle name="Normal 7 3 2 2 3 5" xfId="8761" xr:uid="{00000000-0005-0000-0000-0000AB200000}"/>
    <cellStyle name="Normal 7 3 2 2 4" xfId="1723" xr:uid="{00000000-0005-0000-0000-0000AC200000}"/>
    <cellStyle name="Normal 7 3 2 2 4 2" xfId="8762" xr:uid="{00000000-0005-0000-0000-0000AD200000}"/>
    <cellStyle name="Normal 7 3 2 2 4 2 2" xfId="8763" xr:uid="{00000000-0005-0000-0000-0000AE200000}"/>
    <cellStyle name="Normal 7 3 2 2 4 3" xfId="8764" xr:uid="{00000000-0005-0000-0000-0000AF200000}"/>
    <cellStyle name="Normal 7 3 2 2 4 4" xfId="8765" xr:uid="{00000000-0005-0000-0000-0000B0200000}"/>
    <cellStyle name="Normal 7 3 2 2 5" xfId="8766" xr:uid="{00000000-0005-0000-0000-0000B1200000}"/>
    <cellStyle name="Normal 7 3 2 2 5 2" xfId="8767" xr:uid="{00000000-0005-0000-0000-0000B2200000}"/>
    <cellStyle name="Normal 7 3 2 2 6" xfId="8768" xr:uid="{00000000-0005-0000-0000-0000B3200000}"/>
    <cellStyle name="Normal 7 3 2 2 7" xfId="8769" xr:uid="{00000000-0005-0000-0000-0000B4200000}"/>
    <cellStyle name="Normal 7 3 2 3" xfId="1724" xr:uid="{00000000-0005-0000-0000-0000B5200000}"/>
    <cellStyle name="Normal 7 3 2 3 2" xfId="1725" xr:uid="{00000000-0005-0000-0000-0000B6200000}"/>
    <cellStyle name="Normal 7 3 2 3 2 2" xfId="1726" xr:uid="{00000000-0005-0000-0000-0000B7200000}"/>
    <cellStyle name="Normal 7 3 2 3 2 2 2" xfId="8770" xr:uid="{00000000-0005-0000-0000-0000B8200000}"/>
    <cellStyle name="Normal 7 3 2 3 2 2 2 2" xfId="8771" xr:uid="{00000000-0005-0000-0000-0000B9200000}"/>
    <cellStyle name="Normal 7 3 2 3 2 2 3" xfId="8772" xr:uid="{00000000-0005-0000-0000-0000BA200000}"/>
    <cellStyle name="Normal 7 3 2 3 2 2 4" xfId="8773" xr:uid="{00000000-0005-0000-0000-0000BB200000}"/>
    <cellStyle name="Normal 7 3 2 3 2 3" xfId="8774" xr:uid="{00000000-0005-0000-0000-0000BC200000}"/>
    <cellStyle name="Normal 7 3 2 3 2 3 2" xfId="8775" xr:uid="{00000000-0005-0000-0000-0000BD200000}"/>
    <cellStyle name="Normal 7 3 2 3 2 4" xfId="8776" xr:uid="{00000000-0005-0000-0000-0000BE200000}"/>
    <cellStyle name="Normal 7 3 2 3 2 5" xfId="8777" xr:uid="{00000000-0005-0000-0000-0000BF200000}"/>
    <cellStyle name="Normal 7 3 2 3 3" xfId="1727" xr:uid="{00000000-0005-0000-0000-0000C0200000}"/>
    <cellStyle name="Normal 7 3 2 3 3 2" xfId="8778" xr:uid="{00000000-0005-0000-0000-0000C1200000}"/>
    <cellStyle name="Normal 7 3 2 3 3 2 2" xfId="8779" xr:uid="{00000000-0005-0000-0000-0000C2200000}"/>
    <cellStyle name="Normal 7 3 2 3 3 3" xfId="8780" xr:uid="{00000000-0005-0000-0000-0000C3200000}"/>
    <cellStyle name="Normal 7 3 2 3 3 4" xfId="8781" xr:uid="{00000000-0005-0000-0000-0000C4200000}"/>
    <cellStyle name="Normal 7 3 2 3 4" xfId="8782" xr:uid="{00000000-0005-0000-0000-0000C5200000}"/>
    <cellStyle name="Normal 7 3 2 3 4 2" xfId="8783" xr:uid="{00000000-0005-0000-0000-0000C6200000}"/>
    <cellStyle name="Normal 7 3 2 3 5" xfId="8784" xr:uid="{00000000-0005-0000-0000-0000C7200000}"/>
    <cellStyle name="Normal 7 3 2 3 6" xfId="8785" xr:uid="{00000000-0005-0000-0000-0000C8200000}"/>
    <cellStyle name="Normal 7 3 2 4" xfId="1728" xr:uid="{00000000-0005-0000-0000-0000C9200000}"/>
    <cellStyle name="Normal 7 3 2 4 2" xfId="1729" xr:uid="{00000000-0005-0000-0000-0000CA200000}"/>
    <cellStyle name="Normal 7 3 2 4 2 2" xfId="8786" xr:uid="{00000000-0005-0000-0000-0000CB200000}"/>
    <cellStyle name="Normal 7 3 2 4 2 2 2" xfId="8787" xr:uid="{00000000-0005-0000-0000-0000CC200000}"/>
    <cellStyle name="Normal 7 3 2 4 2 3" xfId="8788" xr:uid="{00000000-0005-0000-0000-0000CD200000}"/>
    <cellStyle name="Normal 7 3 2 4 2 4" xfId="8789" xr:uid="{00000000-0005-0000-0000-0000CE200000}"/>
    <cellStyle name="Normal 7 3 2 4 3" xfId="8790" xr:uid="{00000000-0005-0000-0000-0000CF200000}"/>
    <cellStyle name="Normal 7 3 2 4 3 2" xfId="8791" xr:uid="{00000000-0005-0000-0000-0000D0200000}"/>
    <cellStyle name="Normal 7 3 2 4 4" xfId="8792" xr:uid="{00000000-0005-0000-0000-0000D1200000}"/>
    <cellStyle name="Normal 7 3 2 4 5" xfId="8793" xr:uid="{00000000-0005-0000-0000-0000D2200000}"/>
    <cellStyle name="Normal 7 3 2 5" xfId="1730" xr:uid="{00000000-0005-0000-0000-0000D3200000}"/>
    <cellStyle name="Normal 7 3 2 5 2" xfId="8794" xr:uid="{00000000-0005-0000-0000-0000D4200000}"/>
    <cellStyle name="Normal 7 3 2 5 2 2" xfId="8795" xr:uid="{00000000-0005-0000-0000-0000D5200000}"/>
    <cellStyle name="Normal 7 3 2 5 3" xfId="8796" xr:uid="{00000000-0005-0000-0000-0000D6200000}"/>
    <cellStyle name="Normal 7 3 2 5 4" xfId="8797" xr:uid="{00000000-0005-0000-0000-0000D7200000}"/>
    <cellStyle name="Normal 7 3 2 6" xfId="8798" xr:uid="{00000000-0005-0000-0000-0000D8200000}"/>
    <cellStyle name="Normal 7 3 2 6 2" xfId="8799" xr:uid="{00000000-0005-0000-0000-0000D9200000}"/>
    <cellStyle name="Normal 7 3 2 7" xfId="8800" xr:uid="{00000000-0005-0000-0000-0000DA200000}"/>
    <cellStyle name="Normal 7 3 2 8" xfId="8801" xr:uid="{00000000-0005-0000-0000-0000DB200000}"/>
    <cellStyle name="Normal 7 3 3" xfId="1731" xr:uid="{00000000-0005-0000-0000-0000DC200000}"/>
    <cellStyle name="Normal 7 3 3 2" xfId="1732" xr:uid="{00000000-0005-0000-0000-0000DD200000}"/>
    <cellStyle name="Normal 7 3 3 2 2" xfId="1733" xr:uid="{00000000-0005-0000-0000-0000DE200000}"/>
    <cellStyle name="Normal 7 3 3 2 2 2" xfId="1734" xr:uid="{00000000-0005-0000-0000-0000DF200000}"/>
    <cellStyle name="Normal 7 3 3 2 2 2 2" xfId="8802" xr:uid="{00000000-0005-0000-0000-0000E0200000}"/>
    <cellStyle name="Normal 7 3 3 2 2 2 2 2" xfId="8803" xr:uid="{00000000-0005-0000-0000-0000E1200000}"/>
    <cellStyle name="Normal 7 3 3 2 2 2 3" xfId="8804" xr:uid="{00000000-0005-0000-0000-0000E2200000}"/>
    <cellStyle name="Normal 7 3 3 2 2 2 4" xfId="8805" xr:uid="{00000000-0005-0000-0000-0000E3200000}"/>
    <cellStyle name="Normal 7 3 3 2 2 3" xfId="8806" xr:uid="{00000000-0005-0000-0000-0000E4200000}"/>
    <cellStyle name="Normal 7 3 3 2 2 3 2" xfId="8807" xr:uid="{00000000-0005-0000-0000-0000E5200000}"/>
    <cellStyle name="Normal 7 3 3 2 2 4" xfId="8808" xr:uid="{00000000-0005-0000-0000-0000E6200000}"/>
    <cellStyle name="Normal 7 3 3 2 2 5" xfId="8809" xr:uid="{00000000-0005-0000-0000-0000E7200000}"/>
    <cellStyle name="Normal 7 3 3 2 3" xfId="1735" xr:uid="{00000000-0005-0000-0000-0000E8200000}"/>
    <cellStyle name="Normal 7 3 3 2 3 2" xfId="8810" xr:uid="{00000000-0005-0000-0000-0000E9200000}"/>
    <cellStyle name="Normal 7 3 3 2 3 2 2" xfId="8811" xr:uid="{00000000-0005-0000-0000-0000EA200000}"/>
    <cellStyle name="Normal 7 3 3 2 3 3" xfId="8812" xr:uid="{00000000-0005-0000-0000-0000EB200000}"/>
    <cellStyle name="Normal 7 3 3 2 3 4" xfId="8813" xr:uid="{00000000-0005-0000-0000-0000EC200000}"/>
    <cellStyle name="Normal 7 3 3 2 4" xfId="8814" xr:uid="{00000000-0005-0000-0000-0000ED200000}"/>
    <cellStyle name="Normal 7 3 3 2 4 2" xfId="8815" xr:uid="{00000000-0005-0000-0000-0000EE200000}"/>
    <cellStyle name="Normal 7 3 3 2 5" xfId="8816" xr:uid="{00000000-0005-0000-0000-0000EF200000}"/>
    <cellStyle name="Normal 7 3 3 2 6" xfId="8817" xr:uid="{00000000-0005-0000-0000-0000F0200000}"/>
    <cellStyle name="Normal 7 3 3 3" xfId="1736" xr:uid="{00000000-0005-0000-0000-0000F1200000}"/>
    <cellStyle name="Normal 7 3 3 3 2" xfId="1737" xr:uid="{00000000-0005-0000-0000-0000F2200000}"/>
    <cellStyle name="Normal 7 3 3 3 2 2" xfId="8818" xr:uid="{00000000-0005-0000-0000-0000F3200000}"/>
    <cellStyle name="Normal 7 3 3 3 2 2 2" xfId="8819" xr:uid="{00000000-0005-0000-0000-0000F4200000}"/>
    <cellStyle name="Normal 7 3 3 3 2 3" xfId="8820" xr:uid="{00000000-0005-0000-0000-0000F5200000}"/>
    <cellStyle name="Normal 7 3 3 3 2 4" xfId="8821" xr:uid="{00000000-0005-0000-0000-0000F6200000}"/>
    <cellStyle name="Normal 7 3 3 3 3" xfId="8822" xr:uid="{00000000-0005-0000-0000-0000F7200000}"/>
    <cellStyle name="Normal 7 3 3 3 3 2" xfId="8823" xr:uid="{00000000-0005-0000-0000-0000F8200000}"/>
    <cellStyle name="Normal 7 3 3 3 4" xfId="8824" xr:uid="{00000000-0005-0000-0000-0000F9200000}"/>
    <cellStyle name="Normal 7 3 3 3 5" xfId="8825" xr:uid="{00000000-0005-0000-0000-0000FA200000}"/>
    <cellStyle name="Normal 7 3 3 4" xfId="1738" xr:uid="{00000000-0005-0000-0000-0000FB200000}"/>
    <cellStyle name="Normal 7 3 3 4 2" xfId="8826" xr:uid="{00000000-0005-0000-0000-0000FC200000}"/>
    <cellStyle name="Normal 7 3 3 4 2 2" xfId="8827" xr:uid="{00000000-0005-0000-0000-0000FD200000}"/>
    <cellStyle name="Normal 7 3 3 4 3" xfId="8828" xr:uid="{00000000-0005-0000-0000-0000FE200000}"/>
    <cellStyle name="Normal 7 3 3 4 4" xfId="8829" xr:uid="{00000000-0005-0000-0000-0000FF200000}"/>
    <cellStyle name="Normal 7 3 3 5" xfId="8830" xr:uid="{00000000-0005-0000-0000-000000210000}"/>
    <cellStyle name="Normal 7 3 3 5 2" xfId="8831" xr:uid="{00000000-0005-0000-0000-000001210000}"/>
    <cellStyle name="Normal 7 3 3 6" xfId="8832" xr:uid="{00000000-0005-0000-0000-000002210000}"/>
    <cellStyle name="Normal 7 3 3 7" xfId="8833" xr:uid="{00000000-0005-0000-0000-000003210000}"/>
    <cellStyle name="Normal 7 3 4" xfId="1739" xr:uid="{00000000-0005-0000-0000-000004210000}"/>
    <cellStyle name="Normal 7 3 4 2" xfId="1740" xr:uid="{00000000-0005-0000-0000-000005210000}"/>
    <cellStyle name="Normal 7 3 4 2 2" xfId="1741" xr:uid="{00000000-0005-0000-0000-000006210000}"/>
    <cellStyle name="Normal 7 3 4 2 2 2" xfId="8834" xr:uid="{00000000-0005-0000-0000-000007210000}"/>
    <cellStyle name="Normal 7 3 4 2 2 2 2" xfId="8835" xr:uid="{00000000-0005-0000-0000-000008210000}"/>
    <cellStyle name="Normal 7 3 4 2 2 3" xfId="8836" xr:uid="{00000000-0005-0000-0000-000009210000}"/>
    <cellStyle name="Normal 7 3 4 2 2 4" xfId="8837" xr:uid="{00000000-0005-0000-0000-00000A210000}"/>
    <cellStyle name="Normal 7 3 4 2 3" xfId="8838" xr:uid="{00000000-0005-0000-0000-00000B210000}"/>
    <cellStyle name="Normal 7 3 4 2 3 2" xfId="8839" xr:uid="{00000000-0005-0000-0000-00000C210000}"/>
    <cellStyle name="Normal 7 3 4 2 4" xfId="8840" xr:uid="{00000000-0005-0000-0000-00000D210000}"/>
    <cellStyle name="Normal 7 3 4 2 5" xfId="8841" xr:uid="{00000000-0005-0000-0000-00000E210000}"/>
    <cellStyle name="Normal 7 3 4 3" xfId="1742" xr:uid="{00000000-0005-0000-0000-00000F210000}"/>
    <cellStyle name="Normal 7 3 4 3 2" xfId="8842" xr:uid="{00000000-0005-0000-0000-000010210000}"/>
    <cellStyle name="Normal 7 3 4 3 2 2" xfId="8843" xr:uid="{00000000-0005-0000-0000-000011210000}"/>
    <cellStyle name="Normal 7 3 4 3 3" xfId="8844" xr:uid="{00000000-0005-0000-0000-000012210000}"/>
    <cellStyle name="Normal 7 3 4 3 4" xfId="8845" xr:uid="{00000000-0005-0000-0000-000013210000}"/>
    <cellStyle name="Normal 7 3 4 4" xfId="8846" xr:uid="{00000000-0005-0000-0000-000014210000}"/>
    <cellStyle name="Normal 7 3 4 4 2" xfId="8847" xr:uid="{00000000-0005-0000-0000-000015210000}"/>
    <cellStyle name="Normal 7 3 4 5" xfId="8848" xr:uid="{00000000-0005-0000-0000-000016210000}"/>
    <cellStyle name="Normal 7 3 4 6" xfId="8849" xr:uid="{00000000-0005-0000-0000-000017210000}"/>
    <cellStyle name="Normal 7 3 5" xfId="1743" xr:uid="{00000000-0005-0000-0000-000018210000}"/>
    <cellStyle name="Normal 7 3 5 2" xfId="1744" xr:uid="{00000000-0005-0000-0000-000019210000}"/>
    <cellStyle name="Normal 7 3 5 2 2" xfId="8850" xr:uid="{00000000-0005-0000-0000-00001A210000}"/>
    <cellStyle name="Normal 7 3 5 2 2 2" xfId="8851" xr:uid="{00000000-0005-0000-0000-00001B210000}"/>
    <cellStyle name="Normal 7 3 5 2 3" xfId="8852" xr:uid="{00000000-0005-0000-0000-00001C210000}"/>
    <cellStyle name="Normal 7 3 5 2 4" xfId="8853" xr:uid="{00000000-0005-0000-0000-00001D210000}"/>
    <cellStyle name="Normal 7 3 5 3" xfId="8854" xr:uid="{00000000-0005-0000-0000-00001E210000}"/>
    <cellStyle name="Normal 7 3 5 3 2" xfId="8855" xr:uid="{00000000-0005-0000-0000-00001F210000}"/>
    <cellStyle name="Normal 7 3 5 4" xfId="8856" xr:uid="{00000000-0005-0000-0000-000020210000}"/>
    <cellStyle name="Normal 7 3 5 5" xfId="8857" xr:uid="{00000000-0005-0000-0000-000021210000}"/>
    <cellStyle name="Normal 7 3 6" xfId="1745" xr:uid="{00000000-0005-0000-0000-000022210000}"/>
    <cellStyle name="Normal 7 3 6 2" xfId="8858" xr:uid="{00000000-0005-0000-0000-000023210000}"/>
    <cellStyle name="Normal 7 3 6 2 2" xfId="8859" xr:uid="{00000000-0005-0000-0000-000024210000}"/>
    <cellStyle name="Normal 7 3 6 3" xfId="8860" xr:uid="{00000000-0005-0000-0000-000025210000}"/>
    <cellStyle name="Normal 7 3 6 4" xfId="8861" xr:uid="{00000000-0005-0000-0000-000026210000}"/>
    <cellStyle name="Normal 7 3 7" xfId="8862" xr:uid="{00000000-0005-0000-0000-000027210000}"/>
    <cellStyle name="Normal 7 3 7 2" xfId="8863" xr:uid="{00000000-0005-0000-0000-000028210000}"/>
    <cellStyle name="Normal 7 3 8" xfId="8864" xr:uid="{00000000-0005-0000-0000-000029210000}"/>
    <cellStyle name="Normal 7 3 9" xfId="8865" xr:uid="{00000000-0005-0000-0000-00002A210000}"/>
    <cellStyle name="Normal 7 4" xfId="1746" xr:uid="{00000000-0005-0000-0000-00002B210000}"/>
    <cellStyle name="Normal 7 4 2" xfId="1747" xr:uid="{00000000-0005-0000-0000-00002C210000}"/>
    <cellStyle name="Normal 7 4 2 2" xfId="1748" xr:uid="{00000000-0005-0000-0000-00002D210000}"/>
    <cellStyle name="Normal 7 4 2 2 2" xfId="1749" xr:uid="{00000000-0005-0000-0000-00002E210000}"/>
    <cellStyle name="Normal 7 4 2 2 2 2" xfId="1750" xr:uid="{00000000-0005-0000-0000-00002F210000}"/>
    <cellStyle name="Normal 7 4 2 2 2 2 2" xfId="8866" xr:uid="{00000000-0005-0000-0000-000030210000}"/>
    <cellStyle name="Normal 7 4 2 2 2 2 2 2" xfId="8867" xr:uid="{00000000-0005-0000-0000-000031210000}"/>
    <cellStyle name="Normal 7 4 2 2 2 2 3" xfId="8868" xr:uid="{00000000-0005-0000-0000-000032210000}"/>
    <cellStyle name="Normal 7 4 2 2 2 2 4" xfId="8869" xr:uid="{00000000-0005-0000-0000-000033210000}"/>
    <cellStyle name="Normal 7 4 2 2 2 3" xfId="8870" xr:uid="{00000000-0005-0000-0000-000034210000}"/>
    <cellStyle name="Normal 7 4 2 2 2 3 2" xfId="8871" xr:uid="{00000000-0005-0000-0000-000035210000}"/>
    <cellStyle name="Normal 7 4 2 2 2 4" xfId="8872" xr:uid="{00000000-0005-0000-0000-000036210000}"/>
    <cellStyle name="Normal 7 4 2 2 2 5" xfId="8873" xr:uid="{00000000-0005-0000-0000-000037210000}"/>
    <cellStyle name="Normal 7 4 2 2 3" xfId="1751" xr:uid="{00000000-0005-0000-0000-000038210000}"/>
    <cellStyle name="Normal 7 4 2 2 3 2" xfId="8874" xr:uid="{00000000-0005-0000-0000-000039210000}"/>
    <cellStyle name="Normal 7 4 2 2 3 2 2" xfId="8875" xr:uid="{00000000-0005-0000-0000-00003A210000}"/>
    <cellStyle name="Normal 7 4 2 2 3 3" xfId="8876" xr:uid="{00000000-0005-0000-0000-00003B210000}"/>
    <cellStyle name="Normal 7 4 2 2 3 4" xfId="8877" xr:uid="{00000000-0005-0000-0000-00003C210000}"/>
    <cellStyle name="Normal 7 4 2 2 4" xfId="8878" xr:uid="{00000000-0005-0000-0000-00003D210000}"/>
    <cellStyle name="Normal 7 4 2 2 4 2" xfId="8879" xr:uid="{00000000-0005-0000-0000-00003E210000}"/>
    <cellStyle name="Normal 7 4 2 2 5" xfId="8880" xr:uid="{00000000-0005-0000-0000-00003F210000}"/>
    <cellStyle name="Normal 7 4 2 2 6" xfId="8881" xr:uid="{00000000-0005-0000-0000-000040210000}"/>
    <cellStyle name="Normal 7 4 2 3" xfId="1752" xr:uid="{00000000-0005-0000-0000-000041210000}"/>
    <cellStyle name="Normal 7 4 2 3 2" xfId="1753" xr:uid="{00000000-0005-0000-0000-000042210000}"/>
    <cellStyle name="Normal 7 4 2 3 2 2" xfId="8882" xr:uid="{00000000-0005-0000-0000-000043210000}"/>
    <cellStyle name="Normal 7 4 2 3 2 2 2" xfId="8883" xr:uid="{00000000-0005-0000-0000-000044210000}"/>
    <cellStyle name="Normal 7 4 2 3 2 3" xfId="8884" xr:uid="{00000000-0005-0000-0000-000045210000}"/>
    <cellStyle name="Normal 7 4 2 3 2 4" xfId="8885" xr:uid="{00000000-0005-0000-0000-000046210000}"/>
    <cellStyle name="Normal 7 4 2 3 3" xfId="8886" xr:uid="{00000000-0005-0000-0000-000047210000}"/>
    <cellStyle name="Normal 7 4 2 3 3 2" xfId="8887" xr:uid="{00000000-0005-0000-0000-000048210000}"/>
    <cellStyle name="Normal 7 4 2 3 4" xfId="8888" xr:uid="{00000000-0005-0000-0000-000049210000}"/>
    <cellStyle name="Normal 7 4 2 3 5" xfId="8889" xr:uid="{00000000-0005-0000-0000-00004A210000}"/>
    <cellStyle name="Normal 7 4 2 4" xfId="1754" xr:uid="{00000000-0005-0000-0000-00004B210000}"/>
    <cellStyle name="Normal 7 4 2 4 2" xfId="8890" xr:uid="{00000000-0005-0000-0000-00004C210000}"/>
    <cellStyle name="Normal 7 4 2 4 2 2" xfId="8891" xr:uid="{00000000-0005-0000-0000-00004D210000}"/>
    <cellStyle name="Normal 7 4 2 4 3" xfId="8892" xr:uid="{00000000-0005-0000-0000-00004E210000}"/>
    <cellStyle name="Normal 7 4 2 4 4" xfId="8893" xr:uid="{00000000-0005-0000-0000-00004F210000}"/>
    <cellStyle name="Normal 7 4 2 5" xfId="8894" xr:uid="{00000000-0005-0000-0000-000050210000}"/>
    <cellStyle name="Normal 7 4 2 5 2" xfId="8895" xr:uid="{00000000-0005-0000-0000-000051210000}"/>
    <cellStyle name="Normal 7 4 2 6" xfId="8896" xr:uid="{00000000-0005-0000-0000-000052210000}"/>
    <cellStyle name="Normal 7 4 2 7" xfId="8897" xr:uid="{00000000-0005-0000-0000-000053210000}"/>
    <cellStyle name="Normal 7 4 3" xfId="1755" xr:uid="{00000000-0005-0000-0000-000054210000}"/>
    <cellStyle name="Normal 7 4 3 2" xfId="1756" xr:uid="{00000000-0005-0000-0000-000055210000}"/>
    <cellStyle name="Normal 7 4 3 2 2" xfId="1757" xr:uid="{00000000-0005-0000-0000-000056210000}"/>
    <cellStyle name="Normal 7 4 3 2 2 2" xfId="8898" xr:uid="{00000000-0005-0000-0000-000057210000}"/>
    <cellStyle name="Normal 7 4 3 2 2 2 2" xfId="8899" xr:uid="{00000000-0005-0000-0000-000058210000}"/>
    <cellStyle name="Normal 7 4 3 2 2 3" xfId="8900" xr:uid="{00000000-0005-0000-0000-000059210000}"/>
    <cellStyle name="Normal 7 4 3 2 2 4" xfId="8901" xr:uid="{00000000-0005-0000-0000-00005A210000}"/>
    <cellStyle name="Normal 7 4 3 2 3" xfId="8902" xr:uid="{00000000-0005-0000-0000-00005B210000}"/>
    <cellStyle name="Normal 7 4 3 2 3 2" xfId="8903" xr:uid="{00000000-0005-0000-0000-00005C210000}"/>
    <cellStyle name="Normal 7 4 3 2 4" xfId="8904" xr:uid="{00000000-0005-0000-0000-00005D210000}"/>
    <cellStyle name="Normal 7 4 3 2 5" xfId="8905" xr:uid="{00000000-0005-0000-0000-00005E210000}"/>
    <cellStyle name="Normal 7 4 3 3" xfId="1758" xr:uid="{00000000-0005-0000-0000-00005F210000}"/>
    <cellStyle name="Normal 7 4 3 3 2" xfId="8906" xr:uid="{00000000-0005-0000-0000-000060210000}"/>
    <cellStyle name="Normal 7 4 3 3 2 2" xfId="8907" xr:uid="{00000000-0005-0000-0000-000061210000}"/>
    <cellStyle name="Normal 7 4 3 3 3" xfId="8908" xr:uid="{00000000-0005-0000-0000-000062210000}"/>
    <cellStyle name="Normal 7 4 3 3 4" xfId="8909" xr:uid="{00000000-0005-0000-0000-000063210000}"/>
    <cellStyle name="Normal 7 4 3 4" xfId="8910" xr:uid="{00000000-0005-0000-0000-000064210000}"/>
    <cellStyle name="Normal 7 4 3 4 2" xfId="8911" xr:uid="{00000000-0005-0000-0000-000065210000}"/>
    <cellStyle name="Normal 7 4 3 5" xfId="8912" xr:uid="{00000000-0005-0000-0000-000066210000}"/>
    <cellStyle name="Normal 7 4 3 6" xfId="8913" xr:uid="{00000000-0005-0000-0000-000067210000}"/>
    <cellStyle name="Normal 7 4 4" xfId="1759" xr:uid="{00000000-0005-0000-0000-000068210000}"/>
    <cellStyle name="Normal 7 4 4 2" xfId="1760" xr:uid="{00000000-0005-0000-0000-000069210000}"/>
    <cellStyle name="Normal 7 4 4 2 2" xfId="8914" xr:uid="{00000000-0005-0000-0000-00006A210000}"/>
    <cellStyle name="Normal 7 4 4 2 2 2" xfId="8915" xr:uid="{00000000-0005-0000-0000-00006B210000}"/>
    <cellStyle name="Normal 7 4 4 2 3" xfId="8916" xr:uid="{00000000-0005-0000-0000-00006C210000}"/>
    <cellStyle name="Normal 7 4 4 2 4" xfId="8917" xr:uid="{00000000-0005-0000-0000-00006D210000}"/>
    <cellStyle name="Normal 7 4 4 3" xfId="8918" xr:uid="{00000000-0005-0000-0000-00006E210000}"/>
    <cellStyle name="Normal 7 4 4 3 2" xfId="8919" xr:uid="{00000000-0005-0000-0000-00006F210000}"/>
    <cellStyle name="Normal 7 4 4 4" xfId="8920" xr:uid="{00000000-0005-0000-0000-000070210000}"/>
    <cellStyle name="Normal 7 4 4 5" xfId="8921" xr:uid="{00000000-0005-0000-0000-000071210000}"/>
    <cellStyle name="Normal 7 4 5" xfId="1761" xr:uid="{00000000-0005-0000-0000-000072210000}"/>
    <cellStyle name="Normal 7 4 5 2" xfId="8922" xr:uid="{00000000-0005-0000-0000-000073210000}"/>
    <cellStyle name="Normal 7 4 5 2 2" xfId="8923" xr:uid="{00000000-0005-0000-0000-000074210000}"/>
    <cellStyle name="Normal 7 4 5 3" xfId="8924" xr:uid="{00000000-0005-0000-0000-000075210000}"/>
    <cellStyle name="Normal 7 4 5 4" xfId="8925" xr:uid="{00000000-0005-0000-0000-000076210000}"/>
    <cellStyle name="Normal 7 4 6" xfId="8926" xr:uid="{00000000-0005-0000-0000-000077210000}"/>
    <cellStyle name="Normal 7 4 6 2" xfId="8927" xr:uid="{00000000-0005-0000-0000-000078210000}"/>
    <cellStyle name="Normal 7 4 7" xfId="8928" xr:uid="{00000000-0005-0000-0000-000079210000}"/>
    <cellStyle name="Normal 7 4 8" xfId="8929" xr:uid="{00000000-0005-0000-0000-00007A210000}"/>
    <cellStyle name="Normal 7 5" xfId="1762" xr:uid="{00000000-0005-0000-0000-00007B210000}"/>
    <cellStyle name="Normal 7 5 2" xfId="1763" xr:uid="{00000000-0005-0000-0000-00007C210000}"/>
    <cellStyle name="Normal 7 5 2 2" xfId="1764" xr:uid="{00000000-0005-0000-0000-00007D210000}"/>
    <cellStyle name="Normal 7 5 2 2 2" xfId="1765" xr:uid="{00000000-0005-0000-0000-00007E210000}"/>
    <cellStyle name="Normal 7 5 2 2 2 2" xfId="8930" xr:uid="{00000000-0005-0000-0000-00007F210000}"/>
    <cellStyle name="Normal 7 5 2 2 2 2 2" xfId="8931" xr:uid="{00000000-0005-0000-0000-000080210000}"/>
    <cellStyle name="Normal 7 5 2 2 2 3" xfId="8932" xr:uid="{00000000-0005-0000-0000-000081210000}"/>
    <cellStyle name="Normal 7 5 2 2 2 4" xfId="8933" xr:uid="{00000000-0005-0000-0000-000082210000}"/>
    <cellStyle name="Normal 7 5 2 2 3" xfId="8934" xr:uid="{00000000-0005-0000-0000-000083210000}"/>
    <cellStyle name="Normal 7 5 2 2 3 2" xfId="8935" xr:uid="{00000000-0005-0000-0000-000084210000}"/>
    <cellStyle name="Normal 7 5 2 2 4" xfId="8936" xr:uid="{00000000-0005-0000-0000-000085210000}"/>
    <cellStyle name="Normal 7 5 2 2 5" xfId="8937" xr:uid="{00000000-0005-0000-0000-000086210000}"/>
    <cellStyle name="Normal 7 5 2 3" xfId="1766" xr:uid="{00000000-0005-0000-0000-000087210000}"/>
    <cellStyle name="Normal 7 5 2 3 2" xfId="8938" xr:uid="{00000000-0005-0000-0000-000088210000}"/>
    <cellStyle name="Normal 7 5 2 3 2 2" xfId="8939" xr:uid="{00000000-0005-0000-0000-000089210000}"/>
    <cellStyle name="Normal 7 5 2 3 3" xfId="8940" xr:uid="{00000000-0005-0000-0000-00008A210000}"/>
    <cellStyle name="Normal 7 5 2 3 4" xfId="8941" xr:uid="{00000000-0005-0000-0000-00008B210000}"/>
    <cellStyle name="Normal 7 5 2 4" xfId="8942" xr:uid="{00000000-0005-0000-0000-00008C210000}"/>
    <cellStyle name="Normal 7 5 2 4 2" xfId="8943" xr:uid="{00000000-0005-0000-0000-00008D210000}"/>
    <cellStyle name="Normal 7 5 2 5" xfId="8944" xr:uid="{00000000-0005-0000-0000-00008E210000}"/>
    <cellStyle name="Normal 7 5 2 6" xfId="8945" xr:uid="{00000000-0005-0000-0000-00008F210000}"/>
    <cellStyle name="Normal 7 5 3" xfId="1767" xr:uid="{00000000-0005-0000-0000-000090210000}"/>
    <cellStyle name="Normal 7 5 3 2" xfId="1768" xr:uid="{00000000-0005-0000-0000-000091210000}"/>
    <cellStyle name="Normal 7 5 3 2 2" xfId="8946" xr:uid="{00000000-0005-0000-0000-000092210000}"/>
    <cellStyle name="Normal 7 5 3 2 2 2" xfId="8947" xr:uid="{00000000-0005-0000-0000-000093210000}"/>
    <cellStyle name="Normal 7 5 3 2 3" xfId="8948" xr:uid="{00000000-0005-0000-0000-000094210000}"/>
    <cellStyle name="Normal 7 5 3 2 4" xfId="8949" xr:uid="{00000000-0005-0000-0000-000095210000}"/>
    <cellStyle name="Normal 7 5 3 3" xfId="8950" xr:uid="{00000000-0005-0000-0000-000096210000}"/>
    <cellStyle name="Normal 7 5 3 3 2" xfId="8951" xr:uid="{00000000-0005-0000-0000-000097210000}"/>
    <cellStyle name="Normal 7 5 3 4" xfId="8952" xr:uid="{00000000-0005-0000-0000-000098210000}"/>
    <cellStyle name="Normal 7 5 3 5" xfId="8953" xr:uid="{00000000-0005-0000-0000-000099210000}"/>
    <cellStyle name="Normal 7 5 4" xfId="1769" xr:uid="{00000000-0005-0000-0000-00009A210000}"/>
    <cellStyle name="Normal 7 5 4 2" xfId="8954" xr:uid="{00000000-0005-0000-0000-00009B210000}"/>
    <cellStyle name="Normal 7 5 4 2 2" xfId="8955" xr:uid="{00000000-0005-0000-0000-00009C210000}"/>
    <cellStyle name="Normal 7 5 4 3" xfId="8956" xr:uid="{00000000-0005-0000-0000-00009D210000}"/>
    <cellStyle name="Normal 7 5 4 4" xfId="8957" xr:uid="{00000000-0005-0000-0000-00009E210000}"/>
    <cellStyle name="Normal 7 5 5" xfId="8958" xr:uid="{00000000-0005-0000-0000-00009F210000}"/>
    <cellStyle name="Normal 7 5 5 2" xfId="8959" xr:uid="{00000000-0005-0000-0000-0000A0210000}"/>
    <cellStyle name="Normal 7 5 6" xfId="8960" xr:uid="{00000000-0005-0000-0000-0000A1210000}"/>
    <cellStyle name="Normal 7 5 7" xfId="8961" xr:uid="{00000000-0005-0000-0000-0000A2210000}"/>
    <cellStyle name="Normal 7 6" xfId="1770" xr:uid="{00000000-0005-0000-0000-0000A3210000}"/>
    <cellStyle name="Normal 7 6 2" xfId="1771" xr:uid="{00000000-0005-0000-0000-0000A4210000}"/>
    <cellStyle name="Normal 7 6 2 2" xfId="1772" xr:uid="{00000000-0005-0000-0000-0000A5210000}"/>
    <cellStyle name="Normal 7 6 2 2 2" xfId="8962" xr:uid="{00000000-0005-0000-0000-0000A6210000}"/>
    <cellStyle name="Normal 7 6 2 2 2 2" xfId="8963" xr:uid="{00000000-0005-0000-0000-0000A7210000}"/>
    <cellStyle name="Normal 7 6 2 2 3" xfId="8964" xr:uid="{00000000-0005-0000-0000-0000A8210000}"/>
    <cellStyle name="Normal 7 6 2 2 4" xfId="8965" xr:uid="{00000000-0005-0000-0000-0000A9210000}"/>
    <cellStyle name="Normal 7 6 2 3" xfId="8966" xr:uid="{00000000-0005-0000-0000-0000AA210000}"/>
    <cellStyle name="Normal 7 6 2 3 2" xfId="8967" xr:uid="{00000000-0005-0000-0000-0000AB210000}"/>
    <cellStyle name="Normal 7 6 2 4" xfId="8968" xr:uid="{00000000-0005-0000-0000-0000AC210000}"/>
    <cellStyle name="Normal 7 6 2 5" xfId="8969" xr:uid="{00000000-0005-0000-0000-0000AD210000}"/>
    <cellStyle name="Normal 7 6 3" xfId="1773" xr:uid="{00000000-0005-0000-0000-0000AE210000}"/>
    <cellStyle name="Normal 7 6 3 2" xfId="8970" xr:uid="{00000000-0005-0000-0000-0000AF210000}"/>
    <cellStyle name="Normal 7 6 3 2 2" xfId="8971" xr:uid="{00000000-0005-0000-0000-0000B0210000}"/>
    <cellStyle name="Normal 7 6 3 3" xfId="8972" xr:uid="{00000000-0005-0000-0000-0000B1210000}"/>
    <cellStyle name="Normal 7 6 3 4" xfId="8973" xr:uid="{00000000-0005-0000-0000-0000B2210000}"/>
    <cellStyle name="Normal 7 6 4" xfId="8974" xr:uid="{00000000-0005-0000-0000-0000B3210000}"/>
    <cellStyle name="Normal 7 6 4 2" xfId="8975" xr:uid="{00000000-0005-0000-0000-0000B4210000}"/>
    <cellStyle name="Normal 7 6 5" xfId="8976" xr:uid="{00000000-0005-0000-0000-0000B5210000}"/>
    <cellStyle name="Normal 7 6 6" xfId="8977" xr:uid="{00000000-0005-0000-0000-0000B6210000}"/>
    <cellStyle name="Normal 7 7" xfId="1774" xr:uid="{00000000-0005-0000-0000-0000B7210000}"/>
    <cellStyle name="Normal 7 7 2" xfId="1775" xr:uid="{00000000-0005-0000-0000-0000B8210000}"/>
    <cellStyle name="Normal 7 7 2 2" xfId="8978" xr:uid="{00000000-0005-0000-0000-0000B9210000}"/>
    <cellStyle name="Normal 7 7 2 2 2" xfId="8979" xr:uid="{00000000-0005-0000-0000-0000BA210000}"/>
    <cellStyle name="Normal 7 7 2 3" xfId="8980" xr:uid="{00000000-0005-0000-0000-0000BB210000}"/>
    <cellStyle name="Normal 7 7 2 4" xfId="8981" xr:uid="{00000000-0005-0000-0000-0000BC210000}"/>
    <cellStyle name="Normal 7 7 3" xfId="8982" xr:uid="{00000000-0005-0000-0000-0000BD210000}"/>
    <cellStyle name="Normal 7 7 3 2" xfId="8983" xr:uid="{00000000-0005-0000-0000-0000BE210000}"/>
    <cellStyle name="Normal 7 7 4" xfId="8984" xr:uid="{00000000-0005-0000-0000-0000BF210000}"/>
    <cellStyle name="Normal 7 7 5" xfId="8985" xr:uid="{00000000-0005-0000-0000-0000C0210000}"/>
    <cellStyle name="Normal 7 8" xfId="1776" xr:uid="{00000000-0005-0000-0000-0000C1210000}"/>
    <cellStyle name="Normal 7 8 2" xfId="8986" xr:uid="{00000000-0005-0000-0000-0000C2210000}"/>
    <cellStyle name="Normal 7 8 2 2" xfId="8987" xr:uid="{00000000-0005-0000-0000-0000C3210000}"/>
    <cellStyle name="Normal 7 8 3" xfId="8988" xr:uid="{00000000-0005-0000-0000-0000C4210000}"/>
    <cellStyle name="Normal 7 8 4" xfId="8989" xr:uid="{00000000-0005-0000-0000-0000C5210000}"/>
    <cellStyle name="Normal 7 9" xfId="8990" xr:uid="{00000000-0005-0000-0000-0000C6210000}"/>
    <cellStyle name="Normal 7 9 2" xfId="8991" xr:uid="{00000000-0005-0000-0000-0000C7210000}"/>
    <cellStyle name="Normal 70" xfId="1777" xr:uid="{00000000-0005-0000-0000-0000C8210000}"/>
    <cellStyle name="Normal 70 2" xfId="1778" xr:uid="{00000000-0005-0000-0000-0000C9210000}"/>
    <cellStyle name="Normal 70 2 2" xfId="1779" xr:uid="{00000000-0005-0000-0000-0000CA210000}"/>
    <cellStyle name="Normal 70 2 2 2" xfId="8992" xr:uid="{00000000-0005-0000-0000-0000CB210000}"/>
    <cellStyle name="Normal 70 2 2 2 2" xfId="8993" xr:uid="{00000000-0005-0000-0000-0000CC210000}"/>
    <cellStyle name="Normal 70 2 2 3" xfId="8994" xr:uid="{00000000-0005-0000-0000-0000CD210000}"/>
    <cellStyle name="Normal 70 2 2 4" xfId="8995" xr:uid="{00000000-0005-0000-0000-0000CE210000}"/>
    <cellStyle name="Normal 70 2 3" xfId="8996" xr:uid="{00000000-0005-0000-0000-0000CF210000}"/>
    <cellStyle name="Normal 70 2 3 2" xfId="8997" xr:uid="{00000000-0005-0000-0000-0000D0210000}"/>
    <cellStyle name="Normal 70 2 4" xfId="8998" xr:uid="{00000000-0005-0000-0000-0000D1210000}"/>
    <cellStyle name="Normal 70 2 5" xfId="8999" xr:uid="{00000000-0005-0000-0000-0000D2210000}"/>
    <cellStyle name="Normal 70 3" xfId="1780" xr:uid="{00000000-0005-0000-0000-0000D3210000}"/>
    <cellStyle name="Normal 70 3 2" xfId="9000" xr:uid="{00000000-0005-0000-0000-0000D4210000}"/>
    <cellStyle name="Normal 70 3 2 2" xfId="9001" xr:uid="{00000000-0005-0000-0000-0000D5210000}"/>
    <cellStyle name="Normal 70 3 3" xfId="9002" xr:uid="{00000000-0005-0000-0000-0000D6210000}"/>
    <cellStyle name="Normal 70 3 4" xfId="9003" xr:uid="{00000000-0005-0000-0000-0000D7210000}"/>
    <cellStyle name="Normal 70 4" xfId="9004" xr:uid="{00000000-0005-0000-0000-0000D8210000}"/>
    <cellStyle name="Normal 70 4 2" xfId="9005" xr:uid="{00000000-0005-0000-0000-0000D9210000}"/>
    <cellStyle name="Normal 70 5" xfId="9006" xr:uid="{00000000-0005-0000-0000-0000DA210000}"/>
    <cellStyle name="Normal 70 6" xfId="9007" xr:uid="{00000000-0005-0000-0000-0000DB210000}"/>
    <cellStyle name="Normal 71" xfId="1781" xr:uid="{00000000-0005-0000-0000-0000DC210000}"/>
    <cellStyle name="Normal 71 2" xfId="1782" xr:uid="{00000000-0005-0000-0000-0000DD210000}"/>
    <cellStyle name="Normal 71 2 2" xfId="1783" xr:uid="{00000000-0005-0000-0000-0000DE210000}"/>
    <cellStyle name="Normal 71 2 2 2" xfId="9008" xr:uid="{00000000-0005-0000-0000-0000DF210000}"/>
    <cellStyle name="Normal 71 2 2 2 2" xfId="9009" xr:uid="{00000000-0005-0000-0000-0000E0210000}"/>
    <cellStyle name="Normal 71 2 2 3" xfId="9010" xr:uid="{00000000-0005-0000-0000-0000E1210000}"/>
    <cellStyle name="Normal 71 2 2 4" xfId="9011" xr:uid="{00000000-0005-0000-0000-0000E2210000}"/>
    <cellStyle name="Normal 71 2 3" xfId="9012" xr:uid="{00000000-0005-0000-0000-0000E3210000}"/>
    <cellStyle name="Normal 71 2 3 2" xfId="9013" xr:uid="{00000000-0005-0000-0000-0000E4210000}"/>
    <cellStyle name="Normal 71 2 4" xfId="9014" xr:uid="{00000000-0005-0000-0000-0000E5210000}"/>
    <cellStyle name="Normal 71 2 5" xfId="9015" xr:uid="{00000000-0005-0000-0000-0000E6210000}"/>
    <cellStyle name="Normal 71 3" xfId="1784" xr:uid="{00000000-0005-0000-0000-0000E7210000}"/>
    <cellStyle name="Normal 71 3 2" xfId="9016" xr:uid="{00000000-0005-0000-0000-0000E8210000}"/>
    <cellStyle name="Normal 71 3 2 2" xfId="9017" xr:uid="{00000000-0005-0000-0000-0000E9210000}"/>
    <cellStyle name="Normal 71 3 3" xfId="9018" xr:uid="{00000000-0005-0000-0000-0000EA210000}"/>
    <cellStyle name="Normal 71 3 4" xfId="9019" xr:uid="{00000000-0005-0000-0000-0000EB210000}"/>
    <cellStyle name="Normal 71 4" xfId="9020" xr:uid="{00000000-0005-0000-0000-0000EC210000}"/>
    <cellStyle name="Normal 71 4 2" xfId="9021" xr:uid="{00000000-0005-0000-0000-0000ED210000}"/>
    <cellStyle name="Normal 71 5" xfId="9022" xr:uid="{00000000-0005-0000-0000-0000EE210000}"/>
    <cellStyle name="Normal 71 6" xfId="9023" xr:uid="{00000000-0005-0000-0000-0000EF210000}"/>
    <cellStyle name="Normal 72" xfId="1785" xr:uid="{00000000-0005-0000-0000-0000F0210000}"/>
    <cellStyle name="Normal 72 2" xfId="1786" xr:uid="{00000000-0005-0000-0000-0000F1210000}"/>
    <cellStyle name="Normal 72 2 2" xfId="1787" xr:uid="{00000000-0005-0000-0000-0000F2210000}"/>
    <cellStyle name="Normal 72 2 2 2" xfId="9024" xr:uid="{00000000-0005-0000-0000-0000F3210000}"/>
    <cellStyle name="Normal 72 2 2 2 2" xfId="9025" xr:uid="{00000000-0005-0000-0000-0000F4210000}"/>
    <cellStyle name="Normal 72 2 2 3" xfId="9026" xr:uid="{00000000-0005-0000-0000-0000F5210000}"/>
    <cellStyle name="Normal 72 2 2 4" xfId="9027" xr:uid="{00000000-0005-0000-0000-0000F6210000}"/>
    <cellStyle name="Normal 72 2 3" xfId="9028" xr:uid="{00000000-0005-0000-0000-0000F7210000}"/>
    <cellStyle name="Normal 72 2 3 2" xfId="9029" xr:uid="{00000000-0005-0000-0000-0000F8210000}"/>
    <cellStyle name="Normal 72 2 4" xfId="9030" xr:uid="{00000000-0005-0000-0000-0000F9210000}"/>
    <cellStyle name="Normal 72 2 5" xfId="9031" xr:uid="{00000000-0005-0000-0000-0000FA210000}"/>
    <cellStyle name="Normal 72 3" xfId="1788" xr:uid="{00000000-0005-0000-0000-0000FB210000}"/>
    <cellStyle name="Normal 72 3 2" xfId="9032" xr:uid="{00000000-0005-0000-0000-0000FC210000}"/>
    <cellStyle name="Normal 72 3 2 2" xfId="9033" xr:uid="{00000000-0005-0000-0000-0000FD210000}"/>
    <cellStyle name="Normal 72 3 3" xfId="9034" xr:uid="{00000000-0005-0000-0000-0000FE210000}"/>
    <cellStyle name="Normal 72 3 4" xfId="9035" xr:uid="{00000000-0005-0000-0000-0000FF210000}"/>
    <cellStyle name="Normal 72 4" xfId="9036" xr:uid="{00000000-0005-0000-0000-000000220000}"/>
    <cellStyle name="Normal 72 4 2" xfId="9037" xr:uid="{00000000-0005-0000-0000-000001220000}"/>
    <cellStyle name="Normal 72 5" xfId="9038" xr:uid="{00000000-0005-0000-0000-000002220000}"/>
    <cellStyle name="Normal 72 6" xfId="9039" xr:uid="{00000000-0005-0000-0000-000003220000}"/>
    <cellStyle name="Normal 73" xfId="1789" xr:uid="{00000000-0005-0000-0000-000004220000}"/>
    <cellStyle name="Normal 73 2" xfId="1790" xr:uid="{00000000-0005-0000-0000-000005220000}"/>
    <cellStyle name="Normal 73 2 2" xfId="1791" xr:uid="{00000000-0005-0000-0000-000006220000}"/>
    <cellStyle name="Normal 73 2 2 2" xfId="9040" xr:uid="{00000000-0005-0000-0000-000007220000}"/>
    <cellStyle name="Normal 73 2 2 2 2" xfId="9041" xr:uid="{00000000-0005-0000-0000-000008220000}"/>
    <cellStyle name="Normal 73 2 2 3" xfId="9042" xr:uid="{00000000-0005-0000-0000-000009220000}"/>
    <cellStyle name="Normal 73 2 2 4" xfId="9043" xr:uid="{00000000-0005-0000-0000-00000A220000}"/>
    <cellStyle name="Normal 73 2 3" xfId="9044" xr:uid="{00000000-0005-0000-0000-00000B220000}"/>
    <cellStyle name="Normal 73 2 3 2" xfId="9045" xr:uid="{00000000-0005-0000-0000-00000C220000}"/>
    <cellStyle name="Normal 73 2 4" xfId="9046" xr:uid="{00000000-0005-0000-0000-00000D220000}"/>
    <cellStyle name="Normal 73 2 5" xfId="9047" xr:uid="{00000000-0005-0000-0000-00000E220000}"/>
    <cellStyle name="Normal 73 3" xfId="1792" xr:uid="{00000000-0005-0000-0000-00000F220000}"/>
    <cellStyle name="Normal 73 3 2" xfId="9048" xr:uid="{00000000-0005-0000-0000-000010220000}"/>
    <cellStyle name="Normal 73 3 2 2" xfId="9049" xr:uid="{00000000-0005-0000-0000-000011220000}"/>
    <cellStyle name="Normal 73 3 3" xfId="9050" xr:uid="{00000000-0005-0000-0000-000012220000}"/>
    <cellStyle name="Normal 73 3 4" xfId="9051" xr:uid="{00000000-0005-0000-0000-000013220000}"/>
    <cellStyle name="Normal 73 4" xfId="9052" xr:uid="{00000000-0005-0000-0000-000014220000}"/>
    <cellStyle name="Normal 73 4 2" xfId="9053" xr:uid="{00000000-0005-0000-0000-000015220000}"/>
    <cellStyle name="Normal 73 5" xfId="9054" xr:uid="{00000000-0005-0000-0000-000016220000}"/>
    <cellStyle name="Normal 73 6" xfId="9055" xr:uid="{00000000-0005-0000-0000-000017220000}"/>
    <cellStyle name="Normal 74" xfId="1793" xr:uid="{00000000-0005-0000-0000-000018220000}"/>
    <cellStyle name="Normal 74 2" xfId="1794" xr:uid="{00000000-0005-0000-0000-000019220000}"/>
    <cellStyle name="Normal 74 2 2" xfId="1795" xr:uid="{00000000-0005-0000-0000-00001A220000}"/>
    <cellStyle name="Normal 74 2 2 2" xfId="9056" xr:uid="{00000000-0005-0000-0000-00001B220000}"/>
    <cellStyle name="Normal 74 2 2 2 2" xfId="9057" xr:uid="{00000000-0005-0000-0000-00001C220000}"/>
    <cellStyle name="Normal 74 2 2 3" xfId="9058" xr:uid="{00000000-0005-0000-0000-00001D220000}"/>
    <cellStyle name="Normal 74 2 2 4" xfId="9059" xr:uid="{00000000-0005-0000-0000-00001E220000}"/>
    <cellStyle name="Normal 74 2 3" xfId="9060" xr:uid="{00000000-0005-0000-0000-00001F220000}"/>
    <cellStyle name="Normal 74 2 3 2" xfId="9061" xr:uid="{00000000-0005-0000-0000-000020220000}"/>
    <cellStyle name="Normal 74 2 4" xfId="9062" xr:uid="{00000000-0005-0000-0000-000021220000}"/>
    <cellStyle name="Normal 74 2 5" xfId="9063" xr:uid="{00000000-0005-0000-0000-000022220000}"/>
    <cellStyle name="Normal 74 3" xfId="1796" xr:uid="{00000000-0005-0000-0000-000023220000}"/>
    <cellStyle name="Normal 74 3 2" xfId="9064" xr:uid="{00000000-0005-0000-0000-000024220000}"/>
    <cellStyle name="Normal 74 3 2 2" xfId="9065" xr:uid="{00000000-0005-0000-0000-000025220000}"/>
    <cellStyle name="Normal 74 3 3" xfId="9066" xr:uid="{00000000-0005-0000-0000-000026220000}"/>
    <cellStyle name="Normal 74 3 4" xfId="9067" xr:uid="{00000000-0005-0000-0000-000027220000}"/>
    <cellStyle name="Normal 74 4" xfId="9068" xr:uid="{00000000-0005-0000-0000-000028220000}"/>
    <cellStyle name="Normal 74 4 2" xfId="9069" xr:uid="{00000000-0005-0000-0000-000029220000}"/>
    <cellStyle name="Normal 74 5" xfId="9070" xr:uid="{00000000-0005-0000-0000-00002A220000}"/>
    <cellStyle name="Normal 74 6" xfId="9071" xr:uid="{00000000-0005-0000-0000-00002B220000}"/>
    <cellStyle name="Normal 75" xfId="1797" xr:uid="{00000000-0005-0000-0000-00002C220000}"/>
    <cellStyle name="Normal 75 2" xfId="1798" xr:uid="{00000000-0005-0000-0000-00002D220000}"/>
    <cellStyle name="Normal 75 2 2" xfId="1799" xr:uid="{00000000-0005-0000-0000-00002E220000}"/>
    <cellStyle name="Normal 75 2 2 2" xfId="9072" xr:uid="{00000000-0005-0000-0000-00002F220000}"/>
    <cellStyle name="Normal 75 2 2 2 2" xfId="9073" xr:uid="{00000000-0005-0000-0000-000030220000}"/>
    <cellStyle name="Normal 75 2 2 3" xfId="9074" xr:uid="{00000000-0005-0000-0000-000031220000}"/>
    <cellStyle name="Normal 75 2 2 4" xfId="9075" xr:uid="{00000000-0005-0000-0000-000032220000}"/>
    <cellStyle name="Normal 75 2 3" xfId="9076" xr:uid="{00000000-0005-0000-0000-000033220000}"/>
    <cellStyle name="Normal 75 2 3 2" xfId="9077" xr:uid="{00000000-0005-0000-0000-000034220000}"/>
    <cellStyle name="Normal 75 2 4" xfId="9078" xr:uid="{00000000-0005-0000-0000-000035220000}"/>
    <cellStyle name="Normal 75 2 5" xfId="9079" xr:uid="{00000000-0005-0000-0000-000036220000}"/>
    <cellStyle name="Normal 75 3" xfId="1800" xr:uid="{00000000-0005-0000-0000-000037220000}"/>
    <cellStyle name="Normal 75 3 2" xfId="9080" xr:uid="{00000000-0005-0000-0000-000038220000}"/>
    <cellStyle name="Normal 75 3 2 2" xfId="9081" xr:uid="{00000000-0005-0000-0000-000039220000}"/>
    <cellStyle name="Normal 75 3 3" xfId="9082" xr:uid="{00000000-0005-0000-0000-00003A220000}"/>
    <cellStyle name="Normal 75 3 4" xfId="9083" xr:uid="{00000000-0005-0000-0000-00003B220000}"/>
    <cellStyle name="Normal 75 4" xfId="9084" xr:uid="{00000000-0005-0000-0000-00003C220000}"/>
    <cellStyle name="Normal 75 4 2" xfId="9085" xr:uid="{00000000-0005-0000-0000-00003D220000}"/>
    <cellStyle name="Normal 75 5" xfId="9086" xr:uid="{00000000-0005-0000-0000-00003E220000}"/>
    <cellStyle name="Normal 75 6" xfId="9087" xr:uid="{00000000-0005-0000-0000-00003F220000}"/>
    <cellStyle name="Normal 76" xfId="1801" xr:uid="{00000000-0005-0000-0000-000040220000}"/>
    <cellStyle name="Normal 76 2" xfId="1802" xr:uid="{00000000-0005-0000-0000-000041220000}"/>
    <cellStyle name="Normal 76 2 2" xfId="1803" xr:uid="{00000000-0005-0000-0000-000042220000}"/>
    <cellStyle name="Normal 76 2 2 2" xfId="9088" xr:uid="{00000000-0005-0000-0000-000043220000}"/>
    <cellStyle name="Normal 76 2 2 2 2" xfId="9089" xr:uid="{00000000-0005-0000-0000-000044220000}"/>
    <cellStyle name="Normal 76 2 2 3" xfId="9090" xr:uid="{00000000-0005-0000-0000-000045220000}"/>
    <cellStyle name="Normal 76 2 2 4" xfId="9091" xr:uid="{00000000-0005-0000-0000-000046220000}"/>
    <cellStyle name="Normal 76 2 3" xfId="9092" xr:uid="{00000000-0005-0000-0000-000047220000}"/>
    <cellStyle name="Normal 76 2 3 2" xfId="9093" xr:uid="{00000000-0005-0000-0000-000048220000}"/>
    <cellStyle name="Normal 76 2 4" xfId="9094" xr:uid="{00000000-0005-0000-0000-000049220000}"/>
    <cellStyle name="Normal 76 2 5" xfId="9095" xr:uid="{00000000-0005-0000-0000-00004A220000}"/>
    <cellStyle name="Normal 76 3" xfId="1804" xr:uid="{00000000-0005-0000-0000-00004B220000}"/>
    <cellStyle name="Normal 76 3 2" xfId="9096" xr:uid="{00000000-0005-0000-0000-00004C220000}"/>
    <cellStyle name="Normal 76 3 2 2" xfId="9097" xr:uid="{00000000-0005-0000-0000-00004D220000}"/>
    <cellStyle name="Normal 76 3 3" xfId="9098" xr:uid="{00000000-0005-0000-0000-00004E220000}"/>
    <cellStyle name="Normal 76 3 4" xfId="9099" xr:uid="{00000000-0005-0000-0000-00004F220000}"/>
    <cellStyle name="Normal 76 4" xfId="9100" xr:uid="{00000000-0005-0000-0000-000050220000}"/>
    <cellStyle name="Normal 76 4 2" xfId="9101" xr:uid="{00000000-0005-0000-0000-000051220000}"/>
    <cellStyle name="Normal 76 5" xfId="9102" xr:uid="{00000000-0005-0000-0000-000052220000}"/>
    <cellStyle name="Normal 76 6" xfId="9103" xr:uid="{00000000-0005-0000-0000-000053220000}"/>
    <cellStyle name="Normal 77" xfId="1805" xr:uid="{00000000-0005-0000-0000-000054220000}"/>
    <cellStyle name="Normal 77 2" xfId="1806" xr:uid="{00000000-0005-0000-0000-000055220000}"/>
    <cellStyle name="Normal 77 2 2" xfId="1807" xr:uid="{00000000-0005-0000-0000-000056220000}"/>
    <cellStyle name="Normal 77 2 2 2" xfId="9104" xr:uid="{00000000-0005-0000-0000-000057220000}"/>
    <cellStyle name="Normal 77 2 2 2 2" xfId="9105" xr:uid="{00000000-0005-0000-0000-000058220000}"/>
    <cellStyle name="Normal 77 2 2 3" xfId="9106" xr:uid="{00000000-0005-0000-0000-000059220000}"/>
    <cellStyle name="Normal 77 2 2 4" xfId="9107" xr:uid="{00000000-0005-0000-0000-00005A220000}"/>
    <cellStyle name="Normal 77 2 3" xfId="9108" xr:uid="{00000000-0005-0000-0000-00005B220000}"/>
    <cellStyle name="Normal 77 2 3 2" xfId="9109" xr:uid="{00000000-0005-0000-0000-00005C220000}"/>
    <cellStyle name="Normal 77 2 4" xfId="9110" xr:uid="{00000000-0005-0000-0000-00005D220000}"/>
    <cellStyle name="Normal 77 2 5" xfId="9111" xr:uid="{00000000-0005-0000-0000-00005E220000}"/>
    <cellStyle name="Normal 77 3" xfId="1808" xr:uid="{00000000-0005-0000-0000-00005F220000}"/>
    <cellStyle name="Normal 77 3 2" xfId="9112" xr:uid="{00000000-0005-0000-0000-000060220000}"/>
    <cellStyle name="Normal 77 3 2 2" xfId="9113" xr:uid="{00000000-0005-0000-0000-000061220000}"/>
    <cellStyle name="Normal 77 3 3" xfId="9114" xr:uid="{00000000-0005-0000-0000-000062220000}"/>
    <cellStyle name="Normal 77 3 4" xfId="9115" xr:uid="{00000000-0005-0000-0000-000063220000}"/>
    <cellStyle name="Normal 77 4" xfId="9116" xr:uid="{00000000-0005-0000-0000-000064220000}"/>
    <cellStyle name="Normal 77 4 2" xfId="9117" xr:uid="{00000000-0005-0000-0000-000065220000}"/>
    <cellStyle name="Normal 77 5" xfId="9118" xr:uid="{00000000-0005-0000-0000-000066220000}"/>
    <cellStyle name="Normal 77 6" xfId="9119" xr:uid="{00000000-0005-0000-0000-000067220000}"/>
    <cellStyle name="Normal 78" xfId="1809" xr:uid="{00000000-0005-0000-0000-000068220000}"/>
    <cellStyle name="Normal 78 2" xfId="1810" xr:uid="{00000000-0005-0000-0000-000069220000}"/>
    <cellStyle name="Normal 78 2 2" xfId="1811" xr:uid="{00000000-0005-0000-0000-00006A220000}"/>
    <cellStyle name="Normal 78 2 2 2" xfId="9120" xr:uid="{00000000-0005-0000-0000-00006B220000}"/>
    <cellStyle name="Normal 78 2 2 2 2" xfId="9121" xr:uid="{00000000-0005-0000-0000-00006C220000}"/>
    <cellStyle name="Normal 78 2 2 3" xfId="9122" xr:uid="{00000000-0005-0000-0000-00006D220000}"/>
    <cellStyle name="Normal 78 2 2 4" xfId="9123" xr:uid="{00000000-0005-0000-0000-00006E220000}"/>
    <cellStyle name="Normal 78 2 3" xfId="9124" xr:uid="{00000000-0005-0000-0000-00006F220000}"/>
    <cellStyle name="Normal 78 2 3 2" xfId="9125" xr:uid="{00000000-0005-0000-0000-000070220000}"/>
    <cellStyle name="Normal 78 2 4" xfId="9126" xr:uid="{00000000-0005-0000-0000-000071220000}"/>
    <cellStyle name="Normal 78 2 5" xfId="9127" xr:uid="{00000000-0005-0000-0000-000072220000}"/>
    <cellStyle name="Normal 78 3" xfId="1812" xr:uid="{00000000-0005-0000-0000-000073220000}"/>
    <cellStyle name="Normal 78 3 2" xfId="9128" xr:uid="{00000000-0005-0000-0000-000074220000}"/>
    <cellStyle name="Normal 78 3 2 2" xfId="9129" xr:uid="{00000000-0005-0000-0000-000075220000}"/>
    <cellStyle name="Normal 78 3 3" xfId="9130" xr:uid="{00000000-0005-0000-0000-000076220000}"/>
    <cellStyle name="Normal 78 3 4" xfId="9131" xr:uid="{00000000-0005-0000-0000-000077220000}"/>
    <cellStyle name="Normal 78 4" xfId="9132" xr:uid="{00000000-0005-0000-0000-000078220000}"/>
    <cellStyle name="Normal 78 4 2" xfId="9133" xr:uid="{00000000-0005-0000-0000-000079220000}"/>
    <cellStyle name="Normal 78 5" xfId="9134" xr:uid="{00000000-0005-0000-0000-00007A220000}"/>
    <cellStyle name="Normal 78 6" xfId="9135" xr:uid="{00000000-0005-0000-0000-00007B220000}"/>
    <cellStyle name="Normal 79" xfId="1813" xr:uid="{00000000-0005-0000-0000-00007C220000}"/>
    <cellStyle name="Normal 79 2" xfId="1814" xr:uid="{00000000-0005-0000-0000-00007D220000}"/>
    <cellStyle name="Normal 79 2 2" xfId="1815" xr:uid="{00000000-0005-0000-0000-00007E220000}"/>
    <cellStyle name="Normal 79 2 2 2" xfId="9136" xr:uid="{00000000-0005-0000-0000-00007F220000}"/>
    <cellStyle name="Normal 79 2 2 2 2" xfId="9137" xr:uid="{00000000-0005-0000-0000-000080220000}"/>
    <cellStyle name="Normal 79 2 2 3" xfId="9138" xr:uid="{00000000-0005-0000-0000-000081220000}"/>
    <cellStyle name="Normal 79 2 2 4" xfId="9139" xr:uid="{00000000-0005-0000-0000-000082220000}"/>
    <cellStyle name="Normal 79 2 3" xfId="9140" xr:uid="{00000000-0005-0000-0000-000083220000}"/>
    <cellStyle name="Normal 79 2 3 2" xfId="9141" xr:uid="{00000000-0005-0000-0000-000084220000}"/>
    <cellStyle name="Normal 79 2 4" xfId="9142" xr:uid="{00000000-0005-0000-0000-000085220000}"/>
    <cellStyle name="Normal 79 2 5" xfId="9143" xr:uid="{00000000-0005-0000-0000-000086220000}"/>
    <cellStyle name="Normal 79 3" xfId="1816" xr:uid="{00000000-0005-0000-0000-000087220000}"/>
    <cellStyle name="Normal 79 3 2" xfId="9144" xr:uid="{00000000-0005-0000-0000-000088220000}"/>
    <cellStyle name="Normal 79 3 2 2" xfId="9145" xr:uid="{00000000-0005-0000-0000-000089220000}"/>
    <cellStyle name="Normal 79 3 3" xfId="9146" xr:uid="{00000000-0005-0000-0000-00008A220000}"/>
    <cellStyle name="Normal 79 3 4" xfId="9147" xr:uid="{00000000-0005-0000-0000-00008B220000}"/>
    <cellStyle name="Normal 79 4" xfId="9148" xr:uid="{00000000-0005-0000-0000-00008C220000}"/>
    <cellStyle name="Normal 79 4 2" xfId="9149" xr:uid="{00000000-0005-0000-0000-00008D220000}"/>
    <cellStyle name="Normal 79 5" xfId="9150" xr:uid="{00000000-0005-0000-0000-00008E220000}"/>
    <cellStyle name="Normal 79 6" xfId="9151" xr:uid="{00000000-0005-0000-0000-00008F220000}"/>
    <cellStyle name="Normal 8" xfId="1817" xr:uid="{00000000-0005-0000-0000-000090220000}"/>
    <cellStyle name="Normal 8 10" xfId="9152" xr:uid="{00000000-0005-0000-0000-000091220000}"/>
    <cellStyle name="Normal 8 11" xfId="9153" xr:uid="{00000000-0005-0000-0000-000092220000}"/>
    <cellStyle name="Normal 8 2" xfId="1818" xr:uid="{00000000-0005-0000-0000-000093220000}"/>
    <cellStyle name="Normal 8 2 2" xfId="1819" xr:uid="{00000000-0005-0000-0000-000094220000}"/>
    <cellStyle name="Normal 8 2 2 2" xfId="1820" xr:uid="{00000000-0005-0000-0000-000095220000}"/>
    <cellStyle name="Normal 8 2 2 2 2" xfId="1821" xr:uid="{00000000-0005-0000-0000-000096220000}"/>
    <cellStyle name="Normal 8 2 2 2 2 2" xfId="1822" xr:uid="{00000000-0005-0000-0000-000097220000}"/>
    <cellStyle name="Normal 8 2 2 2 2 2 2" xfId="1823" xr:uid="{00000000-0005-0000-0000-000098220000}"/>
    <cellStyle name="Normal 8 2 2 2 2 2 2 2" xfId="9154" xr:uid="{00000000-0005-0000-0000-000099220000}"/>
    <cellStyle name="Normal 8 2 2 2 2 2 2 2 2" xfId="9155" xr:uid="{00000000-0005-0000-0000-00009A220000}"/>
    <cellStyle name="Normal 8 2 2 2 2 2 2 3" xfId="9156" xr:uid="{00000000-0005-0000-0000-00009B220000}"/>
    <cellStyle name="Normal 8 2 2 2 2 2 2 4" xfId="9157" xr:uid="{00000000-0005-0000-0000-00009C220000}"/>
    <cellStyle name="Normal 8 2 2 2 2 2 3" xfId="9158" xr:uid="{00000000-0005-0000-0000-00009D220000}"/>
    <cellStyle name="Normal 8 2 2 2 2 2 3 2" xfId="9159" xr:uid="{00000000-0005-0000-0000-00009E220000}"/>
    <cellStyle name="Normal 8 2 2 2 2 2 4" xfId="9160" xr:uid="{00000000-0005-0000-0000-00009F220000}"/>
    <cellStyle name="Normal 8 2 2 2 2 2 5" xfId="9161" xr:uid="{00000000-0005-0000-0000-0000A0220000}"/>
    <cellStyle name="Normal 8 2 2 2 2 3" xfId="1824" xr:uid="{00000000-0005-0000-0000-0000A1220000}"/>
    <cellStyle name="Normal 8 2 2 2 2 3 2" xfId="9162" xr:uid="{00000000-0005-0000-0000-0000A2220000}"/>
    <cellStyle name="Normal 8 2 2 2 2 3 2 2" xfId="9163" xr:uid="{00000000-0005-0000-0000-0000A3220000}"/>
    <cellStyle name="Normal 8 2 2 2 2 3 3" xfId="9164" xr:uid="{00000000-0005-0000-0000-0000A4220000}"/>
    <cellStyle name="Normal 8 2 2 2 2 3 4" xfId="9165" xr:uid="{00000000-0005-0000-0000-0000A5220000}"/>
    <cellStyle name="Normal 8 2 2 2 2 4" xfId="9166" xr:uid="{00000000-0005-0000-0000-0000A6220000}"/>
    <cellStyle name="Normal 8 2 2 2 2 4 2" xfId="9167" xr:uid="{00000000-0005-0000-0000-0000A7220000}"/>
    <cellStyle name="Normal 8 2 2 2 2 5" xfId="9168" xr:uid="{00000000-0005-0000-0000-0000A8220000}"/>
    <cellStyle name="Normal 8 2 2 2 2 6" xfId="9169" xr:uid="{00000000-0005-0000-0000-0000A9220000}"/>
    <cellStyle name="Normal 8 2 2 2 3" xfId="1825" xr:uid="{00000000-0005-0000-0000-0000AA220000}"/>
    <cellStyle name="Normal 8 2 2 2 3 2" xfId="1826" xr:uid="{00000000-0005-0000-0000-0000AB220000}"/>
    <cellStyle name="Normal 8 2 2 2 3 2 2" xfId="9170" xr:uid="{00000000-0005-0000-0000-0000AC220000}"/>
    <cellStyle name="Normal 8 2 2 2 3 2 2 2" xfId="9171" xr:uid="{00000000-0005-0000-0000-0000AD220000}"/>
    <cellStyle name="Normal 8 2 2 2 3 2 3" xfId="9172" xr:uid="{00000000-0005-0000-0000-0000AE220000}"/>
    <cellStyle name="Normal 8 2 2 2 3 2 4" xfId="9173" xr:uid="{00000000-0005-0000-0000-0000AF220000}"/>
    <cellStyle name="Normal 8 2 2 2 3 3" xfId="9174" xr:uid="{00000000-0005-0000-0000-0000B0220000}"/>
    <cellStyle name="Normal 8 2 2 2 3 3 2" xfId="9175" xr:uid="{00000000-0005-0000-0000-0000B1220000}"/>
    <cellStyle name="Normal 8 2 2 2 3 4" xfId="9176" xr:uid="{00000000-0005-0000-0000-0000B2220000}"/>
    <cellStyle name="Normal 8 2 2 2 3 5" xfId="9177" xr:uid="{00000000-0005-0000-0000-0000B3220000}"/>
    <cellStyle name="Normal 8 2 2 2 4" xfId="1827" xr:uid="{00000000-0005-0000-0000-0000B4220000}"/>
    <cellStyle name="Normal 8 2 2 2 4 2" xfId="9178" xr:uid="{00000000-0005-0000-0000-0000B5220000}"/>
    <cellStyle name="Normal 8 2 2 2 4 2 2" xfId="9179" xr:uid="{00000000-0005-0000-0000-0000B6220000}"/>
    <cellStyle name="Normal 8 2 2 2 4 3" xfId="9180" xr:uid="{00000000-0005-0000-0000-0000B7220000}"/>
    <cellStyle name="Normal 8 2 2 2 4 4" xfId="9181" xr:uid="{00000000-0005-0000-0000-0000B8220000}"/>
    <cellStyle name="Normal 8 2 2 2 5" xfId="9182" xr:uid="{00000000-0005-0000-0000-0000B9220000}"/>
    <cellStyle name="Normal 8 2 2 2 5 2" xfId="9183" xr:uid="{00000000-0005-0000-0000-0000BA220000}"/>
    <cellStyle name="Normal 8 2 2 2 6" xfId="9184" xr:uid="{00000000-0005-0000-0000-0000BB220000}"/>
    <cellStyle name="Normal 8 2 2 2 7" xfId="9185" xr:uid="{00000000-0005-0000-0000-0000BC220000}"/>
    <cellStyle name="Normal 8 2 2 3" xfId="1828" xr:uid="{00000000-0005-0000-0000-0000BD220000}"/>
    <cellStyle name="Normal 8 2 2 3 2" xfId="1829" xr:uid="{00000000-0005-0000-0000-0000BE220000}"/>
    <cellStyle name="Normal 8 2 2 3 2 2" xfId="1830" xr:uid="{00000000-0005-0000-0000-0000BF220000}"/>
    <cellStyle name="Normal 8 2 2 3 2 2 2" xfId="9186" xr:uid="{00000000-0005-0000-0000-0000C0220000}"/>
    <cellStyle name="Normal 8 2 2 3 2 2 2 2" xfId="9187" xr:uid="{00000000-0005-0000-0000-0000C1220000}"/>
    <cellStyle name="Normal 8 2 2 3 2 2 3" xfId="9188" xr:uid="{00000000-0005-0000-0000-0000C2220000}"/>
    <cellStyle name="Normal 8 2 2 3 2 2 4" xfId="9189" xr:uid="{00000000-0005-0000-0000-0000C3220000}"/>
    <cellStyle name="Normal 8 2 2 3 2 3" xfId="9190" xr:uid="{00000000-0005-0000-0000-0000C4220000}"/>
    <cellStyle name="Normal 8 2 2 3 2 3 2" xfId="9191" xr:uid="{00000000-0005-0000-0000-0000C5220000}"/>
    <cellStyle name="Normal 8 2 2 3 2 4" xfId="9192" xr:uid="{00000000-0005-0000-0000-0000C6220000}"/>
    <cellStyle name="Normal 8 2 2 3 2 5" xfId="9193" xr:uid="{00000000-0005-0000-0000-0000C7220000}"/>
    <cellStyle name="Normal 8 2 2 3 3" xfId="1831" xr:uid="{00000000-0005-0000-0000-0000C8220000}"/>
    <cellStyle name="Normal 8 2 2 3 3 2" xfId="9194" xr:uid="{00000000-0005-0000-0000-0000C9220000}"/>
    <cellStyle name="Normal 8 2 2 3 3 2 2" xfId="9195" xr:uid="{00000000-0005-0000-0000-0000CA220000}"/>
    <cellStyle name="Normal 8 2 2 3 3 3" xfId="9196" xr:uid="{00000000-0005-0000-0000-0000CB220000}"/>
    <cellStyle name="Normal 8 2 2 3 3 4" xfId="9197" xr:uid="{00000000-0005-0000-0000-0000CC220000}"/>
    <cellStyle name="Normal 8 2 2 3 4" xfId="9198" xr:uid="{00000000-0005-0000-0000-0000CD220000}"/>
    <cellStyle name="Normal 8 2 2 3 4 2" xfId="9199" xr:uid="{00000000-0005-0000-0000-0000CE220000}"/>
    <cellStyle name="Normal 8 2 2 3 5" xfId="9200" xr:uid="{00000000-0005-0000-0000-0000CF220000}"/>
    <cellStyle name="Normal 8 2 2 3 6" xfId="9201" xr:uid="{00000000-0005-0000-0000-0000D0220000}"/>
    <cellStyle name="Normal 8 2 2 4" xfId="1832" xr:uid="{00000000-0005-0000-0000-0000D1220000}"/>
    <cellStyle name="Normal 8 2 2 4 2" xfId="1833" xr:uid="{00000000-0005-0000-0000-0000D2220000}"/>
    <cellStyle name="Normal 8 2 2 4 2 2" xfId="9202" xr:uid="{00000000-0005-0000-0000-0000D3220000}"/>
    <cellStyle name="Normal 8 2 2 4 2 2 2" xfId="9203" xr:uid="{00000000-0005-0000-0000-0000D4220000}"/>
    <cellStyle name="Normal 8 2 2 4 2 3" xfId="9204" xr:uid="{00000000-0005-0000-0000-0000D5220000}"/>
    <cellStyle name="Normal 8 2 2 4 2 4" xfId="9205" xr:uid="{00000000-0005-0000-0000-0000D6220000}"/>
    <cellStyle name="Normal 8 2 2 4 3" xfId="9206" xr:uid="{00000000-0005-0000-0000-0000D7220000}"/>
    <cellStyle name="Normal 8 2 2 4 3 2" xfId="9207" xr:uid="{00000000-0005-0000-0000-0000D8220000}"/>
    <cellStyle name="Normal 8 2 2 4 4" xfId="9208" xr:uid="{00000000-0005-0000-0000-0000D9220000}"/>
    <cellStyle name="Normal 8 2 2 4 5" xfId="9209" xr:uid="{00000000-0005-0000-0000-0000DA220000}"/>
    <cellStyle name="Normal 8 2 2 5" xfId="1834" xr:uid="{00000000-0005-0000-0000-0000DB220000}"/>
    <cellStyle name="Normal 8 2 2 5 2" xfId="9210" xr:uid="{00000000-0005-0000-0000-0000DC220000}"/>
    <cellStyle name="Normal 8 2 2 5 2 2" xfId="9211" xr:uid="{00000000-0005-0000-0000-0000DD220000}"/>
    <cellStyle name="Normal 8 2 2 5 3" xfId="9212" xr:uid="{00000000-0005-0000-0000-0000DE220000}"/>
    <cellStyle name="Normal 8 2 2 5 4" xfId="9213" xr:uid="{00000000-0005-0000-0000-0000DF220000}"/>
    <cellStyle name="Normal 8 2 2 6" xfId="9214" xr:uid="{00000000-0005-0000-0000-0000E0220000}"/>
    <cellStyle name="Normal 8 2 2 6 2" xfId="9215" xr:uid="{00000000-0005-0000-0000-0000E1220000}"/>
    <cellStyle name="Normal 8 2 2 7" xfId="9216" xr:uid="{00000000-0005-0000-0000-0000E2220000}"/>
    <cellStyle name="Normal 8 2 2 8" xfId="9217" xr:uid="{00000000-0005-0000-0000-0000E3220000}"/>
    <cellStyle name="Normal 8 2 3" xfId="1835" xr:uid="{00000000-0005-0000-0000-0000E4220000}"/>
    <cellStyle name="Normal 8 2 3 2" xfId="1836" xr:uid="{00000000-0005-0000-0000-0000E5220000}"/>
    <cellStyle name="Normal 8 2 3 2 2" xfId="1837" xr:uid="{00000000-0005-0000-0000-0000E6220000}"/>
    <cellStyle name="Normal 8 2 3 2 2 2" xfId="1838" xr:uid="{00000000-0005-0000-0000-0000E7220000}"/>
    <cellStyle name="Normal 8 2 3 2 2 2 2" xfId="9218" xr:uid="{00000000-0005-0000-0000-0000E8220000}"/>
    <cellStyle name="Normal 8 2 3 2 2 2 2 2" xfId="9219" xr:uid="{00000000-0005-0000-0000-0000E9220000}"/>
    <cellStyle name="Normal 8 2 3 2 2 2 3" xfId="9220" xr:uid="{00000000-0005-0000-0000-0000EA220000}"/>
    <cellStyle name="Normal 8 2 3 2 2 2 4" xfId="9221" xr:uid="{00000000-0005-0000-0000-0000EB220000}"/>
    <cellStyle name="Normal 8 2 3 2 2 3" xfId="9222" xr:uid="{00000000-0005-0000-0000-0000EC220000}"/>
    <cellStyle name="Normal 8 2 3 2 2 3 2" xfId="9223" xr:uid="{00000000-0005-0000-0000-0000ED220000}"/>
    <cellStyle name="Normal 8 2 3 2 2 4" xfId="9224" xr:uid="{00000000-0005-0000-0000-0000EE220000}"/>
    <cellStyle name="Normal 8 2 3 2 2 5" xfId="9225" xr:uid="{00000000-0005-0000-0000-0000EF220000}"/>
    <cellStyle name="Normal 8 2 3 2 3" xfId="1839" xr:uid="{00000000-0005-0000-0000-0000F0220000}"/>
    <cellStyle name="Normal 8 2 3 2 3 2" xfId="9226" xr:uid="{00000000-0005-0000-0000-0000F1220000}"/>
    <cellStyle name="Normal 8 2 3 2 3 2 2" xfId="9227" xr:uid="{00000000-0005-0000-0000-0000F2220000}"/>
    <cellStyle name="Normal 8 2 3 2 3 3" xfId="9228" xr:uid="{00000000-0005-0000-0000-0000F3220000}"/>
    <cellStyle name="Normal 8 2 3 2 3 4" xfId="9229" xr:uid="{00000000-0005-0000-0000-0000F4220000}"/>
    <cellStyle name="Normal 8 2 3 2 4" xfId="9230" xr:uid="{00000000-0005-0000-0000-0000F5220000}"/>
    <cellStyle name="Normal 8 2 3 2 4 2" xfId="9231" xr:uid="{00000000-0005-0000-0000-0000F6220000}"/>
    <cellStyle name="Normal 8 2 3 2 5" xfId="9232" xr:uid="{00000000-0005-0000-0000-0000F7220000}"/>
    <cellStyle name="Normal 8 2 3 2 6" xfId="9233" xr:uid="{00000000-0005-0000-0000-0000F8220000}"/>
    <cellStyle name="Normal 8 2 3 3" xfId="1840" xr:uid="{00000000-0005-0000-0000-0000F9220000}"/>
    <cellStyle name="Normal 8 2 3 3 2" xfId="1841" xr:uid="{00000000-0005-0000-0000-0000FA220000}"/>
    <cellStyle name="Normal 8 2 3 3 2 2" xfId="9234" xr:uid="{00000000-0005-0000-0000-0000FB220000}"/>
    <cellStyle name="Normal 8 2 3 3 2 2 2" xfId="9235" xr:uid="{00000000-0005-0000-0000-0000FC220000}"/>
    <cellStyle name="Normal 8 2 3 3 2 3" xfId="9236" xr:uid="{00000000-0005-0000-0000-0000FD220000}"/>
    <cellStyle name="Normal 8 2 3 3 2 4" xfId="9237" xr:uid="{00000000-0005-0000-0000-0000FE220000}"/>
    <cellStyle name="Normal 8 2 3 3 3" xfId="9238" xr:uid="{00000000-0005-0000-0000-0000FF220000}"/>
    <cellStyle name="Normal 8 2 3 3 3 2" xfId="9239" xr:uid="{00000000-0005-0000-0000-000000230000}"/>
    <cellStyle name="Normal 8 2 3 3 4" xfId="9240" xr:uid="{00000000-0005-0000-0000-000001230000}"/>
    <cellStyle name="Normal 8 2 3 3 5" xfId="9241" xr:uid="{00000000-0005-0000-0000-000002230000}"/>
    <cellStyle name="Normal 8 2 3 4" xfId="1842" xr:uid="{00000000-0005-0000-0000-000003230000}"/>
    <cellStyle name="Normal 8 2 3 4 2" xfId="9242" xr:uid="{00000000-0005-0000-0000-000004230000}"/>
    <cellStyle name="Normal 8 2 3 4 2 2" xfId="9243" xr:uid="{00000000-0005-0000-0000-000005230000}"/>
    <cellStyle name="Normal 8 2 3 4 3" xfId="9244" xr:uid="{00000000-0005-0000-0000-000006230000}"/>
    <cellStyle name="Normal 8 2 3 4 4" xfId="9245" xr:uid="{00000000-0005-0000-0000-000007230000}"/>
    <cellStyle name="Normal 8 2 3 5" xfId="9246" xr:uid="{00000000-0005-0000-0000-000008230000}"/>
    <cellStyle name="Normal 8 2 3 5 2" xfId="9247" xr:uid="{00000000-0005-0000-0000-000009230000}"/>
    <cellStyle name="Normal 8 2 3 6" xfId="9248" xr:uid="{00000000-0005-0000-0000-00000A230000}"/>
    <cellStyle name="Normal 8 2 3 7" xfId="9249" xr:uid="{00000000-0005-0000-0000-00000B230000}"/>
    <cellStyle name="Normal 8 2 4" xfId="1843" xr:uid="{00000000-0005-0000-0000-00000C230000}"/>
    <cellStyle name="Normal 8 2 4 2" xfId="1844" xr:uid="{00000000-0005-0000-0000-00000D230000}"/>
    <cellStyle name="Normal 8 2 4 2 2" xfId="1845" xr:uid="{00000000-0005-0000-0000-00000E230000}"/>
    <cellStyle name="Normal 8 2 4 2 2 2" xfId="9250" xr:uid="{00000000-0005-0000-0000-00000F230000}"/>
    <cellStyle name="Normal 8 2 4 2 2 2 2" xfId="9251" xr:uid="{00000000-0005-0000-0000-000010230000}"/>
    <cellStyle name="Normal 8 2 4 2 2 3" xfId="9252" xr:uid="{00000000-0005-0000-0000-000011230000}"/>
    <cellStyle name="Normal 8 2 4 2 2 4" xfId="9253" xr:uid="{00000000-0005-0000-0000-000012230000}"/>
    <cellStyle name="Normal 8 2 4 2 3" xfId="9254" xr:uid="{00000000-0005-0000-0000-000013230000}"/>
    <cellStyle name="Normal 8 2 4 2 3 2" xfId="9255" xr:uid="{00000000-0005-0000-0000-000014230000}"/>
    <cellStyle name="Normal 8 2 4 2 4" xfId="9256" xr:uid="{00000000-0005-0000-0000-000015230000}"/>
    <cellStyle name="Normal 8 2 4 2 5" xfId="9257" xr:uid="{00000000-0005-0000-0000-000016230000}"/>
    <cellStyle name="Normal 8 2 4 3" xfId="1846" xr:uid="{00000000-0005-0000-0000-000017230000}"/>
    <cellStyle name="Normal 8 2 4 3 2" xfId="9258" xr:uid="{00000000-0005-0000-0000-000018230000}"/>
    <cellStyle name="Normal 8 2 4 3 2 2" xfId="9259" xr:uid="{00000000-0005-0000-0000-000019230000}"/>
    <cellStyle name="Normal 8 2 4 3 3" xfId="9260" xr:uid="{00000000-0005-0000-0000-00001A230000}"/>
    <cellStyle name="Normal 8 2 4 3 4" xfId="9261" xr:uid="{00000000-0005-0000-0000-00001B230000}"/>
    <cellStyle name="Normal 8 2 4 4" xfId="9262" xr:uid="{00000000-0005-0000-0000-00001C230000}"/>
    <cellStyle name="Normal 8 2 4 4 2" xfId="9263" xr:uid="{00000000-0005-0000-0000-00001D230000}"/>
    <cellStyle name="Normal 8 2 4 5" xfId="9264" xr:uid="{00000000-0005-0000-0000-00001E230000}"/>
    <cellStyle name="Normal 8 2 4 6" xfId="9265" xr:uid="{00000000-0005-0000-0000-00001F230000}"/>
    <cellStyle name="Normal 8 2 5" xfId="1847" xr:uid="{00000000-0005-0000-0000-000020230000}"/>
    <cellStyle name="Normal 8 2 5 2" xfId="1848" xr:uid="{00000000-0005-0000-0000-000021230000}"/>
    <cellStyle name="Normal 8 2 5 2 2" xfId="9266" xr:uid="{00000000-0005-0000-0000-000022230000}"/>
    <cellStyle name="Normal 8 2 5 2 2 2" xfId="9267" xr:uid="{00000000-0005-0000-0000-000023230000}"/>
    <cellStyle name="Normal 8 2 5 2 3" xfId="9268" xr:uid="{00000000-0005-0000-0000-000024230000}"/>
    <cellStyle name="Normal 8 2 5 2 4" xfId="9269" xr:uid="{00000000-0005-0000-0000-000025230000}"/>
    <cellStyle name="Normal 8 2 5 3" xfId="9270" xr:uid="{00000000-0005-0000-0000-000026230000}"/>
    <cellStyle name="Normal 8 2 5 3 2" xfId="9271" xr:uid="{00000000-0005-0000-0000-000027230000}"/>
    <cellStyle name="Normal 8 2 5 4" xfId="9272" xr:uid="{00000000-0005-0000-0000-000028230000}"/>
    <cellStyle name="Normal 8 2 5 5" xfId="9273" xr:uid="{00000000-0005-0000-0000-000029230000}"/>
    <cellStyle name="Normal 8 2 6" xfId="1849" xr:uid="{00000000-0005-0000-0000-00002A230000}"/>
    <cellStyle name="Normal 8 2 6 2" xfId="9274" xr:uid="{00000000-0005-0000-0000-00002B230000}"/>
    <cellStyle name="Normal 8 2 6 2 2" xfId="9275" xr:uid="{00000000-0005-0000-0000-00002C230000}"/>
    <cellStyle name="Normal 8 2 6 3" xfId="9276" xr:uid="{00000000-0005-0000-0000-00002D230000}"/>
    <cellStyle name="Normal 8 2 6 4" xfId="9277" xr:uid="{00000000-0005-0000-0000-00002E230000}"/>
    <cellStyle name="Normal 8 2 7" xfId="9278" xr:uid="{00000000-0005-0000-0000-00002F230000}"/>
    <cellStyle name="Normal 8 2 7 2" xfId="9279" xr:uid="{00000000-0005-0000-0000-000030230000}"/>
    <cellStyle name="Normal 8 2 8" xfId="9280" xr:uid="{00000000-0005-0000-0000-000031230000}"/>
    <cellStyle name="Normal 8 2 9" xfId="9281" xr:uid="{00000000-0005-0000-0000-000032230000}"/>
    <cellStyle name="Normal 8 3" xfId="1850" xr:uid="{00000000-0005-0000-0000-000033230000}"/>
    <cellStyle name="Normal 8 3 2" xfId="1851" xr:uid="{00000000-0005-0000-0000-000034230000}"/>
    <cellStyle name="Normal 8 3 2 2" xfId="1852" xr:uid="{00000000-0005-0000-0000-000035230000}"/>
    <cellStyle name="Normal 8 3 2 2 2" xfId="1853" xr:uid="{00000000-0005-0000-0000-000036230000}"/>
    <cellStyle name="Normal 8 3 2 2 2 2" xfId="1854" xr:uid="{00000000-0005-0000-0000-000037230000}"/>
    <cellStyle name="Normal 8 3 2 2 2 2 2" xfId="1855" xr:uid="{00000000-0005-0000-0000-000038230000}"/>
    <cellStyle name="Normal 8 3 2 2 2 2 2 2" xfId="9282" xr:uid="{00000000-0005-0000-0000-000039230000}"/>
    <cellStyle name="Normal 8 3 2 2 2 2 2 2 2" xfId="9283" xr:uid="{00000000-0005-0000-0000-00003A230000}"/>
    <cellStyle name="Normal 8 3 2 2 2 2 2 3" xfId="9284" xr:uid="{00000000-0005-0000-0000-00003B230000}"/>
    <cellStyle name="Normal 8 3 2 2 2 2 2 4" xfId="9285" xr:uid="{00000000-0005-0000-0000-00003C230000}"/>
    <cellStyle name="Normal 8 3 2 2 2 2 3" xfId="9286" xr:uid="{00000000-0005-0000-0000-00003D230000}"/>
    <cellStyle name="Normal 8 3 2 2 2 2 3 2" xfId="9287" xr:uid="{00000000-0005-0000-0000-00003E230000}"/>
    <cellStyle name="Normal 8 3 2 2 2 2 4" xfId="9288" xr:uid="{00000000-0005-0000-0000-00003F230000}"/>
    <cellStyle name="Normal 8 3 2 2 2 2 5" xfId="9289" xr:uid="{00000000-0005-0000-0000-000040230000}"/>
    <cellStyle name="Normal 8 3 2 2 2 3" xfId="1856" xr:uid="{00000000-0005-0000-0000-000041230000}"/>
    <cellStyle name="Normal 8 3 2 2 2 3 2" xfId="9290" xr:uid="{00000000-0005-0000-0000-000042230000}"/>
    <cellStyle name="Normal 8 3 2 2 2 3 2 2" xfId="9291" xr:uid="{00000000-0005-0000-0000-000043230000}"/>
    <cellStyle name="Normal 8 3 2 2 2 3 3" xfId="9292" xr:uid="{00000000-0005-0000-0000-000044230000}"/>
    <cellStyle name="Normal 8 3 2 2 2 3 4" xfId="9293" xr:uid="{00000000-0005-0000-0000-000045230000}"/>
    <cellStyle name="Normal 8 3 2 2 2 4" xfId="9294" xr:uid="{00000000-0005-0000-0000-000046230000}"/>
    <cellStyle name="Normal 8 3 2 2 2 4 2" xfId="9295" xr:uid="{00000000-0005-0000-0000-000047230000}"/>
    <cellStyle name="Normal 8 3 2 2 2 5" xfId="9296" xr:uid="{00000000-0005-0000-0000-000048230000}"/>
    <cellStyle name="Normal 8 3 2 2 2 6" xfId="9297" xr:uid="{00000000-0005-0000-0000-000049230000}"/>
    <cellStyle name="Normal 8 3 2 2 3" xfId="1857" xr:uid="{00000000-0005-0000-0000-00004A230000}"/>
    <cellStyle name="Normal 8 3 2 2 3 2" xfId="1858" xr:uid="{00000000-0005-0000-0000-00004B230000}"/>
    <cellStyle name="Normal 8 3 2 2 3 2 2" xfId="9298" xr:uid="{00000000-0005-0000-0000-00004C230000}"/>
    <cellStyle name="Normal 8 3 2 2 3 2 2 2" xfId="9299" xr:uid="{00000000-0005-0000-0000-00004D230000}"/>
    <cellStyle name="Normal 8 3 2 2 3 2 3" xfId="9300" xr:uid="{00000000-0005-0000-0000-00004E230000}"/>
    <cellStyle name="Normal 8 3 2 2 3 2 4" xfId="9301" xr:uid="{00000000-0005-0000-0000-00004F230000}"/>
    <cellStyle name="Normal 8 3 2 2 3 3" xfId="9302" xr:uid="{00000000-0005-0000-0000-000050230000}"/>
    <cellStyle name="Normal 8 3 2 2 3 3 2" xfId="9303" xr:uid="{00000000-0005-0000-0000-000051230000}"/>
    <cellStyle name="Normal 8 3 2 2 3 4" xfId="9304" xr:uid="{00000000-0005-0000-0000-000052230000}"/>
    <cellStyle name="Normal 8 3 2 2 3 5" xfId="9305" xr:uid="{00000000-0005-0000-0000-000053230000}"/>
    <cellStyle name="Normal 8 3 2 2 4" xfId="1859" xr:uid="{00000000-0005-0000-0000-000054230000}"/>
    <cellStyle name="Normal 8 3 2 2 4 2" xfId="9306" xr:uid="{00000000-0005-0000-0000-000055230000}"/>
    <cellStyle name="Normal 8 3 2 2 4 2 2" xfId="9307" xr:uid="{00000000-0005-0000-0000-000056230000}"/>
    <cellStyle name="Normal 8 3 2 2 4 3" xfId="9308" xr:uid="{00000000-0005-0000-0000-000057230000}"/>
    <cellStyle name="Normal 8 3 2 2 4 4" xfId="9309" xr:uid="{00000000-0005-0000-0000-000058230000}"/>
    <cellStyle name="Normal 8 3 2 2 5" xfId="9310" xr:uid="{00000000-0005-0000-0000-000059230000}"/>
    <cellStyle name="Normal 8 3 2 2 5 2" xfId="9311" xr:uid="{00000000-0005-0000-0000-00005A230000}"/>
    <cellStyle name="Normal 8 3 2 2 6" xfId="9312" xr:uid="{00000000-0005-0000-0000-00005B230000}"/>
    <cellStyle name="Normal 8 3 2 2 7" xfId="9313" xr:uid="{00000000-0005-0000-0000-00005C230000}"/>
    <cellStyle name="Normal 8 3 2 3" xfId="1860" xr:uid="{00000000-0005-0000-0000-00005D230000}"/>
    <cellStyle name="Normal 8 3 2 3 2" xfId="1861" xr:uid="{00000000-0005-0000-0000-00005E230000}"/>
    <cellStyle name="Normal 8 3 2 3 2 2" xfId="1862" xr:uid="{00000000-0005-0000-0000-00005F230000}"/>
    <cellStyle name="Normal 8 3 2 3 2 2 2" xfId="9314" xr:uid="{00000000-0005-0000-0000-000060230000}"/>
    <cellStyle name="Normal 8 3 2 3 2 2 2 2" xfId="9315" xr:uid="{00000000-0005-0000-0000-000061230000}"/>
    <cellStyle name="Normal 8 3 2 3 2 2 3" xfId="9316" xr:uid="{00000000-0005-0000-0000-000062230000}"/>
    <cellStyle name="Normal 8 3 2 3 2 2 4" xfId="9317" xr:uid="{00000000-0005-0000-0000-000063230000}"/>
    <cellStyle name="Normal 8 3 2 3 2 3" xfId="9318" xr:uid="{00000000-0005-0000-0000-000064230000}"/>
    <cellStyle name="Normal 8 3 2 3 2 3 2" xfId="9319" xr:uid="{00000000-0005-0000-0000-000065230000}"/>
    <cellStyle name="Normal 8 3 2 3 2 4" xfId="9320" xr:uid="{00000000-0005-0000-0000-000066230000}"/>
    <cellStyle name="Normal 8 3 2 3 2 5" xfId="9321" xr:uid="{00000000-0005-0000-0000-000067230000}"/>
    <cellStyle name="Normal 8 3 2 3 3" xfId="1863" xr:uid="{00000000-0005-0000-0000-000068230000}"/>
    <cellStyle name="Normal 8 3 2 3 3 2" xfId="9322" xr:uid="{00000000-0005-0000-0000-000069230000}"/>
    <cellStyle name="Normal 8 3 2 3 3 2 2" xfId="9323" xr:uid="{00000000-0005-0000-0000-00006A230000}"/>
    <cellStyle name="Normal 8 3 2 3 3 3" xfId="9324" xr:uid="{00000000-0005-0000-0000-00006B230000}"/>
    <cellStyle name="Normal 8 3 2 3 3 4" xfId="9325" xr:uid="{00000000-0005-0000-0000-00006C230000}"/>
    <cellStyle name="Normal 8 3 2 3 4" xfId="9326" xr:uid="{00000000-0005-0000-0000-00006D230000}"/>
    <cellStyle name="Normal 8 3 2 3 4 2" xfId="9327" xr:uid="{00000000-0005-0000-0000-00006E230000}"/>
    <cellStyle name="Normal 8 3 2 3 5" xfId="9328" xr:uid="{00000000-0005-0000-0000-00006F230000}"/>
    <cellStyle name="Normal 8 3 2 3 6" xfId="9329" xr:uid="{00000000-0005-0000-0000-000070230000}"/>
    <cellStyle name="Normal 8 3 2 4" xfId="1864" xr:uid="{00000000-0005-0000-0000-000071230000}"/>
    <cellStyle name="Normal 8 3 2 4 2" xfId="1865" xr:uid="{00000000-0005-0000-0000-000072230000}"/>
    <cellStyle name="Normal 8 3 2 4 2 2" xfId="9330" xr:uid="{00000000-0005-0000-0000-000073230000}"/>
    <cellStyle name="Normal 8 3 2 4 2 2 2" xfId="9331" xr:uid="{00000000-0005-0000-0000-000074230000}"/>
    <cellStyle name="Normal 8 3 2 4 2 3" xfId="9332" xr:uid="{00000000-0005-0000-0000-000075230000}"/>
    <cellStyle name="Normal 8 3 2 4 2 4" xfId="9333" xr:uid="{00000000-0005-0000-0000-000076230000}"/>
    <cellStyle name="Normal 8 3 2 4 3" xfId="9334" xr:uid="{00000000-0005-0000-0000-000077230000}"/>
    <cellStyle name="Normal 8 3 2 4 3 2" xfId="9335" xr:uid="{00000000-0005-0000-0000-000078230000}"/>
    <cellStyle name="Normal 8 3 2 4 4" xfId="9336" xr:uid="{00000000-0005-0000-0000-000079230000}"/>
    <cellStyle name="Normal 8 3 2 4 5" xfId="9337" xr:uid="{00000000-0005-0000-0000-00007A230000}"/>
    <cellStyle name="Normal 8 3 2 5" xfId="1866" xr:uid="{00000000-0005-0000-0000-00007B230000}"/>
    <cellStyle name="Normal 8 3 2 5 2" xfId="9338" xr:uid="{00000000-0005-0000-0000-00007C230000}"/>
    <cellStyle name="Normal 8 3 2 5 2 2" xfId="9339" xr:uid="{00000000-0005-0000-0000-00007D230000}"/>
    <cellStyle name="Normal 8 3 2 5 3" xfId="9340" xr:uid="{00000000-0005-0000-0000-00007E230000}"/>
    <cellStyle name="Normal 8 3 2 5 4" xfId="9341" xr:uid="{00000000-0005-0000-0000-00007F230000}"/>
    <cellStyle name="Normal 8 3 2 6" xfId="9342" xr:uid="{00000000-0005-0000-0000-000080230000}"/>
    <cellStyle name="Normal 8 3 2 6 2" xfId="9343" xr:uid="{00000000-0005-0000-0000-000081230000}"/>
    <cellStyle name="Normal 8 3 2 7" xfId="9344" xr:uid="{00000000-0005-0000-0000-000082230000}"/>
    <cellStyle name="Normal 8 3 2 8" xfId="9345" xr:uid="{00000000-0005-0000-0000-000083230000}"/>
    <cellStyle name="Normal 8 3 3" xfId="1867" xr:uid="{00000000-0005-0000-0000-000084230000}"/>
    <cellStyle name="Normal 8 3 3 2" xfId="1868" xr:uid="{00000000-0005-0000-0000-000085230000}"/>
    <cellStyle name="Normal 8 3 3 2 2" xfId="1869" xr:uid="{00000000-0005-0000-0000-000086230000}"/>
    <cellStyle name="Normal 8 3 3 2 2 2" xfId="1870" xr:uid="{00000000-0005-0000-0000-000087230000}"/>
    <cellStyle name="Normal 8 3 3 2 2 2 2" xfId="9346" xr:uid="{00000000-0005-0000-0000-000088230000}"/>
    <cellStyle name="Normal 8 3 3 2 2 2 2 2" xfId="9347" xr:uid="{00000000-0005-0000-0000-000089230000}"/>
    <cellStyle name="Normal 8 3 3 2 2 2 3" xfId="9348" xr:uid="{00000000-0005-0000-0000-00008A230000}"/>
    <cellStyle name="Normal 8 3 3 2 2 2 4" xfId="9349" xr:uid="{00000000-0005-0000-0000-00008B230000}"/>
    <cellStyle name="Normal 8 3 3 2 2 3" xfId="9350" xr:uid="{00000000-0005-0000-0000-00008C230000}"/>
    <cellStyle name="Normal 8 3 3 2 2 3 2" xfId="9351" xr:uid="{00000000-0005-0000-0000-00008D230000}"/>
    <cellStyle name="Normal 8 3 3 2 2 4" xfId="9352" xr:uid="{00000000-0005-0000-0000-00008E230000}"/>
    <cellStyle name="Normal 8 3 3 2 2 5" xfId="9353" xr:uid="{00000000-0005-0000-0000-00008F230000}"/>
    <cellStyle name="Normal 8 3 3 2 3" xfId="1871" xr:uid="{00000000-0005-0000-0000-000090230000}"/>
    <cellStyle name="Normal 8 3 3 2 3 2" xfId="9354" xr:uid="{00000000-0005-0000-0000-000091230000}"/>
    <cellStyle name="Normal 8 3 3 2 3 2 2" xfId="9355" xr:uid="{00000000-0005-0000-0000-000092230000}"/>
    <cellStyle name="Normal 8 3 3 2 3 3" xfId="9356" xr:uid="{00000000-0005-0000-0000-000093230000}"/>
    <cellStyle name="Normal 8 3 3 2 3 4" xfId="9357" xr:uid="{00000000-0005-0000-0000-000094230000}"/>
    <cellStyle name="Normal 8 3 3 2 4" xfId="9358" xr:uid="{00000000-0005-0000-0000-000095230000}"/>
    <cellStyle name="Normal 8 3 3 2 4 2" xfId="9359" xr:uid="{00000000-0005-0000-0000-000096230000}"/>
    <cellStyle name="Normal 8 3 3 2 5" xfId="9360" xr:uid="{00000000-0005-0000-0000-000097230000}"/>
    <cellStyle name="Normal 8 3 3 2 6" xfId="9361" xr:uid="{00000000-0005-0000-0000-000098230000}"/>
    <cellStyle name="Normal 8 3 3 3" xfId="1872" xr:uid="{00000000-0005-0000-0000-000099230000}"/>
    <cellStyle name="Normal 8 3 3 3 2" xfId="1873" xr:uid="{00000000-0005-0000-0000-00009A230000}"/>
    <cellStyle name="Normal 8 3 3 3 2 2" xfId="9362" xr:uid="{00000000-0005-0000-0000-00009B230000}"/>
    <cellStyle name="Normal 8 3 3 3 2 2 2" xfId="9363" xr:uid="{00000000-0005-0000-0000-00009C230000}"/>
    <cellStyle name="Normal 8 3 3 3 2 3" xfId="9364" xr:uid="{00000000-0005-0000-0000-00009D230000}"/>
    <cellStyle name="Normal 8 3 3 3 2 4" xfId="9365" xr:uid="{00000000-0005-0000-0000-00009E230000}"/>
    <cellStyle name="Normal 8 3 3 3 3" xfId="9366" xr:uid="{00000000-0005-0000-0000-00009F230000}"/>
    <cellStyle name="Normal 8 3 3 3 3 2" xfId="9367" xr:uid="{00000000-0005-0000-0000-0000A0230000}"/>
    <cellStyle name="Normal 8 3 3 3 4" xfId="9368" xr:uid="{00000000-0005-0000-0000-0000A1230000}"/>
    <cellStyle name="Normal 8 3 3 3 5" xfId="9369" xr:uid="{00000000-0005-0000-0000-0000A2230000}"/>
    <cellStyle name="Normal 8 3 3 4" xfId="1874" xr:uid="{00000000-0005-0000-0000-0000A3230000}"/>
    <cellStyle name="Normal 8 3 3 4 2" xfId="9370" xr:uid="{00000000-0005-0000-0000-0000A4230000}"/>
    <cellStyle name="Normal 8 3 3 4 2 2" xfId="9371" xr:uid="{00000000-0005-0000-0000-0000A5230000}"/>
    <cellStyle name="Normal 8 3 3 4 3" xfId="9372" xr:uid="{00000000-0005-0000-0000-0000A6230000}"/>
    <cellStyle name="Normal 8 3 3 4 4" xfId="9373" xr:uid="{00000000-0005-0000-0000-0000A7230000}"/>
    <cellStyle name="Normal 8 3 3 5" xfId="9374" xr:uid="{00000000-0005-0000-0000-0000A8230000}"/>
    <cellStyle name="Normal 8 3 3 5 2" xfId="9375" xr:uid="{00000000-0005-0000-0000-0000A9230000}"/>
    <cellStyle name="Normal 8 3 3 6" xfId="9376" xr:uid="{00000000-0005-0000-0000-0000AA230000}"/>
    <cellStyle name="Normal 8 3 3 7" xfId="9377" xr:uid="{00000000-0005-0000-0000-0000AB230000}"/>
    <cellStyle name="Normal 8 3 4" xfId="1875" xr:uid="{00000000-0005-0000-0000-0000AC230000}"/>
    <cellStyle name="Normal 8 3 4 2" xfId="1876" xr:uid="{00000000-0005-0000-0000-0000AD230000}"/>
    <cellStyle name="Normal 8 3 4 2 2" xfId="1877" xr:uid="{00000000-0005-0000-0000-0000AE230000}"/>
    <cellStyle name="Normal 8 3 4 2 2 2" xfId="9378" xr:uid="{00000000-0005-0000-0000-0000AF230000}"/>
    <cellStyle name="Normal 8 3 4 2 2 2 2" xfId="9379" xr:uid="{00000000-0005-0000-0000-0000B0230000}"/>
    <cellStyle name="Normal 8 3 4 2 2 3" xfId="9380" xr:uid="{00000000-0005-0000-0000-0000B1230000}"/>
    <cellStyle name="Normal 8 3 4 2 2 4" xfId="9381" xr:uid="{00000000-0005-0000-0000-0000B2230000}"/>
    <cellStyle name="Normal 8 3 4 2 3" xfId="9382" xr:uid="{00000000-0005-0000-0000-0000B3230000}"/>
    <cellStyle name="Normal 8 3 4 2 3 2" xfId="9383" xr:uid="{00000000-0005-0000-0000-0000B4230000}"/>
    <cellStyle name="Normal 8 3 4 2 4" xfId="9384" xr:uid="{00000000-0005-0000-0000-0000B5230000}"/>
    <cellStyle name="Normal 8 3 4 2 5" xfId="9385" xr:uid="{00000000-0005-0000-0000-0000B6230000}"/>
    <cellStyle name="Normal 8 3 4 3" xfId="1878" xr:uid="{00000000-0005-0000-0000-0000B7230000}"/>
    <cellStyle name="Normal 8 3 4 3 2" xfId="9386" xr:uid="{00000000-0005-0000-0000-0000B8230000}"/>
    <cellStyle name="Normal 8 3 4 3 2 2" xfId="9387" xr:uid="{00000000-0005-0000-0000-0000B9230000}"/>
    <cellStyle name="Normal 8 3 4 3 3" xfId="9388" xr:uid="{00000000-0005-0000-0000-0000BA230000}"/>
    <cellStyle name="Normal 8 3 4 3 4" xfId="9389" xr:uid="{00000000-0005-0000-0000-0000BB230000}"/>
    <cellStyle name="Normal 8 3 4 4" xfId="9390" xr:uid="{00000000-0005-0000-0000-0000BC230000}"/>
    <cellStyle name="Normal 8 3 4 4 2" xfId="9391" xr:uid="{00000000-0005-0000-0000-0000BD230000}"/>
    <cellStyle name="Normal 8 3 4 5" xfId="9392" xr:uid="{00000000-0005-0000-0000-0000BE230000}"/>
    <cellStyle name="Normal 8 3 4 6" xfId="9393" xr:uid="{00000000-0005-0000-0000-0000BF230000}"/>
    <cellStyle name="Normal 8 3 5" xfId="1879" xr:uid="{00000000-0005-0000-0000-0000C0230000}"/>
    <cellStyle name="Normal 8 3 5 2" xfId="1880" xr:uid="{00000000-0005-0000-0000-0000C1230000}"/>
    <cellStyle name="Normal 8 3 5 2 2" xfId="9394" xr:uid="{00000000-0005-0000-0000-0000C2230000}"/>
    <cellStyle name="Normal 8 3 5 2 2 2" xfId="9395" xr:uid="{00000000-0005-0000-0000-0000C3230000}"/>
    <cellStyle name="Normal 8 3 5 2 3" xfId="9396" xr:uid="{00000000-0005-0000-0000-0000C4230000}"/>
    <cellStyle name="Normal 8 3 5 2 4" xfId="9397" xr:uid="{00000000-0005-0000-0000-0000C5230000}"/>
    <cellStyle name="Normal 8 3 5 3" xfId="9398" xr:uid="{00000000-0005-0000-0000-0000C6230000}"/>
    <cellStyle name="Normal 8 3 5 3 2" xfId="9399" xr:uid="{00000000-0005-0000-0000-0000C7230000}"/>
    <cellStyle name="Normal 8 3 5 4" xfId="9400" xr:uid="{00000000-0005-0000-0000-0000C8230000}"/>
    <cellStyle name="Normal 8 3 5 5" xfId="9401" xr:uid="{00000000-0005-0000-0000-0000C9230000}"/>
    <cellStyle name="Normal 8 3 6" xfId="1881" xr:uid="{00000000-0005-0000-0000-0000CA230000}"/>
    <cellStyle name="Normal 8 3 6 2" xfId="9402" xr:uid="{00000000-0005-0000-0000-0000CB230000}"/>
    <cellStyle name="Normal 8 3 6 2 2" xfId="9403" xr:uid="{00000000-0005-0000-0000-0000CC230000}"/>
    <cellStyle name="Normal 8 3 6 3" xfId="9404" xr:uid="{00000000-0005-0000-0000-0000CD230000}"/>
    <cellStyle name="Normal 8 3 6 4" xfId="9405" xr:uid="{00000000-0005-0000-0000-0000CE230000}"/>
    <cellStyle name="Normal 8 3 7" xfId="9406" xr:uid="{00000000-0005-0000-0000-0000CF230000}"/>
    <cellStyle name="Normal 8 3 7 2" xfId="9407" xr:uid="{00000000-0005-0000-0000-0000D0230000}"/>
    <cellStyle name="Normal 8 3 8" xfId="9408" xr:uid="{00000000-0005-0000-0000-0000D1230000}"/>
    <cellStyle name="Normal 8 3 9" xfId="9409" xr:uid="{00000000-0005-0000-0000-0000D2230000}"/>
    <cellStyle name="Normal 8 4" xfId="1882" xr:uid="{00000000-0005-0000-0000-0000D3230000}"/>
    <cellStyle name="Normal 8 4 2" xfId="1883" xr:uid="{00000000-0005-0000-0000-0000D4230000}"/>
    <cellStyle name="Normal 8 4 2 2" xfId="1884" xr:uid="{00000000-0005-0000-0000-0000D5230000}"/>
    <cellStyle name="Normal 8 4 2 2 2" xfId="1885" xr:uid="{00000000-0005-0000-0000-0000D6230000}"/>
    <cellStyle name="Normal 8 4 2 2 2 2" xfId="1886" xr:uid="{00000000-0005-0000-0000-0000D7230000}"/>
    <cellStyle name="Normal 8 4 2 2 2 2 2" xfId="9410" xr:uid="{00000000-0005-0000-0000-0000D8230000}"/>
    <cellStyle name="Normal 8 4 2 2 2 2 2 2" xfId="9411" xr:uid="{00000000-0005-0000-0000-0000D9230000}"/>
    <cellStyle name="Normal 8 4 2 2 2 2 3" xfId="9412" xr:uid="{00000000-0005-0000-0000-0000DA230000}"/>
    <cellStyle name="Normal 8 4 2 2 2 2 4" xfId="9413" xr:uid="{00000000-0005-0000-0000-0000DB230000}"/>
    <cellStyle name="Normal 8 4 2 2 2 3" xfId="9414" xr:uid="{00000000-0005-0000-0000-0000DC230000}"/>
    <cellStyle name="Normal 8 4 2 2 2 3 2" xfId="9415" xr:uid="{00000000-0005-0000-0000-0000DD230000}"/>
    <cellStyle name="Normal 8 4 2 2 2 4" xfId="9416" xr:uid="{00000000-0005-0000-0000-0000DE230000}"/>
    <cellStyle name="Normal 8 4 2 2 2 5" xfId="9417" xr:uid="{00000000-0005-0000-0000-0000DF230000}"/>
    <cellStyle name="Normal 8 4 2 2 3" xfId="1887" xr:uid="{00000000-0005-0000-0000-0000E0230000}"/>
    <cellStyle name="Normal 8 4 2 2 3 2" xfId="9418" xr:uid="{00000000-0005-0000-0000-0000E1230000}"/>
    <cellStyle name="Normal 8 4 2 2 3 2 2" xfId="9419" xr:uid="{00000000-0005-0000-0000-0000E2230000}"/>
    <cellStyle name="Normal 8 4 2 2 3 3" xfId="9420" xr:uid="{00000000-0005-0000-0000-0000E3230000}"/>
    <cellStyle name="Normal 8 4 2 2 3 4" xfId="9421" xr:uid="{00000000-0005-0000-0000-0000E4230000}"/>
    <cellStyle name="Normal 8 4 2 2 4" xfId="9422" xr:uid="{00000000-0005-0000-0000-0000E5230000}"/>
    <cellStyle name="Normal 8 4 2 2 4 2" xfId="9423" xr:uid="{00000000-0005-0000-0000-0000E6230000}"/>
    <cellStyle name="Normal 8 4 2 2 5" xfId="9424" xr:uid="{00000000-0005-0000-0000-0000E7230000}"/>
    <cellStyle name="Normal 8 4 2 2 6" xfId="9425" xr:uid="{00000000-0005-0000-0000-0000E8230000}"/>
    <cellStyle name="Normal 8 4 2 3" xfId="1888" xr:uid="{00000000-0005-0000-0000-0000E9230000}"/>
    <cellStyle name="Normal 8 4 2 3 2" xfId="1889" xr:uid="{00000000-0005-0000-0000-0000EA230000}"/>
    <cellStyle name="Normal 8 4 2 3 2 2" xfId="9426" xr:uid="{00000000-0005-0000-0000-0000EB230000}"/>
    <cellStyle name="Normal 8 4 2 3 2 2 2" xfId="9427" xr:uid="{00000000-0005-0000-0000-0000EC230000}"/>
    <cellStyle name="Normal 8 4 2 3 2 3" xfId="9428" xr:uid="{00000000-0005-0000-0000-0000ED230000}"/>
    <cellStyle name="Normal 8 4 2 3 2 4" xfId="9429" xr:uid="{00000000-0005-0000-0000-0000EE230000}"/>
    <cellStyle name="Normal 8 4 2 3 3" xfId="9430" xr:uid="{00000000-0005-0000-0000-0000EF230000}"/>
    <cellStyle name="Normal 8 4 2 3 3 2" xfId="9431" xr:uid="{00000000-0005-0000-0000-0000F0230000}"/>
    <cellStyle name="Normal 8 4 2 3 4" xfId="9432" xr:uid="{00000000-0005-0000-0000-0000F1230000}"/>
    <cellStyle name="Normal 8 4 2 3 5" xfId="9433" xr:uid="{00000000-0005-0000-0000-0000F2230000}"/>
    <cellStyle name="Normal 8 4 2 4" xfId="1890" xr:uid="{00000000-0005-0000-0000-0000F3230000}"/>
    <cellStyle name="Normal 8 4 2 4 2" xfId="9434" xr:uid="{00000000-0005-0000-0000-0000F4230000}"/>
    <cellStyle name="Normal 8 4 2 4 2 2" xfId="9435" xr:uid="{00000000-0005-0000-0000-0000F5230000}"/>
    <cellStyle name="Normal 8 4 2 4 3" xfId="9436" xr:uid="{00000000-0005-0000-0000-0000F6230000}"/>
    <cellStyle name="Normal 8 4 2 4 4" xfId="9437" xr:uid="{00000000-0005-0000-0000-0000F7230000}"/>
    <cellStyle name="Normal 8 4 2 5" xfId="9438" xr:uid="{00000000-0005-0000-0000-0000F8230000}"/>
    <cellStyle name="Normal 8 4 2 5 2" xfId="9439" xr:uid="{00000000-0005-0000-0000-0000F9230000}"/>
    <cellStyle name="Normal 8 4 2 6" xfId="9440" xr:uid="{00000000-0005-0000-0000-0000FA230000}"/>
    <cellStyle name="Normal 8 4 2 7" xfId="9441" xr:uid="{00000000-0005-0000-0000-0000FB230000}"/>
    <cellStyle name="Normal 8 4 3" xfId="1891" xr:uid="{00000000-0005-0000-0000-0000FC230000}"/>
    <cellStyle name="Normal 8 4 3 2" xfId="1892" xr:uid="{00000000-0005-0000-0000-0000FD230000}"/>
    <cellStyle name="Normal 8 4 3 2 2" xfId="1893" xr:uid="{00000000-0005-0000-0000-0000FE230000}"/>
    <cellStyle name="Normal 8 4 3 2 2 2" xfId="9442" xr:uid="{00000000-0005-0000-0000-0000FF230000}"/>
    <cellStyle name="Normal 8 4 3 2 2 2 2" xfId="9443" xr:uid="{00000000-0005-0000-0000-000000240000}"/>
    <cellStyle name="Normal 8 4 3 2 2 3" xfId="9444" xr:uid="{00000000-0005-0000-0000-000001240000}"/>
    <cellStyle name="Normal 8 4 3 2 2 4" xfId="9445" xr:uid="{00000000-0005-0000-0000-000002240000}"/>
    <cellStyle name="Normal 8 4 3 2 3" xfId="9446" xr:uid="{00000000-0005-0000-0000-000003240000}"/>
    <cellStyle name="Normal 8 4 3 2 3 2" xfId="9447" xr:uid="{00000000-0005-0000-0000-000004240000}"/>
    <cellStyle name="Normal 8 4 3 2 4" xfId="9448" xr:uid="{00000000-0005-0000-0000-000005240000}"/>
    <cellStyle name="Normal 8 4 3 2 5" xfId="9449" xr:uid="{00000000-0005-0000-0000-000006240000}"/>
    <cellStyle name="Normal 8 4 3 3" xfId="1894" xr:uid="{00000000-0005-0000-0000-000007240000}"/>
    <cellStyle name="Normal 8 4 3 3 2" xfId="9450" xr:uid="{00000000-0005-0000-0000-000008240000}"/>
    <cellStyle name="Normal 8 4 3 3 2 2" xfId="9451" xr:uid="{00000000-0005-0000-0000-000009240000}"/>
    <cellStyle name="Normal 8 4 3 3 3" xfId="9452" xr:uid="{00000000-0005-0000-0000-00000A240000}"/>
    <cellStyle name="Normal 8 4 3 3 4" xfId="9453" xr:uid="{00000000-0005-0000-0000-00000B240000}"/>
    <cellStyle name="Normal 8 4 3 4" xfId="9454" xr:uid="{00000000-0005-0000-0000-00000C240000}"/>
    <cellStyle name="Normal 8 4 3 4 2" xfId="9455" xr:uid="{00000000-0005-0000-0000-00000D240000}"/>
    <cellStyle name="Normal 8 4 3 5" xfId="9456" xr:uid="{00000000-0005-0000-0000-00000E240000}"/>
    <cellStyle name="Normal 8 4 3 6" xfId="9457" xr:uid="{00000000-0005-0000-0000-00000F240000}"/>
    <cellStyle name="Normal 8 4 4" xfId="1895" xr:uid="{00000000-0005-0000-0000-000010240000}"/>
    <cellStyle name="Normal 8 4 4 2" xfId="1896" xr:uid="{00000000-0005-0000-0000-000011240000}"/>
    <cellStyle name="Normal 8 4 4 2 2" xfId="9458" xr:uid="{00000000-0005-0000-0000-000012240000}"/>
    <cellStyle name="Normal 8 4 4 2 2 2" xfId="9459" xr:uid="{00000000-0005-0000-0000-000013240000}"/>
    <cellStyle name="Normal 8 4 4 2 3" xfId="9460" xr:uid="{00000000-0005-0000-0000-000014240000}"/>
    <cellStyle name="Normal 8 4 4 2 4" xfId="9461" xr:uid="{00000000-0005-0000-0000-000015240000}"/>
    <cellStyle name="Normal 8 4 4 3" xfId="9462" xr:uid="{00000000-0005-0000-0000-000016240000}"/>
    <cellStyle name="Normal 8 4 4 3 2" xfId="9463" xr:uid="{00000000-0005-0000-0000-000017240000}"/>
    <cellStyle name="Normal 8 4 4 4" xfId="9464" xr:uid="{00000000-0005-0000-0000-000018240000}"/>
    <cellStyle name="Normal 8 4 4 5" xfId="9465" xr:uid="{00000000-0005-0000-0000-000019240000}"/>
    <cellStyle name="Normal 8 4 5" xfId="1897" xr:uid="{00000000-0005-0000-0000-00001A240000}"/>
    <cellStyle name="Normal 8 4 5 2" xfId="9466" xr:uid="{00000000-0005-0000-0000-00001B240000}"/>
    <cellStyle name="Normal 8 4 5 2 2" xfId="9467" xr:uid="{00000000-0005-0000-0000-00001C240000}"/>
    <cellStyle name="Normal 8 4 5 3" xfId="9468" xr:uid="{00000000-0005-0000-0000-00001D240000}"/>
    <cellStyle name="Normal 8 4 5 4" xfId="9469" xr:uid="{00000000-0005-0000-0000-00001E240000}"/>
    <cellStyle name="Normal 8 4 6" xfId="9470" xr:uid="{00000000-0005-0000-0000-00001F240000}"/>
    <cellStyle name="Normal 8 4 6 2" xfId="9471" xr:uid="{00000000-0005-0000-0000-000020240000}"/>
    <cellStyle name="Normal 8 4 7" xfId="9472" xr:uid="{00000000-0005-0000-0000-000021240000}"/>
    <cellStyle name="Normal 8 4 8" xfId="9473" xr:uid="{00000000-0005-0000-0000-000022240000}"/>
    <cellStyle name="Normal 8 5" xfId="1898" xr:uid="{00000000-0005-0000-0000-000023240000}"/>
    <cellStyle name="Normal 8 5 2" xfId="1899" xr:uid="{00000000-0005-0000-0000-000024240000}"/>
    <cellStyle name="Normal 8 5 2 2" xfId="1900" xr:uid="{00000000-0005-0000-0000-000025240000}"/>
    <cellStyle name="Normal 8 5 2 2 2" xfId="1901" xr:uid="{00000000-0005-0000-0000-000026240000}"/>
    <cellStyle name="Normal 8 5 2 2 2 2" xfId="9474" xr:uid="{00000000-0005-0000-0000-000027240000}"/>
    <cellStyle name="Normal 8 5 2 2 2 2 2" xfId="9475" xr:uid="{00000000-0005-0000-0000-000028240000}"/>
    <cellStyle name="Normal 8 5 2 2 2 3" xfId="9476" xr:uid="{00000000-0005-0000-0000-000029240000}"/>
    <cellStyle name="Normal 8 5 2 2 2 4" xfId="9477" xr:uid="{00000000-0005-0000-0000-00002A240000}"/>
    <cellStyle name="Normal 8 5 2 2 3" xfId="9478" xr:uid="{00000000-0005-0000-0000-00002B240000}"/>
    <cellStyle name="Normal 8 5 2 2 3 2" xfId="9479" xr:uid="{00000000-0005-0000-0000-00002C240000}"/>
    <cellStyle name="Normal 8 5 2 2 4" xfId="9480" xr:uid="{00000000-0005-0000-0000-00002D240000}"/>
    <cellStyle name="Normal 8 5 2 2 5" xfId="9481" xr:uid="{00000000-0005-0000-0000-00002E240000}"/>
    <cellStyle name="Normal 8 5 2 3" xfId="1902" xr:uid="{00000000-0005-0000-0000-00002F240000}"/>
    <cellStyle name="Normal 8 5 2 3 2" xfId="9482" xr:uid="{00000000-0005-0000-0000-000030240000}"/>
    <cellStyle name="Normal 8 5 2 3 2 2" xfId="9483" xr:uid="{00000000-0005-0000-0000-000031240000}"/>
    <cellStyle name="Normal 8 5 2 3 3" xfId="9484" xr:uid="{00000000-0005-0000-0000-000032240000}"/>
    <cellStyle name="Normal 8 5 2 3 4" xfId="9485" xr:uid="{00000000-0005-0000-0000-000033240000}"/>
    <cellStyle name="Normal 8 5 2 4" xfId="9486" xr:uid="{00000000-0005-0000-0000-000034240000}"/>
    <cellStyle name="Normal 8 5 2 4 2" xfId="9487" xr:uid="{00000000-0005-0000-0000-000035240000}"/>
    <cellStyle name="Normal 8 5 2 5" xfId="9488" xr:uid="{00000000-0005-0000-0000-000036240000}"/>
    <cellStyle name="Normal 8 5 2 6" xfId="9489" xr:uid="{00000000-0005-0000-0000-000037240000}"/>
    <cellStyle name="Normal 8 5 3" xfId="1903" xr:uid="{00000000-0005-0000-0000-000038240000}"/>
    <cellStyle name="Normal 8 5 3 2" xfId="1904" xr:uid="{00000000-0005-0000-0000-000039240000}"/>
    <cellStyle name="Normal 8 5 3 2 2" xfId="9490" xr:uid="{00000000-0005-0000-0000-00003A240000}"/>
    <cellStyle name="Normal 8 5 3 2 2 2" xfId="9491" xr:uid="{00000000-0005-0000-0000-00003B240000}"/>
    <cellStyle name="Normal 8 5 3 2 3" xfId="9492" xr:uid="{00000000-0005-0000-0000-00003C240000}"/>
    <cellStyle name="Normal 8 5 3 2 4" xfId="9493" xr:uid="{00000000-0005-0000-0000-00003D240000}"/>
    <cellStyle name="Normal 8 5 3 3" xfId="9494" xr:uid="{00000000-0005-0000-0000-00003E240000}"/>
    <cellStyle name="Normal 8 5 3 3 2" xfId="9495" xr:uid="{00000000-0005-0000-0000-00003F240000}"/>
    <cellStyle name="Normal 8 5 3 4" xfId="9496" xr:uid="{00000000-0005-0000-0000-000040240000}"/>
    <cellStyle name="Normal 8 5 3 5" xfId="9497" xr:uid="{00000000-0005-0000-0000-000041240000}"/>
    <cellStyle name="Normal 8 5 4" xfId="1905" xr:uid="{00000000-0005-0000-0000-000042240000}"/>
    <cellStyle name="Normal 8 5 4 2" xfId="9498" xr:uid="{00000000-0005-0000-0000-000043240000}"/>
    <cellStyle name="Normal 8 5 4 2 2" xfId="9499" xr:uid="{00000000-0005-0000-0000-000044240000}"/>
    <cellStyle name="Normal 8 5 4 3" xfId="9500" xr:uid="{00000000-0005-0000-0000-000045240000}"/>
    <cellStyle name="Normal 8 5 4 4" xfId="9501" xr:uid="{00000000-0005-0000-0000-000046240000}"/>
    <cellStyle name="Normal 8 5 5" xfId="9502" xr:uid="{00000000-0005-0000-0000-000047240000}"/>
    <cellStyle name="Normal 8 5 5 2" xfId="9503" xr:uid="{00000000-0005-0000-0000-000048240000}"/>
    <cellStyle name="Normal 8 5 6" xfId="9504" xr:uid="{00000000-0005-0000-0000-000049240000}"/>
    <cellStyle name="Normal 8 5 7" xfId="9505" xr:uid="{00000000-0005-0000-0000-00004A240000}"/>
    <cellStyle name="Normal 8 6" xfId="1906" xr:uid="{00000000-0005-0000-0000-00004B240000}"/>
    <cellStyle name="Normal 8 6 2" xfId="1907" xr:uid="{00000000-0005-0000-0000-00004C240000}"/>
    <cellStyle name="Normal 8 6 2 2" xfId="1908" xr:uid="{00000000-0005-0000-0000-00004D240000}"/>
    <cellStyle name="Normal 8 6 2 2 2" xfId="9506" xr:uid="{00000000-0005-0000-0000-00004E240000}"/>
    <cellStyle name="Normal 8 6 2 2 2 2" xfId="9507" xr:uid="{00000000-0005-0000-0000-00004F240000}"/>
    <cellStyle name="Normal 8 6 2 2 3" xfId="9508" xr:uid="{00000000-0005-0000-0000-000050240000}"/>
    <cellStyle name="Normal 8 6 2 2 4" xfId="9509" xr:uid="{00000000-0005-0000-0000-000051240000}"/>
    <cellStyle name="Normal 8 6 2 3" xfId="9510" xr:uid="{00000000-0005-0000-0000-000052240000}"/>
    <cellStyle name="Normal 8 6 2 3 2" xfId="9511" xr:uid="{00000000-0005-0000-0000-000053240000}"/>
    <cellStyle name="Normal 8 6 2 4" xfId="9512" xr:uid="{00000000-0005-0000-0000-000054240000}"/>
    <cellStyle name="Normal 8 6 2 5" xfId="9513" xr:uid="{00000000-0005-0000-0000-000055240000}"/>
    <cellStyle name="Normal 8 6 3" xfId="1909" xr:uid="{00000000-0005-0000-0000-000056240000}"/>
    <cellStyle name="Normal 8 6 3 2" xfId="9514" xr:uid="{00000000-0005-0000-0000-000057240000}"/>
    <cellStyle name="Normal 8 6 3 2 2" xfId="9515" xr:uid="{00000000-0005-0000-0000-000058240000}"/>
    <cellStyle name="Normal 8 6 3 3" xfId="9516" xr:uid="{00000000-0005-0000-0000-000059240000}"/>
    <cellStyle name="Normal 8 6 3 4" xfId="9517" xr:uid="{00000000-0005-0000-0000-00005A240000}"/>
    <cellStyle name="Normal 8 6 4" xfId="9518" xr:uid="{00000000-0005-0000-0000-00005B240000}"/>
    <cellStyle name="Normal 8 6 4 2" xfId="9519" xr:uid="{00000000-0005-0000-0000-00005C240000}"/>
    <cellStyle name="Normal 8 6 5" xfId="9520" xr:uid="{00000000-0005-0000-0000-00005D240000}"/>
    <cellStyle name="Normal 8 6 6" xfId="9521" xr:uid="{00000000-0005-0000-0000-00005E240000}"/>
    <cellStyle name="Normal 8 7" xfId="1910" xr:uid="{00000000-0005-0000-0000-00005F240000}"/>
    <cellStyle name="Normal 8 7 2" xfId="1911" xr:uid="{00000000-0005-0000-0000-000060240000}"/>
    <cellStyle name="Normal 8 7 2 2" xfId="9522" xr:uid="{00000000-0005-0000-0000-000061240000}"/>
    <cellStyle name="Normal 8 7 2 2 2" xfId="9523" xr:uid="{00000000-0005-0000-0000-000062240000}"/>
    <cellStyle name="Normal 8 7 2 3" xfId="9524" xr:uid="{00000000-0005-0000-0000-000063240000}"/>
    <cellStyle name="Normal 8 7 2 4" xfId="9525" xr:uid="{00000000-0005-0000-0000-000064240000}"/>
    <cellStyle name="Normal 8 7 3" xfId="9526" xr:uid="{00000000-0005-0000-0000-000065240000}"/>
    <cellStyle name="Normal 8 7 3 2" xfId="9527" xr:uid="{00000000-0005-0000-0000-000066240000}"/>
    <cellStyle name="Normal 8 7 4" xfId="9528" xr:uid="{00000000-0005-0000-0000-000067240000}"/>
    <cellStyle name="Normal 8 7 5" xfId="9529" xr:uid="{00000000-0005-0000-0000-000068240000}"/>
    <cellStyle name="Normal 8 8" xfId="1912" xr:uid="{00000000-0005-0000-0000-000069240000}"/>
    <cellStyle name="Normal 8 8 2" xfId="9530" xr:uid="{00000000-0005-0000-0000-00006A240000}"/>
    <cellStyle name="Normal 8 8 2 2" xfId="9531" xr:uid="{00000000-0005-0000-0000-00006B240000}"/>
    <cellStyle name="Normal 8 8 3" xfId="9532" xr:uid="{00000000-0005-0000-0000-00006C240000}"/>
    <cellStyle name="Normal 8 8 4" xfId="9533" xr:uid="{00000000-0005-0000-0000-00006D240000}"/>
    <cellStyle name="Normal 8 9" xfId="9534" xr:uid="{00000000-0005-0000-0000-00006E240000}"/>
    <cellStyle name="Normal 8 9 2" xfId="9535" xr:uid="{00000000-0005-0000-0000-00006F240000}"/>
    <cellStyle name="Normal 80" xfId="1913" xr:uid="{00000000-0005-0000-0000-000070240000}"/>
    <cellStyle name="Normal 80 2" xfId="1914" xr:uid="{00000000-0005-0000-0000-000071240000}"/>
    <cellStyle name="Normal 80 2 2" xfId="1915" xr:uid="{00000000-0005-0000-0000-000072240000}"/>
    <cellStyle name="Normal 80 2 2 2" xfId="9536" xr:uid="{00000000-0005-0000-0000-000073240000}"/>
    <cellStyle name="Normal 80 2 2 2 2" xfId="9537" xr:uid="{00000000-0005-0000-0000-000074240000}"/>
    <cellStyle name="Normal 80 2 2 3" xfId="9538" xr:uid="{00000000-0005-0000-0000-000075240000}"/>
    <cellStyle name="Normal 80 2 2 4" xfId="9539" xr:uid="{00000000-0005-0000-0000-000076240000}"/>
    <cellStyle name="Normal 80 2 3" xfId="9540" xr:uid="{00000000-0005-0000-0000-000077240000}"/>
    <cellStyle name="Normal 80 2 3 2" xfId="9541" xr:uid="{00000000-0005-0000-0000-000078240000}"/>
    <cellStyle name="Normal 80 2 4" xfId="9542" xr:uid="{00000000-0005-0000-0000-000079240000}"/>
    <cellStyle name="Normal 80 2 5" xfId="9543" xr:uid="{00000000-0005-0000-0000-00007A240000}"/>
    <cellStyle name="Normal 80 3" xfId="1916" xr:uid="{00000000-0005-0000-0000-00007B240000}"/>
    <cellStyle name="Normal 80 3 2" xfId="9544" xr:uid="{00000000-0005-0000-0000-00007C240000}"/>
    <cellStyle name="Normal 80 3 2 2" xfId="9545" xr:uid="{00000000-0005-0000-0000-00007D240000}"/>
    <cellStyle name="Normal 80 3 3" xfId="9546" xr:uid="{00000000-0005-0000-0000-00007E240000}"/>
    <cellStyle name="Normal 80 3 4" xfId="9547" xr:uid="{00000000-0005-0000-0000-00007F240000}"/>
    <cellStyle name="Normal 80 4" xfId="9548" xr:uid="{00000000-0005-0000-0000-000080240000}"/>
    <cellStyle name="Normal 80 4 2" xfId="9549" xr:uid="{00000000-0005-0000-0000-000081240000}"/>
    <cellStyle name="Normal 80 5" xfId="9550" xr:uid="{00000000-0005-0000-0000-000082240000}"/>
    <cellStyle name="Normal 80 6" xfId="9551" xr:uid="{00000000-0005-0000-0000-000083240000}"/>
    <cellStyle name="Normal 81" xfId="1917" xr:uid="{00000000-0005-0000-0000-000084240000}"/>
    <cellStyle name="Normal 81 2" xfId="1918" xr:uid="{00000000-0005-0000-0000-000085240000}"/>
    <cellStyle name="Normal 81 2 2" xfId="1919" xr:uid="{00000000-0005-0000-0000-000086240000}"/>
    <cellStyle name="Normal 81 2 2 2" xfId="9552" xr:uid="{00000000-0005-0000-0000-000087240000}"/>
    <cellStyle name="Normal 81 2 2 2 2" xfId="9553" xr:uid="{00000000-0005-0000-0000-000088240000}"/>
    <cellStyle name="Normal 81 2 2 3" xfId="9554" xr:uid="{00000000-0005-0000-0000-000089240000}"/>
    <cellStyle name="Normal 81 2 2 4" xfId="9555" xr:uid="{00000000-0005-0000-0000-00008A240000}"/>
    <cellStyle name="Normal 81 2 3" xfId="9556" xr:uid="{00000000-0005-0000-0000-00008B240000}"/>
    <cellStyle name="Normal 81 2 3 2" xfId="9557" xr:uid="{00000000-0005-0000-0000-00008C240000}"/>
    <cellStyle name="Normal 81 2 4" xfId="9558" xr:uid="{00000000-0005-0000-0000-00008D240000}"/>
    <cellStyle name="Normal 81 2 5" xfId="9559" xr:uid="{00000000-0005-0000-0000-00008E240000}"/>
    <cellStyle name="Normal 81 3" xfId="1920" xr:uid="{00000000-0005-0000-0000-00008F240000}"/>
    <cellStyle name="Normal 81 3 2" xfId="9560" xr:uid="{00000000-0005-0000-0000-000090240000}"/>
    <cellStyle name="Normal 81 3 2 2" xfId="9561" xr:uid="{00000000-0005-0000-0000-000091240000}"/>
    <cellStyle name="Normal 81 3 3" xfId="9562" xr:uid="{00000000-0005-0000-0000-000092240000}"/>
    <cellStyle name="Normal 81 3 4" xfId="9563" xr:uid="{00000000-0005-0000-0000-000093240000}"/>
    <cellStyle name="Normal 81 4" xfId="9564" xr:uid="{00000000-0005-0000-0000-000094240000}"/>
    <cellStyle name="Normal 81 4 2" xfId="9565" xr:uid="{00000000-0005-0000-0000-000095240000}"/>
    <cellStyle name="Normal 81 5" xfId="9566" xr:uid="{00000000-0005-0000-0000-000096240000}"/>
    <cellStyle name="Normal 81 6" xfId="9567" xr:uid="{00000000-0005-0000-0000-000097240000}"/>
    <cellStyle name="Normal 82" xfId="1921" xr:uid="{00000000-0005-0000-0000-000098240000}"/>
    <cellStyle name="Normal 82 2" xfId="1922" xr:uid="{00000000-0005-0000-0000-000099240000}"/>
    <cellStyle name="Normal 82 2 2" xfId="1923" xr:uid="{00000000-0005-0000-0000-00009A240000}"/>
    <cellStyle name="Normal 82 2 2 2" xfId="9568" xr:uid="{00000000-0005-0000-0000-00009B240000}"/>
    <cellStyle name="Normal 82 2 2 2 2" xfId="9569" xr:uid="{00000000-0005-0000-0000-00009C240000}"/>
    <cellStyle name="Normal 82 2 2 3" xfId="9570" xr:uid="{00000000-0005-0000-0000-00009D240000}"/>
    <cellStyle name="Normal 82 2 2 4" xfId="9571" xr:uid="{00000000-0005-0000-0000-00009E240000}"/>
    <cellStyle name="Normal 82 2 3" xfId="9572" xr:uid="{00000000-0005-0000-0000-00009F240000}"/>
    <cellStyle name="Normal 82 2 3 2" xfId="9573" xr:uid="{00000000-0005-0000-0000-0000A0240000}"/>
    <cellStyle name="Normal 82 2 4" xfId="9574" xr:uid="{00000000-0005-0000-0000-0000A1240000}"/>
    <cellStyle name="Normal 82 2 5" xfId="9575" xr:uid="{00000000-0005-0000-0000-0000A2240000}"/>
    <cellStyle name="Normal 82 3" xfId="1924" xr:uid="{00000000-0005-0000-0000-0000A3240000}"/>
    <cellStyle name="Normal 82 3 2" xfId="9576" xr:uid="{00000000-0005-0000-0000-0000A4240000}"/>
    <cellStyle name="Normal 82 3 2 2" xfId="9577" xr:uid="{00000000-0005-0000-0000-0000A5240000}"/>
    <cellStyle name="Normal 82 3 3" xfId="9578" xr:uid="{00000000-0005-0000-0000-0000A6240000}"/>
    <cellStyle name="Normal 82 3 4" xfId="9579" xr:uid="{00000000-0005-0000-0000-0000A7240000}"/>
    <cellStyle name="Normal 82 4" xfId="9580" xr:uid="{00000000-0005-0000-0000-0000A8240000}"/>
    <cellStyle name="Normal 82 4 2" xfId="9581" xr:uid="{00000000-0005-0000-0000-0000A9240000}"/>
    <cellStyle name="Normal 82 5" xfId="9582" xr:uid="{00000000-0005-0000-0000-0000AA240000}"/>
    <cellStyle name="Normal 82 6" xfId="9583" xr:uid="{00000000-0005-0000-0000-0000AB240000}"/>
    <cellStyle name="Normal 83" xfId="1925" xr:uid="{00000000-0005-0000-0000-0000AC240000}"/>
    <cellStyle name="Normal 83 2" xfId="1926" xr:uid="{00000000-0005-0000-0000-0000AD240000}"/>
    <cellStyle name="Normal 83 2 2" xfId="1927" xr:uid="{00000000-0005-0000-0000-0000AE240000}"/>
    <cellStyle name="Normal 83 2 2 2" xfId="9584" xr:uid="{00000000-0005-0000-0000-0000AF240000}"/>
    <cellStyle name="Normal 83 2 2 2 2" xfId="9585" xr:uid="{00000000-0005-0000-0000-0000B0240000}"/>
    <cellStyle name="Normal 83 2 2 3" xfId="9586" xr:uid="{00000000-0005-0000-0000-0000B1240000}"/>
    <cellStyle name="Normal 83 2 2 4" xfId="9587" xr:uid="{00000000-0005-0000-0000-0000B2240000}"/>
    <cellStyle name="Normal 83 2 3" xfId="9588" xr:uid="{00000000-0005-0000-0000-0000B3240000}"/>
    <cellStyle name="Normal 83 2 3 2" xfId="9589" xr:uid="{00000000-0005-0000-0000-0000B4240000}"/>
    <cellStyle name="Normal 83 2 4" xfId="9590" xr:uid="{00000000-0005-0000-0000-0000B5240000}"/>
    <cellStyle name="Normal 83 2 5" xfId="9591" xr:uid="{00000000-0005-0000-0000-0000B6240000}"/>
    <cellStyle name="Normal 83 3" xfId="1928" xr:uid="{00000000-0005-0000-0000-0000B7240000}"/>
    <cellStyle name="Normal 83 3 2" xfId="9592" xr:uid="{00000000-0005-0000-0000-0000B8240000}"/>
    <cellStyle name="Normal 83 3 2 2" xfId="9593" xr:uid="{00000000-0005-0000-0000-0000B9240000}"/>
    <cellStyle name="Normal 83 3 3" xfId="9594" xr:uid="{00000000-0005-0000-0000-0000BA240000}"/>
    <cellStyle name="Normal 83 3 4" xfId="9595" xr:uid="{00000000-0005-0000-0000-0000BB240000}"/>
    <cellStyle name="Normal 83 4" xfId="9596" xr:uid="{00000000-0005-0000-0000-0000BC240000}"/>
    <cellStyle name="Normal 83 4 2" xfId="9597" xr:uid="{00000000-0005-0000-0000-0000BD240000}"/>
    <cellStyle name="Normal 83 5" xfId="9598" xr:uid="{00000000-0005-0000-0000-0000BE240000}"/>
    <cellStyle name="Normal 83 6" xfId="9599" xr:uid="{00000000-0005-0000-0000-0000BF240000}"/>
    <cellStyle name="Normal 84" xfId="1929" xr:uid="{00000000-0005-0000-0000-0000C0240000}"/>
    <cellStyle name="Normal 84 2" xfId="1930" xr:uid="{00000000-0005-0000-0000-0000C1240000}"/>
    <cellStyle name="Normal 84 2 2" xfId="1931" xr:uid="{00000000-0005-0000-0000-0000C2240000}"/>
    <cellStyle name="Normal 84 2 2 2" xfId="9600" xr:uid="{00000000-0005-0000-0000-0000C3240000}"/>
    <cellStyle name="Normal 84 2 2 2 2" xfId="9601" xr:uid="{00000000-0005-0000-0000-0000C4240000}"/>
    <cellStyle name="Normal 84 2 2 3" xfId="9602" xr:uid="{00000000-0005-0000-0000-0000C5240000}"/>
    <cellStyle name="Normal 84 2 2 4" xfId="9603" xr:uid="{00000000-0005-0000-0000-0000C6240000}"/>
    <cellStyle name="Normal 84 2 3" xfId="9604" xr:uid="{00000000-0005-0000-0000-0000C7240000}"/>
    <cellStyle name="Normal 84 2 3 2" xfId="9605" xr:uid="{00000000-0005-0000-0000-0000C8240000}"/>
    <cellStyle name="Normal 84 2 4" xfId="9606" xr:uid="{00000000-0005-0000-0000-0000C9240000}"/>
    <cellStyle name="Normal 84 2 5" xfId="9607" xr:uid="{00000000-0005-0000-0000-0000CA240000}"/>
    <cellStyle name="Normal 84 3" xfId="1932" xr:uid="{00000000-0005-0000-0000-0000CB240000}"/>
    <cellStyle name="Normal 84 3 2" xfId="9608" xr:uid="{00000000-0005-0000-0000-0000CC240000}"/>
    <cellStyle name="Normal 84 3 2 2" xfId="9609" xr:uid="{00000000-0005-0000-0000-0000CD240000}"/>
    <cellStyle name="Normal 84 3 3" xfId="9610" xr:uid="{00000000-0005-0000-0000-0000CE240000}"/>
    <cellStyle name="Normal 84 3 4" xfId="9611" xr:uid="{00000000-0005-0000-0000-0000CF240000}"/>
    <cellStyle name="Normal 84 4" xfId="9612" xr:uid="{00000000-0005-0000-0000-0000D0240000}"/>
    <cellStyle name="Normal 84 4 2" xfId="9613" xr:uid="{00000000-0005-0000-0000-0000D1240000}"/>
    <cellStyle name="Normal 84 5" xfId="9614" xr:uid="{00000000-0005-0000-0000-0000D2240000}"/>
    <cellStyle name="Normal 84 6" xfId="9615" xr:uid="{00000000-0005-0000-0000-0000D3240000}"/>
    <cellStyle name="Normal 85" xfId="1933" xr:uid="{00000000-0005-0000-0000-0000D4240000}"/>
    <cellStyle name="Normal 85 2" xfId="1934" xr:uid="{00000000-0005-0000-0000-0000D5240000}"/>
    <cellStyle name="Normal 85 2 2" xfId="1935" xr:uid="{00000000-0005-0000-0000-0000D6240000}"/>
    <cellStyle name="Normal 85 2 2 2" xfId="9616" xr:uid="{00000000-0005-0000-0000-0000D7240000}"/>
    <cellStyle name="Normal 85 2 2 2 2" xfId="9617" xr:uid="{00000000-0005-0000-0000-0000D8240000}"/>
    <cellStyle name="Normal 85 2 2 3" xfId="9618" xr:uid="{00000000-0005-0000-0000-0000D9240000}"/>
    <cellStyle name="Normal 85 2 2 4" xfId="9619" xr:uid="{00000000-0005-0000-0000-0000DA240000}"/>
    <cellStyle name="Normal 85 2 3" xfId="9620" xr:uid="{00000000-0005-0000-0000-0000DB240000}"/>
    <cellStyle name="Normal 85 2 3 2" xfId="9621" xr:uid="{00000000-0005-0000-0000-0000DC240000}"/>
    <cellStyle name="Normal 85 2 4" xfId="9622" xr:uid="{00000000-0005-0000-0000-0000DD240000}"/>
    <cellStyle name="Normal 85 2 5" xfId="9623" xr:uid="{00000000-0005-0000-0000-0000DE240000}"/>
    <cellStyle name="Normal 85 3" xfId="1936" xr:uid="{00000000-0005-0000-0000-0000DF240000}"/>
    <cellStyle name="Normal 85 3 2" xfId="9624" xr:uid="{00000000-0005-0000-0000-0000E0240000}"/>
    <cellStyle name="Normal 85 3 2 2" xfId="9625" xr:uid="{00000000-0005-0000-0000-0000E1240000}"/>
    <cellStyle name="Normal 85 3 3" xfId="9626" xr:uid="{00000000-0005-0000-0000-0000E2240000}"/>
    <cellStyle name="Normal 85 3 4" xfId="9627" xr:uid="{00000000-0005-0000-0000-0000E3240000}"/>
    <cellStyle name="Normal 85 4" xfId="9628" xr:uid="{00000000-0005-0000-0000-0000E4240000}"/>
    <cellStyle name="Normal 85 4 2" xfId="9629" xr:uid="{00000000-0005-0000-0000-0000E5240000}"/>
    <cellStyle name="Normal 85 5" xfId="9630" xr:uid="{00000000-0005-0000-0000-0000E6240000}"/>
    <cellStyle name="Normal 85 6" xfId="9631" xr:uid="{00000000-0005-0000-0000-0000E7240000}"/>
    <cellStyle name="Normal 86" xfId="1937" xr:uid="{00000000-0005-0000-0000-0000E8240000}"/>
    <cellStyle name="Normal 86 2" xfId="1938" xr:uid="{00000000-0005-0000-0000-0000E9240000}"/>
    <cellStyle name="Normal 86 2 2" xfId="1939" xr:uid="{00000000-0005-0000-0000-0000EA240000}"/>
    <cellStyle name="Normal 86 2 2 2" xfId="9632" xr:uid="{00000000-0005-0000-0000-0000EB240000}"/>
    <cellStyle name="Normal 86 2 2 2 2" xfId="9633" xr:uid="{00000000-0005-0000-0000-0000EC240000}"/>
    <cellStyle name="Normal 86 2 2 3" xfId="9634" xr:uid="{00000000-0005-0000-0000-0000ED240000}"/>
    <cellStyle name="Normal 86 2 2 4" xfId="9635" xr:uid="{00000000-0005-0000-0000-0000EE240000}"/>
    <cellStyle name="Normal 86 2 3" xfId="9636" xr:uid="{00000000-0005-0000-0000-0000EF240000}"/>
    <cellStyle name="Normal 86 2 3 2" xfId="9637" xr:uid="{00000000-0005-0000-0000-0000F0240000}"/>
    <cellStyle name="Normal 86 2 4" xfId="9638" xr:uid="{00000000-0005-0000-0000-0000F1240000}"/>
    <cellStyle name="Normal 86 2 5" xfId="9639" xr:uid="{00000000-0005-0000-0000-0000F2240000}"/>
    <cellStyle name="Normal 86 3" xfId="1940" xr:uid="{00000000-0005-0000-0000-0000F3240000}"/>
    <cellStyle name="Normal 86 3 2" xfId="9640" xr:uid="{00000000-0005-0000-0000-0000F4240000}"/>
    <cellStyle name="Normal 86 3 2 2" xfId="9641" xr:uid="{00000000-0005-0000-0000-0000F5240000}"/>
    <cellStyle name="Normal 86 3 3" xfId="9642" xr:uid="{00000000-0005-0000-0000-0000F6240000}"/>
    <cellStyle name="Normal 86 3 4" xfId="9643" xr:uid="{00000000-0005-0000-0000-0000F7240000}"/>
    <cellStyle name="Normal 86 4" xfId="9644" xr:uid="{00000000-0005-0000-0000-0000F8240000}"/>
    <cellStyle name="Normal 86 4 2" xfId="9645" xr:uid="{00000000-0005-0000-0000-0000F9240000}"/>
    <cellStyle name="Normal 86 5" xfId="9646" xr:uid="{00000000-0005-0000-0000-0000FA240000}"/>
    <cellStyle name="Normal 86 6" xfId="9647" xr:uid="{00000000-0005-0000-0000-0000FB240000}"/>
    <cellStyle name="Normal 87" xfId="1941" xr:uid="{00000000-0005-0000-0000-0000FC240000}"/>
    <cellStyle name="Normal 87 2" xfId="1942" xr:uid="{00000000-0005-0000-0000-0000FD240000}"/>
    <cellStyle name="Normal 87 2 2" xfId="1943" xr:uid="{00000000-0005-0000-0000-0000FE240000}"/>
    <cellStyle name="Normal 87 2 2 2" xfId="9648" xr:uid="{00000000-0005-0000-0000-0000FF240000}"/>
    <cellStyle name="Normal 87 2 2 2 2" xfId="9649" xr:uid="{00000000-0005-0000-0000-000000250000}"/>
    <cellStyle name="Normal 87 2 2 3" xfId="9650" xr:uid="{00000000-0005-0000-0000-000001250000}"/>
    <cellStyle name="Normal 87 2 2 4" xfId="9651" xr:uid="{00000000-0005-0000-0000-000002250000}"/>
    <cellStyle name="Normal 87 2 3" xfId="9652" xr:uid="{00000000-0005-0000-0000-000003250000}"/>
    <cellStyle name="Normal 87 2 3 2" xfId="9653" xr:uid="{00000000-0005-0000-0000-000004250000}"/>
    <cellStyle name="Normal 87 2 4" xfId="9654" xr:uid="{00000000-0005-0000-0000-000005250000}"/>
    <cellStyle name="Normal 87 2 5" xfId="9655" xr:uid="{00000000-0005-0000-0000-000006250000}"/>
    <cellStyle name="Normal 87 3" xfId="1944" xr:uid="{00000000-0005-0000-0000-000007250000}"/>
    <cellStyle name="Normal 87 3 2" xfId="9656" xr:uid="{00000000-0005-0000-0000-000008250000}"/>
    <cellStyle name="Normal 87 3 2 2" xfId="9657" xr:uid="{00000000-0005-0000-0000-000009250000}"/>
    <cellStyle name="Normal 87 3 3" xfId="9658" xr:uid="{00000000-0005-0000-0000-00000A250000}"/>
    <cellStyle name="Normal 87 3 4" xfId="9659" xr:uid="{00000000-0005-0000-0000-00000B250000}"/>
    <cellStyle name="Normal 87 4" xfId="9660" xr:uid="{00000000-0005-0000-0000-00000C250000}"/>
    <cellStyle name="Normal 87 4 2" xfId="9661" xr:uid="{00000000-0005-0000-0000-00000D250000}"/>
    <cellStyle name="Normal 87 5" xfId="9662" xr:uid="{00000000-0005-0000-0000-00000E250000}"/>
    <cellStyle name="Normal 87 6" xfId="9663" xr:uid="{00000000-0005-0000-0000-00000F250000}"/>
    <cellStyle name="Normal 88" xfId="1945" xr:uid="{00000000-0005-0000-0000-000010250000}"/>
    <cellStyle name="Normal 88 2" xfId="1946" xr:uid="{00000000-0005-0000-0000-000011250000}"/>
    <cellStyle name="Normal 88 2 2" xfId="1947" xr:uid="{00000000-0005-0000-0000-000012250000}"/>
    <cellStyle name="Normal 88 2 2 2" xfId="9664" xr:uid="{00000000-0005-0000-0000-000013250000}"/>
    <cellStyle name="Normal 88 2 2 2 2" xfId="9665" xr:uid="{00000000-0005-0000-0000-000014250000}"/>
    <cellStyle name="Normal 88 2 2 3" xfId="9666" xr:uid="{00000000-0005-0000-0000-000015250000}"/>
    <cellStyle name="Normal 88 2 2 4" xfId="9667" xr:uid="{00000000-0005-0000-0000-000016250000}"/>
    <cellStyle name="Normal 88 2 3" xfId="9668" xr:uid="{00000000-0005-0000-0000-000017250000}"/>
    <cellStyle name="Normal 88 2 3 2" xfId="9669" xr:uid="{00000000-0005-0000-0000-000018250000}"/>
    <cellStyle name="Normal 88 2 4" xfId="9670" xr:uid="{00000000-0005-0000-0000-000019250000}"/>
    <cellStyle name="Normal 88 2 5" xfId="9671" xr:uid="{00000000-0005-0000-0000-00001A250000}"/>
    <cellStyle name="Normal 88 3" xfId="1948" xr:uid="{00000000-0005-0000-0000-00001B250000}"/>
    <cellStyle name="Normal 88 3 2" xfId="9672" xr:uid="{00000000-0005-0000-0000-00001C250000}"/>
    <cellStyle name="Normal 88 3 2 2" xfId="9673" xr:uid="{00000000-0005-0000-0000-00001D250000}"/>
    <cellStyle name="Normal 88 3 3" xfId="9674" xr:uid="{00000000-0005-0000-0000-00001E250000}"/>
    <cellStyle name="Normal 88 3 4" xfId="9675" xr:uid="{00000000-0005-0000-0000-00001F250000}"/>
    <cellStyle name="Normal 88 4" xfId="9676" xr:uid="{00000000-0005-0000-0000-000020250000}"/>
    <cellStyle name="Normal 88 4 2" xfId="9677" xr:uid="{00000000-0005-0000-0000-000021250000}"/>
    <cellStyle name="Normal 88 5" xfId="9678" xr:uid="{00000000-0005-0000-0000-000022250000}"/>
    <cellStyle name="Normal 88 6" xfId="9679" xr:uid="{00000000-0005-0000-0000-000023250000}"/>
    <cellStyle name="Normal 89" xfId="1949" xr:uid="{00000000-0005-0000-0000-000024250000}"/>
    <cellStyle name="Normal 89 2" xfId="1950" xr:uid="{00000000-0005-0000-0000-000025250000}"/>
    <cellStyle name="Normal 89 2 2" xfId="1951" xr:uid="{00000000-0005-0000-0000-000026250000}"/>
    <cellStyle name="Normal 89 2 2 2" xfId="9680" xr:uid="{00000000-0005-0000-0000-000027250000}"/>
    <cellStyle name="Normal 89 2 2 2 2" xfId="9681" xr:uid="{00000000-0005-0000-0000-000028250000}"/>
    <cellStyle name="Normal 89 2 2 3" xfId="9682" xr:uid="{00000000-0005-0000-0000-000029250000}"/>
    <cellStyle name="Normal 89 2 2 4" xfId="9683" xr:uid="{00000000-0005-0000-0000-00002A250000}"/>
    <cellStyle name="Normal 89 2 3" xfId="9684" xr:uid="{00000000-0005-0000-0000-00002B250000}"/>
    <cellStyle name="Normal 89 2 3 2" xfId="9685" xr:uid="{00000000-0005-0000-0000-00002C250000}"/>
    <cellStyle name="Normal 89 2 4" xfId="9686" xr:uid="{00000000-0005-0000-0000-00002D250000}"/>
    <cellStyle name="Normal 89 2 5" xfId="9687" xr:uid="{00000000-0005-0000-0000-00002E250000}"/>
    <cellStyle name="Normal 89 3" xfId="1952" xr:uid="{00000000-0005-0000-0000-00002F250000}"/>
    <cellStyle name="Normal 89 3 2" xfId="9688" xr:uid="{00000000-0005-0000-0000-000030250000}"/>
    <cellStyle name="Normal 89 3 2 2" xfId="9689" xr:uid="{00000000-0005-0000-0000-000031250000}"/>
    <cellStyle name="Normal 89 3 3" xfId="9690" xr:uid="{00000000-0005-0000-0000-000032250000}"/>
    <cellStyle name="Normal 89 3 4" xfId="9691" xr:uid="{00000000-0005-0000-0000-000033250000}"/>
    <cellStyle name="Normal 89 4" xfId="9692" xr:uid="{00000000-0005-0000-0000-000034250000}"/>
    <cellStyle name="Normal 89 4 2" xfId="9693" xr:uid="{00000000-0005-0000-0000-000035250000}"/>
    <cellStyle name="Normal 89 5" xfId="9694" xr:uid="{00000000-0005-0000-0000-000036250000}"/>
    <cellStyle name="Normal 89 6" xfId="9695" xr:uid="{00000000-0005-0000-0000-000037250000}"/>
    <cellStyle name="Normal 9" xfId="1953" xr:uid="{00000000-0005-0000-0000-000038250000}"/>
    <cellStyle name="Normal 9 10" xfId="9696" xr:uid="{00000000-0005-0000-0000-000039250000}"/>
    <cellStyle name="Normal 9 11" xfId="9697" xr:uid="{00000000-0005-0000-0000-00003A250000}"/>
    <cellStyle name="Normal 9 2" xfId="1954" xr:uid="{00000000-0005-0000-0000-00003B250000}"/>
    <cellStyle name="Normal 9 2 2" xfId="1955" xr:uid="{00000000-0005-0000-0000-00003C250000}"/>
    <cellStyle name="Normal 9 2 2 2" xfId="1956" xr:uid="{00000000-0005-0000-0000-00003D250000}"/>
    <cellStyle name="Normal 9 2 2 2 2" xfId="1957" xr:uid="{00000000-0005-0000-0000-00003E250000}"/>
    <cellStyle name="Normal 9 2 2 2 2 2" xfId="1958" xr:uid="{00000000-0005-0000-0000-00003F250000}"/>
    <cellStyle name="Normal 9 2 2 2 2 2 2" xfId="1959" xr:uid="{00000000-0005-0000-0000-000040250000}"/>
    <cellStyle name="Normal 9 2 2 2 2 2 2 2" xfId="9698" xr:uid="{00000000-0005-0000-0000-000041250000}"/>
    <cellStyle name="Normal 9 2 2 2 2 2 2 2 2" xfId="9699" xr:uid="{00000000-0005-0000-0000-000042250000}"/>
    <cellStyle name="Normal 9 2 2 2 2 2 2 3" xfId="9700" xr:uid="{00000000-0005-0000-0000-000043250000}"/>
    <cellStyle name="Normal 9 2 2 2 2 2 2 4" xfId="9701" xr:uid="{00000000-0005-0000-0000-000044250000}"/>
    <cellStyle name="Normal 9 2 2 2 2 2 3" xfId="9702" xr:uid="{00000000-0005-0000-0000-000045250000}"/>
    <cellStyle name="Normal 9 2 2 2 2 2 3 2" xfId="9703" xr:uid="{00000000-0005-0000-0000-000046250000}"/>
    <cellStyle name="Normal 9 2 2 2 2 2 4" xfId="9704" xr:uid="{00000000-0005-0000-0000-000047250000}"/>
    <cellStyle name="Normal 9 2 2 2 2 2 5" xfId="9705" xr:uid="{00000000-0005-0000-0000-000048250000}"/>
    <cellStyle name="Normal 9 2 2 2 2 3" xfId="1960" xr:uid="{00000000-0005-0000-0000-000049250000}"/>
    <cellStyle name="Normal 9 2 2 2 2 3 2" xfId="9706" xr:uid="{00000000-0005-0000-0000-00004A250000}"/>
    <cellStyle name="Normal 9 2 2 2 2 3 2 2" xfId="9707" xr:uid="{00000000-0005-0000-0000-00004B250000}"/>
    <cellStyle name="Normal 9 2 2 2 2 3 3" xfId="9708" xr:uid="{00000000-0005-0000-0000-00004C250000}"/>
    <cellStyle name="Normal 9 2 2 2 2 3 4" xfId="9709" xr:uid="{00000000-0005-0000-0000-00004D250000}"/>
    <cellStyle name="Normal 9 2 2 2 2 4" xfId="9710" xr:uid="{00000000-0005-0000-0000-00004E250000}"/>
    <cellStyle name="Normal 9 2 2 2 2 4 2" xfId="9711" xr:uid="{00000000-0005-0000-0000-00004F250000}"/>
    <cellStyle name="Normal 9 2 2 2 2 5" xfId="9712" xr:uid="{00000000-0005-0000-0000-000050250000}"/>
    <cellStyle name="Normal 9 2 2 2 2 6" xfId="9713" xr:uid="{00000000-0005-0000-0000-000051250000}"/>
    <cellStyle name="Normal 9 2 2 2 3" xfId="1961" xr:uid="{00000000-0005-0000-0000-000052250000}"/>
    <cellStyle name="Normal 9 2 2 2 3 2" xfId="1962" xr:uid="{00000000-0005-0000-0000-000053250000}"/>
    <cellStyle name="Normal 9 2 2 2 3 2 2" xfId="9714" xr:uid="{00000000-0005-0000-0000-000054250000}"/>
    <cellStyle name="Normal 9 2 2 2 3 2 2 2" xfId="9715" xr:uid="{00000000-0005-0000-0000-000055250000}"/>
    <cellStyle name="Normal 9 2 2 2 3 2 3" xfId="9716" xr:uid="{00000000-0005-0000-0000-000056250000}"/>
    <cellStyle name="Normal 9 2 2 2 3 2 4" xfId="9717" xr:uid="{00000000-0005-0000-0000-000057250000}"/>
    <cellStyle name="Normal 9 2 2 2 3 3" xfId="9718" xr:uid="{00000000-0005-0000-0000-000058250000}"/>
    <cellStyle name="Normal 9 2 2 2 3 3 2" xfId="9719" xr:uid="{00000000-0005-0000-0000-000059250000}"/>
    <cellStyle name="Normal 9 2 2 2 3 4" xfId="9720" xr:uid="{00000000-0005-0000-0000-00005A250000}"/>
    <cellStyle name="Normal 9 2 2 2 3 5" xfId="9721" xr:uid="{00000000-0005-0000-0000-00005B250000}"/>
    <cellStyle name="Normal 9 2 2 2 4" xfId="1963" xr:uid="{00000000-0005-0000-0000-00005C250000}"/>
    <cellStyle name="Normal 9 2 2 2 4 2" xfId="9722" xr:uid="{00000000-0005-0000-0000-00005D250000}"/>
    <cellStyle name="Normal 9 2 2 2 4 2 2" xfId="9723" xr:uid="{00000000-0005-0000-0000-00005E250000}"/>
    <cellStyle name="Normal 9 2 2 2 4 3" xfId="9724" xr:uid="{00000000-0005-0000-0000-00005F250000}"/>
    <cellStyle name="Normal 9 2 2 2 4 4" xfId="9725" xr:uid="{00000000-0005-0000-0000-000060250000}"/>
    <cellStyle name="Normal 9 2 2 2 5" xfId="9726" xr:uid="{00000000-0005-0000-0000-000061250000}"/>
    <cellStyle name="Normal 9 2 2 2 5 2" xfId="9727" xr:uid="{00000000-0005-0000-0000-000062250000}"/>
    <cellStyle name="Normal 9 2 2 2 6" xfId="9728" xr:uid="{00000000-0005-0000-0000-000063250000}"/>
    <cellStyle name="Normal 9 2 2 2 7" xfId="9729" xr:uid="{00000000-0005-0000-0000-000064250000}"/>
    <cellStyle name="Normal 9 2 2 3" xfId="1964" xr:uid="{00000000-0005-0000-0000-000065250000}"/>
    <cellStyle name="Normal 9 2 2 3 2" xfId="1965" xr:uid="{00000000-0005-0000-0000-000066250000}"/>
    <cellStyle name="Normal 9 2 2 3 2 2" xfId="1966" xr:uid="{00000000-0005-0000-0000-000067250000}"/>
    <cellStyle name="Normal 9 2 2 3 2 2 2" xfId="9730" xr:uid="{00000000-0005-0000-0000-000068250000}"/>
    <cellStyle name="Normal 9 2 2 3 2 2 2 2" xfId="9731" xr:uid="{00000000-0005-0000-0000-000069250000}"/>
    <cellStyle name="Normal 9 2 2 3 2 2 3" xfId="9732" xr:uid="{00000000-0005-0000-0000-00006A250000}"/>
    <cellStyle name="Normal 9 2 2 3 2 2 4" xfId="9733" xr:uid="{00000000-0005-0000-0000-00006B250000}"/>
    <cellStyle name="Normal 9 2 2 3 2 3" xfId="9734" xr:uid="{00000000-0005-0000-0000-00006C250000}"/>
    <cellStyle name="Normal 9 2 2 3 2 3 2" xfId="9735" xr:uid="{00000000-0005-0000-0000-00006D250000}"/>
    <cellStyle name="Normal 9 2 2 3 2 4" xfId="9736" xr:uid="{00000000-0005-0000-0000-00006E250000}"/>
    <cellStyle name="Normal 9 2 2 3 2 5" xfId="9737" xr:uid="{00000000-0005-0000-0000-00006F250000}"/>
    <cellStyle name="Normal 9 2 2 3 3" xfId="1967" xr:uid="{00000000-0005-0000-0000-000070250000}"/>
    <cellStyle name="Normal 9 2 2 3 3 2" xfId="9738" xr:uid="{00000000-0005-0000-0000-000071250000}"/>
    <cellStyle name="Normal 9 2 2 3 3 2 2" xfId="9739" xr:uid="{00000000-0005-0000-0000-000072250000}"/>
    <cellStyle name="Normal 9 2 2 3 3 3" xfId="9740" xr:uid="{00000000-0005-0000-0000-000073250000}"/>
    <cellStyle name="Normal 9 2 2 3 3 4" xfId="9741" xr:uid="{00000000-0005-0000-0000-000074250000}"/>
    <cellStyle name="Normal 9 2 2 3 4" xfId="9742" xr:uid="{00000000-0005-0000-0000-000075250000}"/>
    <cellStyle name="Normal 9 2 2 3 4 2" xfId="9743" xr:uid="{00000000-0005-0000-0000-000076250000}"/>
    <cellStyle name="Normal 9 2 2 3 5" xfId="9744" xr:uid="{00000000-0005-0000-0000-000077250000}"/>
    <cellStyle name="Normal 9 2 2 3 6" xfId="9745" xr:uid="{00000000-0005-0000-0000-000078250000}"/>
    <cellStyle name="Normal 9 2 2 4" xfId="1968" xr:uid="{00000000-0005-0000-0000-000079250000}"/>
    <cellStyle name="Normal 9 2 2 4 2" xfId="1969" xr:uid="{00000000-0005-0000-0000-00007A250000}"/>
    <cellStyle name="Normal 9 2 2 4 2 2" xfId="9746" xr:uid="{00000000-0005-0000-0000-00007B250000}"/>
    <cellStyle name="Normal 9 2 2 4 2 2 2" xfId="9747" xr:uid="{00000000-0005-0000-0000-00007C250000}"/>
    <cellStyle name="Normal 9 2 2 4 2 3" xfId="9748" xr:uid="{00000000-0005-0000-0000-00007D250000}"/>
    <cellStyle name="Normal 9 2 2 4 2 4" xfId="9749" xr:uid="{00000000-0005-0000-0000-00007E250000}"/>
    <cellStyle name="Normal 9 2 2 4 3" xfId="9750" xr:uid="{00000000-0005-0000-0000-00007F250000}"/>
    <cellStyle name="Normal 9 2 2 4 3 2" xfId="9751" xr:uid="{00000000-0005-0000-0000-000080250000}"/>
    <cellStyle name="Normal 9 2 2 4 4" xfId="9752" xr:uid="{00000000-0005-0000-0000-000081250000}"/>
    <cellStyle name="Normal 9 2 2 4 5" xfId="9753" xr:uid="{00000000-0005-0000-0000-000082250000}"/>
    <cellStyle name="Normal 9 2 2 5" xfId="1970" xr:uid="{00000000-0005-0000-0000-000083250000}"/>
    <cellStyle name="Normal 9 2 2 5 2" xfId="9754" xr:uid="{00000000-0005-0000-0000-000084250000}"/>
    <cellStyle name="Normal 9 2 2 5 2 2" xfId="9755" xr:uid="{00000000-0005-0000-0000-000085250000}"/>
    <cellStyle name="Normal 9 2 2 5 3" xfId="9756" xr:uid="{00000000-0005-0000-0000-000086250000}"/>
    <cellStyle name="Normal 9 2 2 5 4" xfId="9757" xr:uid="{00000000-0005-0000-0000-000087250000}"/>
    <cellStyle name="Normal 9 2 2 6" xfId="9758" xr:uid="{00000000-0005-0000-0000-000088250000}"/>
    <cellStyle name="Normal 9 2 2 6 2" xfId="9759" xr:uid="{00000000-0005-0000-0000-000089250000}"/>
    <cellStyle name="Normal 9 2 2 7" xfId="9760" xr:uid="{00000000-0005-0000-0000-00008A250000}"/>
    <cellStyle name="Normal 9 2 2 8" xfId="9761" xr:uid="{00000000-0005-0000-0000-00008B250000}"/>
    <cellStyle name="Normal 9 2 3" xfId="1971" xr:uid="{00000000-0005-0000-0000-00008C250000}"/>
    <cellStyle name="Normal 9 2 3 2" xfId="1972" xr:uid="{00000000-0005-0000-0000-00008D250000}"/>
    <cellStyle name="Normal 9 2 3 2 2" xfId="1973" xr:uid="{00000000-0005-0000-0000-00008E250000}"/>
    <cellStyle name="Normal 9 2 3 2 2 2" xfId="1974" xr:uid="{00000000-0005-0000-0000-00008F250000}"/>
    <cellStyle name="Normal 9 2 3 2 2 2 2" xfId="9762" xr:uid="{00000000-0005-0000-0000-000090250000}"/>
    <cellStyle name="Normal 9 2 3 2 2 2 2 2" xfId="9763" xr:uid="{00000000-0005-0000-0000-000091250000}"/>
    <cellStyle name="Normal 9 2 3 2 2 2 3" xfId="9764" xr:uid="{00000000-0005-0000-0000-000092250000}"/>
    <cellStyle name="Normal 9 2 3 2 2 2 4" xfId="9765" xr:uid="{00000000-0005-0000-0000-000093250000}"/>
    <cellStyle name="Normal 9 2 3 2 2 3" xfId="9766" xr:uid="{00000000-0005-0000-0000-000094250000}"/>
    <cellStyle name="Normal 9 2 3 2 2 3 2" xfId="9767" xr:uid="{00000000-0005-0000-0000-000095250000}"/>
    <cellStyle name="Normal 9 2 3 2 2 4" xfId="9768" xr:uid="{00000000-0005-0000-0000-000096250000}"/>
    <cellStyle name="Normal 9 2 3 2 2 5" xfId="9769" xr:uid="{00000000-0005-0000-0000-000097250000}"/>
    <cellStyle name="Normal 9 2 3 2 3" xfId="1975" xr:uid="{00000000-0005-0000-0000-000098250000}"/>
    <cellStyle name="Normal 9 2 3 2 3 2" xfId="9770" xr:uid="{00000000-0005-0000-0000-000099250000}"/>
    <cellStyle name="Normal 9 2 3 2 3 2 2" xfId="9771" xr:uid="{00000000-0005-0000-0000-00009A250000}"/>
    <cellStyle name="Normal 9 2 3 2 3 3" xfId="9772" xr:uid="{00000000-0005-0000-0000-00009B250000}"/>
    <cellStyle name="Normal 9 2 3 2 3 4" xfId="9773" xr:uid="{00000000-0005-0000-0000-00009C250000}"/>
    <cellStyle name="Normal 9 2 3 2 4" xfId="9774" xr:uid="{00000000-0005-0000-0000-00009D250000}"/>
    <cellStyle name="Normal 9 2 3 2 4 2" xfId="9775" xr:uid="{00000000-0005-0000-0000-00009E250000}"/>
    <cellStyle name="Normal 9 2 3 2 5" xfId="9776" xr:uid="{00000000-0005-0000-0000-00009F250000}"/>
    <cellStyle name="Normal 9 2 3 2 6" xfId="9777" xr:uid="{00000000-0005-0000-0000-0000A0250000}"/>
    <cellStyle name="Normal 9 2 3 3" xfId="1976" xr:uid="{00000000-0005-0000-0000-0000A1250000}"/>
    <cellStyle name="Normal 9 2 3 3 2" xfId="1977" xr:uid="{00000000-0005-0000-0000-0000A2250000}"/>
    <cellStyle name="Normal 9 2 3 3 2 2" xfId="9778" xr:uid="{00000000-0005-0000-0000-0000A3250000}"/>
    <cellStyle name="Normal 9 2 3 3 2 2 2" xfId="9779" xr:uid="{00000000-0005-0000-0000-0000A4250000}"/>
    <cellStyle name="Normal 9 2 3 3 2 3" xfId="9780" xr:uid="{00000000-0005-0000-0000-0000A5250000}"/>
    <cellStyle name="Normal 9 2 3 3 2 4" xfId="9781" xr:uid="{00000000-0005-0000-0000-0000A6250000}"/>
    <cellStyle name="Normal 9 2 3 3 3" xfId="9782" xr:uid="{00000000-0005-0000-0000-0000A7250000}"/>
    <cellStyle name="Normal 9 2 3 3 3 2" xfId="9783" xr:uid="{00000000-0005-0000-0000-0000A8250000}"/>
    <cellStyle name="Normal 9 2 3 3 4" xfId="9784" xr:uid="{00000000-0005-0000-0000-0000A9250000}"/>
    <cellStyle name="Normal 9 2 3 3 5" xfId="9785" xr:uid="{00000000-0005-0000-0000-0000AA250000}"/>
    <cellStyle name="Normal 9 2 3 4" xfId="1978" xr:uid="{00000000-0005-0000-0000-0000AB250000}"/>
    <cellStyle name="Normal 9 2 3 4 2" xfId="9786" xr:uid="{00000000-0005-0000-0000-0000AC250000}"/>
    <cellStyle name="Normal 9 2 3 4 2 2" xfId="9787" xr:uid="{00000000-0005-0000-0000-0000AD250000}"/>
    <cellStyle name="Normal 9 2 3 4 3" xfId="9788" xr:uid="{00000000-0005-0000-0000-0000AE250000}"/>
    <cellStyle name="Normal 9 2 3 4 4" xfId="9789" xr:uid="{00000000-0005-0000-0000-0000AF250000}"/>
    <cellStyle name="Normal 9 2 3 5" xfId="9790" xr:uid="{00000000-0005-0000-0000-0000B0250000}"/>
    <cellStyle name="Normal 9 2 3 5 2" xfId="9791" xr:uid="{00000000-0005-0000-0000-0000B1250000}"/>
    <cellStyle name="Normal 9 2 3 6" xfId="9792" xr:uid="{00000000-0005-0000-0000-0000B2250000}"/>
    <cellStyle name="Normal 9 2 3 7" xfId="9793" xr:uid="{00000000-0005-0000-0000-0000B3250000}"/>
    <cellStyle name="Normal 9 2 4" xfId="1979" xr:uid="{00000000-0005-0000-0000-0000B4250000}"/>
    <cellStyle name="Normal 9 2 4 2" xfId="1980" xr:uid="{00000000-0005-0000-0000-0000B5250000}"/>
    <cellStyle name="Normal 9 2 4 2 2" xfId="1981" xr:uid="{00000000-0005-0000-0000-0000B6250000}"/>
    <cellStyle name="Normal 9 2 4 2 2 2" xfId="9794" xr:uid="{00000000-0005-0000-0000-0000B7250000}"/>
    <cellStyle name="Normal 9 2 4 2 2 2 2" xfId="9795" xr:uid="{00000000-0005-0000-0000-0000B8250000}"/>
    <cellStyle name="Normal 9 2 4 2 2 3" xfId="9796" xr:uid="{00000000-0005-0000-0000-0000B9250000}"/>
    <cellStyle name="Normal 9 2 4 2 2 4" xfId="9797" xr:uid="{00000000-0005-0000-0000-0000BA250000}"/>
    <cellStyle name="Normal 9 2 4 2 3" xfId="9798" xr:uid="{00000000-0005-0000-0000-0000BB250000}"/>
    <cellStyle name="Normal 9 2 4 2 3 2" xfId="9799" xr:uid="{00000000-0005-0000-0000-0000BC250000}"/>
    <cellStyle name="Normal 9 2 4 2 4" xfId="9800" xr:uid="{00000000-0005-0000-0000-0000BD250000}"/>
    <cellStyle name="Normal 9 2 4 2 5" xfId="9801" xr:uid="{00000000-0005-0000-0000-0000BE250000}"/>
    <cellStyle name="Normal 9 2 4 3" xfId="1982" xr:uid="{00000000-0005-0000-0000-0000BF250000}"/>
    <cellStyle name="Normal 9 2 4 3 2" xfId="9802" xr:uid="{00000000-0005-0000-0000-0000C0250000}"/>
    <cellStyle name="Normal 9 2 4 3 2 2" xfId="9803" xr:uid="{00000000-0005-0000-0000-0000C1250000}"/>
    <cellStyle name="Normal 9 2 4 3 3" xfId="9804" xr:uid="{00000000-0005-0000-0000-0000C2250000}"/>
    <cellStyle name="Normal 9 2 4 3 4" xfId="9805" xr:uid="{00000000-0005-0000-0000-0000C3250000}"/>
    <cellStyle name="Normal 9 2 4 4" xfId="9806" xr:uid="{00000000-0005-0000-0000-0000C4250000}"/>
    <cellStyle name="Normal 9 2 4 4 2" xfId="9807" xr:uid="{00000000-0005-0000-0000-0000C5250000}"/>
    <cellStyle name="Normal 9 2 4 5" xfId="9808" xr:uid="{00000000-0005-0000-0000-0000C6250000}"/>
    <cellStyle name="Normal 9 2 4 6" xfId="9809" xr:uid="{00000000-0005-0000-0000-0000C7250000}"/>
    <cellStyle name="Normal 9 2 5" xfId="1983" xr:uid="{00000000-0005-0000-0000-0000C8250000}"/>
    <cellStyle name="Normal 9 2 5 2" xfId="1984" xr:uid="{00000000-0005-0000-0000-0000C9250000}"/>
    <cellStyle name="Normal 9 2 5 2 2" xfId="9810" xr:uid="{00000000-0005-0000-0000-0000CA250000}"/>
    <cellStyle name="Normal 9 2 5 2 2 2" xfId="9811" xr:uid="{00000000-0005-0000-0000-0000CB250000}"/>
    <cellStyle name="Normal 9 2 5 2 3" xfId="9812" xr:uid="{00000000-0005-0000-0000-0000CC250000}"/>
    <cellStyle name="Normal 9 2 5 2 4" xfId="9813" xr:uid="{00000000-0005-0000-0000-0000CD250000}"/>
    <cellStyle name="Normal 9 2 5 3" xfId="9814" xr:uid="{00000000-0005-0000-0000-0000CE250000}"/>
    <cellStyle name="Normal 9 2 5 3 2" xfId="9815" xr:uid="{00000000-0005-0000-0000-0000CF250000}"/>
    <cellStyle name="Normal 9 2 5 4" xfId="9816" xr:uid="{00000000-0005-0000-0000-0000D0250000}"/>
    <cellStyle name="Normal 9 2 5 5" xfId="9817" xr:uid="{00000000-0005-0000-0000-0000D1250000}"/>
    <cellStyle name="Normal 9 2 6" xfId="1985" xr:uid="{00000000-0005-0000-0000-0000D2250000}"/>
    <cellStyle name="Normal 9 2 6 2" xfId="9818" xr:uid="{00000000-0005-0000-0000-0000D3250000}"/>
    <cellStyle name="Normal 9 2 6 2 2" xfId="9819" xr:uid="{00000000-0005-0000-0000-0000D4250000}"/>
    <cellStyle name="Normal 9 2 6 3" xfId="9820" xr:uid="{00000000-0005-0000-0000-0000D5250000}"/>
    <cellStyle name="Normal 9 2 6 4" xfId="9821" xr:uid="{00000000-0005-0000-0000-0000D6250000}"/>
    <cellStyle name="Normal 9 2 7" xfId="9822" xr:uid="{00000000-0005-0000-0000-0000D7250000}"/>
    <cellStyle name="Normal 9 2 7 2" xfId="9823" xr:uid="{00000000-0005-0000-0000-0000D8250000}"/>
    <cellStyle name="Normal 9 2 8" xfId="9824" xr:uid="{00000000-0005-0000-0000-0000D9250000}"/>
    <cellStyle name="Normal 9 2 9" xfId="9825" xr:uid="{00000000-0005-0000-0000-0000DA250000}"/>
    <cellStyle name="Normal 9 3" xfId="1986" xr:uid="{00000000-0005-0000-0000-0000DB250000}"/>
    <cellStyle name="Normal 9 3 10" xfId="9826" xr:uid="{00000000-0005-0000-0000-0000DC250000}"/>
    <cellStyle name="Normal 9 3 2" xfId="1987" xr:uid="{00000000-0005-0000-0000-0000DD250000}"/>
    <cellStyle name="Normal 9 3 2 2" xfId="1988" xr:uid="{00000000-0005-0000-0000-0000DE250000}"/>
    <cellStyle name="Normal 9 3 2 2 2" xfId="1989" xr:uid="{00000000-0005-0000-0000-0000DF250000}"/>
    <cellStyle name="Normal 9 3 2 2 2 2" xfId="1990" xr:uid="{00000000-0005-0000-0000-0000E0250000}"/>
    <cellStyle name="Normal 9 3 2 2 2 2 2" xfId="1991" xr:uid="{00000000-0005-0000-0000-0000E1250000}"/>
    <cellStyle name="Normal 9 3 2 2 2 2 2 2" xfId="9827" xr:uid="{00000000-0005-0000-0000-0000E2250000}"/>
    <cellStyle name="Normal 9 3 2 2 2 2 2 2 2" xfId="9828" xr:uid="{00000000-0005-0000-0000-0000E3250000}"/>
    <cellStyle name="Normal 9 3 2 2 2 2 2 3" xfId="9829" xr:uid="{00000000-0005-0000-0000-0000E4250000}"/>
    <cellStyle name="Normal 9 3 2 2 2 2 2 4" xfId="9830" xr:uid="{00000000-0005-0000-0000-0000E5250000}"/>
    <cellStyle name="Normal 9 3 2 2 2 2 3" xfId="9831" xr:uid="{00000000-0005-0000-0000-0000E6250000}"/>
    <cellStyle name="Normal 9 3 2 2 2 2 3 2" xfId="9832" xr:uid="{00000000-0005-0000-0000-0000E7250000}"/>
    <cellStyle name="Normal 9 3 2 2 2 2 4" xfId="9833" xr:uid="{00000000-0005-0000-0000-0000E8250000}"/>
    <cellStyle name="Normal 9 3 2 2 2 2 5" xfId="9834" xr:uid="{00000000-0005-0000-0000-0000E9250000}"/>
    <cellStyle name="Normal 9 3 2 2 2 3" xfId="1992" xr:uid="{00000000-0005-0000-0000-0000EA250000}"/>
    <cellStyle name="Normal 9 3 2 2 2 3 2" xfId="9835" xr:uid="{00000000-0005-0000-0000-0000EB250000}"/>
    <cellStyle name="Normal 9 3 2 2 2 3 2 2" xfId="9836" xr:uid="{00000000-0005-0000-0000-0000EC250000}"/>
    <cellStyle name="Normal 9 3 2 2 2 3 3" xfId="9837" xr:uid="{00000000-0005-0000-0000-0000ED250000}"/>
    <cellStyle name="Normal 9 3 2 2 2 3 4" xfId="9838" xr:uid="{00000000-0005-0000-0000-0000EE250000}"/>
    <cellStyle name="Normal 9 3 2 2 2 4" xfId="9839" xr:uid="{00000000-0005-0000-0000-0000EF250000}"/>
    <cellStyle name="Normal 9 3 2 2 2 4 2" xfId="9840" xr:uid="{00000000-0005-0000-0000-0000F0250000}"/>
    <cellStyle name="Normal 9 3 2 2 2 5" xfId="9841" xr:uid="{00000000-0005-0000-0000-0000F1250000}"/>
    <cellStyle name="Normal 9 3 2 2 2 6" xfId="9842" xr:uid="{00000000-0005-0000-0000-0000F2250000}"/>
    <cellStyle name="Normal 9 3 2 2 3" xfId="1993" xr:uid="{00000000-0005-0000-0000-0000F3250000}"/>
    <cellStyle name="Normal 9 3 2 2 3 2" xfId="1994" xr:uid="{00000000-0005-0000-0000-0000F4250000}"/>
    <cellStyle name="Normal 9 3 2 2 3 2 2" xfId="9843" xr:uid="{00000000-0005-0000-0000-0000F5250000}"/>
    <cellStyle name="Normal 9 3 2 2 3 2 2 2" xfId="9844" xr:uid="{00000000-0005-0000-0000-0000F6250000}"/>
    <cellStyle name="Normal 9 3 2 2 3 2 3" xfId="9845" xr:uid="{00000000-0005-0000-0000-0000F7250000}"/>
    <cellStyle name="Normal 9 3 2 2 3 2 4" xfId="9846" xr:uid="{00000000-0005-0000-0000-0000F8250000}"/>
    <cellStyle name="Normal 9 3 2 2 3 3" xfId="9847" xr:uid="{00000000-0005-0000-0000-0000F9250000}"/>
    <cellStyle name="Normal 9 3 2 2 3 3 2" xfId="9848" xr:uid="{00000000-0005-0000-0000-0000FA250000}"/>
    <cellStyle name="Normal 9 3 2 2 3 4" xfId="9849" xr:uid="{00000000-0005-0000-0000-0000FB250000}"/>
    <cellStyle name="Normal 9 3 2 2 3 5" xfId="9850" xr:uid="{00000000-0005-0000-0000-0000FC250000}"/>
    <cellStyle name="Normal 9 3 2 2 4" xfId="1995" xr:uid="{00000000-0005-0000-0000-0000FD250000}"/>
    <cellStyle name="Normal 9 3 2 2 4 2" xfId="9851" xr:uid="{00000000-0005-0000-0000-0000FE250000}"/>
    <cellStyle name="Normal 9 3 2 2 4 2 2" xfId="9852" xr:uid="{00000000-0005-0000-0000-0000FF250000}"/>
    <cellStyle name="Normal 9 3 2 2 4 3" xfId="9853" xr:uid="{00000000-0005-0000-0000-000000260000}"/>
    <cellStyle name="Normal 9 3 2 2 4 4" xfId="9854" xr:uid="{00000000-0005-0000-0000-000001260000}"/>
    <cellStyle name="Normal 9 3 2 2 5" xfId="9855" xr:uid="{00000000-0005-0000-0000-000002260000}"/>
    <cellStyle name="Normal 9 3 2 2 5 2" xfId="9856" xr:uid="{00000000-0005-0000-0000-000003260000}"/>
    <cellStyle name="Normal 9 3 2 2 6" xfId="9857" xr:uid="{00000000-0005-0000-0000-000004260000}"/>
    <cellStyle name="Normal 9 3 2 2 7" xfId="9858" xr:uid="{00000000-0005-0000-0000-000005260000}"/>
    <cellStyle name="Normal 9 3 2 3" xfId="1996" xr:uid="{00000000-0005-0000-0000-000006260000}"/>
    <cellStyle name="Normal 9 3 2 3 2" xfId="1997" xr:uid="{00000000-0005-0000-0000-000007260000}"/>
    <cellStyle name="Normal 9 3 2 3 2 2" xfId="1998" xr:uid="{00000000-0005-0000-0000-000008260000}"/>
    <cellStyle name="Normal 9 3 2 3 2 2 2" xfId="9859" xr:uid="{00000000-0005-0000-0000-000009260000}"/>
    <cellStyle name="Normal 9 3 2 3 2 2 2 2" xfId="9860" xr:uid="{00000000-0005-0000-0000-00000A260000}"/>
    <cellStyle name="Normal 9 3 2 3 2 2 3" xfId="9861" xr:uid="{00000000-0005-0000-0000-00000B260000}"/>
    <cellStyle name="Normal 9 3 2 3 2 2 4" xfId="9862" xr:uid="{00000000-0005-0000-0000-00000C260000}"/>
    <cellStyle name="Normal 9 3 2 3 2 3" xfId="9863" xr:uid="{00000000-0005-0000-0000-00000D260000}"/>
    <cellStyle name="Normal 9 3 2 3 2 3 2" xfId="9864" xr:uid="{00000000-0005-0000-0000-00000E260000}"/>
    <cellStyle name="Normal 9 3 2 3 2 4" xfId="9865" xr:uid="{00000000-0005-0000-0000-00000F260000}"/>
    <cellStyle name="Normal 9 3 2 3 2 5" xfId="9866" xr:uid="{00000000-0005-0000-0000-000010260000}"/>
    <cellStyle name="Normal 9 3 2 3 3" xfId="1999" xr:uid="{00000000-0005-0000-0000-000011260000}"/>
    <cellStyle name="Normal 9 3 2 3 3 2" xfId="9867" xr:uid="{00000000-0005-0000-0000-000012260000}"/>
    <cellStyle name="Normal 9 3 2 3 3 2 2" xfId="9868" xr:uid="{00000000-0005-0000-0000-000013260000}"/>
    <cellStyle name="Normal 9 3 2 3 3 3" xfId="9869" xr:uid="{00000000-0005-0000-0000-000014260000}"/>
    <cellStyle name="Normal 9 3 2 3 3 4" xfId="9870" xr:uid="{00000000-0005-0000-0000-000015260000}"/>
    <cellStyle name="Normal 9 3 2 3 4" xfId="9871" xr:uid="{00000000-0005-0000-0000-000016260000}"/>
    <cellStyle name="Normal 9 3 2 3 4 2" xfId="9872" xr:uid="{00000000-0005-0000-0000-000017260000}"/>
    <cellStyle name="Normal 9 3 2 3 5" xfId="9873" xr:uid="{00000000-0005-0000-0000-000018260000}"/>
    <cellStyle name="Normal 9 3 2 3 6" xfId="9874" xr:uid="{00000000-0005-0000-0000-000019260000}"/>
    <cellStyle name="Normal 9 3 2 4" xfId="2000" xr:uid="{00000000-0005-0000-0000-00001A260000}"/>
    <cellStyle name="Normal 9 3 2 4 2" xfId="2001" xr:uid="{00000000-0005-0000-0000-00001B260000}"/>
    <cellStyle name="Normal 9 3 2 4 2 2" xfId="9875" xr:uid="{00000000-0005-0000-0000-00001C260000}"/>
    <cellStyle name="Normal 9 3 2 4 2 2 2" xfId="9876" xr:uid="{00000000-0005-0000-0000-00001D260000}"/>
    <cellStyle name="Normal 9 3 2 4 2 3" xfId="9877" xr:uid="{00000000-0005-0000-0000-00001E260000}"/>
    <cellStyle name="Normal 9 3 2 4 2 4" xfId="9878" xr:uid="{00000000-0005-0000-0000-00001F260000}"/>
    <cellStyle name="Normal 9 3 2 4 3" xfId="9879" xr:uid="{00000000-0005-0000-0000-000020260000}"/>
    <cellStyle name="Normal 9 3 2 4 3 2" xfId="9880" xr:uid="{00000000-0005-0000-0000-000021260000}"/>
    <cellStyle name="Normal 9 3 2 4 4" xfId="9881" xr:uid="{00000000-0005-0000-0000-000022260000}"/>
    <cellStyle name="Normal 9 3 2 4 5" xfId="9882" xr:uid="{00000000-0005-0000-0000-000023260000}"/>
    <cellStyle name="Normal 9 3 2 5" xfId="2002" xr:uid="{00000000-0005-0000-0000-000024260000}"/>
    <cellStyle name="Normal 9 3 2 5 2" xfId="9883" xr:uid="{00000000-0005-0000-0000-000025260000}"/>
    <cellStyle name="Normal 9 3 2 5 2 2" xfId="9884" xr:uid="{00000000-0005-0000-0000-000026260000}"/>
    <cellStyle name="Normal 9 3 2 5 3" xfId="9885" xr:uid="{00000000-0005-0000-0000-000027260000}"/>
    <cellStyle name="Normal 9 3 2 5 4" xfId="9886" xr:uid="{00000000-0005-0000-0000-000028260000}"/>
    <cellStyle name="Normal 9 3 2 6" xfId="9887" xr:uid="{00000000-0005-0000-0000-000029260000}"/>
    <cellStyle name="Normal 9 3 2 6 2" xfId="9888" xr:uid="{00000000-0005-0000-0000-00002A260000}"/>
    <cellStyle name="Normal 9 3 2 7" xfId="9889" xr:uid="{00000000-0005-0000-0000-00002B260000}"/>
    <cellStyle name="Normal 9 3 2 8" xfId="9890" xr:uid="{00000000-0005-0000-0000-00002C260000}"/>
    <cellStyle name="Normal 9 3 3" xfId="2003" xr:uid="{00000000-0005-0000-0000-00002D260000}"/>
    <cellStyle name="Normal 9 3 3 2" xfId="2004" xr:uid="{00000000-0005-0000-0000-00002E260000}"/>
    <cellStyle name="Normal 9 3 3 2 2" xfId="2005" xr:uid="{00000000-0005-0000-0000-00002F260000}"/>
    <cellStyle name="Normal 9 3 3 2 2 2" xfId="2006" xr:uid="{00000000-0005-0000-0000-000030260000}"/>
    <cellStyle name="Normal 9 3 3 2 2 2 2" xfId="2007" xr:uid="{00000000-0005-0000-0000-000031260000}"/>
    <cellStyle name="Normal 9 3 3 2 2 2 2 2" xfId="9891" xr:uid="{00000000-0005-0000-0000-000032260000}"/>
    <cellStyle name="Normal 9 3 3 2 2 2 2 2 2" xfId="9892" xr:uid="{00000000-0005-0000-0000-000033260000}"/>
    <cellStyle name="Normal 9 3 3 2 2 2 2 3" xfId="9893" xr:uid="{00000000-0005-0000-0000-000034260000}"/>
    <cellStyle name="Normal 9 3 3 2 2 2 2 4" xfId="9894" xr:uid="{00000000-0005-0000-0000-000035260000}"/>
    <cellStyle name="Normal 9 3 3 2 2 2 3" xfId="9895" xr:uid="{00000000-0005-0000-0000-000036260000}"/>
    <cellStyle name="Normal 9 3 3 2 2 2 3 2" xfId="9896" xr:uid="{00000000-0005-0000-0000-000037260000}"/>
    <cellStyle name="Normal 9 3 3 2 2 2 4" xfId="9897" xr:uid="{00000000-0005-0000-0000-000038260000}"/>
    <cellStyle name="Normal 9 3 3 2 2 2 5" xfId="9898" xr:uid="{00000000-0005-0000-0000-000039260000}"/>
    <cellStyle name="Normal 9 3 3 2 2 3" xfId="2008" xr:uid="{00000000-0005-0000-0000-00003A260000}"/>
    <cellStyle name="Normal 9 3 3 2 2 3 2" xfId="9899" xr:uid="{00000000-0005-0000-0000-00003B260000}"/>
    <cellStyle name="Normal 9 3 3 2 2 3 2 2" xfId="9900" xr:uid="{00000000-0005-0000-0000-00003C260000}"/>
    <cellStyle name="Normal 9 3 3 2 2 3 3" xfId="9901" xr:uid="{00000000-0005-0000-0000-00003D260000}"/>
    <cellStyle name="Normal 9 3 3 2 2 3 4" xfId="9902" xr:uid="{00000000-0005-0000-0000-00003E260000}"/>
    <cellStyle name="Normal 9 3 3 2 2 4" xfId="9903" xr:uid="{00000000-0005-0000-0000-00003F260000}"/>
    <cellStyle name="Normal 9 3 3 2 2 4 2" xfId="9904" xr:uid="{00000000-0005-0000-0000-000040260000}"/>
    <cellStyle name="Normal 9 3 3 2 2 5" xfId="9905" xr:uid="{00000000-0005-0000-0000-000041260000}"/>
    <cellStyle name="Normal 9 3 3 2 2 6" xfId="9906" xr:uid="{00000000-0005-0000-0000-000042260000}"/>
    <cellStyle name="Normal 9 3 3 2 3" xfId="2009" xr:uid="{00000000-0005-0000-0000-000043260000}"/>
    <cellStyle name="Normal 9 3 3 2 3 2" xfId="2010" xr:uid="{00000000-0005-0000-0000-000044260000}"/>
    <cellStyle name="Normal 9 3 3 2 3 2 2" xfId="9907" xr:uid="{00000000-0005-0000-0000-000045260000}"/>
    <cellStyle name="Normal 9 3 3 2 3 2 2 2" xfId="9908" xr:uid="{00000000-0005-0000-0000-000046260000}"/>
    <cellStyle name="Normal 9 3 3 2 3 2 3" xfId="9909" xr:uid="{00000000-0005-0000-0000-000047260000}"/>
    <cellStyle name="Normal 9 3 3 2 3 2 4" xfId="9910" xr:uid="{00000000-0005-0000-0000-000048260000}"/>
    <cellStyle name="Normal 9 3 3 2 3 3" xfId="9911" xr:uid="{00000000-0005-0000-0000-000049260000}"/>
    <cellStyle name="Normal 9 3 3 2 3 3 2" xfId="9912" xr:uid="{00000000-0005-0000-0000-00004A260000}"/>
    <cellStyle name="Normal 9 3 3 2 3 4" xfId="9913" xr:uid="{00000000-0005-0000-0000-00004B260000}"/>
    <cellStyle name="Normal 9 3 3 2 3 5" xfId="9914" xr:uid="{00000000-0005-0000-0000-00004C260000}"/>
    <cellStyle name="Normal 9 3 3 2 4" xfId="2011" xr:uid="{00000000-0005-0000-0000-00004D260000}"/>
    <cellStyle name="Normal 9 3 3 2 4 2" xfId="9915" xr:uid="{00000000-0005-0000-0000-00004E260000}"/>
    <cellStyle name="Normal 9 3 3 2 4 2 2" xfId="9916" xr:uid="{00000000-0005-0000-0000-00004F260000}"/>
    <cellStyle name="Normal 9 3 3 2 4 3" xfId="9917" xr:uid="{00000000-0005-0000-0000-000050260000}"/>
    <cellStyle name="Normal 9 3 3 2 4 4" xfId="9918" xr:uid="{00000000-0005-0000-0000-000051260000}"/>
    <cellStyle name="Normal 9 3 3 2 5" xfId="9919" xr:uid="{00000000-0005-0000-0000-000052260000}"/>
    <cellStyle name="Normal 9 3 3 2 5 2" xfId="9920" xr:uid="{00000000-0005-0000-0000-000053260000}"/>
    <cellStyle name="Normal 9 3 3 2 6" xfId="9921" xr:uid="{00000000-0005-0000-0000-000054260000}"/>
    <cellStyle name="Normal 9 3 3 2 7" xfId="9922" xr:uid="{00000000-0005-0000-0000-000055260000}"/>
    <cellStyle name="Normal 9 3 3 3" xfId="2012" xr:uid="{00000000-0005-0000-0000-000056260000}"/>
    <cellStyle name="Normal 9 3 3 3 2" xfId="2013" xr:uid="{00000000-0005-0000-0000-000057260000}"/>
    <cellStyle name="Normal 9 3 3 3 2 2" xfId="2014" xr:uid="{00000000-0005-0000-0000-000058260000}"/>
    <cellStyle name="Normal 9 3 3 3 2 2 2" xfId="9923" xr:uid="{00000000-0005-0000-0000-000059260000}"/>
    <cellStyle name="Normal 9 3 3 3 2 2 2 2" xfId="9924" xr:uid="{00000000-0005-0000-0000-00005A260000}"/>
    <cellStyle name="Normal 9 3 3 3 2 2 3" xfId="9925" xr:uid="{00000000-0005-0000-0000-00005B260000}"/>
    <cellStyle name="Normal 9 3 3 3 2 2 4" xfId="9926" xr:uid="{00000000-0005-0000-0000-00005C260000}"/>
    <cellStyle name="Normal 9 3 3 3 2 3" xfId="9927" xr:uid="{00000000-0005-0000-0000-00005D260000}"/>
    <cellStyle name="Normal 9 3 3 3 2 3 2" xfId="9928" xr:uid="{00000000-0005-0000-0000-00005E260000}"/>
    <cellStyle name="Normal 9 3 3 3 2 4" xfId="9929" xr:uid="{00000000-0005-0000-0000-00005F260000}"/>
    <cellStyle name="Normal 9 3 3 3 2 5" xfId="9930" xr:uid="{00000000-0005-0000-0000-000060260000}"/>
    <cellStyle name="Normal 9 3 3 3 3" xfId="2015" xr:uid="{00000000-0005-0000-0000-000061260000}"/>
    <cellStyle name="Normal 9 3 3 3 3 2" xfId="9931" xr:uid="{00000000-0005-0000-0000-000062260000}"/>
    <cellStyle name="Normal 9 3 3 3 3 2 2" xfId="9932" xr:uid="{00000000-0005-0000-0000-000063260000}"/>
    <cellStyle name="Normal 9 3 3 3 3 3" xfId="9933" xr:uid="{00000000-0005-0000-0000-000064260000}"/>
    <cellStyle name="Normal 9 3 3 3 3 4" xfId="9934" xr:uid="{00000000-0005-0000-0000-000065260000}"/>
    <cellStyle name="Normal 9 3 3 3 4" xfId="9935" xr:uid="{00000000-0005-0000-0000-000066260000}"/>
    <cellStyle name="Normal 9 3 3 3 4 2" xfId="9936" xr:uid="{00000000-0005-0000-0000-000067260000}"/>
    <cellStyle name="Normal 9 3 3 3 5" xfId="9937" xr:uid="{00000000-0005-0000-0000-000068260000}"/>
    <cellStyle name="Normal 9 3 3 3 6" xfId="9938" xr:uid="{00000000-0005-0000-0000-000069260000}"/>
    <cellStyle name="Normal 9 3 3 4" xfId="2016" xr:uid="{00000000-0005-0000-0000-00006A260000}"/>
    <cellStyle name="Normal 9 3 3 4 2" xfId="2017" xr:uid="{00000000-0005-0000-0000-00006B260000}"/>
    <cellStyle name="Normal 9 3 3 4 2 2" xfId="9939" xr:uid="{00000000-0005-0000-0000-00006C260000}"/>
    <cellStyle name="Normal 9 3 3 4 2 2 2" xfId="9940" xr:uid="{00000000-0005-0000-0000-00006D260000}"/>
    <cellStyle name="Normal 9 3 3 4 2 3" xfId="9941" xr:uid="{00000000-0005-0000-0000-00006E260000}"/>
    <cellStyle name="Normal 9 3 3 4 2 4" xfId="9942" xr:uid="{00000000-0005-0000-0000-00006F260000}"/>
    <cellStyle name="Normal 9 3 3 4 3" xfId="9943" xr:uid="{00000000-0005-0000-0000-000070260000}"/>
    <cellStyle name="Normal 9 3 3 4 3 2" xfId="9944" xr:uid="{00000000-0005-0000-0000-000071260000}"/>
    <cellStyle name="Normal 9 3 3 4 4" xfId="9945" xr:uid="{00000000-0005-0000-0000-000072260000}"/>
    <cellStyle name="Normal 9 3 3 4 5" xfId="9946" xr:uid="{00000000-0005-0000-0000-000073260000}"/>
    <cellStyle name="Normal 9 3 3 5" xfId="2018" xr:uid="{00000000-0005-0000-0000-000074260000}"/>
    <cellStyle name="Normal 9 3 3 5 2" xfId="9947" xr:uid="{00000000-0005-0000-0000-000075260000}"/>
    <cellStyle name="Normal 9 3 3 5 2 2" xfId="9948" xr:uid="{00000000-0005-0000-0000-000076260000}"/>
    <cellStyle name="Normal 9 3 3 5 3" xfId="9949" xr:uid="{00000000-0005-0000-0000-000077260000}"/>
    <cellStyle name="Normal 9 3 3 5 4" xfId="9950" xr:uid="{00000000-0005-0000-0000-000078260000}"/>
    <cellStyle name="Normal 9 3 3 6" xfId="9951" xr:uid="{00000000-0005-0000-0000-000079260000}"/>
    <cellStyle name="Normal 9 3 3 6 2" xfId="9952" xr:uid="{00000000-0005-0000-0000-00007A260000}"/>
    <cellStyle name="Normal 9 3 3 7" xfId="9953" xr:uid="{00000000-0005-0000-0000-00007B260000}"/>
    <cellStyle name="Normal 9 3 3 8" xfId="9954" xr:uid="{00000000-0005-0000-0000-00007C260000}"/>
    <cellStyle name="Normal 9 3 4" xfId="2019" xr:uid="{00000000-0005-0000-0000-00007D260000}"/>
    <cellStyle name="Normal 9 3 4 2" xfId="2020" xr:uid="{00000000-0005-0000-0000-00007E260000}"/>
    <cellStyle name="Normal 9 3 4 2 2" xfId="2021" xr:uid="{00000000-0005-0000-0000-00007F260000}"/>
    <cellStyle name="Normal 9 3 4 2 2 2" xfId="2022" xr:uid="{00000000-0005-0000-0000-000080260000}"/>
    <cellStyle name="Normal 9 3 4 2 2 2 2" xfId="9955" xr:uid="{00000000-0005-0000-0000-000081260000}"/>
    <cellStyle name="Normal 9 3 4 2 2 2 2 2" xfId="9956" xr:uid="{00000000-0005-0000-0000-000082260000}"/>
    <cellStyle name="Normal 9 3 4 2 2 2 3" xfId="9957" xr:uid="{00000000-0005-0000-0000-000083260000}"/>
    <cellStyle name="Normal 9 3 4 2 2 2 4" xfId="9958" xr:uid="{00000000-0005-0000-0000-000084260000}"/>
    <cellStyle name="Normal 9 3 4 2 2 3" xfId="9959" xr:uid="{00000000-0005-0000-0000-000085260000}"/>
    <cellStyle name="Normal 9 3 4 2 2 3 2" xfId="9960" xr:uid="{00000000-0005-0000-0000-000086260000}"/>
    <cellStyle name="Normal 9 3 4 2 2 4" xfId="9961" xr:uid="{00000000-0005-0000-0000-000087260000}"/>
    <cellStyle name="Normal 9 3 4 2 2 5" xfId="9962" xr:uid="{00000000-0005-0000-0000-000088260000}"/>
    <cellStyle name="Normal 9 3 4 2 3" xfId="2023" xr:uid="{00000000-0005-0000-0000-000089260000}"/>
    <cellStyle name="Normal 9 3 4 2 3 2" xfId="9963" xr:uid="{00000000-0005-0000-0000-00008A260000}"/>
    <cellStyle name="Normal 9 3 4 2 3 2 2" xfId="9964" xr:uid="{00000000-0005-0000-0000-00008B260000}"/>
    <cellStyle name="Normal 9 3 4 2 3 3" xfId="9965" xr:uid="{00000000-0005-0000-0000-00008C260000}"/>
    <cellStyle name="Normal 9 3 4 2 3 4" xfId="9966" xr:uid="{00000000-0005-0000-0000-00008D260000}"/>
    <cellStyle name="Normal 9 3 4 2 4" xfId="9967" xr:uid="{00000000-0005-0000-0000-00008E260000}"/>
    <cellStyle name="Normal 9 3 4 2 4 2" xfId="9968" xr:uid="{00000000-0005-0000-0000-00008F260000}"/>
    <cellStyle name="Normal 9 3 4 2 5" xfId="9969" xr:uid="{00000000-0005-0000-0000-000090260000}"/>
    <cellStyle name="Normal 9 3 4 2 6" xfId="9970" xr:uid="{00000000-0005-0000-0000-000091260000}"/>
    <cellStyle name="Normal 9 3 4 3" xfId="2024" xr:uid="{00000000-0005-0000-0000-000092260000}"/>
    <cellStyle name="Normal 9 3 4 3 2" xfId="2025" xr:uid="{00000000-0005-0000-0000-000093260000}"/>
    <cellStyle name="Normal 9 3 4 3 2 2" xfId="9971" xr:uid="{00000000-0005-0000-0000-000094260000}"/>
    <cellStyle name="Normal 9 3 4 3 2 2 2" xfId="9972" xr:uid="{00000000-0005-0000-0000-000095260000}"/>
    <cellStyle name="Normal 9 3 4 3 2 3" xfId="9973" xr:uid="{00000000-0005-0000-0000-000096260000}"/>
    <cellStyle name="Normal 9 3 4 3 2 4" xfId="9974" xr:uid="{00000000-0005-0000-0000-000097260000}"/>
    <cellStyle name="Normal 9 3 4 3 3" xfId="9975" xr:uid="{00000000-0005-0000-0000-000098260000}"/>
    <cellStyle name="Normal 9 3 4 3 3 2" xfId="9976" xr:uid="{00000000-0005-0000-0000-000099260000}"/>
    <cellStyle name="Normal 9 3 4 3 4" xfId="9977" xr:uid="{00000000-0005-0000-0000-00009A260000}"/>
    <cellStyle name="Normal 9 3 4 3 5" xfId="9978" xr:uid="{00000000-0005-0000-0000-00009B260000}"/>
    <cellStyle name="Normal 9 3 4 4" xfId="2026" xr:uid="{00000000-0005-0000-0000-00009C260000}"/>
    <cellStyle name="Normal 9 3 4 4 2" xfId="9979" xr:uid="{00000000-0005-0000-0000-00009D260000}"/>
    <cellStyle name="Normal 9 3 4 4 2 2" xfId="9980" xr:uid="{00000000-0005-0000-0000-00009E260000}"/>
    <cellStyle name="Normal 9 3 4 4 3" xfId="9981" xr:uid="{00000000-0005-0000-0000-00009F260000}"/>
    <cellStyle name="Normal 9 3 4 4 4" xfId="9982" xr:uid="{00000000-0005-0000-0000-0000A0260000}"/>
    <cellStyle name="Normal 9 3 4 5" xfId="9983" xr:uid="{00000000-0005-0000-0000-0000A1260000}"/>
    <cellStyle name="Normal 9 3 4 5 2" xfId="9984" xr:uid="{00000000-0005-0000-0000-0000A2260000}"/>
    <cellStyle name="Normal 9 3 4 6" xfId="9985" xr:uid="{00000000-0005-0000-0000-0000A3260000}"/>
    <cellStyle name="Normal 9 3 4 7" xfId="9986" xr:uid="{00000000-0005-0000-0000-0000A4260000}"/>
    <cellStyle name="Normal 9 3 5" xfId="2027" xr:uid="{00000000-0005-0000-0000-0000A5260000}"/>
    <cellStyle name="Normal 9 3 5 2" xfId="2028" xr:uid="{00000000-0005-0000-0000-0000A6260000}"/>
    <cellStyle name="Normal 9 3 5 2 2" xfId="2029" xr:uid="{00000000-0005-0000-0000-0000A7260000}"/>
    <cellStyle name="Normal 9 3 5 2 2 2" xfId="9987" xr:uid="{00000000-0005-0000-0000-0000A8260000}"/>
    <cellStyle name="Normal 9 3 5 2 2 2 2" xfId="9988" xr:uid="{00000000-0005-0000-0000-0000A9260000}"/>
    <cellStyle name="Normal 9 3 5 2 2 3" xfId="9989" xr:uid="{00000000-0005-0000-0000-0000AA260000}"/>
    <cellStyle name="Normal 9 3 5 2 2 4" xfId="9990" xr:uid="{00000000-0005-0000-0000-0000AB260000}"/>
    <cellStyle name="Normal 9 3 5 2 3" xfId="9991" xr:uid="{00000000-0005-0000-0000-0000AC260000}"/>
    <cellStyle name="Normal 9 3 5 2 3 2" xfId="9992" xr:uid="{00000000-0005-0000-0000-0000AD260000}"/>
    <cellStyle name="Normal 9 3 5 2 4" xfId="9993" xr:uid="{00000000-0005-0000-0000-0000AE260000}"/>
    <cellStyle name="Normal 9 3 5 2 5" xfId="9994" xr:uid="{00000000-0005-0000-0000-0000AF260000}"/>
    <cellStyle name="Normal 9 3 5 3" xfId="2030" xr:uid="{00000000-0005-0000-0000-0000B0260000}"/>
    <cellStyle name="Normal 9 3 5 3 2" xfId="9995" xr:uid="{00000000-0005-0000-0000-0000B1260000}"/>
    <cellStyle name="Normal 9 3 5 3 2 2" xfId="9996" xr:uid="{00000000-0005-0000-0000-0000B2260000}"/>
    <cellStyle name="Normal 9 3 5 3 3" xfId="9997" xr:uid="{00000000-0005-0000-0000-0000B3260000}"/>
    <cellStyle name="Normal 9 3 5 3 4" xfId="9998" xr:uid="{00000000-0005-0000-0000-0000B4260000}"/>
    <cellStyle name="Normal 9 3 5 4" xfId="9999" xr:uid="{00000000-0005-0000-0000-0000B5260000}"/>
    <cellStyle name="Normal 9 3 5 4 2" xfId="10000" xr:uid="{00000000-0005-0000-0000-0000B6260000}"/>
    <cellStyle name="Normal 9 3 5 5" xfId="10001" xr:uid="{00000000-0005-0000-0000-0000B7260000}"/>
    <cellStyle name="Normal 9 3 5 6" xfId="10002" xr:uid="{00000000-0005-0000-0000-0000B8260000}"/>
    <cellStyle name="Normal 9 3 6" xfId="2031" xr:uid="{00000000-0005-0000-0000-0000B9260000}"/>
    <cellStyle name="Normal 9 3 6 2" xfId="2032" xr:uid="{00000000-0005-0000-0000-0000BA260000}"/>
    <cellStyle name="Normal 9 3 6 2 2" xfId="10003" xr:uid="{00000000-0005-0000-0000-0000BB260000}"/>
    <cellStyle name="Normal 9 3 6 2 2 2" xfId="10004" xr:uid="{00000000-0005-0000-0000-0000BC260000}"/>
    <cellStyle name="Normal 9 3 6 2 3" xfId="10005" xr:uid="{00000000-0005-0000-0000-0000BD260000}"/>
    <cellStyle name="Normal 9 3 6 2 4" xfId="10006" xr:uid="{00000000-0005-0000-0000-0000BE260000}"/>
    <cellStyle name="Normal 9 3 6 3" xfId="10007" xr:uid="{00000000-0005-0000-0000-0000BF260000}"/>
    <cellStyle name="Normal 9 3 6 3 2" xfId="10008" xr:uid="{00000000-0005-0000-0000-0000C0260000}"/>
    <cellStyle name="Normal 9 3 6 4" xfId="10009" xr:uid="{00000000-0005-0000-0000-0000C1260000}"/>
    <cellStyle name="Normal 9 3 6 5" xfId="10010" xr:uid="{00000000-0005-0000-0000-0000C2260000}"/>
    <cellStyle name="Normal 9 3 7" xfId="2033" xr:uid="{00000000-0005-0000-0000-0000C3260000}"/>
    <cellStyle name="Normal 9 3 7 2" xfId="10011" xr:uid="{00000000-0005-0000-0000-0000C4260000}"/>
    <cellStyle name="Normal 9 3 7 2 2" xfId="10012" xr:uid="{00000000-0005-0000-0000-0000C5260000}"/>
    <cellStyle name="Normal 9 3 7 3" xfId="10013" xr:uid="{00000000-0005-0000-0000-0000C6260000}"/>
    <cellStyle name="Normal 9 3 7 4" xfId="10014" xr:uid="{00000000-0005-0000-0000-0000C7260000}"/>
    <cellStyle name="Normal 9 3 8" xfId="10015" xr:uid="{00000000-0005-0000-0000-0000C8260000}"/>
    <cellStyle name="Normal 9 3 8 2" xfId="10016" xr:uid="{00000000-0005-0000-0000-0000C9260000}"/>
    <cellStyle name="Normal 9 3 9" xfId="10017" xr:uid="{00000000-0005-0000-0000-0000CA260000}"/>
    <cellStyle name="Normal 9 4" xfId="2034" xr:uid="{00000000-0005-0000-0000-0000CB260000}"/>
    <cellStyle name="Normal 9 4 2" xfId="2035" xr:uid="{00000000-0005-0000-0000-0000CC260000}"/>
    <cellStyle name="Normal 9 4 2 2" xfId="2036" xr:uid="{00000000-0005-0000-0000-0000CD260000}"/>
    <cellStyle name="Normal 9 4 2 2 2" xfId="2037" xr:uid="{00000000-0005-0000-0000-0000CE260000}"/>
    <cellStyle name="Normal 9 4 2 2 2 2" xfId="2038" xr:uid="{00000000-0005-0000-0000-0000CF260000}"/>
    <cellStyle name="Normal 9 4 2 2 2 2 2" xfId="10018" xr:uid="{00000000-0005-0000-0000-0000D0260000}"/>
    <cellStyle name="Normal 9 4 2 2 2 2 2 2" xfId="10019" xr:uid="{00000000-0005-0000-0000-0000D1260000}"/>
    <cellStyle name="Normal 9 4 2 2 2 2 3" xfId="10020" xr:uid="{00000000-0005-0000-0000-0000D2260000}"/>
    <cellStyle name="Normal 9 4 2 2 2 2 4" xfId="10021" xr:uid="{00000000-0005-0000-0000-0000D3260000}"/>
    <cellStyle name="Normal 9 4 2 2 2 3" xfId="10022" xr:uid="{00000000-0005-0000-0000-0000D4260000}"/>
    <cellStyle name="Normal 9 4 2 2 2 3 2" xfId="10023" xr:uid="{00000000-0005-0000-0000-0000D5260000}"/>
    <cellStyle name="Normal 9 4 2 2 2 4" xfId="10024" xr:uid="{00000000-0005-0000-0000-0000D6260000}"/>
    <cellStyle name="Normal 9 4 2 2 2 5" xfId="10025" xr:uid="{00000000-0005-0000-0000-0000D7260000}"/>
    <cellStyle name="Normal 9 4 2 2 3" xfId="2039" xr:uid="{00000000-0005-0000-0000-0000D8260000}"/>
    <cellStyle name="Normal 9 4 2 2 3 2" xfId="10026" xr:uid="{00000000-0005-0000-0000-0000D9260000}"/>
    <cellStyle name="Normal 9 4 2 2 3 2 2" xfId="10027" xr:uid="{00000000-0005-0000-0000-0000DA260000}"/>
    <cellStyle name="Normal 9 4 2 2 3 3" xfId="10028" xr:uid="{00000000-0005-0000-0000-0000DB260000}"/>
    <cellStyle name="Normal 9 4 2 2 3 4" xfId="10029" xr:uid="{00000000-0005-0000-0000-0000DC260000}"/>
    <cellStyle name="Normal 9 4 2 2 4" xfId="10030" xr:uid="{00000000-0005-0000-0000-0000DD260000}"/>
    <cellStyle name="Normal 9 4 2 2 4 2" xfId="10031" xr:uid="{00000000-0005-0000-0000-0000DE260000}"/>
    <cellStyle name="Normal 9 4 2 2 5" xfId="10032" xr:uid="{00000000-0005-0000-0000-0000DF260000}"/>
    <cellStyle name="Normal 9 4 2 2 6" xfId="10033" xr:uid="{00000000-0005-0000-0000-0000E0260000}"/>
    <cellStyle name="Normal 9 4 2 3" xfId="2040" xr:uid="{00000000-0005-0000-0000-0000E1260000}"/>
    <cellStyle name="Normal 9 4 2 3 2" xfId="2041" xr:uid="{00000000-0005-0000-0000-0000E2260000}"/>
    <cellStyle name="Normal 9 4 2 3 2 2" xfId="10034" xr:uid="{00000000-0005-0000-0000-0000E3260000}"/>
    <cellStyle name="Normal 9 4 2 3 2 2 2" xfId="10035" xr:uid="{00000000-0005-0000-0000-0000E4260000}"/>
    <cellStyle name="Normal 9 4 2 3 2 3" xfId="10036" xr:uid="{00000000-0005-0000-0000-0000E5260000}"/>
    <cellStyle name="Normal 9 4 2 3 2 4" xfId="10037" xr:uid="{00000000-0005-0000-0000-0000E6260000}"/>
    <cellStyle name="Normal 9 4 2 3 3" xfId="10038" xr:uid="{00000000-0005-0000-0000-0000E7260000}"/>
    <cellStyle name="Normal 9 4 2 3 3 2" xfId="10039" xr:uid="{00000000-0005-0000-0000-0000E8260000}"/>
    <cellStyle name="Normal 9 4 2 3 4" xfId="10040" xr:uid="{00000000-0005-0000-0000-0000E9260000}"/>
    <cellStyle name="Normal 9 4 2 3 5" xfId="10041" xr:uid="{00000000-0005-0000-0000-0000EA260000}"/>
    <cellStyle name="Normal 9 4 2 4" xfId="2042" xr:uid="{00000000-0005-0000-0000-0000EB260000}"/>
    <cellStyle name="Normal 9 4 2 4 2" xfId="10042" xr:uid="{00000000-0005-0000-0000-0000EC260000}"/>
    <cellStyle name="Normal 9 4 2 4 2 2" xfId="10043" xr:uid="{00000000-0005-0000-0000-0000ED260000}"/>
    <cellStyle name="Normal 9 4 2 4 3" xfId="10044" xr:uid="{00000000-0005-0000-0000-0000EE260000}"/>
    <cellStyle name="Normal 9 4 2 4 4" xfId="10045" xr:uid="{00000000-0005-0000-0000-0000EF260000}"/>
    <cellStyle name="Normal 9 4 2 5" xfId="10046" xr:uid="{00000000-0005-0000-0000-0000F0260000}"/>
    <cellStyle name="Normal 9 4 2 5 2" xfId="10047" xr:uid="{00000000-0005-0000-0000-0000F1260000}"/>
    <cellStyle name="Normal 9 4 2 6" xfId="10048" xr:uid="{00000000-0005-0000-0000-0000F2260000}"/>
    <cellStyle name="Normal 9 4 2 7" xfId="10049" xr:uid="{00000000-0005-0000-0000-0000F3260000}"/>
    <cellStyle name="Normal 9 4 3" xfId="2043" xr:uid="{00000000-0005-0000-0000-0000F4260000}"/>
    <cellStyle name="Normal 9 4 3 2" xfId="2044" xr:uid="{00000000-0005-0000-0000-0000F5260000}"/>
    <cellStyle name="Normal 9 4 3 2 2" xfId="2045" xr:uid="{00000000-0005-0000-0000-0000F6260000}"/>
    <cellStyle name="Normal 9 4 3 2 2 2" xfId="10050" xr:uid="{00000000-0005-0000-0000-0000F7260000}"/>
    <cellStyle name="Normal 9 4 3 2 2 2 2" xfId="10051" xr:uid="{00000000-0005-0000-0000-0000F8260000}"/>
    <cellStyle name="Normal 9 4 3 2 2 3" xfId="10052" xr:uid="{00000000-0005-0000-0000-0000F9260000}"/>
    <cellStyle name="Normal 9 4 3 2 2 4" xfId="10053" xr:uid="{00000000-0005-0000-0000-0000FA260000}"/>
    <cellStyle name="Normal 9 4 3 2 3" xfId="10054" xr:uid="{00000000-0005-0000-0000-0000FB260000}"/>
    <cellStyle name="Normal 9 4 3 2 3 2" xfId="10055" xr:uid="{00000000-0005-0000-0000-0000FC260000}"/>
    <cellStyle name="Normal 9 4 3 2 4" xfId="10056" xr:uid="{00000000-0005-0000-0000-0000FD260000}"/>
    <cellStyle name="Normal 9 4 3 2 5" xfId="10057" xr:uid="{00000000-0005-0000-0000-0000FE260000}"/>
    <cellStyle name="Normal 9 4 3 3" xfId="2046" xr:uid="{00000000-0005-0000-0000-0000FF260000}"/>
    <cellStyle name="Normal 9 4 3 3 2" xfId="10058" xr:uid="{00000000-0005-0000-0000-000000270000}"/>
    <cellStyle name="Normal 9 4 3 3 2 2" xfId="10059" xr:uid="{00000000-0005-0000-0000-000001270000}"/>
    <cellStyle name="Normal 9 4 3 3 3" xfId="10060" xr:uid="{00000000-0005-0000-0000-000002270000}"/>
    <cellStyle name="Normal 9 4 3 3 4" xfId="10061" xr:uid="{00000000-0005-0000-0000-000003270000}"/>
    <cellStyle name="Normal 9 4 3 4" xfId="10062" xr:uid="{00000000-0005-0000-0000-000004270000}"/>
    <cellStyle name="Normal 9 4 3 4 2" xfId="10063" xr:uid="{00000000-0005-0000-0000-000005270000}"/>
    <cellStyle name="Normal 9 4 3 5" xfId="10064" xr:uid="{00000000-0005-0000-0000-000006270000}"/>
    <cellStyle name="Normal 9 4 3 6" xfId="10065" xr:uid="{00000000-0005-0000-0000-000007270000}"/>
    <cellStyle name="Normal 9 4 4" xfId="2047" xr:uid="{00000000-0005-0000-0000-000008270000}"/>
    <cellStyle name="Normal 9 4 4 2" xfId="2048" xr:uid="{00000000-0005-0000-0000-000009270000}"/>
    <cellStyle name="Normal 9 4 4 2 2" xfId="10066" xr:uid="{00000000-0005-0000-0000-00000A270000}"/>
    <cellStyle name="Normal 9 4 4 2 2 2" xfId="10067" xr:uid="{00000000-0005-0000-0000-00000B270000}"/>
    <cellStyle name="Normal 9 4 4 2 3" xfId="10068" xr:uid="{00000000-0005-0000-0000-00000C270000}"/>
    <cellStyle name="Normal 9 4 4 2 4" xfId="10069" xr:uid="{00000000-0005-0000-0000-00000D270000}"/>
    <cellStyle name="Normal 9 4 4 3" xfId="10070" xr:uid="{00000000-0005-0000-0000-00000E270000}"/>
    <cellStyle name="Normal 9 4 4 3 2" xfId="10071" xr:uid="{00000000-0005-0000-0000-00000F270000}"/>
    <cellStyle name="Normal 9 4 4 4" xfId="10072" xr:uid="{00000000-0005-0000-0000-000010270000}"/>
    <cellStyle name="Normal 9 4 4 5" xfId="10073" xr:uid="{00000000-0005-0000-0000-000011270000}"/>
    <cellStyle name="Normal 9 4 5" xfId="2049" xr:uid="{00000000-0005-0000-0000-000012270000}"/>
    <cellStyle name="Normal 9 4 5 2" xfId="10074" xr:uid="{00000000-0005-0000-0000-000013270000}"/>
    <cellStyle name="Normal 9 4 5 2 2" xfId="10075" xr:uid="{00000000-0005-0000-0000-000014270000}"/>
    <cellStyle name="Normal 9 4 5 3" xfId="10076" xr:uid="{00000000-0005-0000-0000-000015270000}"/>
    <cellStyle name="Normal 9 4 5 4" xfId="10077" xr:uid="{00000000-0005-0000-0000-000016270000}"/>
    <cellStyle name="Normal 9 4 6" xfId="10078" xr:uid="{00000000-0005-0000-0000-000017270000}"/>
    <cellStyle name="Normal 9 4 6 2" xfId="10079" xr:uid="{00000000-0005-0000-0000-000018270000}"/>
    <cellStyle name="Normal 9 4 7" xfId="10080" xr:uid="{00000000-0005-0000-0000-000019270000}"/>
    <cellStyle name="Normal 9 4 8" xfId="10081" xr:uid="{00000000-0005-0000-0000-00001A270000}"/>
    <cellStyle name="Normal 9 5" xfId="2050" xr:uid="{00000000-0005-0000-0000-00001B270000}"/>
    <cellStyle name="Normal 9 5 2" xfId="2051" xr:uid="{00000000-0005-0000-0000-00001C270000}"/>
    <cellStyle name="Normal 9 5 2 2" xfId="2052" xr:uid="{00000000-0005-0000-0000-00001D270000}"/>
    <cellStyle name="Normal 9 5 2 2 2" xfId="2053" xr:uid="{00000000-0005-0000-0000-00001E270000}"/>
    <cellStyle name="Normal 9 5 2 2 2 2" xfId="10082" xr:uid="{00000000-0005-0000-0000-00001F270000}"/>
    <cellStyle name="Normal 9 5 2 2 2 2 2" xfId="10083" xr:uid="{00000000-0005-0000-0000-000020270000}"/>
    <cellStyle name="Normal 9 5 2 2 2 3" xfId="10084" xr:uid="{00000000-0005-0000-0000-000021270000}"/>
    <cellStyle name="Normal 9 5 2 2 2 4" xfId="10085" xr:uid="{00000000-0005-0000-0000-000022270000}"/>
    <cellStyle name="Normal 9 5 2 2 3" xfId="10086" xr:uid="{00000000-0005-0000-0000-000023270000}"/>
    <cellStyle name="Normal 9 5 2 2 3 2" xfId="10087" xr:uid="{00000000-0005-0000-0000-000024270000}"/>
    <cellStyle name="Normal 9 5 2 2 4" xfId="10088" xr:uid="{00000000-0005-0000-0000-000025270000}"/>
    <cellStyle name="Normal 9 5 2 2 5" xfId="10089" xr:uid="{00000000-0005-0000-0000-000026270000}"/>
    <cellStyle name="Normal 9 5 2 3" xfId="2054" xr:uid="{00000000-0005-0000-0000-000027270000}"/>
    <cellStyle name="Normal 9 5 2 3 2" xfId="10090" xr:uid="{00000000-0005-0000-0000-000028270000}"/>
    <cellStyle name="Normal 9 5 2 3 2 2" xfId="10091" xr:uid="{00000000-0005-0000-0000-000029270000}"/>
    <cellStyle name="Normal 9 5 2 3 3" xfId="10092" xr:uid="{00000000-0005-0000-0000-00002A270000}"/>
    <cellStyle name="Normal 9 5 2 3 4" xfId="10093" xr:uid="{00000000-0005-0000-0000-00002B270000}"/>
    <cellStyle name="Normal 9 5 2 4" xfId="10094" xr:uid="{00000000-0005-0000-0000-00002C270000}"/>
    <cellStyle name="Normal 9 5 2 4 2" xfId="10095" xr:uid="{00000000-0005-0000-0000-00002D270000}"/>
    <cellStyle name="Normal 9 5 2 5" xfId="10096" xr:uid="{00000000-0005-0000-0000-00002E270000}"/>
    <cellStyle name="Normal 9 5 2 6" xfId="10097" xr:uid="{00000000-0005-0000-0000-00002F270000}"/>
    <cellStyle name="Normal 9 5 3" xfId="2055" xr:uid="{00000000-0005-0000-0000-000030270000}"/>
    <cellStyle name="Normal 9 5 3 2" xfId="2056" xr:uid="{00000000-0005-0000-0000-000031270000}"/>
    <cellStyle name="Normal 9 5 3 2 2" xfId="10098" xr:uid="{00000000-0005-0000-0000-000032270000}"/>
    <cellStyle name="Normal 9 5 3 2 2 2" xfId="10099" xr:uid="{00000000-0005-0000-0000-000033270000}"/>
    <cellStyle name="Normal 9 5 3 2 3" xfId="10100" xr:uid="{00000000-0005-0000-0000-000034270000}"/>
    <cellStyle name="Normal 9 5 3 2 4" xfId="10101" xr:uid="{00000000-0005-0000-0000-000035270000}"/>
    <cellStyle name="Normal 9 5 3 3" xfId="10102" xr:uid="{00000000-0005-0000-0000-000036270000}"/>
    <cellStyle name="Normal 9 5 3 3 2" xfId="10103" xr:uid="{00000000-0005-0000-0000-000037270000}"/>
    <cellStyle name="Normal 9 5 3 4" xfId="10104" xr:uid="{00000000-0005-0000-0000-000038270000}"/>
    <cellStyle name="Normal 9 5 3 5" xfId="10105" xr:uid="{00000000-0005-0000-0000-000039270000}"/>
    <cellStyle name="Normal 9 5 4" xfId="2057" xr:uid="{00000000-0005-0000-0000-00003A270000}"/>
    <cellStyle name="Normal 9 5 4 2" xfId="10106" xr:uid="{00000000-0005-0000-0000-00003B270000}"/>
    <cellStyle name="Normal 9 5 4 2 2" xfId="10107" xr:uid="{00000000-0005-0000-0000-00003C270000}"/>
    <cellStyle name="Normal 9 5 4 3" xfId="10108" xr:uid="{00000000-0005-0000-0000-00003D270000}"/>
    <cellStyle name="Normal 9 5 4 4" xfId="10109" xr:uid="{00000000-0005-0000-0000-00003E270000}"/>
    <cellStyle name="Normal 9 5 5" xfId="10110" xr:uid="{00000000-0005-0000-0000-00003F270000}"/>
    <cellStyle name="Normal 9 5 5 2" xfId="10111" xr:uid="{00000000-0005-0000-0000-000040270000}"/>
    <cellStyle name="Normal 9 5 6" xfId="10112" xr:uid="{00000000-0005-0000-0000-000041270000}"/>
    <cellStyle name="Normal 9 5 7" xfId="10113" xr:uid="{00000000-0005-0000-0000-000042270000}"/>
    <cellStyle name="Normal 9 6" xfId="2058" xr:uid="{00000000-0005-0000-0000-000043270000}"/>
    <cellStyle name="Normal 9 6 2" xfId="2059" xr:uid="{00000000-0005-0000-0000-000044270000}"/>
    <cellStyle name="Normal 9 6 2 2" xfId="2060" xr:uid="{00000000-0005-0000-0000-000045270000}"/>
    <cellStyle name="Normal 9 6 2 2 2" xfId="10114" xr:uid="{00000000-0005-0000-0000-000046270000}"/>
    <cellStyle name="Normal 9 6 2 2 2 2" xfId="10115" xr:uid="{00000000-0005-0000-0000-000047270000}"/>
    <cellStyle name="Normal 9 6 2 2 3" xfId="10116" xr:uid="{00000000-0005-0000-0000-000048270000}"/>
    <cellStyle name="Normal 9 6 2 2 4" xfId="10117" xr:uid="{00000000-0005-0000-0000-000049270000}"/>
    <cellStyle name="Normal 9 6 2 3" xfId="10118" xr:uid="{00000000-0005-0000-0000-00004A270000}"/>
    <cellStyle name="Normal 9 6 2 3 2" xfId="10119" xr:uid="{00000000-0005-0000-0000-00004B270000}"/>
    <cellStyle name="Normal 9 6 2 4" xfId="10120" xr:uid="{00000000-0005-0000-0000-00004C270000}"/>
    <cellStyle name="Normal 9 6 2 5" xfId="10121" xr:uid="{00000000-0005-0000-0000-00004D270000}"/>
    <cellStyle name="Normal 9 6 3" xfId="2061" xr:uid="{00000000-0005-0000-0000-00004E270000}"/>
    <cellStyle name="Normal 9 6 3 2" xfId="10122" xr:uid="{00000000-0005-0000-0000-00004F270000}"/>
    <cellStyle name="Normal 9 6 3 2 2" xfId="10123" xr:uid="{00000000-0005-0000-0000-000050270000}"/>
    <cellStyle name="Normal 9 6 3 3" xfId="10124" xr:uid="{00000000-0005-0000-0000-000051270000}"/>
    <cellStyle name="Normal 9 6 3 4" xfId="10125" xr:uid="{00000000-0005-0000-0000-000052270000}"/>
    <cellStyle name="Normal 9 6 4" xfId="10126" xr:uid="{00000000-0005-0000-0000-000053270000}"/>
    <cellStyle name="Normal 9 6 4 2" xfId="10127" xr:uid="{00000000-0005-0000-0000-000054270000}"/>
    <cellStyle name="Normal 9 6 5" xfId="10128" xr:uid="{00000000-0005-0000-0000-000055270000}"/>
    <cellStyle name="Normal 9 6 6" xfId="10129" xr:uid="{00000000-0005-0000-0000-000056270000}"/>
    <cellStyle name="Normal 9 7" xfId="2062" xr:uid="{00000000-0005-0000-0000-000057270000}"/>
    <cellStyle name="Normal 9 7 2" xfId="2063" xr:uid="{00000000-0005-0000-0000-000058270000}"/>
    <cellStyle name="Normal 9 7 2 2" xfId="10130" xr:uid="{00000000-0005-0000-0000-000059270000}"/>
    <cellStyle name="Normal 9 7 2 2 2" xfId="10131" xr:uid="{00000000-0005-0000-0000-00005A270000}"/>
    <cellStyle name="Normal 9 7 2 3" xfId="10132" xr:uid="{00000000-0005-0000-0000-00005B270000}"/>
    <cellStyle name="Normal 9 7 2 4" xfId="10133" xr:uid="{00000000-0005-0000-0000-00005C270000}"/>
    <cellStyle name="Normal 9 7 3" xfId="10134" xr:uid="{00000000-0005-0000-0000-00005D270000}"/>
    <cellStyle name="Normal 9 7 3 2" xfId="10135" xr:uid="{00000000-0005-0000-0000-00005E270000}"/>
    <cellStyle name="Normal 9 7 4" xfId="10136" xr:uid="{00000000-0005-0000-0000-00005F270000}"/>
    <cellStyle name="Normal 9 7 5" xfId="10137" xr:uid="{00000000-0005-0000-0000-000060270000}"/>
    <cellStyle name="Normal 9 8" xfId="2064" xr:uid="{00000000-0005-0000-0000-000061270000}"/>
    <cellStyle name="Normal 9 8 2" xfId="10138" xr:uid="{00000000-0005-0000-0000-000062270000}"/>
    <cellStyle name="Normal 9 8 2 2" xfId="10139" xr:uid="{00000000-0005-0000-0000-000063270000}"/>
    <cellStyle name="Normal 9 8 3" xfId="10140" xr:uid="{00000000-0005-0000-0000-000064270000}"/>
    <cellStyle name="Normal 9 8 4" xfId="10141" xr:uid="{00000000-0005-0000-0000-000065270000}"/>
    <cellStyle name="Normal 9 9" xfId="10142" xr:uid="{00000000-0005-0000-0000-000066270000}"/>
    <cellStyle name="Normal 9 9 2" xfId="10143" xr:uid="{00000000-0005-0000-0000-000067270000}"/>
    <cellStyle name="Normal 90" xfId="2065" xr:uid="{00000000-0005-0000-0000-000068270000}"/>
    <cellStyle name="Normal 90 2" xfId="2066" xr:uid="{00000000-0005-0000-0000-000069270000}"/>
    <cellStyle name="Normal 90 2 2" xfId="2067" xr:uid="{00000000-0005-0000-0000-00006A270000}"/>
    <cellStyle name="Normal 90 2 2 2" xfId="10144" xr:uid="{00000000-0005-0000-0000-00006B270000}"/>
    <cellStyle name="Normal 90 2 2 2 2" xfId="10145" xr:uid="{00000000-0005-0000-0000-00006C270000}"/>
    <cellStyle name="Normal 90 2 2 3" xfId="10146" xr:uid="{00000000-0005-0000-0000-00006D270000}"/>
    <cellStyle name="Normal 90 2 2 4" xfId="10147" xr:uid="{00000000-0005-0000-0000-00006E270000}"/>
    <cellStyle name="Normal 90 2 3" xfId="10148" xr:uid="{00000000-0005-0000-0000-00006F270000}"/>
    <cellStyle name="Normal 90 2 3 2" xfId="10149" xr:uid="{00000000-0005-0000-0000-000070270000}"/>
    <cellStyle name="Normal 90 2 4" xfId="10150" xr:uid="{00000000-0005-0000-0000-000071270000}"/>
    <cellStyle name="Normal 90 2 5" xfId="10151" xr:uid="{00000000-0005-0000-0000-000072270000}"/>
    <cellStyle name="Normal 90 3" xfId="2068" xr:uid="{00000000-0005-0000-0000-000073270000}"/>
    <cellStyle name="Normal 90 3 2" xfId="10152" xr:uid="{00000000-0005-0000-0000-000074270000}"/>
    <cellStyle name="Normal 90 3 2 2" xfId="10153" xr:uid="{00000000-0005-0000-0000-000075270000}"/>
    <cellStyle name="Normal 90 3 3" xfId="10154" xr:uid="{00000000-0005-0000-0000-000076270000}"/>
    <cellStyle name="Normal 90 3 4" xfId="10155" xr:uid="{00000000-0005-0000-0000-000077270000}"/>
    <cellStyle name="Normal 90 4" xfId="10156" xr:uid="{00000000-0005-0000-0000-000078270000}"/>
    <cellStyle name="Normal 90 4 2" xfId="10157" xr:uid="{00000000-0005-0000-0000-000079270000}"/>
    <cellStyle name="Normal 90 5" xfId="10158" xr:uid="{00000000-0005-0000-0000-00007A270000}"/>
    <cellStyle name="Normal 90 6" xfId="10159" xr:uid="{00000000-0005-0000-0000-00007B270000}"/>
    <cellStyle name="Normal 91" xfId="2069" xr:uid="{00000000-0005-0000-0000-00007C270000}"/>
    <cellStyle name="Normal 91 2" xfId="2070" xr:uid="{00000000-0005-0000-0000-00007D270000}"/>
    <cellStyle name="Normal 91 2 2" xfId="2071" xr:uid="{00000000-0005-0000-0000-00007E270000}"/>
    <cellStyle name="Normal 91 2 2 2" xfId="10160" xr:uid="{00000000-0005-0000-0000-00007F270000}"/>
    <cellStyle name="Normal 91 2 2 2 2" xfId="10161" xr:uid="{00000000-0005-0000-0000-000080270000}"/>
    <cellStyle name="Normal 91 2 2 3" xfId="10162" xr:uid="{00000000-0005-0000-0000-000081270000}"/>
    <cellStyle name="Normal 91 2 2 4" xfId="10163" xr:uid="{00000000-0005-0000-0000-000082270000}"/>
    <cellStyle name="Normal 91 2 3" xfId="10164" xr:uid="{00000000-0005-0000-0000-000083270000}"/>
    <cellStyle name="Normal 91 2 3 2" xfId="10165" xr:uid="{00000000-0005-0000-0000-000084270000}"/>
    <cellStyle name="Normal 91 2 4" xfId="10166" xr:uid="{00000000-0005-0000-0000-000085270000}"/>
    <cellStyle name="Normal 91 2 5" xfId="10167" xr:uid="{00000000-0005-0000-0000-000086270000}"/>
    <cellStyle name="Normal 91 3" xfId="2072" xr:uid="{00000000-0005-0000-0000-000087270000}"/>
    <cellStyle name="Normal 91 3 2" xfId="10168" xr:uid="{00000000-0005-0000-0000-000088270000}"/>
    <cellStyle name="Normal 91 3 2 2" xfId="10169" xr:uid="{00000000-0005-0000-0000-000089270000}"/>
    <cellStyle name="Normal 91 3 3" xfId="10170" xr:uid="{00000000-0005-0000-0000-00008A270000}"/>
    <cellStyle name="Normal 91 3 4" xfId="10171" xr:uid="{00000000-0005-0000-0000-00008B270000}"/>
    <cellStyle name="Normal 91 4" xfId="10172" xr:uid="{00000000-0005-0000-0000-00008C270000}"/>
    <cellStyle name="Normal 91 4 2" xfId="10173" xr:uid="{00000000-0005-0000-0000-00008D270000}"/>
    <cellStyle name="Normal 91 5" xfId="10174" xr:uid="{00000000-0005-0000-0000-00008E270000}"/>
    <cellStyle name="Normal 91 6" xfId="10175" xr:uid="{00000000-0005-0000-0000-00008F270000}"/>
    <cellStyle name="Normal 92" xfId="2073" xr:uid="{00000000-0005-0000-0000-000090270000}"/>
    <cellStyle name="Normal 92 2" xfId="2074" xr:uid="{00000000-0005-0000-0000-000091270000}"/>
    <cellStyle name="Normal 92 2 2" xfId="2075" xr:uid="{00000000-0005-0000-0000-000092270000}"/>
    <cellStyle name="Normal 92 2 2 2" xfId="10176" xr:uid="{00000000-0005-0000-0000-000093270000}"/>
    <cellStyle name="Normal 92 2 2 2 2" xfId="10177" xr:uid="{00000000-0005-0000-0000-000094270000}"/>
    <cellStyle name="Normal 92 2 2 3" xfId="10178" xr:uid="{00000000-0005-0000-0000-000095270000}"/>
    <cellStyle name="Normal 92 2 2 4" xfId="10179" xr:uid="{00000000-0005-0000-0000-000096270000}"/>
    <cellStyle name="Normal 92 2 3" xfId="10180" xr:uid="{00000000-0005-0000-0000-000097270000}"/>
    <cellStyle name="Normal 92 2 3 2" xfId="10181" xr:uid="{00000000-0005-0000-0000-000098270000}"/>
    <cellStyle name="Normal 92 2 4" xfId="10182" xr:uid="{00000000-0005-0000-0000-000099270000}"/>
    <cellStyle name="Normal 92 2 5" xfId="10183" xr:uid="{00000000-0005-0000-0000-00009A270000}"/>
    <cellStyle name="Normal 92 3" xfId="2076" xr:uid="{00000000-0005-0000-0000-00009B270000}"/>
    <cellStyle name="Normal 92 3 2" xfId="10184" xr:uid="{00000000-0005-0000-0000-00009C270000}"/>
    <cellStyle name="Normal 92 3 2 2" xfId="10185" xr:uid="{00000000-0005-0000-0000-00009D270000}"/>
    <cellStyle name="Normal 92 3 3" xfId="10186" xr:uid="{00000000-0005-0000-0000-00009E270000}"/>
    <cellStyle name="Normal 92 3 4" xfId="10187" xr:uid="{00000000-0005-0000-0000-00009F270000}"/>
    <cellStyle name="Normal 92 4" xfId="10188" xr:uid="{00000000-0005-0000-0000-0000A0270000}"/>
    <cellStyle name="Normal 92 4 2" xfId="10189" xr:uid="{00000000-0005-0000-0000-0000A1270000}"/>
    <cellStyle name="Normal 92 5" xfId="10190" xr:uid="{00000000-0005-0000-0000-0000A2270000}"/>
    <cellStyle name="Normal 92 6" xfId="10191" xr:uid="{00000000-0005-0000-0000-0000A3270000}"/>
    <cellStyle name="Normal 93" xfId="2077" xr:uid="{00000000-0005-0000-0000-0000A4270000}"/>
    <cellStyle name="Normal 93 2" xfId="2078" xr:uid="{00000000-0005-0000-0000-0000A5270000}"/>
    <cellStyle name="Normal 93 2 2" xfId="2079" xr:uid="{00000000-0005-0000-0000-0000A6270000}"/>
    <cellStyle name="Normal 93 2 2 2" xfId="10192" xr:uid="{00000000-0005-0000-0000-0000A7270000}"/>
    <cellStyle name="Normal 93 2 2 2 2" xfId="10193" xr:uid="{00000000-0005-0000-0000-0000A8270000}"/>
    <cellStyle name="Normal 93 2 2 3" xfId="10194" xr:uid="{00000000-0005-0000-0000-0000A9270000}"/>
    <cellStyle name="Normal 93 2 2 4" xfId="10195" xr:uid="{00000000-0005-0000-0000-0000AA270000}"/>
    <cellStyle name="Normal 93 2 3" xfId="10196" xr:uid="{00000000-0005-0000-0000-0000AB270000}"/>
    <cellStyle name="Normal 93 2 3 2" xfId="10197" xr:uid="{00000000-0005-0000-0000-0000AC270000}"/>
    <cellStyle name="Normal 93 2 4" xfId="10198" xr:uid="{00000000-0005-0000-0000-0000AD270000}"/>
    <cellStyle name="Normal 93 2 5" xfId="10199" xr:uid="{00000000-0005-0000-0000-0000AE270000}"/>
    <cellStyle name="Normal 93 3" xfId="2080" xr:uid="{00000000-0005-0000-0000-0000AF270000}"/>
    <cellStyle name="Normal 93 3 2" xfId="10200" xr:uid="{00000000-0005-0000-0000-0000B0270000}"/>
    <cellStyle name="Normal 93 3 2 2" xfId="10201" xr:uid="{00000000-0005-0000-0000-0000B1270000}"/>
    <cellStyle name="Normal 93 3 3" xfId="10202" xr:uid="{00000000-0005-0000-0000-0000B2270000}"/>
    <cellStyle name="Normal 93 3 4" xfId="10203" xr:uid="{00000000-0005-0000-0000-0000B3270000}"/>
    <cellStyle name="Normal 93 4" xfId="10204" xr:uid="{00000000-0005-0000-0000-0000B4270000}"/>
    <cellStyle name="Normal 93 4 2" xfId="10205" xr:uid="{00000000-0005-0000-0000-0000B5270000}"/>
    <cellStyle name="Normal 93 5" xfId="10206" xr:uid="{00000000-0005-0000-0000-0000B6270000}"/>
    <cellStyle name="Normal 93 6" xfId="10207" xr:uid="{00000000-0005-0000-0000-0000B7270000}"/>
    <cellStyle name="Normal 94" xfId="2081" xr:uid="{00000000-0005-0000-0000-0000B8270000}"/>
    <cellStyle name="Normal 94 2" xfId="2082" xr:uid="{00000000-0005-0000-0000-0000B9270000}"/>
    <cellStyle name="Normal 94 2 2" xfId="2083" xr:uid="{00000000-0005-0000-0000-0000BA270000}"/>
    <cellStyle name="Normal 94 2 2 2" xfId="10208" xr:uid="{00000000-0005-0000-0000-0000BB270000}"/>
    <cellStyle name="Normal 94 2 2 2 2" xfId="10209" xr:uid="{00000000-0005-0000-0000-0000BC270000}"/>
    <cellStyle name="Normal 94 2 2 3" xfId="10210" xr:uid="{00000000-0005-0000-0000-0000BD270000}"/>
    <cellStyle name="Normal 94 2 2 4" xfId="10211" xr:uid="{00000000-0005-0000-0000-0000BE270000}"/>
    <cellStyle name="Normal 94 2 3" xfId="10212" xr:uid="{00000000-0005-0000-0000-0000BF270000}"/>
    <cellStyle name="Normal 94 2 3 2" xfId="10213" xr:uid="{00000000-0005-0000-0000-0000C0270000}"/>
    <cellStyle name="Normal 94 2 4" xfId="10214" xr:uid="{00000000-0005-0000-0000-0000C1270000}"/>
    <cellStyle name="Normal 94 2 5" xfId="10215" xr:uid="{00000000-0005-0000-0000-0000C2270000}"/>
    <cellStyle name="Normal 94 3" xfId="2084" xr:uid="{00000000-0005-0000-0000-0000C3270000}"/>
    <cellStyle name="Normal 94 3 2" xfId="10216" xr:uid="{00000000-0005-0000-0000-0000C4270000}"/>
    <cellStyle name="Normal 94 3 2 2" xfId="10217" xr:uid="{00000000-0005-0000-0000-0000C5270000}"/>
    <cellStyle name="Normal 94 3 3" xfId="10218" xr:uid="{00000000-0005-0000-0000-0000C6270000}"/>
    <cellStyle name="Normal 94 3 4" xfId="10219" xr:uid="{00000000-0005-0000-0000-0000C7270000}"/>
    <cellStyle name="Normal 94 4" xfId="10220" xr:uid="{00000000-0005-0000-0000-0000C8270000}"/>
    <cellStyle name="Normal 94 4 2" xfId="10221" xr:uid="{00000000-0005-0000-0000-0000C9270000}"/>
    <cellStyle name="Normal 94 5" xfId="10222" xr:uid="{00000000-0005-0000-0000-0000CA270000}"/>
    <cellStyle name="Normal 94 6" xfId="10223" xr:uid="{00000000-0005-0000-0000-0000CB270000}"/>
    <cellStyle name="Normal 95" xfId="2085" xr:uid="{00000000-0005-0000-0000-0000CC270000}"/>
    <cellStyle name="Normal 95 2" xfId="2086" xr:uid="{00000000-0005-0000-0000-0000CD270000}"/>
    <cellStyle name="Normal 95 2 2" xfId="2087" xr:uid="{00000000-0005-0000-0000-0000CE270000}"/>
    <cellStyle name="Normal 95 2 2 2" xfId="10224" xr:uid="{00000000-0005-0000-0000-0000CF270000}"/>
    <cellStyle name="Normal 95 2 2 2 2" xfId="10225" xr:uid="{00000000-0005-0000-0000-0000D0270000}"/>
    <cellStyle name="Normal 95 2 2 3" xfId="10226" xr:uid="{00000000-0005-0000-0000-0000D1270000}"/>
    <cellStyle name="Normal 95 2 2 4" xfId="10227" xr:uid="{00000000-0005-0000-0000-0000D2270000}"/>
    <cellStyle name="Normal 95 2 3" xfId="10228" xr:uid="{00000000-0005-0000-0000-0000D3270000}"/>
    <cellStyle name="Normal 95 2 3 2" xfId="10229" xr:uid="{00000000-0005-0000-0000-0000D4270000}"/>
    <cellStyle name="Normal 95 2 4" xfId="10230" xr:uid="{00000000-0005-0000-0000-0000D5270000}"/>
    <cellStyle name="Normal 95 2 5" xfId="10231" xr:uid="{00000000-0005-0000-0000-0000D6270000}"/>
    <cellStyle name="Normal 95 3" xfId="2088" xr:uid="{00000000-0005-0000-0000-0000D7270000}"/>
    <cellStyle name="Normal 95 3 2" xfId="10232" xr:uid="{00000000-0005-0000-0000-0000D8270000}"/>
    <cellStyle name="Normal 95 3 2 2" xfId="10233" xr:uid="{00000000-0005-0000-0000-0000D9270000}"/>
    <cellStyle name="Normal 95 3 3" xfId="10234" xr:uid="{00000000-0005-0000-0000-0000DA270000}"/>
    <cellStyle name="Normal 95 3 4" xfId="10235" xr:uid="{00000000-0005-0000-0000-0000DB270000}"/>
    <cellStyle name="Normal 95 4" xfId="10236" xr:uid="{00000000-0005-0000-0000-0000DC270000}"/>
    <cellStyle name="Normal 95 4 2" xfId="10237" xr:uid="{00000000-0005-0000-0000-0000DD270000}"/>
    <cellStyle name="Normal 95 5" xfId="10238" xr:uid="{00000000-0005-0000-0000-0000DE270000}"/>
    <cellStyle name="Normal 95 6" xfId="10239" xr:uid="{00000000-0005-0000-0000-0000DF270000}"/>
    <cellStyle name="Normal 96" xfId="2089" xr:uid="{00000000-0005-0000-0000-0000E0270000}"/>
    <cellStyle name="Normal 96 2" xfId="2090" xr:uid="{00000000-0005-0000-0000-0000E1270000}"/>
    <cellStyle name="Normal 96 2 2" xfId="2091" xr:uid="{00000000-0005-0000-0000-0000E2270000}"/>
    <cellStyle name="Normal 96 2 2 2" xfId="10240" xr:uid="{00000000-0005-0000-0000-0000E3270000}"/>
    <cellStyle name="Normal 96 2 2 2 2" xfId="10241" xr:uid="{00000000-0005-0000-0000-0000E4270000}"/>
    <cellStyle name="Normal 96 2 2 3" xfId="10242" xr:uid="{00000000-0005-0000-0000-0000E5270000}"/>
    <cellStyle name="Normal 96 2 2 4" xfId="10243" xr:uid="{00000000-0005-0000-0000-0000E6270000}"/>
    <cellStyle name="Normal 96 2 3" xfId="10244" xr:uid="{00000000-0005-0000-0000-0000E7270000}"/>
    <cellStyle name="Normal 96 2 3 2" xfId="10245" xr:uid="{00000000-0005-0000-0000-0000E8270000}"/>
    <cellStyle name="Normal 96 2 4" xfId="10246" xr:uid="{00000000-0005-0000-0000-0000E9270000}"/>
    <cellStyle name="Normal 96 2 5" xfId="10247" xr:uid="{00000000-0005-0000-0000-0000EA270000}"/>
    <cellStyle name="Normal 96 3" xfId="2092" xr:uid="{00000000-0005-0000-0000-0000EB270000}"/>
    <cellStyle name="Normal 96 3 2" xfId="10248" xr:uid="{00000000-0005-0000-0000-0000EC270000}"/>
    <cellStyle name="Normal 96 3 2 2" xfId="10249" xr:uid="{00000000-0005-0000-0000-0000ED270000}"/>
    <cellStyle name="Normal 96 3 3" xfId="10250" xr:uid="{00000000-0005-0000-0000-0000EE270000}"/>
    <cellStyle name="Normal 96 3 4" xfId="10251" xr:uid="{00000000-0005-0000-0000-0000EF270000}"/>
    <cellStyle name="Normal 96 4" xfId="10252" xr:uid="{00000000-0005-0000-0000-0000F0270000}"/>
    <cellStyle name="Normal 96 4 2" xfId="10253" xr:uid="{00000000-0005-0000-0000-0000F1270000}"/>
    <cellStyle name="Normal 96 5" xfId="10254" xr:uid="{00000000-0005-0000-0000-0000F2270000}"/>
    <cellStyle name="Normal 96 6" xfId="10255" xr:uid="{00000000-0005-0000-0000-0000F3270000}"/>
    <cellStyle name="Normal 97" xfId="2093" xr:uid="{00000000-0005-0000-0000-0000F4270000}"/>
    <cellStyle name="Normal 97 2" xfId="2094" xr:uid="{00000000-0005-0000-0000-0000F5270000}"/>
    <cellStyle name="Normal 97 2 2" xfId="2095" xr:uid="{00000000-0005-0000-0000-0000F6270000}"/>
    <cellStyle name="Normal 97 2 2 2" xfId="10256" xr:uid="{00000000-0005-0000-0000-0000F7270000}"/>
    <cellStyle name="Normal 97 2 2 2 2" xfId="10257" xr:uid="{00000000-0005-0000-0000-0000F8270000}"/>
    <cellStyle name="Normal 97 2 2 3" xfId="10258" xr:uid="{00000000-0005-0000-0000-0000F9270000}"/>
    <cellStyle name="Normal 97 2 2 4" xfId="10259" xr:uid="{00000000-0005-0000-0000-0000FA270000}"/>
    <cellStyle name="Normal 97 2 3" xfId="10260" xr:uid="{00000000-0005-0000-0000-0000FB270000}"/>
    <cellStyle name="Normal 97 2 3 2" xfId="10261" xr:uid="{00000000-0005-0000-0000-0000FC270000}"/>
    <cellStyle name="Normal 97 2 4" xfId="10262" xr:uid="{00000000-0005-0000-0000-0000FD270000}"/>
    <cellStyle name="Normal 97 2 5" xfId="10263" xr:uid="{00000000-0005-0000-0000-0000FE270000}"/>
    <cellStyle name="Normal 97 3" xfId="2096" xr:uid="{00000000-0005-0000-0000-0000FF270000}"/>
    <cellStyle name="Normal 97 3 2" xfId="10264" xr:uid="{00000000-0005-0000-0000-000000280000}"/>
    <cellStyle name="Normal 97 3 2 2" xfId="10265" xr:uid="{00000000-0005-0000-0000-000001280000}"/>
    <cellStyle name="Normal 97 3 3" xfId="10266" xr:uid="{00000000-0005-0000-0000-000002280000}"/>
    <cellStyle name="Normal 97 3 4" xfId="10267" xr:uid="{00000000-0005-0000-0000-000003280000}"/>
    <cellStyle name="Normal 97 4" xfId="10268" xr:uid="{00000000-0005-0000-0000-000004280000}"/>
    <cellStyle name="Normal 97 4 2" xfId="10269" xr:uid="{00000000-0005-0000-0000-000005280000}"/>
    <cellStyle name="Normal 97 5" xfId="10270" xr:uid="{00000000-0005-0000-0000-000006280000}"/>
    <cellStyle name="Normal 97 6" xfId="10271" xr:uid="{00000000-0005-0000-0000-000007280000}"/>
    <cellStyle name="Normal 98" xfId="2097" xr:uid="{00000000-0005-0000-0000-000008280000}"/>
    <cellStyle name="Normal 98 2" xfId="2098" xr:uid="{00000000-0005-0000-0000-000009280000}"/>
    <cellStyle name="Normal 98 2 2" xfId="2099" xr:uid="{00000000-0005-0000-0000-00000A280000}"/>
    <cellStyle name="Normal 98 2 2 2" xfId="10272" xr:uid="{00000000-0005-0000-0000-00000B280000}"/>
    <cellStyle name="Normal 98 2 2 2 2" xfId="10273" xr:uid="{00000000-0005-0000-0000-00000C280000}"/>
    <cellStyle name="Normal 98 2 2 3" xfId="10274" xr:uid="{00000000-0005-0000-0000-00000D280000}"/>
    <cellStyle name="Normal 98 2 2 4" xfId="10275" xr:uid="{00000000-0005-0000-0000-00000E280000}"/>
    <cellStyle name="Normal 98 2 3" xfId="10276" xr:uid="{00000000-0005-0000-0000-00000F280000}"/>
    <cellStyle name="Normal 98 2 3 2" xfId="10277" xr:uid="{00000000-0005-0000-0000-000010280000}"/>
    <cellStyle name="Normal 98 2 4" xfId="10278" xr:uid="{00000000-0005-0000-0000-000011280000}"/>
    <cellStyle name="Normal 98 2 5" xfId="10279" xr:uid="{00000000-0005-0000-0000-000012280000}"/>
    <cellStyle name="Normal 98 3" xfId="2100" xr:uid="{00000000-0005-0000-0000-000013280000}"/>
    <cellStyle name="Normal 98 3 2" xfId="10280" xr:uid="{00000000-0005-0000-0000-000014280000}"/>
    <cellStyle name="Normal 98 3 2 2" xfId="10281" xr:uid="{00000000-0005-0000-0000-000015280000}"/>
    <cellStyle name="Normal 98 3 3" xfId="10282" xr:uid="{00000000-0005-0000-0000-000016280000}"/>
    <cellStyle name="Normal 98 3 4" xfId="10283" xr:uid="{00000000-0005-0000-0000-000017280000}"/>
    <cellStyle name="Normal 98 4" xfId="10284" xr:uid="{00000000-0005-0000-0000-000018280000}"/>
    <cellStyle name="Normal 98 4 2" xfId="10285" xr:uid="{00000000-0005-0000-0000-000019280000}"/>
    <cellStyle name="Normal 98 5" xfId="10286" xr:uid="{00000000-0005-0000-0000-00001A280000}"/>
    <cellStyle name="Normal 98 6" xfId="10287" xr:uid="{00000000-0005-0000-0000-00001B280000}"/>
    <cellStyle name="Normal 99" xfId="2101" xr:uid="{00000000-0005-0000-0000-00001C280000}"/>
    <cellStyle name="Normal 99 2" xfId="2102" xr:uid="{00000000-0005-0000-0000-00001D280000}"/>
    <cellStyle name="Normal 99 2 2" xfId="2103" xr:uid="{00000000-0005-0000-0000-00001E280000}"/>
    <cellStyle name="Normal 99 2 2 2" xfId="10288" xr:uid="{00000000-0005-0000-0000-00001F280000}"/>
    <cellStyle name="Normal 99 2 2 2 2" xfId="10289" xr:uid="{00000000-0005-0000-0000-000020280000}"/>
    <cellStyle name="Normal 99 2 2 3" xfId="10290" xr:uid="{00000000-0005-0000-0000-000021280000}"/>
    <cellStyle name="Normal 99 2 2 4" xfId="10291" xr:uid="{00000000-0005-0000-0000-000022280000}"/>
    <cellStyle name="Normal 99 2 3" xfId="10292" xr:uid="{00000000-0005-0000-0000-000023280000}"/>
    <cellStyle name="Normal 99 2 3 2" xfId="10293" xr:uid="{00000000-0005-0000-0000-000024280000}"/>
    <cellStyle name="Normal 99 2 4" xfId="10294" xr:uid="{00000000-0005-0000-0000-000025280000}"/>
    <cellStyle name="Normal 99 2 5" xfId="10295" xr:uid="{00000000-0005-0000-0000-000026280000}"/>
    <cellStyle name="Normal 99 3" xfId="2104" xr:uid="{00000000-0005-0000-0000-000027280000}"/>
    <cellStyle name="Normal 99 3 2" xfId="10296" xr:uid="{00000000-0005-0000-0000-000028280000}"/>
    <cellStyle name="Normal 99 3 2 2" xfId="10297" xr:uid="{00000000-0005-0000-0000-000029280000}"/>
    <cellStyle name="Normal 99 3 3" xfId="10298" xr:uid="{00000000-0005-0000-0000-00002A280000}"/>
    <cellStyle name="Normal 99 3 4" xfId="10299" xr:uid="{00000000-0005-0000-0000-00002B280000}"/>
    <cellStyle name="Normal 99 4" xfId="10300" xr:uid="{00000000-0005-0000-0000-00002C280000}"/>
    <cellStyle name="Normal 99 4 2" xfId="10301" xr:uid="{00000000-0005-0000-0000-00002D280000}"/>
    <cellStyle name="Normal 99 5" xfId="10302" xr:uid="{00000000-0005-0000-0000-00002E280000}"/>
    <cellStyle name="Normal 99 6" xfId="10303" xr:uid="{00000000-0005-0000-0000-00002F280000}"/>
    <cellStyle name="Normalnew" xfId="2105" xr:uid="{00000000-0005-0000-0000-000030280000}"/>
    <cellStyle name="Normalnew2" xfId="2106" xr:uid="{00000000-0005-0000-0000-000031280000}"/>
    <cellStyle name="Note 2" xfId="10304" xr:uid="{00000000-0005-0000-0000-000032280000}"/>
    <cellStyle name="Note 2 2" xfId="10305" xr:uid="{00000000-0005-0000-0000-000033280000}"/>
    <cellStyle name="pcat" xfId="2107" xr:uid="{00000000-0005-0000-0000-000034280000}"/>
    <cellStyle name="pcat 2" xfId="10329" xr:uid="{00000000-0005-0000-0000-000035280000}"/>
    <cellStyle name="Percent 2" xfId="2138" xr:uid="{00000000-0005-0000-0000-000036280000}"/>
    <cellStyle name="PSChar" xfId="2108" xr:uid="{00000000-0005-0000-0000-000037280000}"/>
    <cellStyle name="PSDate" xfId="2109" xr:uid="{00000000-0005-0000-0000-000038280000}"/>
    <cellStyle name="PSDate 2" xfId="2110" xr:uid="{00000000-0005-0000-0000-000039280000}"/>
    <cellStyle name="PSDate 3" xfId="2111" xr:uid="{00000000-0005-0000-0000-00003A280000}"/>
    <cellStyle name="PSDec" xfId="2112" xr:uid="{00000000-0005-0000-0000-00003B280000}"/>
    <cellStyle name="PSHeading" xfId="2113" xr:uid="{00000000-0005-0000-0000-00003C280000}"/>
    <cellStyle name="PSInt" xfId="2114" xr:uid="{00000000-0005-0000-0000-00003D280000}"/>
    <cellStyle name="PSSpacer" xfId="2115" xr:uid="{00000000-0005-0000-0000-00003E280000}"/>
    <cellStyle name="QDF" xfId="2116" xr:uid="{00000000-0005-0000-0000-00003F280000}"/>
    <cellStyle name="right" xfId="2117" xr:uid="{00000000-0005-0000-0000-000040280000}"/>
    <cellStyle name="righttable" xfId="2118" xr:uid="{00000000-0005-0000-0000-000041280000}"/>
    <cellStyle name="STANDARD" xfId="2119" xr:uid="{00000000-0005-0000-0000-000042280000}"/>
    <cellStyle name="Style 1" xfId="14" xr:uid="{00000000-0005-0000-0000-000043280000}"/>
    <cellStyle name="Style 1 2" xfId="2120" xr:uid="{00000000-0005-0000-0000-000044280000}"/>
    <cellStyle name="Style 1 3" xfId="2121" xr:uid="{00000000-0005-0000-0000-000045280000}"/>
    <cellStyle name="Style 1 4" xfId="2122" xr:uid="{00000000-0005-0000-0000-000046280000}"/>
    <cellStyle name="Style 1 5" xfId="2123" xr:uid="{00000000-0005-0000-0000-000047280000}"/>
    <cellStyle name="Style 1 6" xfId="2124" xr:uid="{00000000-0005-0000-0000-000048280000}"/>
    <cellStyle name="Style 1 7" xfId="2125" xr:uid="{00000000-0005-0000-0000-000049280000}"/>
    <cellStyle name="Temperature" xfId="2126" xr:uid="{00000000-0005-0000-0000-00004A280000}"/>
    <cellStyle name="toptable" xfId="2127" xr:uid="{00000000-0005-0000-0000-00004B280000}"/>
    <cellStyle name="toptable 2" xfId="2128" xr:uid="{00000000-0005-0000-0000-00004C280000}"/>
    <cellStyle name="toptable 3" xfId="2129" xr:uid="{00000000-0005-0000-0000-00004D280000}"/>
    <cellStyle name="toptable 4" xfId="2130" xr:uid="{00000000-0005-0000-0000-00004E280000}"/>
    <cellStyle name="toptable 5" xfId="2131" xr:uid="{00000000-0005-0000-0000-00004F280000}"/>
    <cellStyle name="toptable 6" xfId="2132" xr:uid="{00000000-0005-0000-0000-000050280000}"/>
    <cellStyle name="trcorner" xfId="2133" xr:uid="{00000000-0005-0000-0000-000051280000}"/>
    <cellStyle name="アクセント 1 2" xfId="10306" xr:uid="{00000000-0005-0000-0000-000052280000}"/>
    <cellStyle name="アクセント 2 2" xfId="10307" xr:uid="{00000000-0005-0000-0000-000053280000}"/>
    <cellStyle name="アクセント 3 2" xfId="10308" xr:uid="{00000000-0005-0000-0000-000054280000}"/>
    <cellStyle name="アクセント 4 2" xfId="10309" xr:uid="{00000000-0005-0000-0000-000055280000}"/>
    <cellStyle name="アクセント 5 2" xfId="10310" xr:uid="{00000000-0005-0000-0000-000056280000}"/>
    <cellStyle name="アクセント 6 2" xfId="10311" xr:uid="{00000000-0005-0000-0000-000057280000}"/>
    <cellStyle name="タイトル 2" xfId="10312" xr:uid="{00000000-0005-0000-0000-000058280000}"/>
    <cellStyle name="チェック セル 2" xfId="10313" xr:uid="{00000000-0005-0000-0000-000059280000}"/>
    <cellStyle name="どちらでもない 2" xfId="10314" xr:uid="{00000000-0005-0000-0000-00005A280000}"/>
    <cellStyle name="リンク セル 2" xfId="10315" xr:uid="{00000000-0005-0000-0000-00005B280000}"/>
    <cellStyle name="入力 2" xfId="10326" xr:uid="{00000000-0005-0000-0000-000066280000}"/>
    <cellStyle name="出力 2" xfId="10324" xr:uid="{00000000-0005-0000-0000-000064280000}"/>
    <cellStyle name="悪い 2" xfId="10316" xr:uid="{00000000-0005-0000-0000-00005C280000}"/>
    <cellStyle name="標準 2" xfId="3" xr:uid="{00000000-0005-0000-0000-000068280000}"/>
    <cellStyle name="標準 3" xfId="2149" xr:uid="{00000000-0005-0000-0000-000069280000}"/>
    <cellStyle name="標準 3 2" xfId="10332" xr:uid="{00000000-0005-0000-0000-00006A280000}"/>
    <cellStyle name="標準 4" xfId="10331" xr:uid="{00000000-0005-0000-0000-00006B280000}"/>
    <cellStyle name="標準 5" xfId="10350" xr:uid="{00000000-0005-0000-0000-00006C280000}"/>
    <cellStyle name="良い 2" xfId="10327" xr:uid="{00000000-0005-0000-0000-00006E280000}"/>
    <cellStyle name="見出し 1 2" xfId="10319" xr:uid="{00000000-0005-0000-0000-00005F280000}"/>
    <cellStyle name="見出し 2 2" xfId="10320" xr:uid="{00000000-0005-0000-0000-000060280000}"/>
    <cellStyle name="見出し 3 2" xfId="10321" xr:uid="{00000000-0005-0000-0000-000061280000}"/>
    <cellStyle name="見出し 4 2" xfId="10322" xr:uid="{00000000-0005-0000-0000-000062280000}"/>
    <cellStyle name="計算 2" xfId="10317" xr:uid="{00000000-0005-0000-0000-00005D280000}"/>
    <cellStyle name="説明文 2" xfId="10325" xr:uid="{00000000-0005-0000-0000-000065280000}"/>
    <cellStyle name="警告文 2" xfId="10318" xr:uid="{00000000-0005-0000-0000-00005E280000}"/>
    <cellStyle name="集計 2" xfId="10323" xr:uid="{00000000-0005-0000-0000-000063280000}"/>
  </cellStyles>
  <dxfs count="4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</dxfs>
  <tableStyles count="0" defaultTableStyle="TableStyleMedium9" defaultPivotStyle="PivotStyleLight16"/>
  <colors>
    <mruColors>
      <color rgb="FFCCFFFF"/>
      <color rgb="FFFFCC99"/>
      <color rgb="FF00FF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l.sharepoint.com/work/BJY_043280AA_V172_ND0_F1152C/_work/ND0_F1152C_TIU_AutoDRD_Rev4p8_0711_mem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195.99\Design_kw\work\BJY_043211AA_V172_S10-ND2-F1760E\S10_ND2_F1760E_CTH_TIU_2019060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195.99\Design_kw\work\BJY_043211AA_V172_S10-ND2-F1760E\_work\S10_ND2_F1760E_CTH_TIU_20190625_mem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_info"/>
      <sheetName val="Stackup"/>
      <sheetName val="DRD_Revision"/>
      <sheetName val="Customer_Inputs"/>
      <sheetName val="Revisions"/>
      <sheetName val="set_validations_"/>
      <sheetName val="Instruction"/>
      <sheetName val="CMT Configuration"/>
      <sheetName val="Routing_instruction"/>
      <sheetName val="Sheet1"/>
      <sheetName val="power"/>
      <sheetName val="Decoupling"/>
      <sheetName val="Power Following"/>
      <sheetName val="TDAU Routing Instruction"/>
      <sheetName val="Special_Connections"/>
      <sheetName val="ELB Specification"/>
      <sheetName val="CCV4 Pseudo Netlist"/>
      <sheetName val="CBIT"/>
      <sheetName val="STANDARD_CIRCUITS "/>
      <sheetName val="Pin Sharing x6"/>
      <sheetName val="CL_ASSIGNMENT"/>
      <sheetName val="Pin Sharing"/>
      <sheetName val="Sheet2"/>
      <sheetName val="STANDARD_CIRCUIT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DP01</v>
          </cell>
          <cell r="B2" t="str">
            <v>M01</v>
          </cell>
          <cell r="C2" t="str">
            <v>SH01</v>
          </cell>
          <cell r="D2" t="str">
            <v>G01</v>
          </cell>
        </row>
        <row r="3">
          <cell r="A3" t="str">
            <v>DP02</v>
          </cell>
          <cell r="B3" t="str">
            <v>M02</v>
          </cell>
          <cell r="C3" t="str">
            <v>SH02</v>
          </cell>
          <cell r="D3" t="str">
            <v>G02</v>
          </cell>
        </row>
        <row r="4">
          <cell r="A4" t="str">
            <v>DP03</v>
          </cell>
          <cell r="B4" t="str">
            <v>M03</v>
          </cell>
          <cell r="C4" t="str">
            <v>SH03</v>
          </cell>
          <cell r="D4" t="str">
            <v>G03</v>
          </cell>
        </row>
        <row r="5">
          <cell r="A5" t="str">
            <v>DP04</v>
          </cell>
          <cell r="B5" t="str">
            <v>M04</v>
          </cell>
          <cell r="C5" t="str">
            <v>SH04</v>
          </cell>
          <cell r="D5" t="str">
            <v>G04</v>
          </cell>
        </row>
        <row r="6">
          <cell r="A6" t="str">
            <v>DP05</v>
          </cell>
          <cell r="B6" t="str">
            <v>M05</v>
          </cell>
          <cell r="C6" t="str">
            <v>SH05</v>
          </cell>
          <cell r="D6" t="str">
            <v>G05</v>
          </cell>
        </row>
        <row r="7">
          <cell r="A7" t="str">
            <v>DP06</v>
          </cell>
          <cell r="B7" t="str">
            <v>M06</v>
          </cell>
          <cell r="C7" t="str">
            <v>SH06</v>
          </cell>
          <cell r="D7" t="str">
            <v>G06</v>
          </cell>
        </row>
        <row r="8">
          <cell r="A8" t="str">
            <v>DP07</v>
          </cell>
          <cell r="B8" t="str">
            <v>M07</v>
          </cell>
          <cell r="C8" t="str">
            <v>SH07</v>
          </cell>
          <cell r="D8" t="str">
            <v>G07</v>
          </cell>
        </row>
        <row r="9">
          <cell r="A9" t="str">
            <v>DP08</v>
          </cell>
          <cell r="B9" t="str">
            <v>M08</v>
          </cell>
          <cell r="C9" t="str">
            <v>SH08</v>
          </cell>
          <cell r="D9" t="str">
            <v>G08</v>
          </cell>
        </row>
        <row r="10">
          <cell r="A10" t="str">
            <v>DP09</v>
          </cell>
          <cell r="B10" t="str">
            <v>M09</v>
          </cell>
          <cell r="C10" t="str">
            <v>SH09</v>
          </cell>
          <cell r="D10" t="str">
            <v>G09</v>
          </cell>
        </row>
        <row r="11">
          <cell r="A11" t="str">
            <v>DP10</v>
          </cell>
          <cell r="B11" t="str">
            <v>M10</v>
          </cell>
          <cell r="C11" t="str">
            <v>SH10</v>
          </cell>
          <cell r="D11" t="str">
            <v>G10</v>
          </cell>
        </row>
        <row r="12">
          <cell r="A12" t="str">
            <v>DP11</v>
          </cell>
          <cell r="B12" t="str">
            <v>M11</v>
          </cell>
          <cell r="C12" t="str">
            <v>SH11</v>
          </cell>
          <cell r="D12" t="str">
            <v>G11</v>
          </cell>
        </row>
        <row r="13">
          <cell r="A13" t="str">
            <v>DP12</v>
          </cell>
          <cell r="B13" t="str">
            <v>M12</v>
          </cell>
          <cell r="C13" t="str">
            <v>SH12</v>
          </cell>
          <cell r="D13" t="str">
            <v>G12</v>
          </cell>
        </row>
        <row r="14">
          <cell r="A14" t="str">
            <v>DP13</v>
          </cell>
          <cell r="B14" t="str">
            <v>M13</v>
          </cell>
          <cell r="C14" t="str">
            <v>SH13</v>
          </cell>
          <cell r="D14" t="str">
            <v>G13</v>
          </cell>
        </row>
        <row r="15">
          <cell r="A15" t="str">
            <v>DP14</v>
          </cell>
          <cell r="B15" t="str">
            <v>M14</v>
          </cell>
          <cell r="C15" t="str">
            <v>SH14</v>
          </cell>
          <cell r="D15" t="str">
            <v>G14</v>
          </cell>
        </row>
        <row r="16">
          <cell r="A16" t="str">
            <v>DP15</v>
          </cell>
          <cell r="B16" t="str">
            <v>M15</v>
          </cell>
          <cell r="C16" t="str">
            <v>SH15</v>
          </cell>
          <cell r="D16" t="str">
            <v>G15</v>
          </cell>
        </row>
        <row r="17">
          <cell r="A17" t="str">
            <v>DP16</v>
          </cell>
          <cell r="B17" t="str">
            <v>M16</v>
          </cell>
          <cell r="C17" t="str">
            <v>SH16</v>
          </cell>
          <cell r="D17" t="str">
            <v>G16</v>
          </cell>
        </row>
        <row r="18">
          <cell r="A18" t="str">
            <v>DP17</v>
          </cell>
          <cell r="B18" t="str">
            <v>M17</v>
          </cell>
          <cell r="C18" t="str">
            <v>SH17</v>
          </cell>
          <cell r="D18" t="str">
            <v>G17</v>
          </cell>
        </row>
        <row r="19">
          <cell r="A19" t="str">
            <v>DP18</v>
          </cell>
          <cell r="B19" t="str">
            <v>M18</v>
          </cell>
          <cell r="C19" t="str">
            <v>SH18</v>
          </cell>
          <cell r="D19" t="str">
            <v>G18</v>
          </cell>
        </row>
        <row r="20">
          <cell r="A20" t="str">
            <v>DP19</v>
          </cell>
          <cell r="B20" t="str">
            <v>M19</v>
          </cell>
          <cell r="C20" t="str">
            <v>SH19</v>
          </cell>
          <cell r="D20" t="str">
            <v>G19</v>
          </cell>
        </row>
        <row r="21">
          <cell r="A21" t="str">
            <v>DP20</v>
          </cell>
          <cell r="B21" t="str">
            <v>M20</v>
          </cell>
          <cell r="C21" t="str">
            <v>SH20</v>
          </cell>
          <cell r="D21" t="str">
            <v>G20</v>
          </cell>
        </row>
        <row r="22">
          <cell r="A22" t="str">
            <v>DP21</v>
          </cell>
          <cell r="B22" t="str">
            <v>M21</v>
          </cell>
          <cell r="C22" t="str">
            <v>SH21</v>
          </cell>
          <cell r="D22" t="str">
            <v>G21</v>
          </cell>
        </row>
        <row r="23">
          <cell r="A23" t="str">
            <v>DP22</v>
          </cell>
          <cell r="B23" t="str">
            <v>M22</v>
          </cell>
          <cell r="C23" t="str">
            <v>SH22</v>
          </cell>
          <cell r="D23" t="str">
            <v>G22</v>
          </cell>
        </row>
        <row r="24">
          <cell r="A24" t="str">
            <v>DP23</v>
          </cell>
          <cell r="B24" t="str">
            <v>M23</v>
          </cell>
          <cell r="C24" t="str">
            <v>SH23</v>
          </cell>
          <cell r="D24" t="str">
            <v>G23</v>
          </cell>
        </row>
        <row r="25">
          <cell r="A25" t="str">
            <v>DP24</v>
          </cell>
          <cell r="B25" t="str">
            <v>M24</v>
          </cell>
          <cell r="C25" t="str">
            <v>SH24</v>
          </cell>
          <cell r="D25" t="str">
            <v>G24</v>
          </cell>
        </row>
        <row r="26">
          <cell r="A26" t="str">
            <v>DP25</v>
          </cell>
          <cell r="B26" t="str">
            <v>M25</v>
          </cell>
          <cell r="C26" t="str">
            <v>SH25</v>
          </cell>
          <cell r="D26" t="str">
            <v>G25</v>
          </cell>
        </row>
        <row r="27">
          <cell r="A27" t="str">
            <v>DP26</v>
          </cell>
          <cell r="B27" t="str">
            <v>M26</v>
          </cell>
          <cell r="C27" t="str">
            <v>SH26</v>
          </cell>
          <cell r="D27" t="str">
            <v>G26</v>
          </cell>
        </row>
        <row r="28">
          <cell r="A28" t="str">
            <v>DP27</v>
          </cell>
          <cell r="B28" t="str">
            <v>M27</v>
          </cell>
          <cell r="C28" t="str">
            <v>SH27</v>
          </cell>
          <cell r="D28" t="str">
            <v>G27</v>
          </cell>
        </row>
        <row r="29">
          <cell r="A29" t="str">
            <v>DP28</v>
          </cell>
          <cell r="B29" t="str">
            <v>M28</v>
          </cell>
          <cell r="C29" t="str">
            <v>SH28</v>
          </cell>
          <cell r="D29" t="str">
            <v>G28</v>
          </cell>
        </row>
        <row r="30">
          <cell r="A30" t="str">
            <v>DP29</v>
          </cell>
          <cell r="B30" t="str">
            <v>M29</v>
          </cell>
          <cell r="C30" t="str">
            <v>SH29</v>
          </cell>
          <cell r="D30" t="str">
            <v>G29</v>
          </cell>
        </row>
        <row r="31">
          <cell r="A31" t="str">
            <v>DP30</v>
          </cell>
          <cell r="B31" t="str">
            <v>M30</v>
          </cell>
          <cell r="C31" t="str">
            <v>SH30</v>
          </cell>
          <cell r="D31" t="str">
            <v>G30</v>
          </cell>
        </row>
        <row r="32">
          <cell r="A32" t="str">
            <v>DP31</v>
          </cell>
          <cell r="B32" t="str">
            <v>M31</v>
          </cell>
          <cell r="C32" t="str">
            <v>SH31</v>
          </cell>
          <cell r="D32" t="str">
            <v>G31</v>
          </cell>
        </row>
        <row r="33">
          <cell r="A33" t="str">
            <v>DP32</v>
          </cell>
          <cell r="B33" t="str">
            <v>M32</v>
          </cell>
          <cell r="C33" t="str">
            <v>SH32</v>
          </cell>
          <cell r="D33" t="str">
            <v>G32</v>
          </cell>
        </row>
        <row r="34">
          <cell r="A34" t="str">
            <v>DP33</v>
          </cell>
          <cell r="B34" t="str">
            <v>M33</v>
          </cell>
          <cell r="C34" t="str">
            <v>SH33</v>
          </cell>
          <cell r="D34" t="str">
            <v>G33</v>
          </cell>
        </row>
        <row r="35">
          <cell r="A35" t="str">
            <v>DP34</v>
          </cell>
          <cell r="B35" t="str">
            <v>M34</v>
          </cell>
          <cell r="C35" t="str">
            <v>SH34</v>
          </cell>
          <cell r="D35" t="str">
            <v>G34</v>
          </cell>
        </row>
        <row r="36">
          <cell r="A36" t="str">
            <v>DP35</v>
          </cell>
          <cell r="B36" t="str">
            <v>M35</v>
          </cell>
          <cell r="C36" t="str">
            <v>SH35</v>
          </cell>
          <cell r="D36" t="str">
            <v>G35</v>
          </cell>
        </row>
        <row r="37">
          <cell r="A37" t="str">
            <v>DP36</v>
          </cell>
          <cell r="B37" t="str">
            <v>M36</v>
          </cell>
          <cell r="C37" t="str">
            <v>SH36</v>
          </cell>
          <cell r="D37" t="str">
            <v>G36</v>
          </cell>
        </row>
        <row r="38">
          <cell r="A38" t="str">
            <v>DP37</v>
          </cell>
          <cell r="B38" t="str">
            <v>M37</v>
          </cell>
          <cell r="C38" t="str">
            <v>SH37</v>
          </cell>
          <cell r="D38" t="str">
            <v>G37</v>
          </cell>
        </row>
        <row r="39">
          <cell r="A39" t="str">
            <v>DP38</v>
          </cell>
          <cell r="B39" t="str">
            <v>M38</v>
          </cell>
          <cell r="C39" t="str">
            <v>SH38</v>
          </cell>
          <cell r="D39" t="str">
            <v>G38</v>
          </cell>
        </row>
        <row r="40">
          <cell r="A40" t="str">
            <v>DP39</v>
          </cell>
          <cell r="B40" t="str">
            <v>M39</v>
          </cell>
          <cell r="C40" t="str">
            <v>SH39</v>
          </cell>
          <cell r="D40" t="str">
            <v>G39</v>
          </cell>
        </row>
        <row r="41">
          <cell r="A41" t="str">
            <v>DP40</v>
          </cell>
          <cell r="B41" t="str">
            <v>M40</v>
          </cell>
          <cell r="C41" t="str">
            <v>SH40</v>
          </cell>
          <cell r="D41" t="str">
            <v>G40</v>
          </cell>
        </row>
        <row r="42">
          <cell r="A42" t="str">
            <v>DP41</v>
          </cell>
          <cell r="B42" t="str">
            <v>M41</v>
          </cell>
          <cell r="C42" t="str">
            <v>SH41</v>
          </cell>
          <cell r="D42" t="str">
            <v>G41</v>
          </cell>
        </row>
        <row r="43">
          <cell r="A43" t="str">
            <v>DP42</v>
          </cell>
          <cell r="B43" t="str">
            <v>M42</v>
          </cell>
          <cell r="C43" t="str">
            <v>SH42</v>
          </cell>
          <cell r="D43" t="str">
            <v>G42</v>
          </cell>
        </row>
        <row r="44">
          <cell r="A44" t="str">
            <v>DP43</v>
          </cell>
          <cell r="B44" t="str">
            <v>M43</v>
          </cell>
          <cell r="C44" t="str">
            <v>SH43</v>
          </cell>
          <cell r="D44" t="str">
            <v>G43</v>
          </cell>
        </row>
        <row r="45">
          <cell r="A45" t="str">
            <v>DP44</v>
          </cell>
          <cell r="B45" t="str">
            <v>M44</v>
          </cell>
          <cell r="C45" t="str">
            <v>SH44</v>
          </cell>
          <cell r="D45" t="str">
            <v>G44</v>
          </cell>
        </row>
        <row r="46">
          <cell r="A46" t="str">
            <v>DP45</v>
          </cell>
          <cell r="B46" t="str">
            <v>M45</v>
          </cell>
          <cell r="C46" t="str">
            <v>SH45</v>
          </cell>
          <cell r="D46" t="str">
            <v>G45</v>
          </cell>
        </row>
        <row r="47">
          <cell r="A47" t="str">
            <v>DP46</v>
          </cell>
          <cell r="B47" t="str">
            <v>M46</v>
          </cell>
          <cell r="C47" t="str">
            <v>SH46</v>
          </cell>
          <cell r="D47" t="str">
            <v>G46</v>
          </cell>
        </row>
        <row r="48">
          <cell r="A48" t="str">
            <v>DP47</v>
          </cell>
          <cell r="B48" t="str">
            <v>M47</v>
          </cell>
          <cell r="C48" t="str">
            <v>SH47</v>
          </cell>
          <cell r="D48" t="str">
            <v>G47</v>
          </cell>
        </row>
        <row r="49">
          <cell r="A49" t="str">
            <v>DP48</v>
          </cell>
          <cell r="B49" t="str">
            <v>M48</v>
          </cell>
          <cell r="C49" t="str">
            <v>SH48</v>
          </cell>
          <cell r="D49" t="str">
            <v>G48</v>
          </cell>
        </row>
        <row r="50">
          <cell r="A50" t="str">
            <v>DP49</v>
          </cell>
          <cell r="B50" t="str">
            <v>M49</v>
          </cell>
          <cell r="C50" t="str">
            <v>SH49</v>
          </cell>
          <cell r="D50" t="str">
            <v>G49</v>
          </cell>
        </row>
        <row r="51">
          <cell r="A51" t="str">
            <v>DP50</v>
          </cell>
          <cell r="B51" t="str">
            <v>M50</v>
          </cell>
          <cell r="C51" t="str">
            <v>SH50</v>
          </cell>
          <cell r="D51" t="str">
            <v>G50</v>
          </cell>
        </row>
        <row r="52">
          <cell r="A52" t="str">
            <v>DP51</v>
          </cell>
          <cell r="B52" t="str">
            <v>M51</v>
          </cell>
          <cell r="C52" t="str">
            <v>SH51</v>
          </cell>
          <cell r="D52" t="str">
            <v>G51</v>
          </cell>
        </row>
        <row r="53">
          <cell r="A53" t="str">
            <v>DP52</v>
          </cell>
          <cell r="B53" t="str">
            <v>M52</v>
          </cell>
          <cell r="C53" t="str">
            <v>SH52</v>
          </cell>
          <cell r="D53" t="str">
            <v>G52</v>
          </cell>
        </row>
        <row r="54">
          <cell r="A54" t="str">
            <v>DP53</v>
          </cell>
          <cell r="B54" t="str">
            <v>M53</v>
          </cell>
          <cell r="C54" t="str">
            <v>SH53</v>
          </cell>
          <cell r="D54" t="str">
            <v>G53</v>
          </cell>
        </row>
        <row r="55">
          <cell r="A55" t="str">
            <v>DP54</v>
          </cell>
          <cell r="B55" t="str">
            <v>M54</v>
          </cell>
          <cell r="C55" t="str">
            <v>SH54</v>
          </cell>
          <cell r="D55" t="str">
            <v>G54</v>
          </cell>
        </row>
        <row r="56">
          <cell r="A56" t="str">
            <v>DP55</v>
          </cell>
          <cell r="B56" t="str">
            <v>M55</v>
          </cell>
          <cell r="C56" t="str">
            <v>SH55</v>
          </cell>
          <cell r="D56" t="str">
            <v>G55</v>
          </cell>
        </row>
        <row r="57">
          <cell r="A57" t="str">
            <v>DP56</v>
          </cell>
          <cell r="B57" t="str">
            <v>M56</v>
          </cell>
          <cell r="C57" t="str">
            <v>SH56</v>
          </cell>
          <cell r="D57" t="str">
            <v>G56</v>
          </cell>
        </row>
        <row r="58">
          <cell r="A58" t="str">
            <v>DP57</v>
          </cell>
          <cell r="B58" t="str">
            <v>M57</v>
          </cell>
          <cell r="C58" t="str">
            <v>SH57</v>
          </cell>
          <cell r="D58" t="str">
            <v>G57</v>
          </cell>
        </row>
        <row r="59">
          <cell r="A59" t="str">
            <v>DP58</v>
          </cell>
          <cell r="B59" t="str">
            <v>M58</v>
          </cell>
          <cell r="C59" t="str">
            <v>SH58</v>
          </cell>
          <cell r="D59" t="str">
            <v>G58</v>
          </cell>
        </row>
        <row r="60">
          <cell r="A60" t="str">
            <v>DP59</v>
          </cell>
          <cell r="B60" t="str">
            <v>M59</v>
          </cell>
          <cell r="C60" t="str">
            <v>SH59</v>
          </cell>
          <cell r="D60" t="str">
            <v>G59</v>
          </cell>
        </row>
        <row r="61">
          <cell r="A61" t="str">
            <v>DP60</v>
          </cell>
          <cell r="B61" t="str">
            <v>M60</v>
          </cell>
          <cell r="C61" t="str">
            <v>SH60</v>
          </cell>
          <cell r="D61" t="str">
            <v>G60</v>
          </cell>
        </row>
        <row r="62">
          <cell r="A62" t="str">
            <v>DP61</v>
          </cell>
          <cell r="B62" t="str">
            <v>M61</v>
          </cell>
          <cell r="C62" t="str">
            <v>SH61</v>
          </cell>
          <cell r="D62" t="str">
            <v>G61</v>
          </cell>
        </row>
        <row r="63">
          <cell r="A63" t="str">
            <v>DP62</v>
          </cell>
          <cell r="B63" t="str">
            <v>M62</v>
          </cell>
          <cell r="C63" t="str">
            <v>SH62</v>
          </cell>
          <cell r="D63" t="str">
            <v>G62</v>
          </cell>
        </row>
        <row r="64">
          <cell r="A64" t="str">
            <v>DP63</v>
          </cell>
          <cell r="B64" t="str">
            <v>M63</v>
          </cell>
          <cell r="C64" t="str">
            <v>SH63</v>
          </cell>
          <cell r="D64" t="str">
            <v>G63</v>
          </cell>
        </row>
        <row r="65">
          <cell r="A65" t="str">
            <v>DP64</v>
          </cell>
          <cell r="B65" t="str">
            <v>M64</v>
          </cell>
          <cell r="C65" t="str">
            <v>SH64</v>
          </cell>
          <cell r="D65" t="str">
            <v>G64</v>
          </cell>
        </row>
        <row r="66">
          <cell r="A66" t="str">
            <v>DP65</v>
          </cell>
          <cell r="B66" t="str">
            <v>M65</v>
          </cell>
          <cell r="C66" t="str">
            <v>SH65</v>
          </cell>
          <cell r="D66" t="str">
            <v>G65</v>
          </cell>
        </row>
        <row r="67">
          <cell r="A67" t="str">
            <v>DP66</v>
          </cell>
          <cell r="B67" t="str">
            <v>M66</v>
          </cell>
          <cell r="C67" t="str">
            <v>SH66</v>
          </cell>
          <cell r="D67" t="str">
            <v>G66</v>
          </cell>
        </row>
        <row r="68">
          <cell r="A68" t="str">
            <v>DP67</v>
          </cell>
          <cell r="B68" t="str">
            <v>M67</v>
          </cell>
          <cell r="C68" t="str">
            <v>SH67</v>
          </cell>
          <cell r="D68" t="str">
            <v>G67</v>
          </cell>
        </row>
        <row r="69">
          <cell r="A69" t="str">
            <v>DP68</v>
          </cell>
          <cell r="B69" t="str">
            <v>M68</v>
          </cell>
          <cell r="C69" t="str">
            <v>SH68</v>
          </cell>
          <cell r="D69" t="str">
            <v>G68</v>
          </cell>
        </row>
        <row r="70">
          <cell r="A70" t="str">
            <v>DP69</v>
          </cell>
          <cell r="B70" t="str">
            <v>M69</v>
          </cell>
          <cell r="C70" t="str">
            <v>SH69</v>
          </cell>
          <cell r="D70" t="str">
            <v>G69</v>
          </cell>
        </row>
        <row r="71">
          <cell r="A71" t="str">
            <v>DP70</v>
          </cell>
          <cell r="B71" t="str">
            <v>M70</v>
          </cell>
          <cell r="C71" t="str">
            <v>SH70</v>
          </cell>
          <cell r="D71" t="str">
            <v>G70</v>
          </cell>
        </row>
        <row r="72">
          <cell r="A72" t="str">
            <v>DP71</v>
          </cell>
          <cell r="B72" t="str">
            <v>M71</v>
          </cell>
          <cell r="C72" t="str">
            <v>SH71</v>
          </cell>
          <cell r="D72" t="str">
            <v>G71</v>
          </cell>
        </row>
        <row r="73">
          <cell r="A73" t="str">
            <v>DP72</v>
          </cell>
          <cell r="B73" t="str">
            <v>M72</v>
          </cell>
          <cell r="C73" t="str">
            <v>SH72</v>
          </cell>
          <cell r="D73" t="str">
            <v>G72</v>
          </cell>
        </row>
        <row r="74">
          <cell r="A74" t="str">
            <v>DP73</v>
          </cell>
          <cell r="B74" t="str">
            <v>M73</v>
          </cell>
          <cell r="C74" t="str">
            <v>SH73</v>
          </cell>
          <cell r="D74" t="str">
            <v>G73</v>
          </cell>
        </row>
        <row r="75">
          <cell r="A75" t="str">
            <v>DP74</v>
          </cell>
          <cell r="B75" t="str">
            <v>M74</v>
          </cell>
          <cell r="C75" t="str">
            <v>SH74</v>
          </cell>
          <cell r="D75" t="str">
            <v>G74</v>
          </cell>
        </row>
        <row r="76">
          <cell r="A76" t="str">
            <v>DP75</v>
          </cell>
          <cell r="B76" t="str">
            <v>M75</v>
          </cell>
          <cell r="C76" t="str">
            <v>SH75</v>
          </cell>
          <cell r="D76" t="str">
            <v>G75</v>
          </cell>
        </row>
        <row r="77">
          <cell r="A77" t="str">
            <v>DP76</v>
          </cell>
          <cell r="B77" t="str">
            <v>M76</v>
          </cell>
          <cell r="C77" t="str">
            <v>SH76</v>
          </cell>
          <cell r="D77" t="str">
            <v>G76</v>
          </cell>
        </row>
        <row r="78">
          <cell r="A78" t="str">
            <v>DP77</v>
          </cell>
          <cell r="B78" t="str">
            <v>M77</v>
          </cell>
          <cell r="C78" t="str">
            <v>SH77</v>
          </cell>
          <cell r="D78" t="str">
            <v>G77</v>
          </cell>
        </row>
        <row r="79">
          <cell r="A79" t="str">
            <v>DP78</v>
          </cell>
          <cell r="B79" t="str">
            <v>M78</v>
          </cell>
          <cell r="C79" t="str">
            <v>SH78</v>
          </cell>
          <cell r="D79" t="str">
            <v>G78</v>
          </cell>
        </row>
        <row r="80">
          <cell r="A80" t="str">
            <v>DP79</v>
          </cell>
          <cell r="B80" t="str">
            <v>M79</v>
          </cell>
          <cell r="C80" t="str">
            <v>SH79</v>
          </cell>
          <cell r="D80" t="str">
            <v>G79</v>
          </cell>
        </row>
        <row r="81">
          <cell r="A81" t="str">
            <v>DP80</v>
          </cell>
          <cell r="B81" t="str">
            <v>M80</v>
          </cell>
          <cell r="C81" t="str">
            <v>SH80</v>
          </cell>
          <cell r="D81" t="str">
            <v>G80</v>
          </cell>
        </row>
        <row r="82">
          <cell r="A82" t="str">
            <v>DP81</v>
          </cell>
          <cell r="B82" t="str">
            <v>M81</v>
          </cell>
          <cell r="C82" t="str">
            <v>SH81</v>
          </cell>
          <cell r="D82" t="str">
            <v>G81</v>
          </cell>
        </row>
        <row r="83">
          <cell r="A83" t="str">
            <v>DP82</v>
          </cell>
          <cell r="B83" t="str">
            <v>M82</v>
          </cell>
          <cell r="C83" t="str">
            <v>SH82</v>
          </cell>
          <cell r="D83" t="str">
            <v>G82</v>
          </cell>
        </row>
        <row r="84">
          <cell r="A84" t="str">
            <v>DP83</v>
          </cell>
          <cell r="B84" t="str">
            <v>M83</v>
          </cell>
          <cell r="C84" t="str">
            <v>SH83</v>
          </cell>
          <cell r="D84" t="str">
            <v>G83</v>
          </cell>
        </row>
        <row r="85">
          <cell r="A85" t="str">
            <v>DP84</v>
          </cell>
          <cell r="B85" t="str">
            <v>M84</v>
          </cell>
          <cell r="C85" t="str">
            <v>SH84</v>
          </cell>
          <cell r="D85" t="str">
            <v>G84</v>
          </cell>
        </row>
        <row r="86">
          <cell r="A86" t="str">
            <v>DP85</v>
          </cell>
          <cell r="B86" t="str">
            <v>M85</v>
          </cell>
          <cell r="C86" t="str">
            <v>SH85</v>
          </cell>
          <cell r="D86" t="str">
            <v>G85</v>
          </cell>
        </row>
        <row r="87">
          <cell r="A87" t="str">
            <v>DP86</v>
          </cell>
          <cell r="B87" t="str">
            <v>M86</v>
          </cell>
          <cell r="C87" t="str">
            <v>SH86</v>
          </cell>
          <cell r="D87" t="str">
            <v>G86</v>
          </cell>
        </row>
        <row r="88">
          <cell r="A88" t="str">
            <v>DP87</v>
          </cell>
          <cell r="B88" t="str">
            <v>M87</v>
          </cell>
          <cell r="C88" t="str">
            <v>SH87</v>
          </cell>
          <cell r="D88" t="str">
            <v>G87</v>
          </cell>
        </row>
        <row r="89">
          <cell r="A89" t="str">
            <v>DP88</v>
          </cell>
          <cell r="B89" t="str">
            <v>M88</v>
          </cell>
          <cell r="C89" t="str">
            <v>SH88</v>
          </cell>
          <cell r="D89" t="str">
            <v>G88</v>
          </cell>
        </row>
        <row r="90">
          <cell r="A90" t="str">
            <v>DP89</v>
          </cell>
          <cell r="B90" t="str">
            <v>M89</v>
          </cell>
          <cell r="C90" t="str">
            <v>SH89</v>
          </cell>
          <cell r="D90" t="str">
            <v>G89</v>
          </cell>
        </row>
        <row r="91">
          <cell r="A91" t="str">
            <v>DP90</v>
          </cell>
          <cell r="B91" t="str">
            <v>M90</v>
          </cell>
          <cell r="C91" t="str">
            <v>SH90</v>
          </cell>
          <cell r="D91" t="str">
            <v>G90</v>
          </cell>
        </row>
        <row r="92">
          <cell r="A92" t="str">
            <v>DP91</v>
          </cell>
          <cell r="B92" t="str">
            <v>M91</v>
          </cell>
          <cell r="C92" t="str">
            <v>SH91</v>
          </cell>
          <cell r="D92" t="str">
            <v>G91</v>
          </cell>
        </row>
        <row r="93">
          <cell r="A93" t="str">
            <v>DP92</v>
          </cell>
          <cell r="B93" t="str">
            <v>M92</v>
          </cell>
          <cell r="C93" t="str">
            <v>SH92</v>
          </cell>
          <cell r="D93" t="str">
            <v>G92</v>
          </cell>
        </row>
        <row r="94">
          <cell r="A94" t="str">
            <v>DP93</v>
          </cell>
          <cell r="B94" t="str">
            <v>M93</v>
          </cell>
          <cell r="C94" t="str">
            <v>SH93</v>
          </cell>
          <cell r="D94" t="str">
            <v>G93</v>
          </cell>
        </row>
        <row r="95">
          <cell r="A95" t="str">
            <v>DP94</v>
          </cell>
          <cell r="B95" t="str">
            <v>M94</v>
          </cell>
          <cell r="C95" t="str">
            <v>SH94</v>
          </cell>
          <cell r="D95" t="str">
            <v>G94</v>
          </cell>
        </row>
        <row r="96">
          <cell r="A96" t="str">
            <v>DP95</v>
          </cell>
          <cell r="B96" t="str">
            <v>M95</v>
          </cell>
          <cell r="C96" t="str">
            <v>SH95</v>
          </cell>
          <cell r="D96" t="str">
            <v>G95</v>
          </cell>
        </row>
        <row r="97">
          <cell r="A97" t="str">
            <v>DP96</v>
          </cell>
          <cell r="B97" t="str">
            <v>M96</v>
          </cell>
          <cell r="C97" t="str">
            <v>SH96</v>
          </cell>
          <cell r="D97" t="str">
            <v>G96</v>
          </cell>
        </row>
        <row r="98">
          <cell r="A98" t="str">
            <v>DP97</v>
          </cell>
          <cell r="B98" t="str">
            <v>M97</v>
          </cell>
          <cell r="C98" t="str">
            <v>SH97</v>
          </cell>
          <cell r="D98" t="str">
            <v>G97</v>
          </cell>
        </row>
        <row r="99">
          <cell r="A99" t="str">
            <v>DP98</v>
          </cell>
          <cell r="B99" t="str">
            <v>M98</v>
          </cell>
          <cell r="C99" t="str">
            <v>SH98</v>
          </cell>
          <cell r="D99" t="str">
            <v>G98</v>
          </cell>
        </row>
        <row r="100">
          <cell r="A100" t="str">
            <v>DP99</v>
          </cell>
          <cell r="B100" t="str">
            <v>M99</v>
          </cell>
          <cell r="C100" t="str">
            <v>SH99</v>
          </cell>
          <cell r="D100" t="str">
            <v>G99</v>
          </cell>
        </row>
        <row r="101">
          <cell r="A101" t="str">
            <v>DP100</v>
          </cell>
          <cell r="B101" t="str">
            <v>M100</v>
          </cell>
          <cell r="C101" t="str">
            <v>SH100</v>
          </cell>
          <cell r="D101" t="str">
            <v>G100</v>
          </cell>
        </row>
        <row r="102">
          <cell r="A102" t="str">
            <v>DP101</v>
          </cell>
          <cell r="B102" t="str">
            <v>M101</v>
          </cell>
          <cell r="C102" t="str">
            <v>SH101</v>
          </cell>
          <cell r="D102" t="str">
            <v>G101</v>
          </cell>
        </row>
        <row r="103">
          <cell r="A103" t="str">
            <v>DP102</v>
          </cell>
          <cell r="B103" t="str">
            <v>M102</v>
          </cell>
          <cell r="C103" t="str">
            <v>SH102</v>
          </cell>
          <cell r="D103" t="str">
            <v>G102</v>
          </cell>
        </row>
        <row r="104">
          <cell r="A104" t="str">
            <v>DP103</v>
          </cell>
          <cell r="B104" t="str">
            <v>M103</v>
          </cell>
          <cell r="C104" t="str">
            <v>SH103</v>
          </cell>
          <cell r="D104" t="str">
            <v>G103</v>
          </cell>
        </row>
        <row r="105">
          <cell r="A105" t="str">
            <v>DP104</v>
          </cell>
          <cell r="B105" t="str">
            <v>M104</v>
          </cell>
          <cell r="C105" t="str">
            <v>SH104</v>
          </cell>
          <cell r="D105" t="str">
            <v>G104</v>
          </cell>
        </row>
        <row r="106">
          <cell r="A106" t="str">
            <v>DP105</v>
          </cell>
          <cell r="B106" t="str">
            <v>M105</v>
          </cell>
          <cell r="C106" t="str">
            <v>SH105</v>
          </cell>
          <cell r="D106" t="str">
            <v>G105</v>
          </cell>
        </row>
        <row r="107">
          <cell r="A107" t="str">
            <v>DP106</v>
          </cell>
          <cell r="B107" t="str">
            <v>M106</v>
          </cell>
          <cell r="C107" t="str">
            <v>SH106</v>
          </cell>
          <cell r="D107" t="str">
            <v>G106</v>
          </cell>
        </row>
        <row r="108">
          <cell r="A108" t="str">
            <v>DP107</v>
          </cell>
          <cell r="B108" t="str">
            <v>M107</v>
          </cell>
          <cell r="C108" t="str">
            <v>SH107</v>
          </cell>
          <cell r="D108" t="str">
            <v>G107</v>
          </cell>
        </row>
        <row r="109">
          <cell r="A109" t="str">
            <v>DP108</v>
          </cell>
          <cell r="B109" t="str">
            <v>M108</v>
          </cell>
          <cell r="C109" t="str">
            <v>SH108</v>
          </cell>
          <cell r="D109" t="str">
            <v>G108</v>
          </cell>
        </row>
        <row r="110">
          <cell r="A110" t="str">
            <v>DP109</v>
          </cell>
          <cell r="B110" t="str">
            <v>M109</v>
          </cell>
          <cell r="C110" t="str">
            <v>SH109</v>
          </cell>
          <cell r="D110" t="str">
            <v>G109</v>
          </cell>
        </row>
        <row r="111">
          <cell r="A111" t="str">
            <v>DP110</v>
          </cell>
          <cell r="B111" t="str">
            <v>M110</v>
          </cell>
          <cell r="C111" t="str">
            <v>SH110</v>
          </cell>
          <cell r="D111" t="str">
            <v>G110</v>
          </cell>
        </row>
        <row r="112">
          <cell r="A112" t="str">
            <v>DP111</v>
          </cell>
          <cell r="B112" t="str">
            <v>M111</v>
          </cell>
          <cell r="C112" t="str">
            <v>SH111</v>
          </cell>
          <cell r="D112" t="str">
            <v>G111</v>
          </cell>
        </row>
        <row r="113">
          <cell r="A113" t="str">
            <v>DP112</v>
          </cell>
          <cell r="B113" t="str">
            <v>M112</v>
          </cell>
          <cell r="C113" t="str">
            <v>SH112</v>
          </cell>
          <cell r="D113" t="str">
            <v>G112</v>
          </cell>
        </row>
        <row r="114">
          <cell r="A114" t="str">
            <v>DP113</v>
          </cell>
          <cell r="B114" t="str">
            <v>M113</v>
          </cell>
          <cell r="C114" t="str">
            <v>SH113</v>
          </cell>
          <cell r="D114" t="str">
            <v>G113</v>
          </cell>
        </row>
        <row r="115">
          <cell r="A115" t="str">
            <v>DP114</v>
          </cell>
          <cell r="B115" t="str">
            <v>M114</v>
          </cell>
          <cell r="C115" t="str">
            <v>SH114</v>
          </cell>
          <cell r="D115" t="str">
            <v>G114</v>
          </cell>
        </row>
        <row r="116">
          <cell r="A116" t="str">
            <v>DP115</v>
          </cell>
          <cell r="B116" t="str">
            <v>M115</v>
          </cell>
          <cell r="C116" t="str">
            <v>SH115</v>
          </cell>
          <cell r="D116" t="str">
            <v>G115</v>
          </cell>
        </row>
        <row r="117">
          <cell r="A117" t="str">
            <v>DP116</v>
          </cell>
          <cell r="B117" t="str">
            <v>M116</v>
          </cell>
          <cell r="C117" t="str">
            <v>SH116</v>
          </cell>
          <cell r="D117" t="str">
            <v>G116</v>
          </cell>
        </row>
        <row r="118">
          <cell r="A118" t="str">
            <v>DP117</v>
          </cell>
          <cell r="B118" t="str">
            <v>M117</v>
          </cell>
          <cell r="C118" t="str">
            <v>SH117</v>
          </cell>
          <cell r="D118" t="str">
            <v>G117</v>
          </cell>
        </row>
        <row r="119">
          <cell r="A119" t="str">
            <v>DP118</v>
          </cell>
          <cell r="B119" t="str">
            <v>M118</v>
          </cell>
          <cell r="C119" t="str">
            <v>SH118</v>
          </cell>
          <cell r="D119" t="str">
            <v>G118</v>
          </cell>
        </row>
        <row r="120">
          <cell r="A120" t="str">
            <v>DP119</v>
          </cell>
          <cell r="B120" t="str">
            <v>M119</v>
          </cell>
          <cell r="C120" t="str">
            <v>SH119</v>
          </cell>
          <cell r="D120" t="str">
            <v>G119</v>
          </cell>
        </row>
        <row r="121">
          <cell r="A121" t="str">
            <v>DP120</v>
          </cell>
          <cell r="B121" t="str">
            <v>M120</v>
          </cell>
          <cell r="C121" t="str">
            <v>SH120</v>
          </cell>
          <cell r="D121" t="str">
            <v>G120</v>
          </cell>
        </row>
        <row r="122">
          <cell r="A122" t="str">
            <v>DP121</v>
          </cell>
          <cell r="B122" t="str">
            <v>M121</v>
          </cell>
          <cell r="C122" t="str">
            <v>SH121</v>
          </cell>
          <cell r="D122" t="str">
            <v>G121</v>
          </cell>
        </row>
        <row r="123">
          <cell r="A123" t="str">
            <v>DP122</v>
          </cell>
          <cell r="B123" t="str">
            <v>M122</v>
          </cell>
          <cell r="C123" t="str">
            <v>SH122</v>
          </cell>
          <cell r="D123" t="str">
            <v>G122</v>
          </cell>
        </row>
        <row r="124">
          <cell r="A124" t="str">
            <v>DP123</v>
          </cell>
          <cell r="B124" t="str">
            <v>M123</v>
          </cell>
          <cell r="C124" t="str">
            <v>SH123</v>
          </cell>
          <cell r="D124" t="str">
            <v>G123</v>
          </cell>
        </row>
        <row r="125">
          <cell r="A125" t="str">
            <v>DP124</v>
          </cell>
          <cell r="B125" t="str">
            <v>M124</v>
          </cell>
          <cell r="C125" t="str">
            <v>SH124</v>
          </cell>
          <cell r="D125" t="str">
            <v>G124</v>
          </cell>
        </row>
        <row r="126">
          <cell r="A126" t="str">
            <v>DP125</v>
          </cell>
          <cell r="B126" t="str">
            <v>M125</v>
          </cell>
          <cell r="C126" t="str">
            <v>SH125</v>
          </cell>
          <cell r="D126" t="str">
            <v>G125</v>
          </cell>
        </row>
        <row r="127">
          <cell r="A127" t="str">
            <v>DP126</v>
          </cell>
          <cell r="B127" t="str">
            <v>M126</v>
          </cell>
          <cell r="C127" t="str">
            <v>SH126</v>
          </cell>
          <cell r="D127" t="str">
            <v>G126</v>
          </cell>
        </row>
        <row r="128">
          <cell r="A128" t="str">
            <v>DP127</v>
          </cell>
          <cell r="B128" t="str">
            <v>M127</v>
          </cell>
          <cell r="C128" t="str">
            <v>SH127</v>
          </cell>
          <cell r="D128" t="str">
            <v>G127</v>
          </cell>
        </row>
        <row r="129">
          <cell r="A129" t="str">
            <v>DP128</v>
          </cell>
          <cell r="B129" t="str">
            <v>M128</v>
          </cell>
          <cell r="C129" t="str">
            <v>SH128</v>
          </cell>
          <cell r="D129" t="str">
            <v>G128</v>
          </cell>
        </row>
        <row r="130">
          <cell r="A130" t="str">
            <v>DP129</v>
          </cell>
          <cell r="B130" t="str">
            <v>M129</v>
          </cell>
          <cell r="C130" t="str">
            <v>SH129</v>
          </cell>
          <cell r="D130" t="str">
            <v>G129</v>
          </cell>
        </row>
        <row r="131">
          <cell r="A131" t="str">
            <v>DP130</v>
          </cell>
          <cell r="B131" t="str">
            <v>M130</v>
          </cell>
          <cell r="C131" t="str">
            <v>SH130</v>
          </cell>
          <cell r="D131" t="str">
            <v>G130</v>
          </cell>
        </row>
        <row r="132">
          <cell r="A132" t="str">
            <v>DP131</v>
          </cell>
          <cell r="B132" t="str">
            <v>M131</v>
          </cell>
          <cell r="C132" t="str">
            <v>SH131</v>
          </cell>
          <cell r="D132" t="str">
            <v>G131</v>
          </cell>
        </row>
        <row r="133">
          <cell r="A133" t="str">
            <v>DP132</v>
          </cell>
          <cell r="B133" t="str">
            <v>M132</v>
          </cell>
          <cell r="C133" t="str">
            <v>SH132</v>
          </cell>
          <cell r="D133" t="str">
            <v>G132</v>
          </cell>
        </row>
        <row r="134">
          <cell r="A134" t="str">
            <v>DP133</v>
          </cell>
          <cell r="B134" t="str">
            <v>M133</v>
          </cell>
          <cell r="C134" t="str">
            <v>SH133</v>
          </cell>
          <cell r="D134" t="str">
            <v>G133</v>
          </cell>
        </row>
        <row r="135">
          <cell r="A135" t="str">
            <v>DP134</v>
          </cell>
          <cell r="B135" t="str">
            <v>M134</v>
          </cell>
          <cell r="C135" t="str">
            <v>SH134</v>
          </cell>
          <cell r="D135" t="str">
            <v>G134</v>
          </cell>
        </row>
        <row r="136">
          <cell r="A136" t="str">
            <v>DP135</v>
          </cell>
          <cell r="B136" t="str">
            <v>M135</v>
          </cell>
          <cell r="C136" t="str">
            <v>SH135</v>
          </cell>
          <cell r="D136" t="str">
            <v>G135</v>
          </cell>
        </row>
        <row r="137">
          <cell r="A137" t="str">
            <v>DP136</v>
          </cell>
          <cell r="B137" t="str">
            <v>M136</v>
          </cell>
          <cell r="C137" t="str">
            <v>SH136</v>
          </cell>
          <cell r="D137" t="str">
            <v>G136</v>
          </cell>
        </row>
        <row r="138">
          <cell r="A138" t="str">
            <v>DP137</v>
          </cell>
          <cell r="B138" t="str">
            <v>M137</v>
          </cell>
          <cell r="C138" t="str">
            <v>SH137</v>
          </cell>
          <cell r="D138" t="str">
            <v>G137</v>
          </cell>
        </row>
        <row r="139">
          <cell r="A139" t="str">
            <v>DP138</v>
          </cell>
          <cell r="B139" t="str">
            <v>M138</v>
          </cell>
          <cell r="C139" t="str">
            <v>SH138</v>
          </cell>
          <cell r="D139" t="str">
            <v>G138</v>
          </cell>
        </row>
        <row r="140">
          <cell r="A140" t="str">
            <v>DP139</v>
          </cell>
          <cell r="B140" t="str">
            <v>M139</v>
          </cell>
          <cell r="C140" t="str">
            <v>SH139</v>
          </cell>
          <cell r="D140" t="str">
            <v>G139</v>
          </cell>
        </row>
        <row r="141">
          <cell r="A141" t="str">
            <v>DP140</v>
          </cell>
          <cell r="B141" t="str">
            <v>M140</v>
          </cell>
          <cell r="C141" t="str">
            <v>SH140</v>
          </cell>
          <cell r="D141" t="str">
            <v>G140</v>
          </cell>
        </row>
        <row r="142">
          <cell r="A142" t="str">
            <v>DP141</v>
          </cell>
          <cell r="B142" t="str">
            <v>M141</v>
          </cell>
          <cell r="C142" t="str">
            <v>SH141</v>
          </cell>
          <cell r="D142" t="str">
            <v>G141</v>
          </cell>
        </row>
        <row r="143">
          <cell r="A143" t="str">
            <v>DP142</v>
          </cell>
          <cell r="B143" t="str">
            <v>M142</v>
          </cell>
          <cell r="C143" t="str">
            <v>SH142</v>
          </cell>
          <cell r="D143" t="str">
            <v>G142</v>
          </cell>
        </row>
        <row r="144">
          <cell r="A144" t="str">
            <v>DP143</v>
          </cell>
          <cell r="B144" t="str">
            <v>M143</v>
          </cell>
          <cell r="C144" t="str">
            <v>SH143</v>
          </cell>
          <cell r="D144" t="str">
            <v>G143</v>
          </cell>
        </row>
        <row r="145">
          <cell r="A145" t="str">
            <v>DP144</v>
          </cell>
          <cell r="B145" t="str">
            <v>M144</v>
          </cell>
          <cell r="C145" t="str">
            <v>SH144</v>
          </cell>
          <cell r="D145" t="str">
            <v>G144</v>
          </cell>
        </row>
        <row r="146">
          <cell r="A146" t="str">
            <v>DP145</v>
          </cell>
          <cell r="B146" t="str">
            <v>M145</v>
          </cell>
          <cell r="C146" t="str">
            <v>SH145</v>
          </cell>
          <cell r="D146" t="str">
            <v>G145</v>
          </cell>
        </row>
        <row r="147">
          <cell r="A147" t="str">
            <v>DP146</v>
          </cell>
          <cell r="B147" t="str">
            <v>M146</v>
          </cell>
          <cell r="C147" t="str">
            <v>SH146</v>
          </cell>
          <cell r="D147" t="str">
            <v>G146</v>
          </cell>
        </row>
        <row r="148">
          <cell r="A148" t="str">
            <v>DP147</v>
          </cell>
          <cell r="B148" t="str">
            <v>M147</v>
          </cell>
          <cell r="C148" t="str">
            <v>SH147</v>
          </cell>
          <cell r="D148" t="str">
            <v>G147</v>
          </cell>
        </row>
        <row r="149">
          <cell r="A149" t="str">
            <v>DP148</v>
          </cell>
          <cell r="B149" t="str">
            <v>M148</v>
          </cell>
          <cell r="C149" t="str">
            <v>SH148</v>
          </cell>
          <cell r="D149" t="str">
            <v>G148</v>
          </cell>
        </row>
        <row r="150">
          <cell r="A150" t="str">
            <v>DP149</v>
          </cell>
          <cell r="B150" t="str">
            <v>M149</v>
          </cell>
          <cell r="C150" t="str">
            <v>SH149</v>
          </cell>
          <cell r="D150" t="str">
            <v>G149</v>
          </cell>
        </row>
        <row r="151">
          <cell r="A151" t="str">
            <v>DP150</v>
          </cell>
          <cell r="B151" t="str">
            <v>M150</v>
          </cell>
          <cell r="C151" t="str">
            <v>SH150</v>
          </cell>
          <cell r="D151" t="str">
            <v>G150</v>
          </cell>
        </row>
        <row r="152">
          <cell r="A152" t="str">
            <v>DP151</v>
          </cell>
          <cell r="B152" t="str">
            <v>M151</v>
          </cell>
          <cell r="C152" t="str">
            <v>SH151</v>
          </cell>
          <cell r="D152" t="str">
            <v>G151</v>
          </cell>
        </row>
        <row r="153">
          <cell r="A153" t="str">
            <v>DP152</v>
          </cell>
          <cell r="B153" t="str">
            <v>M152</v>
          </cell>
          <cell r="C153" t="str">
            <v>SH152</v>
          </cell>
          <cell r="D153" t="str">
            <v>G152</v>
          </cell>
        </row>
        <row r="154">
          <cell r="A154" t="str">
            <v>DP153</v>
          </cell>
          <cell r="B154" t="str">
            <v>M153</v>
          </cell>
          <cell r="C154" t="str">
            <v>SH153</v>
          </cell>
          <cell r="D154" t="str">
            <v>G153</v>
          </cell>
        </row>
        <row r="155">
          <cell r="A155" t="str">
            <v>DP154</v>
          </cell>
          <cell r="B155" t="str">
            <v>M154</v>
          </cell>
          <cell r="C155" t="str">
            <v>SH154</v>
          </cell>
          <cell r="D155" t="str">
            <v>G154</v>
          </cell>
        </row>
        <row r="156">
          <cell r="A156" t="str">
            <v>DP155</v>
          </cell>
          <cell r="B156" t="str">
            <v>M155</v>
          </cell>
          <cell r="C156" t="str">
            <v>SH155</v>
          </cell>
          <cell r="D156" t="str">
            <v>G155</v>
          </cell>
        </row>
        <row r="157">
          <cell r="A157" t="str">
            <v>DP156</v>
          </cell>
          <cell r="B157" t="str">
            <v>M156</v>
          </cell>
          <cell r="C157" t="str">
            <v>SH156</v>
          </cell>
          <cell r="D157" t="str">
            <v>G156</v>
          </cell>
        </row>
        <row r="158">
          <cell r="A158" t="str">
            <v>DP157</v>
          </cell>
          <cell r="B158" t="str">
            <v>M157</v>
          </cell>
          <cell r="C158" t="str">
            <v>SH157</v>
          </cell>
          <cell r="D158" t="str">
            <v>G157</v>
          </cell>
        </row>
        <row r="159">
          <cell r="A159" t="str">
            <v>DP158</v>
          </cell>
          <cell r="B159" t="str">
            <v>M158</v>
          </cell>
          <cell r="C159" t="str">
            <v>SH158</v>
          </cell>
          <cell r="D159" t="str">
            <v>G158</v>
          </cell>
        </row>
        <row r="160">
          <cell r="A160" t="str">
            <v>DP159</v>
          </cell>
          <cell r="B160" t="str">
            <v>M159</v>
          </cell>
          <cell r="C160" t="str">
            <v>SH159</v>
          </cell>
          <cell r="D160" t="str">
            <v>G159</v>
          </cell>
        </row>
        <row r="161">
          <cell r="A161" t="str">
            <v>DP160</v>
          </cell>
          <cell r="B161" t="str">
            <v>M160</v>
          </cell>
          <cell r="C161" t="str">
            <v>SH160</v>
          </cell>
          <cell r="D161" t="str">
            <v>G160</v>
          </cell>
        </row>
        <row r="162">
          <cell r="A162" t="str">
            <v>DP161</v>
          </cell>
          <cell r="B162" t="str">
            <v>M161</v>
          </cell>
          <cell r="C162" t="str">
            <v>SH161</v>
          </cell>
          <cell r="D162" t="str">
            <v>G161</v>
          </cell>
        </row>
        <row r="163">
          <cell r="A163" t="str">
            <v>DP162</v>
          </cell>
          <cell r="B163" t="str">
            <v>M162</v>
          </cell>
          <cell r="C163" t="str">
            <v>SH162</v>
          </cell>
          <cell r="D163" t="str">
            <v>G162</v>
          </cell>
        </row>
        <row r="164">
          <cell r="A164" t="str">
            <v>DP163</v>
          </cell>
          <cell r="B164" t="str">
            <v>M163</v>
          </cell>
          <cell r="C164" t="str">
            <v>SH163</v>
          </cell>
          <cell r="D164" t="str">
            <v>G163</v>
          </cell>
        </row>
        <row r="165">
          <cell r="A165" t="str">
            <v>DP164</v>
          </cell>
          <cell r="B165" t="str">
            <v>M164</v>
          </cell>
          <cell r="C165" t="str">
            <v>SH164</v>
          </cell>
          <cell r="D165" t="str">
            <v>G164</v>
          </cell>
        </row>
        <row r="166">
          <cell r="A166" t="str">
            <v>DP165</v>
          </cell>
          <cell r="B166" t="str">
            <v>M165</v>
          </cell>
          <cell r="C166" t="str">
            <v>SH165</v>
          </cell>
          <cell r="D166" t="str">
            <v>G165</v>
          </cell>
        </row>
        <row r="167">
          <cell r="A167" t="str">
            <v>DP166</v>
          </cell>
          <cell r="B167" t="str">
            <v>M166</v>
          </cell>
          <cell r="C167" t="str">
            <v>SH166</v>
          </cell>
          <cell r="D167" t="str">
            <v>G166</v>
          </cell>
        </row>
        <row r="168">
          <cell r="A168" t="str">
            <v>DP167</v>
          </cell>
          <cell r="B168" t="str">
            <v>M167</v>
          </cell>
          <cell r="C168" t="str">
            <v>SH167</v>
          </cell>
          <cell r="D168" t="str">
            <v>G167</v>
          </cell>
        </row>
        <row r="169">
          <cell r="A169" t="str">
            <v>DP168</v>
          </cell>
          <cell r="B169" t="str">
            <v>M168</v>
          </cell>
          <cell r="C169" t="str">
            <v>SH168</v>
          </cell>
          <cell r="D169" t="str">
            <v>G168</v>
          </cell>
        </row>
        <row r="170">
          <cell r="A170" t="str">
            <v>DP169</v>
          </cell>
          <cell r="B170" t="str">
            <v>M169</v>
          </cell>
          <cell r="C170" t="str">
            <v>SH169</v>
          </cell>
          <cell r="D170" t="str">
            <v>G169</v>
          </cell>
        </row>
        <row r="171">
          <cell r="A171" t="str">
            <v>DP170</v>
          </cell>
          <cell r="B171" t="str">
            <v>M170</v>
          </cell>
          <cell r="C171" t="str">
            <v>SH170</v>
          </cell>
          <cell r="D171" t="str">
            <v>G170</v>
          </cell>
        </row>
        <row r="172">
          <cell r="A172" t="str">
            <v>DP171</v>
          </cell>
          <cell r="B172" t="str">
            <v>M171</v>
          </cell>
          <cell r="C172" t="str">
            <v>SH171</v>
          </cell>
          <cell r="D172" t="str">
            <v>G171</v>
          </cell>
        </row>
        <row r="173">
          <cell r="A173" t="str">
            <v>DP172</v>
          </cell>
          <cell r="B173" t="str">
            <v>M172</v>
          </cell>
          <cell r="C173" t="str">
            <v>SH172</v>
          </cell>
          <cell r="D173" t="str">
            <v>G172</v>
          </cell>
        </row>
        <row r="174">
          <cell r="A174" t="str">
            <v>DP173</v>
          </cell>
          <cell r="B174" t="str">
            <v>M173</v>
          </cell>
          <cell r="C174" t="str">
            <v>SH173</v>
          </cell>
          <cell r="D174" t="str">
            <v>G173</v>
          </cell>
        </row>
        <row r="175">
          <cell r="A175" t="str">
            <v>DP174</v>
          </cell>
          <cell r="B175" t="str">
            <v>M174</v>
          </cell>
          <cell r="C175" t="str">
            <v>SH174</v>
          </cell>
          <cell r="D175" t="str">
            <v>G174</v>
          </cell>
        </row>
        <row r="176">
          <cell r="A176" t="str">
            <v>DP175</v>
          </cell>
          <cell r="B176" t="str">
            <v>M175</v>
          </cell>
          <cell r="C176" t="str">
            <v>SH175</v>
          </cell>
          <cell r="D176" t="str">
            <v>G175</v>
          </cell>
        </row>
        <row r="177">
          <cell r="A177" t="str">
            <v>DP176</v>
          </cell>
          <cell r="B177" t="str">
            <v>M176</v>
          </cell>
          <cell r="C177" t="str">
            <v>SH176</v>
          </cell>
          <cell r="D177" t="str">
            <v>G176</v>
          </cell>
        </row>
        <row r="178">
          <cell r="A178" t="str">
            <v>DP177</v>
          </cell>
          <cell r="B178" t="str">
            <v>M177</v>
          </cell>
          <cell r="C178" t="str">
            <v>SH177</v>
          </cell>
          <cell r="D178" t="str">
            <v>G177</v>
          </cell>
        </row>
        <row r="179">
          <cell r="A179" t="str">
            <v>DP178</v>
          </cell>
          <cell r="B179" t="str">
            <v>M178</v>
          </cell>
          <cell r="C179" t="str">
            <v>SH178</v>
          </cell>
          <cell r="D179" t="str">
            <v>G178</v>
          </cell>
        </row>
        <row r="180">
          <cell r="A180" t="str">
            <v>DP179</v>
          </cell>
          <cell r="B180" t="str">
            <v>M179</v>
          </cell>
          <cell r="C180" t="str">
            <v>SH179</v>
          </cell>
          <cell r="D180" t="str">
            <v>G179</v>
          </cell>
        </row>
        <row r="181">
          <cell r="A181" t="str">
            <v>DP180</v>
          </cell>
          <cell r="B181" t="str">
            <v>M180</v>
          </cell>
          <cell r="C181" t="str">
            <v>SH180</v>
          </cell>
          <cell r="D181" t="str">
            <v>G180</v>
          </cell>
        </row>
        <row r="182">
          <cell r="A182" t="str">
            <v>DP181</v>
          </cell>
          <cell r="B182" t="str">
            <v>M181</v>
          </cell>
          <cell r="C182" t="str">
            <v>SH181</v>
          </cell>
          <cell r="D182" t="str">
            <v>G181</v>
          </cell>
        </row>
        <row r="183">
          <cell r="A183" t="str">
            <v>DP182</v>
          </cell>
          <cell r="B183" t="str">
            <v>M182</v>
          </cell>
          <cell r="C183" t="str">
            <v>SH182</v>
          </cell>
          <cell r="D183" t="str">
            <v>G182</v>
          </cell>
        </row>
        <row r="184">
          <cell r="A184" t="str">
            <v>DP183</v>
          </cell>
          <cell r="B184" t="str">
            <v>M183</v>
          </cell>
          <cell r="C184" t="str">
            <v>SH183</v>
          </cell>
          <cell r="D184" t="str">
            <v>G183</v>
          </cell>
        </row>
        <row r="185">
          <cell r="A185" t="str">
            <v>DP184</v>
          </cell>
          <cell r="B185" t="str">
            <v>M184</v>
          </cell>
          <cell r="C185" t="str">
            <v>SH184</v>
          </cell>
          <cell r="D185" t="str">
            <v>G184</v>
          </cell>
        </row>
        <row r="186">
          <cell r="A186" t="str">
            <v>DP185</v>
          </cell>
          <cell r="B186" t="str">
            <v>M185</v>
          </cell>
          <cell r="C186" t="str">
            <v>SH185</v>
          </cell>
          <cell r="D186" t="str">
            <v>G185</v>
          </cell>
        </row>
        <row r="187">
          <cell r="A187" t="str">
            <v>DP186</v>
          </cell>
          <cell r="B187" t="str">
            <v>M186</v>
          </cell>
          <cell r="C187" t="str">
            <v>SH186</v>
          </cell>
          <cell r="D187" t="str">
            <v>G186</v>
          </cell>
        </row>
        <row r="188">
          <cell r="A188" t="str">
            <v>DP187</v>
          </cell>
          <cell r="B188" t="str">
            <v>M187</v>
          </cell>
          <cell r="C188" t="str">
            <v>SH187</v>
          </cell>
          <cell r="D188" t="str">
            <v>G187</v>
          </cell>
        </row>
        <row r="189">
          <cell r="A189" t="str">
            <v>DP188</v>
          </cell>
          <cell r="B189" t="str">
            <v>M188</v>
          </cell>
          <cell r="C189" t="str">
            <v>SH188</v>
          </cell>
          <cell r="D189" t="str">
            <v>G188</v>
          </cell>
        </row>
        <row r="190">
          <cell r="A190" t="str">
            <v>DP189</v>
          </cell>
          <cell r="B190" t="str">
            <v>M189</v>
          </cell>
          <cell r="C190" t="str">
            <v>SH189</v>
          </cell>
          <cell r="D190" t="str">
            <v>G189</v>
          </cell>
        </row>
        <row r="191">
          <cell r="A191" t="str">
            <v>DP190</v>
          </cell>
          <cell r="B191" t="str">
            <v>M190</v>
          </cell>
          <cell r="C191" t="str">
            <v>SH190</v>
          </cell>
          <cell r="D191" t="str">
            <v>G190</v>
          </cell>
        </row>
        <row r="192">
          <cell r="A192" t="str">
            <v>DP191</v>
          </cell>
          <cell r="B192" t="str">
            <v>M191</v>
          </cell>
          <cell r="C192" t="str">
            <v>SH191</v>
          </cell>
          <cell r="D192" t="str">
            <v>G191</v>
          </cell>
        </row>
        <row r="193">
          <cell r="A193" t="str">
            <v>DP192</v>
          </cell>
          <cell r="B193" t="str">
            <v>M192</v>
          </cell>
          <cell r="C193" t="str">
            <v>SH192</v>
          </cell>
          <cell r="D193" t="str">
            <v>G192</v>
          </cell>
        </row>
        <row r="194">
          <cell r="A194" t="str">
            <v>DP193</v>
          </cell>
          <cell r="B194" t="str">
            <v>M193</v>
          </cell>
          <cell r="C194" t="str">
            <v>SH193</v>
          </cell>
          <cell r="D194" t="str">
            <v>G193</v>
          </cell>
        </row>
        <row r="195">
          <cell r="A195" t="str">
            <v>DP194</v>
          </cell>
          <cell r="B195" t="str">
            <v>M194</v>
          </cell>
          <cell r="C195" t="str">
            <v>SH194</v>
          </cell>
          <cell r="D195" t="str">
            <v>G194</v>
          </cell>
        </row>
        <row r="196">
          <cell r="A196" t="str">
            <v>DP195</v>
          </cell>
          <cell r="B196" t="str">
            <v>M195</v>
          </cell>
          <cell r="C196" t="str">
            <v>SH195</v>
          </cell>
          <cell r="D196" t="str">
            <v>G195</v>
          </cell>
        </row>
        <row r="197">
          <cell r="A197" t="str">
            <v>DP196</v>
          </cell>
          <cell r="B197" t="str">
            <v>M196</v>
          </cell>
          <cell r="C197" t="str">
            <v>SH196</v>
          </cell>
          <cell r="D197" t="str">
            <v>G196</v>
          </cell>
        </row>
        <row r="198">
          <cell r="A198" t="str">
            <v>DP197</v>
          </cell>
          <cell r="B198" t="str">
            <v>M197</v>
          </cell>
          <cell r="C198" t="str">
            <v>SH197</v>
          </cell>
          <cell r="D198" t="str">
            <v>G197</v>
          </cell>
        </row>
        <row r="199">
          <cell r="A199" t="str">
            <v>DP198</v>
          </cell>
          <cell r="B199" t="str">
            <v>M198</v>
          </cell>
          <cell r="C199" t="str">
            <v>SH198</v>
          </cell>
          <cell r="D199" t="str">
            <v>G198</v>
          </cell>
        </row>
        <row r="200">
          <cell r="A200" t="str">
            <v>DP199</v>
          </cell>
          <cell r="B200" t="str">
            <v>M199</v>
          </cell>
          <cell r="C200" t="str">
            <v>SH199</v>
          </cell>
          <cell r="D200" t="str">
            <v>G199</v>
          </cell>
        </row>
        <row r="201">
          <cell r="A201" t="str">
            <v>DP200</v>
          </cell>
          <cell r="B201" t="str">
            <v>M200</v>
          </cell>
          <cell r="C201" t="str">
            <v>SH200</v>
          </cell>
          <cell r="D201" t="str">
            <v>G200</v>
          </cell>
        </row>
        <row r="202">
          <cell r="A202" t="str">
            <v>DP201</v>
          </cell>
          <cell r="B202" t="str">
            <v>M201</v>
          </cell>
          <cell r="C202" t="str">
            <v>SH201</v>
          </cell>
          <cell r="D202" t="str">
            <v>G201</v>
          </cell>
        </row>
        <row r="203">
          <cell r="A203" t="str">
            <v>DP202</v>
          </cell>
          <cell r="B203" t="str">
            <v>M202</v>
          </cell>
          <cell r="C203" t="str">
            <v>SH202</v>
          </cell>
          <cell r="D203" t="str">
            <v>G202</v>
          </cell>
        </row>
        <row r="204">
          <cell r="A204" t="str">
            <v>DP203</v>
          </cell>
          <cell r="B204" t="str">
            <v>M203</v>
          </cell>
          <cell r="C204" t="str">
            <v>SH203</v>
          </cell>
          <cell r="D204" t="str">
            <v>G203</v>
          </cell>
        </row>
        <row r="205">
          <cell r="A205" t="str">
            <v>DP204</v>
          </cell>
          <cell r="B205" t="str">
            <v>M204</v>
          </cell>
          <cell r="C205" t="str">
            <v>SH204</v>
          </cell>
          <cell r="D205" t="str">
            <v>G204</v>
          </cell>
        </row>
        <row r="206">
          <cell r="A206" t="str">
            <v>DP205</v>
          </cell>
          <cell r="B206" t="str">
            <v>M205</v>
          </cell>
          <cell r="C206" t="str">
            <v>SH205</v>
          </cell>
          <cell r="D206" t="str">
            <v>G205</v>
          </cell>
        </row>
        <row r="207">
          <cell r="A207" t="str">
            <v>DP206</v>
          </cell>
          <cell r="B207" t="str">
            <v>M206</v>
          </cell>
          <cell r="C207" t="str">
            <v>SH206</v>
          </cell>
          <cell r="D207" t="str">
            <v>G206</v>
          </cell>
        </row>
        <row r="208">
          <cell r="A208" t="str">
            <v>DP207</v>
          </cell>
          <cell r="B208" t="str">
            <v>M207</v>
          </cell>
          <cell r="C208" t="str">
            <v>SH207</v>
          </cell>
          <cell r="D208" t="str">
            <v>G207</v>
          </cell>
        </row>
        <row r="209">
          <cell r="A209" t="str">
            <v>DP208</v>
          </cell>
          <cell r="B209" t="str">
            <v>M208</v>
          </cell>
          <cell r="C209" t="str">
            <v>SH208</v>
          </cell>
          <cell r="D209" t="str">
            <v>G208</v>
          </cell>
        </row>
        <row r="210">
          <cell r="A210" t="str">
            <v>DP209</v>
          </cell>
          <cell r="B210" t="str">
            <v>M209</v>
          </cell>
          <cell r="C210" t="str">
            <v>SH209</v>
          </cell>
          <cell r="D210" t="str">
            <v>G209</v>
          </cell>
        </row>
        <row r="211">
          <cell r="A211" t="str">
            <v>DP210</v>
          </cell>
          <cell r="B211" t="str">
            <v>M210</v>
          </cell>
          <cell r="C211" t="str">
            <v>SH210</v>
          </cell>
          <cell r="D211" t="str">
            <v>G210</v>
          </cell>
        </row>
        <row r="212">
          <cell r="A212" t="str">
            <v>DP211</v>
          </cell>
          <cell r="B212" t="str">
            <v>M211</v>
          </cell>
          <cell r="C212" t="str">
            <v>SH211</v>
          </cell>
          <cell r="D212" t="str">
            <v>G211</v>
          </cell>
        </row>
        <row r="213">
          <cell r="A213" t="str">
            <v>DP212</v>
          </cell>
          <cell r="B213" t="str">
            <v>M212</v>
          </cell>
          <cell r="C213" t="str">
            <v>SH212</v>
          </cell>
          <cell r="D213" t="str">
            <v>G212</v>
          </cell>
        </row>
        <row r="214">
          <cell r="A214" t="str">
            <v>DP213</v>
          </cell>
          <cell r="B214" t="str">
            <v>M213</v>
          </cell>
          <cell r="C214" t="str">
            <v>SH213</v>
          </cell>
          <cell r="D214" t="str">
            <v>G213</v>
          </cell>
        </row>
        <row r="215">
          <cell r="A215" t="str">
            <v>DP214</v>
          </cell>
          <cell r="B215" t="str">
            <v>M214</v>
          </cell>
          <cell r="C215" t="str">
            <v>SH214</v>
          </cell>
          <cell r="D215" t="str">
            <v>G214</v>
          </cell>
        </row>
        <row r="216">
          <cell r="A216" t="str">
            <v>DP215</v>
          </cell>
          <cell r="B216" t="str">
            <v>M215</v>
          </cell>
          <cell r="C216" t="str">
            <v>SH215</v>
          </cell>
          <cell r="D216" t="str">
            <v>G215</v>
          </cell>
        </row>
        <row r="217">
          <cell r="A217" t="str">
            <v>DP216</v>
          </cell>
          <cell r="B217" t="str">
            <v>M216</v>
          </cell>
          <cell r="C217" t="str">
            <v>SH216</v>
          </cell>
          <cell r="D217" t="str">
            <v>G216</v>
          </cell>
        </row>
        <row r="218">
          <cell r="A218" t="str">
            <v>DP217</v>
          </cell>
          <cell r="B218" t="str">
            <v>M217</v>
          </cell>
          <cell r="C218" t="str">
            <v>SH217</v>
          </cell>
          <cell r="D218" t="str">
            <v>G217</v>
          </cell>
        </row>
        <row r="219">
          <cell r="A219" t="str">
            <v>DP218</v>
          </cell>
          <cell r="B219" t="str">
            <v>M218</v>
          </cell>
          <cell r="C219" t="str">
            <v>SH218</v>
          </cell>
          <cell r="D219" t="str">
            <v>G218</v>
          </cell>
        </row>
        <row r="220">
          <cell r="A220" t="str">
            <v>DP219</v>
          </cell>
          <cell r="B220" t="str">
            <v>M219</v>
          </cell>
          <cell r="C220" t="str">
            <v>SH219</v>
          </cell>
          <cell r="D220" t="str">
            <v>G219</v>
          </cell>
        </row>
        <row r="221">
          <cell r="A221" t="str">
            <v>DP220</v>
          </cell>
          <cell r="B221" t="str">
            <v>M220</v>
          </cell>
          <cell r="C221" t="str">
            <v>SH220</v>
          </cell>
          <cell r="D221" t="str">
            <v>G220</v>
          </cell>
        </row>
        <row r="222">
          <cell r="A222" t="str">
            <v>DP221</v>
          </cell>
          <cell r="B222" t="str">
            <v>M221</v>
          </cell>
          <cell r="C222" t="str">
            <v>SH221</v>
          </cell>
          <cell r="D222" t="str">
            <v>G221</v>
          </cell>
        </row>
        <row r="223">
          <cell r="A223" t="str">
            <v>DP222</v>
          </cell>
          <cell r="B223" t="str">
            <v>M222</v>
          </cell>
          <cell r="C223" t="str">
            <v>SH222</v>
          </cell>
          <cell r="D223" t="str">
            <v>G222</v>
          </cell>
        </row>
        <row r="224">
          <cell r="A224" t="str">
            <v>DP223</v>
          </cell>
          <cell r="B224" t="str">
            <v>M223</v>
          </cell>
          <cell r="C224" t="str">
            <v>SH223</v>
          </cell>
          <cell r="D224" t="str">
            <v>G223</v>
          </cell>
        </row>
        <row r="225">
          <cell r="A225" t="str">
            <v>DP224</v>
          </cell>
          <cell r="B225" t="str">
            <v>M224</v>
          </cell>
          <cell r="C225" t="str">
            <v>SH224</v>
          </cell>
          <cell r="D225" t="str">
            <v>G224</v>
          </cell>
        </row>
        <row r="226">
          <cell r="A226" t="str">
            <v>DP225</v>
          </cell>
          <cell r="B226" t="str">
            <v>M225</v>
          </cell>
          <cell r="C226" t="str">
            <v>SH225</v>
          </cell>
          <cell r="D226" t="str">
            <v>G225</v>
          </cell>
        </row>
        <row r="227">
          <cell r="A227" t="str">
            <v>DP226</v>
          </cell>
          <cell r="B227" t="str">
            <v>M226</v>
          </cell>
          <cell r="C227" t="str">
            <v>SH226</v>
          </cell>
          <cell r="D227" t="str">
            <v>G226</v>
          </cell>
        </row>
        <row r="228">
          <cell r="A228" t="str">
            <v>DP227</v>
          </cell>
          <cell r="B228" t="str">
            <v>M227</v>
          </cell>
          <cell r="C228" t="str">
            <v>SH227</v>
          </cell>
          <cell r="D228" t="str">
            <v>G227</v>
          </cell>
        </row>
        <row r="229">
          <cell r="A229" t="str">
            <v>DP228</v>
          </cell>
          <cell r="B229" t="str">
            <v>M228</v>
          </cell>
          <cell r="C229" t="str">
            <v>SH228</v>
          </cell>
          <cell r="D229" t="str">
            <v>G228</v>
          </cell>
        </row>
        <row r="230">
          <cell r="A230" t="str">
            <v>DP229</v>
          </cell>
          <cell r="B230" t="str">
            <v>M229</v>
          </cell>
          <cell r="C230" t="str">
            <v>SH229</v>
          </cell>
          <cell r="D230" t="str">
            <v>G229</v>
          </cell>
        </row>
        <row r="231">
          <cell r="A231" t="str">
            <v>DP230</v>
          </cell>
          <cell r="B231" t="str">
            <v>M230</v>
          </cell>
          <cell r="C231" t="str">
            <v>SH230</v>
          </cell>
          <cell r="D231" t="str">
            <v>G230</v>
          </cell>
        </row>
        <row r="232">
          <cell r="A232" t="str">
            <v>DP231</v>
          </cell>
          <cell r="B232" t="str">
            <v>M231</v>
          </cell>
          <cell r="C232" t="str">
            <v>SH231</v>
          </cell>
          <cell r="D232" t="str">
            <v>G231</v>
          </cell>
        </row>
        <row r="233">
          <cell r="A233" t="str">
            <v>DP232</v>
          </cell>
          <cell r="B233" t="str">
            <v>M232</v>
          </cell>
          <cell r="C233" t="str">
            <v>SH232</v>
          </cell>
          <cell r="D233" t="str">
            <v>G232</v>
          </cell>
        </row>
        <row r="234">
          <cell r="A234" t="str">
            <v>DP233</v>
          </cell>
          <cell r="B234" t="str">
            <v>M233</v>
          </cell>
          <cell r="C234" t="str">
            <v>SH233</v>
          </cell>
          <cell r="D234" t="str">
            <v>G233</v>
          </cell>
        </row>
        <row r="235">
          <cell r="A235" t="str">
            <v>DP234</v>
          </cell>
          <cell r="B235" t="str">
            <v>M234</v>
          </cell>
          <cell r="C235" t="str">
            <v>SH234</v>
          </cell>
          <cell r="D235" t="str">
            <v>G234</v>
          </cell>
        </row>
        <row r="236">
          <cell r="A236" t="str">
            <v>DP235</v>
          </cell>
          <cell r="B236" t="str">
            <v>M235</v>
          </cell>
          <cell r="C236" t="str">
            <v>SH235</v>
          </cell>
          <cell r="D236" t="str">
            <v>G235</v>
          </cell>
        </row>
        <row r="237">
          <cell r="A237" t="str">
            <v>DP236</v>
          </cell>
          <cell r="B237" t="str">
            <v>M236</v>
          </cell>
          <cell r="C237" t="str">
            <v>SH236</v>
          </cell>
          <cell r="D237" t="str">
            <v>G236</v>
          </cell>
        </row>
        <row r="238">
          <cell r="A238" t="str">
            <v>DP237</v>
          </cell>
          <cell r="B238" t="str">
            <v>M237</v>
          </cell>
          <cell r="C238" t="str">
            <v>SH237</v>
          </cell>
          <cell r="D238" t="str">
            <v>G237</v>
          </cell>
        </row>
        <row r="239">
          <cell r="A239" t="str">
            <v>DP238</v>
          </cell>
          <cell r="B239" t="str">
            <v>M238</v>
          </cell>
          <cell r="C239" t="str">
            <v>SH238</v>
          </cell>
          <cell r="D239" t="str">
            <v>G238</v>
          </cell>
        </row>
        <row r="240">
          <cell r="A240" t="str">
            <v>DP239</v>
          </cell>
          <cell r="B240" t="str">
            <v>M239</v>
          </cell>
          <cell r="C240" t="str">
            <v>SH239</v>
          </cell>
          <cell r="D240" t="str">
            <v>G239</v>
          </cell>
        </row>
        <row r="241">
          <cell r="A241" t="str">
            <v>DP240</v>
          </cell>
          <cell r="B241" t="str">
            <v>M240</v>
          </cell>
          <cell r="C241" t="str">
            <v>SH240</v>
          </cell>
          <cell r="D241" t="str">
            <v>G240</v>
          </cell>
        </row>
        <row r="242">
          <cell r="A242" t="str">
            <v>DP241</v>
          </cell>
          <cell r="B242" t="str">
            <v>M241</v>
          </cell>
          <cell r="C242" t="str">
            <v>SH241</v>
          </cell>
          <cell r="D242" t="str">
            <v>G241</v>
          </cell>
        </row>
        <row r="243">
          <cell r="A243" t="str">
            <v>DP242</v>
          </cell>
          <cell r="B243" t="str">
            <v>M242</v>
          </cell>
          <cell r="C243" t="str">
            <v>SH242</v>
          </cell>
          <cell r="D243" t="str">
            <v>G242</v>
          </cell>
        </row>
        <row r="244">
          <cell r="A244" t="str">
            <v>DP243</v>
          </cell>
          <cell r="B244" t="str">
            <v>M243</v>
          </cell>
          <cell r="C244" t="str">
            <v>SH243</v>
          </cell>
          <cell r="D244" t="str">
            <v>G243</v>
          </cell>
        </row>
        <row r="245">
          <cell r="A245" t="str">
            <v>DP244</v>
          </cell>
          <cell r="B245" t="str">
            <v>M244</v>
          </cell>
          <cell r="C245" t="str">
            <v>SH244</v>
          </cell>
          <cell r="D245" t="str">
            <v>G244</v>
          </cell>
        </row>
        <row r="246">
          <cell r="A246" t="str">
            <v>DP245</v>
          </cell>
          <cell r="B246" t="str">
            <v>M245</v>
          </cell>
          <cell r="C246" t="str">
            <v>SH245</v>
          </cell>
          <cell r="D246" t="str">
            <v>G245</v>
          </cell>
        </row>
        <row r="247">
          <cell r="A247" t="str">
            <v>DP246</v>
          </cell>
          <cell r="B247" t="str">
            <v>M246</v>
          </cell>
          <cell r="C247" t="str">
            <v>SH246</v>
          </cell>
          <cell r="D247" t="str">
            <v>G246</v>
          </cell>
        </row>
        <row r="248">
          <cell r="A248" t="str">
            <v>DP247</v>
          </cell>
          <cell r="B248" t="str">
            <v>M247</v>
          </cell>
          <cell r="C248" t="str">
            <v>SH247</v>
          </cell>
          <cell r="D248" t="str">
            <v>G247</v>
          </cell>
        </row>
        <row r="249">
          <cell r="A249" t="str">
            <v>DP248</v>
          </cell>
          <cell r="B249" t="str">
            <v>M248</v>
          </cell>
          <cell r="C249" t="str">
            <v>SH248</v>
          </cell>
          <cell r="D249" t="str">
            <v>G248</v>
          </cell>
        </row>
        <row r="250">
          <cell r="A250" t="str">
            <v>DP249</v>
          </cell>
          <cell r="B250" t="str">
            <v>M249</v>
          </cell>
          <cell r="C250" t="str">
            <v>SH249</v>
          </cell>
          <cell r="D250" t="str">
            <v>G249</v>
          </cell>
        </row>
        <row r="251">
          <cell r="A251" t="str">
            <v>DP250</v>
          </cell>
          <cell r="B251" t="str">
            <v>M250</v>
          </cell>
          <cell r="C251" t="str">
            <v>SH250</v>
          </cell>
          <cell r="D251" t="str">
            <v>G250</v>
          </cell>
        </row>
        <row r="252">
          <cell r="A252" t="str">
            <v>DP251</v>
          </cell>
          <cell r="B252" t="str">
            <v>M251</v>
          </cell>
          <cell r="C252" t="str">
            <v>SH251</v>
          </cell>
          <cell r="D252" t="str">
            <v>G251</v>
          </cell>
        </row>
        <row r="253">
          <cell r="A253" t="str">
            <v>DP252</v>
          </cell>
          <cell r="B253" t="str">
            <v>M252</v>
          </cell>
          <cell r="C253" t="str">
            <v>SH252</v>
          </cell>
          <cell r="D253" t="str">
            <v>G252</v>
          </cell>
        </row>
        <row r="254">
          <cell r="A254" t="str">
            <v>DP253</v>
          </cell>
          <cell r="B254" t="str">
            <v>M253</v>
          </cell>
          <cell r="C254" t="str">
            <v>SH253</v>
          </cell>
          <cell r="D254" t="str">
            <v>G253</v>
          </cell>
        </row>
        <row r="255">
          <cell r="A255" t="str">
            <v>DP254</v>
          </cell>
          <cell r="B255" t="str">
            <v>M254</v>
          </cell>
          <cell r="C255" t="str">
            <v>SH254</v>
          </cell>
          <cell r="D255" t="str">
            <v>G254</v>
          </cell>
        </row>
        <row r="256">
          <cell r="A256" t="str">
            <v>DP255</v>
          </cell>
          <cell r="B256" t="str">
            <v>M255</v>
          </cell>
          <cell r="C256" t="str">
            <v>SH255</v>
          </cell>
          <cell r="D256" t="str">
            <v>G255</v>
          </cell>
        </row>
        <row r="257">
          <cell r="A257" t="str">
            <v>DP256</v>
          </cell>
          <cell r="B257" t="str">
            <v>M256</v>
          </cell>
          <cell r="C257" t="str">
            <v>SH256</v>
          </cell>
          <cell r="D257" t="str">
            <v>G256</v>
          </cell>
        </row>
        <row r="258">
          <cell r="A258" t="str">
            <v>DP257</v>
          </cell>
          <cell r="B258" t="str">
            <v>M257</v>
          </cell>
          <cell r="C258" t="str">
            <v>SH257</v>
          </cell>
          <cell r="D258" t="str">
            <v>G257</v>
          </cell>
        </row>
        <row r="259">
          <cell r="A259" t="str">
            <v>DP258</v>
          </cell>
          <cell r="B259" t="str">
            <v>M258</v>
          </cell>
          <cell r="C259" t="str">
            <v>SH258</v>
          </cell>
          <cell r="D259" t="str">
            <v>G258</v>
          </cell>
        </row>
        <row r="260">
          <cell r="A260" t="str">
            <v>DP259</v>
          </cell>
          <cell r="B260" t="str">
            <v>M259</v>
          </cell>
          <cell r="C260" t="str">
            <v>SH259</v>
          </cell>
          <cell r="D260" t="str">
            <v>G259</v>
          </cell>
        </row>
        <row r="261">
          <cell r="A261" t="str">
            <v>DP260</v>
          </cell>
          <cell r="B261" t="str">
            <v>M260</v>
          </cell>
          <cell r="C261" t="str">
            <v>SH260</v>
          </cell>
          <cell r="D261" t="str">
            <v>G260</v>
          </cell>
        </row>
        <row r="262">
          <cell r="A262" t="str">
            <v>DP261</v>
          </cell>
          <cell r="B262" t="str">
            <v>M261</v>
          </cell>
          <cell r="C262" t="str">
            <v>SH261</v>
          </cell>
          <cell r="D262" t="str">
            <v>G261</v>
          </cell>
        </row>
        <row r="263">
          <cell r="A263" t="str">
            <v>DP262</v>
          </cell>
          <cell r="B263" t="str">
            <v>M262</v>
          </cell>
          <cell r="C263" t="str">
            <v>SH262</v>
          </cell>
          <cell r="D263" t="str">
            <v>G262</v>
          </cell>
        </row>
        <row r="264">
          <cell r="A264" t="str">
            <v>DP263</v>
          </cell>
          <cell r="B264" t="str">
            <v>M263</v>
          </cell>
          <cell r="C264" t="str">
            <v>SH263</v>
          </cell>
          <cell r="D264" t="str">
            <v>G263</v>
          </cell>
        </row>
        <row r="265">
          <cell r="A265" t="str">
            <v>DP264</v>
          </cell>
          <cell r="B265" t="str">
            <v>M264</v>
          </cell>
          <cell r="C265" t="str">
            <v>SH264</v>
          </cell>
          <cell r="D265" t="str">
            <v>G264</v>
          </cell>
        </row>
        <row r="266">
          <cell r="A266" t="str">
            <v>DP265</v>
          </cell>
          <cell r="B266" t="str">
            <v>M265</v>
          </cell>
          <cell r="C266" t="str">
            <v>SH265</v>
          </cell>
          <cell r="D266" t="str">
            <v>G265</v>
          </cell>
        </row>
        <row r="267">
          <cell r="A267" t="str">
            <v>DP266</v>
          </cell>
          <cell r="B267" t="str">
            <v>M266</v>
          </cell>
          <cell r="C267" t="str">
            <v>SH266</v>
          </cell>
          <cell r="D267" t="str">
            <v>G266</v>
          </cell>
        </row>
        <row r="268">
          <cell r="A268" t="str">
            <v>DP267</v>
          </cell>
          <cell r="B268" t="str">
            <v>M267</v>
          </cell>
          <cell r="C268" t="str">
            <v>SH267</v>
          </cell>
          <cell r="D268" t="str">
            <v>G267</v>
          </cell>
        </row>
        <row r="269">
          <cell r="A269" t="str">
            <v>DP268</v>
          </cell>
          <cell r="B269" t="str">
            <v>M268</v>
          </cell>
          <cell r="C269" t="str">
            <v>SH268</v>
          </cell>
          <cell r="D269" t="str">
            <v>G268</v>
          </cell>
        </row>
        <row r="270">
          <cell r="A270" t="str">
            <v>DP269</v>
          </cell>
          <cell r="B270" t="str">
            <v>M269</v>
          </cell>
          <cell r="C270" t="str">
            <v>SH269</v>
          </cell>
          <cell r="D270" t="str">
            <v>G269</v>
          </cell>
        </row>
        <row r="271">
          <cell r="A271" t="str">
            <v>DP270</v>
          </cell>
          <cell r="B271" t="str">
            <v>M270</v>
          </cell>
          <cell r="C271" t="str">
            <v>SH270</v>
          </cell>
          <cell r="D271" t="str">
            <v>G270</v>
          </cell>
        </row>
        <row r="272">
          <cell r="A272" t="str">
            <v>DP271</v>
          </cell>
          <cell r="B272" t="str">
            <v>M271</v>
          </cell>
          <cell r="C272" t="str">
            <v>SH271</v>
          </cell>
          <cell r="D272" t="str">
            <v>G271</v>
          </cell>
        </row>
        <row r="273">
          <cell r="A273" t="str">
            <v>DP272</v>
          </cell>
          <cell r="B273" t="str">
            <v>M272</v>
          </cell>
          <cell r="C273" t="str">
            <v>SH272</v>
          </cell>
          <cell r="D273" t="str">
            <v>G272</v>
          </cell>
        </row>
        <row r="274">
          <cell r="A274" t="str">
            <v>DP273</v>
          </cell>
          <cell r="B274" t="str">
            <v>M273</v>
          </cell>
          <cell r="C274" t="str">
            <v>SH273</v>
          </cell>
          <cell r="D274" t="str">
            <v>G273</v>
          </cell>
        </row>
        <row r="275">
          <cell r="A275" t="str">
            <v>DP274</v>
          </cell>
          <cell r="B275" t="str">
            <v>M274</v>
          </cell>
          <cell r="C275" t="str">
            <v>SH274</v>
          </cell>
          <cell r="D275" t="str">
            <v>G274</v>
          </cell>
        </row>
        <row r="276">
          <cell r="A276" t="str">
            <v>DP275</v>
          </cell>
          <cell r="B276" t="str">
            <v>M275</v>
          </cell>
          <cell r="C276" t="str">
            <v>SH275</v>
          </cell>
          <cell r="D276" t="str">
            <v>G275</v>
          </cell>
        </row>
        <row r="277">
          <cell r="A277" t="str">
            <v>DP276</v>
          </cell>
          <cell r="B277" t="str">
            <v>M276</v>
          </cell>
          <cell r="C277" t="str">
            <v>SH276</v>
          </cell>
          <cell r="D277" t="str">
            <v>G276</v>
          </cell>
        </row>
        <row r="278">
          <cell r="A278" t="str">
            <v>DP277</v>
          </cell>
          <cell r="B278" t="str">
            <v>M277</v>
          </cell>
          <cell r="C278" t="str">
            <v>SH277</v>
          </cell>
          <cell r="D278" t="str">
            <v>G277</v>
          </cell>
        </row>
        <row r="279">
          <cell r="A279" t="str">
            <v>DP278</v>
          </cell>
          <cell r="B279" t="str">
            <v>M278</v>
          </cell>
          <cell r="C279" t="str">
            <v>SH278</v>
          </cell>
          <cell r="D279" t="str">
            <v>G278</v>
          </cell>
        </row>
        <row r="280">
          <cell r="A280" t="str">
            <v>DP279</v>
          </cell>
          <cell r="B280" t="str">
            <v>M279</v>
          </cell>
          <cell r="C280" t="str">
            <v>SH279</v>
          </cell>
          <cell r="D280" t="str">
            <v>G279</v>
          </cell>
        </row>
        <row r="281">
          <cell r="A281" t="str">
            <v>DP280</v>
          </cell>
          <cell r="B281" t="str">
            <v>M280</v>
          </cell>
          <cell r="C281" t="str">
            <v>SH280</v>
          </cell>
          <cell r="D281" t="str">
            <v>G280</v>
          </cell>
        </row>
        <row r="282">
          <cell r="A282" t="str">
            <v>DP281</v>
          </cell>
          <cell r="B282" t="str">
            <v>M281</v>
          </cell>
          <cell r="C282" t="str">
            <v>SH281</v>
          </cell>
          <cell r="D282" t="str">
            <v>G281</v>
          </cell>
        </row>
        <row r="283">
          <cell r="A283" t="str">
            <v>DP282</v>
          </cell>
          <cell r="B283" t="str">
            <v>M282</v>
          </cell>
          <cell r="C283" t="str">
            <v>SH282</v>
          </cell>
          <cell r="D283" t="str">
            <v>G282</v>
          </cell>
        </row>
        <row r="284">
          <cell r="A284" t="str">
            <v>DP283</v>
          </cell>
          <cell r="B284" t="str">
            <v>M283</v>
          </cell>
          <cell r="C284" t="str">
            <v>SH283</v>
          </cell>
          <cell r="D284" t="str">
            <v>G283</v>
          </cell>
        </row>
        <row r="285">
          <cell r="A285" t="str">
            <v>DP284</v>
          </cell>
          <cell r="B285" t="str">
            <v>M284</v>
          </cell>
          <cell r="C285" t="str">
            <v>SH284</v>
          </cell>
          <cell r="D285" t="str">
            <v>G284</v>
          </cell>
        </row>
        <row r="286">
          <cell r="A286" t="str">
            <v>DP285</v>
          </cell>
          <cell r="B286" t="str">
            <v>M285</v>
          </cell>
          <cell r="C286" t="str">
            <v>SH285</v>
          </cell>
          <cell r="D286" t="str">
            <v>G285</v>
          </cell>
        </row>
        <row r="287">
          <cell r="A287" t="str">
            <v>DP286</v>
          </cell>
          <cell r="B287" t="str">
            <v>M286</v>
          </cell>
          <cell r="C287" t="str">
            <v>SH286</v>
          </cell>
          <cell r="D287" t="str">
            <v>G286</v>
          </cell>
        </row>
        <row r="288">
          <cell r="A288" t="str">
            <v>DP287</v>
          </cell>
          <cell r="B288" t="str">
            <v>M287</v>
          </cell>
          <cell r="C288" t="str">
            <v>SH287</v>
          </cell>
          <cell r="D288" t="str">
            <v>G287</v>
          </cell>
        </row>
        <row r="289">
          <cell r="A289" t="str">
            <v>DP288</v>
          </cell>
          <cell r="B289" t="str">
            <v>M288</v>
          </cell>
          <cell r="C289" t="str">
            <v>SH288</v>
          </cell>
          <cell r="D289" t="str">
            <v>G288</v>
          </cell>
        </row>
        <row r="290">
          <cell r="A290" t="str">
            <v>DP289</v>
          </cell>
          <cell r="B290" t="str">
            <v>M289</v>
          </cell>
          <cell r="C290" t="str">
            <v>SH289</v>
          </cell>
          <cell r="D290" t="str">
            <v>G289</v>
          </cell>
        </row>
        <row r="291">
          <cell r="A291" t="str">
            <v>DP290</v>
          </cell>
          <cell r="B291" t="str">
            <v>M290</v>
          </cell>
          <cell r="C291" t="str">
            <v>SH290</v>
          </cell>
          <cell r="D291" t="str">
            <v>G290</v>
          </cell>
        </row>
        <row r="292">
          <cell r="A292" t="str">
            <v>DP291</v>
          </cell>
          <cell r="B292" t="str">
            <v>M291</v>
          </cell>
          <cell r="C292" t="str">
            <v>SH291</v>
          </cell>
          <cell r="D292" t="str">
            <v>G291</v>
          </cell>
        </row>
        <row r="293">
          <cell r="A293" t="str">
            <v>DP292</v>
          </cell>
          <cell r="B293" t="str">
            <v>M292</v>
          </cell>
          <cell r="C293" t="str">
            <v>SH292</v>
          </cell>
          <cell r="D293" t="str">
            <v>G292</v>
          </cell>
        </row>
        <row r="294">
          <cell r="A294" t="str">
            <v>DP293</v>
          </cell>
          <cell r="B294" t="str">
            <v>M293</v>
          </cell>
          <cell r="C294" t="str">
            <v>SH293</v>
          </cell>
          <cell r="D294" t="str">
            <v>G293</v>
          </cell>
        </row>
        <row r="295">
          <cell r="A295" t="str">
            <v>DP294</v>
          </cell>
          <cell r="B295" t="str">
            <v>M294</v>
          </cell>
          <cell r="C295" t="str">
            <v>SH294</v>
          </cell>
          <cell r="D295" t="str">
            <v>G294</v>
          </cell>
        </row>
        <row r="296">
          <cell r="A296" t="str">
            <v>DP295</v>
          </cell>
          <cell r="B296" t="str">
            <v>M295</v>
          </cell>
          <cell r="C296" t="str">
            <v>SH295</v>
          </cell>
          <cell r="D296" t="str">
            <v>G295</v>
          </cell>
        </row>
        <row r="297">
          <cell r="A297" t="str">
            <v>DP296</v>
          </cell>
          <cell r="B297" t="str">
            <v>M296</v>
          </cell>
          <cell r="C297" t="str">
            <v>SH296</v>
          </cell>
          <cell r="D297" t="str">
            <v>G296</v>
          </cell>
        </row>
        <row r="298">
          <cell r="A298" t="str">
            <v>DP297</v>
          </cell>
          <cell r="B298" t="str">
            <v>M297</v>
          </cell>
          <cell r="C298" t="str">
            <v>SH297</v>
          </cell>
          <cell r="D298" t="str">
            <v>G297</v>
          </cell>
        </row>
        <row r="299">
          <cell r="A299" t="str">
            <v>DP298</v>
          </cell>
          <cell r="B299" t="str">
            <v>M298</v>
          </cell>
          <cell r="C299" t="str">
            <v>SH298</v>
          </cell>
          <cell r="D299" t="str">
            <v>G298</v>
          </cell>
        </row>
        <row r="300">
          <cell r="A300" t="str">
            <v>DP299</v>
          </cell>
          <cell r="B300" t="str">
            <v>M299</v>
          </cell>
          <cell r="C300" t="str">
            <v>SH299</v>
          </cell>
          <cell r="D300" t="str">
            <v>G299</v>
          </cell>
        </row>
        <row r="301">
          <cell r="A301" t="str">
            <v>DP300</v>
          </cell>
          <cell r="B301" t="str">
            <v>M300</v>
          </cell>
          <cell r="C301" t="str">
            <v>SH300</v>
          </cell>
          <cell r="D301" t="str">
            <v>G300</v>
          </cell>
        </row>
        <row r="302">
          <cell r="A302" t="str">
            <v>DP301</v>
          </cell>
          <cell r="B302" t="str">
            <v>M301</v>
          </cell>
          <cell r="C302" t="str">
            <v>SH301</v>
          </cell>
          <cell r="D302" t="str">
            <v>G301</v>
          </cell>
        </row>
        <row r="303">
          <cell r="A303" t="str">
            <v>DP302</v>
          </cell>
          <cell r="B303" t="str">
            <v>M302</v>
          </cell>
          <cell r="C303" t="str">
            <v>SH302</v>
          </cell>
          <cell r="D303" t="str">
            <v>G302</v>
          </cell>
        </row>
        <row r="304">
          <cell r="A304" t="str">
            <v>DP303</v>
          </cell>
          <cell r="B304" t="str">
            <v>M303</v>
          </cell>
          <cell r="C304" t="str">
            <v>SH303</v>
          </cell>
          <cell r="D304" t="str">
            <v>G303</v>
          </cell>
        </row>
        <row r="305">
          <cell r="A305" t="str">
            <v>DP304</v>
          </cell>
          <cell r="B305" t="str">
            <v>M304</v>
          </cell>
          <cell r="C305" t="str">
            <v>SH304</v>
          </cell>
          <cell r="D305" t="str">
            <v>G304</v>
          </cell>
        </row>
        <row r="306">
          <cell r="A306" t="str">
            <v>DP305</v>
          </cell>
          <cell r="B306" t="str">
            <v>M305</v>
          </cell>
          <cell r="C306" t="str">
            <v>SH305</v>
          </cell>
          <cell r="D306" t="str">
            <v>G305</v>
          </cell>
        </row>
        <row r="307">
          <cell r="A307" t="str">
            <v>DP306</v>
          </cell>
          <cell r="B307" t="str">
            <v>M306</v>
          </cell>
          <cell r="C307" t="str">
            <v>SH306</v>
          </cell>
          <cell r="D307" t="str">
            <v>G306</v>
          </cell>
        </row>
        <row r="308">
          <cell r="A308" t="str">
            <v>DP307</v>
          </cell>
          <cell r="B308" t="str">
            <v>M307</v>
          </cell>
          <cell r="C308" t="str">
            <v>SH307</v>
          </cell>
          <cell r="D308" t="str">
            <v>G307</v>
          </cell>
        </row>
        <row r="309">
          <cell r="A309" t="str">
            <v>DP308</v>
          </cell>
          <cell r="B309" t="str">
            <v>M308</v>
          </cell>
          <cell r="C309" t="str">
            <v>SH308</v>
          </cell>
          <cell r="D309" t="str">
            <v>G308</v>
          </cell>
        </row>
        <row r="310">
          <cell r="A310" t="str">
            <v>DP309</v>
          </cell>
          <cell r="B310" t="str">
            <v>M309</v>
          </cell>
          <cell r="C310" t="str">
            <v>SH309</v>
          </cell>
          <cell r="D310" t="str">
            <v>G309</v>
          </cell>
        </row>
        <row r="311">
          <cell r="A311" t="str">
            <v>DP310</v>
          </cell>
          <cell r="B311" t="str">
            <v>M310</v>
          </cell>
          <cell r="C311" t="str">
            <v>SH310</v>
          </cell>
          <cell r="D311" t="str">
            <v>G310</v>
          </cell>
        </row>
        <row r="312">
          <cell r="A312" t="str">
            <v>DP311</v>
          </cell>
          <cell r="B312" t="str">
            <v>M311</v>
          </cell>
          <cell r="C312" t="str">
            <v>SH311</v>
          </cell>
          <cell r="D312" t="str">
            <v>G311</v>
          </cell>
        </row>
        <row r="313">
          <cell r="A313" t="str">
            <v>DP312</v>
          </cell>
          <cell r="B313" t="str">
            <v>M312</v>
          </cell>
          <cell r="C313" t="str">
            <v>SH312</v>
          </cell>
          <cell r="D313" t="str">
            <v>G312</v>
          </cell>
        </row>
        <row r="314">
          <cell r="A314" t="str">
            <v>DP313</v>
          </cell>
          <cell r="B314" t="str">
            <v>M313</v>
          </cell>
          <cell r="C314" t="str">
            <v>SH313</v>
          </cell>
          <cell r="D314" t="str">
            <v>G313</v>
          </cell>
        </row>
        <row r="315">
          <cell r="A315" t="str">
            <v>DP314</v>
          </cell>
          <cell r="B315" t="str">
            <v>M314</v>
          </cell>
          <cell r="C315" t="str">
            <v>SH314</v>
          </cell>
          <cell r="D315" t="str">
            <v>G314</v>
          </cell>
        </row>
        <row r="316">
          <cell r="A316" t="str">
            <v>DP315</v>
          </cell>
          <cell r="B316" t="str">
            <v>M315</v>
          </cell>
          <cell r="C316" t="str">
            <v>SH315</v>
          </cell>
          <cell r="D316" t="str">
            <v>G315</v>
          </cell>
        </row>
        <row r="317">
          <cell r="A317" t="str">
            <v>DP316</v>
          </cell>
          <cell r="B317" t="str">
            <v>M316</v>
          </cell>
          <cell r="C317" t="str">
            <v>SH316</v>
          </cell>
          <cell r="D317" t="str">
            <v>G316</v>
          </cell>
        </row>
        <row r="318">
          <cell r="A318" t="str">
            <v>DP317</v>
          </cell>
          <cell r="B318" t="str">
            <v>M317</v>
          </cell>
          <cell r="C318" t="str">
            <v>SH317</v>
          </cell>
          <cell r="D318" t="str">
            <v>G317</v>
          </cell>
        </row>
        <row r="319">
          <cell r="A319" t="str">
            <v>DP318</v>
          </cell>
          <cell r="B319" t="str">
            <v>M318</v>
          </cell>
          <cell r="C319" t="str">
            <v>SH318</v>
          </cell>
          <cell r="D319" t="str">
            <v>G318</v>
          </cell>
        </row>
        <row r="320">
          <cell r="A320" t="str">
            <v>DP319</v>
          </cell>
          <cell r="B320" t="str">
            <v>M319</v>
          </cell>
          <cell r="C320" t="str">
            <v>SH319</v>
          </cell>
          <cell r="D320" t="str">
            <v>G319</v>
          </cell>
        </row>
        <row r="321">
          <cell r="A321" t="str">
            <v>DP320</v>
          </cell>
          <cell r="B321" t="str">
            <v>M320</v>
          </cell>
          <cell r="C321" t="str">
            <v>SH320</v>
          </cell>
          <cell r="D321" t="str">
            <v>G320</v>
          </cell>
        </row>
        <row r="322">
          <cell r="A322" t="str">
            <v>DP321</v>
          </cell>
          <cell r="B322" t="str">
            <v>M321</v>
          </cell>
          <cell r="C322" t="str">
            <v>SH321</v>
          </cell>
          <cell r="D322" t="str">
            <v>G321</v>
          </cell>
        </row>
        <row r="323">
          <cell r="A323" t="str">
            <v>DP322</v>
          </cell>
          <cell r="B323" t="str">
            <v>M322</v>
          </cell>
          <cell r="C323" t="str">
            <v>SH322</v>
          </cell>
          <cell r="D323" t="str">
            <v>G322</v>
          </cell>
        </row>
        <row r="324">
          <cell r="A324" t="str">
            <v>DP323</v>
          </cell>
          <cell r="B324" t="str">
            <v>M323</v>
          </cell>
          <cell r="C324" t="str">
            <v>SH323</v>
          </cell>
          <cell r="D324" t="str">
            <v>G323</v>
          </cell>
        </row>
        <row r="325">
          <cell r="A325" t="str">
            <v>DP324</v>
          </cell>
          <cell r="B325" t="str">
            <v>M324</v>
          </cell>
          <cell r="C325" t="str">
            <v>SH324</v>
          </cell>
          <cell r="D325" t="str">
            <v>G324</v>
          </cell>
        </row>
        <row r="326">
          <cell r="A326" t="str">
            <v>DP325</v>
          </cell>
          <cell r="B326" t="str">
            <v>M325</v>
          </cell>
          <cell r="C326" t="str">
            <v>SH325</v>
          </cell>
          <cell r="D326" t="str">
            <v>G325</v>
          </cell>
        </row>
        <row r="327">
          <cell r="A327" t="str">
            <v>DP326</v>
          </cell>
          <cell r="B327" t="str">
            <v>M326</v>
          </cell>
          <cell r="C327" t="str">
            <v>SH326</v>
          </cell>
          <cell r="D327" t="str">
            <v>G326</v>
          </cell>
        </row>
        <row r="328">
          <cell r="A328" t="str">
            <v>DP327</v>
          </cell>
          <cell r="B328" t="str">
            <v>M327</v>
          </cell>
          <cell r="C328" t="str">
            <v>SH327</v>
          </cell>
          <cell r="D328" t="str">
            <v>G327</v>
          </cell>
        </row>
        <row r="329">
          <cell r="A329" t="str">
            <v>DP328</v>
          </cell>
          <cell r="B329" t="str">
            <v>M328</v>
          </cell>
          <cell r="C329" t="str">
            <v>SH328</v>
          </cell>
          <cell r="D329" t="str">
            <v>G328</v>
          </cell>
        </row>
        <row r="330">
          <cell r="A330" t="str">
            <v>DP329</v>
          </cell>
          <cell r="B330" t="str">
            <v>M329</v>
          </cell>
          <cell r="C330" t="str">
            <v>SH329</v>
          </cell>
          <cell r="D330" t="str">
            <v>G329</v>
          </cell>
        </row>
        <row r="331">
          <cell r="A331" t="str">
            <v>DP330</v>
          </cell>
          <cell r="B331" t="str">
            <v>M330</v>
          </cell>
          <cell r="C331" t="str">
            <v>SH330</v>
          </cell>
          <cell r="D331" t="str">
            <v>G330</v>
          </cell>
        </row>
        <row r="332">
          <cell r="A332" t="str">
            <v>DP331</v>
          </cell>
          <cell r="B332" t="str">
            <v>M331</v>
          </cell>
          <cell r="C332" t="str">
            <v>SH331</v>
          </cell>
          <cell r="D332" t="str">
            <v>G331</v>
          </cell>
        </row>
        <row r="333">
          <cell r="A333" t="str">
            <v>DP332</v>
          </cell>
          <cell r="B333" t="str">
            <v>M332</v>
          </cell>
          <cell r="C333" t="str">
            <v>SH332</v>
          </cell>
          <cell r="D333" t="str">
            <v>G332</v>
          </cell>
        </row>
        <row r="334">
          <cell r="A334" t="str">
            <v>DP333</v>
          </cell>
          <cell r="B334" t="str">
            <v>M333</v>
          </cell>
          <cell r="C334" t="str">
            <v>SH333</v>
          </cell>
          <cell r="D334" t="str">
            <v>G333</v>
          </cell>
        </row>
        <row r="335">
          <cell r="A335" t="str">
            <v>DP334</v>
          </cell>
          <cell r="B335" t="str">
            <v>M334</v>
          </cell>
          <cell r="C335" t="str">
            <v>SH334</v>
          </cell>
          <cell r="D335" t="str">
            <v>G334</v>
          </cell>
        </row>
        <row r="336">
          <cell r="A336" t="str">
            <v>DP335</v>
          </cell>
          <cell r="B336" t="str">
            <v>M335</v>
          </cell>
          <cell r="C336" t="str">
            <v>SH335</v>
          </cell>
          <cell r="D336" t="str">
            <v>G335</v>
          </cell>
        </row>
        <row r="337">
          <cell r="A337" t="str">
            <v>DP336</v>
          </cell>
          <cell r="B337" t="str">
            <v>M336</v>
          </cell>
          <cell r="C337" t="str">
            <v>SH336</v>
          </cell>
          <cell r="D337" t="str">
            <v>G336</v>
          </cell>
        </row>
        <row r="338">
          <cell r="A338" t="str">
            <v>DP337</v>
          </cell>
          <cell r="B338" t="str">
            <v>M337</v>
          </cell>
          <cell r="C338" t="str">
            <v>SH337</v>
          </cell>
          <cell r="D338" t="str">
            <v>G337</v>
          </cell>
        </row>
        <row r="339">
          <cell r="A339" t="str">
            <v>DP338</v>
          </cell>
          <cell r="B339" t="str">
            <v>M338</v>
          </cell>
          <cell r="C339" t="str">
            <v>SH338</v>
          </cell>
          <cell r="D339" t="str">
            <v>G338</v>
          </cell>
        </row>
        <row r="340">
          <cell r="A340" t="str">
            <v>DP339</v>
          </cell>
          <cell r="B340" t="str">
            <v>M339</v>
          </cell>
          <cell r="C340" t="str">
            <v>SH339</v>
          </cell>
          <cell r="D340" t="str">
            <v>G339</v>
          </cell>
        </row>
        <row r="341">
          <cell r="A341" t="str">
            <v>DP340</v>
          </cell>
          <cell r="B341" t="str">
            <v>M340</v>
          </cell>
          <cell r="C341" t="str">
            <v>SH340</v>
          </cell>
          <cell r="D341" t="str">
            <v>G340</v>
          </cell>
        </row>
        <row r="342">
          <cell r="A342" t="str">
            <v>DP341</v>
          </cell>
          <cell r="B342" t="str">
            <v>M341</v>
          </cell>
          <cell r="C342" t="str">
            <v>SH341</v>
          </cell>
          <cell r="D342" t="str">
            <v>G341</v>
          </cell>
        </row>
        <row r="343">
          <cell r="A343" t="str">
            <v>DP342</v>
          </cell>
          <cell r="B343" t="str">
            <v>M342</v>
          </cell>
          <cell r="C343" t="str">
            <v>SH342</v>
          </cell>
          <cell r="D343" t="str">
            <v>G342</v>
          </cell>
        </row>
        <row r="344">
          <cell r="A344" t="str">
            <v>DP343</v>
          </cell>
          <cell r="B344" t="str">
            <v>M343</v>
          </cell>
          <cell r="C344" t="str">
            <v>SH343</v>
          </cell>
          <cell r="D344" t="str">
            <v>G343</v>
          </cell>
        </row>
        <row r="345">
          <cell r="A345" t="str">
            <v>DP344</v>
          </cell>
          <cell r="B345" t="str">
            <v>M344</v>
          </cell>
          <cell r="C345" t="str">
            <v>SH344</v>
          </cell>
          <cell r="D345" t="str">
            <v>G344</v>
          </cell>
        </row>
        <row r="346">
          <cell r="A346" t="str">
            <v>DP345</v>
          </cell>
          <cell r="B346" t="str">
            <v>M345</v>
          </cell>
          <cell r="C346" t="str">
            <v>SH345</v>
          </cell>
          <cell r="D346" t="str">
            <v>G345</v>
          </cell>
        </row>
        <row r="347">
          <cell r="A347" t="str">
            <v>DP346</v>
          </cell>
          <cell r="B347" t="str">
            <v>M346</v>
          </cell>
          <cell r="C347" t="str">
            <v>SH346</v>
          </cell>
          <cell r="D347" t="str">
            <v>G346</v>
          </cell>
        </row>
        <row r="348">
          <cell r="A348" t="str">
            <v>DP347</v>
          </cell>
          <cell r="B348" t="str">
            <v>M347</v>
          </cell>
          <cell r="C348" t="str">
            <v>SH347</v>
          </cell>
          <cell r="D348" t="str">
            <v>G347</v>
          </cell>
        </row>
        <row r="349">
          <cell r="A349" t="str">
            <v>DP348</v>
          </cell>
          <cell r="B349" t="str">
            <v>M348</v>
          </cell>
          <cell r="C349" t="str">
            <v>SH348</v>
          </cell>
          <cell r="D349" t="str">
            <v>G348</v>
          </cell>
        </row>
        <row r="350">
          <cell r="A350" t="str">
            <v>DP349</v>
          </cell>
          <cell r="B350" t="str">
            <v>M349</v>
          </cell>
          <cell r="C350" t="str">
            <v>SH349</v>
          </cell>
          <cell r="D350" t="str">
            <v>G349</v>
          </cell>
        </row>
        <row r="351">
          <cell r="A351" t="str">
            <v>DP350</v>
          </cell>
          <cell r="B351" t="str">
            <v>M350</v>
          </cell>
          <cell r="C351" t="str">
            <v>SH350</v>
          </cell>
          <cell r="D351" t="str">
            <v>G350</v>
          </cell>
        </row>
        <row r="352">
          <cell r="A352" t="str">
            <v>DP351</v>
          </cell>
          <cell r="B352" t="str">
            <v>M351</v>
          </cell>
          <cell r="C352" t="str">
            <v>SH351</v>
          </cell>
          <cell r="D352" t="str">
            <v>G351</v>
          </cell>
        </row>
        <row r="353">
          <cell r="A353" t="str">
            <v>DP352</v>
          </cell>
          <cell r="B353" t="str">
            <v>M352</v>
          </cell>
          <cell r="C353" t="str">
            <v>SH352</v>
          </cell>
          <cell r="D353" t="str">
            <v>G352</v>
          </cell>
        </row>
        <row r="354">
          <cell r="A354" t="str">
            <v>DP353</v>
          </cell>
          <cell r="B354" t="str">
            <v>M353</v>
          </cell>
          <cell r="C354" t="str">
            <v>SH353</v>
          </cell>
          <cell r="D354" t="str">
            <v>G353</v>
          </cell>
        </row>
        <row r="355">
          <cell r="A355" t="str">
            <v>DP354</v>
          </cell>
          <cell r="B355" t="str">
            <v>M354</v>
          </cell>
          <cell r="C355" t="str">
            <v>SH354</v>
          </cell>
          <cell r="D355" t="str">
            <v>G354</v>
          </cell>
        </row>
        <row r="356">
          <cell r="A356" t="str">
            <v>DP355</v>
          </cell>
          <cell r="B356" t="str">
            <v>M355</v>
          </cell>
          <cell r="C356" t="str">
            <v>SH355</v>
          </cell>
          <cell r="D356" t="str">
            <v>G355</v>
          </cell>
        </row>
        <row r="357">
          <cell r="A357" t="str">
            <v>DP356</v>
          </cell>
          <cell r="B357" t="str">
            <v>M356</v>
          </cell>
          <cell r="C357" t="str">
            <v>SH356</v>
          </cell>
          <cell r="D357" t="str">
            <v>G356</v>
          </cell>
        </row>
        <row r="358">
          <cell r="A358" t="str">
            <v>DP357</v>
          </cell>
          <cell r="B358" t="str">
            <v>M357</v>
          </cell>
          <cell r="C358" t="str">
            <v>SH357</v>
          </cell>
          <cell r="D358" t="str">
            <v>G357</v>
          </cell>
        </row>
        <row r="359">
          <cell r="A359" t="str">
            <v>DP358</v>
          </cell>
          <cell r="B359" t="str">
            <v>M358</v>
          </cell>
          <cell r="C359" t="str">
            <v>SH358</v>
          </cell>
          <cell r="D359" t="str">
            <v>G358</v>
          </cell>
        </row>
        <row r="360">
          <cell r="A360" t="str">
            <v>DP359</v>
          </cell>
          <cell r="B360" t="str">
            <v>M359</v>
          </cell>
          <cell r="C360" t="str">
            <v>SH359</v>
          </cell>
          <cell r="D360" t="str">
            <v>G359</v>
          </cell>
        </row>
        <row r="361">
          <cell r="A361" t="str">
            <v>DP360</v>
          </cell>
          <cell r="B361" t="str">
            <v>M360</v>
          </cell>
          <cell r="C361" t="str">
            <v>SH360</v>
          </cell>
          <cell r="D361" t="str">
            <v>G360</v>
          </cell>
        </row>
        <row r="362">
          <cell r="A362" t="str">
            <v>DP361</v>
          </cell>
          <cell r="B362" t="str">
            <v>M361</v>
          </cell>
          <cell r="C362" t="str">
            <v>SH361</v>
          </cell>
          <cell r="D362" t="str">
            <v>G361</v>
          </cell>
        </row>
        <row r="363">
          <cell r="A363" t="str">
            <v>DP362</v>
          </cell>
          <cell r="B363" t="str">
            <v>M362</v>
          </cell>
          <cell r="C363" t="str">
            <v>SH362</v>
          </cell>
          <cell r="D363" t="str">
            <v>G362</v>
          </cell>
        </row>
        <row r="364">
          <cell r="A364" t="str">
            <v>DP363</v>
          </cell>
          <cell r="B364" t="str">
            <v>M363</v>
          </cell>
          <cell r="C364" t="str">
            <v>SH363</v>
          </cell>
          <cell r="D364" t="str">
            <v>G363</v>
          </cell>
        </row>
        <row r="365">
          <cell r="A365" t="str">
            <v>DP364</v>
          </cell>
          <cell r="B365" t="str">
            <v>M364</v>
          </cell>
          <cell r="C365" t="str">
            <v>SH364</v>
          </cell>
          <cell r="D365" t="str">
            <v>G364</v>
          </cell>
        </row>
        <row r="366">
          <cell r="A366" t="str">
            <v>DP365</v>
          </cell>
          <cell r="B366" t="str">
            <v>M365</v>
          </cell>
          <cell r="C366" t="str">
            <v>SH365</v>
          </cell>
          <cell r="D366" t="str">
            <v>G365</v>
          </cell>
        </row>
        <row r="367">
          <cell r="A367" t="str">
            <v>DP366</v>
          </cell>
          <cell r="B367" t="str">
            <v>M366</v>
          </cell>
          <cell r="C367" t="str">
            <v>SH366</v>
          </cell>
          <cell r="D367" t="str">
            <v>G366</v>
          </cell>
        </row>
        <row r="368">
          <cell r="A368" t="str">
            <v>DP367</v>
          </cell>
          <cell r="B368" t="str">
            <v>M367</v>
          </cell>
          <cell r="C368" t="str">
            <v>SH367</v>
          </cell>
          <cell r="D368" t="str">
            <v>G367</v>
          </cell>
        </row>
        <row r="369">
          <cell r="A369" t="str">
            <v>DP368</v>
          </cell>
          <cell r="B369" t="str">
            <v>M368</v>
          </cell>
          <cell r="C369" t="str">
            <v>SH368</v>
          </cell>
          <cell r="D369" t="str">
            <v>G368</v>
          </cell>
        </row>
        <row r="370">
          <cell r="A370" t="str">
            <v>DP369</v>
          </cell>
          <cell r="B370" t="str">
            <v>M369</v>
          </cell>
          <cell r="C370" t="str">
            <v>SH369</v>
          </cell>
          <cell r="D370" t="str">
            <v>G369</v>
          </cell>
        </row>
        <row r="371">
          <cell r="A371" t="str">
            <v>DP370</v>
          </cell>
          <cell r="B371" t="str">
            <v>M370</v>
          </cell>
          <cell r="C371" t="str">
            <v>SH370</v>
          </cell>
          <cell r="D371" t="str">
            <v>G370</v>
          </cell>
        </row>
        <row r="372">
          <cell r="A372" t="str">
            <v>DP371</v>
          </cell>
          <cell r="B372" t="str">
            <v>M371</v>
          </cell>
          <cell r="C372" t="str">
            <v>SH371</v>
          </cell>
          <cell r="D372" t="str">
            <v>G371</v>
          </cell>
        </row>
        <row r="373">
          <cell r="A373" t="str">
            <v>DP372</v>
          </cell>
          <cell r="B373" t="str">
            <v>M372</v>
          </cell>
          <cell r="C373" t="str">
            <v>SH372</v>
          </cell>
          <cell r="D373" t="str">
            <v>G372</v>
          </cell>
        </row>
        <row r="374">
          <cell r="A374" t="str">
            <v>DP373</v>
          </cell>
          <cell r="B374" t="str">
            <v>M373</v>
          </cell>
          <cell r="C374" t="str">
            <v>SH373</v>
          </cell>
          <cell r="D374" t="str">
            <v>G373</v>
          </cell>
        </row>
        <row r="375">
          <cell r="A375" t="str">
            <v>DP374</v>
          </cell>
          <cell r="B375" t="str">
            <v>M374</v>
          </cell>
          <cell r="C375" t="str">
            <v>SH374</v>
          </cell>
          <cell r="D375" t="str">
            <v>G374</v>
          </cell>
        </row>
        <row r="376">
          <cell r="A376" t="str">
            <v>DP375</v>
          </cell>
          <cell r="B376" t="str">
            <v>M375</v>
          </cell>
          <cell r="C376" t="str">
            <v>SH375</v>
          </cell>
          <cell r="D376" t="str">
            <v>G375</v>
          </cell>
        </row>
        <row r="377">
          <cell r="A377" t="str">
            <v>DP376</v>
          </cell>
          <cell r="B377" t="str">
            <v>M376</v>
          </cell>
          <cell r="C377" t="str">
            <v>SH376</v>
          </cell>
          <cell r="D377" t="str">
            <v>G376</v>
          </cell>
        </row>
        <row r="378">
          <cell r="A378" t="str">
            <v>DP377</v>
          </cell>
          <cell r="B378" t="str">
            <v>M377</v>
          </cell>
          <cell r="C378" t="str">
            <v>SH377</v>
          </cell>
          <cell r="D378" t="str">
            <v>G377</v>
          </cell>
        </row>
        <row r="379">
          <cell r="A379" t="str">
            <v>DP378</v>
          </cell>
          <cell r="B379" t="str">
            <v>M378</v>
          </cell>
          <cell r="C379" t="str">
            <v>SH378</v>
          </cell>
          <cell r="D379" t="str">
            <v>G378</v>
          </cell>
        </row>
        <row r="380">
          <cell r="A380" t="str">
            <v>DP379</v>
          </cell>
          <cell r="B380" t="str">
            <v>M379</v>
          </cell>
          <cell r="C380" t="str">
            <v>SH379</v>
          </cell>
          <cell r="D380" t="str">
            <v>G379</v>
          </cell>
        </row>
        <row r="381">
          <cell r="A381" t="str">
            <v>DP380</v>
          </cell>
          <cell r="B381" t="str">
            <v>M380</v>
          </cell>
          <cell r="C381" t="str">
            <v>SH380</v>
          </cell>
          <cell r="D381" t="str">
            <v>G380</v>
          </cell>
        </row>
        <row r="382">
          <cell r="A382" t="str">
            <v>DP381</v>
          </cell>
          <cell r="B382" t="str">
            <v>M381</v>
          </cell>
          <cell r="C382" t="str">
            <v>SH381</v>
          </cell>
          <cell r="D382" t="str">
            <v>G381</v>
          </cell>
        </row>
        <row r="383">
          <cell r="A383" t="str">
            <v>DP382</v>
          </cell>
          <cell r="B383" t="str">
            <v>M382</v>
          </cell>
          <cell r="C383" t="str">
            <v>SH382</v>
          </cell>
          <cell r="D383" t="str">
            <v>G382</v>
          </cell>
        </row>
        <row r="384">
          <cell r="A384" t="str">
            <v>DP383</v>
          </cell>
          <cell r="B384" t="str">
            <v>M383</v>
          </cell>
          <cell r="C384" t="str">
            <v>SH383</v>
          </cell>
          <cell r="D384" t="str">
            <v>G383</v>
          </cell>
        </row>
        <row r="385">
          <cell r="A385" t="str">
            <v>DP384</v>
          </cell>
          <cell r="B385" t="str">
            <v>M384</v>
          </cell>
          <cell r="C385" t="str">
            <v>SH384</v>
          </cell>
          <cell r="D385" t="str">
            <v>G384</v>
          </cell>
        </row>
        <row r="386">
          <cell r="A386" t="str">
            <v>DP385</v>
          </cell>
          <cell r="B386" t="str">
            <v>M385</v>
          </cell>
          <cell r="C386" t="str">
            <v>SH385</v>
          </cell>
          <cell r="D386" t="str">
            <v>G385</v>
          </cell>
        </row>
        <row r="387">
          <cell r="A387" t="str">
            <v>DP386</v>
          </cell>
          <cell r="B387" t="str">
            <v>M386</v>
          </cell>
          <cell r="C387" t="str">
            <v>SH386</v>
          </cell>
          <cell r="D387" t="str">
            <v>G386</v>
          </cell>
        </row>
        <row r="388">
          <cell r="A388" t="str">
            <v>DP387</v>
          </cell>
          <cell r="B388" t="str">
            <v>M387</v>
          </cell>
          <cell r="C388" t="str">
            <v>SH387</v>
          </cell>
          <cell r="D388" t="str">
            <v>G387</v>
          </cell>
        </row>
        <row r="389">
          <cell r="A389" t="str">
            <v>DP388</v>
          </cell>
          <cell r="B389" t="str">
            <v>M388</v>
          </cell>
          <cell r="C389" t="str">
            <v>SH388</v>
          </cell>
          <cell r="D389" t="str">
            <v>G388</v>
          </cell>
        </row>
        <row r="390">
          <cell r="A390" t="str">
            <v>DP389</v>
          </cell>
          <cell r="B390" t="str">
            <v>M389</v>
          </cell>
          <cell r="C390" t="str">
            <v>SH389</v>
          </cell>
          <cell r="D390" t="str">
            <v>G389</v>
          </cell>
        </row>
        <row r="391">
          <cell r="A391" t="str">
            <v>DP390</v>
          </cell>
          <cell r="B391" t="str">
            <v>M390</v>
          </cell>
          <cell r="C391" t="str">
            <v>SH390</v>
          </cell>
          <cell r="D391" t="str">
            <v>G390</v>
          </cell>
        </row>
        <row r="392">
          <cell r="A392" t="str">
            <v>DP391</v>
          </cell>
          <cell r="B392" t="str">
            <v>M391</v>
          </cell>
          <cell r="C392" t="str">
            <v>SH391</v>
          </cell>
          <cell r="D392" t="str">
            <v>G391</v>
          </cell>
        </row>
        <row r="393">
          <cell r="A393" t="str">
            <v>DP392</v>
          </cell>
          <cell r="B393" t="str">
            <v>M392</v>
          </cell>
          <cell r="C393" t="str">
            <v>SH392</v>
          </cell>
          <cell r="D393" t="str">
            <v>G392</v>
          </cell>
        </row>
        <row r="394">
          <cell r="A394" t="str">
            <v>DP393</v>
          </cell>
          <cell r="B394" t="str">
            <v>M393</v>
          </cell>
          <cell r="C394" t="str">
            <v>SH393</v>
          </cell>
          <cell r="D394" t="str">
            <v>G393</v>
          </cell>
        </row>
        <row r="395">
          <cell r="A395" t="str">
            <v>DP394</v>
          </cell>
          <cell r="B395" t="str">
            <v>M394</v>
          </cell>
          <cell r="C395" t="str">
            <v>SH394</v>
          </cell>
          <cell r="D395" t="str">
            <v>G394</v>
          </cell>
        </row>
        <row r="396">
          <cell r="A396" t="str">
            <v>DP395</v>
          </cell>
          <cell r="B396" t="str">
            <v>M395</v>
          </cell>
          <cell r="C396" t="str">
            <v>SH395</v>
          </cell>
          <cell r="D396" t="str">
            <v>G395</v>
          </cell>
        </row>
        <row r="397">
          <cell r="A397" t="str">
            <v>DP396</v>
          </cell>
          <cell r="B397" t="str">
            <v>M396</v>
          </cell>
          <cell r="C397" t="str">
            <v>SH396</v>
          </cell>
          <cell r="D397" t="str">
            <v>G396</v>
          </cell>
        </row>
        <row r="398">
          <cell r="A398" t="str">
            <v>DP397</v>
          </cell>
          <cell r="B398" t="str">
            <v>M397</v>
          </cell>
          <cell r="C398" t="str">
            <v>SH397</v>
          </cell>
          <cell r="D398" t="str">
            <v>G397</v>
          </cell>
        </row>
        <row r="399">
          <cell r="A399" t="str">
            <v>DP398</v>
          </cell>
          <cell r="B399" t="str">
            <v>M398</v>
          </cell>
          <cell r="C399" t="str">
            <v>SH398</v>
          </cell>
          <cell r="D399" t="str">
            <v>G398</v>
          </cell>
        </row>
        <row r="400">
          <cell r="A400" t="str">
            <v>DP399</v>
          </cell>
          <cell r="B400" t="str">
            <v>M399</v>
          </cell>
          <cell r="C400" t="str">
            <v>SH399</v>
          </cell>
          <cell r="D400" t="str">
            <v>G399</v>
          </cell>
        </row>
        <row r="401">
          <cell r="A401" t="str">
            <v>DP400</v>
          </cell>
          <cell r="B401" t="str">
            <v>M400</v>
          </cell>
          <cell r="C401" t="str">
            <v>SH400</v>
          </cell>
          <cell r="D401" t="str">
            <v>G400</v>
          </cell>
        </row>
        <row r="402">
          <cell r="A402" t="str">
            <v>DP401</v>
          </cell>
          <cell r="B402" t="str">
            <v>M401</v>
          </cell>
          <cell r="C402" t="str">
            <v>SH401</v>
          </cell>
          <cell r="D402" t="str">
            <v>G401</v>
          </cell>
        </row>
        <row r="403">
          <cell r="A403" t="str">
            <v>DP402</v>
          </cell>
          <cell r="B403" t="str">
            <v>M402</v>
          </cell>
          <cell r="C403" t="str">
            <v>SH402</v>
          </cell>
          <cell r="D403" t="str">
            <v>G402</v>
          </cell>
        </row>
        <row r="404">
          <cell r="A404" t="str">
            <v>DP403</v>
          </cell>
          <cell r="B404" t="str">
            <v>M403</v>
          </cell>
          <cell r="C404" t="str">
            <v>SH403</v>
          </cell>
          <cell r="D404" t="str">
            <v>G403</v>
          </cell>
        </row>
        <row r="405">
          <cell r="A405" t="str">
            <v>DP404</v>
          </cell>
          <cell r="B405" t="str">
            <v>M404</v>
          </cell>
          <cell r="C405" t="str">
            <v>SH404</v>
          </cell>
          <cell r="D405" t="str">
            <v>G404</v>
          </cell>
        </row>
        <row r="406">
          <cell r="A406" t="str">
            <v>DP405</v>
          </cell>
          <cell r="B406" t="str">
            <v>M405</v>
          </cell>
          <cell r="C406" t="str">
            <v>SH405</v>
          </cell>
          <cell r="D406" t="str">
            <v>G405</v>
          </cell>
        </row>
        <row r="407">
          <cell r="A407" t="str">
            <v>DP406</v>
          </cell>
          <cell r="B407" t="str">
            <v>M406</v>
          </cell>
          <cell r="C407" t="str">
            <v>SH406</v>
          </cell>
          <cell r="D407" t="str">
            <v>G406</v>
          </cell>
        </row>
        <row r="408">
          <cell r="A408" t="str">
            <v>DP407</v>
          </cell>
          <cell r="B408" t="str">
            <v>M407</v>
          </cell>
          <cell r="C408" t="str">
            <v>SH407</v>
          </cell>
          <cell r="D408" t="str">
            <v>G407</v>
          </cell>
        </row>
        <row r="409">
          <cell r="A409" t="str">
            <v>DP408</v>
          </cell>
          <cell r="B409" t="str">
            <v>M408</v>
          </cell>
          <cell r="C409" t="str">
            <v>SH408</v>
          </cell>
          <cell r="D409" t="str">
            <v>G408</v>
          </cell>
        </row>
        <row r="410">
          <cell r="A410" t="str">
            <v>DP409</v>
          </cell>
          <cell r="B410" t="str">
            <v>M409</v>
          </cell>
          <cell r="C410" t="str">
            <v>SH409</v>
          </cell>
          <cell r="D410" t="str">
            <v>G409</v>
          </cell>
        </row>
        <row r="411">
          <cell r="A411" t="str">
            <v>DP410</v>
          </cell>
          <cell r="B411" t="str">
            <v>M410</v>
          </cell>
          <cell r="C411" t="str">
            <v>SH410</v>
          </cell>
          <cell r="D411" t="str">
            <v>G410</v>
          </cell>
        </row>
        <row r="412">
          <cell r="A412" t="str">
            <v>DP411</v>
          </cell>
          <cell r="B412" t="str">
            <v>M411</v>
          </cell>
          <cell r="C412" t="str">
            <v>SH411</v>
          </cell>
          <cell r="D412" t="str">
            <v>G411</v>
          </cell>
        </row>
        <row r="413">
          <cell r="A413" t="str">
            <v>DP412</v>
          </cell>
          <cell r="B413" t="str">
            <v>M412</v>
          </cell>
          <cell r="C413" t="str">
            <v>SH412</v>
          </cell>
          <cell r="D413" t="str">
            <v>G412</v>
          </cell>
        </row>
        <row r="414">
          <cell r="A414" t="str">
            <v>DP413</v>
          </cell>
          <cell r="B414" t="str">
            <v>M413</v>
          </cell>
          <cell r="C414" t="str">
            <v>SH413</v>
          </cell>
          <cell r="D414" t="str">
            <v>G413</v>
          </cell>
        </row>
        <row r="415">
          <cell r="A415" t="str">
            <v>DP414</v>
          </cell>
          <cell r="B415" t="str">
            <v>M414</v>
          </cell>
          <cell r="C415" t="str">
            <v>SH414</v>
          </cell>
          <cell r="D415" t="str">
            <v>G414</v>
          </cell>
        </row>
        <row r="416">
          <cell r="A416" t="str">
            <v>DP415</v>
          </cell>
          <cell r="B416" t="str">
            <v>M415</v>
          </cell>
          <cell r="C416" t="str">
            <v>SH415</v>
          </cell>
          <cell r="D416" t="str">
            <v>G415</v>
          </cell>
        </row>
        <row r="417">
          <cell r="A417" t="str">
            <v>DP416</v>
          </cell>
          <cell r="B417" t="str">
            <v>M416</v>
          </cell>
          <cell r="C417" t="str">
            <v>SH416</v>
          </cell>
          <cell r="D417" t="str">
            <v>G416</v>
          </cell>
        </row>
        <row r="418">
          <cell r="A418" t="str">
            <v>DP417</v>
          </cell>
          <cell r="B418" t="str">
            <v>M417</v>
          </cell>
          <cell r="C418" t="str">
            <v>SH417</v>
          </cell>
          <cell r="D418" t="str">
            <v>G417</v>
          </cell>
        </row>
        <row r="419">
          <cell r="A419" t="str">
            <v>DP418</v>
          </cell>
          <cell r="B419" t="str">
            <v>M418</v>
          </cell>
          <cell r="C419" t="str">
            <v>SH418</v>
          </cell>
          <cell r="D419" t="str">
            <v>G418</v>
          </cell>
        </row>
        <row r="420">
          <cell r="A420" t="str">
            <v>DP419</v>
          </cell>
          <cell r="B420" t="str">
            <v>M419</v>
          </cell>
          <cell r="C420" t="str">
            <v>SH419</v>
          </cell>
          <cell r="D420" t="str">
            <v>G419</v>
          </cell>
        </row>
        <row r="421">
          <cell r="A421" t="str">
            <v>DP420</v>
          </cell>
          <cell r="B421" t="str">
            <v>M420</v>
          </cell>
          <cell r="C421" t="str">
            <v>SH420</v>
          </cell>
          <cell r="D421" t="str">
            <v>G420</v>
          </cell>
        </row>
        <row r="422">
          <cell r="A422" t="str">
            <v>DP421</v>
          </cell>
          <cell r="B422" t="str">
            <v>M421</v>
          </cell>
          <cell r="C422" t="str">
            <v>SH421</v>
          </cell>
          <cell r="D422" t="str">
            <v>G421</v>
          </cell>
        </row>
        <row r="423">
          <cell r="A423" t="str">
            <v>DP422</v>
          </cell>
          <cell r="B423" t="str">
            <v>M422</v>
          </cell>
          <cell r="C423" t="str">
            <v>SH422</v>
          </cell>
          <cell r="D423" t="str">
            <v>G422</v>
          </cell>
        </row>
        <row r="424">
          <cell r="A424" t="str">
            <v>DP423</v>
          </cell>
          <cell r="B424" t="str">
            <v>M423</v>
          </cell>
          <cell r="C424" t="str">
            <v>SH423</v>
          </cell>
          <cell r="D424" t="str">
            <v>G423</v>
          </cell>
        </row>
        <row r="425">
          <cell r="A425" t="str">
            <v>DP424</v>
          </cell>
          <cell r="B425" t="str">
            <v>M424</v>
          </cell>
          <cell r="C425" t="str">
            <v>SH424</v>
          </cell>
          <cell r="D425" t="str">
            <v>G424</v>
          </cell>
        </row>
        <row r="426">
          <cell r="A426" t="str">
            <v>DP425</v>
          </cell>
          <cell r="B426" t="str">
            <v>M425</v>
          </cell>
          <cell r="C426" t="str">
            <v>SH425</v>
          </cell>
          <cell r="D426" t="str">
            <v>G425</v>
          </cell>
        </row>
        <row r="427">
          <cell r="A427" t="str">
            <v>DP426</v>
          </cell>
          <cell r="B427" t="str">
            <v>M426</v>
          </cell>
          <cell r="C427" t="str">
            <v>SH426</v>
          </cell>
          <cell r="D427" t="str">
            <v>G426</v>
          </cell>
        </row>
        <row r="428">
          <cell r="A428" t="str">
            <v>DP427</v>
          </cell>
          <cell r="B428" t="str">
            <v>M427</v>
          </cell>
          <cell r="C428" t="str">
            <v>SH427</v>
          </cell>
          <cell r="D428" t="str">
            <v>G427</v>
          </cell>
        </row>
        <row r="429">
          <cell r="A429" t="str">
            <v>DP428</v>
          </cell>
          <cell r="B429" t="str">
            <v>M428</v>
          </cell>
          <cell r="C429" t="str">
            <v>SH428</v>
          </cell>
          <cell r="D429" t="str">
            <v>G428</v>
          </cell>
        </row>
        <row r="430">
          <cell r="A430" t="str">
            <v>DP429</v>
          </cell>
          <cell r="B430" t="str">
            <v>M429</v>
          </cell>
          <cell r="C430" t="str">
            <v>SH429</v>
          </cell>
          <cell r="D430" t="str">
            <v>G429</v>
          </cell>
        </row>
        <row r="431">
          <cell r="A431" t="str">
            <v>DP430</v>
          </cell>
          <cell r="B431" t="str">
            <v>M430</v>
          </cell>
          <cell r="C431" t="str">
            <v>SH430</v>
          </cell>
          <cell r="D431" t="str">
            <v>G430</v>
          </cell>
        </row>
        <row r="432">
          <cell r="A432" t="str">
            <v>DP431</v>
          </cell>
          <cell r="B432" t="str">
            <v>M431</v>
          </cell>
          <cell r="C432" t="str">
            <v>SH431</v>
          </cell>
          <cell r="D432" t="str">
            <v>G431</v>
          </cell>
        </row>
        <row r="433">
          <cell r="A433" t="str">
            <v>DP432</v>
          </cell>
          <cell r="B433" t="str">
            <v>M432</v>
          </cell>
          <cell r="C433" t="str">
            <v>SH432</v>
          </cell>
          <cell r="D433" t="str">
            <v>G432</v>
          </cell>
        </row>
        <row r="434">
          <cell r="A434" t="str">
            <v>DP433</v>
          </cell>
          <cell r="B434" t="str">
            <v>M433</v>
          </cell>
          <cell r="C434" t="str">
            <v>SH433</v>
          </cell>
          <cell r="D434" t="str">
            <v>G433</v>
          </cell>
        </row>
        <row r="435">
          <cell r="A435" t="str">
            <v>DP434</v>
          </cell>
          <cell r="B435" t="str">
            <v>M434</v>
          </cell>
          <cell r="C435" t="str">
            <v>SH434</v>
          </cell>
          <cell r="D435" t="str">
            <v>G434</v>
          </cell>
        </row>
        <row r="436">
          <cell r="A436" t="str">
            <v>DP435</v>
          </cell>
          <cell r="B436" t="str">
            <v>M435</v>
          </cell>
          <cell r="C436" t="str">
            <v>SH435</v>
          </cell>
          <cell r="D436" t="str">
            <v>G435</v>
          </cell>
        </row>
        <row r="437">
          <cell r="A437" t="str">
            <v>DP436</v>
          </cell>
          <cell r="B437" t="str">
            <v>M436</v>
          </cell>
          <cell r="C437" t="str">
            <v>SH436</v>
          </cell>
          <cell r="D437" t="str">
            <v>G436</v>
          </cell>
        </row>
        <row r="438">
          <cell r="A438" t="str">
            <v>DP437</v>
          </cell>
          <cell r="B438" t="str">
            <v>M437</v>
          </cell>
          <cell r="C438" t="str">
            <v>SH437</v>
          </cell>
          <cell r="D438" t="str">
            <v>G437</v>
          </cell>
        </row>
        <row r="439">
          <cell r="A439" t="str">
            <v>DP438</v>
          </cell>
          <cell r="B439" t="str">
            <v>M438</v>
          </cell>
          <cell r="C439" t="str">
            <v>SH438</v>
          </cell>
          <cell r="D439" t="str">
            <v>G438</v>
          </cell>
        </row>
        <row r="440">
          <cell r="A440" t="str">
            <v>DP439</v>
          </cell>
          <cell r="B440" t="str">
            <v>M439</v>
          </cell>
          <cell r="C440" t="str">
            <v>SH439</v>
          </cell>
          <cell r="D440" t="str">
            <v>G439</v>
          </cell>
        </row>
        <row r="441">
          <cell r="A441" t="str">
            <v>DP440</v>
          </cell>
          <cell r="B441" t="str">
            <v>M440</v>
          </cell>
          <cell r="C441" t="str">
            <v>SH440</v>
          </cell>
          <cell r="D441" t="str">
            <v>G440</v>
          </cell>
        </row>
        <row r="442">
          <cell r="A442" t="str">
            <v>DP441</v>
          </cell>
          <cell r="B442" t="str">
            <v>M441</v>
          </cell>
          <cell r="C442" t="str">
            <v>SH441</v>
          </cell>
          <cell r="D442" t="str">
            <v>G441</v>
          </cell>
        </row>
        <row r="443">
          <cell r="A443" t="str">
            <v>DP442</v>
          </cell>
          <cell r="B443" t="str">
            <v>M442</v>
          </cell>
          <cell r="C443" t="str">
            <v>SH442</v>
          </cell>
          <cell r="D443" t="str">
            <v>G442</v>
          </cell>
        </row>
        <row r="444">
          <cell r="A444" t="str">
            <v>DP443</v>
          </cell>
          <cell r="B444" t="str">
            <v>M443</v>
          </cell>
          <cell r="C444" t="str">
            <v>SH443</v>
          </cell>
          <cell r="D444" t="str">
            <v>G443</v>
          </cell>
        </row>
        <row r="445">
          <cell r="A445" t="str">
            <v>DP444</v>
          </cell>
          <cell r="B445" t="str">
            <v>M444</v>
          </cell>
          <cell r="C445" t="str">
            <v>SH444</v>
          </cell>
          <cell r="D445" t="str">
            <v>G444</v>
          </cell>
        </row>
        <row r="446">
          <cell r="A446" t="str">
            <v>DP445</v>
          </cell>
          <cell r="B446" t="str">
            <v>M445</v>
          </cell>
          <cell r="C446" t="str">
            <v>SH445</v>
          </cell>
          <cell r="D446" t="str">
            <v>G445</v>
          </cell>
        </row>
        <row r="447">
          <cell r="A447" t="str">
            <v>DP446</v>
          </cell>
          <cell r="B447" t="str">
            <v>M446</v>
          </cell>
          <cell r="C447" t="str">
            <v>SH446</v>
          </cell>
          <cell r="D447" t="str">
            <v>G446</v>
          </cell>
        </row>
        <row r="448">
          <cell r="A448" t="str">
            <v>DP447</v>
          </cell>
          <cell r="B448" t="str">
            <v>M447</v>
          </cell>
          <cell r="C448" t="str">
            <v>SH447</v>
          </cell>
          <cell r="D448" t="str">
            <v>G447</v>
          </cell>
        </row>
        <row r="449">
          <cell r="A449" t="str">
            <v>DP448</v>
          </cell>
          <cell r="B449" t="str">
            <v>M448</v>
          </cell>
          <cell r="C449" t="str">
            <v>SH448</v>
          </cell>
          <cell r="D449" t="str">
            <v>G448</v>
          </cell>
        </row>
        <row r="450">
          <cell r="A450" t="str">
            <v>DP449</v>
          </cell>
          <cell r="B450" t="str">
            <v>M449</v>
          </cell>
          <cell r="C450" t="str">
            <v>SH449</v>
          </cell>
          <cell r="D450" t="str">
            <v>G449</v>
          </cell>
        </row>
        <row r="451">
          <cell r="A451" t="str">
            <v>DP450</v>
          </cell>
          <cell r="B451" t="str">
            <v>M450</v>
          </cell>
          <cell r="C451" t="str">
            <v>SH450</v>
          </cell>
          <cell r="D451" t="str">
            <v>G450</v>
          </cell>
        </row>
        <row r="452">
          <cell r="A452" t="str">
            <v>DP451</v>
          </cell>
          <cell r="B452" t="str">
            <v>M451</v>
          </cell>
          <cell r="C452" t="str">
            <v>SH451</v>
          </cell>
          <cell r="D452" t="str">
            <v>G451</v>
          </cell>
        </row>
        <row r="453">
          <cell r="A453" t="str">
            <v>DP452</v>
          </cell>
          <cell r="B453" t="str">
            <v>M452</v>
          </cell>
          <cell r="C453" t="str">
            <v>SH452</v>
          </cell>
          <cell r="D453" t="str">
            <v>G452</v>
          </cell>
        </row>
        <row r="454">
          <cell r="A454" t="str">
            <v>DP453</v>
          </cell>
          <cell r="B454" t="str">
            <v>M453</v>
          </cell>
          <cell r="C454" t="str">
            <v>SH453</v>
          </cell>
          <cell r="D454" t="str">
            <v>G453</v>
          </cell>
        </row>
        <row r="455">
          <cell r="A455" t="str">
            <v>DP454</v>
          </cell>
          <cell r="B455" t="str">
            <v>M454</v>
          </cell>
          <cell r="C455" t="str">
            <v>SH454</v>
          </cell>
          <cell r="D455" t="str">
            <v>G454</v>
          </cell>
        </row>
        <row r="456">
          <cell r="A456" t="str">
            <v>DP455</v>
          </cell>
          <cell r="B456" t="str">
            <v>M455</v>
          </cell>
          <cell r="C456" t="str">
            <v>SH455</v>
          </cell>
          <cell r="D456" t="str">
            <v>G455</v>
          </cell>
        </row>
        <row r="457">
          <cell r="A457" t="str">
            <v>DP456</v>
          </cell>
          <cell r="B457" t="str">
            <v>M456</v>
          </cell>
          <cell r="C457" t="str">
            <v>SH456</v>
          </cell>
          <cell r="D457" t="str">
            <v>G456</v>
          </cell>
        </row>
        <row r="458">
          <cell r="A458" t="str">
            <v>DP457</v>
          </cell>
          <cell r="B458" t="str">
            <v>M457</v>
          </cell>
          <cell r="C458" t="str">
            <v>SH457</v>
          </cell>
          <cell r="D458" t="str">
            <v>G457</v>
          </cell>
        </row>
        <row r="459">
          <cell r="A459" t="str">
            <v>DP458</v>
          </cell>
          <cell r="B459" t="str">
            <v>M458</v>
          </cell>
          <cell r="C459" t="str">
            <v>SH458</v>
          </cell>
          <cell r="D459" t="str">
            <v>G458</v>
          </cell>
        </row>
        <row r="460">
          <cell r="A460" t="str">
            <v>DP459</v>
          </cell>
          <cell r="B460" t="str">
            <v>M459</v>
          </cell>
          <cell r="C460" t="str">
            <v>SH459</v>
          </cell>
          <cell r="D460" t="str">
            <v>G459</v>
          </cell>
        </row>
        <row r="461">
          <cell r="A461" t="str">
            <v>DP460</v>
          </cell>
          <cell r="B461" t="str">
            <v>M460</v>
          </cell>
          <cell r="C461" t="str">
            <v>SH460</v>
          </cell>
          <cell r="D461" t="str">
            <v>G460</v>
          </cell>
        </row>
        <row r="462">
          <cell r="A462" t="str">
            <v>DP461</v>
          </cell>
          <cell r="B462" t="str">
            <v>M461</v>
          </cell>
          <cell r="C462" t="str">
            <v>SH461</v>
          </cell>
          <cell r="D462" t="str">
            <v>G461</v>
          </cell>
        </row>
        <row r="463">
          <cell r="A463" t="str">
            <v>DP462</v>
          </cell>
          <cell r="B463" t="str">
            <v>M462</v>
          </cell>
          <cell r="C463" t="str">
            <v>SH462</v>
          </cell>
          <cell r="D463" t="str">
            <v>G462</v>
          </cell>
        </row>
        <row r="464">
          <cell r="A464" t="str">
            <v>DP463</v>
          </cell>
          <cell r="B464" t="str">
            <v>M463</v>
          </cell>
          <cell r="C464" t="str">
            <v>SH463</v>
          </cell>
          <cell r="D464" t="str">
            <v>G463</v>
          </cell>
        </row>
        <row r="465">
          <cell r="A465" t="str">
            <v>DP464</v>
          </cell>
          <cell r="B465" t="str">
            <v>M464</v>
          </cell>
          <cell r="C465" t="str">
            <v>SH464</v>
          </cell>
          <cell r="D465" t="str">
            <v>G464</v>
          </cell>
        </row>
        <row r="466">
          <cell r="A466" t="str">
            <v>DP465</v>
          </cell>
          <cell r="B466" t="str">
            <v>M465</v>
          </cell>
          <cell r="C466" t="str">
            <v>SH465</v>
          </cell>
          <cell r="D466" t="str">
            <v>G465</v>
          </cell>
        </row>
        <row r="467">
          <cell r="A467" t="str">
            <v>DP466</v>
          </cell>
          <cell r="B467" t="str">
            <v>M466</v>
          </cell>
          <cell r="C467" t="str">
            <v>SH466</v>
          </cell>
          <cell r="D467" t="str">
            <v>G466</v>
          </cell>
        </row>
        <row r="468">
          <cell r="A468" t="str">
            <v>DP467</v>
          </cell>
          <cell r="B468" t="str">
            <v>M467</v>
          </cell>
          <cell r="C468" t="str">
            <v>SH467</v>
          </cell>
          <cell r="D468" t="str">
            <v>G467</v>
          </cell>
        </row>
        <row r="469">
          <cell r="A469" t="str">
            <v>DP468</v>
          </cell>
          <cell r="B469" t="str">
            <v>M468</v>
          </cell>
          <cell r="C469" t="str">
            <v>SH468</v>
          </cell>
          <cell r="D469" t="str">
            <v>G468</v>
          </cell>
        </row>
        <row r="470">
          <cell r="A470" t="str">
            <v>DP469</v>
          </cell>
          <cell r="B470" t="str">
            <v>M469</v>
          </cell>
          <cell r="C470" t="str">
            <v>SH469</v>
          </cell>
          <cell r="D470" t="str">
            <v>G469</v>
          </cell>
        </row>
        <row r="471">
          <cell r="A471" t="str">
            <v>DP470</v>
          </cell>
          <cell r="B471" t="str">
            <v>M470</v>
          </cell>
          <cell r="C471" t="str">
            <v>SH470</v>
          </cell>
          <cell r="D471" t="str">
            <v>G470</v>
          </cell>
        </row>
        <row r="472">
          <cell r="A472" t="str">
            <v>DP471</v>
          </cell>
          <cell r="B472" t="str">
            <v>M471</v>
          </cell>
          <cell r="C472" t="str">
            <v>SH471</v>
          </cell>
          <cell r="D472" t="str">
            <v>G471</v>
          </cell>
        </row>
        <row r="473">
          <cell r="A473" t="str">
            <v>DP472</v>
          </cell>
          <cell r="B473" t="str">
            <v>M472</v>
          </cell>
          <cell r="C473" t="str">
            <v>SH472</v>
          </cell>
          <cell r="D473" t="str">
            <v>G472</v>
          </cell>
        </row>
        <row r="474">
          <cell r="A474" t="str">
            <v>DP473</v>
          </cell>
          <cell r="B474" t="str">
            <v>M473</v>
          </cell>
          <cell r="C474" t="str">
            <v>SH473</v>
          </cell>
          <cell r="D474" t="str">
            <v>G473</v>
          </cell>
        </row>
        <row r="475">
          <cell r="A475" t="str">
            <v>DP474</v>
          </cell>
          <cell r="B475" t="str">
            <v>M474</v>
          </cell>
          <cell r="C475" t="str">
            <v>SH474</v>
          </cell>
          <cell r="D475" t="str">
            <v>G474</v>
          </cell>
        </row>
        <row r="476">
          <cell r="A476" t="str">
            <v>DP475</v>
          </cell>
          <cell r="B476" t="str">
            <v>M475</v>
          </cell>
          <cell r="C476" t="str">
            <v>SH475</v>
          </cell>
          <cell r="D476" t="str">
            <v>G475</v>
          </cell>
        </row>
        <row r="477">
          <cell r="A477" t="str">
            <v>DP476</v>
          </cell>
          <cell r="B477" t="str">
            <v>M476</v>
          </cell>
          <cell r="C477" t="str">
            <v>SH476</v>
          </cell>
          <cell r="D477" t="str">
            <v>G476</v>
          </cell>
        </row>
        <row r="478">
          <cell r="A478" t="str">
            <v>DP477</v>
          </cell>
          <cell r="B478" t="str">
            <v>M477</v>
          </cell>
          <cell r="C478" t="str">
            <v>SH477</v>
          </cell>
          <cell r="D478" t="str">
            <v>G477</v>
          </cell>
        </row>
        <row r="479">
          <cell r="A479" t="str">
            <v>DP478</v>
          </cell>
          <cell r="B479" t="str">
            <v>M478</v>
          </cell>
          <cell r="C479" t="str">
            <v>SH478</v>
          </cell>
          <cell r="D479" t="str">
            <v>G478</v>
          </cell>
        </row>
        <row r="480">
          <cell r="A480" t="str">
            <v>DP479</v>
          </cell>
          <cell r="B480" t="str">
            <v>M479</v>
          </cell>
          <cell r="C480" t="str">
            <v>SH479</v>
          </cell>
          <cell r="D480" t="str">
            <v>G479</v>
          </cell>
        </row>
        <row r="481">
          <cell r="A481" t="str">
            <v>DP480</v>
          </cell>
          <cell r="B481" t="str">
            <v>M480</v>
          </cell>
          <cell r="C481" t="str">
            <v>SH480</v>
          </cell>
          <cell r="D481" t="str">
            <v>G480</v>
          </cell>
        </row>
        <row r="482">
          <cell r="A482" t="str">
            <v>DP481</v>
          </cell>
          <cell r="B482" t="str">
            <v>M481</v>
          </cell>
          <cell r="C482" t="str">
            <v>SH481</v>
          </cell>
          <cell r="D482" t="str">
            <v>G481</v>
          </cell>
        </row>
        <row r="483">
          <cell r="A483" t="str">
            <v>DP482</v>
          </cell>
          <cell r="B483" t="str">
            <v>M482</v>
          </cell>
          <cell r="C483" t="str">
            <v>SH482</v>
          </cell>
          <cell r="D483" t="str">
            <v>G482</v>
          </cell>
        </row>
        <row r="484">
          <cell r="A484" t="str">
            <v>DP483</v>
          </cell>
          <cell r="B484" t="str">
            <v>M483</v>
          </cell>
          <cell r="C484" t="str">
            <v>SH483</v>
          </cell>
          <cell r="D484" t="str">
            <v>G483</v>
          </cell>
        </row>
        <row r="485">
          <cell r="A485" t="str">
            <v>DP484</v>
          </cell>
          <cell r="B485" t="str">
            <v>M484</v>
          </cell>
          <cell r="C485" t="str">
            <v>SH484</v>
          </cell>
          <cell r="D485" t="str">
            <v>G484</v>
          </cell>
        </row>
        <row r="486">
          <cell r="A486" t="str">
            <v>DP485</v>
          </cell>
          <cell r="B486" t="str">
            <v>M485</v>
          </cell>
          <cell r="C486" t="str">
            <v>SH485</v>
          </cell>
          <cell r="D486" t="str">
            <v>G485</v>
          </cell>
        </row>
        <row r="487">
          <cell r="A487" t="str">
            <v>DP486</v>
          </cell>
          <cell r="B487" t="str">
            <v>M486</v>
          </cell>
          <cell r="C487" t="str">
            <v>SH486</v>
          </cell>
          <cell r="D487" t="str">
            <v>G486</v>
          </cell>
        </row>
        <row r="488">
          <cell r="A488" t="str">
            <v>DP487</v>
          </cell>
          <cell r="B488" t="str">
            <v>M487</v>
          </cell>
          <cell r="C488" t="str">
            <v>SH487</v>
          </cell>
          <cell r="D488" t="str">
            <v>G487</v>
          </cell>
        </row>
        <row r="489">
          <cell r="A489" t="str">
            <v>DP488</v>
          </cell>
          <cell r="B489" t="str">
            <v>M488</v>
          </cell>
          <cell r="C489" t="str">
            <v>SH488</v>
          </cell>
          <cell r="D489" t="str">
            <v>G488</v>
          </cell>
        </row>
        <row r="490">
          <cell r="A490" t="str">
            <v>DP489</v>
          </cell>
          <cell r="B490" t="str">
            <v>M489</v>
          </cell>
          <cell r="C490" t="str">
            <v>SH489</v>
          </cell>
          <cell r="D490" t="str">
            <v>G489</v>
          </cell>
        </row>
        <row r="491">
          <cell r="A491" t="str">
            <v>DP490</v>
          </cell>
          <cell r="B491" t="str">
            <v>M490</v>
          </cell>
          <cell r="C491" t="str">
            <v>SH490</v>
          </cell>
          <cell r="D491" t="str">
            <v>G490</v>
          </cell>
        </row>
        <row r="492">
          <cell r="A492" t="str">
            <v>DP491</v>
          </cell>
          <cell r="B492" t="str">
            <v>M491</v>
          </cell>
          <cell r="C492" t="str">
            <v>SH491</v>
          </cell>
          <cell r="D492" t="str">
            <v>G491</v>
          </cell>
        </row>
        <row r="493">
          <cell r="A493" t="str">
            <v>DP492</v>
          </cell>
          <cell r="B493" t="str">
            <v>M492</v>
          </cell>
          <cell r="C493" t="str">
            <v>SH492</v>
          </cell>
          <cell r="D493" t="str">
            <v>G492</v>
          </cell>
        </row>
        <row r="494">
          <cell r="A494" t="str">
            <v>DP493</v>
          </cell>
          <cell r="B494" t="str">
            <v>M493</v>
          </cell>
          <cell r="C494" t="str">
            <v>SH493</v>
          </cell>
          <cell r="D494" t="str">
            <v>G493</v>
          </cell>
        </row>
        <row r="495">
          <cell r="A495" t="str">
            <v>DP494</v>
          </cell>
          <cell r="B495" t="str">
            <v>M494</v>
          </cell>
          <cell r="C495" t="str">
            <v>SH494</v>
          </cell>
          <cell r="D495" t="str">
            <v>G494</v>
          </cell>
        </row>
        <row r="496">
          <cell r="A496" t="str">
            <v>DP495</v>
          </cell>
          <cell r="B496" t="str">
            <v>M495</v>
          </cell>
          <cell r="C496" t="str">
            <v>SH495</v>
          </cell>
          <cell r="D496" t="str">
            <v>G495</v>
          </cell>
        </row>
        <row r="497">
          <cell r="A497" t="str">
            <v>DP496</v>
          </cell>
          <cell r="B497" t="str">
            <v>M496</v>
          </cell>
          <cell r="C497" t="str">
            <v>SH496</v>
          </cell>
          <cell r="D497" t="str">
            <v>G496</v>
          </cell>
        </row>
        <row r="498">
          <cell r="A498" t="str">
            <v>DP497</v>
          </cell>
          <cell r="B498" t="str">
            <v>M497</v>
          </cell>
          <cell r="C498" t="str">
            <v>SH497</v>
          </cell>
          <cell r="D498" t="str">
            <v>G497</v>
          </cell>
        </row>
        <row r="499">
          <cell r="A499" t="str">
            <v>DP498</v>
          </cell>
          <cell r="B499" t="str">
            <v>M498</v>
          </cell>
          <cell r="C499" t="str">
            <v>SH498</v>
          </cell>
          <cell r="D499" t="str">
            <v>G498</v>
          </cell>
        </row>
        <row r="500">
          <cell r="A500" t="str">
            <v>DP499</v>
          </cell>
          <cell r="B500" t="str">
            <v>M499</v>
          </cell>
          <cell r="C500" t="str">
            <v>SH499</v>
          </cell>
          <cell r="D500" t="str">
            <v>G499</v>
          </cell>
        </row>
        <row r="501">
          <cell r="A501" t="str">
            <v>DP500</v>
          </cell>
          <cell r="B501" t="str">
            <v>M500</v>
          </cell>
          <cell r="C501" t="str">
            <v>SH500</v>
          </cell>
          <cell r="D501" t="str">
            <v>G500</v>
          </cell>
        </row>
        <row r="502">
          <cell r="A502" t="str">
            <v>DP501</v>
          </cell>
          <cell r="B502" t="str">
            <v>M501</v>
          </cell>
          <cell r="C502" t="str">
            <v>SH501</v>
          </cell>
          <cell r="D502" t="str">
            <v>G501</v>
          </cell>
        </row>
        <row r="503">
          <cell r="A503" t="str">
            <v>DP502</v>
          </cell>
          <cell r="B503" t="str">
            <v>M502</v>
          </cell>
          <cell r="C503" t="str">
            <v>SH502</v>
          </cell>
          <cell r="D503" t="str">
            <v>G502</v>
          </cell>
        </row>
        <row r="504">
          <cell r="A504" t="str">
            <v>DP503</v>
          </cell>
          <cell r="B504" t="str">
            <v>M503</v>
          </cell>
          <cell r="C504" t="str">
            <v>SH503</v>
          </cell>
          <cell r="D504" t="str">
            <v>G503</v>
          </cell>
        </row>
        <row r="505">
          <cell r="A505" t="str">
            <v>DP504</v>
          </cell>
          <cell r="B505" t="str">
            <v>M504</v>
          </cell>
          <cell r="C505" t="str">
            <v>SH504</v>
          </cell>
          <cell r="D505" t="str">
            <v>G504</v>
          </cell>
        </row>
        <row r="506">
          <cell r="A506" t="str">
            <v>DP505</v>
          </cell>
          <cell r="B506" t="str">
            <v>M505</v>
          </cell>
          <cell r="C506" t="str">
            <v>SH505</v>
          </cell>
          <cell r="D506" t="str">
            <v>G505</v>
          </cell>
        </row>
        <row r="507">
          <cell r="A507" t="str">
            <v>DP506</v>
          </cell>
          <cell r="B507" t="str">
            <v>M506</v>
          </cell>
          <cell r="C507" t="str">
            <v>SH506</v>
          </cell>
          <cell r="D507" t="str">
            <v>G506</v>
          </cell>
        </row>
        <row r="508">
          <cell r="A508" t="str">
            <v>DP507</v>
          </cell>
          <cell r="B508" t="str">
            <v>M507</v>
          </cell>
          <cell r="C508" t="str">
            <v>SH507</v>
          </cell>
          <cell r="D508" t="str">
            <v>G507</v>
          </cell>
        </row>
        <row r="509">
          <cell r="A509" t="str">
            <v>DP508</v>
          </cell>
          <cell r="B509" t="str">
            <v>M508</v>
          </cell>
          <cell r="C509" t="str">
            <v>SH508</v>
          </cell>
          <cell r="D509" t="str">
            <v>G508</v>
          </cell>
        </row>
        <row r="510">
          <cell r="A510" t="str">
            <v>DP509</v>
          </cell>
          <cell r="B510" t="str">
            <v>M509</v>
          </cell>
          <cell r="C510" t="str">
            <v>SH509</v>
          </cell>
          <cell r="D510" t="str">
            <v>G509</v>
          </cell>
        </row>
        <row r="511">
          <cell r="A511" t="str">
            <v>DP510</v>
          </cell>
          <cell r="B511" t="str">
            <v>M510</v>
          </cell>
          <cell r="C511" t="str">
            <v>SH510</v>
          </cell>
          <cell r="D511" t="str">
            <v>G510</v>
          </cell>
        </row>
        <row r="512">
          <cell r="A512" t="str">
            <v>DP511</v>
          </cell>
          <cell r="B512" t="str">
            <v>M511</v>
          </cell>
          <cell r="C512" t="str">
            <v>SH511</v>
          </cell>
          <cell r="D512" t="str">
            <v>G511</v>
          </cell>
        </row>
        <row r="513">
          <cell r="A513" t="str">
            <v>DP512</v>
          </cell>
          <cell r="B513" t="str">
            <v>M512</v>
          </cell>
          <cell r="C513" t="str">
            <v>SH512</v>
          </cell>
          <cell r="D513" t="str">
            <v>G512</v>
          </cell>
        </row>
        <row r="514">
          <cell r="A514" t="str">
            <v>DP513</v>
          </cell>
          <cell r="B514" t="str">
            <v>M513</v>
          </cell>
          <cell r="C514" t="str">
            <v>SH513</v>
          </cell>
          <cell r="D514" t="str">
            <v>G513</v>
          </cell>
        </row>
        <row r="515">
          <cell r="A515" t="str">
            <v>DP514</v>
          </cell>
          <cell r="B515" t="str">
            <v>M514</v>
          </cell>
          <cell r="C515" t="str">
            <v>SH514</v>
          </cell>
          <cell r="D515" t="str">
            <v>G514</v>
          </cell>
        </row>
        <row r="516">
          <cell r="A516" t="str">
            <v>DP515</v>
          </cell>
          <cell r="B516" t="str">
            <v>M515</v>
          </cell>
          <cell r="C516" t="str">
            <v>SH515</v>
          </cell>
          <cell r="D516" t="str">
            <v>G515</v>
          </cell>
        </row>
        <row r="517">
          <cell r="A517" t="str">
            <v>DP516</v>
          </cell>
          <cell r="B517" t="str">
            <v>M516</v>
          </cell>
          <cell r="C517" t="str">
            <v>SH516</v>
          </cell>
          <cell r="D517" t="str">
            <v>G516</v>
          </cell>
        </row>
        <row r="518">
          <cell r="A518" t="str">
            <v>DP517</v>
          </cell>
          <cell r="B518" t="str">
            <v>M517</v>
          </cell>
          <cell r="C518" t="str">
            <v>SH517</v>
          </cell>
          <cell r="D518" t="str">
            <v>G517</v>
          </cell>
        </row>
        <row r="519">
          <cell r="A519" t="str">
            <v>DP518</v>
          </cell>
          <cell r="B519" t="str">
            <v>M518</v>
          </cell>
          <cell r="C519" t="str">
            <v>SH518</v>
          </cell>
          <cell r="D519" t="str">
            <v>G518</v>
          </cell>
        </row>
        <row r="520">
          <cell r="A520" t="str">
            <v>DP519</v>
          </cell>
          <cell r="B520" t="str">
            <v>M519</v>
          </cell>
          <cell r="C520" t="str">
            <v>SH519</v>
          </cell>
          <cell r="D520" t="str">
            <v>G519</v>
          </cell>
        </row>
        <row r="521">
          <cell r="A521" t="str">
            <v>DP520</v>
          </cell>
          <cell r="B521" t="str">
            <v>M520</v>
          </cell>
          <cell r="C521" t="str">
            <v>SH520</v>
          </cell>
          <cell r="D521" t="str">
            <v>G520</v>
          </cell>
        </row>
        <row r="522">
          <cell r="A522" t="str">
            <v>DP521</v>
          </cell>
          <cell r="B522" t="str">
            <v>M521</v>
          </cell>
          <cell r="C522" t="str">
            <v>SH521</v>
          </cell>
          <cell r="D522" t="str">
            <v>G521</v>
          </cell>
        </row>
        <row r="523">
          <cell r="A523" t="str">
            <v>DP522</v>
          </cell>
          <cell r="B523" t="str">
            <v>M522</v>
          </cell>
          <cell r="C523" t="str">
            <v>SH522</v>
          </cell>
          <cell r="D523" t="str">
            <v>G522</v>
          </cell>
        </row>
        <row r="524">
          <cell r="A524" t="str">
            <v>DP523</v>
          </cell>
          <cell r="B524" t="str">
            <v>M523</v>
          </cell>
          <cell r="C524" t="str">
            <v>SH523</v>
          </cell>
          <cell r="D524" t="str">
            <v>G523</v>
          </cell>
        </row>
        <row r="525">
          <cell r="A525" t="str">
            <v>DP524</v>
          </cell>
          <cell r="B525" t="str">
            <v>M524</v>
          </cell>
          <cell r="C525" t="str">
            <v>SH524</v>
          </cell>
          <cell r="D525" t="str">
            <v>G524</v>
          </cell>
        </row>
        <row r="526">
          <cell r="A526" t="str">
            <v>DP525</v>
          </cell>
          <cell r="B526" t="str">
            <v>M525</v>
          </cell>
          <cell r="C526" t="str">
            <v>SH525</v>
          </cell>
          <cell r="D526" t="str">
            <v>G525</v>
          </cell>
        </row>
        <row r="527">
          <cell r="A527" t="str">
            <v>DP526</v>
          </cell>
          <cell r="B527" t="str">
            <v>M526</v>
          </cell>
          <cell r="C527" t="str">
            <v>SH526</v>
          </cell>
          <cell r="D527" t="str">
            <v>G526</v>
          </cell>
        </row>
        <row r="528">
          <cell r="A528" t="str">
            <v>DP527</v>
          </cell>
          <cell r="B528" t="str">
            <v>M527</v>
          </cell>
          <cell r="C528" t="str">
            <v>SH527</v>
          </cell>
          <cell r="D528" t="str">
            <v>G527</v>
          </cell>
        </row>
        <row r="529">
          <cell r="A529" t="str">
            <v>DP528</v>
          </cell>
          <cell r="B529" t="str">
            <v>M528</v>
          </cell>
          <cell r="C529" t="str">
            <v>SH528</v>
          </cell>
          <cell r="D529" t="str">
            <v>G528</v>
          </cell>
        </row>
        <row r="530">
          <cell r="A530" t="str">
            <v>DP529</v>
          </cell>
          <cell r="B530" t="str">
            <v>M529</v>
          </cell>
          <cell r="C530" t="str">
            <v>SH529</v>
          </cell>
          <cell r="D530" t="str">
            <v>G529</v>
          </cell>
        </row>
        <row r="531">
          <cell r="A531" t="str">
            <v>DP530</v>
          </cell>
          <cell r="B531" t="str">
            <v>M530</v>
          </cell>
          <cell r="C531" t="str">
            <v>SH530</v>
          </cell>
          <cell r="D531" t="str">
            <v>G530</v>
          </cell>
        </row>
        <row r="532">
          <cell r="A532" t="str">
            <v>DP531</v>
          </cell>
          <cell r="B532" t="str">
            <v>M531</v>
          </cell>
          <cell r="C532" t="str">
            <v>SH531</v>
          </cell>
          <cell r="D532" t="str">
            <v>G531</v>
          </cell>
        </row>
        <row r="533">
          <cell r="A533" t="str">
            <v>DP532</v>
          </cell>
          <cell r="B533" t="str">
            <v>M532</v>
          </cell>
          <cell r="C533" t="str">
            <v>SH532</v>
          </cell>
          <cell r="D533" t="str">
            <v>G532</v>
          </cell>
        </row>
        <row r="534">
          <cell r="A534" t="str">
            <v>DP533</v>
          </cell>
          <cell r="B534" t="str">
            <v>M533</v>
          </cell>
          <cell r="C534" t="str">
            <v>SH533</v>
          </cell>
          <cell r="D534" t="str">
            <v>G533</v>
          </cell>
        </row>
        <row r="535">
          <cell r="A535" t="str">
            <v>DP534</v>
          </cell>
          <cell r="B535" t="str">
            <v>M534</v>
          </cell>
          <cell r="C535" t="str">
            <v>SH534</v>
          </cell>
          <cell r="D535" t="str">
            <v>G534</v>
          </cell>
        </row>
        <row r="536">
          <cell r="A536" t="str">
            <v>DP535</v>
          </cell>
          <cell r="B536" t="str">
            <v>M535</v>
          </cell>
          <cell r="C536" t="str">
            <v>SH535</v>
          </cell>
          <cell r="D536" t="str">
            <v>G535</v>
          </cell>
        </row>
        <row r="537">
          <cell r="A537" t="str">
            <v>DP536</v>
          </cell>
          <cell r="B537" t="str">
            <v>M536</v>
          </cell>
          <cell r="C537" t="str">
            <v>SH536</v>
          </cell>
          <cell r="D537" t="str">
            <v>G536</v>
          </cell>
        </row>
        <row r="538">
          <cell r="A538" t="str">
            <v>DP537</v>
          </cell>
          <cell r="B538" t="str">
            <v>M537</v>
          </cell>
          <cell r="C538" t="str">
            <v>SH537</v>
          </cell>
          <cell r="D538" t="str">
            <v>G537</v>
          </cell>
        </row>
        <row r="539">
          <cell r="A539" t="str">
            <v>DP538</v>
          </cell>
          <cell r="B539" t="str">
            <v>M538</v>
          </cell>
          <cell r="C539" t="str">
            <v>SH538</v>
          </cell>
          <cell r="D539" t="str">
            <v>G538</v>
          </cell>
        </row>
        <row r="540">
          <cell r="A540" t="str">
            <v>DP539</v>
          </cell>
          <cell r="B540" t="str">
            <v>M539</v>
          </cell>
          <cell r="C540" t="str">
            <v>SH539</v>
          </cell>
          <cell r="D540" t="str">
            <v>G539</v>
          </cell>
        </row>
        <row r="541">
          <cell r="A541" t="str">
            <v>DP540</v>
          </cell>
          <cell r="B541" t="str">
            <v>M540</v>
          </cell>
          <cell r="C541" t="str">
            <v>SH540</v>
          </cell>
          <cell r="D541" t="str">
            <v>G540</v>
          </cell>
        </row>
        <row r="542">
          <cell r="A542" t="str">
            <v>DP541</v>
          </cell>
          <cell r="B542" t="str">
            <v>M541</v>
          </cell>
          <cell r="C542" t="str">
            <v>SH541</v>
          </cell>
          <cell r="D542" t="str">
            <v>G541</v>
          </cell>
        </row>
        <row r="543">
          <cell r="A543" t="str">
            <v>DP542</v>
          </cell>
          <cell r="B543" t="str">
            <v>M542</v>
          </cell>
          <cell r="C543" t="str">
            <v>SH542</v>
          </cell>
          <cell r="D543" t="str">
            <v>G542</v>
          </cell>
        </row>
        <row r="544">
          <cell r="A544" t="str">
            <v>DP543</v>
          </cell>
          <cell r="B544" t="str">
            <v>M543</v>
          </cell>
          <cell r="C544" t="str">
            <v>SH543</v>
          </cell>
          <cell r="D544" t="str">
            <v>G543</v>
          </cell>
        </row>
        <row r="545">
          <cell r="A545" t="str">
            <v>DP544</v>
          </cell>
          <cell r="B545" t="str">
            <v>M544</v>
          </cell>
          <cell r="C545" t="str">
            <v>SH544</v>
          </cell>
          <cell r="D545" t="str">
            <v>G544</v>
          </cell>
        </row>
        <row r="546">
          <cell r="A546" t="str">
            <v>DP545</v>
          </cell>
          <cell r="B546" t="str">
            <v>M545</v>
          </cell>
          <cell r="C546" t="str">
            <v>SH545</v>
          </cell>
          <cell r="D546" t="str">
            <v>G545</v>
          </cell>
        </row>
        <row r="547">
          <cell r="A547" t="str">
            <v>DP546</v>
          </cell>
          <cell r="B547" t="str">
            <v>M546</v>
          </cell>
          <cell r="C547" t="str">
            <v>SH546</v>
          </cell>
          <cell r="D547" t="str">
            <v>G546</v>
          </cell>
        </row>
        <row r="548">
          <cell r="A548" t="str">
            <v>DP547</v>
          </cell>
          <cell r="B548" t="str">
            <v>M547</v>
          </cell>
          <cell r="C548" t="str">
            <v>SH547</v>
          </cell>
          <cell r="D548" t="str">
            <v>G547</v>
          </cell>
        </row>
        <row r="549">
          <cell r="A549" t="str">
            <v>DP548</v>
          </cell>
          <cell r="B549" t="str">
            <v>M548</v>
          </cell>
          <cell r="C549" t="str">
            <v>SH548</v>
          </cell>
          <cell r="D549" t="str">
            <v>G548</v>
          </cell>
        </row>
        <row r="550">
          <cell r="A550" t="str">
            <v>DP549</v>
          </cell>
          <cell r="B550" t="str">
            <v>M549</v>
          </cell>
          <cell r="C550" t="str">
            <v>SH549</v>
          </cell>
          <cell r="D550" t="str">
            <v>G549</v>
          </cell>
        </row>
        <row r="551">
          <cell r="A551" t="str">
            <v>DP550</v>
          </cell>
          <cell r="B551" t="str">
            <v>M550</v>
          </cell>
          <cell r="C551" t="str">
            <v>SH550</v>
          </cell>
          <cell r="D551" t="str">
            <v>G550</v>
          </cell>
        </row>
        <row r="552">
          <cell r="A552" t="str">
            <v>DP551</v>
          </cell>
          <cell r="B552" t="str">
            <v>M551</v>
          </cell>
          <cell r="C552" t="str">
            <v>SH551</v>
          </cell>
          <cell r="D552" t="str">
            <v>G551</v>
          </cell>
        </row>
        <row r="553">
          <cell r="A553" t="str">
            <v>DP552</v>
          </cell>
          <cell r="B553" t="str">
            <v>M552</v>
          </cell>
          <cell r="C553" t="str">
            <v>SH552</v>
          </cell>
          <cell r="D553" t="str">
            <v>G552</v>
          </cell>
        </row>
        <row r="554">
          <cell r="A554" t="str">
            <v>DP553</v>
          </cell>
          <cell r="B554" t="str">
            <v>M553</v>
          </cell>
          <cell r="C554" t="str">
            <v>SH553</v>
          </cell>
          <cell r="D554" t="str">
            <v>G553</v>
          </cell>
        </row>
        <row r="555">
          <cell r="A555" t="str">
            <v>DP554</v>
          </cell>
          <cell r="B555" t="str">
            <v>M554</v>
          </cell>
          <cell r="C555" t="str">
            <v>SH554</v>
          </cell>
          <cell r="D555" t="str">
            <v>G554</v>
          </cell>
        </row>
        <row r="556">
          <cell r="A556" t="str">
            <v>DP555</v>
          </cell>
          <cell r="B556" t="str">
            <v>M555</v>
          </cell>
          <cell r="C556" t="str">
            <v>SH555</v>
          </cell>
          <cell r="D556" t="str">
            <v>G555</v>
          </cell>
        </row>
        <row r="557">
          <cell r="A557" t="str">
            <v>DP556</v>
          </cell>
          <cell r="B557" t="str">
            <v>M556</v>
          </cell>
          <cell r="C557" t="str">
            <v>SH556</v>
          </cell>
          <cell r="D557" t="str">
            <v>G556</v>
          </cell>
        </row>
        <row r="558">
          <cell r="A558" t="str">
            <v>DP557</v>
          </cell>
          <cell r="B558" t="str">
            <v>M557</v>
          </cell>
          <cell r="C558" t="str">
            <v>SH557</v>
          </cell>
          <cell r="D558" t="str">
            <v>G557</v>
          </cell>
        </row>
        <row r="559">
          <cell r="A559" t="str">
            <v>DP558</v>
          </cell>
          <cell r="B559" t="str">
            <v>M558</v>
          </cell>
          <cell r="C559" t="str">
            <v>SH558</v>
          </cell>
          <cell r="D559" t="str">
            <v>G558</v>
          </cell>
        </row>
        <row r="560">
          <cell r="A560" t="str">
            <v>DP559</v>
          </cell>
          <cell r="B560" t="str">
            <v>M559</v>
          </cell>
          <cell r="C560" t="str">
            <v>SH559</v>
          </cell>
          <cell r="D560" t="str">
            <v>G559</v>
          </cell>
        </row>
        <row r="561">
          <cell r="A561" t="str">
            <v>DP560</v>
          </cell>
          <cell r="B561" t="str">
            <v>M560</v>
          </cell>
          <cell r="C561" t="str">
            <v>SH560</v>
          </cell>
          <cell r="D561" t="str">
            <v>G560</v>
          </cell>
        </row>
        <row r="562">
          <cell r="A562" t="str">
            <v>DP561</v>
          </cell>
          <cell r="B562" t="str">
            <v>M561</v>
          </cell>
          <cell r="C562" t="str">
            <v>SH561</v>
          </cell>
          <cell r="D562" t="str">
            <v>G561</v>
          </cell>
        </row>
        <row r="563">
          <cell r="A563" t="str">
            <v>DP562</v>
          </cell>
          <cell r="B563" t="str">
            <v>M562</v>
          </cell>
          <cell r="C563" t="str">
            <v>SH562</v>
          </cell>
          <cell r="D563" t="str">
            <v>G562</v>
          </cell>
        </row>
        <row r="564">
          <cell r="A564" t="str">
            <v>DP563</v>
          </cell>
          <cell r="B564" t="str">
            <v>M563</v>
          </cell>
          <cell r="C564" t="str">
            <v>SH563</v>
          </cell>
          <cell r="D564" t="str">
            <v>G563</v>
          </cell>
        </row>
        <row r="565">
          <cell r="A565" t="str">
            <v>DP564</v>
          </cell>
          <cell r="B565" t="str">
            <v>M564</v>
          </cell>
          <cell r="C565" t="str">
            <v>SH564</v>
          </cell>
          <cell r="D565" t="str">
            <v>G564</v>
          </cell>
        </row>
        <row r="566">
          <cell r="A566" t="str">
            <v>DP565</v>
          </cell>
          <cell r="B566" t="str">
            <v>M565</v>
          </cell>
          <cell r="C566" t="str">
            <v>SH565</v>
          </cell>
          <cell r="D566" t="str">
            <v>G565</v>
          </cell>
        </row>
        <row r="567">
          <cell r="A567" t="str">
            <v>DP566</v>
          </cell>
          <cell r="B567" t="str">
            <v>M566</v>
          </cell>
          <cell r="C567" t="str">
            <v>SH566</v>
          </cell>
          <cell r="D567" t="str">
            <v>G566</v>
          </cell>
        </row>
        <row r="568">
          <cell r="A568" t="str">
            <v>DP567</v>
          </cell>
          <cell r="B568" t="str">
            <v>M567</v>
          </cell>
          <cell r="C568" t="str">
            <v>SH567</v>
          </cell>
          <cell r="D568" t="str">
            <v>G567</v>
          </cell>
        </row>
        <row r="569">
          <cell r="A569" t="str">
            <v>DP568</v>
          </cell>
          <cell r="B569" t="str">
            <v>M568</v>
          </cell>
          <cell r="C569" t="str">
            <v>SH568</v>
          </cell>
          <cell r="D569" t="str">
            <v>G568</v>
          </cell>
        </row>
        <row r="570">
          <cell r="A570" t="str">
            <v>DP569</v>
          </cell>
          <cell r="B570" t="str">
            <v>M569</v>
          </cell>
          <cell r="C570" t="str">
            <v>SH569</v>
          </cell>
          <cell r="D570" t="str">
            <v>G569</v>
          </cell>
        </row>
        <row r="571">
          <cell r="A571" t="str">
            <v>DP570</v>
          </cell>
          <cell r="B571" t="str">
            <v>M570</v>
          </cell>
          <cell r="C571" t="str">
            <v>SH570</v>
          </cell>
          <cell r="D571" t="str">
            <v>G570</v>
          </cell>
        </row>
        <row r="572">
          <cell r="A572" t="str">
            <v>DP571</v>
          </cell>
          <cell r="B572" t="str">
            <v>M571</v>
          </cell>
          <cell r="C572" t="str">
            <v>SH571</v>
          </cell>
          <cell r="D572" t="str">
            <v>G571</v>
          </cell>
        </row>
        <row r="573">
          <cell r="A573" t="str">
            <v>DP572</v>
          </cell>
          <cell r="B573" t="str">
            <v>M572</v>
          </cell>
          <cell r="C573" t="str">
            <v>SH572</v>
          </cell>
          <cell r="D573" t="str">
            <v>G572</v>
          </cell>
        </row>
        <row r="574">
          <cell r="A574" t="str">
            <v>DP573</v>
          </cell>
          <cell r="B574" t="str">
            <v>M573</v>
          </cell>
          <cell r="C574" t="str">
            <v>SH573</v>
          </cell>
          <cell r="D574" t="str">
            <v>G573</v>
          </cell>
        </row>
        <row r="575">
          <cell r="A575" t="str">
            <v>DP574</v>
          </cell>
          <cell r="B575" t="str">
            <v>M574</v>
          </cell>
          <cell r="C575" t="str">
            <v>SH574</v>
          </cell>
          <cell r="D575" t="str">
            <v>G574</v>
          </cell>
        </row>
        <row r="576">
          <cell r="A576" t="str">
            <v>DP575</v>
          </cell>
          <cell r="B576" t="str">
            <v>M575</v>
          </cell>
          <cell r="C576" t="str">
            <v>SH575</v>
          </cell>
          <cell r="D576" t="str">
            <v>G575</v>
          </cell>
        </row>
        <row r="577">
          <cell r="A577" t="str">
            <v>DP576</v>
          </cell>
          <cell r="B577" t="str">
            <v>M576</v>
          </cell>
          <cell r="C577" t="str">
            <v>SH576</v>
          </cell>
          <cell r="D577" t="str">
            <v>G576</v>
          </cell>
        </row>
        <row r="578">
          <cell r="A578" t="str">
            <v>DP577</v>
          </cell>
          <cell r="B578" t="str">
            <v>M577</v>
          </cell>
          <cell r="C578" t="str">
            <v>SH577</v>
          </cell>
          <cell r="D578" t="str">
            <v>G577</v>
          </cell>
        </row>
        <row r="579">
          <cell r="A579" t="str">
            <v>DP578</v>
          </cell>
          <cell r="B579" t="str">
            <v>M578</v>
          </cell>
          <cell r="C579" t="str">
            <v>SH578</v>
          </cell>
          <cell r="D579" t="str">
            <v>G578</v>
          </cell>
        </row>
        <row r="580">
          <cell r="A580" t="str">
            <v>DP579</v>
          </cell>
          <cell r="B580" t="str">
            <v>M579</v>
          </cell>
          <cell r="C580" t="str">
            <v>SH579</v>
          </cell>
          <cell r="D580" t="str">
            <v>G579</v>
          </cell>
        </row>
        <row r="581">
          <cell r="A581" t="str">
            <v>DP580</v>
          </cell>
          <cell r="B581" t="str">
            <v>M580</v>
          </cell>
          <cell r="C581" t="str">
            <v>SH580</v>
          </cell>
          <cell r="D581" t="str">
            <v>G580</v>
          </cell>
        </row>
        <row r="582">
          <cell r="A582" t="str">
            <v>DP581</v>
          </cell>
          <cell r="B582" t="str">
            <v>M581</v>
          </cell>
          <cell r="C582" t="str">
            <v>SH581</v>
          </cell>
          <cell r="D582" t="str">
            <v>G581</v>
          </cell>
        </row>
        <row r="583">
          <cell r="A583" t="str">
            <v>DP582</v>
          </cell>
          <cell r="B583" t="str">
            <v>M582</v>
          </cell>
          <cell r="C583" t="str">
            <v>SH582</v>
          </cell>
          <cell r="D583" t="str">
            <v>G582</v>
          </cell>
        </row>
        <row r="584">
          <cell r="A584" t="str">
            <v>DP583</v>
          </cell>
          <cell r="B584" t="str">
            <v>M583</v>
          </cell>
          <cell r="C584" t="str">
            <v>SH583</v>
          </cell>
          <cell r="D584" t="str">
            <v>G583</v>
          </cell>
        </row>
        <row r="585">
          <cell r="A585" t="str">
            <v>DP584</v>
          </cell>
          <cell r="B585" t="str">
            <v>M584</v>
          </cell>
          <cell r="C585" t="str">
            <v>SH584</v>
          </cell>
          <cell r="D585" t="str">
            <v>G584</v>
          </cell>
        </row>
        <row r="586">
          <cell r="A586" t="str">
            <v>DP585</v>
          </cell>
          <cell r="B586" t="str">
            <v>M585</v>
          </cell>
          <cell r="C586" t="str">
            <v>SH585</v>
          </cell>
          <cell r="D586" t="str">
            <v>G585</v>
          </cell>
        </row>
        <row r="587">
          <cell r="A587" t="str">
            <v>DP586</v>
          </cell>
          <cell r="B587" t="str">
            <v>M586</v>
          </cell>
          <cell r="C587" t="str">
            <v>SH586</v>
          </cell>
          <cell r="D587" t="str">
            <v>G586</v>
          </cell>
        </row>
        <row r="588">
          <cell r="A588" t="str">
            <v>DP587</v>
          </cell>
          <cell r="B588" t="str">
            <v>M587</v>
          </cell>
          <cell r="C588" t="str">
            <v>SH587</v>
          </cell>
          <cell r="D588" t="str">
            <v>G587</v>
          </cell>
        </row>
        <row r="589">
          <cell r="A589" t="str">
            <v>DP588</v>
          </cell>
          <cell r="B589" t="str">
            <v>M588</v>
          </cell>
          <cell r="C589" t="str">
            <v>SH588</v>
          </cell>
          <cell r="D589" t="str">
            <v>G588</v>
          </cell>
        </row>
        <row r="590">
          <cell r="A590" t="str">
            <v>DP589</v>
          </cell>
          <cell r="B590" t="str">
            <v>M589</v>
          </cell>
          <cell r="C590" t="str">
            <v>SH589</v>
          </cell>
          <cell r="D590" t="str">
            <v>G589</v>
          </cell>
        </row>
        <row r="591">
          <cell r="A591" t="str">
            <v>DP590</v>
          </cell>
          <cell r="B591" t="str">
            <v>M590</v>
          </cell>
          <cell r="C591" t="str">
            <v>SH590</v>
          </cell>
          <cell r="D591" t="str">
            <v>G590</v>
          </cell>
        </row>
        <row r="592">
          <cell r="A592" t="str">
            <v>DP591</v>
          </cell>
          <cell r="B592" t="str">
            <v>M591</v>
          </cell>
          <cell r="C592" t="str">
            <v>SH591</v>
          </cell>
          <cell r="D592" t="str">
            <v>G591</v>
          </cell>
        </row>
        <row r="593">
          <cell r="A593" t="str">
            <v>DP592</v>
          </cell>
          <cell r="B593" t="str">
            <v>M592</v>
          </cell>
          <cell r="C593" t="str">
            <v>SH592</v>
          </cell>
          <cell r="D593" t="str">
            <v>G592</v>
          </cell>
        </row>
        <row r="594">
          <cell r="A594" t="str">
            <v>DP593</v>
          </cell>
          <cell r="B594" t="str">
            <v>M593</v>
          </cell>
          <cell r="C594" t="str">
            <v>SH593</v>
          </cell>
          <cell r="D594" t="str">
            <v>G593</v>
          </cell>
        </row>
        <row r="595">
          <cell r="A595" t="str">
            <v>DP594</v>
          </cell>
          <cell r="B595" t="str">
            <v>M594</v>
          </cell>
          <cell r="C595" t="str">
            <v>SH594</v>
          </cell>
          <cell r="D595" t="str">
            <v>G594</v>
          </cell>
        </row>
        <row r="596">
          <cell r="A596" t="str">
            <v>DP595</v>
          </cell>
          <cell r="B596" t="str">
            <v>M595</v>
          </cell>
          <cell r="C596" t="str">
            <v>SH595</v>
          </cell>
          <cell r="D596" t="str">
            <v>G595</v>
          </cell>
        </row>
        <row r="597">
          <cell r="A597" t="str">
            <v>DP596</v>
          </cell>
          <cell r="B597" t="str">
            <v>M596</v>
          </cell>
          <cell r="C597" t="str">
            <v>SH596</v>
          </cell>
          <cell r="D597" t="str">
            <v>G596</v>
          </cell>
        </row>
        <row r="598">
          <cell r="A598" t="str">
            <v>DP597</v>
          </cell>
          <cell r="B598" t="str">
            <v>M597</v>
          </cell>
          <cell r="C598" t="str">
            <v>SH597</v>
          </cell>
          <cell r="D598" t="str">
            <v>G597</v>
          </cell>
        </row>
        <row r="599">
          <cell r="A599" t="str">
            <v>DP598</v>
          </cell>
          <cell r="B599" t="str">
            <v>M598</v>
          </cell>
          <cell r="C599" t="str">
            <v>SH598</v>
          </cell>
          <cell r="D599" t="str">
            <v>G598</v>
          </cell>
        </row>
        <row r="600">
          <cell r="A600" t="str">
            <v>DP599</v>
          </cell>
          <cell r="B600" t="str">
            <v>M599</v>
          </cell>
          <cell r="C600" t="str">
            <v>SH599</v>
          </cell>
          <cell r="D600" t="str">
            <v>G599</v>
          </cell>
        </row>
        <row r="601">
          <cell r="A601" t="str">
            <v>DP600</v>
          </cell>
          <cell r="B601" t="str">
            <v>M600</v>
          </cell>
          <cell r="C601" t="str">
            <v>SH600</v>
          </cell>
          <cell r="D601" t="str">
            <v>G600</v>
          </cell>
        </row>
        <row r="602">
          <cell r="A602" t="str">
            <v>DP601</v>
          </cell>
          <cell r="B602" t="str">
            <v>M601</v>
          </cell>
          <cell r="C602" t="str">
            <v>SH601</v>
          </cell>
          <cell r="D602" t="str">
            <v>G601</v>
          </cell>
        </row>
        <row r="603">
          <cell r="A603" t="str">
            <v>DP602</v>
          </cell>
          <cell r="B603" t="str">
            <v>M602</v>
          </cell>
          <cell r="C603" t="str">
            <v>SH602</v>
          </cell>
          <cell r="D603" t="str">
            <v>G602</v>
          </cell>
        </row>
        <row r="604">
          <cell r="A604" t="str">
            <v>DP603</v>
          </cell>
          <cell r="B604" t="str">
            <v>M603</v>
          </cell>
          <cell r="C604" t="str">
            <v>SH603</v>
          </cell>
          <cell r="D604" t="str">
            <v>G603</v>
          </cell>
        </row>
        <row r="605">
          <cell r="A605" t="str">
            <v>DP604</v>
          </cell>
          <cell r="B605" t="str">
            <v>M604</v>
          </cell>
          <cell r="C605" t="str">
            <v>SH604</v>
          </cell>
          <cell r="D605" t="str">
            <v>G604</v>
          </cell>
        </row>
        <row r="606">
          <cell r="A606" t="str">
            <v>DP605</v>
          </cell>
          <cell r="B606" t="str">
            <v>M605</v>
          </cell>
          <cell r="C606" t="str">
            <v>SH605</v>
          </cell>
          <cell r="D606" t="str">
            <v>G605</v>
          </cell>
        </row>
        <row r="607">
          <cell r="A607" t="str">
            <v>DP606</v>
          </cell>
          <cell r="B607" t="str">
            <v>M606</v>
          </cell>
          <cell r="C607" t="str">
            <v>SH606</v>
          </cell>
          <cell r="D607" t="str">
            <v>G606</v>
          </cell>
        </row>
        <row r="608">
          <cell r="A608" t="str">
            <v>DP607</v>
          </cell>
          <cell r="B608" t="str">
            <v>M607</v>
          </cell>
          <cell r="C608" t="str">
            <v>SH607</v>
          </cell>
          <cell r="D608" t="str">
            <v>G607</v>
          </cell>
        </row>
        <row r="609">
          <cell r="A609" t="str">
            <v>DP608</v>
          </cell>
          <cell r="B609" t="str">
            <v>M608</v>
          </cell>
          <cell r="C609" t="str">
            <v>SH608</v>
          </cell>
          <cell r="D609" t="str">
            <v>G608</v>
          </cell>
        </row>
        <row r="610">
          <cell r="A610" t="str">
            <v>DP609</v>
          </cell>
          <cell r="B610" t="str">
            <v>M609</v>
          </cell>
          <cell r="C610" t="str">
            <v>SH609</v>
          </cell>
          <cell r="D610" t="str">
            <v>G609</v>
          </cell>
        </row>
        <row r="611">
          <cell r="A611" t="str">
            <v>DP610</v>
          </cell>
          <cell r="B611" t="str">
            <v>M610</v>
          </cell>
          <cell r="C611" t="str">
            <v>SH610</v>
          </cell>
          <cell r="D611" t="str">
            <v>G610</v>
          </cell>
        </row>
        <row r="612">
          <cell r="A612" t="str">
            <v>DP611</v>
          </cell>
          <cell r="B612" t="str">
            <v>M611</v>
          </cell>
          <cell r="C612" t="str">
            <v>SH611</v>
          </cell>
          <cell r="D612" t="str">
            <v>G611</v>
          </cell>
        </row>
        <row r="613">
          <cell r="A613" t="str">
            <v>DP612</v>
          </cell>
          <cell r="B613" t="str">
            <v>M612</v>
          </cell>
          <cell r="C613" t="str">
            <v>SH612</v>
          </cell>
          <cell r="D613" t="str">
            <v>G612</v>
          </cell>
        </row>
        <row r="614">
          <cell r="A614" t="str">
            <v>DP613</v>
          </cell>
          <cell r="B614" t="str">
            <v>M613</v>
          </cell>
          <cell r="C614" t="str">
            <v>SH613</v>
          </cell>
          <cell r="D614" t="str">
            <v>G613</v>
          </cell>
        </row>
        <row r="615">
          <cell r="A615" t="str">
            <v>DP614</v>
          </cell>
          <cell r="B615" t="str">
            <v>M614</v>
          </cell>
          <cell r="C615" t="str">
            <v>SH614</v>
          </cell>
          <cell r="D615" t="str">
            <v>G614</v>
          </cell>
        </row>
        <row r="616">
          <cell r="A616" t="str">
            <v>DP615</v>
          </cell>
          <cell r="B616" t="str">
            <v>M615</v>
          </cell>
          <cell r="C616" t="str">
            <v>SH615</v>
          </cell>
          <cell r="D616" t="str">
            <v>G615</v>
          </cell>
        </row>
        <row r="617">
          <cell r="A617" t="str">
            <v>DP616</v>
          </cell>
          <cell r="B617" t="str">
            <v>M616</v>
          </cell>
          <cell r="C617" t="str">
            <v>SH616</v>
          </cell>
          <cell r="D617" t="str">
            <v>G616</v>
          </cell>
        </row>
        <row r="618">
          <cell r="A618" t="str">
            <v>DP617</v>
          </cell>
          <cell r="B618" t="str">
            <v>M617</v>
          </cell>
          <cell r="C618" t="str">
            <v>SH617</v>
          </cell>
          <cell r="D618" t="str">
            <v>G617</v>
          </cell>
        </row>
        <row r="619">
          <cell r="A619" t="str">
            <v>DP618</v>
          </cell>
          <cell r="B619" t="str">
            <v>M618</v>
          </cell>
          <cell r="C619" t="str">
            <v>SH618</v>
          </cell>
          <cell r="D619" t="str">
            <v>G618</v>
          </cell>
        </row>
        <row r="620">
          <cell r="A620" t="str">
            <v>DP619</v>
          </cell>
          <cell r="B620" t="str">
            <v>M619</v>
          </cell>
          <cell r="C620" t="str">
            <v>SH619</v>
          </cell>
          <cell r="D620" t="str">
            <v>G619</v>
          </cell>
        </row>
        <row r="621">
          <cell r="A621" t="str">
            <v>DP620</v>
          </cell>
          <cell r="B621" t="str">
            <v>M620</v>
          </cell>
          <cell r="C621" t="str">
            <v>SH620</v>
          </cell>
          <cell r="D621" t="str">
            <v>G620</v>
          </cell>
        </row>
        <row r="622">
          <cell r="A622" t="str">
            <v>DP621</v>
          </cell>
          <cell r="B622" t="str">
            <v>M621</v>
          </cell>
          <cell r="C622" t="str">
            <v>SH621</v>
          </cell>
          <cell r="D622" t="str">
            <v>G621</v>
          </cell>
        </row>
        <row r="623">
          <cell r="A623" t="str">
            <v>DP622</v>
          </cell>
          <cell r="B623" t="str">
            <v>M622</v>
          </cell>
          <cell r="C623" t="str">
            <v>SH622</v>
          </cell>
          <cell r="D623" t="str">
            <v>G622</v>
          </cell>
        </row>
        <row r="624">
          <cell r="A624" t="str">
            <v>DP623</v>
          </cell>
          <cell r="B624" t="str">
            <v>M623</v>
          </cell>
          <cell r="C624" t="str">
            <v>SH623</v>
          </cell>
          <cell r="D624" t="str">
            <v>G623</v>
          </cell>
        </row>
        <row r="625">
          <cell r="A625" t="str">
            <v>DP624</v>
          </cell>
          <cell r="B625" t="str">
            <v>M624</v>
          </cell>
          <cell r="C625" t="str">
            <v>SH624</v>
          </cell>
          <cell r="D625" t="str">
            <v>G624</v>
          </cell>
        </row>
        <row r="626">
          <cell r="A626" t="str">
            <v>DP625</v>
          </cell>
          <cell r="B626" t="str">
            <v>M625</v>
          </cell>
          <cell r="C626" t="str">
            <v>SH625</v>
          </cell>
          <cell r="D626" t="str">
            <v>G625</v>
          </cell>
        </row>
        <row r="627">
          <cell r="A627" t="str">
            <v>DP626</v>
          </cell>
          <cell r="B627" t="str">
            <v>M626</v>
          </cell>
          <cell r="C627" t="str">
            <v>SH626</v>
          </cell>
          <cell r="D627" t="str">
            <v>G626</v>
          </cell>
        </row>
        <row r="628">
          <cell r="A628" t="str">
            <v>DP627</v>
          </cell>
          <cell r="B628" t="str">
            <v>M627</v>
          </cell>
          <cell r="C628" t="str">
            <v>SH627</v>
          </cell>
          <cell r="D628" t="str">
            <v>G627</v>
          </cell>
        </row>
        <row r="629">
          <cell r="A629" t="str">
            <v>DP628</v>
          </cell>
          <cell r="B629" t="str">
            <v>M628</v>
          </cell>
          <cell r="C629" t="str">
            <v>SH628</v>
          </cell>
          <cell r="D629" t="str">
            <v>G628</v>
          </cell>
        </row>
        <row r="630">
          <cell r="A630" t="str">
            <v>DP629</v>
          </cell>
          <cell r="B630" t="str">
            <v>M629</v>
          </cell>
          <cell r="C630" t="str">
            <v>SH629</v>
          </cell>
          <cell r="D630" t="str">
            <v>G629</v>
          </cell>
        </row>
        <row r="631">
          <cell r="A631" t="str">
            <v>DP630</v>
          </cell>
          <cell r="B631" t="str">
            <v>M630</v>
          </cell>
          <cell r="C631" t="str">
            <v>SH630</v>
          </cell>
          <cell r="D631" t="str">
            <v>G630</v>
          </cell>
        </row>
        <row r="632">
          <cell r="A632" t="str">
            <v>DP631</v>
          </cell>
          <cell r="B632" t="str">
            <v>M631</v>
          </cell>
          <cell r="C632" t="str">
            <v>SH631</v>
          </cell>
          <cell r="D632" t="str">
            <v>G631</v>
          </cell>
        </row>
        <row r="633">
          <cell r="A633" t="str">
            <v>DP632</v>
          </cell>
          <cell r="B633" t="str">
            <v>M632</v>
          </cell>
          <cell r="C633" t="str">
            <v>SH632</v>
          </cell>
          <cell r="D633" t="str">
            <v>G632</v>
          </cell>
        </row>
        <row r="634">
          <cell r="A634" t="str">
            <v>DP633</v>
          </cell>
          <cell r="B634" t="str">
            <v>M633</v>
          </cell>
          <cell r="C634" t="str">
            <v>SH633</v>
          </cell>
          <cell r="D634" t="str">
            <v>G633</v>
          </cell>
        </row>
        <row r="635">
          <cell r="A635" t="str">
            <v>DP634</v>
          </cell>
          <cell r="B635" t="str">
            <v>M634</v>
          </cell>
          <cell r="C635" t="str">
            <v>SH634</v>
          </cell>
          <cell r="D635" t="str">
            <v>G634</v>
          </cell>
        </row>
        <row r="636">
          <cell r="A636" t="str">
            <v>DP635</v>
          </cell>
          <cell r="B636" t="str">
            <v>M635</v>
          </cell>
          <cell r="C636" t="str">
            <v>SH635</v>
          </cell>
          <cell r="D636" t="str">
            <v>G635</v>
          </cell>
        </row>
        <row r="637">
          <cell r="A637" t="str">
            <v>DP636</v>
          </cell>
          <cell r="B637" t="str">
            <v>M636</v>
          </cell>
          <cell r="C637" t="str">
            <v>SH636</v>
          </cell>
          <cell r="D637" t="str">
            <v>G636</v>
          </cell>
        </row>
        <row r="638">
          <cell r="A638" t="str">
            <v>DP637</v>
          </cell>
          <cell r="B638" t="str">
            <v>M637</v>
          </cell>
          <cell r="C638" t="str">
            <v>SH637</v>
          </cell>
          <cell r="D638" t="str">
            <v>G637</v>
          </cell>
        </row>
        <row r="639">
          <cell r="A639" t="str">
            <v>DP638</v>
          </cell>
          <cell r="B639" t="str">
            <v>M638</v>
          </cell>
          <cell r="C639" t="str">
            <v>SH638</v>
          </cell>
          <cell r="D639" t="str">
            <v>G638</v>
          </cell>
        </row>
        <row r="640">
          <cell r="A640" t="str">
            <v>DP639</v>
          </cell>
          <cell r="B640" t="str">
            <v>M639</v>
          </cell>
          <cell r="C640" t="str">
            <v>SH639</v>
          </cell>
          <cell r="D640" t="str">
            <v>G639</v>
          </cell>
        </row>
        <row r="641">
          <cell r="A641" t="str">
            <v>DP640</v>
          </cell>
          <cell r="B641" t="str">
            <v>M640</v>
          </cell>
          <cell r="C641" t="str">
            <v>SH640</v>
          </cell>
          <cell r="D641" t="str">
            <v>G640</v>
          </cell>
        </row>
        <row r="642">
          <cell r="A642" t="str">
            <v>DP641</v>
          </cell>
          <cell r="B642" t="str">
            <v>M641</v>
          </cell>
          <cell r="C642" t="str">
            <v>SH641</v>
          </cell>
          <cell r="D642" t="str">
            <v>G641</v>
          </cell>
        </row>
        <row r="643">
          <cell r="A643" t="str">
            <v>DP642</v>
          </cell>
          <cell r="B643" t="str">
            <v>M642</v>
          </cell>
          <cell r="C643" t="str">
            <v>SH642</v>
          </cell>
          <cell r="D643" t="str">
            <v>G642</v>
          </cell>
        </row>
        <row r="644">
          <cell r="A644" t="str">
            <v>DP643</v>
          </cell>
          <cell r="B644" t="str">
            <v>M643</v>
          </cell>
          <cell r="C644" t="str">
            <v>SH643</v>
          </cell>
          <cell r="D644" t="str">
            <v>G643</v>
          </cell>
        </row>
        <row r="645">
          <cell r="A645" t="str">
            <v>DP644</v>
          </cell>
          <cell r="B645" t="str">
            <v>M644</v>
          </cell>
          <cell r="C645" t="str">
            <v>SH644</v>
          </cell>
          <cell r="D645" t="str">
            <v>G644</v>
          </cell>
        </row>
        <row r="646">
          <cell r="A646" t="str">
            <v>DP645</v>
          </cell>
          <cell r="B646" t="str">
            <v>M645</v>
          </cell>
          <cell r="C646" t="str">
            <v>SH645</v>
          </cell>
          <cell r="D646" t="str">
            <v>G645</v>
          </cell>
        </row>
        <row r="647">
          <cell r="A647" t="str">
            <v>DP646</v>
          </cell>
          <cell r="B647" t="str">
            <v>M646</v>
          </cell>
          <cell r="C647" t="str">
            <v>SH646</v>
          </cell>
          <cell r="D647" t="str">
            <v>G646</v>
          </cell>
        </row>
        <row r="648">
          <cell r="A648" t="str">
            <v>DP647</v>
          </cell>
          <cell r="B648" t="str">
            <v>M647</v>
          </cell>
          <cell r="C648" t="str">
            <v>SH647</v>
          </cell>
          <cell r="D648" t="str">
            <v>G647</v>
          </cell>
        </row>
        <row r="649">
          <cell r="A649" t="str">
            <v>DP648</v>
          </cell>
          <cell r="B649" t="str">
            <v>M648</v>
          </cell>
          <cell r="C649" t="str">
            <v>SH648</v>
          </cell>
          <cell r="D649" t="str">
            <v>G648</v>
          </cell>
        </row>
        <row r="650">
          <cell r="A650" t="str">
            <v>DP649</v>
          </cell>
          <cell r="B650" t="str">
            <v>M649</v>
          </cell>
          <cell r="C650" t="str">
            <v>SH649</v>
          </cell>
          <cell r="D650" t="str">
            <v>G649</v>
          </cell>
        </row>
        <row r="651">
          <cell r="A651" t="str">
            <v>DP650</v>
          </cell>
          <cell r="B651" t="str">
            <v>M650</v>
          </cell>
          <cell r="C651" t="str">
            <v>SH650</v>
          </cell>
          <cell r="D651" t="str">
            <v>G650</v>
          </cell>
        </row>
        <row r="652">
          <cell r="A652" t="str">
            <v>DP651</v>
          </cell>
          <cell r="B652" t="str">
            <v>M651</v>
          </cell>
          <cell r="C652" t="str">
            <v>SH651</v>
          </cell>
          <cell r="D652" t="str">
            <v>G651</v>
          </cell>
        </row>
        <row r="653">
          <cell r="A653" t="str">
            <v>DP652</v>
          </cell>
          <cell r="B653" t="str">
            <v>M652</v>
          </cell>
          <cell r="C653" t="str">
            <v>SH652</v>
          </cell>
          <cell r="D653" t="str">
            <v>G652</v>
          </cell>
        </row>
        <row r="654">
          <cell r="A654" t="str">
            <v>DP653</v>
          </cell>
          <cell r="B654" t="str">
            <v>M653</v>
          </cell>
          <cell r="C654" t="str">
            <v>SH653</v>
          </cell>
          <cell r="D654" t="str">
            <v>G653</v>
          </cell>
        </row>
        <row r="655">
          <cell r="A655" t="str">
            <v>DP654</v>
          </cell>
          <cell r="B655" t="str">
            <v>M654</v>
          </cell>
          <cell r="C655" t="str">
            <v>SH654</v>
          </cell>
          <cell r="D655" t="str">
            <v>G654</v>
          </cell>
        </row>
        <row r="656">
          <cell r="A656" t="str">
            <v>DP655</v>
          </cell>
          <cell r="B656" t="str">
            <v>M655</v>
          </cell>
          <cell r="C656" t="str">
            <v>SH655</v>
          </cell>
          <cell r="D656" t="str">
            <v>G655</v>
          </cell>
        </row>
        <row r="657">
          <cell r="A657" t="str">
            <v>DP656</v>
          </cell>
          <cell r="B657" t="str">
            <v>M656</v>
          </cell>
          <cell r="C657" t="str">
            <v>SH656</v>
          </cell>
          <cell r="D657" t="str">
            <v>G656</v>
          </cell>
        </row>
        <row r="658">
          <cell r="A658" t="str">
            <v>DP657</v>
          </cell>
          <cell r="B658" t="str">
            <v>M657</v>
          </cell>
          <cell r="C658" t="str">
            <v>SH657</v>
          </cell>
          <cell r="D658" t="str">
            <v>G657</v>
          </cell>
        </row>
        <row r="659">
          <cell r="A659" t="str">
            <v>DP658</v>
          </cell>
          <cell r="B659" t="str">
            <v>M658</v>
          </cell>
          <cell r="C659" t="str">
            <v>SH658</v>
          </cell>
          <cell r="D659" t="str">
            <v>G658</v>
          </cell>
        </row>
        <row r="660">
          <cell r="A660" t="str">
            <v>DP659</v>
          </cell>
          <cell r="B660" t="str">
            <v>M659</v>
          </cell>
          <cell r="C660" t="str">
            <v>SH659</v>
          </cell>
          <cell r="D660" t="str">
            <v>G659</v>
          </cell>
        </row>
        <row r="661">
          <cell r="A661" t="str">
            <v>DP660</v>
          </cell>
          <cell r="B661" t="str">
            <v>M660</v>
          </cell>
          <cell r="C661" t="str">
            <v>SH660</v>
          </cell>
          <cell r="D661" t="str">
            <v>G660</v>
          </cell>
        </row>
        <row r="662">
          <cell r="A662" t="str">
            <v>DP661</v>
          </cell>
          <cell r="B662" t="str">
            <v>M661</v>
          </cell>
          <cell r="C662" t="str">
            <v>SH661</v>
          </cell>
          <cell r="D662" t="str">
            <v>G661</v>
          </cell>
        </row>
        <row r="663">
          <cell r="A663" t="str">
            <v>DP662</v>
          </cell>
          <cell r="B663" t="str">
            <v>M662</v>
          </cell>
          <cell r="C663" t="str">
            <v>SH662</v>
          </cell>
          <cell r="D663" t="str">
            <v>G662</v>
          </cell>
        </row>
        <row r="664">
          <cell r="A664" t="str">
            <v>DP663</v>
          </cell>
          <cell r="B664" t="str">
            <v>M663</v>
          </cell>
          <cell r="C664" t="str">
            <v>SH663</v>
          </cell>
          <cell r="D664" t="str">
            <v>G663</v>
          </cell>
        </row>
        <row r="665">
          <cell r="A665" t="str">
            <v>DP664</v>
          </cell>
          <cell r="B665" t="str">
            <v>M664</v>
          </cell>
          <cell r="C665" t="str">
            <v>SH664</v>
          </cell>
          <cell r="D665" t="str">
            <v>G664</v>
          </cell>
        </row>
        <row r="666">
          <cell r="A666" t="str">
            <v>DP665</v>
          </cell>
          <cell r="B666" t="str">
            <v>M665</v>
          </cell>
          <cell r="C666" t="str">
            <v>SH665</v>
          </cell>
          <cell r="D666" t="str">
            <v>G665</v>
          </cell>
        </row>
        <row r="667">
          <cell r="A667" t="str">
            <v>DP666</v>
          </cell>
          <cell r="B667" t="str">
            <v>M666</v>
          </cell>
          <cell r="C667" t="str">
            <v>SH666</v>
          </cell>
          <cell r="D667" t="str">
            <v>G666</v>
          </cell>
        </row>
        <row r="668">
          <cell r="A668" t="str">
            <v>DP667</v>
          </cell>
          <cell r="B668" t="str">
            <v>M667</v>
          </cell>
          <cell r="C668" t="str">
            <v>SH667</v>
          </cell>
          <cell r="D668" t="str">
            <v>G667</v>
          </cell>
        </row>
        <row r="669">
          <cell r="A669" t="str">
            <v>DP668</v>
          </cell>
          <cell r="B669" t="str">
            <v>M668</v>
          </cell>
          <cell r="C669" t="str">
            <v>SH668</v>
          </cell>
          <cell r="D669" t="str">
            <v>G668</v>
          </cell>
        </row>
        <row r="670">
          <cell r="A670" t="str">
            <v>DP669</v>
          </cell>
          <cell r="B670" t="str">
            <v>M669</v>
          </cell>
          <cell r="C670" t="str">
            <v>SH669</v>
          </cell>
          <cell r="D670" t="str">
            <v>G669</v>
          </cell>
        </row>
        <row r="671">
          <cell r="A671" t="str">
            <v>DP670</v>
          </cell>
          <cell r="B671" t="str">
            <v>M670</v>
          </cell>
          <cell r="C671" t="str">
            <v>SH670</v>
          </cell>
          <cell r="D671" t="str">
            <v>G670</v>
          </cell>
        </row>
        <row r="672">
          <cell r="A672" t="str">
            <v>DP671</v>
          </cell>
          <cell r="B672" t="str">
            <v>M671</v>
          </cell>
          <cell r="C672" t="str">
            <v>SH671</v>
          </cell>
          <cell r="D672" t="str">
            <v>G671</v>
          </cell>
        </row>
        <row r="673">
          <cell r="A673" t="str">
            <v>DP672</v>
          </cell>
          <cell r="B673" t="str">
            <v>M672</v>
          </cell>
          <cell r="C673" t="str">
            <v>SH672</v>
          </cell>
          <cell r="D673" t="str">
            <v>G672</v>
          </cell>
        </row>
        <row r="674">
          <cell r="A674" t="str">
            <v>DP673</v>
          </cell>
          <cell r="B674" t="str">
            <v>M673</v>
          </cell>
          <cell r="C674" t="str">
            <v>SH673</v>
          </cell>
          <cell r="D674" t="str">
            <v>G673</v>
          </cell>
        </row>
        <row r="675">
          <cell r="A675" t="str">
            <v>DP674</v>
          </cell>
          <cell r="B675" t="str">
            <v>M674</v>
          </cell>
          <cell r="C675" t="str">
            <v>SH674</v>
          </cell>
          <cell r="D675" t="str">
            <v>G674</v>
          </cell>
        </row>
        <row r="676">
          <cell r="A676" t="str">
            <v>DP675</v>
          </cell>
          <cell r="B676" t="str">
            <v>M675</v>
          </cell>
          <cell r="C676" t="str">
            <v>SH675</v>
          </cell>
          <cell r="D676" t="str">
            <v>G675</v>
          </cell>
        </row>
        <row r="677">
          <cell r="A677" t="str">
            <v>DP676</v>
          </cell>
          <cell r="B677" t="str">
            <v>M676</v>
          </cell>
          <cell r="C677" t="str">
            <v>SH676</v>
          </cell>
          <cell r="D677" t="str">
            <v>G676</v>
          </cell>
        </row>
        <row r="678">
          <cell r="A678" t="str">
            <v>DP677</v>
          </cell>
          <cell r="B678" t="str">
            <v>M677</v>
          </cell>
          <cell r="C678" t="str">
            <v>SH677</v>
          </cell>
          <cell r="D678" t="str">
            <v>G677</v>
          </cell>
        </row>
        <row r="679">
          <cell r="A679" t="str">
            <v>DP678</v>
          </cell>
          <cell r="B679" t="str">
            <v>M678</v>
          </cell>
          <cell r="C679" t="str">
            <v>SH678</v>
          </cell>
          <cell r="D679" t="str">
            <v>G678</v>
          </cell>
        </row>
        <row r="680">
          <cell r="A680" t="str">
            <v>DP679</v>
          </cell>
          <cell r="B680" t="str">
            <v>M679</v>
          </cell>
          <cell r="C680" t="str">
            <v>SH679</v>
          </cell>
          <cell r="D680" t="str">
            <v>G679</v>
          </cell>
        </row>
        <row r="681">
          <cell r="A681" t="str">
            <v>DP680</v>
          </cell>
          <cell r="B681" t="str">
            <v>M680</v>
          </cell>
          <cell r="C681" t="str">
            <v>SH680</v>
          </cell>
          <cell r="D681" t="str">
            <v>G680</v>
          </cell>
        </row>
        <row r="682">
          <cell r="A682" t="str">
            <v>DP681</v>
          </cell>
          <cell r="B682" t="str">
            <v>M681</v>
          </cell>
          <cell r="C682" t="str">
            <v>SH681</v>
          </cell>
          <cell r="D682" t="str">
            <v>G681</v>
          </cell>
        </row>
        <row r="683">
          <cell r="A683" t="str">
            <v>DP682</v>
          </cell>
          <cell r="B683" t="str">
            <v>M682</v>
          </cell>
          <cell r="C683" t="str">
            <v>SH682</v>
          </cell>
          <cell r="D683" t="str">
            <v>G682</v>
          </cell>
        </row>
        <row r="684">
          <cell r="A684" t="str">
            <v>DP683</v>
          </cell>
          <cell r="B684" t="str">
            <v>M683</v>
          </cell>
          <cell r="C684" t="str">
            <v>SH683</v>
          </cell>
          <cell r="D684" t="str">
            <v>G683</v>
          </cell>
        </row>
        <row r="685">
          <cell r="A685" t="str">
            <v>DP684</v>
          </cell>
          <cell r="B685" t="str">
            <v>M684</v>
          </cell>
          <cell r="C685" t="str">
            <v>SH684</v>
          </cell>
          <cell r="D685" t="str">
            <v>G684</v>
          </cell>
        </row>
        <row r="686">
          <cell r="A686" t="str">
            <v>DP685</v>
          </cell>
          <cell r="B686" t="str">
            <v>M685</v>
          </cell>
          <cell r="C686" t="str">
            <v>SH685</v>
          </cell>
          <cell r="D686" t="str">
            <v>G685</v>
          </cell>
        </row>
        <row r="687">
          <cell r="A687" t="str">
            <v>DP686</v>
          </cell>
          <cell r="B687" t="str">
            <v>M686</v>
          </cell>
          <cell r="C687" t="str">
            <v>SH686</v>
          </cell>
          <cell r="D687" t="str">
            <v>G686</v>
          </cell>
        </row>
        <row r="688">
          <cell r="A688" t="str">
            <v>DP687</v>
          </cell>
          <cell r="B688" t="str">
            <v>M687</v>
          </cell>
          <cell r="C688" t="str">
            <v>SH687</v>
          </cell>
          <cell r="D688" t="str">
            <v>G687</v>
          </cell>
        </row>
        <row r="689">
          <cell r="A689" t="str">
            <v>DP688</v>
          </cell>
          <cell r="B689" t="str">
            <v>M688</v>
          </cell>
          <cell r="C689" t="str">
            <v>SH688</v>
          </cell>
          <cell r="D689" t="str">
            <v>G688</v>
          </cell>
        </row>
        <row r="690">
          <cell r="A690" t="str">
            <v>DP689</v>
          </cell>
          <cell r="B690" t="str">
            <v>M689</v>
          </cell>
          <cell r="C690" t="str">
            <v>SH689</v>
          </cell>
          <cell r="D690" t="str">
            <v>G689</v>
          </cell>
        </row>
        <row r="691">
          <cell r="A691" t="str">
            <v>DP690</v>
          </cell>
          <cell r="B691" t="str">
            <v>M690</v>
          </cell>
          <cell r="C691" t="str">
            <v>SH690</v>
          </cell>
          <cell r="D691" t="str">
            <v>G690</v>
          </cell>
        </row>
        <row r="692">
          <cell r="A692" t="str">
            <v>DP691</v>
          </cell>
          <cell r="B692" t="str">
            <v>M691</v>
          </cell>
          <cell r="C692" t="str">
            <v>SH691</v>
          </cell>
          <cell r="D692" t="str">
            <v>G691</v>
          </cell>
        </row>
        <row r="693">
          <cell r="A693" t="str">
            <v>DP692</v>
          </cell>
          <cell r="B693" t="str">
            <v>M692</v>
          </cell>
          <cell r="C693" t="str">
            <v>SH692</v>
          </cell>
          <cell r="D693" t="str">
            <v>G692</v>
          </cell>
        </row>
        <row r="694">
          <cell r="A694" t="str">
            <v>DP693</v>
          </cell>
          <cell r="B694" t="str">
            <v>M693</v>
          </cell>
          <cell r="C694" t="str">
            <v>SH693</v>
          </cell>
          <cell r="D694" t="str">
            <v>G693</v>
          </cell>
        </row>
        <row r="695">
          <cell r="A695" t="str">
            <v>DP694</v>
          </cell>
          <cell r="B695" t="str">
            <v>M694</v>
          </cell>
          <cell r="C695" t="str">
            <v>SH694</v>
          </cell>
          <cell r="D695" t="str">
            <v>G694</v>
          </cell>
        </row>
        <row r="696">
          <cell r="A696" t="str">
            <v>DP695</v>
          </cell>
          <cell r="B696" t="str">
            <v>M695</v>
          </cell>
          <cell r="C696" t="str">
            <v>SH695</v>
          </cell>
          <cell r="D696" t="str">
            <v>G695</v>
          </cell>
        </row>
        <row r="697">
          <cell r="A697" t="str">
            <v>DP696</v>
          </cell>
          <cell r="B697" t="str">
            <v>M696</v>
          </cell>
          <cell r="C697" t="str">
            <v>SH696</v>
          </cell>
          <cell r="D697" t="str">
            <v>G696</v>
          </cell>
        </row>
        <row r="698">
          <cell r="A698" t="str">
            <v>DP697</v>
          </cell>
          <cell r="B698" t="str">
            <v>M697</v>
          </cell>
          <cell r="C698" t="str">
            <v>SH697</v>
          </cell>
          <cell r="D698" t="str">
            <v>G697</v>
          </cell>
        </row>
        <row r="699">
          <cell r="A699" t="str">
            <v>DP698</v>
          </cell>
          <cell r="B699" t="str">
            <v>M698</v>
          </cell>
          <cell r="C699" t="str">
            <v>SH698</v>
          </cell>
          <cell r="D699" t="str">
            <v>G698</v>
          </cell>
        </row>
        <row r="700">
          <cell r="A700" t="str">
            <v>DP699</v>
          </cell>
          <cell r="B700" t="str">
            <v>M699</v>
          </cell>
          <cell r="C700" t="str">
            <v>SH699</v>
          </cell>
          <cell r="D700" t="str">
            <v>G699</v>
          </cell>
        </row>
        <row r="701">
          <cell r="A701" t="str">
            <v>DP700</v>
          </cell>
          <cell r="B701" t="str">
            <v>M700</v>
          </cell>
          <cell r="C701" t="str">
            <v>SH700</v>
          </cell>
          <cell r="D701" t="str">
            <v>G700</v>
          </cell>
        </row>
        <row r="702">
          <cell r="A702" t="str">
            <v>DP701</v>
          </cell>
          <cell r="B702" t="str">
            <v>M701</v>
          </cell>
          <cell r="C702" t="str">
            <v>SH701</v>
          </cell>
          <cell r="D702" t="str">
            <v>G701</v>
          </cell>
        </row>
        <row r="703">
          <cell r="A703" t="str">
            <v>DP702</v>
          </cell>
          <cell r="B703" t="str">
            <v>M702</v>
          </cell>
          <cell r="C703" t="str">
            <v>SH702</v>
          </cell>
          <cell r="D703" t="str">
            <v>G702</v>
          </cell>
        </row>
        <row r="704">
          <cell r="A704" t="str">
            <v>DP703</v>
          </cell>
          <cell r="B704" t="str">
            <v>M703</v>
          </cell>
          <cell r="C704" t="str">
            <v>SH703</v>
          </cell>
          <cell r="D704" t="str">
            <v>G703</v>
          </cell>
        </row>
        <row r="705">
          <cell r="A705" t="str">
            <v>DP704</v>
          </cell>
          <cell r="B705" t="str">
            <v>M704</v>
          </cell>
          <cell r="C705" t="str">
            <v>SH704</v>
          </cell>
          <cell r="D705" t="str">
            <v>G704</v>
          </cell>
        </row>
        <row r="706">
          <cell r="A706" t="str">
            <v>DP705</v>
          </cell>
          <cell r="B706" t="str">
            <v>M705</v>
          </cell>
          <cell r="C706" t="str">
            <v>SH705</v>
          </cell>
          <cell r="D706" t="str">
            <v>G705</v>
          </cell>
        </row>
        <row r="707">
          <cell r="A707" t="str">
            <v>DP706</v>
          </cell>
          <cell r="B707" t="str">
            <v>M706</v>
          </cell>
          <cell r="C707" t="str">
            <v>SH706</v>
          </cell>
          <cell r="D707" t="str">
            <v>G706</v>
          </cell>
        </row>
        <row r="708">
          <cell r="A708" t="str">
            <v>DP707</v>
          </cell>
          <cell r="B708" t="str">
            <v>M707</v>
          </cell>
          <cell r="C708" t="str">
            <v>SH707</v>
          </cell>
          <cell r="D708" t="str">
            <v>G707</v>
          </cell>
        </row>
        <row r="709">
          <cell r="A709" t="str">
            <v>DP708</v>
          </cell>
          <cell r="B709" t="str">
            <v>M708</v>
          </cell>
          <cell r="C709" t="str">
            <v>SH708</v>
          </cell>
          <cell r="D709" t="str">
            <v>G708</v>
          </cell>
        </row>
        <row r="710">
          <cell r="A710" t="str">
            <v>DP709</v>
          </cell>
          <cell r="B710" t="str">
            <v>M709</v>
          </cell>
          <cell r="C710" t="str">
            <v>SH709</v>
          </cell>
          <cell r="D710" t="str">
            <v>G709</v>
          </cell>
        </row>
        <row r="711">
          <cell r="A711" t="str">
            <v>DP710</v>
          </cell>
          <cell r="B711" t="str">
            <v>M710</v>
          </cell>
          <cell r="C711" t="str">
            <v>SH710</v>
          </cell>
          <cell r="D711" t="str">
            <v>G710</v>
          </cell>
        </row>
        <row r="712">
          <cell r="A712" t="str">
            <v>DP711</v>
          </cell>
          <cell r="B712" t="str">
            <v>M711</v>
          </cell>
          <cell r="C712" t="str">
            <v>SH711</v>
          </cell>
          <cell r="D712" t="str">
            <v>G711</v>
          </cell>
        </row>
        <row r="713">
          <cell r="A713" t="str">
            <v>DP712</v>
          </cell>
          <cell r="B713" t="str">
            <v>M712</v>
          </cell>
          <cell r="C713" t="str">
            <v>SH712</v>
          </cell>
          <cell r="D713" t="str">
            <v>G712</v>
          </cell>
        </row>
        <row r="714">
          <cell r="A714" t="str">
            <v>DP713</v>
          </cell>
          <cell r="B714" t="str">
            <v>M713</v>
          </cell>
          <cell r="C714" t="str">
            <v>SH713</v>
          </cell>
          <cell r="D714" t="str">
            <v>G713</v>
          </cell>
        </row>
        <row r="715">
          <cell r="A715" t="str">
            <v>DP714</v>
          </cell>
          <cell r="B715" t="str">
            <v>M714</v>
          </cell>
          <cell r="C715" t="str">
            <v>SH714</v>
          </cell>
          <cell r="D715" t="str">
            <v>G714</v>
          </cell>
        </row>
        <row r="716">
          <cell r="A716" t="str">
            <v>DP715</v>
          </cell>
          <cell r="B716" t="str">
            <v>M715</v>
          </cell>
          <cell r="C716" t="str">
            <v>SH715</v>
          </cell>
          <cell r="D716" t="str">
            <v>G715</v>
          </cell>
        </row>
        <row r="717">
          <cell r="A717" t="str">
            <v>DP716</v>
          </cell>
          <cell r="B717" t="str">
            <v>M716</v>
          </cell>
          <cell r="C717" t="str">
            <v>SH716</v>
          </cell>
          <cell r="D717" t="str">
            <v>G716</v>
          </cell>
        </row>
        <row r="718">
          <cell r="A718" t="str">
            <v>DP717</v>
          </cell>
          <cell r="B718" t="str">
            <v>M717</v>
          </cell>
          <cell r="C718" t="str">
            <v>SH717</v>
          </cell>
          <cell r="D718" t="str">
            <v>G717</v>
          </cell>
        </row>
        <row r="719">
          <cell r="A719" t="str">
            <v>DP718</v>
          </cell>
          <cell r="B719" t="str">
            <v>M718</v>
          </cell>
          <cell r="C719" t="str">
            <v>SH718</v>
          </cell>
          <cell r="D719" t="str">
            <v>G718</v>
          </cell>
        </row>
        <row r="720">
          <cell r="A720" t="str">
            <v>DP719</v>
          </cell>
          <cell r="B720" t="str">
            <v>M719</v>
          </cell>
          <cell r="C720" t="str">
            <v>SH719</v>
          </cell>
          <cell r="D720" t="str">
            <v>G719</v>
          </cell>
        </row>
        <row r="721">
          <cell r="A721" t="str">
            <v>DP720</v>
          </cell>
          <cell r="B721" t="str">
            <v>M720</v>
          </cell>
          <cell r="C721" t="str">
            <v>SH720</v>
          </cell>
          <cell r="D721" t="str">
            <v>G720</v>
          </cell>
        </row>
        <row r="722">
          <cell r="A722" t="str">
            <v>DP721</v>
          </cell>
          <cell r="B722" t="str">
            <v>M721</v>
          </cell>
          <cell r="C722" t="str">
            <v>SH721</v>
          </cell>
          <cell r="D722" t="str">
            <v>G721</v>
          </cell>
        </row>
        <row r="723">
          <cell r="A723" t="str">
            <v>DP722</v>
          </cell>
          <cell r="B723" t="str">
            <v>M722</v>
          </cell>
          <cell r="C723" t="str">
            <v>SH722</v>
          </cell>
          <cell r="D723" t="str">
            <v>G722</v>
          </cell>
        </row>
        <row r="724">
          <cell r="A724" t="str">
            <v>DP723</v>
          </cell>
          <cell r="B724" t="str">
            <v>M723</v>
          </cell>
          <cell r="C724" t="str">
            <v>SH723</v>
          </cell>
          <cell r="D724" t="str">
            <v>G723</v>
          </cell>
        </row>
        <row r="725">
          <cell r="A725" t="str">
            <v>DP724</v>
          </cell>
          <cell r="B725" t="str">
            <v>M724</v>
          </cell>
          <cell r="C725" t="str">
            <v>SH724</v>
          </cell>
          <cell r="D725" t="str">
            <v>G724</v>
          </cell>
        </row>
        <row r="726">
          <cell r="A726" t="str">
            <v>DP725</v>
          </cell>
          <cell r="B726" t="str">
            <v>M725</v>
          </cell>
          <cell r="C726" t="str">
            <v>SH725</v>
          </cell>
          <cell r="D726" t="str">
            <v>G725</v>
          </cell>
        </row>
        <row r="727">
          <cell r="A727" t="str">
            <v>DP726</v>
          </cell>
          <cell r="B727" t="str">
            <v>M726</v>
          </cell>
          <cell r="C727" t="str">
            <v>SH726</v>
          </cell>
          <cell r="D727" t="str">
            <v>G726</v>
          </cell>
        </row>
        <row r="728">
          <cell r="A728" t="str">
            <v>DP727</v>
          </cell>
          <cell r="B728" t="str">
            <v>M727</v>
          </cell>
          <cell r="C728" t="str">
            <v>SH727</v>
          </cell>
          <cell r="D728" t="str">
            <v>G727</v>
          </cell>
        </row>
        <row r="729">
          <cell r="A729" t="str">
            <v>DP728</v>
          </cell>
          <cell r="B729" t="str">
            <v>M728</v>
          </cell>
          <cell r="C729" t="str">
            <v>SH728</v>
          </cell>
          <cell r="D729" t="str">
            <v>G728</v>
          </cell>
        </row>
        <row r="730">
          <cell r="A730" t="str">
            <v>DP729</v>
          </cell>
          <cell r="B730" t="str">
            <v>M729</v>
          </cell>
          <cell r="C730" t="str">
            <v>SH729</v>
          </cell>
          <cell r="D730" t="str">
            <v>G729</v>
          </cell>
        </row>
        <row r="731">
          <cell r="A731" t="str">
            <v>DP730</v>
          </cell>
          <cell r="B731" t="str">
            <v>M730</v>
          </cell>
          <cell r="C731" t="str">
            <v>SH730</v>
          </cell>
          <cell r="D731" t="str">
            <v>G730</v>
          </cell>
        </row>
        <row r="732">
          <cell r="A732" t="str">
            <v>DP731</v>
          </cell>
          <cell r="B732" t="str">
            <v>M731</v>
          </cell>
          <cell r="C732" t="str">
            <v>SH731</v>
          </cell>
          <cell r="D732" t="str">
            <v>G731</v>
          </cell>
        </row>
        <row r="733">
          <cell r="A733" t="str">
            <v>DP732</v>
          </cell>
          <cell r="B733" t="str">
            <v>M732</v>
          </cell>
          <cell r="C733" t="str">
            <v>SH732</v>
          </cell>
          <cell r="D733" t="str">
            <v>G732</v>
          </cell>
        </row>
        <row r="734">
          <cell r="A734" t="str">
            <v>DP733</v>
          </cell>
          <cell r="B734" t="str">
            <v>M733</v>
          </cell>
          <cell r="C734" t="str">
            <v>SH733</v>
          </cell>
          <cell r="D734" t="str">
            <v>G733</v>
          </cell>
        </row>
        <row r="735">
          <cell r="A735" t="str">
            <v>DP734</v>
          </cell>
          <cell r="B735" t="str">
            <v>M734</v>
          </cell>
          <cell r="C735" t="str">
            <v>SH734</v>
          </cell>
          <cell r="D735" t="str">
            <v>G734</v>
          </cell>
        </row>
        <row r="736">
          <cell r="A736" t="str">
            <v>DP735</v>
          </cell>
          <cell r="B736" t="str">
            <v>M735</v>
          </cell>
          <cell r="C736" t="str">
            <v>SH735</v>
          </cell>
          <cell r="D736" t="str">
            <v>G735</v>
          </cell>
        </row>
        <row r="737">
          <cell r="A737" t="str">
            <v>DP736</v>
          </cell>
          <cell r="B737" t="str">
            <v>M736</v>
          </cell>
          <cell r="C737" t="str">
            <v>SH736</v>
          </cell>
          <cell r="D737" t="str">
            <v>G736</v>
          </cell>
        </row>
        <row r="738">
          <cell r="A738" t="str">
            <v>DP737</v>
          </cell>
          <cell r="B738" t="str">
            <v>M737</v>
          </cell>
          <cell r="C738" t="str">
            <v>SH737</v>
          </cell>
          <cell r="D738" t="str">
            <v>G737</v>
          </cell>
        </row>
        <row r="739">
          <cell r="A739" t="str">
            <v>DP738</v>
          </cell>
          <cell r="B739" t="str">
            <v>M738</v>
          </cell>
          <cell r="C739" t="str">
            <v>SH738</v>
          </cell>
          <cell r="D739" t="str">
            <v>G738</v>
          </cell>
        </row>
        <row r="740">
          <cell r="A740" t="str">
            <v>DP739</v>
          </cell>
          <cell r="B740" t="str">
            <v>M739</v>
          </cell>
          <cell r="C740" t="str">
            <v>SH739</v>
          </cell>
          <cell r="D740" t="str">
            <v>G739</v>
          </cell>
        </row>
        <row r="741">
          <cell r="A741" t="str">
            <v>DP740</v>
          </cell>
          <cell r="B741" t="str">
            <v>M740</v>
          </cell>
          <cell r="C741" t="str">
            <v>SH740</v>
          </cell>
          <cell r="D741" t="str">
            <v>G740</v>
          </cell>
        </row>
        <row r="742">
          <cell r="A742" t="str">
            <v>DP741</v>
          </cell>
          <cell r="B742" t="str">
            <v>M741</v>
          </cell>
          <cell r="C742" t="str">
            <v>SH741</v>
          </cell>
          <cell r="D742" t="str">
            <v>G741</v>
          </cell>
        </row>
        <row r="743">
          <cell r="A743" t="str">
            <v>DP742</v>
          </cell>
          <cell r="B743" t="str">
            <v>M742</v>
          </cell>
          <cell r="C743" t="str">
            <v>SH742</v>
          </cell>
          <cell r="D743" t="str">
            <v>G742</v>
          </cell>
        </row>
        <row r="744">
          <cell r="A744" t="str">
            <v>DP743</v>
          </cell>
          <cell r="B744" t="str">
            <v>M743</v>
          </cell>
          <cell r="C744" t="str">
            <v>SH743</v>
          </cell>
          <cell r="D744" t="str">
            <v>G743</v>
          </cell>
        </row>
        <row r="745">
          <cell r="A745" t="str">
            <v>DP744</v>
          </cell>
          <cell r="B745" t="str">
            <v>M744</v>
          </cell>
          <cell r="C745" t="str">
            <v>SH744</v>
          </cell>
          <cell r="D745" t="str">
            <v>G744</v>
          </cell>
        </row>
        <row r="746">
          <cell r="A746" t="str">
            <v>DP745</v>
          </cell>
          <cell r="B746" t="str">
            <v>M745</v>
          </cell>
          <cell r="C746" t="str">
            <v>SH745</v>
          </cell>
          <cell r="D746" t="str">
            <v>G745</v>
          </cell>
        </row>
        <row r="747">
          <cell r="A747" t="str">
            <v>DP746</v>
          </cell>
          <cell r="B747" t="str">
            <v>M746</v>
          </cell>
          <cell r="C747" t="str">
            <v>SH746</v>
          </cell>
          <cell r="D747" t="str">
            <v>G746</v>
          </cell>
        </row>
        <row r="748">
          <cell r="A748" t="str">
            <v>DP747</v>
          </cell>
          <cell r="B748" t="str">
            <v>M747</v>
          </cell>
          <cell r="C748" t="str">
            <v>SH747</v>
          </cell>
          <cell r="D748" t="str">
            <v>G747</v>
          </cell>
        </row>
        <row r="749">
          <cell r="A749" t="str">
            <v>DP748</v>
          </cell>
          <cell r="B749" t="str">
            <v>M748</v>
          </cell>
          <cell r="C749" t="str">
            <v>SH748</v>
          </cell>
          <cell r="D749" t="str">
            <v>G748</v>
          </cell>
        </row>
        <row r="750">
          <cell r="A750" t="str">
            <v>DP749</v>
          </cell>
          <cell r="B750" t="str">
            <v>M749</v>
          </cell>
          <cell r="C750" t="str">
            <v>SH749</v>
          </cell>
          <cell r="D750" t="str">
            <v>G749</v>
          </cell>
        </row>
        <row r="751">
          <cell r="A751" t="str">
            <v>DP750</v>
          </cell>
          <cell r="B751" t="str">
            <v>M750</v>
          </cell>
          <cell r="C751" t="str">
            <v>SH750</v>
          </cell>
          <cell r="D751" t="str">
            <v>G750</v>
          </cell>
        </row>
        <row r="752">
          <cell r="A752" t="str">
            <v>DP751</v>
          </cell>
          <cell r="B752" t="str">
            <v>M751</v>
          </cell>
          <cell r="C752" t="str">
            <v>SH751</v>
          </cell>
          <cell r="D752" t="str">
            <v>G751</v>
          </cell>
        </row>
        <row r="753">
          <cell r="A753" t="str">
            <v>DP752</v>
          </cell>
          <cell r="B753" t="str">
            <v>M752</v>
          </cell>
          <cell r="C753" t="str">
            <v>SH752</v>
          </cell>
          <cell r="D753" t="str">
            <v>G752</v>
          </cell>
        </row>
        <row r="754">
          <cell r="A754" t="str">
            <v>DP753</v>
          </cell>
          <cell r="B754" t="str">
            <v>M753</v>
          </cell>
          <cell r="C754" t="str">
            <v>SH753</v>
          </cell>
          <cell r="D754" t="str">
            <v>G753</v>
          </cell>
        </row>
        <row r="755">
          <cell r="A755" t="str">
            <v>DP754</v>
          </cell>
          <cell r="B755" t="str">
            <v>M754</v>
          </cell>
          <cell r="C755" t="str">
            <v>SH754</v>
          </cell>
          <cell r="D755" t="str">
            <v>G754</v>
          </cell>
        </row>
        <row r="756">
          <cell r="A756" t="str">
            <v>DP755</v>
          </cell>
          <cell r="B756" t="str">
            <v>M755</v>
          </cell>
          <cell r="C756" t="str">
            <v>SH755</v>
          </cell>
          <cell r="D756" t="str">
            <v>G755</v>
          </cell>
        </row>
        <row r="757">
          <cell r="A757" t="str">
            <v>DP756</v>
          </cell>
          <cell r="B757" t="str">
            <v>M756</v>
          </cell>
          <cell r="C757" t="str">
            <v>SH756</v>
          </cell>
          <cell r="D757" t="str">
            <v>G756</v>
          </cell>
        </row>
        <row r="758">
          <cell r="A758" t="str">
            <v>DP757</v>
          </cell>
          <cell r="B758" t="str">
            <v>M757</v>
          </cell>
          <cell r="C758" t="str">
            <v>SH757</v>
          </cell>
          <cell r="D758" t="str">
            <v>G757</v>
          </cell>
        </row>
        <row r="759">
          <cell r="A759" t="str">
            <v>DP758</v>
          </cell>
          <cell r="B759" t="str">
            <v>M758</v>
          </cell>
          <cell r="C759" t="str">
            <v>SH758</v>
          </cell>
          <cell r="D759" t="str">
            <v>G758</v>
          </cell>
        </row>
        <row r="760">
          <cell r="A760" t="str">
            <v>DP759</v>
          </cell>
          <cell r="B760" t="str">
            <v>M759</v>
          </cell>
          <cell r="C760" t="str">
            <v>SH759</v>
          </cell>
          <cell r="D760" t="str">
            <v>G759</v>
          </cell>
        </row>
        <row r="761">
          <cell r="A761" t="str">
            <v>DP760</v>
          </cell>
          <cell r="B761" t="str">
            <v>M760</v>
          </cell>
          <cell r="C761" t="str">
            <v>SH760</v>
          </cell>
          <cell r="D761" t="str">
            <v>G760</v>
          </cell>
        </row>
        <row r="762">
          <cell r="A762" t="str">
            <v>DP761</v>
          </cell>
          <cell r="B762" t="str">
            <v>M761</v>
          </cell>
          <cell r="C762" t="str">
            <v>SH761</v>
          </cell>
          <cell r="D762" t="str">
            <v>G761</v>
          </cell>
        </row>
        <row r="763">
          <cell r="A763" t="str">
            <v>DP762</v>
          </cell>
          <cell r="B763" t="str">
            <v>M762</v>
          </cell>
          <cell r="C763" t="str">
            <v>SH762</v>
          </cell>
          <cell r="D763" t="str">
            <v>G762</v>
          </cell>
        </row>
        <row r="764">
          <cell r="A764" t="str">
            <v>DP763</v>
          </cell>
          <cell r="B764" t="str">
            <v>M763</v>
          </cell>
          <cell r="C764" t="str">
            <v>SH763</v>
          </cell>
          <cell r="D764" t="str">
            <v>G763</v>
          </cell>
        </row>
        <row r="765">
          <cell r="A765" t="str">
            <v>DP764</v>
          </cell>
          <cell r="B765" t="str">
            <v>M764</v>
          </cell>
          <cell r="C765" t="str">
            <v>SH764</v>
          </cell>
          <cell r="D765" t="str">
            <v>G764</v>
          </cell>
        </row>
        <row r="766">
          <cell r="A766" t="str">
            <v>DP765</v>
          </cell>
          <cell r="B766" t="str">
            <v>M765</v>
          </cell>
          <cell r="C766" t="str">
            <v>SH765</v>
          </cell>
          <cell r="D766" t="str">
            <v>G765</v>
          </cell>
        </row>
        <row r="767">
          <cell r="A767" t="str">
            <v>DP766</v>
          </cell>
          <cell r="B767" t="str">
            <v>M766</v>
          </cell>
          <cell r="C767" t="str">
            <v>SH766</v>
          </cell>
          <cell r="D767" t="str">
            <v>G766</v>
          </cell>
        </row>
        <row r="768">
          <cell r="A768" t="str">
            <v>DP767</v>
          </cell>
          <cell r="B768" t="str">
            <v>M767</v>
          </cell>
          <cell r="C768" t="str">
            <v>SH767</v>
          </cell>
          <cell r="D768" t="str">
            <v>G767</v>
          </cell>
        </row>
        <row r="769">
          <cell r="A769" t="str">
            <v>DP768</v>
          </cell>
          <cell r="B769" t="str">
            <v>M768</v>
          </cell>
          <cell r="C769" t="str">
            <v>SH768</v>
          </cell>
          <cell r="D769" t="str">
            <v>G768</v>
          </cell>
        </row>
        <row r="770">
          <cell r="A770" t="str">
            <v>DP769</v>
          </cell>
          <cell r="B770" t="str">
            <v>M769</v>
          </cell>
          <cell r="C770" t="str">
            <v>SH769</v>
          </cell>
          <cell r="D770" t="str">
            <v>G769</v>
          </cell>
        </row>
        <row r="771">
          <cell r="A771" t="str">
            <v>DP770</v>
          </cell>
          <cell r="B771" t="str">
            <v>M770</v>
          </cell>
          <cell r="C771" t="str">
            <v>SH770</v>
          </cell>
          <cell r="D771" t="str">
            <v>G770</v>
          </cell>
        </row>
        <row r="772">
          <cell r="A772" t="str">
            <v>DP771</v>
          </cell>
          <cell r="B772" t="str">
            <v>M771</v>
          </cell>
          <cell r="C772" t="str">
            <v>SH771</v>
          </cell>
          <cell r="D772" t="str">
            <v>G771</v>
          </cell>
        </row>
        <row r="773">
          <cell r="A773" t="str">
            <v>DP772</v>
          </cell>
          <cell r="B773" t="str">
            <v>M772</v>
          </cell>
          <cell r="C773" t="str">
            <v>SH772</v>
          </cell>
          <cell r="D773" t="str">
            <v>G772</v>
          </cell>
        </row>
        <row r="774">
          <cell r="A774" t="str">
            <v>DP773</v>
          </cell>
          <cell r="B774" t="str">
            <v>M773</v>
          </cell>
          <cell r="C774" t="str">
            <v>SH773</v>
          </cell>
          <cell r="D774" t="str">
            <v>G773</v>
          </cell>
        </row>
        <row r="775">
          <cell r="A775" t="str">
            <v>DP774</v>
          </cell>
          <cell r="B775" t="str">
            <v>M774</v>
          </cell>
          <cell r="C775" t="str">
            <v>SH774</v>
          </cell>
          <cell r="D775" t="str">
            <v>G774</v>
          </cell>
        </row>
        <row r="776">
          <cell r="A776" t="str">
            <v>DP775</v>
          </cell>
          <cell r="B776" t="str">
            <v>M775</v>
          </cell>
          <cell r="C776" t="str">
            <v>SH775</v>
          </cell>
          <cell r="D776" t="str">
            <v>G775</v>
          </cell>
        </row>
        <row r="777">
          <cell r="A777" t="str">
            <v>DP776</v>
          </cell>
          <cell r="B777" t="str">
            <v>M776</v>
          </cell>
          <cell r="C777" t="str">
            <v>SH776</v>
          </cell>
          <cell r="D777" t="str">
            <v>G776</v>
          </cell>
        </row>
        <row r="778">
          <cell r="A778" t="str">
            <v>DP777</v>
          </cell>
          <cell r="B778" t="str">
            <v>M777</v>
          </cell>
          <cell r="C778" t="str">
            <v>SH777</v>
          </cell>
          <cell r="D778" t="str">
            <v>G777</v>
          </cell>
        </row>
        <row r="779">
          <cell r="A779" t="str">
            <v>DP778</v>
          </cell>
          <cell r="B779" t="str">
            <v>M778</v>
          </cell>
          <cell r="C779" t="str">
            <v>SH778</v>
          </cell>
          <cell r="D779" t="str">
            <v>G778</v>
          </cell>
        </row>
        <row r="780">
          <cell r="A780" t="str">
            <v>DP779</v>
          </cell>
          <cell r="B780" t="str">
            <v>M779</v>
          </cell>
          <cell r="C780" t="str">
            <v>SH779</v>
          </cell>
          <cell r="D780" t="str">
            <v>G779</v>
          </cell>
        </row>
        <row r="781">
          <cell r="A781" t="str">
            <v>DP780</v>
          </cell>
          <cell r="B781" t="str">
            <v>M780</v>
          </cell>
          <cell r="C781" t="str">
            <v>SH780</v>
          </cell>
          <cell r="D781" t="str">
            <v>G780</v>
          </cell>
        </row>
        <row r="782">
          <cell r="A782" t="str">
            <v>DP781</v>
          </cell>
          <cell r="B782" t="str">
            <v>M781</v>
          </cell>
          <cell r="C782" t="str">
            <v>SH781</v>
          </cell>
          <cell r="D782" t="str">
            <v>G781</v>
          </cell>
        </row>
        <row r="783">
          <cell r="A783" t="str">
            <v>DP782</v>
          </cell>
          <cell r="B783" t="str">
            <v>M782</v>
          </cell>
          <cell r="C783" t="str">
            <v>SH782</v>
          </cell>
          <cell r="D783" t="str">
            <v>G782</v>
          </cell>
        </row>
        <row r="784">
          <cell r="A784" t="str">
            <v>DP783</v>
          </cell>
          <cell r="B784" t="str">
            <v>M783</v>
          </cell>
          <cell r="C784" t="str">
            <v>SH783</v>
          </cell>
          <cell r="D784" t="str">
            <v>G783</v>
          </cell>
        </row>
        <row r="785">
          <cell r="A785" t="str">
            <v>DP784</v>
          </cell>
          <cell r="B785" t="str">
            <v>M784</v>
          </cell>
          <cell r="C785" t="str">
            <v>SH784</v>
          </cell>
          <cell r="D785" t="str">
            <v>G784</v>
          </cell>
        </row>
        <row r="786">
          <cell r="A786" t="str">
            <v>DP785</v>
          </cell>
          <cell r="B786" t="str">
            <v>M785</v>
          </cell>
          <cell r="C786" t="str">
            <v>SH785</v>
          </cell>
          <cell r="D786" t="str">
            <v>G785</v>
          </cell>
        </row>
        <row r="787">
          <cell r="A787" t="str">
            <v>DP786</v>
          </cell>
          <cell r="B787" t="str">
            <v>M786</v>
          </cell>
          <cell r="C787" t="str">
            <v>SH786</v>
          </cell>
          <cell r="D787" t="str">
            <v>G786</v>
          </cell>
        </row>
        <row r="788">
          <cell r="A788" t="str">
            <v>DP787</v>
          </cell>
          <cell r="B788" t="str">
            <v>M787</v>
          </cell>
          <cell r="C788" t="str">
            <v>SH787</v>
          </cell>
          <cell r="D788" t="str">
            <v>G787</v>
          </cell>
        </row>
        <row r="789">
          <cell r="A789" t="str">
            <v>DP788</v>
          </cell>
          <cell r="B789" t="str">
            <v>M788</v>
          </cell>
          <cell r="C789" t="str">
            <v>SH788</v>
          </cell>
          <cell r="D789" t="str">
            <v>G788</v>
          </cell>
        </row>
        <row r="790">
          <cell r="A790" t="str">
            <v>DP789</v>
          </cell>
          <cell r="B790" t="str">
            <v>M789</v>
          </cell>
          <cell r="C790" t="str">
            <v>SH789</v>
          </cell>
          <cell r="D790" t="str">
            <v>G789</v>
          </cell>
        </row>
        <row r="791">
          <cell r="A791" t="str">
            <v>DP790</v>
          </cell>
          <cell r="B791" t="str">
            <v>M790</v>
          </cell>
          <cell r="C791" t="str">
            <v>SH790</v>
          </cell>
          <cell r="D791" t="str">
            <v>G790</v>
          </cell>
        </row>
        <row r="792">
          <cell r="A792" t="str">
            <v>DP791</v>
          </cell>
          <cell r="B792" t="str">
            <v>M791</v>
          </cell>
          <cell r="C792" t="str">
            <v>SH791</v>
          </cell>
          <cell r="D792" t="str">
            <v>G791</v>
          </cell>
        </row>
        <row r="793">
          <cell r="A793" t="str">
            <v>DP792</v>
          </cell>
          <cell r="B793" t="str">
            <v>M792</v>
          </cell>
          <cell r="C793" t="str">
            <v>SH792</v>
          </cell>
          <cell r="D793" t="str">
            <v>G792</v>
          </cell>
        </row>
        <row r="794">
          <cell r="A794" t="str">
            <v>DP793</v>
          </cell>
          <cell r="B794" t="str">
            <v>M793</v>
          </cell>
          <cell r="C794" t="str">
            <v>SH793</v>
          </cell>
          <cell r="D794" t="str">
            <v>G793</v>
          </cell>
        </row>
        <row r="795">
          <cell r="A795" t="str">
            <v>DP794</v>
          </cell>
          <cell r="B795" t="str">
            <v>M794</v>
          </cell>
          <cell r="C795" t="str">
            <v>SH794</v>
          </cell>
          <cell r="D795" t="str">
            <v>G794</v>
          </cell>
        </row>
        <row r="796">
          <cell r="A796" t="str">
            <v>DP795</v>
          </cell>
          <cell r="B796" t="str">
            <v>M795</v>
          </cell>
          <cell r="C796" t="str">
            <v>SH795</v>
          </cell>
          <cell r="D796" t="str">
            <v>G795</v>
          </cell>
        </row>
        <row r="797">
          <cell r="A797" t="str">
            <v>DP796</v>
          </cell>
          <cell r="B797" t="str">
            <v>M796</v>
          </cell>
          <cell r="C797" t="str">
            <v>SH796</v>
          </cell>
          <cell r="D797" t="str">
            <v>G796</v>
          </cell>
        </row>
        <row r="798">
          <cell r="A798" t="str">
            <v>DP797</v>
          </cell>
          <cell r="B798" t="str">
            <v>M797</v>
          </cell>
          <cell r="C798" t="str">
            <v>SH797</v>
          </cell>
          <cell r="D798" t="str">
            <v>G797</v>
          </cell>
        </row>
        <row r="799">
          <cell r="A799" t="str">
            <v>DP798</v>
          </cell>
          <cell r="B799" t="str">
            <v>M798</v>
          </cell>
          <cell r="C799" t="str">
            <v>SH798</v>
          </cell>
          <cell r="D799" t="str">
            <v>G798</v>
          </cell>
        </row>
        <row r="800">
          <cell r="A800" t="str">
            <v>DP799</v>
          </cell>
          <cell r="B800" t="str">
            <v>M799</v>
          </cell>
          <cell r="C800" t="str">
            <v>SH799</v>
          </cell>
          <cell r="D800" t="str">
            <v>G799</v>
          </cell>
        </row>
        <row r="801">
          <cell r="A801" t="str">
            <v>DP800</v>
          </cell>
          <cell r="B801" t="str">
            <v>M800</v>
          </cell>
          <cell r="C801" t="str">
            <v>SH800</v>
          </cell>
          <cell r="D801" t="str">
            <v>G800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_info"/>
      <sheetName val="Stackup"/>
      <sheetName val="DRD_Revision"/>
      <sheetName val="Customer_Inputs"/>
      <sheetName val="Revisions"/>
      <sheetName val="set_validations_"/>
      <sheetName val="CMT Configuration"/>
      <sheetName val="Instruction"/>
      <sheetName val="Routing_instruction"/>
      <sheetName val="power"/>
      <sheetName val="Decoupling"/>
      <sheetName val="Special_Connections"/>
      <sheetName val="Power Following"/>
      <sheetName val="TDAU Routing Instruction"/>
      <sheetName val="ELB Specification"/>
      <sheetName val="CCV3 Pseudo Netlist"/>
      <sheetName val="CBIT"/>
      <sheetName val="STANDARD_CIRCUITS "/>
      <sheetName val="ND2F1760E_PinSharing"/>
      <sheetName val="CL_SDM_DEDICATED"/>
      <sheetName val="STANDARD_CIRCUITS"/>
    </sheetNames>
    <sheetDataSet>
      <sheetData sheetId="0"/>
      <sheetData sheetId="1"/>
      <sheetData sheetId="2"/>
      <sheetData sheetId="3"/>
      <sheetData sheetId="4"/>
      <sheetData sheetId="5">
        <row r="2">
          <cell r="E2" t="str">
            <v>L01</v>
          </cell>
        </row>
        <row r="3">
          <cell r="E3" t="str">
            <v>L02</v>
          </cell>
        </row>
        <row r="4">
          <cell r="E4" t="str">
            <v>L03</v>
          </cell>
        </row>
        <row r="5">
          <cell r="E5" t="str">
            <v>L04</v>
          </cell>
        </row>
        <row r="6">
          <cell r="E6" t="str">
            <v>L05</v>
          </cell>
        </row>
        <row r="7">
          <cell r="E7" t="str">
            <v>L06</v>
          </cell>
        </row>
        <row r="8">
          <cell r="E8" t="str">
            <v>L07</v>
          </cell>
        </row>
        <row r="9">
          <cell r="E9" t="str">
            <v>L08</v>
          </cell>
        </row>
        <row r="10">
          <cell r="E10" t="str">
            <v>L09</v>
          </cell>
        </row>
        <row r="11">
          <cell r="E11" t="str">
            <v>L10</v>
          </cell>
        </row>
        <row r="12">
          <cell r="E12" t="str">
            <v>L11</v>
          </cell>
        </row>
        <row r="13">
          <cell r="E13" t="str">
            <v>L12</v>
          </cell>
        </row>
        <row r="14">
          <cell r="E14" t="str">
            <v>L13</v>
          </cell>
        </row>
        <row r="15">
          <cell r="E15" t="str">
            <v>L14</v>
          </cell>
        </row>
        <row r="16">
          <cell r="E16" t="str">
            <v>L15</v>
          </cell>
        </row>
        <row r="17">
          <cell r="E17" t="str">
            <v>L16</v>
          </cell>
        </row>
        <row r="18">
          <cell r="E18" t="str">
            <v>L17</v>
          </cell>
        </row>
        <row r="19">
          <cell r="E19" t="str">
            <v>L18</v>
          </cell>
        </row>
        <row r="20">
          <cell r="E20" t="str">
            <v>L19</v>
          </cell>
        </row>
        <row r="21">
          <cell r="E21" t="str">
            <v>L20</v>
          </cell>
        </row>
        <row r="22">
          <cell r="E22" t="str">
            <v>L21</v>
          </cell>
        </row>
        <row r="23">
          <cell r="E23" t="str">
            <v>L22</v>
          </cell>
        </row>
        <row r="24">
          <cell r="E24" t="str">
            <v>L23</v>
          </cell>
        </row>
        <row r="25">
          <cell r="E25" t="str">
            <v>L24</v>
          </cell>
        </row>
        <row r="26">
          <cell r="E26" t="str">
            <v>L25</v>
          </cell>
        </row>
        <row r="27">
          <cell r="E27" t="str">
            <v>L26</v>
          </cell>
        </row>
        <row r="28">
          <cell r="E28" t="str">
            <v>L27</v>
          </cell>
        </row>
        <row r="29">
          <cell r="E29" t="str">
            <v>L28</v>
          </cell>
        </row>
        <row r="30">
          <cell r="E30" t="str">
            <v>L29</v>
          </cell>
        </row>
        <row r="31">
          <cell r="E31" t="str">
            <v>L30</v>
          </cell>
        </row>
        <row r="32">
          <cell r="E32" t="str">
            <v>L31</v>
          </cell>
        </row>
        <row r="33">
          <cell r="E33" t="str">
            <v>L32</v>
          </cell>
        </row>
        <row r="34">
          <cell r="E34" t="str">
            <v>L33</v>
          </cell>
        </row>
        <row r="35">
          <cell r="E35" t="str">
            <v>L34</v>
          </cell>
        </row>
        <row r="36">
          <cell r="E36" t="str">
            <v>L35</v>
          </cell>
        </row>
        <row r="37">
          <cell r="E37" t="str">
            <v>L36</v>
          </cell>
        </row>
        <row r="38">
          <cell r="E38" t="str">
            <v>L37</v>
          </cell>
        </row>
        <row r="39">
          <cell r="E39" t="str">
            <v>L38</v>
          </cell>
        </row>
        <row r="40">
          <cell r="E40" t="str">
            <v>L39</v>
          </cell>
        </row>
        <row r="41">
          <cell r="E41" t="str">
            <v>L40</v>
          </cell>
        </row>
        <row r="42">
          <cell r="E42" t="str">
            <v>L41</v>
          </cell>
        </row>
        <row r="43">
          <cell r="E43" t="str">
            <v>L42</v>
          </cell>
        </row>
        <row r="44">
          <cell r="E44" t="str">
            <v>L43</v>
          </cell>
        </row>
        <row r="45">
          <cell r="E45" t="str">
            <v>L44</v>
          </cell>
        </row>
        <row r="46">
          <cell r="E46" t="str">
            <v>L45</v>
          </cell>
        </row>
        <row r="47">
          <cell r="E47" t="str">
            <v>L46</v>
          </cell>
        </row>
        <row r="48">
          <cell r="E48" t="str">
            <v>L47</v>
          </cell>
        </row>
        <row r="49">
          <cell r="E49" t="str">
            <v>L48</v>
          </cell>
        </row>
        <row r="50">
          <cell r="E50" t="str">
            <v>L49</v>
          </cell>
        </row>
        <row r="51">
          <cell r="E51" t="str">
            <v>L50</v>
          </cell>
        </row>
        <row r="52">
          <cell r="E52" t="str">
            <v>L51</v>
          </cell>
        </row>
        <row r="53">
          <cell r="E53" t="str">
            <v>L52</v>
          </cell>
        </row>
        <row r="54">
          <cell r="E54" t="str">
            <v>L53</v>
          </cell>
        </row>
        <row r="55">
          <cell r="E55" t="str">
            <v>L54</v>
          </cell>
        </row>
        <row r="56">
          <cell r="E56" t="str">
            <v>L55</v>
          </cell>
        </row>
        <row r="57">
          <cell r="E57" t="str">
            <v>L56</v>
          </cell>
        </row>
        <row r="58">
          <cell r="E58" t="str">
            <v>L57</v>
          </cell>
        </row>
        <row r="59">
          <cell r="E59" t="str">
            <v>L58</v>
          </cell>
        </row>
        <row r="60">
          <cell r="E60" t="str">
            <v>L59</v>
          </cell>
        </row>
        <row r="61">
          <cell r="E61" t="str">
            <v>L60</v>
          </cell>
        </row>
        <row r="62">
          <cell r="E62" t="str">
            <v>L61</v>
          </cell>
        </row>
        <row r="63">
          <cell r="E63" t="str">
            <v>L62</v>
          </cell>
        </row>
        <row r="64">
          <cell r="E64" t="str">
            <v>L63</v>
          </cell>
        </row>
        <row r="65">
          <cell r="E65" t="str">
            <v>L64</v>
          </cell>
        </row>
        <row r="66">
          <cell r="E66" t="str">
            <v>L65</v>
          </cell>
        </row>
        <row r="67">
          <cell r="E67" t="str">
            <v>L66</v>
          </cell>
        </row>
        <row r="68">
          <cell r="E68" t="str">
            <v>L67</v>
          </cell>
        </row>
        <row r="69">
          <cell r="E69" t="str">
            <v>L68</v>
          </cell>
        </row>
        <row r="70">
          <cell r="E70" t="str">
            <v>L69</v>
          </cell>
        </row>
        <row r="71">
          <cell r="E71" t="str">
            <v>L70</v>
          </cell>
        </row>
        <row r="72">
          <cell r="E72" t="str">
            <v>L71</v>
          </cell>
        </row>
        <row r="73">
          <cell r="E73" t="str">
            <v>L72</v>
          </cell>
        </row>
        <row r="74">
          <cell r="E74" t="str">
            <v>L73</v>
          </cell>
        </row>
        <row r="75">
          <cell r="E75" t="str">
            <v>L74</v>
          </cell>
        </row>
        <row r="76">
          <cell r="E76" t="str">
            <v>L75</v>
          </cell>
        </row>
        <row r="77">
          <cell r="E77" t="str">
            <v>L76</v>
          </cell>
        </row>
        <row r="78">
          <cell r="E78" t="str">
            <v>L77</v>
          </cell>
        </row>
        <row r="79">
          <cell r="E79" t="str">
            <v>L78</v>
          </cell>
        </row>
        <row r="80">
          <cell r="E80" t="str">
            <v>L79</v>
          </cell>
        </row>
        <row r="81">
          <cell r="E81" t="str">
            <v>L80</v>
          </cell>
        </row>
        <row r="82">
          <cell r="E82" t="str">
            <v>L81</v>
          </cell>
        </row>
        <row r="83">
          <cell r="E83" t="str">
            <v>L82</v>
          </cell>
        </row>
        <row r="84">
          <cell r="E84" t="str">
            <v>L83</v>
          </cell>
        </row>
        <row r="85">
          <cell r="E85" t="str">
            <v>L84</v>
          </cell>
        </row>
        <row r="86">
          <cell r="E86" t="str">
            <v>L85</v>
          </cell>
        </row>
        <row r="87">
          <cell r="E87" t="str">
            <v>L86</v>
          </cell>
        </row>
        <row r="88">
          <cell r="E88" t="str">
            <v>L87</v>
          </cell>
        </row>
        <row r="89">
          <cell r="E89" t="str">
            <v>L88</v>
          </cell>
        </row>
        <row r="90">
          <cell r="E90" t="str">
            <v>L89</v>
          </cell>
        </row>
        <row r="91">
          <cell r="E91" t="str">
            <v>L90</v>
          </cell>
        </row>
        <row r="92">
          <cell r="E92" t="str">
            <v>L91</v>
          </cell>
        </row>
        <row r="93">
          <cell r="E93" t="str">
            <v>L92</v>
          </cell>
        </row>
        <row r="94">
          <cell r="E94" t="str">
            <v>L93</v>
          </cell>
        </row>
        <row r="95">
          <cell r="E95" t="str">
            <v>L94</v>
          </cell>
        </row>
        <row r="96">
          <cell r="E96" t="str">
            <v>L95</v>
          </cell>
        </row>
        <row r="97">
          <cell r="E97" t="str">
            <v>L96</v>
          </cell>
        </row>
        <row r="98">
          <cell r="E98" t="str">
            <v>L97</v>
          </cell>
        </row>
        <row r="99">
          <cell r="E99" t="str">
            <v>L98</v>
          </cell>
        </row>
        <row r="100">
          <cell r="E100" t="str">
            <v>L99</v>
          </cell>
        </row>
        <row r="101">
          <cell r="E101" t="str">
            <v>L100</v>
          </cell>
        </row>
        <row r="102">
          <cell r="E102" t="str">
            <v>L101</v>
          </cell>
        </row>
        <row r="103">
          <cell r="E103" t="str">
            <v>L102</v>
          </cell>
        </row>
        <row r="104">
          <cell r="E104" t="str">
            <v>L103</v>
          </cell>
        </row>
        <row r="105">
          <cell r="E105" t="str">
            <v>L104</v>
          </cell>
        </row>
        <row r="106">
          <cell r="E106" t="str">
            <v>L105</v>
          </cell>
        </row>
        <row r="107">
          <cell r="E107" t="str">
            <v>L106</v>
          </cell>
        </row>
        <row r="108">
          <cell r="E108" t="str">
            <v>L107</v>
          </cell>
        </row>
        <row r="109">
          <cell r="E109" t="str">
            <v>L108</v>
          </cell>
        </row>
        <row r="110">
          <cell r="E110" t="str">
            <v>L109</v>
          </cell>
        </row>
        <row r="111">
          <cell r="E111" t="str">
            <v>L110</v>
          </cell>
        </row>
        <row r="112">
          <cell r="E112" t="str">
            <v>L111</v>
          </cell>
        </row>
        <row r="113">
          <cell r="E113" t="str">
            <v>L112</v>
          </cell>
        </row>
        <row r="114">
          <cell r="E114" t="str">
            <v>L113</v>
          </cell>
        </row>
        <row r="115">
          <cell r="E115" t="str">
            <v>L114</v>
          </cell>
        </row>
        <row r="116">
          <cell r="E116" t="str">
            <v>L115</v>
          </cell>
        </row>
        <row r="117">
          <cell r="E117" t="str">
            <v>L116</v>
          </cell>
        </row>
        <row r="118">
          <cell r="E118" t="str">
            <v>L117</v>
          </cell>
        </row>
        <row r="119">
          <cell r="E119" t="str">
            <v>L118</v>
          </cell>
        </row>
        <row r="120">
          <cell r="E120" t="str">
            <v>L119</v>
          </cell>
        </row>
        <row r="121">
          <cell r="E121" t="str">
            <v>L120</v>
          </cell>
        </row>
        <row r="122">
          <cell r="E122" t="str">
            <v>L121</v>
          </cell>
        </row>
        <row r="123">
          <cell r="E123" t="str">
            <v>L122</v>
          </cell>
        </row>
        <row r="124">
          <cell r="E124" t="str">
            <v>L123</v>
          </cell>
        </row>
        <row r="125">
          <cell r="E125" t="str">
            <v>L124</v>
          </cell>
        </row>
        <row r="126">
          <cell r="E126" t="str">
            <v>L125</v>
          </cell>
        </row>
        <row r="127">
          <cell r="E127" t="str">
            <v>L126</v>
          </cell>
        </row>
        <row r="128">
          <cell r="E128" t="str">
            <v>L127</v>
          </cell>
        </row>
        <row r="129">
          <cell r="E129" t="str">
            <v>L128</v>
          </cell>
        </row>
        <row r="130">
          <cell r="E130" t="str">
            <v>L129</v>
          </cell>
        </row>
        <row r="131">
          <cell r="E131" t="str">
            <v>L130</v>
          </cell>
        </row>
        <row r="132">
          <cell r="E132" t="str">
            <v>L131</v>
          </cell>
        </row>
        <row r="133">
          <cell r="E133" t="str">
            <v>L132</v>
          </cell>
        </row>
        <row r="134">
          <cell r="E134" t="str">
            <v>L133</v>
          </cell>
        </row>
        <row r="135">
          <cell r="E135" t="str">
            <v>L134</v>
          </cell>
        </row>
        <row r="136">
          <cell r="E136" t="str">
            <v>L135</v>
          </cell>
        </row>
        <row r="137">
          <cell r="E137" t="str">
            <v>L136</v>
          </cell>
        </row>
        <row r="138">
          <cell r="E138" t="str">
            <v>L137</v>
          </cell>
        </row>
        <row r="139">
          <cell r="E139" t="str">
            <v>L138</v>
          </cell>
        </row>
        <row r="140">
          <cell r="E140" t="str">
            <v>L139</v>
          </cell>
        </row>
        <row r="141">
          <cell r="E141" t="str">
            <v>L140</v>
          </cell>
        </row>
        <row r="142">
          <cell r="E142" t="str">
            <v>L141</v>
          </cell>
        </row>
        <row r="143">
          <cell r="E143" t="str">
            <v>L142</v>
          </cell>
        </row>
        <row r="144">
          <cell r="E144" t="str">
            <v>L143</v>
          </cell>
        </row>
        <row r="145">
          <cell r="E145" t="str">
            <v>L144</v>
          </cell>
        </row>
        <row r="146">
          <cell r="E146" t="str">
            <v>L145</v>
          </cell>
        </row>
        <row r="147">
          <cell r="E147" t="str">
            <v>L146</v>
          </cell>
        </row>
        <row r="148">
          <cell r="E148" t="str">
            <v>L147</v>
          </cell>
        </row>
        <row r="149">
          <cell r="E149" t="str">
            <v>L148</v>
          </cell>
        </row>
        <row r="150">
          <cell r="E150" t="str">
            <v>L149</v>
          </cell>
        </row>
        <row r="151">
          <cell r="E151" t="str">
            <v>L150</v>
          </cell>
        </row>
        <row r="152">
          <cell r="E152" t="str">
            <v>L151</v>
          </cell>
        </row>
        <row r="153">
          <cell r="E153" t="str">
            <v>L152</v>
          </cell>
        </row>
        <row r="154">
          <cell r="E154" t="str">
            <v>L153</v>
          </cell>
        </row>
        <row r="155">
          <cell r="E155" t="str">
            <v>L154</v>
          </cell>
        </row>
        <row r="156">
          <cell r="E156" t="str">
            <v>L155</v>
          </cell>
        </row>
        <row r="157">
          <cell r="E157" t="str">
            <v>L156</v>
          </cell>
        </row>
        <row r="158">
          <cell r="E158" t="str">
            <v>L157</v>
          </cell>
        </row>
        <row r="159">
          <cell r="E159" t="str">
            <v>L158</v>
          </cell>
        </row>
        <row r="160">
          <cell r="E160" t="str">
            <v>L159</v>
          </cell>
        </row>
        <row r="161">
          <cell r="E161" t="str">
            <v>L160</v>
          </cell>
        </row>
        <row r="162">
          <cell r="E162" t="str">
            <v>L161</v>
          </cell>
        </row>
        <row r="163">
          <cell r="E163" t="str">
            <v>L162</v>
          </cell>
        </row>
        <row r="164">
          <cell r="E164" t="str">
            <v>L163</v>
          </cell>
        </row>
        <row r="165">
          <cell r="E165" t="str">
            <v>L164</v>
          </cell>
        </row>
        <row r="166">
          <cell r="E166" t="str">
            <v>L165</v>
          </cell>
        </row>
        <row r="167">
          <cell r="E167" t="str">
            <v>L166</v>
          </cell>
        </row>
        <row r="168">
          <cell r="E168" t="str">
            <v>L167</v>
          </cell>
        </row>
        <row r="169">
          <cell r="E169" t="str">
            <v>L168</v>
          </cell>
        </row>
        <row r="170">
          <cell r="E170" t="str">
            <v>L169</v>
          </cell>
        </row>
        <row r="171">
          <cell r="E171" t="str">
            <v>L170</v>
          </cell>
        </row>
        <row r="172">
          <cell r="E172" t="str">
            <v>L171</v>
          </cell>
        </row>
        <row r="173">
          <cell r="E173" t="str">
            <v>L172</v>
          </cell>
        </row>
        <row r="174">
          <cell r="E174" t="str">
            <v>L173</v>
          </cell>
        </row>
        <row r="175">
          <cell r="E175" t="str">
            <v>L174</v>
          </cell>
        </row>
        <row r="176">
          <cell r="E176" t="str">
            <v>L175</v>
          </cell>
        </row>
        <row r="177">
          <cell r="E177" t="str">
            <v>L176</v>
          </cell>
        </row>
        <row r="178">
          <cell r="E178" t="str">
            <v>L177</v>
          </cell>
        </row>
        <row r="179">
          <cell r="E179" t="str">
            <v>L178</v>
          </cell>
        </row>
        <row r="180">
          <cell r="E180" t="str">
            <v>L179</v>
          </cell>
        </row>
        <row r="181">
          <cell r="E181" t="str">
            <v>L180</v>
          </cell>
        </row>
        <row r="182">
          <cell r="E182" t="str">
            <v>L181</v>
          </cell>
        </row>
        <row r="183">
          <cell r="E183" t="str">
            <v>L182</v>
          </cell>
        </row>
        <row r="184">
          <cell r="E184" t="str">
            <v>L183</v>
          </cell>
        </row>
        <row r="185">
          <cell r="E185" t="str">
            <v>L184</v>
          </cell>
        </row>
        <row r="186">
          <cell r="E186" t="str">
            <v>L185</v>
          </cell>
        </row>
        <row r="187">
          <cell r="E187" t="str">
            <v>L186</v>
          </cell>
        </row>
        <row r="188">
          <cell r="E188" t="str">
            <v>L187</v>
          </cell>
        </row>
        <row r="189">
          <cell r="E189" t="str">
            <v>L188</v>
          </cell>
        </row>
        <row r="190">
          <cell r="E190" t="str">
            <v>L189</v>
          </cell>
        </row>
        <row r="191">
          <cell r="E191" t="str">
            <v>L190</v>
          </cell>
        </row>
        <row r="192">
          <cell r="E192" t="str">
            <v>L191</v>
          </cell>
        </row>
        <row r="193">
          <cell r="E193" t="str">
            <v>L192</v>
          </cell>
        </row>
        <row r="194">
          <cell r="E194" t="str">
            <v>L193</v>
          </cell>
        </row>
        <row r="195">
          <cell r="E195" t="str">
            <v>L194</v>
          </cell>
        </row>
        <row r="196">
          <cell r="E196" t="str">
            <v>L195</v>
          </cell>
        </row>
        <row r="197">
          <cell r="E197" t="str">
            <v>L196</v>
          </cell>
        </row>
        <row r="198">
          <cell r="E198" t="str">
            <v>L197</v>
          </cell>
        </row>
        <row r="199">
          <cell r="E199" t="str">
            <v>L198</v>
          </cell>
        </row>
        <row r="200">
          <cell r="E200" t="str">
            <v>L199</v>
          </cell>
        </row>
        <row r="201">
          <cell r="E201" t="str">
            <v>L200</v>
          </cell>
        </row>
        <row r="202">
          <cell r="E202" t="str">
            <v>L201</v>
          </cell>
        </row>
        <row r="203">
          <cell r="E203" t="str">
            <v>L202</v>
          </cell>
        </row>
        <row r="204">
          <cell r="E204" t="str">
            <v>L203</v>
          </cell>
        </row>
        <row r="205">
          <cell r="E205" t="str">
            <v>L204</v>
          </cell>
        </row>
        <row r="206">
          <cell r="E206" t="str">
            <v>L205</v>
          </cell>
        </row>
        <row r="207">
          <cell r="E207" t="str">
            <v>L206</v>
          </cell>
        </row>
        <row r="208">
          <cell r="E208" t="str">
            <v>L207</v>
          </cell>
        </row>
        <row r="209">
          <cell r="E209" t="str">
            <v>L208</v>
          </cell>
        </row>
        <row r="210">
          <cell r="E210" t="str">
            <v>L209</v>
          </cell>
        </row>
        <row r="211">
          <cell r="E211" t="str">
            <v>L210</v>
          </cell>
        </row>
        <row r="212">
          <cell r="E212" t="str">
            <v>L211</v>
          </cell>
        </row>
        <row r="213">
          <cell r="E213" t="str">
            <v>L212</v>
          </cell>
        </row>
        <row r="214">
          <cell r="E214" t="str">
            <v>L213</v>
          </cell>
        </row>
        <row r="215">
          <cell r="E215" t="str">
            <v>L214</v>
          </cell>
        </row>
        <row r="216">
          <cell r="E216" t="str">
            <v>L215</v>
          </cell>
        </row>
        <row r="217">
          <cell r="E217" t="str">
            <v>L216</v>
          </cell>
        </row>
        <row r="218">
          <cell r="E218" t="str">
            <v>L217</v>
          </cell>
        </row>
        <row r="219">
          <cell r="E219" t="str">
            <v>L218</v>
          </cell>
        </row>
        <row r="220">
          <cell r="E220" t="str">
            <v>L219</v>
          </cell>
        </row>
        <row r="221">
          <cell r="E221" t="str">
            <v>L220</v>
          </cell>
        </row>
        <row r="222">
          <cell r="E222" t="str">
            <v>L221</v>
          </cell>
        </row>
        <row r="223">
          <cell r="E223" t="str">
            <v>L222</v>
          </cell>
        </row>
        <row r="224">
          <cell r="E224" t="str">
            <v>L223</v>
          </cell>
        </row>
        <row r="225">
          <cell r="E225" t="str">
            <v>L224</v>
          </cell>
        </row>
        <row r="226">
          <cell r="E226" t="str">
            <v>L225</v>
          </cell>
        </row>
        <row r="227">
          <cell r="E227" t="str">
            <v>L226</v>
          </cell>
        </row>
        <row r="228">
          <cell r="E228" t="str">
            <v>L227</v>
          </cell>
        </row>
        <row r="229">
          <cell r="E229" t="str">
            <v>L228</v>
          </cell>
        </row>
        <row r="230">
          <cell r="E230" t="str">
            <v>L229</v>
          </cell>
        </row>
        <row r="231">
          <cell r="E231" t="str">
            <v>L230</v>
          </cell>
        </row>
        <row r="232">
          <cell r="E232" t="str">
            <v>L231</v>
          </cell>
        </row>
        <row r="233">
          <cell r="E233" t="str">
            <v>L232</v>
          </cell>
        </row>
        <row r="234">
          <cell r="E234" t="str">
            <v>L233</v>
          </cell>
        </row>
        <row r="235">
          <cell r="E235" t="str">
            <v>L234</v>
          </cell>
        </row>
        <row r="236">
          <cell r="E236" t="str">
            <v>L235</v>
          </cell>
        </row>
        <row r="237">
          <cell r="E237" t="str">
            <v>L236</v>
          </cell>
        </row>
        <row r="238">
          <cell r="E238" t="str">
            <v>L237</v>
          </cell>
        </row>
        <row r="239">
          <cell r="E239" t="str">
            <v>L238</v>
          </cell>
        </row>
        <row r="240">
          <cell r="E240" t="str">
            <v>L239</v>
          </cell>
        </row>
        <row r="241">
          <cell r="E241" t="str">
            <v>L240</v>
          </cell>
        </row>
        <row r="242">
          <cell r="E242" t="str">
            <v>L241</v>
          </cell>
        </row>
        <row r="243">
          <cell r="E243" t="str">
            <v>L242</v>
          </cell>
        </row>
        <row r="244">
          <cell r="E244" t="str">
            <v>L243</v>
          </cell>
        </row>
        <row r="245">
          <cell r="E245" t="str">
            <v>L244</v>
          </cell>
        </row>
        <row r="246">
          <cell r="E246" t="str">
            <v>L245</v>
          </cell>
        </row>
        <row r="247">
          <cell r="E247" t="str">
            <v>L246</v>
          </cell>
        </row>
        <row r="248">
          <cell r="E248" t="str">
            <v>L247</v>
          </cell>
        </row>
        <row r="249">
          <cell r="E249" t="str">
            <v>L248</v>
          </cell>
        </row>
        <row r="250">
          <cell r="E250" t="str">
            <v>L249</v>
          </cell>
        </row>
        <row r="251">
          <cell r="E251" t="str">
            <v>L250</v>
          </cell>
        </row>
        <row r="252">
          <cell r="E252" t="str">
            <v>L251</v>
          </cell>
        </row>
        <row r="253">
          <cell r="E253" t="str">
            <v>L252</v>
          </cell>
        </row>
        <row r="254">
          <cell r="E254" t="str">
            <v>L253</v>
          </cell>
        </row>
        <row r="255">
          <cell r="E255" t="str">
            <v>L254</v>
          </cell>
        </row>
        <row r="256">
          <cell r="E256" t="str">
            <v>L255</v>
          </cell>
        </row>
        <row r="257">
          <cell r="E257" t="str">
            <v>L256</v>
          </cell>
        </row>
        <row r="258">
          <cell r="E258" t="str">
            <v>L257</v>
          </cell>
        </row>
        <row r="259">
          <cell r="E259" t="str">
            <v>L258</v>
          </cell>
        </row>
        <row r="260">
          <cell r="E260" t="str">
            <v>L259</v>
          </cell>
        </row>
        <row r="261">
          <cell r="E261" t="str">
            <v>L260</v>
          </cell>
        </row>
        <row r="262">
          <cell r="E262" t="str">
            <v>L261</v>
          </cell>
        </row>
        <row r="263">
          <cell r="E263" t="str">
            <v>L262</v>
          </cell>
        </row>
        <row r="264">
          <cell r="E264" t="str">
            <v>L263</v>
          </cell>
        </row>
        <row r="265">
          <cell r="E265" t="str">
            <v>L264</v>
          </cell>
        </row>
        <row r="266">
          <cell r="E266" t="str">
            <v>L265</v>
          </cell>
        </row>
        <row r="267">
          <cell r="E267" t="str">
            <v>L266</v>
          </cell>
        </row>
        <row r="268">
          <cell r="E268" t="str">
            <v>L267</v>
          </cell>
        </row>
        <row r="269">
          <cell r="E269" t="str">
            <v>L268</v>
          </cell>
        </row>
        <row r="270">
          <cell r="E270" t="str">
            <v>L269</v>
          </cell>
        </row>
        <row r="271">
          <cell r="E271" t="str">
            <v>L270</v>
          </cell>
        </row>
        <row r="272">
          <cell r="E272" t="str">
            <v>L271</v>
          </cell>
        </row>
        <row r="273">
          <cell r="E273" t="str">
            <v>L272</v>
          </cell>
        </row>
        <row r="274">
          <cell r="E274" t="str">
            <v>L273</v>
          </cell>
        </row>
        <row r="275">
          <cell r="E275" t="str">
            <v>L274</v>
          </cell>
        </row>
        <row r="276">
          <cell r="E276" t="str">
            <v>L275</v>
          </cell>
        </row>
        <row r="277">
          <cell r="E277" t="str">
            <v>L276</v>
          </cell>
        </row>
        <row r="278">
          <cell r="E278" t="str">
            <v>L277</v>
          </cell>
        </row>
        <row r="279">
          <cell r="E279" t="str">
            <v>L278</v>
          </cell>
        </row>
        <row r="280">
          <cell r="E280" t="str">
            <v>L279</v>
          </cell>
        </row>
        <row r="281">
          <cell r="E281" t="str">
            <v>L280</v>
          </cell>
        </row>
        <row r="282">
          <cell r="E282" t="str">
            <v>L281</v>
          </cell>
        </row>
        <row r="283">
          <cell r="E283" t="str">
            <v>L282</v>
          </cell>
        </row>
        <row r="284">
          <cell r="E284" t="str">
            <v>L283</v>
          </cell>
        </row>
        <row r="285">
          <cell r="E285" t="str">
            <v>L284</v>
          </cell>
        </row>
        <row r="286">
          <cell r="E286" t="str">
            <v>L285</v>
          </cell>
        </row>
        <row r="287">
          <cell r="E287" t="str">
            <v>L286</v>
          </cell>
        </row>
        <row r="288">
          <cell r="E288" t="str">
            <v>L287</v>
          </cell>
        </row>
        <row r="289">
          <cell r="E289" t="str">
            <v>L288</v>
          </cell>
        </row>
        <row r="290">
          <cell r="E290" t="str">
            <v>L289</v>
          </cell>
        </row>
        <row r="291">
          <cell r="E291" t="str">
            <v>L290</v>
          </cell>
        </row>
        <row r="292">
          <cell r="E292" t="str">
            <v>L291</v>
          </cell>
        </row>
        <row r="293">
          <cell r="E293" t="str">
            <v>L292</v>
          </cell>
        </row>
        <row r="294">
          <cell r="E294" t="str">
            <v>L293</v>
          </cell>
        </row>
        <row r="295">
          <cell r="E295" t="str">
            <v>L294</v>
          </cell>
        </row>
        <row r="296">
          <cell r="E296" t="str">
            <v>L295</v>
          </cell>
        </row>
        <row r="297">
          <cell r="E297" t="str">
            <v>L296</v>
          </cell>
        </row>
        <row r="298">
          <cell r="E298" t="str">
            <v>L297</v>
          </cell>
        </row>
        <row r="299">
          <cell r="E299" t="str">
            <v>L298</v>
          </cell>
        </row>
        <row r="300">
          <cell r="E300" t="str">
            <v>L299</v>
          </cell>
        </row>
        <row r="301">
          <cell r="E301" t="str">
            <v>L300</v>
          </cell>
        </row>
        <row r="302">
          <cell r="E302" t="str">
            <v>L301</v>
          </cell>
        </row>
        <row r="303">
          <cell r="E303" t="str">
            <v>L302</v>
          </cell>
        </row>
        <row r="304">
          <cell r="E304" t="str">
            <v>L303</v>
          </cell>
        </row>
        <row r="305">
          <cell r="E305" t="str">
            <v>L304</v>
          </cell>
        </row>
        <row r="306">
          <cell r="E306" t="str">
            <v>L305</v>
          </cell>
        </row>
        <row r="307">
          <cell r="E307" t="str">
            <v>L306</v>
          </cell>
        </row>
        <row r="308">
          <cell r="E308" t="str">
            <v>L307</v>
          </cell>
        </row>
        <row r="309">
          <cell r="E309" t="str">
            <v>L308</v>
          </cell>
        </row>
        <row r="310">
          <cell r="E310" t="str">
            <v>L309</v>
          </cell>
        </row>
        <row r="311">
          <cell r="E311" t="str">
            <v>L310</v>
          </cell>
        </row>
        <row r="312">
          <cell r="E312" t="str">
            <v>L311</v>
          </cell>
        </row>
        <row r="313">
          <cell r="E313" t="str">
            <v>L312</v>
          </cell>
        </row>
        <row r="314">
          <cell r="E314" t="str">
            <v>L313</v>
          </cell>
        </row>
        <row r="315">
          <cell r="E315" t="str">
            <v>L314</v>
          </cell>
        </row>
        <row r="316">
          <cell r="E316" t="str">
            <v>L315</v>
          </cell>
        </row>
        <row r="317">
          <cell r="E317" t="str">
            <v>L316</v>
          </cell>
        </row>
        <row r="318">
          <cell r="E318" t="str">
            <v>L317</v>
          </cell>
        </row>
        <row r="319">
          <cell r="E319" t="str">
            <v>L318</v>
          </cell>
        </row>
        <row r="320">
          <cell r="E320" t="str">
            <v>L319</v>
          </cell>
        </row>
        <row r="321">
          <cell r="E321" t="str">
            <v>L320</v>
          </cell>
        </row>
        <row r="322">
          <cell r="E322" t="str">
            <v>L321</v>
          </cell>
        </row>
        <row r="323">
          <cell r="E323" t="str">
            <v>L322</v>
          </cell>
        </row>
        <row r="324">
          <cell r="E324" t="str">
            <v>L323</v>
          </cell>
        </row>
        <row r="325">
          <cell r="E325" t="str">
            <v>L324</v>
          </cell>
        </row>
        <row r="326">
          <cell r="E326" t="str">
            <v>L325</v>
          </cell>
        </row>
        <row r="327">
          <cell r="E327" t="str">
            <v>L326</v>
          </cell>
        </row>
        <row r="328">
          <cell r="E328" t="str">
            <v>L327</v>
          </cell>
        </row>
        <row r="329">
          <cell r="E329" t="str">
            <v>L328</v>
          </cell>
        </row>
        <row r="330">
          <cell r="E330" t="str">
            <v>L329</v>
          </cell>
        </row>
        <row r="331">
          <cell r="E331" t="str">
            <v>L330</v>
          </cell>
        </row>
        <row r="332">
          <cell r="E332" t="str">
            <v>L331</v>
          </cell>
        </row>
        <row r="333">
          <cell r="E333" t="str">
            <v>L332</v>
          </cell>
        </row>
        <row r="334">
          <cell r="E334" t="str">
            <v>L333</v>
          </cell>
        </row>
        <row r="335">
          <cell r="E335" t="str">
            <v>L334</v>
          </cell>
        </row>
        <row r="336">
          <cell r="E336" t="str">
            <v>L335</v>
          </cell>
        </row>
        <row r="337">
          <cell r="E337" t="str">
            <v>L336</v>
          </cell>
        </row>
        <row r="338">
          <cell r="E338" t="str">
            <v>L337</v>
          </cell>
        </row>
        <row r="339">
          <cell r="E339" t="str">
            <v>L338</v>
          </cell>
        </row>
        <row r="340">
          <cell r="E340" t="str">
            <v>L339</v>
          </cell>
        </row>
        <row r="341">
          <cell r="E341" t="str">
            <v>L340</v>
          </cell>
        </row>
        <row r="342">
          <cell r="E342" t="str">
            <v>L341</v>
          </cell>
        </row>
        <row r="343">
          <cell r="E343" t="str">
            <v>L342</v>
          </cell>
        </row>
        <row r="344">
          <cell r="E344" t="str">
            <v>L343</v>
          </cell>
        </row>
        <row r="345">
          <cell r="E345" t="str">
            <v>L344</v>
          </cell>
        </row>
        <row r="346">
          <cell r="E346" t="str">
            <v>L345</v>
          </cell>
        </row>
        <row r="347">
          <cell r="E347" t="str">
            <v>L346</v>
          </cell>
        </row>
        <row r="348">
          <cell r="E348" t="str">
            <v>L347</v>
          </cell>
        </row>
        <row r="349">
          <cell r="E349" t="str">
            <v>L348</v>
          </cell>
        </row>
        <row r="350">
          <cell r="E350" t="str">
            <v>L349</v>
          </cell>
        </row>
        <row r="351">
          <cell r="E351" t="str">
            <v>L350</v>
          </cell>
        </row>
        <row r="352">
          <cell r="E352" t="str">
            <v>L351</v>
          </cell>
        </row>
        <row r="353">
          <cell r="E353" t="str">
            <v>L352</v>
          </cell>
        </row>
        <row r="354">
          <cell r="E354" t="str">
            <v>L353</v>
          </cell>
        </row>
        <row r="355">
          <cell r="E355" t="str">
            <v>L354</v>
          </cell>
        </row>
        <row r="356">
          <cell r="E356" t="str">
            <v>L355</v>
          </cell>
        </row>
        <row r="357">
          <cell r="E357" t="str">
            <v>L356</v>
          </cell>
        </row>
        <row r="358">
          <cell r="E358" t="str">
            <v>L357</v>
          </cell>
        </row>
        <row r="359">
          <cell r="E359" t="str">
            <v>L358</v>
          </cell>
        </row>
        <row r="360">
          <cell r="E360" t="str">
            <v>L359</v>
          </cell>
        </row>
        <row r="361">
          <cell r="E361" t="str">
            <v>L360</v>
          </cell>
        </row>
        <row r="362">
          <cell r="E362" t="str">
            <v>L361</v>
          </cell>
        </row>
        <row r="363">
          <cell r="E363" t="str">
            <v>L362</v>
          </cell>
        </row>
        <row r="364">
          <cell r="E364" t="str">
            <v>L363</v>
          </cell>
        </row>
        <row r="365">
          <cell r="E365" t="str">
            <v>L364</v>
          </cell>
        </row>
        <row r="366">
          <cell r="E366" t="str">
            <v>L365</v>
          </cell>
        </row>
        <row r="367">
          <cell r="E367" t="str">
            <v>L366</v>
          </cell>
        </row>
        <row r="368">
          <cell r="E368" t="str">
            <v>L367</v>
          </cell>
        </row>
        <row r="369">
          <cell r="E369" t="str">
            <v>L368</v>
          </cell>
        </row>
        <row r="370">
          <cell r="E370" t="str">
            <v>L369</v>
          </cell>
        </row>
        <row r="371">
          <cell r="E371" t="str">
            <v>L370</v>
          </cell>
        </row>
        <row r="372">
          <cell r="E372" t="str">
            <v>L371</v>
          </cell>
        </row>
        <row r="373">
          <cell r="E373" t="str">
            <v>L372</v>
          </cell>
        </row>
        <row r="374">
          <cell r="E374" t="str">
            <v>L373</v>
          </cell>
        </row>
        <row r="375">
          <cell r="E375" t="str">
            <v>L374</v>
          </cell>
        </row>
        <row r="376">
          <cell r="E376" t="str">
            <v>L375</v>
          </cell>
        </row>
        <row r="377">
          <cell r="E377" t="str">
            <v>L376</v>
          </cell>
        </row>
        <row r="378">
          <cell r="E378" t="str">
            <v>L377</v>
          </cell>
        </row>
        <row r="379">
          <cell r="E379" t="str">
            <v>L378</v>
          </cell>
        </row>
        <row r="380">
          <cell r="E380" t="str">
            <v>L379</v>
          </cell>
        </row>
        <row r="381">
          <cell r="E381" t="str">
            <v>L380</v>
          </cell>
        </row>
        <row r="382">
          <cell r="E382" t="str">
            <v>L381</v>
          </cell>
        </row>
        <row r="383">
          <cell r="E383" t="str">
            <v>L382</v>
          </cell>
        </row>
        <row r="384">
          <cell r="E384" t="str">
            <v>L383</v>
          </cell>
        </row>
        <row r="385">
          <cell r="E385" t="str">
            <v>L384</v>
          </cell>
        </row>
        <row r="386">
          <cell r="E386" t="str">
            <v>L385</v>
          </cell>
        </row>
        <row r="387">
          <cell r="E387" t="str">
            <v>L386</v>
          </cell>
        </row>
        <row r="388">
          <cell r="E388" t="str">
            <v>L387</v>
          </cell>
        </row>
        <row r="389">
          <cell r="E389" t="str">
            <v>L388</v>
          </cell>
        </row>
        <row r="390">
          <cell r="E390" t="str">
            <v>L389</v>
          </cell>
        </row>
        <row r="391">
          <cell r="E391" t="str">
            <v>L390</v>
          </cell>
        </row>
        <row r="392">
          <cell r="E392" t="str">
            <v>L391</v>
          </cell>
        </row>
        <row r="393">
          <cell r="E393" t="str">
            <v>L392</v>
          </cell>
        </row>
        <row r="394">
          <cell r="E394" t="str">
            <v>L393</v>
          </cell>
        </row>
        <row r="395">
          <cell r="E395" t="str">
            <v>L394</v>
          </cell>
        </row>
        <row r="396">
          <cell r="E396" t="str">
            <v>L395</v>
          </cell>
        </row>
        <row r="397">
          <cell r="E397" t="str">
            <v>L396</v>
          </cell>
        </row>
        <row r="398">
          <cell r="E398" t="str">
            <v>L397</v>
          </cell>
        </row>
        <row r="399">
          <cell r="E399" t="str">
            <v>L398</v>
          </cell>
        </row>
        <row r="400">
          <cell r="E400" t="str">
            <v>L399</v>
          </cell>
        </row>
        <row r="401">
          <cell r="E401" t="str">
            <v>L400</v>
          </cell>
        </row>
        <row r="402">
          <cell r="E402" t="str">
            <v>L401</v>
          </cell>
        </row>
        <row r="403">
          <cell r="E403" t="str">
            <v>L402</v>
          </cell>
        </row>
        <row r="404">
          <cell r="E404" t="str">
            <v>L403</v>
          </cell>
        </row>
        <row r="405">
          <cell r="E405" t="str">
            <v>L404</v>
          </cell>
        </row>
        <row r="406">
          <cell r="E406" t="str">
            <v>L405</v>
          </cell>
        </row>
        <row r="407">
          <cell r="E407" t="str">
            <v>L406</v>
          </cell>
        </row>
        <row r="408">
          <cell r="E408" t="str">
            <v>L407</v>
          </cell>
        </row>
        <row r="409">
          <cell r="E409" t="str">
            <v>L408</v>
          </cell>
        </row>
        <row r="410">
          <cell r="E410" t="str">
            <v>L409</v>
          </cell>
        </row>
        <row r="411">
          <cell r="E411" t="str">
            <v>L410</v>
          </cell>
        </row>
        <row r="412">
          <cell r="E412" t="str">
            <v>L411</v>
          </cell>
        </row>
        <row r="413">
          <cell r="E413" t="str">
            <v>L412</v>
          </cell>
        </row>
        <row r="414">
          <cell r="E414" t="str">
            <v>L413</v>
          </cell>
        </row>
        <row r="415">
          <cell r="E415" t="str">
            <v>L414</v>
          </cell>
        </row>
        <row r="416">
          <cell r="E416" t="str">
            <v>L415</v>
          </cell>
        </row>
        <row r="417">
          <cell r="E417" t="str">
            <v>L416</v>
          </cell>
        </row>
        <row r="418">
          <cell r="E418" t="str">
            <v>L417</v>
          </cell>
        </row>
        <row r="419">
          <cell r="E419" t="str">
            <v>L418</v>
          </cell>
        </row>
        <row r="420">
          <cell r="E420" t="str">
            <v>L419</v>
          </cell>
        </row>
        <row r="421">
          <cell r="E421" t="str">
            <v>L420</v>
          </cell>
        </row>
        <row r="422">
          <cell r="E422" t="str">
            <v>L421</v>
          </cell>
        </row>
        <row r="423">
          <cell r="E423" t="str">
            <v>L422</v>
          </cell>
        </row>
        <row r="424">
          <cell r="E424" t="str">
            <v>L423</v>
          </cell>
        </row>
        <row r="425">
          <cell r="E425" t="str">
            <v>L424</v>
          </cell>
        </row>
        <row r="426">
          <cell r="E426" t="str">
            <v>L425</v>
          </cell>
        </row>
        <row r="427">
          <cell r="E427" t="str">
            <v>L426</v>
          </cell>
        </row>
        <row r="428">
          <cell r="E428" t="str">
            <v>L427</v>
          </cell>
        </row>
        <row r="429">
          <cell r="E429" t="str">
            <v>L428</v>
          </cell>
        </row>
        <row r="430">
          <cell r="E430" t="str">
            <v>L429</v>
          </cell>
        </row>
        <row r="431">
          <cell r="E431" t="str">
            <v>L430</v>
          </cell>
        </row>
        <row r="432">
          <cell r="E432" t="str">
            <v>L431</v>
          </cell>
        </row>
        <row r="433">
          <cell r="E433" t="str">
            <v>L432</v>
          </cell>
        </row>
        <row r="434">
          <cell r="E434" t="str">
            <v>L433</v>
          </cell>
        </row>
        <row r="435">
          <cell r="E435" t="str">
            <v>L434</v>
          </cell>
        </row>
        <row r="436">
          <cell r="E436" t="str">
            <v>L435</v>
          </cell>
        </row>
        <row r="437">
          <cell r="E437" t="str">
            <v>L436</v>
          </cell>
        </row>
        <row r="438">
          <cell r="E438" t="str">
            <v>L437</v>
          </cell>
        </row>
        <row r="439">
          <cell r="E439" t="str">
            <v>L438</v>
          </cell>
        </row>
        <row r="440">
          <cell r="E440" t="str">
            <v>L439</v>
          </cell>
        </row>
        <row r="441">
          <cell r="E441" t="str">
            <v>L440</v>
          </cell>
        </row>
        <row r="442">
          <cell r="E442" t="str">
            <v>L441</v>
          </cell>
        </row>
        <row r="443">
          <cell r="E443" t="str">
            <v>L442</v>
          </cell>
        </row>
        <row r="444">
          <cell r="E444" t="str">
            <v>L443</v>
          </cell>
        </row>
        <row r="445">
          <cell r="E445" t="str">
            <v>L444</v>
          </cell>
        </row>
        <row r="446">
          <cell r="E446" t="str">
            <v>L445</v>
          </cell>
        </row>
        <row r="447">
          <cell r="E447" t="str">
            <v>L446</v>
          </cell>
        </row>
        <row r="448">
          <cell r="E448" t="str">
            <v>L447</v>
          </cell>
        </row>
        <row r="449">
          <cell r="E449" t="str">
            <v>L448</v>
          </cell>
        </row>
        <row r="450">
          <cell r="E450" t="str">
            <v>L449</v>
          </cell>
        </row>
        <row r="451">
          <cell r="E451" t="str">
            <v>L450</v>
          </cell>
        </row>
        <row r="452">
          <cell r="E452" t="str">
            <v>L451</v>
          </cell>
        </row>
        <row r="453">
          <cell r="E453" t="str">
            <v>L452</v>
          </cell>
        </row>
        <row r="454">
          <cell r="E454" t="str">
            <v>L453</v>
          </cell>
        </row>
        <row r="455">
          <cell r="E455" t="str">
            <v>L454</v>
          </cell>
        </row>
        <row r="456">
          <cell r="E456" t="str">
            <v>L455</v>
          </cell>
        </row>
        <row r="457">
          <cell r="E457" t="str">
            <v>L456</v>
          </cell>
        </row>
        <row r="458">
          <cell r="E458" t="str">
            <v>L457</v>
          </cell>
        </row>
        <row r="459">
          <cell r="E459" t="str">
            <v>L458</v>
          </cell>
        </row>
        <row r="460">
          <cell r="E460" t="str">
            <v>L459</v>
          </cell>
        </row>
        <row r="461">
          <cell r="E461" t="str">
            <v>L460</v>
          </cell>
        </row>
        <row r="462">
          <cell r="E462" t="str">
            <v>L461</v>
          </cell>
        </row>
        <row r="463">
          <cell r="E463" t="str">
            <v>L462</v>
          </cell>
        </row>
        <row r="464">
          <cell r="E464" t="str">
            <v>L463</v>
          </cell>
        </row>
        <row r="465">
          <cell r="E465" t="str">
            <v>L464</v>
          </cell>
        </row>
        <row r="466">
          <cell r="E466" t="str">
            <v>L465</v>
          </cell>
        </row>
        <row r="467">
          <cell r="E467" t="str">
            <v>L466</v>
          </cell>
        </row>
        <row r="468">
          <cell r="E468" t="str">
            <v>L467</v>
          </cell>
        </row>
        <row r="469">
          <cell r="E469" t="str">
            <v>L468</v>
          </cell>
        </row>
        <row r="470">
          <cell r="E470" t="str">
            <v>L469</v>
          </cell>
        </row>
        <row r="471">
          <cell r="E471" t="str">
            <v>L470</v>
          </cell>
        </row>
        <row r="472">
          <cell r="E472" t="str">
            <v>L471</v>
          </cell>
        </row>
        <row r="473">
          <cell r="E473" t="str">
            <v>L472</v>
          </cell>
        </row>
        <row r="474">
          <cell r="E474" t="str">
            <v>L473</v>
          </cell>
        </row>
        <row r="475">
          <cell r="E475" t="str">
            <v>L474</v>
          </cell>
        </row>
        <row r="476">
          <cell r="E476" t="str">
            <v>L475</v>
          </cell>
        </row>
        <row r="477">
          <cell r="E477" t="str">
            <v>L476</v>
          </cell>
        </row>
        <row r="478">
          <cell r="E478" t="str">
            <v>L477</v>
          </cell>
        </row>
        <row r="479">
          <cell r="E479" t="str">
            <v>L478</v>
          </cell>
        </row>
        <row r="480">
          <cell r="E480" t="str">
            <v>L479</v>
          </cell>
        </row>
        <row r="481">
          <cell r="E481" t="str">
            <v>L480</v>
          </cell>
        </row>
        <row r="482">
          <cell r="E482" t="str">
            <v>L481</v>
          </cell>
        </row>
        <row r="483">
          <cell r="E483" t="str">
            <v>L482</v>
          </cell>
        </row>
        <row r="484">
          <cell r="E484" t="str">
            <v>L483</v>
          </cell>
        </row>
        <row r="485">
          <cell r="E485" t="str">
            <v>L484</v>
          </cell>
        </row>
        <row r="486">
          <cell r="E486" t="str">
            <v>L485</v>
          </cell>
        </row>
        <row r="487">
          <cell r="E487" t="str">
            <v>L486</v>
          </cell>
        </row>
        <row r="488">
          <cell r="E488" t="str">
            <v>L487</v>
          </cell>
        </row>
        <row r="489">
          <cell r="E489" t="str">
            <v>L488</v>
          </cell>
        </row>
        <row r="490">
          <cell r="E490" t="str">
            <v>L489</v>
          </cell>
        </row>
        <row r="491">
          <cell r="E491" t="str">
            <v>L490</v>
          </cell>
        </row>
        <row r="492">
          <cell r="E492" t="str">
            <v>L491</v>
          </cell>
        </row>
        <row r="493">
          <cell r="E493" t="str">
            <v>L492</v>
          </cell>
        </row>
        <row r="494">
          <cell r="E494" t="str">
            <v>L493</v>
          </cell>
        </row>
        <row r="495">
          <cell r="E495" t="str">
            <v>L494</v>
          </cell>
        </row>
        <row r="496">
          <cell r="E496" t="str">
            <v>L495</v>
          </cell>
        </row>
        <row r="497">
          <cell r="E497" t="str">
            <v>L496</v>
          </cell>
        </row>
        <row r="498">
          <cell r="E498" t="str">
            <v>L497</v>
          </cell>
        </row>
        <row r="499">
          <cell r="E499" t="str">
            <v>L498</v>
          </cell>
        </row>
        <row r="500">
          <cell r="E500" t="str">
            <v>L499</v>
          </cell>
        </row>
        <row r="501">
          <cell r="E501" t="str">
            <v>L500</v>
          </cell>
        </row>
        <row r="502">
          <cell r="E502" t="str">
            <v>L501</v>
          </cell>
        </row>
        <row r="503">
          <cell r="E503" t="str">
            <v>L502</v>
          </cell>
        </row>
        <row r="504">
          <cell r="E504" t="str">
            <v>L503</v>
          </cell>
        </row>
        <row r="505">
          <cell r="E505" t="str">
            <v>L504</v>
          </cell>
        </row>
        <row r="506">
          <cell r="E506" t="str">
            <v>L505</v>
          </cell>
        </row>
        <row r="507">
          <cell r="E507" t="str">
            <v>L506</v>
          </cell>
        </row>
        <row r="508">
          <cell r="E508" t="str">
            <v>L507</v>
          </cell>
        </row>
        <row r="509">
          <cell r="E509" t="str">
            <v>L508</v>
          </cell>
        </row>
        <row r="510">
          <cell r="E510" t="str">
            <v>L509</v>
          </cell>
        </row>
        <row r="511">
          <cell r="E511" t="str">
            <v>L510</v>
          </cell>
        </row>
        <row r="512">
          <cell r="E512" t="str">
            <v>L511</v>
          </cell>
        </row>
        <row r="513">
          <cell r="E513" t="str">
            <v>L512</v>
          </cell>
        </row>
        <row r="514">
          <cell r="E514" t="str">
            <v>L513</v>
          </cell>
        </row>
        <row r="515">
          <cell r="E515" t="str">
            <v>L514</v>
          </cell>
        </row>
        <row r="516">
          <cell r="E516" t="str">
            <v>L515</v>
          </cell>
        </row>
        <row r="517">
          <cell r="E517" t="str">
            <v>L516</v>
          </cell>
        </row>
        <row r="518">
          <cell r="E518" t="str">
            <v>L517</v>
          </cell>
        </row>
        <row r="519">
          <cell r="E519" t="str">
            <v>L518</v>
          </cell>
        </row>
        <row r="520">
          <cell r="E520" t="str">
            <v>L519</v>
          </cell>
        </row>
        <row r="521">
          <cell r="E521" t="str">
            <v>L520</v>
          </cell>
        </row>
        <row r="522">
          <cell r="E522" t="str">
            <v>L521</v>
          </cell>
        </row>
        <row r="523">
          <cell r="E523" t="str">
            <v>L522</v>
          </cell>
        </row>
        <row r="524">
          <cell r="E524" t="str">
            <v>L523</v>
          </cell>
        </row>
        <row r="525">
          <cell r="E525" t="str">
            <v>L524</v>
          </cell>
        </row>
        <row r="526">
          <cell r="E526" t="str">
            <v>L525</v>
          </cell>
        </row>
        <row r="527">
          <cell r="E527" t="str">
            <v>L526</v>
          </cell>
        </row>
        <row r="528">
          <cell r="E528" t="str">
            <v>L527</v>
          </cell>
        </row>
        <row r="529">
          <cell r="E529" t="str">
            <v>L528</v>
          </cell>
        </row>
        <row r="530">
          <cell r="E530" t="str">
            <v>L529</v>
          </cell>
        </row>
        <row r="531">
          <cell r="E531" t="str">
            <v>L530</v>
          </cell>
        </row>
        <row r="532">
          <cell r="E532" t="str">
            <v>L531</v>
          </cell>
        </row>
        <row r="533">
          <cell r="E533" t="str">
            <v>L532</v>
          </cell>
        </row>
        <row r="534">
          <cell r="E534" t="str">
            <v>L533</v>
          </cell>
        </row>
        <row r="535">
          <cell r="E535" t="str">
            <v>L534</v>
          </cell>
        </row>
        <row r="536">
          <cell r="E536" t="str">
            <v>L535</v>
          </cell>
        </row>
        <row r="537">
          <cell r="E537" t="str">
            <v>L536</v>
          </cell>
        </row>
        <row r="538">
          <cell r="E538" t="str">
            <v>L537</v>
          </cell>
        </row>
        <row r="539">
          <cell r="E539" t="str">
            <v>L538</v>
          </cell>
        </row>
        <row r="540">
          <cell r="E540" t="str">
            <v>L539</v>
          </cell>
        </row>
        <row r="541">
          <cell r="E541" t="str">
            <v>L540</v>
          </cell>
        </row>
        <row r="542">
          <cell r="E542" t="str">
            <v>L541</v>
          </cell>
        </row>
        <row r="543">
          <cell r="E543" t="str">
            <v>L542</v>
          </cell>
        </row>
        <row r="544">
          <cell r="E544" t="str">
            <v>L543</v>
          </cell>
        </row>
        <row r="545">
          <cell r="E545" t="str">
            <v>L544</v>
          </cell>
        </row>
        <row r="546">
          <cell r="E546" t="str">
            <v>L545</v>
          </cell>
        </row>
        <row r="547">
          <cell r="E547" t="str">
            <v>L546</v>
          </cell>
        </row>
        <row r="548">
          <cell r="E548" t="str">
            <v>L547</v>
          </cell>
        </row>
        <row r="549">
          <cell r="E549" t="str">
            <v>L548</v>
          </cell>
        </row>
        <row r="550">
          <cell r="E550" t="str">
            <v>L549</v>
          </cell>
        </row>
        <row r="551">
          <cell r="E551" t="str">
            <v>L550</v>
          </cell>
        </row>
        <row r="552">
          <cell r="E552" t="str">
            <v>L551</v>
          </cell>
        </row>
        <row r="553">
          <cell r="E553" t="str">
            <v>L552</v>
          </cell>
        </row>
        <row r="554">
          <cell r="E554" t="str">
            <v>L553</v>
          </cell>
        </row>
        <row r="555">
          <cell r="E555" t="str">
            <v>L554</v>
          </cell>
        </row>
        <row r="556">
          <cell r="E556" t="str">
            <v>L555</v>
          </cell>
        </row>
        <row r="557">
          <cell r="E557" t="str">
            <v>L556</v>
          </cell>
        </row>
        <row r="558">
          <cell r="E558" t="str">
            <v>L557</v>
          </cell>
        </row>
        <row r="559">
          <cell r="E559" t="str">
            <v>L558</v>
          </cell>
        </row>
        <row r="560">
          <cell r="E560" t="str">
            <v>L559</v>
          </cell>
        </row>
        <row r="561">
          <cell r="E561" t="str">
            <v>L560</v>
          </cell>
        </row>
        <row r="562">
          <cell r="E562" t="str">
            <v>L561</v>
          </cell>
        </row>
        <row r="563">
          <cell r="E563" t="str">
            <v>L562</v>
          </cell>
        </row>
        <row r="564">
          <cell r="E564" t="str">
            <v>L563</v>
          </cell>
        </row>
        <row r="565">
          <cell r="E565" t="str">
            <v>L564</v>
          </cell>
        </row>
        <row r="566">
          <cell r="E566" t="str">
            <v>L565</v>
          </cell>
        </row>
        <row r="567">
          <cell r="E567" t="str">
            <v>L566</v>
          </cell>
        </row>
        <row r="568">
          <cell r="E568" t="str">
            <v>L567</v>
          </cell>
        </row>
        <row r="569">
          <cell r="E569" t="str">
            <v>L568</v>
          </cell>
        </row>
        <row r="570">
          <cell r="E570" t="str">
            <v>L569</v>
          </cell>
        </row>
        <row r="571">
          <cell r="E571" t="str">
            <v>L570</v>
          </cell>
        </row>
        <row r="572">
          <cell r="E572" t="str">
            <v>L571</v>
          </cell>
        </row>
        <row r="573">
          <cell r="E573" t="str">
            <v>L572</v>
          </cell>
        </row>
        <row r="574">
          <cell r="E574" t="str">
            <v>L573</v>
          </cell>
        </row>
        <row r="575">
          <cell r="E575" t="str">
            <v>L574</v>
          </cell>
        </row>
        <row r="576">
          <cell r="E576" t="str">
            <v>L575</v>
          </cell>
        </row>
        <row r="577">
          <cell r="E577" t="str">
            <v>L576</v>
          </cell>
        </row>
        <row r="578">
          <cell r="E578" t="str">
            <v>L577</v>
          </cell>
        </row>
        <row r="579">
          <cell r="E579" t="str">
            <v>L578</v>
          </cell>
        </row>
        <row r="580">
          <cell r="E580" t="str">
            <v>L579</v>
          </cell>
        </row>
        <row r="581">
          <cell r="E581" t="str">
            <v>L580</v>
          </cell>
        </row>
        <row r="582">
          <cell r="E582" t="str">
            <v>L581</v>
          </cell>
        </row>
        <row r="583">
          <cell r="E583" t="str">
            <v>L582</v>
          </cell>
        </row>
        <row r="584">
          <cell r="E584" t="str">
            <v>L583</v>
          </cell>
        </row>
        <row r="585">
          <cell r="E585" t="str">
            <v>L584</v>
          </cell>
        </row>
        <row r="586">
          <cell r="E586" t="str">
            <v>L585</v>
          </cell>
        </row>
        <row r="587">
          <cell r="E587" t="str">
            <v>L586</v>
          </cell>
        </row>
        <row r="588">
          <cell r="E588" t="str">
            <v>L587</v>
          </cell>
        </row>
        <row r="589">
          <cell r="E589" t="str">
            <v>L588</v>
          </cell>
        </row>
        <row r="590">
          <cell r="E590" t="str">
            <v>L589</v>
          </cell>
        </row>
        <row r="591">
          <cell r="E591" t="str">
            <v>L590</v>
          </cell>
        </row>
        <row r="592">
          <cell r="E592" t="str">
            <v>L591</v>
          </cell>
        </row>
        <row r="593">
          <cell r="E593" t="str">
            <v>L592</v>
          </cell>
        </row>
        <row r="594">
          <cell r="E594" t="str">
            <v>L593</v>
          </cell>
        </row>
        <row r="595">
          <cell r="E595" t="str">
            <v>L594</v>
          </cell>
        </row>
        <row r="596">
          <cell r="E596" t="str">
            <v>L595</v>
          </cell>
        </row>
        <row r="597">
          <cell r="E597" t="str">
            <v>L596</v>
          </cell>
        </row>
        <row r="598">
          <cell r="E598" t="str">
            <v>L597</v>
          </cell>
        </row>
        <row r="599">
          <cell r="E599" t="str">
            <v>L598</v>
          </cell>
        </row>
        <row r="600">
          <cell r="E600" t="str">
            <v>L599</v>
          </cell>
        </row>
        <row r="601">
          <cell r="E601" t="str">
            <v>L600</v>
          </cell>
        </row>
        <row r="602">
          <cell r="E602" t="str">
            <v>L601</v>
          </cell>
        </row>
        <row r="603">
          <cell r="E603" t="str">
            <v>L602</v>
          </cell>
        </row>
        <row r="604">
          <cell r="E604" t="str">
            <v>L603</v>
          </cell>
        </row>
        <row r="605">
          <cell r="E605" t="str">
            <v>L604</v>
          </cell>
        </row>
        <row r="606">
          <cell r="E606" t="str">
            <v>L605</v>
          </cell>
        </row>
        <row r="607">
          <cell r="E607" t="str">
            <v>L606</v>
          </cell>
        </row>
        <row r="608">
          <cell r="E608" t="str">
            <v>L607</v>
          </cell>
        </row>
        <row r="609">
          <cell r="E609" t="str">
            <v>L608</v>
          </cell>
        </row>
        <row r="610">
          <cell r="E610" t="str">
            <v>L609</v>
          </cell>
        </row>
        <row r="611">
          <cell r="E611" t="str">
            <v>L610</v>
          </cell>
        </row>
        <row r="612">
          <cell r="E612" t="str">
            <v>L611</v>
          </cell>
        </row>
        <row r="613">
          <cell r="E613" t="str">
            <v>L612</v>
          </cell>
        </row>
        <row r="614">
          <cell r="E614" t="str">
            <v>L613</v>
          </cell>
        </row>
        <row r="615">
          <cell r="E615" t="str">
            <v>L614</v>
          </cell>
        </row>
        <row r="616">
          <cell r="E616" t="str">
            <v>L615</v>
          </cell>
        </row>
        <row r="617">
          <cell r="E617" t="str">
            <v>L616</v>
          </cell>
        </row>
        <row r="618">
          <cell r="E618" t="str">
            <v>L617</v>
          </cell>
        </row>
        <row r="619">
          <cell r="E619" t="str">
            <v>L618</v>
          </cell>
        </row>
        <row r="620">
          <cell r="E620" t="str">
            <v>L619</v>
          </cell>
        </row>
        <row r="621">
          <cell r="E621" t="str">
            <v>L620</v>
          </cell>
        </row>
        <row r="622">
          <cell r="E622" t="str">
            <v>L621</v>
          </cell>
        </row>
        <row r="623">
          <cell r="E623" t="str">
            <v>L622</v>
          </cell>
        </row>
        <row r="624">
          <cell r="E624" t="str">
            <v>L623</v>
          </cell>
        </row>
        <row r="625">
          <cell r="E625" t="str">
            <v>L624</v>
          </cell>
        </row>
        <row r="626">
          <cell r="E626" t="str">
            <v>L625</v>
          </cell>
        </row>
        <row r="627">
          <cell r="E627" t="str">
            <v>L626</v>
          </cell>
        </row>
        <row r="628">
          <cell r="E628" t="str">
            <v>L627</v>
          </cell>
        </row>
        <row r="629">
          <cell r="E629" t="str">
            <v>L628</v>
          </cell>
        </row>
        <row r="630">
          <cell r="E630" t="str">
            <v>L629</v>
          </cell>
        </row>
        <row r="631">
          <cell r="E631" t="str">
            <v>L630</v>
          </cell>
        </row>
        <row r="632">
          <cell r="E632" t="str">
            <v>L631</v>
          </cell>
        </row>
        <row r="633">
          <cell r="E633" t="str">
            <v>L632</v>
          </cell>
        </row>
        <row r="634">
          <cell r="E634" t="str">
            <v>L633</v>
          </cell>
        </row>
        <row r="635">
          <cell r="E635" t="str">
            <v>L634</v>
          </cell>
        </row>
        <row r="636">
          <cell r="E636" t="str">
            <v>L635</v>
          </cell>
        </row>
        <row r="637">
          <cell r="E637" t="str">
            <v>L636</v>
          </cell>
        </row>
        <row r="638">
          <cell r="E638" t="str">
            <v>L637</v>
          </cell>
        </row>
        <row r="639">
          <cell r="E639" t="str">
            <v>L638</v>
          </cell>
        </row>
        <row r="640">
          <cell r="E640" t="str">
            <v>L639</v>
          </cell>
        </row>
        <row r="641">
          <cell r="E641" t="str">
            <v>L640</v>
          </cell>
        </row>
        <row r="642">
          <cell r="E642" t="str">
            <v>L641</v>
          </cell>
        </row>
        <row r="643">
          <cell r="E643" t="str">
            <v>L642</v>
          </cell>
        </row>
        <row r="644">
          <cell r="E644" t="str">
            <v>L643</v>
          </cell>
        </row>
        <row r="645">
          <cell r="E645" t="str">
            <v>L644</v>
          </cell>
        </row>
        <row r="646">
          <cell r="E646" t="str">
            <v>L645</v>
          </cell>
        </row>
        <row r="647">
          <cell r="E647" t="str">
            <v>L646</v>
          </cell>
        </row>
        <row r="648">
          <cell r="E648" t="str">
            <v>L647</v>
          </cell>
        </row>
        <row r="649">
          <cell r="E649" t="str">
            <v>L648</v>
          </cell>
        </row>
        <row r="650">
          <cell r="E650" t="str">
            <v>L649</v>
          </cell>
        </row>
        <row r="651">
          <cell r="E651" t="str">
            <v>L650</v>
          </cell>
        </row>
        <row r="652">
          <cell r="E652" t="str">
            <v>L651</v>
          </cell>
        </row>
        <row r="653">
          <cell r="E653" t="str">
            <v>L652</v>
          </cell>
        </row>
        <row r="654">
          <cell r="E654" t="str">
            <v>L653</v>
          </cell>
        </row>
        <row r="655">
          <cell r="E655" t="str">
            <v>L654</v>
          </cell>
        </row>
        <row r="656">
          <cell r="E656" t="str">
            <v>L655</v>
          </cell>
        </row>
        <row r="657">
          <cell r="E657" t="str">
            <v>L656</v>
          </cell>
        </row>
        <row r="658">
          <cell r="E658" t="str">
            <v>L657</v>
          </cell>
        </row>
        <row r="659">
          <cell r="E659" t="str">
            <v>L658</v>
          </cell>
        </row>
        <row r="660">
          <cell r="E660" t="str">
            <v>L659</v>
          </cell>
        </row>
        <row r="661">
          <cell r="E661" t="str">
            <v>L660</v>
          </cell>
        </row>
        <row r="662">
          <cell r="E662" t="str">
            <v>L661</v>
          </cell>
        </row>
        <row r="663">
          <cell r="E663" t="str">
            <v>L662</v>
          </cell>
        </row>
        <row r="664">
          <cell r="E664" t="str">
            <v>L663</v>
          </cell>
        </row>
        <row r="665">
          <cell r="E665" t="str">
            <v>L664</v>
          </cell>
        </row>
        <row r="666">
          <cell r="E666" t="str">
            <v>L665</v>
          </cell>
        </row>
        <row r="667">
          <cell r="E667" t="str">
            <v>L666</v>
          </cell>
        </row>
        <row r="668">
          <cell r="E668" t="str">
            <v>L667</v>
          </cell>
        </row>
        <row r="669">
          <cell r="E669" t="str">
            <v>L668</v>
          </cell>
        </row>
        <row r="670">
          <cell r="E670" t="str">
            <v>L669</v>
          </cell>
        </row>
        <row r="671">
          <cell r="E671" t="str">
            <v>L670</v>
          </cell>
        </row>
        <row r="672">
          <cell r="E672" t="str">
            <v>L671</v>
          </cell>
        </row>
        <row r="673">
          <cell r="E673" t="str">
            <v>L672</v>
          </cell>
        </row>
        <row r="674">
          <cell r="E674" t="str">
            <v>L673</v>
          </cell>
        </row>
        <row r="675">
          <cell r="E675" t="str">
            <v>L674</v>
          </cell>
        </row>
        <row r="676">
          <cell r="E676" t="str">
            <v>L675</v>
          </cell>
        </row>
        <row r="677">
          <cell r="E677" t="str">
            <v>L676</v>
          </cell>
        </row>
        <row r="678">
          <cell r="E678" t="str">
            <v>L677</v>
          </cell>
        </row>
        <row r="679">
          <cell r="E679" t="str">
            <v>L678</v>
          </cell>
        </row>
        <row r="680">
          <cell r="E680" t="str">
            <v>L679</v>
          </cell>
        </row>
        <row r="681">
          <cell r="E681" t="str">
            <v>L680</v>
          </cell>
        </row>
        <row r="682">
          <cell r="E682" t="str">
            <v>L681</v>
          </cell>
        </row>
        <row r="683">
          <cell r="E683" t="str">
            <v>L682</v>
          </cell>
        </row>
        <row r="684">
          <cell r="E684" t="str">
            <v>L683</v>
          </cell>
        </row>
        <row r="685">
          <cell r="E685" t="str">
            <v>L684</v>
          </cell>
        </row>
        <row r="686">
          <cell r="E686" t="str">
            <v>L685</v>
          </cell>
        </row>
        <row r="687">
          <cell r="E687" t="str">
            <v>L686</v>
          </cell>
        </row>
        <row r="688">
          <cell r="E688" t="str">
            <v>L687</v>
          </cell>
        </row>
        <row r="689">
          <cell r="E689" t="str">
            <v>L688</v>
          </cell>
        </row>
        <row r="690">
          <cell r="E690" t="str">
            <v>L689</v>
          </cell>
        </row>
        <row r="691">
          <cell r="E691" t="str">
            <v>L690</v>
          </cell>
        </row>
        <row r="692">
          <cell r="E692" t="str">
            <v>L691</v>
          </cell>
        </row>
        <row r="693">
          <cell r="E693" t="str">
            <v>L692</v>
          </cell>
        </row>
        <row r="694">
          <cell r="E694" t="str">
            <v>L693</v>
          </cell>
        </row>
        <row r="695">
          <cell r="E695" t="str">
            <v>L694</v>
          </cell>
        </row>
        <row r="696">
          <cell r="E696" t="str">
            <v>L695</v>
          </cell>
        </row>
        <row r="697">
          <cell r="E697" t="str">
            <v>L696</v>
          </cell>
        </row>
        <row r="698">
          <cell r="E698" t="str">
            <v>L697</v>
          </cell>
        </row>
        <row r="699">
          <cell r="E699" t="str">
            <v>L698</v>
          </cell>
        </row>
        <row r="700">
          <cell r="E700" t="str">
            <v>L699</v>
          </cell>
        </row>
        <row r="701">
          <cell r="E701" t="str">
            <v>L700</v>
          </cell>
        </row>
        <row r="702">
          <cell r="E702" t="str">
            <v>L701</v>
          </cell>
        </row>
        <row r="703">
          <cell r="E703" t="str">
            <v>L702</v>
          </cell>
        </row>
        <row r="704">
          <cell r="E704" t="str">
            <v>L703</v>
          </cell>
        </row>
        <row r="705">
          <cell r="E705" t="str">
            <v>L704</v>
          </cell>
        </row>
        <row r="706">
          <cell r="E706" t="str">
            <v>L705</v>
          </cell>
        </row>
        <row r="707">
          <cell r="E707" t="str">
            <v>L706</v>
          </cell>
        </row>
        <row r="708">
          <cell r="E708" t="str">
            <v>L707</v>
          </cell>
        </row>
        <row r="709">
          <cell r="E709" t="str">
            <v>L708</v>
          </cell>
        </row>
        <row r="710">
          <cell r="E710" t="str">
            <v>L709</v>
          </cell>
        </row>
        <row r="711">
          <cell r="E711" t="str">
            <v>L710</v>
          </cell>
        </row>
        <row r="712">
          <cell r="E712" t="str">
            <v>L711</v>
          </cell>
        </row>
        <row r="713">
          <cell r="E713" t="str">
            <v>L712</v>
          </cell>
        </row>
        <row r="714">
          <cell r="E714" t="str">
            <v>L713</v>
          </cell>
        </row>
        <row r="715">
          <cell r="E715" t="str">
            <v>L714</v>
          </cell>
        </row>
        <row r="716">
          <cell r="E716" t="str">
            <v>L715</v>
          </cell>
        </row>
        <row r="717">
          <cell r="E717" t="str">
            <v>L716</v>
          </cell>
        </row>
        <row r="718">
          <cell r="E718" t="str">
            <v>L717</v>
          </cell>
        </row>
        <row r="719">
          <cell r="E719" t="str">
            <v>L718</v>
          </cell>
        </row>
        <row r="720">
          <cell r="E720" t="str">
            <v>L719</v>
          </cell>
        </row>
        <row r="721">
          <cell r="E721" t="str">
            <v>L720</v>
          </cell>
        </row>
        <row r="722">
          <cell r="E722" t="str">
            <v>L721</v>
          </cell>
        </row>
        <row r="723">
          <cell r="E723" t="str">
            <v>L722</v>
          </cell>
        </row>
        <row r="724">
          <cell r="E724" t="str">
            <v>L723</v>
          </cell>
        </row>
        <row r="725">
          <cell r="E725" t="str">
            <v>L724</v>
          </cell>
        </row>
        <row r="726">
          <cell r="E726" t="str">
            <v>L725</v>
          </cell>
        </row>
        <row r="727">
          <cell r="E727" t="str">
            <v>L726</v>
          </cell>
        </row>
        <row r="728">
          <cell r="E728" t="str">
            <v>L727</v>
          </cell>
        </row>
        <row r="729">
          <cell r="E729" t="str">
            <v>L728</v>
          </cell>
        </row>
        <row r="730">
          <cell r="E730" t="str">
            <v>L729</v>
          </cell>
        </row>
        <row r="731">
          <cell r="E731" t="str">
            <v>L730</v>
          </cell>
        </row>
        <row r="732">
          <cell r="E732" t="str">
            <v>L731</v>
          </cell>
        </row>
        <row r="733">
          <cell r="E733" t="str">
            <v>L732</v>
          </cell>
        </row>
        <row r="734">
          <cell r="E734" t="str">
            <v>L733</v>
          </cell>
        </row>
        <row r="735">
          <cell r="E735" t="str">
            <v>L734</v>
          </cell>
        </row>
        <row r="736">
          <cell r="E736" t="str">
            <v>L735</v>
          </cell>
        </row>
        <row r="737">
          <cell r="E737" t="str">
            <v>L736</v>
          </cell>
        </row>
        <row r="738">
          <cell r="E738" t="str">
            <v>L737</v>
          </cell>
        </row>
        <row r="739">
          <cell r="E739" t="str">
            <v>L738</v>
          </cell>
        </row>
        <row r="740">
          <cell r="E740" t="str">
            <v>L739</v>
          </cell>
        </row>
        <row r="741">
          <cell r="E741" t="str">
            <v>L740</v>
          </cell>
        </row>
        <row r="742">
          <cell r="E742" t="str">
            <v>L741</v>
          </cell>
        </row>
        <row r="743">
          <cell r="E743" t="str">
            <v>L742</v>
          </cell>
        </row>
        <row r="744">
          <cell r="E744" t="str">
            <v>L743</v>
          </cell>
        </row>
        <row r="745">
          <cell r="E745" t="str">
            <v>L744</v>
          </cell>
        </row>
        <row r="746">
          <cell r="E746" t="str">
            <v>L745</v>
          </cell>
        </row>
        <row r="747">
          <cell r="E747" t="str">
            <v>L746</v>
          </cell>
        </row>
        <row r="748">
          <cell r="E748" t="str">
            <v>L747</v>
          </cell>
        </row>
        <row r="749">
          <cell r="E749" t="str">
            <v>L748</v>
          </cell>
        </row>
        <row r="750">
          <cell r="E750" t="str">
            <v>L749</v>
          </cell>
        </row>
        <row r="751">
          <cell r="E751" t="str">
            <v>L750</v>
          </cell>
        </row>
        <row r="752">
          <cell r="E752" t="str">
            <v>L751</v>
          </cell>
        </row>
        <row r="753">
          <cell r="E753" t="str">
            <v>L752</v>
          </cell>
        </row>
        <row r="754">
          <cell r="E754" t="str">
            <v>L753</v>
          </cell>
        </row>
        <row r="755">
          <cell r="E755" t="str">
            <v>L754</v>
          </cell>
        </row>
        <row r="756">
          <cell r="E756" t="str">
            <v>L755</v>
          </cell>
        </row>
        <row r="757">
          <cell r="E757" t="str">
            <v>L756</v>
          </cell>
        </row>
        <row r="758">
          <cell r="E758" t="str">
            <v>L757</v>
          </cell>
        </row>
        <row r="759">
          <cell r="E759" t="str">
            <v>L758</v>
          </cell>
        </row>
        <row r="760">
          <cell r="E760" t="str">
            <v>L759</v>
          </cell>
        </row>
        <row r="761">
          <cell r="E761" t="str">
            <v>L760</v>
          </cell>
        </row>
        <row r="762">
          <cell r="E762" t="str">
            <v>L761</v>
          </cell>
        </row>
        <row r="763">
          <cell r="E763" t="str">
            <v>L762</v>
          </cell>
        </row>
        <row r="764">
          <cell r="E764" t="str">
            <v>L763</v>
          </cell>
        </row>
        <row r="765">
          <cell r="E765" t="str">
            <v>L764</v>
          </cell>
        </row>
        <row r="766">
          <cell r="E766" t="str">
            <v>L765</v>
          </cell>
        </row>
        <row r="767">
          <cell r="E767" t="str">
            <v>L766</v>
          </cell>
        </row>
        <row r="768">
          <cell r="E768" t="str">
            <v>L767</v>
          </cell>
        </row>
        <row r="769">
          <cell r="E769" t="str">
            <v>L768</v>
          </cell>
        </row>
        <row r="770">
          <cell r="E770" t="str">
            <v>L769</v>
          </cell>
        </row>
        <row r="771">
          <cell r="E771" t="str">
            <v>L770</v>
          </cell>
        </row>
        <row r="772">
          <cell r="E772" t="str">
            <v>L771</v>
          </cell>
        </row>
        <row r="773">
          <cell r="E773" t="str">
            <v>L772</v>
          </cell>
        </row>
        <row r="774">
          <cell r="E774" t="str">
            <v>L773</v>
          </cell>
        </row>
        <row r="775">
          <cell r="E775" t="str">
            <v>L774</v>
          </cell>
        </row>
        <row r="776">
          <cell r="E776" t="str">
            <v>L775</v>
          </cell>
        </row>
        <row r="777">
          <cell r="E777" t="str">
            <v>L776</v>
          </cell>
        </row>
        <row r="778">
          <cell r="E778" t="str">
            <v>L777</v>
          </cell>
        </row>
        <row r="779">
          <cell r="E779" t="str">
            <v>L778</v>
          </cell>
        </row>
        <row r="780">
          <cell r="E780" t="str">
            <v>L779</v>
          </cell>
        </row>
        <row r="781">
          <cell r="E781" t="str">
            <v>L780</v>
          </cell>
        </row>
        <row r="782">
          <cell r="E782" t="str">
            <v>L781</v>
          </cell>
        </row>
        <row r="783">
          <cell r="E783" t="str">
            <v>L782</v>
          </cell>
        </row>
        <row r="784">
          <cell r="E784" t="str">
            <v>L783</v>
          </cell>
        </row>
        <row r="785">
          <cell r="E785" t="str">
            <v>L784</v>
          </cell>
        </row>
        <row r="786">
          <cell r="E786" t="str">
            <v>L785</v>
          </cell>
        </row>
        <row r="787">
          <cell r="E787" t="str">
            <v>L786</v>
          </cell>
        </row>
        <row r="788">
          <cell r="E788" t="str">
            <v>L787</v>
          </cell>
        </row>
        <row r="789">
          <cell r="E789" t="str">
            <v>L788</v>
          </cell>
        </row>
        <row r="790">
          <cell r="E790" t="str">
            <v>L789</v>
          </cell>
        </row>
        <row r="791">
          <cell r="E791" t="str">
            <v>L790</v>
          </cell>
        </row>
        <row r="792">
          <cell r="E792" t="str">
            <v>L791</v>
          </cell>
        </row>
        <row r="793">
          <cell r="E793" t="str">
            <v>L792</v>
          </cell>
        </row>
        <row r="794">
          <cell r="E794" t="str">
            <v>L793</v>
          </cell>
        </row>
        <row r="795">
          <cell r="E795" t="str">
            <v>L794</v>
          </cell>
        </row>
        <row r="796">
          <cell r="E796" t="str">
            <v>L795</v>
          </cell>
        </row>
        <row r="797">
          <cell r="E797" t="str">
            <v>L796</v>
          </cell>
        </row>
        <row r="798">
          <cell r="E798" t="str">
            <v>L797</v>
          </cell>
        </row>
        <row r="799">
          <cell r="E799" t="str">
            <v>L798</v>
          </cell>
        </row>
        <row r="800">
          <cell r="E800" t="str">
            <v>L799</v>
          </cell>
        </row>
        <row r="801">
          <cell r="E801" t="str">
            <v>L800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_info"/>
      <sheetName val="Stackup"/>
      <sheetName val="DRD_Revision"/>
      <sheetName val="Customer_Inputs"/>
      <sheetName val="Revisions"/>
      <sheetName val="set_validations_"/>
      <sheetName val="CMT Configuration"/>
      <sheetName val="Instruction"/>
      <sheetName val="Routing_instruction"/>
      <sheetName val="power"/>
      <sheetName val="Decoupling"/>
      <sheetName val="Special_Connections"/>
      <sheetName val="Power Following"/>
      <sheetName val="TDAU Routing Instruction"/>
      <sheetName val="ELB Specification"/>
      <sheetName val="CCV3 Pseudo Netlist"/>
      <sheetName val="CBIT"/>
      <sheetName val="STANDARD_CIRCUITS "/>
      <sheetName val="ND2F1760E_PinSharing"/>
      <sheetName val="CL_SDM_DEDICATED"/>
      <sheetName val="STANDARD_CIRCU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F2" t="str">
            <v>TD1</v>
          </cell>
        </row>
        <row r="3">
          <cell r="F3" t="str">
            <v>TD2</v>
          </cell>
        </row>
        <row r="4">
          <cell r="F4" t="str">
            <v>TD3</v>
          </cell>
        </row>
        <row r="5">
          <cell r="F5" t="str">
            <v>TD4</v>
          </cell>
        </row>
        <row r="6">
          <cell r="F6" t="str">
            <v>TD5</v>
          </cell>
        </row>
        <row r="7">
          <cell r="F7" t="str">
            <v>TD6</v>
          </cell>
        </row>
        <row r="8">
          <cell r="F8" t="str">
            <v>TD7</v>
          </cell>
        </row>
        <row r="9">
          <cell r="F9" t="str">
            <v>TD8</v>
          </cell>
        </row>
        <row r="10">
          <cell r="F10" t="str">
            <v>TD9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Q54"/>
  <sheetViews>
    <sheetView zoomScaleNormal="100" workbookViewId="0">
      <selection activeCell="D24" sqref="D24"/>
    </sheetView>
  </sheetViews>
  <sheetFormatPr defaultRowHeight="14.25"/>
  <cols>
    <col min="1" max="1" width="10.42578125" style="17" bestFit="1" customWidth="1"/>
    <col min="2" max="2" width="9" style="17"/>
    <col min="3" max="3" width="16.7109375" style="17" bestFit="1" customWidth="1"/>
    <col min="4" max="4" width="112.5703125" style="17" bestFit="1" customWidth="1"/>
    <col min="5" max="256" width="9" style="17"/>
    <col min="257" max="257" width="9.7109375" style="17" bestFit="1" customWidth="1"/>
    <col min="258" max="259" width="9" style="17"/>
    <col min="260" max="260" width="112.5703125" style="17" bestFit="1" customWidth="1"/>
    <col min="261" max="512" width="9" style="17"/>
    <col min="513" max="513" width="9.7109375" style="17" bestFit="1" customWidth="1"/>
    <col min="514" max="515" width="9" style="17"/>
    <col min="516" max="516" width="112.5703125" style="17" bestFit="1" customWidth="1"/>
    <col min="517" max="768" width="9" style="17"/>
    <col min="769" max="769" width="9.7109375" style="17" bestFit="1" customWidth="1"/>
    <col min="770" max="771" width="9" style="17"/>
    <col min="772" max="772" width="112.5703125" style="17" bestFit="1" customWidth="1"/>
    <col min="773" max="1024" width="9" style="17"/>
    <col min="1025" max="1025" width="9.7109375" style="17" bestFit="1" customWidth="1"/>
    <col min="1026" max="1027" width="9" style="17"/>
    <col min="1028" max="1028" width="112.5703125" style="17" bestFit="1" customWidth="1"/>
    <col min="1029" max="1280" width="9" style="17"/>
    <col min="1281" max="1281" width="9.7109375" style="17" bestFit="1" customWidth="1"/>
    <col min="1282" max="1283" width="9" style="17"/>
    <col min="1284" max="1284" width="112.5703125" style="17" bestFit="1" customWidth="1"/>
    <col min="1285" max="1536" width="9" style="17"/>
    <col min="1537" max="1537" width="9.7109375" style="17" bestFit="1" customWidth="1"/>
    <col min="1538" max="1539" width="9" style="17"/>
    <col min="1540" max="1540" width="112.5703125" style="17" bestFit="1" customWidth="1"/>
    <col min="1541" max="1792" width="9" style="17"/>
    <col min="1793" max="1793" width="9.7109375" style="17" bestFit="1" customWidth="1"/>
    <col min="1794" max="1795" width="9" style="17"/>
    <col min="1796" max="1796" width="112.5703125" style="17" bestFit="1" customWidth="1"/>
    <col min="1797" max="2048" width="9" style="17"/>
    <col min="2049" max="2049" width="9.7109375" style="17" bestFit="1" customWidth="1"/>
    <col min="2050" max="2051" width="9" style="17"/>
    <col min="2052" max="2052" width="112.5703125" style="17" bestFit="1" customWidth="1"/>
    <col min="2053" max="2304" width="9" style="17"/>
    <col min="2305" max="2305" width="9.7109375" style="17" bestFit="1" customWidth="1"/>
    <col min="2306" max="2307" width="9" style="17"/>
    <col min="2308" max="2308" width="112.5703125" style="17" bestFit="1" customWidth="1"/>
    <col min="2309" max="2560" width="9" style="17"/>
    <col min="2561" max="2561" width="9.7109375" style="17" bestFit="1" customWidth="1"/>
    <col min="2562" max="2563" width="9" style="17"/>
    <col min="2564" max="2564" width="112.5703125" style="17" bestFit="1" customWidth="1"/>
    <col min="2565" max="2816" width="9" style="17"/>
    <col min="2817" max="2817" width="9.7109375" style="17" bestFit="1" customWidth="1"/>
    <col min="2818" max="2819" width="9" style="17"/>
    <col min="2820" max="2820" width="112.5703125" style="17" bestFit="1" customWidth="1"/>
    <col min="2821" max="3072" width="9" style="17"/>
    <col min="3073" max="3073" width="9.7109375" style="17" bestFit="1" customWidth="1"/>
    <col min="3074" max="3075" width="9" style="17"/>
    <col min="3076" max="3076" width="112.5703125" style="17" bestFit="1" customWidth="1"/>
    <col min="3077" max="3328" width="9" style="17"/>
    <col min="3329" max="3329" width="9.7109375" style="17" bestFit="1" customWidth="1"/>
    <col min="3330" max="3331" width="9" style="17"/>
    <col min="3332" max="3332" width="112.5703125" style="17" bestFit="1" customWidth="1"/>
    <col min="3333" max="3584" width="9" style="17"/>
    <col min="3585" max="3585" width="9.7109375" style="17" bestFit="1" customWidth="1"/>
    <col min="3586" max="3587" width="9" style="17"/>
    <col min="3588" max="3588" width="112.5703125" style="17" bestFit="1" customWidth="1"/>
    <col min="3589" max="3840" width="9" style="17"/>
    <col min="3841" max="3841" width="9.7109375" style="17" bestFit="1" customWidth="1"/>
    <col min="3842" max="3843" width="9" style="17"/>
    <col min="3844" max="3844" width="112.5703125" style="17" bestFit="1" customWidth="1"/>
    <col min="3845" max="4096" width="9" style="17"/>
    <col min="4097" max="4097" width="9.7109375" style="17" bestFit="1" customWidth="1"/>
    <col min="4098" max="4099" width="9" style="17"/>
    <col min="4100" max="4100" width="112.5703125" style="17" bestFit="1" customWidth="1"/>
    <col min="4101" max="4352" width="9" style="17"/>
    <col min="4353" max="4353" width="9.7109375" style="17" bestFit="1" customWidth="1"/>
    <col min="4354" max="4355" width="9" style="17"/>
    <col min="4356" max="4356" width="112.5703125" style="17" bestFit="1" customWidth="1"/>
    <col min="4357" max="4608" width="9" style="17"/>
    <col min="4609" max="4609" width="9.7109375" style="17" bestFit="1" customWidth="1"/>
    <col min="4610" max="4611" width="9" style="17"/>
    <col min="4612" max="4612" width="112.5703125" style="17" bestFit="1" customWidth="1"/>
    <col min="4613" max="4864" width="9" style="17"/>
    <col min="4865" max="4865" width="9.7109375" style="17" bestFit="1" customWidth="1"/>
    <col min="4866" max="4867" width="9" style="17"/>
    <col min="4868" max="4868" width="112.5703125" style="17" bestFit="1" customWidth="1"/>
    <col min="4869" max="5120" width="9" style="17"/>
    <col min="5121" max="5121" width="9.7109375" style="17" bestFit="1" customWidth="1"/>
    <col min="5122" max="5123" width="9" style="17"/>
    <col min="5124" max="5124" width="112.5703125" style="17" bestFit="1" customWidth="1"/>
    <col min="5125" max="5376" width="9" style="17"/>
    <col min="5377" max="5377" width="9.7109375" style="17" bestFit="1" customWidth="1"/>
    <col min="5378" max="5379" width="9" style="17"/>
    <col min="5380" max="5380" width="112.5703125" style="17" bestFit="1" customWidth="1"/>
    <col min="5381" max="5632" width="9" style="17"/>
    <col min="5633" max="5633" width="9.7109375" style="17" bestFit="1" customWidth="1"/>
    <col min="5634" max="5635" width="9" style="17"/>
    <col min="5636" max="5636" width="112.5703125" style="17" bestFit="1" customWidth="1"/>
    <col min="5637" max="5888" width="9" style="17"/>
    <col min="5889" max="5889" width="9.7109375" style="17" bestFit="1" customWidth="1"/>
    <col min="5890" max="5891" width="9" style="17"/>
    <col min="5892" max="5892" width="112.5703125" style="17" bestFit="1" customWidth="1"/>
    <col min="5893" max="6144" width="9" style="17"/>
    <col min="6145" max="6145" width="9.7109375" style="17" bestFit="1" customWidth="1"/>
    <col min="6146" max="6147" width="9" style="17"/>
    <col min="6148" max="6148" width="112.5703125" style="17" bestFit="1" customWidth="1"/>
    <col min="6149" max="6400" width="9" style="17"/>
    <col min="6401" max="6401" width="9.7109375" style="17" bestFit="1" customWidth="1"/>
    <col min="6402" max="6403" width="9" style="17"/>
    <col min="6404" max="6404" width="112.5703125" style="17" bestFit="1" customWidth="1"/>
    <col min="6405" max="6656" width="9" style="17"/>
    <col min="6657" max="6657" width="9.7109375" style="17" bestFit="1" customWidth="1"/>
    <col min="6658" max="6659" width="9" style="17"/>
    <col min="6660" max="6660" width="112.5703125" style="17" bestFit="1" customWidth="1"/>
    <col min="6661" max="6912" width="9" style="17"/>
    <col min="6913" max="6913" width="9.7109375" style="17" bestFit="1" customWidth="1"/>
    <col min="6914" max="6915" width="9" style="17"/>
    <col min="6916" max="6916" width="112.5703125" style="17" bestFit="1" customWidth="1"/>
    <col min="6917" max="7168" width="9" style="17"/>
    <col min="7169" max="7169" width="9.7109375" style="17" bestFit="1" customWidth="1"/>
    <col min="7170" max="7171" width="9" style="17"/>
    <col min="7172" max="7172" width="112.5703125" style="17" bestFit="1" customWidth="1"/>
    <col min="7173" max="7424" width="9" style="17"/>
    <col min="7425" max="7425" width="9.7109375" style="17" bestFit="1" customWidth="1"/>
    <col min="7426" max="7427" width="9" style="17"/>
    <col min="7428" max="7428" width="112.5703125" style="17" bestFit="1" customWidth="1"/>
    <col min="7429" max="7680" width="9" style="17"/>
    <col min="7681" max="7681" width="9.7109375" style="17" bestFit="1" customWidth="1"/>
    <col min="7682" max="7683" width="9" style="17"/>
    <col min="7684" max="7684" width="112.5703125" style="17" bestFit="1" customWidth="1"/>
    <col min="7685" max="7936" width="9" style="17"/>
    <col min="7937" max="7937" width="9.7109375" style="17" bestFit="1" customWidth="1"/>
    <col min="7938" max="7939" width="9" style="17"/>
    <col min="7940" max="7940" width="112.5703125" style="17" bestFit="1" customWidth="1"/>
    <col min="7941" max="8192" width="9" style="17"/>
    <col min="8193" max="8193" width="9.7109375" style="17" bestFit="1" customWidth="1"/>
    <col min="8194" max="8195" width="9" style="17"/>
    <col min="8196" max="8196" width="112.5703125" style="17" bestFit="1" customWidth="1"/>
    <col min="8197" max="8448" width="9" style="17"/>
    <col min="8449" max="8449" width="9.7109375" style="17" bestFit="1" customWidth="1"/>
    <col min="8450" max="8451" width="9" style="17"/>
    <col min="8452" max="8452" width="112.5703125" style="17" bestFit="1" customWidth="1"/>
    <col min="8453" max="8704" width="9" style="17"/>
    <col min="8705" max="8705" width="9.7109375" style="17" bestFit="1" customWidth="1"/>
    <col min="8706" max="8707" width="9" style="17"/>
    <col min="8708" max="8708" width="112.5703125" style="17" bestFit="1" customWidth="1"/>
    <col min="8709" max="8960" width="9" style="17"/>
    <col min="8961" max="8961" width="9.7109375" style="17" bestFit="1" customWidth="1"/>
    <col min="8962" max="8963" width="9" style="17"/>
    <col min="8964" max="8964" width="112.5703125" style="17" bestFit="1" customWidth="1"/>
    <col min="8965" max="9216" width="9" style="17"/>
    <col min="9217" max="9217" width="9.7109375" style="17" bestFit="1" customWidth="1"/>
    <col min="9218" max="9219" width="9" style="17"/>
    <col min="9220" max="9220" width="112.5703125" style="17" bestFit="1" customWidth="1"/>
    <col min="9221" max="9472" width="9" style="17"/>
    <col min="9473" max="9473" width="9.7109375" style="17" bestFit="1" customWidth="1"/>
    <col min="9474" max="9475" width="9" style="17"/>
    <col min="9476" max="9476" width="112.5703125" style="17" bestFit="1" customWidth="1"/>
    <col min="9477" max="9728" width="9" style="17"/>
    <col min="9729" max="9729" width="9.7109375" style="17" bestFit="1" customWidth="1"/>
    <col min="9730" max="9731" width="9" style="17"/>
    <col min="9732" max="9732" width="112.5703125" style="17" bestFit="1" customWidth="1"/>
    <col min="9733" max="9984" width="9" style="17"/>
    <col min="9985" max="9985" width="9.7109375" style="17" bestFit="1" customWidth="1"/>
    <col min="9986" max="9987" width="9" style="17"/>
    <col min="9988" max="9988" width="112.5703125" style="17" bestFit="1" customWidth="1"/>
    <col min="9989" max="10240" width="9" style="17"/>
    <col min="10241" max="10241" width="9.7109375" style="17" bestFit="1" customWidth="1"/>
    <col min="10242" max="10243" width="9" style="17"/>
    <col min="10244" max="10244" width="112.5703125" style="17" bestFit="1" customWidth="1"/>
    <col min="10245" max="10496" width="9" style="17"/>
    <col min="10497" max="10497" width="9.7109375" style="17" bestFit="1" customWidth="1"/>
    <col min="10498" max="10499" width="9" style="17"/>
    <col min="10500" max="10500" width="112.5703125" style="17" bestFit="1" customWidth="1"/>
    <col min="10501" max="10752" width="9" style="17"/>
    <col min="10753" max="10753" width="9.7109375" style="17" bestFit="1" customWidth="1"/>
    <col min="10754" max="10755" width="9" style="17"/>
    <col min="10756" max="10756" width="112.5703125" style="17" bestFit="1" customWidth="1"/>
    <col min="10757" max="11008" width="9" style="17"/>
    <col min="11009" max="11009" width="9.7109375" style="17" bestFit="1" customWidth="1"/>
    <col min="11010" max="11011" width="9" style="17"/>
    <col min="11012" max="11012" width="112.5703125" style="17" bestFit="1" customWidth="1"/>
    <col min="11013" max="11264" width="9" style="17"/>
    <col min="11265" max="11265" width="9.7109375" style="17" bestFit="1" customWidth="1"/>
    <col min="11266" max="11267" width="9" style="17"/>
    <col min="11268" max="11268" width="112.5703125" style="17" bestFit="1" customWidth="1"/>
    <col min="11269" max="11520" width="9" style="17"/>
    <col min="11521" max="11521" width="9.7109375" style="17" bestFit="1" customWidth="1"/>
    <col min="11522" max="11523" width="9" style="17"/>
    <col min="11524" max="11524" width="112.5703125" style="17" bestFit="1" customWidth="1"/>
    <col min="11525" max="11776" width="9" style="17"/>
    <col min="11777" max="11777" width="9.7109375" style="17" bestFit="1" customWidth="1"/>
    <col min="11778" max="11779" width="9" style="17"/>
    <col min="11780" max="11780" width="112.5703125" style="17" bestFit="1" customWidth="1"/>
    <col min="11781" max="12032" width="9" style="17"/>
    <col min="12033" max="12033" width="9.7109375" style="17" bestFit="1" customWidth="1"/>
    <col min="12034" max="12035" width="9" style="17"/>
    <col min="12036" max="12036" width="112.5703125" style="17" bestFit="1" customWidth="1"/>
    <col min="12037" max="12288" width="9" style="17"/>
    <col min="12289" max="12289" width="9.7109375" style="17" bestFit="1" customWidth="1"/>
    <col min="12290" max="12291" width="9" style="17"/>
    <col min="12292" max="12292" width="112.5703125" style="17" bestFit="1" customWidth="1"/>
    <col min="12293" max="12544" width="9" style="17"/>
    <col min="12545" max="12545" width="9.7109375" style="17" bestFit="1" customWidth="1"/>
    <col min="12546" max="12547" width="9" style="17"/>
    <col min="12548" max="12548" width="112.5703125" style="17" bestFit="1" customWidth="1"/>
    <col min="12549" max="12800" width="9" style="17"/>
    <col min="12801" max="12801" width="9.7109375" style="17" bestFit="1" customWidth="1"/>
    <col min="12802" max="12803" width="9" style="17"/>
    <col min="12804" max="12804" width="112.5703125" style="17" bestFit="1" customWidth="1"/>
    <col min="12805" max="13056" width="9" style="17"/>
    <col min="13057" max="13057" width="9.7109375" style="17" bestFit="1" customWidth="1"/>
    <col min="13058" max="13059" width="9" style="17"/>
    <col min="13060" max="13060" width="112.5703125" style="17" bestFit="1" customWidth="1"/>
    <col min="13061" max="13312" width="9" style="17"/>
    <col min="13313" max="13313" width="9.7109375" style="17" bestFit="1" customWidth="1"/>
    <col min="13314" max="13315" width="9" style="17"/>
    <col min="13316" max="13316" width="112.5703125" style="17" bestFit="1" customWidth="1"/>
    <col min="13317" max="13568" width="9" style="17"/>
    <col min="13569" max="13569" width="9.7109375" style="17" bestFit="1" customWidth="1"/>
    <col min="13570" max="13571" width="9" style="17"/>
    <col min="13572" max="13572" width="112.5703125" style="17" bestFit="1" customWidth="1"/>
    <col min="13573" max="13824" width="9" style="17"/>
    <col min="13825" max="13825" width="9.7109375" style="17" bestFit="1" customWidth="1"/>
    <col min="13826" max="13827" width="9" style="17"/>
    <col min="13828" max="13828" width="112.5703125" style="17" bestFit="1" customWidth="1"/>
    <col min="13829" max="14080" width="9" style="17"/>
    <col min="14081" max="14081" width="9.7109375" style="17" bestFit="1" customWidth="1"/>
    <col min="14082" max="14083" width="9" style="17"/>
    <col min="14084" max="14084" width="112.5703125" style="17" bestFit="1" customWidth="1"/>
    <col min="14085" max="14336" width="9" style="17"/>
    <col min="14337" max="14337" width="9.7109375" style="17" bestFit="1" customWidth="1"/>
    <col min="14338" max="14339" width="9" style="17"/>
    <col min="14340" max="14340" width="112.5703125" style="17" bestFit="1" customWidth="1"/>
    <col min="14341" max="14592" width="9" style="17"/>
    <col min="14593" max="14593" width="9.7109375" style="17" bestFit="1" customWidth="1"/>
    <col min="14594" max="14595" width="9" style="17"/>
    <col min="14596" max="14596" width="112.5703125" style="17" bestFit="1" customWidth="1"/>
    <col min="14597" max="14848" width="9" style="17"/>
    <col min="14849" max="14849" width="9.7109375" style="17" bestFit="1" customWidth="1"/>
    <col min="14850" max="14851" width="9" style="17"/>
    <col min="14852" max="14852" width="112.5703125" style="17" bestFit="1" customWidth="1"/>
    <col min="14853" max="15104" width="9" style="17"/>
    <col min="15105" max="15105" width="9.7109375" style="17" bestFit="1" customWidth="1"/>
    <col min="15106" max="15107" width="9" style="17"/>
    <col min="15108" max="15108" width="112.5703125" style="17" bestFit="1" customWidth="1"/>
    <col min="15109" max="15360" width="9" style="17"/>
    <col min="15361" max="15361" width="9.7109375" style="17" bestFit="1" customWidth="1"/>
    <col min="15362" max="15363" width="9" style="17"/>
    <col min="15364" max="15364" width="112.5703125" style="17" bestFit="1" customWidth="1"/>
    <col min="15365" max="15616" width="9" style="17"/>
    <col min="15617" max="15617" width="9.7109375" style="17" bestFit="1" customWidth="1"/>
    <col min="15618" max="15619" width="9" style="17"/>
    <col min="15620" max="15620" width="112.5703125" style="17" bestFit="1" customWidth="1"/>
    <col min="15621" max="15872" width="9" style="17"/>
    <col min="15873" max="15873" width="9.7109375" style="17" bestFit="1" customWidth="1"/>
    <col min="15874" max="15875" width="9" style="17"/>
    <col min="15876" max="15876" width="112.5703125" style="17" bestFit="1" customWidth="1"/>
    <col min="15877" max="16128" width="9" style="17"/>
    <col min="16129" max="16129" width="9.7109375" style="17" bestFit="1" customWidth="1"/>
    <col min="16130" max="16131" width="9" style="17"/>
    <col min="16132" max="16132" width="112.5703125" style="17" bestFit="1" customWidth="1"/>
    <col min="16133" max="16384" width="9" style="17"/>
  </cols>
  <sheetData>
    <row r="1" spans="1:4">
      <c r="A1" s="14" t="s">
        <v>0</v>
      </c>
      <c r="B1" s="15" t="s">
        <v>1</v>
      </c>
      <c r="C1" s="15" t="s">
        <v>2</v>
      </c>
      <c r="D1" s="16" t="s">
        <v>3</v>
      </c>
    </row>
    <row r="2" spans="1:4">
      <c r="A2" s="18">
        <v>44635</v>
      </c>
      <c r="B2" s="19" t="s">
        <v>4</v>
      </c>
      <c r="C2" s="19" t="s">
        <v>5</v>
      </c>
      <c r="D2" s="20" t="s">
        <v>6</v>
      </c>
    </row>
    <row r="3" spans="1:4">
      <c r="A3" s="18">
        <v>44637</v>
      </c>
      <c r="B3" s="19" t="s">
        <v>7</v>
      </c>
      <c r="C3" s="19" t="s">
        <v>5</v>
      </c>
      <c r="D3" s="30" t="s">
        <v>8</v>
      </c>
    </row>
    <row r="4" spans="1:4">
      <c r="A4" s="18"/>
      <c r="B4" s="19"/>
      <c r="C4" s="19"/>
      <c r="D4" s="19"/>
    </row>
    <row r="5" spans="1:4">
      <c r="A5" s="18"/>
      <c r="B5" s="19"/>
      <c r="C5" s="19"/>
      <c r="D5" s="19"/>
    </row>
    <row r="54" spans="17:17">
      <c r="Q54" s="1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1BF2-753A-436C-AC60-5337788A470C}">
  <dimension ref="A1:J1025"/>
  <sheetViews>
    <sheetView tabSelected="1" workbookViewId="0">
      <selection activeCell="Q19" sqref="Q19"/>
    </sheetView>
  </sheetViews>
  <sheetFormatPr defaultRowHeight="15"/>
  <sheetData>
    <row r="1" spans="1:10">
      <c r="A1" t="s">
        <v>3689</v>
      </c>
      <c r="B1" t="str">
        <f>_xlfn.XLOOKUP(A1,SITE1!$V$4:$V$1034,SITE1!$U$4:$U$1034,"")</f>
        <v>VSS</v>
      </c>
      <c r="C1" t="str" cm="1">
        <f t="array" ref="C1">_xlfn.TEXTJOIN(",",TRUE,_xlfn.UNIQUE(TRANSPOSE(_xlfn.MAP(_xlfn.XLOOKUP(A1,SITE1!$C$4:$C$1034,SITE1!$F$4:$O$1034,""),_xlfn.LAMBDA(_xlpm.x,IF(_xlpm.x&lt;&gt;"",TRIM(CLEAN(LEFT(_xlpm.x,FIND(".",_xlpm.x &amp; ".")-1))),""))))))</f>
        <v/>
      </c>
      <c r="D1">
        <v>9.9999999999944491E-4</v>
      </c>
      <c r="E1">
        <v>1.3808</v>
      </c>
      <c r="F1" t="str">
        <f>_xlfn.LET(_xlpm.raw,_xlfn.XLOOKUP(A1,SITE1!$C$4:$C$1034,SITE1!$E$4:$E$1034),_xlpm.cleanRaw,SUBSTITUTE(SUBSTITUTE(_xlpm.raw,"_PIN","."),"PIN","."),_xlpm.mainPart,MID(_xlpm.cleanRaw,2,FIND(".",_xlpm.cleanRaw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" t="str">
        <f>_xlfn.LET(_xlpm.raw,_xlfn.XLOOKUP(A1,SITE3!$C$4:$C$1034,SITE3!$E$4:$E$1034),_xlpm.cleanRaw,SUBSTITUTE(SUBSTITUTE(_xlpm.raw,"_PIN","."),"PIN","."),_xlpm.mainPart,MID(_xlpm.cleanRaw,2,FIND(".",_xlpm.cleanRaw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" t="str">
        <f>""</f>
        <v/>
      </c>
      <c r="I1" t="str">
        <f>""</f>
        <v/>
      </c>
      <c r="J1" t="str">
        <f>A1&amp;";"&amp;B1&amp;";"&amp;C1&amp;";"&amp;D1&amp;";"&amp;E1&amp;";"&amp;F1&amp;";"&amp;G1&amp;";"&amp;H1&amp;";"&amp;I1</f>
        <v>A4;VSS;;0.000999999999999445;1.3808;;;;</v>
      </c>
    </row>
    <row r="2" spans="1:10">
      <c r="A2" t="s">
        <v>3690</v>
      </c>
      <c r="B2" t="str">
        <f>_xlfn.XLOOKUP(A2,SITE1!$V$4:$V$1034,SITE1!$U$4:$U$1034,"")</f>
        <v>VSS</v>
      </c>
      <c r="C2" t="str" cm="1">
        <f t="array" ref="C2">_xlfn.TEXTJOIN(",",TRUE,_xlfn.UNIQUE(TRANSPOSE(_xlfn.MAP(_xlfn.XLOOKUP(A2,SITE1!$C$4:$C$1034,SITE1!$F$4:$O$1034,""),_xlfn.LAMBDA(_xlpm.x,IF(_xlpm.x&lt;&gt;"",TRIM(CLEAN(LEFT(_xlpm.x,FIND(".",_xlpm.x &amp; ".")-1))),""))))))</f>
        <v/>
      </c>
      <c r="D2">
        <v>9.9999999999944491E-4</v>
      </c>
      <c r="E2">
        <v>1.88129999999999</v>
      </c>
      <c r="F2" t="str">
        <f>_xlfn.LET(_xlpm.raw,_xlfn.XLOOKUP(A2,SITE1!$C$4:$C$1034,SITE1!$E$4:$E$1034),_xlpm.cleanRaw,SUBSTITUTE(SUBSTITUTE(_xlpm.raw,"_PIN","."),"PIN","."),_xlpm.mainPart,MID(_xlpm.cleanRaw,2,FIND(".",_xlpm.cleanRaw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" t="str">
        <f>_xlfn.LET(_xlpm.raw,_xlfn.XLOOKUP(A2,SITE3!$C$4:$C$1034,SITE3!$E$4:$E$1034),_xlpm.cleanRaw,SUBSTITUTE(SUBSTITUTE(_xlpm.raw,"_PIN","."),"PIN","."),_xlpm.mainPart,MID(_xlpm.cleanRaw,2,FIND(".",_xlpm.cleanRaw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" t="str">
        <f>""</f>
        <v/>
      </c>
      <c r="I2" t="str">
        <f>""</f>
        <v/>
      </c>
      <c r="J2" t="str">
        <f t="shared" ref="J2:J65" si="0">A2&amp;";"&amp;B2&amp;";"&amp;C2&amp;";"&amp;D2&amp;";"&amp;E2&amp;";"&amp;F2&amp;";"&amp;G2&amp;";"&amp;H2&amp;";"&amp;I2</f>
        <v>A5;VSS;;0.000999999999999445;1.88129999999999;;;;</v>
      </c>
    </row>
    <row r="3" spans="1:10">
      <c r="A3" t="s">
        <v>3694</v>
      </c>
      <c r="B3" t="str">
        <f>_xlfn.XLOOKUP(A3,SITE1!$V$4:$V$1034,SITE1!$U$4:$U$1034,"")</f>
        <v>VSS</v>
      </c>
      <c r="C3" t="str" cm="1">
        <f t="array" ref="C3">_xlfn.TEXTJOIN(",",TRUE,_xlfn.UNIQUE(TRANSPOSE(_xlfn.MAP(_xlfn.XLOOKUP(A3,SITE1!$C$4:$C$1034,SITE1!$F$4:$O$1034,""),_xlfn.LAMBDA(_xlpm.x,IF(_xlpm.x&lt;&gt;"",TRIM(CLEAN(LEFT(_xlpm.x,FIND(".",_xlpm.x &amp; ".")-1))),""))))))</f>
        <v/>
      </c>
      <c r="D3">
        <v>9.9999999999944491E-4</v>
      </c>
      <c r="E3">
        <v>2.9475999999999898</v>
      </c>
      <c r="F3" t="str">
        <f>_xlfn.LET(_xlpm.raw,_xlfn.XLOOKUP(A3,SITE1!$C$4:$C$1034,SITE1!$E$4:$E$1034),_xlpm.cleanRaw,SUBSTITUTE(SUBSTITUTE(_xlpm.raw,"_PIN","."),"PIN","."),_xlpm.mainPart,MID(_xlpm.cleanRaw,2,FIND(".",_xlpm.cleanRaw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" t="str">
        <f>_xlfn.LET(_xlpm.raw,_xlfn.XLOOKUP(A3,SITE3!$C$4:$C$1034,SITE3!$E$4:$E$1034),_xlpm.cleanRaw,SUBSTITUTE(SUBSTITUTE(_xlpm.raw,"_PIN","."),"PIN","."),_xlpm.mainPart,MID(_xlpm.cleanRaw,2,FIND(".",_xlpm.cleanRaw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" t="str">
        <f>""</f>
        <v/>
      </c>
      <c r="I3" t="str">
        <f>""</f>
        <v/>
      </c>
      <c r="J3" t="str">
        <f t="shared" si="0"/>
        <v>A7;VSS;;0.000999999999999445;2.94759999999999;;;;</v>
      </c>
    </row>
    <row r="4" spans="1:10">
      <c r="A4" t="s">
        <v>3686</v>
      </c>
      <c r="B4" t="str">
        <f>_xlfn.XLOOKUP(A4,SITE1!$V$4:$V$1034,SITE1!$U$4:$U$1034,"")</f>
        <v>VSS</v>
      </c>
      <c r="C4" t="str" cm="1">
        <f t="array" ref="C4">_xlfn.TEXTJOIN(",",TRUE,_xlfn.UNIQUE(TRANSPOSE(_xlfn.MAP(_xlfn.XLOOKUP(A4,SITE1!$C$4:$C$1034,SITE1!$F$4:$O$1034,""),_xlfn.LAMBDA(_xlpm.x,IF(_xlpm.x&lt;&gt;"",TRIM(CLEAN(LEFT(_xlpm.x,FIND(".",_xlpm.x &amp; ".")-1))),""))))))</f>
        <v/>
      </c>
      <c r="D4">
        <v>9.9999999999944491E-4</v>
      </c>
      <c r="E4">
        <v>5.1700999999999997</v>
      </c>
      <c r="F4" t="str">
        <f>_xlfn.LET(_xlpm.raw,_xlfn.XLOOKUP(A4,SITE1!$C$4:$C$1034,SITE1!$E$4:$E$1034),_xlpm.cleanRaw,SUBSTITUTE(SUBSTITUTE(_xlpm.raw,"_PIN","."),"PIN","."),_xlpm.mainPart,MID(_xlpm.cleanRaw,2,FIND(".",_xlpm.cleanRaw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" t="str">
        <f>_xlfn.LET(_xlpm.raw,_xlfn.XLOOKUP(A4,SITE3!$C$4:$C$1034,SITE3!$E$4:$E$1034),_xlpm.cleanRaw,SUBSTITUTE(SUBSTITUTE(_xlpm.raw,"_PIN","."),"PIN","."),_xlpm.mainPart,MID(_xlpm.cleanRaw,2,FIND(".",_xlpm.cleanRaw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" t="str">
        <f>""</f>
        <v/>
      </c>
      <c r="I4" t="str">
        <f>""</f>
        <v/>
      </c>
      <c r="J4" t="str">
        <f t="shared" si="0"/>
        <v>A12;VSS;;0.000999999999999445;5.1701;;;;</v>
      </c>
    </row>
    <row r="5" spans="1:10">
      <c r="A5" t="s">
        <v>3162</v>
      </c>
      <c r="B5" t="str">
        <f>_xlfn.XLOOKUP(A5,SITE1!$V$4:$V$1034,SITE1!$U$4:$U$1034,"")</f>
        <v>USB31_1_TXN</v>
      </c>
      <c r="C5" t="str" cm="1">
        <f t="array" ref="C5">_xlfn.TEXTJOIN(",",TRUE,_xlfn.UNIQUE(TRANSPOSE(_xlfn.MAP(_xlfn.XLOOKUP(A5,SITE1!$C$4:$C$1034,SITE1!$F$4:$O$1034,""),_xlfn.LAMBDA(_xlpm.x,IF(_xlpm.x&lt;&gt;"",TRIM(CLEAN(LEFT(_xlpm.x,FIND(".",_xlpm.x &amp; ".")-1))),""))))))</f>
        <v>CA202,LA203</v>
      </c>
      <c r="D5">
        <v>0</v>
      </c>
      <c r="E5">
        <v>7.7309000000000001</v>
      </c>
      <c r="F5" t="str">
        <f>_xlfn.LET(_xlpm.raw,_xlfn.XLOOKUP(A5,SITE1!$C$4:$C$1034,SITE1!$E$4:$E$1034),_xlpm.cleanRaw,SUBSTITUTE(SUBSTITUTE(_xlpm.raw,"_PIN","."),"PIN","."),_xlpm.mainPart,MID(_xlpm.cleanRaw,2,FIND(".",_xlpm.cleanRaw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606090</v>
      </c>
      <c r="G5" t="str">
        <f>_xlfn.LET(_xlpm.raw,_xlfn.XLOOKUP(A5,SITE3!$C$4:$C$1034,SITE3!$E$4:$E$1034),_xlpm.cleanRaw,SUBSTITUTE(SUBSTITUTE(_xlpm.raw,"_PIN","."),"PIN","."),_xlpm.mainPart,MID(_xlpm.cleanRaw,2,FIND(".",_xlpm.cleanRaw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806090</v>
      </c>
      <c r="H5" t="str">
        <f>""</f>
        <v/>
      </c>
      <c r="I5" t="str">
        <f>""</f>
        <v/>
      </c>
      <c r="J5" t="str">
        <f t="shared" si="0"/>
        <v>A17;USB31_1_TXN;CA202,LA203;0;7.7309;606090;806090;;</v>
      </c>
    </row>
    <row r="6" spans="1:10">
      <c r="A6" t="s">
        <v>3170</v>
      </c>
      <c r="B6" t="str">
        <f>_xlfn.XLOOKUP(A6,SITE1!$V$4:$V$1034,SITE1!$U$4:$U$1034,"")</f>
        <v>USB31_1_TXP</v>
      </c>
      <c r="C6" t="str" cm="1">
        <f t="array" ref="C6">_xlfn.TEXTJOIN(",",TRUE,_xlfn.UNIQUE(TRANSPOSE(_xlfn.MAP(_xlfn.XLOOKUP(A6,SITE1!$C$4:$C$1034,SITE1!$F$4:$O$1034,""),_xlfn.LAMBDA(_xlpm.x,IF(_xlpm.x&lt;&gt;"",TRIM(CLEAN(LEFT(_xlpm.x,FIND(".",_xlpm.x &amp; ".")-1))),""))))))</f>
        <v>CA201,LA201</v>
      </c>
      <c r="D6">
        <v>0</v>
      </c>
      <c r="E6">
        <v>8.2312999999999992</v>
      </c>
      <c r="F6" t="str">
        <f>_xlfn.LET(_xlpm.raw,_xlfn.XLOOKUP(A6,SITE1!$C$4:$C$1034,SITE1!$E$4:$E$1034),_xlpm.cleanRaw,SUBSTITUTE(SUBSTITUTE(_xlpm.raw,"_PIN","."),"PIN","."),_xlpm.mainPart,MID(_xlpm.cleanRaw,2,FIND(".",_xlpm.cleanRaw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606092</v>
      </c>
      <c r="G6" t="str">
        <f>_xlfn.LET(_xlpm.raw,_xlfn.XLOOKUP(A6,SITE3!$C$4:$C$1034,SITE3!$E$4:$E$1034),_xlpm.cleanRaw,SUBSTITUTE(SUBSTITUTE(_xlpm.raw,"_PIN","."),"PIN","."),_xlpm.mainPart,MID(_xlpm.cleanRaw,2,FIND(".",_xlpm.cleanRaw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806092</v>
      </c>
      <c r="H6" t="str">
        <f>""</f>
        <v/>
      </c>
      <c r="I6" t="str">
        <f>""</f>
        <v/>
      </c>
      <c r="J6" t="str">
        <f t="shared" si="0"/>
        <v>A18;USB31_1_TXP;CA201,LA201;0;8.2313;606092;806092;;</v>
      </c>
    </row>
    <row r="7" spans="1:10">
      <c r="A7" t="s">
        <v>3276</v>
      </c>
      <c r="B7" t="str">
        <f>_xlfn.XLOOKUP(A7,SITE1!$V$4:$V$1034,SITE1!$U$4:$U$1034,"")</f>
        <v>USB31_3_TXP</v>
      </c>
      <c r="C7" t="str" cm="1">
        <f t="array" ref="C7">_xlfn.TEXTJOIN(",",TRUE,_xlfn.UNIQUE(TRANSPOSE(_xlfn.MAP(_xlfn.XLOOKUP(A7,SITE1!$C$4:$C$1034,SITE1!$F$4:$O$1034,""),_xlfn.LAMBDA(_xlpm.x,IF(_xlpm.x&lt;&gt;"",TRIM(CLEAN(LEFT(_xlpm.x,FIND(".",_xlpm.x &amp; ".")-1))),""))))))</f>
        <v>CA205,LA209</v>
      </c>
      <c r="D7">
        <v>0</v>
      </c>
      <c r="E7">
        <v>9.0953999999999997</v>
      </c>
      <c r="F7" t="str">
        <f>_xlfn.LET(_xlpm.raw,_xlfn.XLOOKUP(A7,SITE1!$C$4:$C$1034,SITE1!$E$4:$E$1034),_xlpm.cleanRaw,SUBSTITUTE(SUBSTITUTE(_xlpm.raw,"_PIN","."),"PIN","."),_xlpm.mainPart,MID(_xlpm.cleanRaw,2,FIND(".",_xlpm.cleanRaw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606125</v>
      </c>
      <c r="G7" t="str">
        <f>_xlfn.LET(_xlpm.raw,_xlfn.XLOOKUP(A7,SITE3!$C$4:$C$1034,SITE3!$E$4:$E$1034),_xlpm.cleanRaw,SUBSTITUTE(SUBSTITUTE(_xlpm.raw,"_PIN","."),"PIN","."),_xlpm.mainPart,MID(_xlpm.cleanRaw,2,FIND(".",_xlpm.cleanRaw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806125</v>
      </c>
      <c r="H7" t="str">
        <f>""</f>
        <v/>
      </c>
      <c r="I7" t="str">
        <f>""</f>
        <v/>
      </c>
      <c r="J7" t="str">
        <f t="shared" si="0"/>
        <v>A20;USB31_3_TXP;CA205,LA209;0;9.0954;606125;806125;;</v>
      </c>
    </row>
    <row r="8" spans="1:10">
      <c r="A8" t="s">
        <v>3268</v>
      </c>
      <c r="B8" t="str">
        <f>_xlfn.XLOOKUP(A8,SITE1!$V$4:$V$1034,SITE1!$U$4:$U$1034,"")</f>
        <v>USB31_3_TXN</v>
      </c>
      <c r="C8" t="str" cm="1">
        <f t="array" ref="C8">_xlfn.TEXTJOIN(",",TRUE,_xlfn.UNIQUE(TRANSPOSE(_xlfn.MAP(_xlfn.XLOOKUP(A8,SITE1!$C$4:$C$1034,SITE1!$F$4:$O$1034,""),_xlfn.LAMBDA(_xlpm.x,IF(_xlpm.x&lt;&gt;"",TRIM(CLEAN(LEFT(_xlpm.x,FIND(".",_xlpm.x &amp; ".")-1))),""))))))</f>
        <v>CA206,LA211</v>
      </c>
      <c r="D8">
        <v>0</v>
      </c>
      <c r="E8">
        <v>9.5958000000000006</v>
      </c>
      <c r="F8" t="str">
        <f>_xlfn.LET(_xlpm.raw,_xlfn.XLOOKUP(A8,SITE1!$C$4:$C$1034,SITE1!$E$4:$E$1034),_xlpm.cleanRaw,SUBSTITUTE(SUBSTITUTE(_xlpm.raw,"_PIN","."),"PIN","."),_xlpm.mainPart,MID(_xlpm.cleanRaw,2,FIND(".",_xlpm.cleanRaw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606123</v>
      </c>
      <c r="G8" t="str">
        <f>_xlfn.LET(_xlpm.raw,_xlfn.XLOOKUP(A8,SITE3!$C$4:$C$1034,SITE3!$E$4:$E$1034),_xlpm.cleanRaw,SUBSTITUTE(SUBSTITUTE(_xlpm.raw,"_PIN","."),"PIN","."),_xlpm.mainPart,MID(_xlpm.cleanRaw,2,FIND(".",_xlpm.cleanRaw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806123</v>
      </c>
      <c r="H8" t="str">
        <f>""</f>
        <v/>
      </c>
      <c r="I8" t="str">
        <f>""</f>
        <v/>
      </c>
      <c r="J8" t="str">
        <f t="shared" si="0"/>
        <v>A21;USB31_3_TXN;CA206,LA211;0;9.5958;606123;806123;;</v>
      </c>
    </row>
    <row r="9" spans="1:10">
      <c r="A9" t="s">
        <v>3346</v>
      </c>
      <c r="B9" t="str">
        <f>_xlfn.XLOOKUP(A9,SITE1!$V$4:$V$1034,SITE1!$U$4:$U$1034,"")</f>
        <v>USB31_5_TXP</v>
      </c>
      <c r="C9" t="str" cm="1">
        <f t="array" ref="C9">_xlfn.TEXTJOIN(",",TRUE,_xlfn.UNIQUE(TRANSPOSE(_xlfn.MAP(_xlfn.XLOOKUP(A9,SITE1!$C$4:$C$1034,SITE1!$F$4:$O$1034,""),_xlfn.LAMBDA(_xlpm.x,IF(_xlpm.x&lt;&gt;"",TRIM(CLEAN(LEFT(_xlpm.x,FIND(".",_xlpm.x &amp; ".")-1))),""))))))</f>
        <v>CA209,LA217</v>
      </c>
      <c r="D9">
        <v>0</v>
      </c>
      <c r="E9">
        <v>10.459899999999999</v>
      </c>
      <c r="F9" t="str">
        <f>_xlfn.LET(_xlpm.raw,_xlfn.XLOOKUP(A9,SITE1!$C$4:$C$1034,SITE1!$E$4:$E$1034),_xlpm.cleanRaw,SUBSTITUTE(SUBSTITUTE(_xlpm.raw,"_PIN","."),"PIN","."),_xlpm.mainPart,MID(_xlpm.cleanRaw,2,FIND(".",_xlpm.cleanRaw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705072</v>
      </c>
      <c r="G9" t="str">
        <f>_xlfn.LET(_xlpm.raw,_xlfn.XLOOKUP(A9,SITE3!$C$4:$C$1034,SITE3!$E$4:$E$1034),_xlpm.cleanRaw,SUBSTITUTE(SUBSTITUTE(_xlpm.raw,"_PIN","."),"PIN","."),_xlpm.mainPart,MID(_xlpm.cleanRaw,2,FIND(".",_xlpm.cleanRaw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505072</v>
      </c>
      <c r="H9" t="str">
        <f>""</f>
        <v/>
      </c>
      <c r="I9" t="str">
        <f>""</f>
        <v/>
      </c>
      <c r="J9" t="str">
        <f t="shared" si="0"/>
        <v>A23;USB31_5_TXP;CA209,LA217;0;10.4599;705072;505072;;</v>
      </c>
    </row>
    <row r="10" spans="1:10">
      <c r="A10" t="s">
        <v>3338</v>
      </c>
      <c r="B10" t="str">
        <f>_xlfn.XLOOKUP(A10,SITE1!$V$4:$V$1034,SITE1!$U$4:$U$1034,"")</f>
        <v>USB31_5_TXN</v>
      </c>
      <c r="C10" t="str" cm="1">
        <f t="array" ref="C10">_xlfn.TEXTJOIN(",",TRUE,_xlfn.UNIQUE(TRANSPOSE(_xlfn.MAP(_xlfn.XLOOKUP(A10,SITE1!$C$4:$C$1034,SITE1!$F$4:$O$1034,""),_xlfn.LAMBDA(_xlpm.x,IF(_xlpm.x&lt;&gt;"",TRIM(CLEAN(LEFT(_xlpm.x,FIND(".",_xlpm.x &amp; ".")-1))),""))))))</f>
        <v>CA210,LA219</v>
      </c>
      <c r="D10">
        <v>0</v>
      </c>
      <c r="E10">
        <v>10.9603</v>
      </c>
      <c r="F10" t="str">
        <f>_xlfn.LET(_xlpm.raw,_xlfn.XLOOKUP(A10,SITE1!$C$4:$C$1034,SITE1!$E$4:$E$1034),_xlpm.cleanRaw,SUBSTITUTE(SUBSTITUTE(_xlpm.raw,"_PIN","."),"PIN","."),_xlpm.mainPart,MID(_xlpm.cleanRaw,2,FIND(".",_xlpm.cleanRaw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705070</v>
      </c>
      <c r="G10" t="str">
        <f>_xlfn.LET(_xlpm.raw,_xlfn.XLOOKUP(A10,SITE3!$C$4:$C$1034,SITE3!$E$4:$E$1034),_xlpm.cleanRaw,SUBSTITUTE(SUBSTITUTE(_xlpm.raw,"_PIN","."),"PIN","."),_xlpm.mainPart,MID(_xlpm.cleanRaw,2,FIND(".",_xlpm.cleanRaw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505070</v>
      </c>
      <c r="H10" t="str">
        <f>""</f>
        <v/>
      </c>
      <c r="I10" t="str">
        <f>""</f>
        <v/>
      </c>
      <c r="J10" t="str">
        <f t="shared" si="0"/>
        <v>A24;USB31_5_TXN;CA210,LA219;0;10.9603;705070;505070;;</v>
      </c>
    </row>
    <row r="11" spans="1:10">
      <c r="A11" t="s">
        <v>3415</v>
      </c>
      <c r="B11" t="str">
        <f>_xlfn.XLOOKUP(A11,SITE1!$V$4:$V$1034,SITE1!$U$4:$U$1034,"")</f>
        <v>USB31_7_TXP</v>
      </c>
      <c r="C11" t="str" cm="1">
        <f t="array" ref="C11">_xlfn.TEXTJOIN(",",TRUE,_xlfn.UNIQUE(TRANSPOSE(_xlfn.MAP(_xlfn.XLOOKUP(A11,SITE1!$C$4:$C$1034,SITE1!$F$4:$O$1034,""),_xlfn.LAMBDA(_xlpm.x,IF(_xlpm.x&lt;&gt;"",TRIM(CLEAN(LEFT(_xlpm.x,FIND(".",_xlpm.x &amp; ".")-1))),""))))))</f>
        <v>CA213,LA225</v>
      </c>
      <c r="D11">
        <v>0</v>
      </c>
      <c r="E11">
        <v>11.824400000000001</v>
      </c>
      <c r="F11" t="str">
        <f>_xlfn.LET(_xlpm.raw,_xlfn.XLOOKUP(A11,SITE1!$C$4:$C$1034,SITE1!$E$4:$E$1034),_xlpm.cleanRaw,SUBSTITUTE(SUBSTITUTE(_xlpm.raw,"_PIN","."),"PIN","."),_xlpm.mainPart,MID(_xlpm.cleanRaw,2,FIND(".",_xlpm.cleanRaw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706034</v>
      </c>
      <c r="G11" t="str">
        <f>_xlfn.LET(_xlpm.raw,_xlfn.XLOOKUP(A11,SITE3!$C$4:$C$1034,SITE3!$E$4:$E$1034),_xlpm.cleanRaw,SUBSTITUTE(SUBSTITUTE(_xlpm.raw,"_PIN","."),"PIN","."),_xlpm.mainPart,MID(_xlpm.cleanRaw,2,FIND(".",_xlpm.cleanRaw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506034</v>
      </c>
      <c r="H11" t="str">
        <f>""</f>
        <v/>
      </c>
      <c r="I11" t="str">
        <f>""</f>
        <v/>
      </c>
      <c r="J11" t="str">
        <f t="shared" si="0"/>
        <v>A26;USB31_7_TXP;CA213,LA225;0;11.8244;706034;506034;;</v>
      </c>
    </row>
    <row r="12" spans="1:10">
      <c r="A12" t="s">
        <v>3406</v>
      </c>
      <c r="B12" t="str">
        <f>_xlfn.XLOOKUP(A12,SITE1!$V$4:$V$1034,SITE1!$U$4:$U$1034,"")</f>
        <v>USB31_7_TXN</v>
      </c>
      <c r="C12" t="str" cm="1">
        <f t="array" ref="C12">_xlfn.TEXTJOIN(",",TRUE,_xlfn.UNIQUE(TRANSPOSE(_xlfn.MAP(_xlfn.XLOOKUP(A12,SITE1!$C$4:$C$1034,SITE1!$F$4:$O$1034,""),_xlfn.LAMBDA(_xlpm.x,IF(_xlpm.x&lt;&gt;"",TRIM(CLEAN(LEFT(_xlpm.x,FIND(".",_xlpm.x &amp; ".")-1))),""))))))</f>
        <v>CA214,LA227</v>
      </c>
      <c r="D12">
        <v>0</v>
      </c>
      <c r="E12">
        <v>12.3248</v>
      </c>
      <c r="F12" t="str">
        <f>_xlfn.LET(_xlpm.raw,_xlfn.XLOOKUP(A12,SITE1!$C$4:$C$1034,SITE1!$E$4:$E$1034),_xlpm.cleanRaw,SUBSTITUTE(SUBSTITUTE(_xlpm.raw,"_PIN","."),"PIN","."),_xlpm.mainPart,MID(_xlpm.cleanRaw,2,FIND(".",_xlpm.cleanRaw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706036</v>
      </c>
      <c r="G12" t="str">
        <f>_xlfn.LET(_xlpm.raw,_xlfn.XLOOKUP(A12,SITE3!$C$4:$C$1034,SITE3!$E$4:$E$1034),_xlpm.cleanRaw,SUBSTITUTE(SUBSTITUTE(_xlpm.raw,"_PIN","."),"PIN","."),_xlpm.mainPart,MID(_xlpm.cleanRaw,2,FIND(".",_xlpm.cleanRaw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506036</v>
      </c>
      <c r="H12" t="str">
        <f>""</f>
        <v/>
      </c>
      <c r="I12" t="str">
        <f>""</f>
        <v/>
      </c>
      <c r="J12" t="str">
        <f t="shared" si="0"/>
        <v>A27;USB31_7_TXN;CA214,LA227;0;12.3248;706036;506036;;</v>
      </c>
    </row>
    <row r="13" spans="1:10">
      <c r="A13" t="s">
        <v>3476</v>
      </c>
      <c r="B13" t="str">
        <f>_xlfn.XLOOKUP(A13,SITE1!$V$4:$V$1034,SITE1!$U$4:$U$1034,"")</f>
        <v>USB31_9_TXP</v>
      </c>
      <c r="C13" t="str" cm="1">
        <f t="array" ref="C13">_xlfn.TEXTJOIN(",",TRUE,_xlfn.UNIQUE(TRANSPOSE(_xlfn.MAP(_xlfn.XLOOKUP(A13,SITE1!$C$4:$C$1034,SITE1!$F$4:$O$1034,""),_xlfn.LAMBDA(_xlpm.x,IF(_xlpm.x&lt;&gt;"",TRIM(CLEAN(LEFT(_xlpm.x,FIND(".",_xlpm.x &amp; ".")-1))),""))))))</f>
        <v>CA217,LA233</v>
      </c>
      <c r="D13">
        <v>0</v>
      </c>
      <c r="E13">
        <v>13.1889</v>
      </c>
      <c r="F13" t="str">
        <f>_xlfn.LET(_xlpm.raw,_xlfn.XLOOKUP(A13,SITE1!$C$4:$C$1034,SITE1!$E$4:$E$1034),_xlpm.cleanRaw,SUBSTITUTE(SUBSTITUTE(_xlpm.raw,"_PIN","."),"PIN","."),_xlpm.mainPart,MID(_xlpm.cleanRaw,2,FIND(".",_xlpm.cleanRaw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709022</v>
      </c>
      <c r="G13" t="str">
        <f>_xlfn.LET(_xlpm.raw,_xlfn.XLOOKUP(A13,SITE3!$C$4:$C$1034,SITE3!$E$4:$E$1034),_xlpm.cleanRaw,SUBSTITUTE(SUBSTITUTE(_xlpm.raw,"_PIN","."),"PIN","."),_xlpm.mainPart,MID(_xlpm.cleanRaw,2,FIND(".",_xlpm.cleanRaw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509022</v>
      </c>
      <c r="H13" t="str">
        <f>""</f>
        <v/>
      </c>
      <c r="I13" t="str">
        <f>""</f>
        <v/>
      </c>
      <c r="J13" t="str">
        <f t="shared" si="0"/>
        <v>A28;USB31_9_TXP;CA217,LA233;0;13.1889;709022;509022;;</v>
      </c>
    </row>
    <row r="14" spans="1:10">
      <c r="A14" t="s">
        <v>3197</v>
      </c>
      <c r="B14" t="str">
        <f>_xlfn.XLOOKUP(A14,SITE1!$V$4:$V$1034,SITE1!$U$4:$U$1034,"")</f>
        <v>USB31_9_TXN</v>
      </c>
      <c r="C14" t="str" cm="1">
        <f t="array" ref="C14">_xlfn.TEXTJOIN(",",TRUE,_xlfn.UNIQUE(TRANSPOSE(_xlfn.MAP(_xlfn.XLOOKUP(A14,SITE1!$C$4:$C$1034,SITE1!$F$4:$O$1034,""),_xlfn.LAMBDA(_xlpm.x,IF(_xlpm.x&lt;&gt;"",TRIM(CLEAN(LEFT(_xlpm.x,FIND(".",_xlpm.x &amp; ".")-1))),""))))))</f>
        <v>CA218,LA235</v>
      </c>
      <c r="D14">
        <v>0</v>
      </c>
      <c r="E14">
        <v>13.689299999999999</v>
      </c>
      <c r="F14" t="str">
        <f>_xlfn.LET(_xlpm.raw,_xlfn.XLOOKUP(A14,SITE1!$C$4:$C$1034,SITE1!$E$4:$E$1034),_xlpm.cleanRaw,SUBSTITUTE(SUBSTITUTE(_xlpm.raw,"_PIN","."),"PIN","."),_xlpm.mainPart,MID(_xlpm.cleanRaw,2,FIND(".",_xlpm.cleanRaw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709020</v>
      </c>
      <c r="G14" t="str">
        <f>_xlfn.LET(_xlpm.raw,_xlfn.XLOOKUP(A14,SITE3!$C$4:$C$1034,SITE3!$E$4:$E$1034),_xlpm.cleanRaw,SUBSTITUTE(SUBSTITUTE(_xlpm.raw,"_PIN","."),"PIN","."),_xlpm.mainPart,MID(_xlpm.cleanRaw,2,FIND(".",_xlpm.cleanRaw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509020</v>
      </c>
      <c r="H14" t="str">
        <f>""</f>
        <v/>
      </c>
      <c r="I14" t="str">
        <f>""</f>
        <v/>
      </c>
      <c r="J14" t="str">
        <f t="shared" si="0"/>
        <v>A30;USB31_9_TXN;CA218,LA235;0;13.6893;709020;509020;;</v>
      </c>
    </row>
    <row r="15" spans="1:10">
      <c r="A15" t="s">
        <v>3688</v>
      </c>
      <c r="B15" t="str">
        <f>_xlfn.XLOOKUP(A15,SITE1!$V$4:$V$1034,SITE1!$U$4:$U$1034,"")</f>
        <v>VSS</v>
      </c>
      <c r="C15" t="str" cm="1">
        <f t="array" ref="C15">_xlfn.TEXTJOIN(",",TRUE,_xlfn.UNIQUE(TRANSPOSE(_xlfn.MAP(_xlfn.XLOOKUP(A15,SITE1!$C$4:$C$1034,SITE1!$F$4:$O$1034,""),_xlfn.LAMBDA(_xlpm.x,IF(_xlpm.x&lt;&gt;"",TRIM(CLEAN(LEFT(_xlpm.x,FIND(".",_xlpm.x &amp; ".")-1))),""))))))</f>
        <v/>
      </c>
      <c r="D15">
        <v>0</v>
      </c>
      <c r="E15">
        <v>14.5534</v>
      </c>
      <c r="F15" t="str">
        <f>_xlfn.LET(_xlpm.raw,_xlfn.XLOOKUP(A15,SITE1!$C$4:$C$1034,SITE1!$E$4:$E$1034),_xlpm.cleanRaw,SUBSTITUTE(SUBSTITUTE(_xlpm.raw,"_PIN","."),"PIN","."),_xlpm.mainPart,MID(_xlpm.cleanRaw,2,FIND(".",_xlpm.cleanRaw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" t="str">
        <f>_xlfn.LET(_xlpm.raw,_xlfn.XLOOKUP(A15,SITE3!$C$4:$C$1034,SITE3!$E$4:$E$1034),_xlpm.cleanRaw,SUBSTITUTE(SUBSTITUTE(_xlpm.raw,"_PIN","."),"PIN","."),_xlpm.mainPart,MID(_xlpm.cleanRaw,2,FIND(".",_xlpm.cleanRaw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" t="str">
        <f>""</f>
        <v/>
      </c>
      <c r="I15" t="str">
        <f>""</f>
        <v/>
      </c>
      <c r="J15" t="str">
        <f t="shared" si="0"/>
        <v>A31;VSS;;0;14.5534;;;;</v>
      </c>
    </row>
    <row r="16" spans="1:10">
      <c r="A16" t="s">
        <v>3128</v>
      </c>
      <c r="B16" t="str">
        <f>_xlfn.XLOOKUP(A16,SITE1!$V$4:$V$1034,SITE1!$U$4:$U$1034,"")</f>
        <v>USB3_RCOMP</v>
      </c>
      <c r="C16" t="str" cm="1">
        <f t="array" ref="C16">_xlfn.TEXTJOIN(",",TRUE,_xlfn.UNIQUE(TRANSPOSE(_xlfn.MAP(_xlfn.XLOOKUP(A16,SITE1!$C$4:$C$1034,SITE1!$F$4:$O$1034,""),_xlfn.LAMBDA(_xlpm.x,IF(_xlpm.x&lt;&gt;"",TRIM(CLEAN(LEFT(_xlpm.x,FIND(".",_xlpm.x &amp; ".")-1))),""))))))</f>
        <v>RA134</v>
      </c>
      <c r="D16">
        <v>0</v>
      </c>
      <c r="E16">
        <v>15.053799999999899</v>
      </c>
      <c r="F16" t="str">
        <f>_xlfn.LET(_xlpm.raw,_xlfn.XLOOKUP(A16,SITE1!$C$4:$C$1034,SITE1!$E$4:$E$1034),_xlpm.cleanRaw,SUBSTITUTE(SUBSTITUTE(_xlpm.raw,"_PIN","."),"PIN","."),_xlpm.mainPart,MID(_xlpm.cleanRaw,2,FIND(".",_xlpm.cleanRaw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" t="str">
        <f>_xlfn.LET(_xlpm.raw,_xlfn.XLOOKUP(A16,SITE3!$C$4:$C$1034,SITE3!$E$4:$E$1034),_xlpm.cleanRaw,SUBSTITUTE(SUBSTITUTE(_xlpm.raw,"_PIN","."),"PIN","."),_xlpm.mainPart,MID(_xlpm.cleanRaw,2,FIND(".",_xlpm.cleanRaw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" t="str">
        <f>""</f>
        <v/>
      </c>
      <c r="I16" t="str">
        <f>""</f>
        <v/>
      </c>
      <c r="J16" t="str">
        <f t="shared" si="0"/>
        <v>A32;USB3_RCOMP;RA134;0;15.0537999999999;;;;</v>
      </c>
    </row>
    <row r="17" spans="1:10">
      <c r="A17" t="s">
        <v>2379</v>
      </c>
      <c r="B17" t="str">
        <f>_xlfn.XLOOKUP(A17,SITE1!$V$4:$V$1034,SITE1!$U$4:$U$1034,"")</f>
        <v>PCIE_21_TXP</v>
      </c>
      <c r="C17" t="str" cm="1">
        <f t="array" ref="C17">_xlfn.TEXTJOIN(",",TRUE,_xlfn.UNIQUE(TRANSPOSE(_xlfn.MAP(_xlfn.XLOOKUP(A17,SITE1!$C$4:$C$1034,SITE1!$F$4:$O$1034,""),_xlfn.LAMBDA(_xlpm.x,IF(_xlpm.x&lt;&gt;"",TRIM(CLEAN(LEFT(_xlpm.x,FIND(".",_xlpm.x &amp; ".")-1))),""))))))</f>
        <v>CA261,LA321</v>
      </c>
      <c r="D17">
        <v>0</v>
      </c>
      <c r="E17">
        <v>15.917899999999999</v>
      </c>
      <c r="F17" t="str">
        <f>_xlfn.LET(_xlpm.raw,_xlfn.XLOOKUP(A17,SITE1!$C$4:$C$1034,SITE1!$E$4:$E$1034),_xlpm.cleanRaw,SUBSTITUTE(SUBSTITUTE(_xlpm.raw,"_PIN","."),"PIN","."),_xlpm.mainPart,MID(_xlpm.cleanRaw,2,FIND(".",_xlpm.cleanRaw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707105</v>
      </c>
      <c r="G17" t="str">
        <f>_xlfn.LET(_xlpm.raw,_xlfn.XLOOKUP(A17,SITE3!$C$4:$C$1034,SITE3!$E$4:$E$1034),_xlpm.cleanRaw,SUBSTITUTE(SUBSTITUTE(_xlpm.raw,"_PIN","."),"PIN","."),_xlpm.mainPart,MID(_xlpm.cleanRaw,2,FIND(".",_xlpm.cleanRaw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507105</v>
      </c>
      <c r="H17" t="str">
        <f>""</f>
        <v/>
      </c>
      <c r="I17" t="str">
        <f>""</f>
        <v/>
      </c>
      <c r="J17" t="str">
        <f t="shared" si="0"/>
        <v>A34;PCIE_21_TXP;CA261,LA321;0;15.9179;707105;507105;;</v>
      </c>
    </row>
    <row r="18" spans="1:10">
      <c r="A18" t="s">
        <v>2371</v>
      </c>
      <c r="B18" t="str">
        <f>_xlfn.XLOOKUP(A18,SITE1!$V$4:$V$1034,SITE1!$U$4:$U$1034,"")</f>
        <v>PCIE_21_TXN</v>
      </c>
      <c r="C18" t="str" cm="1">
        <f t="array" ref="C18">_xlfn.TEXTJOIN(",",TRUE,_xlfn.UNIQUE(TRANSPOSE(_xlfn.MAP(_xlfn.XLOOKUP(A18,SITE1!$C$4:$C$1034,SITE1!$F$4:$O$1034,""),_xlfn.LAMBDA(_xlpm.x,IF(_xlpm.x&lt;&gt;"",TRIM(CLEAN(LEFT(_xlpm.x,FIND(".",_xlpm.x &amp; ".")-1))),""))))))</f>
        <v>CA262,LA323</v>
      </c>
      <c r="D18">
        <v>0</v>
      </c>
      <c r="E18">
        <v>16.418299999999999</v>
      </c>
      <c r="F18" t="str">
        <f>_xlfn.LET(_xlpm.raw,_xlfn.XLOOKUP(A18,SITE1!$C$4:$C$1034,SITE1!$E$4:$E$1034),_xlpm.cleanRaw,SUBSTITUTE(SUBSTITUTE(_xlpm.raw,"_PIN","."),"PIN","."),_xlpm.mainPart,MID(_xlpm.cleanRaw,2,FIND(".",_xlpm.cleanRaw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707103</v>
      </c>
      <c r="G18" t="str">
        <f>_xlfn.LET(_xlpm.raw,_xlfn.XLOOKUP(A18,SITE3!$C$4:$C$1034,SITE3!$E$4:$E$1034),_xlpm.cleanRaw,SUBSTITUTE(SUBSTITUTE(_xlpm.raw,"_PIN","."),"PIN","."),_xlpm.mainPart,MID(_xlpm.cleanRaw,2,FIND(".",_xlpm.cleanRaw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507103</v>
      </c>
      <c r="H18" t="str">
        <f>""</f>
        <v/>
      </c>
      <c r="I18" t="str">
        <f>""</f>
        <v/>
      </c>
      <c r="J18" t="str">
        <f t="shared" si="0"/>
        <v>A35;PCIE_21_TXN;CA262,LA323;0;16.4183;707103;507103;;</v>
      </c>
    </row>
    <row r="19" spans="1:10">
      <c r="A19" t="s">
        <v>2448</v>
      </c>
      <c r="B19" t="str">
        <f>_xlfn.XLOOKUP(A19,SITE1!$V$4:$V$1034,SITE1!$U$4:$U$1034,"")</f>
        <v>PCIE_23_TXP</v>
      </c>
      <c r="C19" t="str" cm="1">
        <f t="array" ref="C19">_xlfn.TEXTJOIN(",",TRUE,_xlfn.UNIQUE(TRANSPOSE(_xlfn.MAP(_xlfn.XLOOKUP(A19,SITE1!$C$4:$C$1034,SITE1!$F$4:$O$1034,""),_xlfn.LAMBDA(_xlpm.x,IF(_xlpm.x&lt;&gt;"",TRIM(CLEAN(LEFT(_xlpm.x,FIND(".",_xlpm.x &amp; ".")-1))),""))))))</f>
        <v>CA265,LA329</v>
      </c>
      <c r="D19">
        <v>0</v>
      </c>
      <c r="E19">
        <v>17.282399999999999</v>
      </c>
      <c r="F19" t="str">
        <f>_xlfn.LET(_xlpm.raw,_xlfn.XLOOKUP(A19,SITE1!$C$4:$C$1034,SITE1!$E$4:$E$1034),_xlpm.cleanRaw,SUBSTITUTE(SUBSTITUTE(_xlpm.raw,"_PIN","."),"PIN","."),_xlpm.mainPart,MID(_xlpm.cleanRaw,2,FIND(".",_xlpm.cleanRaw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708078</v>
      </c>
      <c r="G19" t="str">
        <f>_xlfn.LET(_xlpm.raw,_xlfn.XLOOKUP(A19,SITE3!$C$4:$C$1034,SITE3!$E$4:$E$1034),_xlpm.cleanRaw,SUBSTITUTE(SUBSTITUTE(_xlpm.raw,"_PIN","."),"PIN","."),_xlpm.mainPart,MID(_xlpm.cleanRaw,2,FIND(".",_xlpm.cleanRaw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508078</v>
      </c>
      <c r="H19" t="str">
        <f>""</f>
        <v/>
      </c>
      <c r="I19" t="str">
        <f>""</f>
        <v/>
      </c>
      <c r="J19" t="str">
        <f t="shared" si="0"/>
        <v>A37;PCIE_23_TXP;CA265,LA329;0;17.2824;708078;508078;;</v>
      </c>
    </row>
    <row r="20" spans="1:10">
      <c r="A20" t="s">
        <v>2440</v>
      </c>
      <c r="B20" t="str">
        <f>_xlfn.XLOOKUP(A20,SITE1!$V$4:$V$1034,SITE1!$U$4:$U$1034,"")</f>
        <v>PCIE_23_TXN</v>
      </c>
      <c r="C20" t="str" cm="1">
        <f t="array" ref="C20">_xlfn.TEXTJOIN(",",TRUE,_xlfn.UNIQUE(TRANSPOSE(_xlfn.MAP(_xlfn.XLOOKUP(A20,SITE1!$C$4:$C$1034,SITE1!$F$4:$O$1034,""),_xlfn.LAMBDA(_xlpm.x,IF(_xlpm.x&lt;&gt;"",TRIM(CLEAN(LEFT(_xlpm.x,FIND(".",_xlpm.x &amp; ".")-1))),""))))))</f>
        <v>CA266,LA331</v>
      </c>
      <c r="D20">
        <v>0</v>
      </c>
      <c r="E20">
        <v>17.782800000000002</v>
      </c>
      <c r="F20" t="str">
        <f>_xlfn.LET(_xlpm.raw,_xlfn.XLOOKUP(A20,SITE1!$C$4:$C$1034,SITE1!$E$4:$E$1034),_xlpm.cleanRaw,SUBSTITUTE(SUBSTITUTE(_xlpm.raw,"_PIN","."),"PIN","."),_xlpm.mainPart,MID(_xlpm.cleanRaw,2,FIND(".",_xlpm.cleanRaw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708080</v>
      </c>
      <c r="G20" t="str">
        <f>_xlfn.LET(_xlpm.raw,_xlfn.XLOOKUP(A20,SITE3!$C$4:$C$1034,SITE3!$E$4:$E$1034),_xlpm.cleanRaw,SUBSTITUTE(SUBSTITUTE(_xlpm.raw,"_PIN","."),"PIN","."),_xlpm.mainPart,MID(_xlpm.cleanRaw,2,FIND(".",_xlpm.cleanRaw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508080</v>
      </c>
      <c r="H20" t="str">
        <f>""</f>
        <v/>
      </c>
      <c r="I20" t="str">
        <f>""</f>
        <v/>
      </c>
      <c r="J20" t="str">
        <f t="shared" si="0"/>
        <v>A38;PCIE_23_TXN;CA266,LA331;0;17.7828;708080;508080;;</v>
      </c>
    </row>
    <row r="21" spans="1:10">
      <c r="A21" t="s">
        <v>591</v>
      </c>
      <c r="B21" t="str">
        <f>_xlfn.XLOOKUP(A21,SITE1!$V$4:$V$1034,SITE1!$U$4:$U$1034,"")</f>
        <v>DMI_7_TXP</v>
      </c>
      <c r="C21" t="str" cm="1">
        <f t="array" ref="C21">_xlfn.TEXTJOIN(",",TRUE,_xlfn.UNIQUE(TRANSPOSE(_xlfn.MAP(_xlfn.XLOOKUP(A21,SITE1!$C$4:$C$1034,SITE1!$F$4:$O$1034,""),_xlfn.LAMBDA(_xlpm.x,IF(_xlpm.x&lt;&gt;"",TRIM(CLEAN(LEFT(_xlpm.x,FIND(".",_xlpm.x &amp; ".")-1))),""))))))</f>
        <v>LA368</v>
      </c>
      <c r="D21">
        <v>0</v>
      </c>
      <c r="E21">
        <v>18.646899999999999</v>
      </c>
      <c r="F21" t="str">
        <f>_xlfn.LET(_xlpm.raw,_xlfn.XLOOKUP(A21,SITE1!$C$4:$C$1034,SITE1!$E$4:$E$1034),_xlpm.cleanRaw,SUBSTITUTE(SUBSTITUTE(_xlpm.raw,"_PIN","."),"PIN","."),_xlpm.mainPart,MID(_xlpm.cleanRaw,2,FIND(".",_xlpm.cleanRaw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707110</v>
      </c>
      <c r="G21" t="str">
        <f>_xlfn.LET(_xlpm.raw,_xlfn.XLOOKUP(A21,SITE3!$C$4:$C$1034,SITE3!$E$4:$E$1034),_xlpm.cleanRaw,SUBSTITUTE(SUBSTITUTE(_xlpm.raw,"_PIN","."),"PIN","."),_xlpm.mainPart,MID(_xlpm.cleanRaw,2,FIND(".",_xlpm.cleanRaw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507110</v>
      </c>
      <c r="H21" t="str">
        <f>""</f>
        <v/>
      </c>
      <c r="I21" t="str">
        <f>""</f>
        <v/>
      </c>
      <c r="J21" t="str">
        <f t="shared" si="0"/>
        <v>A40;DMI_7_TXP;LA368;0;18.6469;707110;507110;;</v>
      </c>
    </row>
    <row r="22" spans="1:10">
      <c r="A22" t="s">
        <v>588</v>
      </c>
      <c r="B22" t="str">
        <f>_xlfn.XLOOKUP(A22,SITE1!$V$4:$V$1034,SITE1!$U$4:$U$1034,"")</f>
        <v>DMI_7_TXN</v>
      </c>
      <c r="C22" t="str" cm="1">
        <f t="array" ref="C22">_xlfn.TEXTJOIN(",",TRUE,_xlfn.UNIQUE(TRANSPOSE(_xlfn.MAP(_xlfn.XLOOKUP(A22,SITE1!$C$4:$C$1034,SITE1!$F$4:$O$1034,""),_xlfn.LAMBDA(_xlpm.x,IF(_xlpm.x&lt;&gt;"",TRIM(CLEAN(LEFT(_xlpm.x,FIND(".",_xlpm.x &amp; ".")-1))),""))))))</f>
        <v>LA367</v>
      </c>
      <c r="D22">
        <v>0</v>
      </c>
      <c r="E22">
        <v>19.147300000000001</v>
      </c>
      <c r="F22" t="str">
        <f>_xlfn.LET(_xlpm.raw,_xlfn.XLOOKUP(A22,SITE1!$C$4:$C$1034,SITE1!$E$4:$E$1034),_xlpm.cleanRaw,SUBSTITUTE(SUBSTITUTE(_xlpm.raw,"_PIN","."),"PIN","."),_xlpm.mainPart,MID(_xlpm.cleanRaw,2,FIND(".",_xlpm.cleanRaw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707108</v>
      </c>
      <c r="G22" t="str">
        <f>_xlfn.LET(_xlpm.raw,_xlfn.XLOOKUP(A22,SITE3!$C$4:$C$1034,SITE3!$E$4:$E$1034),_xlpm.cleanRaw,SUBSTITUTE(SUBSTITUTE(_xlpm.raw,"_PIN","."),"PIN","."),_xlpm.mainPart,MID(_xlpm.cleanRaw,2,FIND(".",_xlpm.cleanRaw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507108</v>
      </c>
      <c r="H22" t="str">
        <f>""</f>
        <v/>
      </c>
      <c r="I22" t="str">
        <f>""</f>
        <v/>
      </c>
      <c r="J22" t="str">
        <f t="shared" si="0"/>
        <v>A41;DMI_7_TXN;LA367;0;19.1473;707108;507108;;</v>
      </c>
    </row>
    <row r="23" spans="1:10">
      <c r="A23" t="s">
        <v>547</v>
      </c>
      <c r="B23" t="str">
        <f>_xlfn.XLOOKUP(A23,SITE1!$V$4:$V$1034,SITE1!$U$4:$U$1034,"")</f>
        <v>DMI_5_TXP</v>
      </c>
      <c r="C23" t="str" cm="1">
        <f t="array" ref="C23">_xlfn.TEXTJOIN(",",TRUE,_xlfn.UNIQUE(TRANSPOSE(_xlfn.MAP(_xlfn.XLOOKUP(A23,SITE1!$C$4:$C$1034,SITE1!$F$4:$O$1034,""),_xlfn.LAMBDA(_xlpm.x,IF(_xlpm.x&lt;&gt;"",TRIM(CLEAN(LEFT(_xlpm.x,FIND(".",_xlpm.x &amp; ".")-1))),""))))))</f>
        <v>LA364</v>
      </c>
      <c r="D23">
        <v>0</v>
      </c>
      <c r="E23">
        <v>20.011399999999998</v>
      </c>
      <c r="F23" t="str">
        <f>_xlfn.LET(_xlpm.raw,_xlfn.XLOOKUP(A23,SITE1!$C$4:$C$1034,SITE1!$E$4:$E$1034),_xlpm.cleanRaw,SUBSTITUTE(SUBSTITUTE(_xlpm.raw,"_PIN","."),"PIN","."),_xlpm.mainPart,MID(_xlpm.cleanRaw,2,FIND(".",_xlpm.cleanRaw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706033</v>
      </c>
      <c r="G23" t="str">
        <f>_xlfn.LET(_xlpm.raw,_xlfn.XLOOKUP(A23,SITE3!$C$4:$C$1034,SITE3!$E$4:$E$1034),_xlpm.cleanRaw,SUBSTITUTE(SUBSTITUTE(_xlpm.raw,"_PIN","."),"PIN","."),_xlpm.mainPart,MID(_xlpm.cleanRaw,2,FIND(".",_xlpm.cleanRaw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506033</v>
      </c>
      <c r="H23" t="str">
        <f>""</f>
        <v/>
      </c>
      <c r="I23" t="str">
        <f>""</f>
        <v/>
      </c>
      <c r="J23" t="str">
        <f t="shared" si="0"/>
        <v>A43;DMI_5_TXP;LA364;0;20.0114;706033;506033;;</v>
      </c>
    </row>
    <row r="24" spans="1:10">
      <c r="A24" t="s">
        <v>544</v>
      </c>
      <c r="B24" t="str">
        <f>_xlfn.XLOOKUP(A24,SITE1!$V$4:$V$1034,SITE1!$U$4:$U$1034,"")</f>
        <v>DMI_5_TXN</v>
      </c>
      <c r="C24" t="str" cm="1">
        <f t="array" ref="C24">_xlfn.TEXTJOIN(",",TRUE,_xlfn.UNIQUE(TRANSPOSE(_xlfn.MAP(_xlfn.XLOOKUP(A24,SITE1!$C$4:$C$1034,SITE1!$F$4:$O$1034,""),_xlfn.LAMBDA(_xlpm.x,IF(_xlpm.x&lt;&gt;"",TRIM(CLEAN(LEFT(_xlpm.x,FIND(".",_xlpm.x &amp; ".")-1))),""))))))</f>
        <v>LA363</v>
      </c>
      <c r="D24">
        <v>0</v>
      </c>
      <c r="E24">
        <v>20.511800000000001</v>
      </c>
      <c r="F24" t="str">
        <f>_xlfn.LET(_xlpm.raw,_xlfn.XLOOKUP(A24,SITE1!$C$4:$C$1034,SITE1!$E$4:$E$1034),_xlpm.cleanRaw,SUBSTITUTE(SUBSTITUTE(_xlpm.raw,"_PIN","."),"PIN","."),_xlpm.mainPart,MID(_xlpm.cleanRaw,2,FIND(".",_xlpm.cleanRaw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706031</v>
      </c>
      <c r="G24" t="str">
        <f>_xlfn.LET(_xlpm.raw,_xlfn.XLOOKUP(A24,SITE3!$C$4:$C$1034,SITE3!$E$4:$E$1034),_xlpm.cleanRaw,SUBSTITUTE(SUBSTITUTE(_xlpm.raw,"_PIN","."),"PIN","."),_xlpm.mainPart,MID(_xlpm.cleanRaw,2,FIND(".",_xlpm.cleanRaw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506031</v>
      </c>
      <c r="H24" t="str">
        <f>""</f>
        <v/>
      </c>
      <c r="I24" t="str">
        <f>""</f>
        <v/>
      </c>
      <c r="J24" t="str">
        <f t="shared" si="0"/>
        <v>A44;DMI_5_TXN;LA363;0;20.5118;706031;506031;;</v>
      </c>
    </row>
    <row r="25" spans="1:10">
      <c r="A25" t="s">
        <v>503</v>
      </c>
      <c r="B25" t="str">
        <f>_xlfn.XLOOKUP(A25,SITE1!$V$4:$V$1034,SITE1!$U$4:$U$1034,"")</f>
        <v>DMI_3_TXP</v>
      </c>
      <c r="C25" t="str" cm="1">
        <f t="array" ref="C25">_xlfn.TEXTJOIN(",",TRUE,_xlfn.UNIQUE(TRANSPOSE(_xlfn.MAP(_xlfn.XLOOKUP(A25,SITE1!$C$4:$C$1034,SITE1!$F$4:$O$1034,""),_xlfn.LAMBDA(_xlpm.x,IF(_xlpm.x&lt;&gt;"",TRIM(CLEAN(LEFT(_xlpm.x,FIND(".",_xlpm.x &amp; ".")-1))),""))))))</f>
        <v>LA360</v>
      </c>
      <c r="D25">
        <v>0</v>
      </c>
      <c r="E25">
        <v>21.375900000000001</v>
      </c>
      <c r="F25" t="str">
        <f>_xlfn.LET(_xlpm.raw,_xlfn.XLOOKUP(A25,SITE1!$C$4:$C$1034,SITE1!$E$4:$E$1034),_xlpm.cleanRaw,SUBSTITUTE(SUBSTITUTE(_xlpm.raw,"_PIN","."),"PIN","."),_xlpm.mainPart,MID(_xlpm.cleanRaw,2,FIND(".",_xlpm.cleanRaw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706027</v>
      </c>
      <c r="G25" t="str">
        <f>_xlfn.LET(_xlpm.raw,_xlfn.XLOOKUP(A25,SITE3!$C$4:$C$1034,SITE3!$E$4:$E$1034),_xlpm.cleanRaw,SUBSTITUTE(SUBSTITUTE(_xlpm.raw,"_PIN","."),"PIN","."),_xlpm.mainPart,MID(_xlpm.cleanRaw,2,FIND(".",_xlpm.cleanRaw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506027</v>
      </c>
      <c r="H25" t="str">
        <f>""</f>
        <v/>
      </c>
      <c r="I25" t="str">
        <f>""</f>
        <v/>
      </c>
      <c r="J25" t="str">
        <f t="shared" si="0"/>
        <v>A46;DMI_3_TXP;LA360;0;21.3759;706027;506027;;</v>
      </c>
    </row>
    <row r="26" spans="1:10">
      <c r="A26" t="s">
        <v>500</v>
      </c>
      <c r="B26" t="str">
        <f>_xlfn.XLOOKUP(A26,SITE1!$V$4:$V$1034,SITE1!$U$4:$U$1034,"")</f>
        <v>DMI_3_TXN</v>
      </c>
      <c r="C26" t="str" cm="1">
        <f t="array" ref="C26">_xlfn.TEXTJOIN(",",TRUE,_xlfn.UNIQUE(TRANSPOSE(_xlfn.MAP(_xlfn.XLOOKUP(A26,SITE1!$C$4:$C$1034,SITE1!$F$4:$O$1034,""),_xlfn.LAMBDA(_xlpm.x,IF(_xlpm.x&lt;&gt;"",TRIM(CLEAN(LEFT(_xlpm.x,FIND(".",_xlpm.x &amp; ".")-1))),""))))))</f>
        <v>LA359</v>
      </c>
      <c r="D26">
        <v>0</v>
      </c>
      <c r="E26">
        <v>21.876300000000001</v>
      </c>
      <c r="F26" t="str">
        <f>_xlfn.LET(_xlpm.raw,_xlfn.XLOOKUP(A26,SITE1!$C$4:$C$1034,SITE1!$E$4:$E$1034),_xlpm.cleanRaw,SUBSTITUTE(SUBSTITUTE(_xlpm.raw,"_PIN","."),"PIN","."),_xlpm.mainPart,MID(_xlpm.cleanRaw,2,FIND(".",_xlpm.cleanRaw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706029</v>
      </c>
      <c r="G26" t="str">
        <f>_xlfn.LET(_xlpm.raw,_xlfn.XLOOKUP(A26,SITE3!$C$4:$C$1034,SITE3!$E$4:$E$1034),_xlpm.cleanRaw,SUBSTITUTE(SUBSTITUTE(_xlpm.raw,"_PIN","."),"PIN","."),_xlpm.mainPart,MID(_xlpm.cleanRaw,2,FIND(".",_xlpm.cleanRaw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506029</v>
      </c>
      <c r="H26" t="str">
        <f>""</f>
        <v/>
      </c>
      <c r="I26" t="str">
        <f>""</f>
        <v/>
      </c>
      <c r="J26" t="str">
        <f t="shared" si="0"/>
        <v>A47;DMI_3_TXN;LA359;0;21.8763;706029;506029;;</v>
      </c>
    </row>
    <row r="27" spans="1:10">
      <c r="A27" t="s">
        <v>456</v>
      </c>
      <c r="B27" t="str">
        <f>_xlfn.XLOOKUP(A27,SITE1!$V$4:$V$1034,SITE1!$U$4:$U$1034,"")</f>
        <v>DMI_1_TXP</v>
      </c>
      <c r="C27" t="str" cm="1">
        <f t="array" ref="C27">_xlfn.TEXTJOIN(",",TRUE,_xlfn.UNIQUE(TRANSPOSE(_xlfn.MAP(_xlfn.XLOOKUP(A27,SITE1!$C$4:$C$1034,SITE1!$F$4:$O$1034,""),_xlfn.LAMBDA(_xlpm.x,IF(_xlpm.x&lt;&gt;"",TRIM(CLEAN(LEFT(_xlpm.x,FIND(".",_xlpm.x &amp; ".")-1))),""))))))</f>
        <v>LA356</v>
      </c>
      <c r="D27">
        <v>0</v>
      </c>
      <c r="E27">
        <v>22.740400000000001</v>
      </c>
      <c r="F27" t="str">
        <f>_xlfn.LET(_xlpm.raw,_xlfn.XLOOKUP(A27,SITE1!$C$4:$C$1034,SITE1!$E$4:$E$1034),_xlpm.cleanRaw,SUBSTITUTE(SUBSTITUTE(_xlpm.raw,"_PIN","."),"PIN","."),_xlpm.mainPart,MID(_xlpm.cleanRaw,2,FIND(".",_xlpm.cleanRaw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709010</v>
      </c>
      <c r="G27" t="str">
        <f>_xlfn.LET(_xlpm.raw,_xlfn.XLOOKUP(A27,SITE3!$C$4:$C$1034,SITE3!$E$4:$E$1034),_xlpm.cleanRaw,SUBSTITUTE(SUBSTITUTE(_xlpm.raw,"_PIN","."),"PIN","."),_xlpm.mainPart,MID(_xlpm.cleanRaw,2,FIND(".",_xlpm.cleanRaw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509010</v>
      </c>
      <c r="H27" t="str">
        <f>""</f>
        <v/>
      </c>
      <c r="I27" t="str">
        <f>""</f>
        <v/>
      </c>
      <c r="J27" t="str">
        <f t="shared" si="0"/>
        <v>A49;DMI_1_TXP;LA356;0;22.7404;709010;509010;;</v>
      </c>
    </row>
    <row r="28" spans="1:10">
      <c r="A28" t="s">
        <v>3473</v>
      </c>
      <c r="B28" t="str">
        <f>_xlfn.XLOOKUP(A28,SITE1!$V$4:$V$1034,SITE1!$U$4:$U$1034,"")</f>
        <v>DMI_1_TXN</v>
      </c>
      <c r="C28" t="str" cm="1">
        <f t="array" ref="C28">_xlfn.TEXTJOIN(",",TRUE,_xlfn.UNIQUE(TRANSPOSE(_xlfn.MAP(_xlfn.XLOOKUP(A28,SITE1!$C$4:$C$1034,SITE1!$F$4:$O$1034,""),_xlfn.LAMBDA(_xlpm.x,IF(_xlpm.x&lt;&gt;"",TRIM(CLEAN(LEFT(_xlpm.x,FIND(".",_xlpm.x &amp; ".")-1))),""))))))</f>
        <v>LA355</v>
      </c>
      <c r="D28">
        <v>0</v>
      </c>
      <c r="E28">
        <v>23.2408</v>
      </c>
      <c r="F28" t="str">
        <f>_xlfn.LET(_xlpm.raw,_xlfn.XLOOKUP(A28,SITE1!$C$4:$C$1034,SITE1!$E$4:$E$1034),_xlpm.cleanRaw,SUBSTITUTE(SUBSTITUTE(_xlpm.raw,"_PIN","."),"PIN","."),_xlpm.mainPart,MID(_xlpm.cleanRaw,2,FIND(".",_xlpm.cleanRaw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709008</v>
      </c>
      <c r="G28" t="str">
        <f>_xlfn.LET(_xlpm.raw,_xlfn.XLOOKUP(A28,SITE3!$C$4:$C$1034,SITE3!$E$4:$E$1034),_xlpm.cleanRaw,SUBSTITUTE(SUBSTITUTE(_xlpm.raw,"_PIN","."),"PIN","."),_xlpm.mainPart,MID(_xlpm.cleanRaw,2,FIND(".",_xlpm.cleanRaw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509008</v>
      </c>
      <c r="H28" t="str">
        <f>""</f>
        <v/>
      </c>
      <c r="I28" t="str">
        <f>""</f>
        <v/>
      </c>
      <c r="J28" t="str">
        <f t="shared" si="0"/>
        <v>A50;DMI_1_TXN;LA355;0;23.2408;709008;509008;;</v>
      </c>
    </row>
    <row r="29" spans="1:10">
      <c r="A29" t="s">
        <v>3691</v>
      </c>
      <c r="B29" t="str">
        <f>_xlfn.XLOOKUP(A29,SITE1!$V$4:$V$1034,SITE1!$U$4:$U$1034,"")</f>
        <v>VSS</v>
      </c>
      <c r="C29" t="str" cm="1">
        <f t="array" ref="C29">_xlfn.TEXTJOIN(",",TRUE,_xlfn.UNIQUE(TRANSPOSE(_xlfn.MAP(_xlfn.XLOOKUP(A29,SITE1!$C$4:$C$1034,SITE1!$F$4:$O$1034,""),_xlfn.LAMBDA(_xlpm.x,IF(_xlpm.x&lt;&gt;"",TRIM(CLEAN(LEFT(_xlpm.x,FIND(".",_xlpm.x &amp; ".")-1))),""))))))</f>
        <v/>
      </c>
      <c r="D29">
        <v>9.9999999999944491E-4</v>
      </c>
      <c r="E29">
        <v>24.130400000000002</v>
      </c>
      <c r="F29" t="str">
        <f>_xlfn.LET(_xlpm.raw,_xlfn.XLOOKUP(A29,SITE1!$C$4:$C$1034,SITE1!$E$4:$E$1034),_xlpm.cleanRaw,SUBSTITUTE(SUBSTITUTE(_xlpm.raw,"_PIN","."),"PIN","."),_xlpm.mainPart,MID(_xlpm.cleanRaw,2,FIND(".",_xlpm.cleanRaw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" t="str">
        <f>_xlfn.LET(_xlpm.raw,_xlfn.XLOOKUP(A29,SITE3!$C$4:$C$1034,SITE3!$E$4:$E$1034),_xlpm.cleanRaw,SUBSTITUTE(SUBSTITUTE(_xlpm.raw,"_PIN","."),"PIN","."),_xlpm.mainPart,MID(_xlpm.cleanRaw,2,FIND(".",_xlpm.cleanRaw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" t="str">
        <f>""</f>
        <v/>
      </c>
      <c r="I29" t="str">
        <f>""</f>
        <v/>
      </c>
      <c r="J29" t="str">
        <f t="shared" si="0"/>
        <v>A51;VSS;;0.000999999999999445;24.1304;;;;</v>
      </c>
    </row>
    <row r="30" spans="1:10">
      <c r="A30" t="s">
        <v>3692</v>
      </c>
      <c r="B30" t="str">
        <f>_xlfn.XLOOKUP(A30,SITE1!$V$4:$V$1034,SITE1!$U$4:$U$1034,"")</f>
        <v>VSS</v>
      </c>
      <c r="C30" t="str" cm="1">
        <f t="array" ref="C30">_xlfn.TEXTJOIN(",",TRUE,_xlfn.UNIQUE(TRANSPOSE(_xlfn.MAP(_xlfn.XLOOKUP(A30,SITE1!$C$4:$C$1034,SITE1!$F$4:$O$1034,""),_xlfn.LAMBDA(_xlpm.x,IF(_xlpm.x&lt;&gt;"",TRIM(CLEAN(LEFT(_xlpm.x,FIND(".",_xlpm.x &amp; ".")-1))),""))))))</f>
        <v/>
      </c>
      <c r="D30">
        <v>9.9999999999944491E-4</v>
      </c>
      <c r="E30">
        <v>24.9969</v>
      </c>
      <c r="F30" t="str">
        <f>_xlfn.LET(_xlpm.raw,_xlfn.XLOOKUP(A30,SITE1!$C$4:$C$1034,SITE1!$E$4:$E$1034),_xlpm.cleanRaw,SUBSTITUTE(SUBSTITUTE(_xlpm.raw,"_PIN","."),"PIN","."),_xlpm.mainPart,MID(_xlpm.cleanRaw,2,FIND(".",_xlpm.cleanRaw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0" t="str">
        <f>_xlfn.LET(_xlpm.raw,_xlfn.XLOOKUP(A30,SITE3!$C$4:$C$1034,SITE3!$E$4:$E$1034),_xlpm.cleanRaw,SUBSTITUTE(SUBSTITUTE(_xlpm.raw,"_PIN","."),"PIN","."),_xlpm.mainPart,MID(_xlpm.cleanRaw,2,FIND(".",_xlpm.cleanRaw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0" t="str">
        <f>""</f>
        <v/>
      </c>
      <c r="I30" t="str">
        <f>""</f>
        <v/>
      </c>
      <c r="J30" t="str">
        <f t="shared" si="0"/>
        <v>A53;VSS;;0.000999999999999445;24.9969;;;;</v>
      </c>
    </row>
    <row r="31" spans="1:10">
      <c r="A31" t="s">
        <v>3693</v>
      </c>
      <c r="B31" t="str">
        <f>_xlfn.XLOOKUP(A31,SITE1!$V$4:$V$1034,SITE1!$U$4:$U$1034,"")</f>
        <v>VSS</v>
      </c>
      <c r="C31" t="str" cm="1">
        <f t="array" ref="C31">_xlfn.TEXTJOIN(",",TRUE,_xlfn.UNIQUE(TRANSPOSE(_xlfn.MAP(_xlfn.XLOOKUP(A31,SITE1!$C$4:$C$1034,SITE1!$F$4:$O$1034,""),_xlfn.LAMBDA(_xlpm.x,IF(_xlpm.x&lt;&gt;"",TRIM(CLEAN(LEFT(_xlpm.x,FIND(".",_xlpm.x &amp; ".")-1))),""))))))</f>
        <v/>
      </c>
      <c r="D31">
        <v>9.9999999999944491E-4</v>
      </c>
      <c r="E31">
        <v>25.497399999999999</v>
      </c>
      <c r="F31" t="str">
        <f>_xlfn.LET(_xlpm.raw,_xlfn.XLOOKUP(A31,SITE1!$C$4:$C$1034,SITE1!$E$4:$E$1034),_xlpm.cleanRaw,SUBSTITUTE(SUBSTITUTE(_xlpm.raw,"_PIN","."),"PIN","."),_xlpm.mainPart,MID(_xlpm.cleanRaw,2,FIND(".",_xlpm.cleanRaw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" t="str">
        <f>_xlfn.LET(_xlpm.raw,_xlfn.XLOOKUP(A31,SITE3!$C$4:$C$1034,SITE3!$E$4:$E$1034),_xlpm.cleanRaw,SUBSTITUTE(SUBSTITUTE(_xlpm.raw,"_PIN","."),"PIN","."),_xlpm.mainPart,MID(_xlpm.cleanRaw,2,FIND(".",_xlpm.cleanRaw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" t="str">
        <f>""</f>
        <v/>
      </c>
      <c r="I31" t="str">
        <f>""</f>
        <v/>
      </c>
      <c r="J31" t="str">
        <f t="shared" si="0"/>
        <v>A54;VSS;;0.000999999999999445;25.4974;;;;</v>
      </c>
    </row>
    <row r="32" spans="1:10">
      <c r="A32" t="s">
        <v>3854</v>
      </c>
      <c r="B32" t="str">
        <f>_xlfn.XLOOKUP(A32,SITE1!$V$4:$V$1034,SITE1!$U$4:$U$1034,"")</f>
        <v>VSS</v>
      </c>
      <c r="C32" t="str" cm="1">
        <f t="array" ref="C32">_xlfn.TEXTJOIN(",",TRUE,_xlfn.UNIQUE(TRANSPOSE(_xlfn.MAP(_xlfn.XLOOKUP(A32,SITE1!$C$4:$C$1034,SITE1!$F$4:$O$1034,""),_xlfn.LAMBDA(_xlpm.x,IF(_xlpm.x&lt;&gt;"",TRIM(CLEAN(LEFT(_xlpm.x,FIND(".",_xlpm.x &amp; ".")-1))),""))))))</f>
        <v/>
      </c>
      <c r="D32">
        <v>0.46250000000000002</v>
      </c>
      <c r="E32">
        <v>1.1299999999999899</v>
      </c>
      <c r="F32" t="str">
        <f>_xlfn.LET(_xlpm.raw,_xlfn.XLOOKUP(A32,SITE1!$C$4:$C$1034,SITE1!$E$4:$E$1034),_xlpm.cleanRaw,SUBSTITUTE(SUBSTITUTE(_xlpm.raw,"_PIN","."),"PIN","."),_xlpm.mainPart,MID(_xlpm.cleanRaw,2,FIND(".",_xlpm.cleanRaw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" t="str">
        <f>_xlfn.LET(_xlpm.raw,_xlfn.XLOOKUP(A32,SITE3!$C$4:$C$1034,SITE3!$E$4:$E$1034),_xlpm.cleanRaw,SUBSTITUTE(SUBSTITUTE(_xlpm.raw,"_PIN","."),"PIN","."),_xlpm.mainPart,MID(_xlpm.cleanRaw,2,FIND(".",_xlpm.cleanRaw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" t="str">
        <f>""</f>
        <v/>
      </c>
      <c r="I32" t="str">
        <f>""</f>
        <v/>
      </c>
      <c r="J32" t="str">
        <f t="shared" si="0"/>
        <v>B3;VSS;;0.4625;1.12999999999999;;;;</v>
      </c>
    </row>
    <row r="33" spans="1:10">
      <c r="A33" t="s">
        <v>3857</v>
      </c>
      <c r="B33" t="str">
        <f>_xlfn.XLOOKUP(A33,SITE1!$V$4:$V$1034,SITE1!$U$4:$U$1034,"")</f>
        <v>VSS</v>
      </c>
      <c r="C33" t="str" cm="1">
        <f t="array" ref="C33">_xlfn.TEXTJOIN(",",TRUE,_xlfn.UNIQUE(TRANSPOSE(_xlfn.MAP(_xlfn.XLOOKUP(A33,SITE1!$C$4:$C$1034,SITE1!$F$4:$O$1034,""),_xlfn.LAMBDA(_xlpm.x,IF(_xlpm.x&lt;&gt;"",TRIM(CLEAN(LEFT(_xlpm.x,FIND(".",_xlpm.x &amp; ".")-1))),""))))))</f>
        <v/>
      </c>
      <c r="D33">
        <v>0.46339999999999998</v>
      </c>
      <c r="E33">
        <v>1.6318999999999999</v>
      </c>
      <c r="F33" t="str">
        <f>_xlfn.LET(_xlpm.raw,_xlfn.XLOOKUP(A33,SITE1!$C$4:$C$1034,SITE1!$E$4:$E$1034),_xlpm.cleanRaw,SUBSTITUTE(SUBSTITUTE(_xlpm.raw,"_PIN","."),"PIN","."),_xlpm.mainPart,MID(_xlpm.cleanRaw,2,FIND(".",_xlpm.cleanRaw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" t="str">
        <f>_xlfn.LET(_xlpm.raw,_xlfn.XLOOKUP(A33,SITE3!$C$4:$C$1034,SITE3!$E$4:$E$1034),_xlpm.cleanRaw,SUBSTITUTE(SUBSTITUTE(_xlpm.raw,"_PIN","."),"PIN","."),_xlpm.mainPart,MID(_xlpm.cleanRaw,2,FIND(".",_xlpm.cleanRaw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" t="str">
        <f>""</f>
        <v/>
      </c>
      <c r="I33" t="str">
        <f>""</f>
        <v/>
      </c>
      <c r="J33" t="str">
        <f t="shared" si="0"/>
        <v>B4;VSS;;0.4634;1.6319;;;;</v>
      </c>
    </row>
    <row r="34" spans="1:10">
      <c r="A34" t="s">
        <v>214</v>
      </c>
      <c r="B34" t="str">
        <f>_xlfn.XLOOKUP(A34,SITE1!$V$4:$V$1034,SITE1!$U$4:$U$1034,"")</f>
        <v>CLKOUT_XTAL_P</v>
      </c>
      <c r="C34" t="str" cm="1">
        <f t="array" ref="C34">_xlfn.TEXTJOIN(",",TRUE,_xlfn.UNIQUE(TRANSPOSE(_xlfn.MAP(_xlfn.XLOOKUP(A34,SITE1!$C$4:$C$1034,SITE1!$F$4:$O$1034,""),_xlfn.LAMBDA(_xlpm.x,IF(_xlpm.x&lt;&gt;"",TRIM(CLEAN(LEFT(_xlpm.x,FIND(".",_xlpm.x &amp; ".")-1))),""))))))</f>
        <v/>
      </c>
      <c r="D34">
        <v>0.41929999999999901</v>
      </c>
      <c r="E34">
        <v>2.2574999999999998</v>
      </c>
      <c r="F34" t="str">
        <f>_xlfn.LET(_xlpm.raw,_xlfn.XLOOKUP(A34,SITE1!$C$4:$C$1034,SITE1!$E$4:$E$1034),_xlpm.cleanRaw,SUBSTITUTE(SUBSTITUTE(_xlpm.raw,"_PIN","."),"PIN","."),_xlpm.mainPart,MID(_xlpm.cleanRaw,2,FIND(".",_xlpm.cleanRaw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609110</v>
      </c>
      <c r="G34" t="str">
        <f>_xlfn.LET(_xlpm.raw,_xlfn.XLOOKUP(A34,SITE3!$C$4:$C$1034,SITE3!$E$4:$E$1034),_xlpm.cleanRaw,SUBSTITUTE(SUBSTITUTE(_xlpm.raw,"_PIN","."),"PIN","."),_xlpm.mainPart,MID(_xlpm.cleanRaw,2,FIND(".",_xlpm.cleanRaw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809110</v>
      </c>
      <c r="H34" t="str">
        <f>""</f>
        <v/>
      </c>
      <c r="I34" t="str">
        <f>""</f>
        <v/>
      </c>
      <c r="J34" t="str">
        <f t="shared" si="0"/>
        <v>B6;CLKOUT_XTAL_P;;0.419299999999999;2.2575;609110;809110;;</v>
      </c>
    </row>
    <row r="35" spans="1:10">
      <c r="A35" t="s">
        <v>3849</v>
      </c>
      <c r="B35" t="str">
        <f>_xlfn.XLOOKUP(A35,SITE1!$V$4:$V$1034,SITE1!$U$4:$U$1034,"")</f>
        <v>VSS</v>
      </c>
      <c r="C35" t="str" cm="1">
        <f t="array" ref="C35">_xlfn.TEXTJOIN(",",TRUE,_xlfn.UNIQUE(TRANSPOSE(_xlfn.MAP(_xlfn.XLOOKUP(A35,SITE1!$C$4:$C$1034,SITE1!$F$4:$O$1034,""),_xlfn.LAMBDA(_xlpm.x,IF(_xlpm.x&lt;&gt;"",TRIM(CLEAN(LEFT(_xlpm.x,FIND(".",_xlpm.x &amp; ".")-1))),""))))))</f>
        <v/>
      </c>
      <c r="D35">
        <v>0.43339999999999801</v>
      </c>
      <c r="E35">
        <v>7.9810999999999996</v>
      </c>
      <c r="F35" t="str">
        <f>_xlfn.LET(_xlpm.raw,_xlfn.XLOOKUP(A35,SITE1!$C$4:$C$1034,SITE1!$E$4:$E$1034),_xlpm.cleanRaw,SUBSTITUTE(SUBSTITUTE(_xlpm.raw,"_PIN","."),"PIN","."),_xlpm.mainPart,MID(_xlpm.cleanRaw,2,FIND(".",_xlpm.cleanRaw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5" t="str">
        <f>_xlfn.LET(_xlpm.raw,_xlfn.XLOOKUP(A35,SITE3!$C$4:$C$1034,SITE3!$E$4:$E$1034),_xlpm.cleanRaw,SUBSTITUTE(SUBSTITUTE(_xlpm.raw,"_PIN","."),"PIN","."),_xlpm.mainPart,MID(_xlpm.cleanRaw,2,FIND(".",_xlpm.cleanRaw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5" t="str">
        <f>""</f>
        <v/>
      </c>
      <c r="I35" t="str">
        <f>""</f>
        <v/>
      </c>
      <c r="J35" t="str">
        <f t="shared" si="0"/>
        <v>B18;VSS;;0.433399999999998;7.9811;;;;</v>
      </c>
    </row>
    <row r="36" spans="1:10">
      <c r="A36" t="s">
        <v>3850</v>
      </c>
      <c r="B36" t="str">
        <f>_xlfn.XLOOKUP(A36,SITE1!$V$4:$V$1034,SITE1!$U$4:$U$1034,"")</f>
        <v>VSS</v>
      </c>
      <c r="C36" t="str" cm="1">
        <f t="array" ref="C36">_xlfn.TEXTJOIN(",",TRUE,_xlfn.UNIQUE(TRANSPOSE(_xlfn.MAP(_xlfn.XLOOKUP(A36,SITE1!$C$4:$C$1034,SITE1!$F$4:$O$1034,""),_xlfn.LAMBDA(_xlpm.x,IF(_xlpm.x&lt;&gt;"",TRIM(CLEAN(LEFT(_xlpm.x,FIND(".",_xlpm.x &amp; ".")-1))),""))))))</f>
        <v/>
      </c>
      <c r="D36">
        <v>0.45340000000000003</v>
      </c>
      <c r="E36">
        <v>9.3455999999999992</v>
      </c>
      <c r="F36" t="str">
        <f>_xlfn.LET(_xlpm.raw,_xlfn.XLOOKUP(A36,SITE1!$C$4:$C$1034,SITE1!$E$4:$E$1034),_xlpm.cleanRaw,SUBSTITUTE(SUBSTITUTE(_xlpm.raw,"_PIN","."),"PIN","."),_xlpm.mainPart,MID(_xlpm.cleanRaw,2,FIND(".",_xlpm.cleanRaw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" t="str">
        <f>_xlfn.LET(_xlpm.raw,_xlfn.XLOOKUP(A36,SITE3!$C$4:$C$1034,SITE3!$E$4:$E$1034),_xlpm.cleanRaw,SUBSTITUTE(SUBSTITUTE(_xlpm.raw,"_PIN","."),"PIN","."),_xlpm.mainPart,MID(_xlpm.cleanRaw,2,FIND(".",_xlpm.cleanRaw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" t="str">
        <f>""</f>
        <v/>
      </c>
      <c r="I36" t="str">
        <f>""</f>
        <v/>
      </c>
      <c r="J36" t="str">
        <f t="shared" si="0"/>
        <v>B20;VSS;;0.4534;9.3456;;;;</v>
      </c>
    </row>
    <row r="37" spans="1:10">
      <c r="A37" t="s">
        <v>3851</v>
      </c>
      <c r="B37" t="str">
        <f>_xlfn.XLOOKUP(A37,SITE1!$V$4:$V$1034,SITE1!$U$4:$U$1034,"")</f>
        <v>VSS</v>
      </c>
      <c r="C37" t="str" cm="1">
        <f t="array" ref="C37">_xlfn.TEXTJOIN(",",TRUE,_xlfn.UNIQUE(TRANSPOSE(_xlfn.MAP(_xlfn.XLOOKUP(A37,SITE1!$C$4:$C$1034,SITE1!$F$4:$O$1034,""),_xlfn.LAMBDA(_xlpm.x,IF(_xlpm.x&lt;&gt;"",TRIM(CLEAN(LEFT(_xlpm.x,FIND(".",_xlpm.x &amp; ".")-1))),""))))))</f>
        <v/>
      </c>
      <c r="D37">
        <v>0.43339999999999801</v>
      </c>
      <c r="E37">
        <v>10.710100000000001</v>
      </c>
      <c r="F37" t="str">
        <f>_xlfn.LET(_xlpm.raw,_xlfn.XLOOKUP(A37,SITE1!$C$4:$C$1034,SITE1!$E$4:$E$1034),_xlpm.cleanRaw,SUBSTITUTE(SUBSTITUTE(_xlpm.raw,"_PIN","."),"PIN","."),_xlpm.mainPart,MID(_xlpm.cleanRaw,2,FIND(".",_xlpm.cleanRaw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" t="str">
        <f>_xlfn.LET(_xlpm.raw,_xlfn.XLOOKUP(A37,SITE3!$C$4:$C$1034,SITE3!$E$4:$E$1034),_xlpm.cleanRaw,SUBSTITUTE(SUBSTITUTE(_xlpm.raw,"_PIN","."),"PIN","."),_xlpm.mainPart,MID(_xlpm.cleanRaw,2,FIND(".",_xlpm.cleanRaw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" t="str">
        <f>""</f>
        <v/>
      </c>
      <c r="I37" t="str">
        <f>""</f>
        <v/>
      </c>
      <c r="J37" t="str">
        <f t="shared" si="0"/>
        <v>B23;VSS;;0.433399999999998;10.7101;;;;</v>
      </c>
    </row>
    <row r="38" spans="1:10">
      <c r="A38" t="s">
        <v>3852</v>
      </c>
      <c r="B38" t="str">
        <f>_xlfn.XLOOKUP(A38,SITE1!$V$4:$V$1034,SITE1!$U$4:$U$1034,"")</f>
        <v>VSS</v>
      </c>
      <c r="C38" t="str" cm="1">
        <f t="array" ref="C38">_xlfn.TEXTJOIN(",",TRUE,_xlfn.UNIQUE(TRANSPOSE(_xlfn.MAP(_xlfn.XLOOKUP(A38,SITE1!$C$4:$C$1034,SITE1!$F$4:$O$1034,""),_xlfn.LAMBDA(_xlpm.x,IF(_xlpm.x&lt;&gt;"",TRIM(CLEAN(LEFT(_xlpm.x,FIND(".",_xlpm.x &amp; ".")-1))),""))))))</f>
        <v/>
      </c>
      <c r="D38">
        <v>0.45340000000000003</v>
      </c>
      <c r="E38">
        <v>12.0746</v>
      </c>
      <c r="F38" t="str">
        <f>_xlfn.LET(_xlpm.raw,_xlfn.XLOOKUP(A38,SITE1!$C$4:$C$1034,SITE1!$E$4:$E$1034),_xlpm.cleanRaw,SUBSTITUTE(SUBSTITUTE(_xlpm.raw,"_PIN","."),"PIN","."),_xlpm.mainPart,MID(_xlpm.cleanRaw,2,FIND(".",_xlpm.cleanRaw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" t="str">
        <f>_xlfn.LET(_xlpm.raw,_xlfn.XLOOKUP(A38,SITE3!$C$4:$C$1034,SITE3!$E$4:$E$1034),_xlpm.cleanRaw,SUBSTITUTE(SUBSTITUTE(_xlpm.raw,"_PIN","."),"PIN","."),_xlpm.mainPart,MID(_xlpm.cleanRaw,2,FIND(".",_xlpm.cleanRaw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" t="str">
        <f>""</f>
        <v/>
      </c>
      <c r="I38" t="str">
        <f>""</f>
        <v/>
      </c>
      <c r="J38" t="str">
        <f t="shared" si="0"/>
        <v>B26;VSS;;0.4534;12.0746;;;;</v>
      </c>
    </row>
    <row r="39" spans="1:10">
      <c r="A39" t="s">
        <v>3853</v>
      </c>
      <c r="B39" t="str">
        <f>_xlfn.XLOOKUP(A39,SITE1!$V$4:$V$1034,SITE1!$U$4:$U$1034,"")</f>
        <v>VSS</v>
      </c>
      <c r="C39" t="str" cm="1">
        <f t="array" ref="C39">_xlfn.TEXTJOIN(",",TRUE,_xlfn.UNIQUE(TRANSPOSE(_xlfn.MAP(_xlfn.XLOOKUP(A39,SITE1!$C$4:$C$1034,SITE1!$F$4:$O$1034,""),_xlfn.LAMBDA(_xlpm.x,IF(_xlpm.x&lt;&gt;"",TRIM(CLEAN(LEFT(_xlpm.x,FIND(".",_xlpm.x &amp; ".")-1))),""))))))</f>
        <v/>
      </c>
      <c r="D39">
        <v>0.43339999999999801</v>
      </c>
      <c r="E39">
        <v>13.4391</v>
      </c>
      <c r="F39" t="str">
        <f>_xlfn.LET(_xlpm.raw,_xlfn.XLOOKUP(A39,SITE1!$C$4:$C$1034,SITE1!$E$4:$E$1034),_xlpm.cleanRaw,SUBSTITUTE(SUBSTITUTE(_xlpm.raw,"_PIN","."),"PIN","."),_xlpm.mainPart,MID(_xlpm.cleanRaw,2,FIND(".",_xlpm.cleanRaw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" t="str">
        <f>_xlfn.LET(_xlpm.raw,_xlfn.XLOOKUP(A39,SITE3!$C$4:$C$1034,SITE3!$E$4:$E$1034),_xlpm.cleanRaw,SUBSTITUTE(SUBSTITUTE(_xlpm.raw,"_PIN","."),"PIN","."),_xlpm.mainPart,MID(_xlpm.cleanRaw,2,FIND(".",_xlpm.cleanRaw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" t="str">
        <f>""</f>
        <v/>
      </c>
      <c r="I39" t="str">
        <f>""</f>
        <v/>
      </c>
      <c r="J39" t="str">
        <f t="shared" si="0"/>
        <v>B29;VSS;;0.433399999999998;13.4391;;;;</v>
      </c>
    </row>
    <row r="40" spans="1:10">
      <c r="A40" t="s">
        <v>604</v>
      </c>
      <c r="B40" t="str">
        <f>_xlfn.XLOOKUP(A40,SITE1!$V$4:$V$1034,SITE1!$U$4:$U$1034,"")</f>
        <v>DMI_RCOMP</v>
      </c>
      <c r="C40" t="str" cm="1">
        <f t="array" ref="C40">_xlfn.TEXTJOIN(",",TRUE,_xlfn.UNIQUE(TRANSPOSE(_xlfn.MAP(_xlfn.XLOOKUP(A40,SITE1!$C$4:$C$1034,SITE1!$F$4:$O$1034,""),_xlfn.LAMBDA(_xlpm.x,IF(_xlpm.x&lt;&gt;"",TRIM(CLEAN(LEFT(_xlpm.x,FIND(".",_xlpm.x &amp; ".")-1))),""))))))</f>
        <v>RA135</v>
      </c>
      <c r="D40">
        <v>0.45340000000000003</v>
      </c>
      <c r="E40">
        <v>14.803599999999999</v>
      </c>
      <c r="F40" t="str">
        <f>_xlfn.LET(_xlpm.raw,_xlfn.XLOOKUP(A40,SITE1!$C$4:$C$1034,SITE1!$E$4:$E$1034),_xlpm.cleanRaw,SUBSTITUTE(SUBSTITUTE(_xlpm.raw,"_PIN","."),"PIN","."),_xlpm.mainPart,MID(_xlpm.cleanRaw,2,FIND(".",_xlpm.cleanRaw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" t="str">
        <f>_xlfn.LET(_xlpm.raw,_xlfn.XLOOKUP(A40,SITE3!$C$4:$C$1034,SITE3!$E$4:$E$1034),_xlpm.cleanRaw,SUBSTITUTE(SUBSTITUTE(_xlpm.raw,"_PIN","."),"PIN","."),_xlpm.mainPart,MID(_xlpm.cleanRaw,2,FIND(".",_xlpm.cleanRaw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" t="str">
        <f>""</f>
        <v/>
      </c>
      <c r="I40" t="str">
        <f>""</f>
        <v/>
      </c>
      <c r="J40" t="str">
        <f t="shared" si="0"/>
        <v>B32;DMI_RCOMP;RA135;0.4534;14.8036;;;;</v>
      </c>
    </row>
    <row r="41" spans="1:10">
      <c r="A41" t="s">
        <v>3855</v>
      </c>
      <c r="B41" t="str">
        <f>_xlfn.XLOOKUP(A41,SITE1!$V$4:$V$1034,SITE1!$U$4:$U$1034,"")</f>
        <v>VSS</v>
      </c>
      <c r="C41" t="str" cm="1">
        <f t="array" ref="C41">_xlfn.TEXTJOIN(",",TRUE,_xlfn.UNIQUE(TRANSPOSE(_xlfn.MAP(_xlfn.XLOOKUP(A41,SITE1!$C$4:$C$1034,SITE1!$F$4:$O$1034,""),_xlfn.LAMBDA(_xlpm.x,IF(_xlpm.x&lt;&gt;"",TRIM(CLEAN(LEFT(_xlpm.x,FIND(".",_xlpm.x &amp; ".")-1))),""))))))</f>
        <v/>
      </c>
      <c r="D41">
        <v>0.43339999999999801</v>
      </c>
      <c r="E41">
        <v>16.168099999999999</v>
      </c>
      <c r="F41" t="str">
        <f>_xlfn.LET(_xlpm.raw,_xlfn.XLOOKUP(A41,SITE1!$C$4:$C$1034,SITE1!$E$4:$E$1034),_xlpm.cleanRaw,SUBSTITUTE(SUBSTITUTE(_xlpm.raw,"_PIN","."),"PIN","."),_xlpm.mainPart,MID(_xlpm.cleanRaw,2,FIND(".",_xlpm.cleanRaw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" t="str">
        <f>_xlfn.LET(_xlpm.raw,_xlfn.XLOOKUP(A41,SITE3!$C$4:$C$1034,SITE3!$E$4:$E$1034),_xlpm.cleanRaw,SUBSTITUTE(SUBSTITUTE(_xlpm.raw,"_PIN","."),"PIN","."),_xlpm.mainPart,MID(_xlpm.cleanRaw,2,FIND(".",_xlpm.cleanRaw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" t="str">
        <f>""</f>
        <v/>
      </c>
      <c r="I41" t="str">
        <f>""</f>
        <v/>
      </c>
      <c r="J41" t="str">
        <f t="shared" si="0"/>
        <v>B35;VSS;;0.433399999999998;16.1681;;;;</v>
      </c>
    </row>
    <row r="42" spans="1:10">
      <c r="A42" t="s">
        <v>3856</v>
      </c>
      <c r="B42" t="str">
        <f>_xlfn.XLOOKUP(A42,SITE1!$V$4:$V$1034,SITE1!$U$4:$U$1034,"")</f>
        <v>VSS</v>
      </c>
      <c r="C42" t="str" cm="1">
        <f t="array" ref="C42">_xlfn.TEXTJOIN(",",TRUE,_xlfn.UNIQUE(TRANSPOSE(_xlfn.MAP(_xlfn.XLOOKUP(A42,SITE1!$C$4:$C$1034,SITE1!$F$4:$O$1034,""),_xlfn.LAMBDA(_xlpm.x,IF(_xlpm.x&lt;&gt;"",TRIM(CLEAN(LEFT(_xlpm.x,FIND(".",_xlpm.x &amp; ".")-1))),""))))))</f>
        <v/>
      </c>
      <c r="D42">
        <v>0.45340000000000003</v>
      </c>
      <c r="E42">
        <v>17.532599999999999</v>
      </c>
      <c r="F42" t="str">
        <f>_xlfn.LET(_xlpm.raw,_xlfn.XLOOKUP(A42,SITE1!$C$4:$C$1034,SITE1!$E$4:$E$1034),_xlpm.cleanRaw,SUBSTITUTE(SUBSTITUTE(_xlpm.raw,"_PIN","."),"PIN","."),_xlpm.mainPart,MID(_xlpm.cleanRaw,2,FIND(".",_xlpm.cleanRaw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" t="str">
        <f>_xlfn.LET(_xlpm.raw,_xlfn.XLOOKUP(A42,SITE3!$C$4:$C$1034,SITE3!$E$4:$E$1034),_xlpm.cleanRaw,SUBSTITUTE(SUBSTITUTE(_xlpm.raw,"_PIN","."),"PIN","."),_xlpm.mainPart,MID(_xlpm.cleanRaw,2,FIND(".",_xlpm.cleanRaw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" t="str">
        <f>""</f>
        <v/>
      </c>
      <c r="I42" t="str">
        <f>""</f>
        <v/>
      </c>
      <c r="J42" t="str">
        <f t="shared" si="0"/>
        <v>B38;VSS;;0.4534;17.5326;;;;</v>
      </c>
    </row>
    <row r="43" spans="1:10">
      <c r="A43" t="s">
        <v>3858</v>
      </c>
      <c r="B43" t="str">
        <f>_xlfn.XLOOKUP(A43,SITE1!$V$4:$V$1034,SITE1!$U$4:$U$1034,"")</f>
        <v>VSS</v>
      </c>
      <c r="C43" t="str" cm="1">
        <f t="array" ref="C43">_xlfn.TEXTJOIN(",",TRUE,_xlfn.UNIQUE(TRANSPOSE(_xlfn.MAP(_xlfn.XLOOKUP(A43,SITE1!$C$4:$C$1034,SITE1!$F$4:$O$1034,""),_xlfn.LAMBDA(_xlpm.x,IF(_xlpm.x&lt;&gt;"",TRIM(CLEAN(LEFT(_xlpm.x,FIND(".",_xlpm.x &amp; ".")-1))),""))))))</f>
        <v/>
      </c>
      <c r="D43">
        <v>0.43339999999999801</v>
      </c>
      <c r="E43">
        <v>18.897099999999998</v>
      </c>
      <c r="F43" t="str">
        <f>_xlfn.LET(_xlpm.raw,_xlfn.XLOOKUP(A43,SITE1!$C$4:$C$1034,SITE1!$E$4:$E$1034),_xlpm.cleanRaw,SUBSTITUTE(SUBSTITUTE(_xlpm.raw,"_PIN","."),"PIN","."),_xlpm.mainPart,MID(_xlpm.cleanRaw,2,FIND(".",_xlpm.cleanRaw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" t="str">
        <f>_xlfn.LET(_xlpm.raw,_xlfn.XLOOKUP(A43,SITE3!$C$4:$C$1034,SITE3!$E$4:$E$1034),_xlpm.cleanRaw,SUBSTITUTE(SUBSTITUTE(_xlpm.raw,"_PIN","."),"PIN","."),_xlpm.mainPart,MID(_xlpm.cleanRaw,2,FIND(".",_xlpm.cleanRaw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" t="str">
        <f>""</f>
        <v/>
      </c>
      <c r="I43" t="str">
        <f>""</f>
        <v/>
      </c>
      <c r="J43" t="str">
        <f t="shared" si="0"/>
        <v>B40;VSS;;0.433399999999998;18.8971;;;;</v>
      </c>
    </row>
    <row r="44" spans="1:10">
      <c r="A44" t="s">
        <v>3859</v>
      </c>
      <c r="B44" t="str">
        <f>_xlfn.XLOOKUP(A44,SITE1!$V$4:$V$1034,SITE1!$U$4:$U$1034,"")</f>
        <v>VSS</v>
      </c>
      <c r="C44" t="str" cm="1">
        <f t="array" ref="C44">_xlfn.TEXTJOIN(",",TRUE,_xlfn.UNIQUE(TRANSPOSE(_xlfn.MAP(_xlfn.XLOOKUP(A44,SITE1!$C$4:$C$1034,SITE1!$F$4:$O$1034,""),_xlfn.LAMBDA(_xlpm.x,IF(_xlpm.x&lt;&gt;"",TRIM(CLEAN(LEFT(_xlpm.x,FIND(".",_xlpm.x &amp; ".")-1))),""))))))</f>
        <v/>
      </c>
      <c r="D44">
        <v>0.45340000000000003</v>
      </c>
      <c r="E44">
        <v>20.261600000000001</v>
      </c>
      <c r="F44" t="str">
        <f>_xlfn.LET(_xlpm.raw,_xlfn.XLOOKUP(A44,SITE1!$C$4:$C$1034,SITE1!$E$4:$E$1034),_xlpm.cleanRaw,SUBSTITUTE(SUBSTITUTE(_xlpm.raw,"_PIN","."),"PIN","."),_xlpm.mainPart,MID(_xlpm.cleanRaw,2,FIND(".",_xlpm.cleanRaw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" t="str">
        <f>_xlfn.LET(_xlpm.raw,_xlfn.XLOOKUP(A44,SITE3!$C$4:$C$1034,SITE3!$E$4:$E$1034),_xlpm.cleanRaw,SUBSTITUTE(SUBSTITUTE(_xlpm.raw,"_PIN","."),"PIN","."),_xlpm.mainPart,MID(_xlpm.cleanRaw,2,FIND(".",_xlpm.cleanRaw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" t="str">
        <f>""</f>
        <v/>
      </c>
      <c r="I44" t="str">
        <f>""</f>
        <v/>
      </c>
      <c r="J44" t="str">
        <f t="shared" si="0"/>
        <v>B43;VSS;;0.4534;20.2616;;;;</v>
      </c>
    </row>
    <row r="45" spans="1:10">
      <c r="A45" t="s">
        <v>3860</v>
      </c>
      <c r="B45" t="str">
        <f>_xlfn.XLOOKUP(A45,SITE1!$V$4:$V$1034,SITE1!$U$4:$U$1034,"")</f>
        <v>VSS</v>
      </c>
      <c r="C45" t="str" cm="1">
        <f t="array" ref="C45">_xlfn.TEXTJOIN(",",TRUE,_xlfn.UNIQUE(TRANSPOSE(_xlfn.MAP(_xlfn.XLOOKUP(A45,SITE1!$C$4:$C$1034,SITE1!$F$4:$O$1034,""),_xlfn.LAMBDA(_xlpm.x,IF(_xlpm.x&lt;&gt;"",TRIM(CLEAN(LEFT(_xlpm.x,FIND(".",_xlpm.x &amp; ".")-1))),""))))))</f>
        <v/>
      </c>
      <c r="D45">
        <v>0.43339999999999801</v>
      </c>
      <c r="E45">
        <v>21.626100000000001</v>
      </c>
      <c r="F45" t="str">
        <f>_xlfn.LET(_xlpm.raw,_xlfn.XLOOKUP(A45,SITE1!$C$4:$C$1034,SITE1!$E$4:$E$1034),_xlpm.cleanRaw,SUBSTITUTE(SUBSTITUTE(_xlpm.raw,"_PIN","."),"PIN","."),_xlpm.mainPart,MID(_xlpm.cleanRaw,2,FIND(".",_xlpm.cleanRaw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" t="str">
        <f>_xlfn.LET(_xlpm.raw,_xlfn.XLOOKUP(A45,SITE3!$C$4:$C$1034,SITE3!$E$4:$E$1034),_xlpm.cleanRaw,SUBSTITUTE(SUBSTITUTE(_xlpm.raw,"_PIN","."),"PIN","."),_xlpm.mainPart,MID(_xlpm.cleanRaw,2,FIND(".",_xlpm.cleanRaw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" t="str">
        <f>""</f>
        <v/>
      </c>
      <c r="I45" t="str">
        <f>""</f>
        <v/>
      </c>
      <c r="J45" t="str">
        <f t="shared" si="0"/>
        <v>B46;VSS;;0.433399999999998;21.6261;;;;</v>
      </c>
    </row>
    <row r="46" spans="1:10">
      <c r="A46" t="s">
        <v>3861</v>
      </c>
      <c r="B46" t="str">
        <f>_xlfn.XLOOKUP(A46,SITE1!$V$4:$V$1034,SITE1!$U$4:$U$1034,"")</f>
        <v>VSS</v>
      </c>
      <c r="C46" t="str" cm="1">
        <f t="array" ref="C46">_xlfn.TEXTJOIN(",",TRUE,_xlfn.UNIQUE(TRANSPOSE(_xlfn.MAP(_xlfn.XLOOKUP(A46,SITE1!$C$4:$C$1034,SITE1!$F$4:$O$1034,""),_xlfn.LAMBDA(_xlpm.x,IF(_xlpm.x&lt;&gt;"",TRIM(CLEAN(LEFT(_xlpm.x,FIND(".",_xlpm.x &amp; ".")-1))),""))))))</f>
        <v/>
      </c>
      <c r="D46">
        <v>0.45340000000000003</v>
      </c>
      <c r="E46">
        <v>22.990600000000001</v>
      </c>
      <c r="F46" t="str">
        <f>_xlfn.LET(_xlpm.raw,_xlfn.XLOOKUP(A46,SITE1!$C$4:$C$1034,SITE1!$E$4:$E$1034),_xlpm.cleanRaw,SUBSTITUTE(SUBSTITUTE(_xlpm.raw,"_PIN","."),"PIN","."),_xlpm.mainPart,MID(_xlpm.cleanRaw,2,FIND(".",_xlpm.cleanRaw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" t="str">
        <f>_xlfn.LET(_xlpm.raw,_xlfn.XLOOKUP(A46,SITE3!$C$4:$C$1034,SITE3!$E$4:$E$1034),_xlpm.cleanRaw,SUBSTITUTE(SUBSTITUTE(_xlpm.raw,"_PIN","."),"PIN","."),_xlpm.mainPart,MID(_xlpm.cleanRaw,2,FIND(".",_xlpm.cleanRaw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" t="str">
        <f>""</f>
        <v/>
      </c>
      <c r="I46" t="str">
        <f>""</f>
        <v/>
      </c>
      <c r="J46" t="str">
        <f t="shared" si="0"/>
        <v>B49;VSS;;0.4534;22.9906;;;;</v>
      </c>
    </row>
    <row r="47" spans="1:10">
      <c r="A47" t="s">
        <v>362</v>
      </c>
      <c r="B47" t="str">
        <f>_xlfn.XLOOKUP(A47,SITE1!$V$4:$V$1034,SITE1!$U$4:$U$1034,"")</f>
        <v>DIR_ESPI_CSB</v>
      </c>
      <c r="C47" t="str" cm="1">
        <f t="array" ref="C47">_xlfn.TEXTJOIN(",",TRUE,_xlfn.UNIQUE(TRANSPOSE(_xlfn.MAP(_xlfn.XLOOKUP(A47,SITE1!$C$4:$C$1034,SITE1!$F$4:$O$1034,""),_xlfn.LAMBDA(_xlpm.x,IF(_xlpm.x&lt;&gt;"",TRIM(CLEAN(LEFT(_xlpm.x,FIND(".",_xlpm.x &amp; ".")-1))),""))))))</f>
        <v/>
      </c>
      <c r="D47">
        <v>0.41929999999999901</v>
      </c>
      <c r="E47">
        <v>24.620699999999999</v>
      </c>
      <c r="F47" t="str">
        <f>_xlfn.LET(_xlpm.raw,_xlfn.XLOOKUP(A47,SITE1!$C$4:$C$1034,SITE1!$E$4:$E$1034),_xlpm.cleanRaw,SUBSTITUTE(SUBSTITUTE(_xlpm.raw,"_PIN","."),"PIN","."),_xlpm.mainPart,MID(_xlpm.cleanRaw,2,FIND(".",_xlpm.cleanRaw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709023</v>
      </c>
      <c r="G47" t="str">
        <f>_xlfn.LET(_xlpm.raw,_xlfn.XLOOKUP(A47,SITE3!$C$4:$C$1034,SITE3!$E$4:$E$1034),_xlpm.cleanRaw,SUBSTITUTE(SUBSTITUTE(_xlpm.raw,"_PIN","."),"PIN","."),_xlpm.mainPart,MID(_xlpm.cleanRaw,2,FIND(".",_xlpm.cleanRaw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509023</v>
      </c>
      <c r="H47" t="str">
        <f>""</f>
        <v/>
      </c>
      <c r="I47" t="str">
        <f>""</f>
        <v/>
      </c>
      <c r="J47" t="str">
        <f t="shared" si="0"/>
        <v>B52;DIR_ESPI_CSB;;0.419299999999999;24.6207;709023;509023;;</v>
      </c>
    </row>
    <row r="48" spans="1:10">
      <c r="A48" t="s">
        <v>3862</v>
      </c>
      <c r="B48" t="str">
        <f>_xlfn.XLOOKUP(A48,SITE1!$V$4:$V$1034,SITE1!$U$4:$U$1034,"")</f>
        <v>VSS</v>
      </c>
      <c r="C48" t="str" cm="1">
        <f t="array" ref="C48">_xlfn.TEXTJOIN(",",TRUE,_xlfn.UNIQUE(TRANSPOSE(_xlfn.MAP(_xlfn.XLOOKUP(A48,SITE1!$C$4:$C$1034,SITE1!$F$4:$O$1034,""),_xlfn.LAMBDA(_xlpm.x,IF(_xlpm.x&lt;&gt;"",TRIM(CLEAN(LEFT(_xlpm.x,FIND(".",_xlpm.x &amp; ".")-1))),""))))))</f>
        <v/>
      </c>
      <c r="D48">
        <v>0.46339999999999998</v>
      </c>
      <c r="E48">
        <v>25.246299999999898</v>
      </c>
      <c r="F48" t="str">
        <f>_xlfn.LET(_xlpm.raw,_xlfn.XLOOKUP(A48,SITE1!$C$4:$C$1034,SITE1!$E$4:$E$1034),_xlpm.cleanRaw,SUBSTITUTE(SUBSTITUTE(_xlpm.raw,"_PIN","."),"PIN","."),_xlpm.mainPart,MID(_xlpm.cleanRaw,2,FIND(".",_xlpm.cleanRaw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" t="str">
        <f>_xlfn.LET(_xlpm.raw,_xlfn.XLOOKUP(A48,SITE3!$C$4:$C$1034,SITE3!$E$4:$E$1034),_xlpm.cleanRaw,SUBSTITUTE(SUBSTITUTE(_xlpm.raw,"_PIN","."),"PIN","."),_xlpm.mainPart,MID(_xlpm.cleanRaw,2,FIND(".",_xlpm.cleanRaw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" t="str">
        <f>""</f>
        <v/>
      </c>
      <c r="I48" t="str">
        <f>""</f>
        <v/>
      </c>
      <c r="J48" t="str">
        <f t="shared" si="0"/>
        <v>B54;VSS;;0.4634;25.2462999999999;;;;</v>
      </c>
    </row>
    <row r="49" spans="1:10">
      <c r="A49" t="s">
        <v>3863</v>
      </c>
      <c r="B49" t="str">
        <f>_xlfn.XLOOKUP(A49,SITE1!$V$4:$V$1034,SITE1!$U$4:$U$1034,"")</f>
        <v>VSS</v>
      </c>
      <c r="C49" t="str" cm="1">
        <f t="array" ref="C49">_xlfn.TEXTJOIN(",",TRUE,_xlfn.UNIQUE(TRANSPOSE(_xlfn.MAP(_xlfn.XLOOKUP(A49,SITE1!$C$4:$C$1034,SITE1!$F$4:$O$1034,""),_xlfn.LAMBDA(_xlpm.x,IF(_xlpm.x&lt;&gt;"",TRIM(CLEAN(LEFT(_xlpm.x,FIND(".",_xlpm.x &amp; ".")-1))),""))))))</f>
        <v/>
      </c>
      <c r="D49">
        <v>0.46250000000000002</v>
      </c>
      <c r="E49">
        <v>25.748200000000001</v>
      </c>
      <c r="F49" t="str">
        <f>_xlfn.LET(_xlpm.raw,_xlfn.XLOOKUP(A49,SITE1!$C$4:$C$1034,SITE1!$E$4:$E$1034),_xlpm.cleanRaw,SUBSTITUTE(SUBSTITUTE(_xlpm.raw,"_PIN","."),"PIN","."),_xlpm.mainPart,MID(_xlpm.cleanRaw,2,FIND(".",_xlpm.cleanRaw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" t="str">
        <f>_xlfn.LET(_xlpm.raw,_xlfn.XLOOKUP(A49,SITE3!$C$4:$C$1034,SITE3!$E$4:$E$1034),_xlpm.cleanRaw,SUBSTITUTE(SUBSTITUTE(_xlpm.raw,"_PIN","."),"PIN","."),_xlpm.mainPart,MID(_xlpm.cleanRaw,2,FIND(".",_xlpm.cleanRaw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" t="str">
        <f>""</f>
        <v/>
      </c>
      <c r="I49" t="str">
        <f>""</f>
        <v/>
      </c>
      <c r="J49" t="str">
        <f t="shared" si="0"/>
        <v>B55;VSS;;0.4625;25.7482;;;;</v>
      </c>
    </row>
    <row r="50" spans="1:10">
      <c r="A50" t="s">
        <v>3936</v>
      </c>
      <c r="B50" t="str">
        <f>_xlfn.XLOOKUP(A50,SITE1!$V$4:$V$1034,SITE1!$U$4:$U$1034,"")</f>
        <v>VSS</v>
      </c>
      <c r="C50" t="str" cm="1">
        <f t="array" ref="C50">_xlfn.TEXTJOIN(",",TRUE,_xlfn.UNIQUE(TRANSPOSE(_xlfn.MAP(_xlfn.XLOOKUP(A50,SITE1!$C$4:$C$1034,SITE1!$F$4:$O$1034,""),_xlfn.LAMBDA(_xlpm.x,IF(_xlpm.x&lt;&gt;"",TRIM(CLEAN(LEFT(_xlpm.x,FIND(".",_xlpm.x &amp; ".")-1))),""))))))</f>
        <v/>
      </c>
      <c r="D50">
        <v>0.88109999999999999</v>
      </c>
      <c r="E50">
        <v>0</v>
      </c>
      <c r="F50" t="str">
        <f>_xlfn.LET(_xlpm.raw,_xlfn.XLOOKUP(A50,SITE1!$C$4:$C$1034,SITE1!$E$4:$E$1034),_xlpm.cleanRaw,SUBSTITUTE(SUBSTITUTE(_xlpm.raw,"_PIN","."),"PIN","."),_xlpm.mainPart,MID(_xlpm.cleanRaw,2,FIND(".",_xlpm.cleanRaw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" t="str">
        <f>_xlfn.LET(_xlpm.raw,_xlfn.XLOOKUP(A50,SITE3!$C$4:$C$1034,SITE3!$E$4:$E$1034),_xlpm.cleanRaw,SUBSTITUTE(SUBSTITUTE(_xlpm.raw,"_PIN","."),"PIN","."),_xlpm.mainPart,MID(_xlpm.cleanRaw,2,FIND(".",_xlpm.cleanRaw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" t="str">
        <f>""</f>
        <v/>
      </c>
      <c r="I50" t="str">
        <f>""</f>
        <v/>
      </c>
      <c r="J50" t="str">
        <f t="shared" si="0"/>
        <v>C1;VSS;;0.8811;0;;;;</v>
      </c>
    </row>
    <row r="51" spans="1:10">
      <c r="A51" t="s">
        <v>3937</v>
      </c>
      <c r="B51" t="str">
        <f>_xlfn.XLOOKUP(A51,SITE1!$V$4:$V$1034,SITE1!$U$4:$U$1034,"")</f>
        <v>VSS</v>
      </c>
      <c r="C51" t="str" cm="1">
        <f t="array" ref="C51">_xlfn.TEXTJOIN(",",TRUE,_xlfn.UNIQUE(TRANSPOSE(_xlfn.MAP(_xlfn.XLOOKUP(A51,SITE1!$C$4:$C$1034,SITE1!$F$4:$O$1034,""),_xlfn.LAMBDA(_xlpm.x,IF(_xlpm.x&lt;&gt;"",TRIM(CLEAN(LEFT(_xlpm.x,FIND(".",_xlpm.x &amp; ".")-1))),""))))))</f>
        <v/>
      </c>
      <c r="D51">
        <v>0.50999999999999901</v>
      </c>
      <c r="E51">
        <v>0.50900000000000001</v>
      </c>
      <c r="F51" t="str">
        <f>_xlfn.LET(_xlpm.raw,_xlfn.XLOOKUP(A51,SITE1!$C$4:$C$1034,SITE1!$E$4:$E$1034),_xlpm.cleanRaw,SUBSTITUTE(SUBSTITUTE(_xlpm.raw,"_PIN","."),"PIN","."),_xlpm.mainPart,MID(_xlpm.cleanRaw,2,FIND(".",_xlpm.cleanRaw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" t="str">
        <f>_xlfn.LET(_xlpm.raw,_xlfn.XLOOKUP(A51,SITE3!$C$4:$C$1034,SITE3!$E$4:$E$1034),_xlpm.cleanRaw,SUBSTITUTE(SUBSTITUTE(_xlpm.raw,"_PIN","."),"PIN","."),_xlpm.mainPart,MID(_xlpm.cleanRaw,2,FIND(".",_xlpm.cleanRaw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" t="str">
        <f>""</f>
        <v/>
      </c>
      <c r="I51" t="str">
        <f>""</f>
        <v/>
      </c>
      <c r="J51" t="str">
        <f t="shared" si="0"/>
        <v>C2;VSS;;0.509999999999999;0.509;;;;</v>
      </c>
    </row>
    <row r="52" spans="1:10">
      <c r="A52" t="s">
        <v>3938</v>
      </c>
      <c r="B52" t="str">
        <f>_xlfn.XLOOKUP(A52,SITE1!$V$4:$V$1034,SITE1!$U$4:$U$1034,"")</f>
        <v>VSS</v>
      </c>
      <c r="C52" t="str" cm="1">
        <f t="array" ref="C52">_xlfn.TEXTJOIN(",",TRUE,_xlfn.UNIQUE(TRANSPOSE(_xlfn.MAP(_xlfn.XLOOKUP(A52,SITE1!$C$4:$C$1034,SITE1!$F$4:$O$1034,""),_xlfn.LAMBDA(_xlpm.x,IF(_xlpm.x&lt;&gt;"",TRIM(CLEAN(LEFT(_xlpm.x,FIND(".",_xlpm.x &amp; ".")-1))),""))))))</f>
        <v/>
      </c>
      <c r="D52">
        <v>0.91279999999999895</v>
      </c>
      <c r="E52">
        <v>0.9113</v>
      </c>
      <c r="F52" t="str">
        <f>_xlfn.LET(_xlpm.raw,_xlfn.XLOOKUP(A52,SITE1!$C$4:$C$1034,SITE1!$E$4:$E$1034),_xlpm.cleanRaw,SUBSTITUTE(SUBSTITUTE(_xlpm.raw,"_PIN","."),"PIN","."),_xlpm.mainPart,MID(_xlpm.cleanRaw,2,FIND(".",_xlpm.cleanRaw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" t="str">
        <f>_xlfn.LET(_xlpm.raw,_xlfn.XLOOKUP(A52,SITE3!$C$4:$C$1034,SITE3!$E$4:$E$1034),_xlpm.cleanRaw,SUBSTITUTE(SUBSTITUTE(_xlpm.raw,"_PIN","."),"PIN","."),_xlpm.mainPart,MID(_xlpm.cleanRaw,2,FIND(".",_xlpm.cleanRaw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" t="str">
        <f>""</f>
        <v/>
      </c>
      <c r="I52" t="str">
        <f>""</f>
        <v/>
      </c>
      <c r="J52" t="str">
        <f t="shared" si="0"/>
        <v>C3;VSS;;0.912799999999999;0.9113;;;;</v>
      </c>
    </row>
    <row r="53" spans="1:10">
      <c r="A53" t="s">
        <v>3941</v>
      </c>
      <c r="B53" t="str">
        <f>_xlfn.XLOOKUP(A53,SITE1!$V$4:$V$1034,SITE1!$U$4:$U$1034,"")</f>
        <v>VSS</v>
      </c>
      <c r="C53" t="str" cm="1">
        <f t="array" ref="C53">_xlfn.TEXTJOIN(",",TRUE,_xlfn.UNIQUE(TRANSPOSE(_xlfn.MAP(_xlfn.XLOOKUP(A53,SITE1!$C$4:$C$1034,SITE1!$F$4:$O$1034,""),_xlfn.LAMBDA(_xlpm.x,IF(_xlpm.x&lt;&gt;"",TRIM(CLEAN(LEFT(_xlpm.x,FIND(".",_xlpm.x &amp; ".")-1))),""))))))</f>
        <v/>
      </c>
      <c r="D53">
        <v>0.83279999999999799</v>
      </c>
      <c r="E53">
        <v>1.97189999999999</v>
      </c>
      <c r="F53" t="str">
        <f>_xlfn.LET(_xlpm.raw,_xlfn.XLOOKUP(A53,SITE1!$C$4:$C$1034,SITE1!$E$4:$E$1034),_xlpm.cleanRaw,SUBSTITUTE(SUBSTITUTE(_xlpm.raw,"_PIN","."),"PIN","."),_xlpm.mainPart,MID(_xlpm.cleanRaw,2,FIND(".",_xlpm.cleanRaw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" t="str">
        <f>_xlfn.LET(_xlpm.raw,_xlfn.XLOOKUP(A53,SITE3!$C$4:$C$1034,SITE3!$E$4:$E$1034),_xlpm.cleanRaw,SUBSTITUTE(SUBSTITUTE(_xlpm.raw,"_PIN","."),"PIN","."),_xlpm.mainPart,MID(_xlpm.cleanRaw,2,FIND(".",_xlpm.cleanRaw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" t="str">
        <f>""</f>
        <v/>
      </c>
      <c r="I53" t="str">
        <f>""</f>
        <v/>
      </c>
      <c r="J53" t="str">
        <f t="shared" si="0"/>
        <v>C5;VSS;;0.832799999999998;1.97189999999999;;;;</v>
      </c>
    </row>
    <row r="54" spans="1:10">
      <c r="A54" t="s">
        <v>207</v>
      </c>
      <c r="B54" t="str">
        <f>_xlfn.XLOOKUP(A54,SITE1!$V$4:$V$1034,SITE1!$U$4:$U$1034,"")</f>
        <v>CLKOUT_XTAL_N</v>
      </c>
      <c r="C54" t="str" cm="1">
        <f t="array" ref="C54">_xlfn.TEXTJOIN(",",TRUE,_xlfn.UNIQUE(TRANSPOSE(_xlfn.MAP(_xlfn.XLOOKUP(A54,SITE1!$C$4:$C$1034,SITE1!$F$4:$O$1034,""),_xlfn.LAMBDA(_xlpm.x,IF(_xlpm.x&lt;&gt;"",TRIM(CLEAN(LEFT(_xlpm.x,FIND(".",_xlpm.x &amp; ".")-1))),""))))))</f>
        <v/>
      </c>
      <c r="D54">
        <v>0.52469999999999895</v>
      </c>
      <c r="E54">
        <v>2.7797000000000001</v>
      </c>
      <c r="F54" t="str">
        <f>_xlfn.LET(_xlpm.raw,_xlfn.XLOOKUP(A54,SITE1!$C$4:$C$1034,SITE1!$E$4:$E$1034),_xlpm.cleanRaw,SUBSTITUTE(SUBSTITUTE(_xlpm.raw,"_PIN","."),"PIN","."),_xlpm.mainPart,MID(_xlpm.cleanRaw,2,FIND(".",_xlpm.cleanRaw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609108</v>
      </c>
      <c r="G54" t="str">
        <f>_xlfn.LET(_xlpm.raw,_xlfn.XLOOKUP(A54,SITE3!$C$4:$C$1034,SITE3!$E$4:$E$1034),_xlpm.cleanRaw,SUBSTITUTE(SUBSTITUTE(_xlpm.raw,"_PIN","."),"PIN","."),_xlpm.mainPart,MID(_xlpm.cleanRaw,2,FIND(".",_xlpm.cleanRaw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809108</v>
      </c>
      <c r="H54" t="str">
        <f>""</f>
        <v/>
      </c>
      <c r="I54" t="str">
        <f>""</f>
        <v/>
      </c>
      <c r="J54" t="str">
        <f t="shared" si="0"/>
        <v>C7;CLKOUT_XTAL_N;;0.524699999999999;2.7797;609108;809108;;</v>
      </c>
    </row>
    <row r="55" spans="1:10">
      <c r="A55" t="s">
        <v>2954</v>
      </c>
      <c r="B55" t="str">
        <f>_xlfn.XLOOKUP(A55,SITE1!$V$4:$V$1034,SITE1!$U$4:$U$1034,"")</f>
        <v>USB2_ID_1_7</v>
      </c>
      <c r="C55" t="str" cm="1">
        <f t="array" ref="C55">_xlfn.TEXTJOIN(",",TRUE,_xlfn.UNIQUE(TRANSPOSE(_xlfn.MAP(_xlfn.XLOOKUP(A55,SITE1!$C$4:$C$1034,SITE1!$F$4:$O$1034,""),_xlfn.LAMBDA(_xlpm.x,IF(_xlpm.x&lt;&gt;"",TRIM(CLEAN(LEFT(_xlpm.x,FIND(".",_xlpm.x &amp; ".")-1))),""))))))</f>
        <v/>
      </c>
      <c r="D55">
        <v>0.65359999999999896</v>
      </c>
      <c r="E55">
        <v>3.4579</v>
      </c>
      <c r="F55" t="str">
        <f>_xlfn.LET(_xlpm.raw,_xlfn.XLOOKUP(A55,SITE1!$C$4:$C$1034,SITE1!$E$4:$E$1034),_xlpm.cleanRaw,SUBSTITUTE(SUBSTITUTE(_xlpm.raw,"_PIN","."),"PIN","."),_xlpm.mainPart,MID(_xlpm.cleanRaw,2,FIND(".",_xlpm.cleanRaw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601022</v>
      </c>
      <c r="G55" t="str">
        <f>_xlfn.LET(_xlpm.raw,_xlfn.XLOOKUP(A55,SITE3!$C$4:$C$1034,SITE3!$E$4:$E$1034),_xlpm.cleanRaw,SUBSTITUTE(SUBSTITUTE(_xlpm.raw,"_PIN","."),"PIN","."),_xlpm.mainPart,MID(_xlpm.cleanRaw,2,FIND(".",_xlpm.cleanRaw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801022</v>
      </c>
      <c r="H55" t="str">
        <f>""</f>
        <v/>
      </c>
      <c r="I55" t="str">
        <f>""</f>
        <v/>
      </c>
      <c r="J55" t="str">
        <f t="shared" si="0"/>
        <v>C8;USB2_ID_1_7;;0.653599999999999;3.4579;601022;801022;;</v>
      </c>
    </row>
    <row r="56" spans="1:10">
      <c r="A56" t="s">
        <v>3118</v>
      </c>
      <c r="B56" t="str">
        <f>_xlfn.XLOOKUP(A56,SITE1!$V$4:$V$1034,SITE1!$U$4:$U$1034,"")</f>
        <v>USB2P_8</v>
      </c>
      <c r="C56" t="str" cm="1">
        <f t="array" ref="C56">_xlfn.TEXTJOIN(",",TRUE,_xlfn.UNIQUE(TRANSPOSE(_xlfn.MAP(_xlfn.XLOOKUP(A56,SITE1!$C$4:$C$1034,SITE1!$F$4:$O$1034,""),_xlfn.LAMBDA(_xlpm.x,IF(_xlpm.x&lt;&gt;"",TRIM(CLEAN(LEFT(_xlpm.x,FIND(".",_xlpm.x &amp; ".")-1))),""))))))</f>
        <v/>
      </c>
      <c r="D56">
        <v>0.73759999999999803</v>
      </c>
      <c r="E56">
        <v>4.1185999999999998</v>
      </c>
      <c r="F56" t="str">
        <f>_xlfn.LET(_xlpm.raw,_xlfn.XLOOKUP(A56,SITE1!$C$4:$C$1034,SITE1!$E$4:$E$1034),_xlpm.cleanRaw,SUBSTITUTE(SUBSTITUTE(_xlpm.raw,"_PIN","."),"PIN","."),_xlpm.mainPart,MID(_xlpm.cleanRaw,2,FIND(".",_xlpm.cleanRaw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605064</v>
      </c>
      <c r="G56" t="str">
        <f>_xlfn.LET(_xlpm.raw,_xlfn.XLOOKUP(A56,SITE3!$C$4:$C$1034,SITE3!$E$4:$E$1034),_xlpm.cleanRaw,SUBSTITUTE(SUBSTITUTE(_xlpm.raw,"_PIN","."),"PIN","."),_xlpm.mainPart,MID(_xlpm.cleanRaw,2,FIND(".",_xlpm.cleanRaw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805064</v>
      </c>
      <c r="H56" t="str">
        <f>""</f>
        <v/>
      </c>
      <c r="I56" t="str">
        <f>""</f>
        <v/>
      </c>
      <c r="J56" t="str">
        <f t="shared" si="0"/>
        <v>C9;USB2P_8;;0.737599999999998;4.1186;605064;805064;;</v>
      </c>
    </row>
    <row r="57" spans="1:10">
      <c r="A57" t="s">
        <v>3108</v>
      </c>
      <c r="B57" t="str">
        <f>_xlfn.XLOOKUP(A57,SITE1!$V$4:$V$1034,SITE1!$U$4:$U$1034,"")</f>
        <v>USB2P_6</v>
      </c>
      <c r="C57" t="str" cm="1">
        <f t="array" ref="C57">_xlfn.TEXTJOIN(",",TRUE,_xlfn.UNIQUE(TRANSPOSE(_xlfn.MAP(_xlfn.XLOOKUP(A57,SITE1!$C$4:$C$1034,SITE1!$F$4:$O$1034,""),_xlfn.LAMBDA(_xlpm.x,IF(_xlpm.x&lt;&gt;"",TRIM(CLEAN(LEFT(_xlpm.x,FIND(".",_xlpm.x &amp; ".")-1))),""))))))</f>
        <v/>
      </c>
      <c r="D57">
        <v>0.52469999999999895</v>
      </c>
      <c r="E57">
        <v>4.9767999999999901</v>
      </c>
      <c r="F57" t="str">
        <f>_xlfn.LET(_xlpm.raw,_xlfn.XLOOKUP(A57,SITE1!$C$4:$C$1034,SITE1!$E$4:$E$1034),_xlpm.cleanRaw,SUBSTITUTE(SUBSTITUTE(_xlpm.raw,"_PIN","."),"PIN","."),_xlpm.mainPart,MID(_xlpm.cleanRaw,2,FIND(".",_xlpm.cleanRaw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606121</v>
      </c>
      <c r="G57" t="str">
        <f>_xlfn.LET(_xlpm.raw,_xlfn.XLOOKUP(A57,SITE3!$C$4:$C$1034,SITE3!$E$4:$E$1034),_xlpm.cleanRaw,SUBSTITUTE(SUBSTITUTE(_xlpm.raw,"_PIN","."),"PIN","."),_xlpm.mainPart,MID(_xlpm.cleanRaw,2,FIND(".",_xlpm.cleanRaw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806121</v>
      </c>
      <c r="H57" t="str">
        <f>""</f>
        <v/>
      </c>
      <c r="I57" t="str">
        <f>""</f>
        <v/>
      </c>
      <c r="J57" t="str">
        <f t="shared" si="0"/>
        <v>C11;USB2P_6;;0.524699999999999;4.97679999999999;606121;806121;;</v>
      </c>
    </row>
    <row r="58" spans="1:10">
      <c r="A58" t="s">
        <v>3024</v>
      </c>
      <c r="B58" t="str">
        <f>_xlfn.XLOOKUP(A58,SITE1!$V$4:$V$1034,SITE1!$U$4:$U$1034,"")</f>
        <v>USB2N_4</v>
      </c>
      <c r="C58" t="str" cm="1">
        <f t="array" ref="C58">_xlfn.TEXTJOIN(",",TRUE,_xlfn.UNIQUE(TRANSPOSE(_xlfn.MAP(_xlfn.XLOOKUP(A58,SITE1!$C$4:$C$1034,SITE1!$F$4:$O$1034,""),_xlfn.LAMBDA(_xlpm.x,IF(_xlpm.x&lt;&gt;"",TRIM(CLEAN(LEFT(_xlpm.x,FIND(".",_xlpm.x &amp; ".")-1))),""))))))</f>
        <v/>
      </c>
      <c r="D58">
        <v>0.65359999999999896</v>
      </c>
      <c r="E58">
        <v>5.6550000000000002</v>
      </c>
      <c r="F58" t="str">
        <f>_xlfn.LET(_xlpm.raw,_xlfn.XLOOKUP(A58,SITE1!$C$4:$C$1034,SITE1!$E$4:$E$1034),_xlpm.cleanRaw,SUBSTITUTE(SUBSTITUTE(_xlpm.raw,"_PIN","."),"PIN","."),_xlpm.mainPart,MID(_xlpm.cleanRaw,2,FIND(".",_xlpm.cleanRaw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606109</v>
      </c>
      <c r="G58" t="str">
        <f>_xlfn.LET(_xlpm.raw,_xlfn.XLOOKUP(A58,SITE3!$C$4:$C$1034,SITE3!$E$4:$E$1034),_xlpm.cleanRaw,SUBSTITUTE(SUBSTITUTE(_xlpm.raw,"_PIN","."),"PIN","."),_xlpm.mainPart,MID(_xlpm.cleanRaw,2,FIND(".",_xlpm.cleanRaw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806109</v>
      </c>
      <c r="H58" t="str">
        <f>""</f>
        <v/>
      </c>
      <c r="I58" t="str">
        <f>""</f>
        <v/>
      </c>
      <c r="J58" t="str">
        <f t="shared" si="0"/>
        <v>C13;USB2N_4;;0.653599999999999;5.655;606109;806109;;</v>
      </c>
    </row>
    <row r="59" spans="1:10">
      <c r="A59" t="s">
        <v>3093</v>
      </c>
      <c r="B59" t="str">
        <f>_xlfn.XLOOKUP(A59,SITE1!$V$4:$V$1034,SITE1!$U$4:$U$1034,"")</f>
        <v>USB2P_3</v>
      </c>
      <c r="C59" t="str" cm="1">
        <f t="array" ref="C59">_xlfn.TEXTJOIN(",",TRUE,_xlfn.UNIQUE(TRANSPOSE(_xlfn.MAP(_xlfn.XLOOKUP(A59,SITE1!$C$4:$C$1034,SITE1!$F$4:$O$1034,""),_xlfn.LAMBDA(_xlpm.x,IF(_xlpm.x&lt;&gt;"",TRIM(CLEAN(LEFT(_xlpm.x,FIND(".",_xlpm.x &amp; ".")-1))),""))))))</f>
        <v/>
      </c>
      <c r="D59">
        <v>0.73759999999999803</v>
      </c>
      <c r="E59">
        <v>6.3156999999999996</v>
      </c>
      <c r="F59" t="str">
        <f>_xlfn.LET(_xlpm.raw,_xlfn.XLOOKUP(A59,SITE1!$C$4:$C$1034,SITE1!$E$4:$E$1034),_xlpm.cleanRaw,SUBSTITUTE(SUBSTITUTE(_xlpm.raw,"_PIN","."),"PIN","."),_xlpm.mainPart,MID(_xlpm.cleanRaw,2,FIND(".",_xlpm.cleanRaw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606112</v>
      </c>
      <c r="G59" t="str">
        <f>_xlfn.LET(_xlpm.raw,_xlfn.XLOOKUP(A59,SITE3!$C$4:$C$1034,SITE3!$E$4:$E$1034),_xlpm.cleanRaw,SUBSTITUTE(SUBSTITUTE(_xlpm.raw,"_PIN","."),"PIN","."),_xlpm.mainPart,MID(_xlpm.cleanRaw,2,FIND(".",_xlpm.cleanRaw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806112</v>
      </c>
      <c r="H59" t="str">
        <f>""</f>
        <v/>
      </c>
      <c r="I59" t="str">
        <f>""</f>
        <v/>
      </c>
      <c r="J59" t="str">
        <f t="shared" si="0"/>
        <v>C14;USB2P_3;;0.737599999999998;6.3157;606112;806112;;</v>
      </c>
    </row>
    <row r="60" spans="1:10">
      <c r="A60" t="s">
        <v>3060</v>
      </c>
      <c r="B60" t="str">
        <f>_xlfn.XLOOKUP(A60,SITE1!$V$4:$V$1034,SITE1!$U$4:$U$1034,"")</f>
        <v>USB2P_1</v>
      </c>
      <c r="C60" t="str" cm="1">
        <f t="array" ref="C60">_xlfn.TEXTJOIN(",",TRUE,_xlfn.UNIQUE(TRANSPOSE(_xlfn.MAP(_xlfn.XLOOKUP(A60,SITE1!$C$4:$C$1034,SITE1!$F$4:$O$1034,""),_xlfn.LAMBDA(_xlpm.x,IF(_xlpm.x&lt;&gt;"",TRIM(CLEAN(LEFT(_xlpm.x,FIND(".",_xlpm.x &amp; ".")-1))),""))))))</f>
        <v/>
      </c>
      <c r="D60">
        <v>0.52469999999999895</v>
      </c>
      <c r="E60">
        <v>7.1738999999999997</v>
      </c>
      <c r="F60" t="str">
        <f>_xlfn.LET(_xlpm.raw,_xlfn.XLOOKUP(A60,SITE1!$C$4:$C$1034,SITE1!$E$4:$E$1034),_xlpm.cleanRaw,SUBSTITUTE(SUBSTITUTE(_xlpm.raw,"_PIN","."),"PIN","."),_xlpm.mainPart,MID(_xlpm.cleanRaw,2,FIND(".",_xlpm.cleanRaw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606108</v>
      </c>
      <c r="G60" t="str">
        <f>_xlfn.LET(_xlpm.raw,_xlfn.XLOOKUP(A60,SITE3!$C$4:$C$1034,SITE3!$E$4:$E$1034),_xlpm.cleanRaw,SUBSTITUTE(SUBSTITUTE(_xlpm.raw,"_PIN","."),"PIN","."),_xlpm.mainPart,MID(_xlpm.cleanRaw,2,FIND(".",_xlpm.cleanRaw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806108</v>
      </c>
      <c r="H60" t="str">
        <f>""</f>
        <v/>
      </c>
      <c r="I60" t="str">
        <f>""</f>
        <v/>
      </c>
      <c r="J60" t="str">
        <f t="shared" si="0"/>
        <v>C16;USB2P_1;;0.524699999999999;7.1739;606108;806108;;</v>
      </c>
    </row>
    <row r="61" spans="1:10">
      <c r="A61" t="s">
        <v>3233</v>
      </c>
      <c r="B61" t="str">
        <f>_xlfn.XLOOKUP(A61,SITE1!$V$4:$V$1034,SITE1!$U$4:$U$1034,"")</f>
        <v>USB31_2_TXN</v>
      </c>
      <c r="C61" t="str" cm="1">
        <f t="array" ref="C61">_xlfn.TEXTJOIN(",",TRUE,_xlfn.UNIQUE(TRANSPOSE(_xlfn.MAP(_xlfn.XLOOKUP(A61,SITE1!$C$4:$C$1034,SITE1!$F$4:$O$1034,""),_xlfn.LAMBDA(_xlpm.x,IF(_xlpm.x&lt;&gt;"",TRIM(CLEAN(LEFT(_xlpm.x,FIND(".",_xlpm.x &amp; ".")-1))),""))))))</f>
        <v>CA204,LA207</v>
      </c>
      <c r="D61">
        <v>0.80940000000000001</v>
      </c>
      <c r="E61">
        <v>8.4130000000000003</v>
      </c>
      <c r="F61" t="str">
        <f>_xlfn.LET(_xlpm.raw,_xlfn.XLOOKUP(A61,SITE1!$C$4:$C$1034,SITE1!$E$4:$E$1034),_xlpm.cleanRaw,SUBSTITUTE(SUBSTITUTE(_xlpm.raw,"_PIN","."),"PIN","."),_xlpm.mainPart,MID(_xlpm.cleanRaw,2,FIND(".",_xlpm.cleanRaw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602059</v>
      </c>
      <c r="G61" t="str">
        <f>_xlfn.LET(_xlpm.raw,_xlfn.XLOOKUP(A61,SITE3!$C$4:$C$1034,SITE3!$E$4:$E$1034),_xlpm.cleanRaw,SUBSTITUTE(SUBSTITUTE(_xlpm.raw,"_PIN","."),"PIN","."),_xlpm.mainPart,MID(_xlpm.cleanRaw,2,FIND(".",_xlpm.cleanRaw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802059</v>
      </c>
      <c r="H61" t="str">
        <f>""</f>
        <v/>
      </c>
      <c r="I61" t="str">
        <f>""</f>
        <v/>
      </c>
      <c r="J61" t="str">
        <f t="shared" si="0"/>
        <v>C18;USB31_2_TXN;CA204,LA207;0.8094;8.413;602059;802059;;</v>
      </c>
    </row>
    <row r="62" spans="1:10">
      <c r="A62" t="s">
        <v>3241</v>
      </c>
      <c r="B62" t="str">
        <f>_xlfn.XLOOKUP(A62,SITE1!$V$4:$V$1034,SITE1!$U$4:$U$1034,"")</f>
        <v>USB31_2_TXP</v>
      </c>
      <c r="C62" t="str" cm="1">
        <f t="array" ref="C62">_xlfn.TEXTJOIN(",",TRUE,_xlfn.UNIQUE(TRANSPOSE(_xlfn.MAP(_xlfn.XLOOKUP(A62,SITE1!$C$4:$C$1034,SITE1!$F$4:$O$1034,""),_xlfn.LAMBDA(_xlpm.x,IF(_xlpm.x&lt;&gt;"",TRIM(CLEAN(LEFT(_xlpm.x,FIND(".",_xlpm.x &amp; ".")-1))),""))))))</f>
        <v>CA203,LA205</v>
      </c>
      <c r="D62">
        <v>0.80940000000000001</v>
      </c>
      <c r="E62">
        <v>8.91359999999999</v>
      </c>
      <c r="F62" t="str">
        <f>_xlfn.LET(_xlpm.raw,_xlfn.XLOOKUP(A62,SITE1!$C$4:$C$1034,SITE1!$E$4:$E$1034),_xlpm.cleanRaw,SUBSTITUTE(SUBSTITUTE(_xlpm.raw,"_PIN","."),"PIN","."),_xlpm.mainPart,MID(_xlpm.cleanRaw,2,FIND(".",_xlpm.cleanRaw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602061</v>
      </c>
      <c r="G62" t="str">
        <f>_xlfn.LET(_xlpm.raw,_xlfn.XLOOKUP(A62,SITE3!$C$4:$C$1034,SITE3!$E$4:$E$1034),_xlpm.cleanRaw,SUBSTITUTE(SUBSTITUTE(_xlpm.raw,"_PIN","."),"PIN","."),_xlpm.mainPart,MID(_xlpm.cleanRaw,2,FIND(".",_xlpm.cleanRaw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802061</v>
      </c>
      <c r="H62" t="str">
        <f>""</f>
        <v/>
      </c>
      <c r="I62" t="str">
        <f>""</f>
        <v/>
      </c>
      <c r="J62" t="str">
        <f t="shared" si="0"/>
        <v>C19;USB31_2_TXP;CA203,LA205;0.8094;8.91359999999999;602061;802061;;</v>
      </c>
    </row>
    <row r="63" spans="1:10">
      <c r="A63" t="s">
        <v>3303</v>
      </c>
      <c r="B63" t="str">
        <f>_xlfn.XLOOKUP(A63,SITE1!$V$4:$V$1034,SITE1!$U$4:$U$1034,"")</f>
        <v>USB31_4_TXN</v>
      </c>
      <c r="C63" t="str" cm="1">
        <f t="array" ref="C63">_xlfn.TEXTJOIN(",",TRUE,_xlfn.UNIQUE(TRANSPOSE(_xlfn.MAP(_xlfn.XLOOKUP(A63,SITE1!$C$4:$C$1034,SITE1!$F$4:$O$1034,""),_xlfn.LAMBDA(_xlpm.x,IF(_xlpm.x&lt;&gt;"",TRIM(CLEAN(LEFT(_xlpm.x,FIND(".",_xlpm.x &amp; ".")-1))),""))))))</f>
        <v>CA208,LA215</v>
      </c>
      <c r="D63">
        <v>0.80940000000000001</v>
      </c>
      <c r="E63">
        <v>9.7774999999999999</v>
      </c>
      <c r="F63" t="str">
        <f>_xlfn.LET(_xlpm.raw,_xlfn.XLOOKUP(A63,SITE1!$C$4:$C$1034,SITE1!$E$4:$E$1034),_xlpm.cleanRaw,SUBSTITUTE(SUBSTITUTE(_xlpm.raw,"_PIN","."),"PIN","."),_xlpm.mainPart,MID(_xlpm.cleanRaw,2,FIND(".",_xlpm.cleanRaw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706015</v>
      </c>
      <c r="G63" t="str">
        <f>_xlfn.LET(_xlpm.raw,_xlfn.XLOOKUP(A63,SITE3!$C$4:$C$1034,SITE3!$E$4:$E$1034),_xlpm.cleanRaw,SUBSTITUTE(SUBSTITUTE(_xlpm.raw,"_PIN","."),"PIN","."),_xlpm.mainPart,MID(_xlpm.cleanRaw,2,FIND(".",_xlpm.cleanRaw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506015</v>
      </c>
      <c r="H63" t="str">
        <f>""</f>
        <v/>
      </c>
      <c r="I63" t="str">
        <f>""</f>
        <v/>
      </c>
      <c r="J63" t="str">
        <f t="shared" si="0"/>
        <v>C21;USB31_4_TXN;CA208,LA215;0.8094;9.7775;706015;506015;;</v>
      </c>
    </row>
    <row r="64" spans="1:10">
      <c r="A64" t="s">
        <v>3311</v>
      </c>
      <c r="B64" t="str">
        <f>_xlfn.XLOOKUP(A64,SITE1!$V$4:$V$1034,SITE1!$U$4:$U$1034,"")</f>
        <v>USB31_4_TXP</v>
      </c>
      <c r="C64" t="str" cm="1">
        <f t="array" ref="C64">_xlfn.TEXTJOIN(",",TRUE,_xlfn.UNIQUE(TRANSPOSE(_xlfn.MAP(_xlfn.XLOOKUP(A64,SITE1!$C$4:$C$1034,SITE1!$F$4:$O$1034,""),_xlfn.LAMBDA(_xlpm.x,IF(_xlpm.x&lt;&gt;"",TRIM(CLEAN(LEFT(_xlpm.x,FIND(".",_xlpm.x &amp; ".")-1))),""))))))</f>
        <v>CA207,LA213</v>
      </c>
      <c r="D64">
        <v>0.80940000000000001</v>
      </c>
      <c r="E64">
        <v>10.2781</v>
      </c>
      <c r="F64" t="str">
        <f>_xlfn.LET(_xlpm.raw,_xlfn.XLOOKUP(A64,SITE1!$C$4:$C$1034,SITE1!$E$4:$E$1034),_xlpm.cleanRaw,SUBSTITUTE(SUBSTITUTE(_xlpm.raw,"_PIN","."),"PIN","."),_xlpm.mainPart,MID(_xlpm.cleanRaw,2,FIND(".",_xlpm.cleanRaw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706017</v>
      </c>
      <c r="G64" t="str">
        <f>_xlfn.LET(_xlpm.raw,_xlfn.XLOOKUP(A64,SITE3!$C$4:$C$1034,SITE3!$E$4:$E$1034),_xlpm.cleanRaw,SUBSTITUTE(SUBSTITUTE(_xlpm.raw,"_PIN","."),"PIN","."),_xlpm.mainPart,MID(_xlpm.cleanRaw,2,FIND(".",_xlpm.cleanRaw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506017</v>
      </c>
      <c r="H64" t="str">
        <f>""</f>
        <v/>
      </c>
      <c r="I64" t="str">
        <f>""</f>
        <v/>
      </c>
      <c r="J64" t="str">
        <f t="shared" si="0"/>
        <v>C22;USB31_4_TXP;CA207,LA213;0.8094;10.2781;706017;506017;;</v>
      </c>
    </row>
    <row r="65" spans="1:10">
      <c r="A65" t="s">
        <v>423</v>
      </c>
      <c r="B65" t="str">
        <f>_xlfn.XLOOKUP(A65,SITE1!$V$4:$V$1034,SITE1!$U$4:$U$1034,"")</f>
        <v>USB31_6_TXN</v>
      </c>
      <c r="C65" t="str" cm="1">
        <f t="array" ref="C65">_xlfn.TEXTJOIN(",",TRUE,_xlfn.UNIQUE(TRANSPOSE(_xlfn.MAP(_xlfn.XLOOKUP(A65,SITE1!$C$4:$C$1034,SITE1!$F$4:$O$1034,""),_xlfn.LAMBDA(_xlpm.x,IF(_xlpm.x&lt;&gt;"",TRIM(CLEAN(LEFT(_xlpm.x,FIND(".",_xlpm.x &amp; ".")-1))),""))))))</f>
        <v>CA212,LA223</v>
      </c>
      <c r="D65">
        <v>0.80940000000000001</v>
      </c>
      <c r="E65">
        <v>11.141999999999999</v>
      </c>
      <c r="F65" t="str">
        <f>_xlfn.LET(_xlpm.raw,_xlfn.XLOOKUP(A65,SITE1!$C$4:$C$1034,SITE1!$E$4:$E$1034),_xlpm.cleanRaw,SUBSTITUTE(SUBSTITUTE(_xlpm.raw,"_PIN","."),"PIN","."),_xlpm.mainPart,MID(_xlpm.cleanRaw,2,FIND(".",_xlpm.cleanRaw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708064</v>
      </c>
      <c r="G65" t="str">
        <f>_xlfn.LET(_xlpm.raw,_xlfn.XLOOKUP(A65,SITE3!$C$4:$C$1034,SITE3!$E$4:$E$1034),_xlpm.cleanRaw,SUBSTITUTE(SUBSTITUTE(_xlpm.raw,"_PIN","."),"PIN","."),_xlpm.mainPart,MID(_xlpm.cleanRaw,2,FIND(".",_xlpm.cleanRaw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508064</v>
      </c>
      <c r="H65" t="str">
        <f>""</f>
        <v/>
      </c>
      <c r="I65" t="str">
        <f>""</f>
        <v/>
      </c>
      <c r="J65" t="str">
        <f t="shared" si="0"/>
        <v>C24;USB31_6_TXN;CA212,LA223;0.8094;11.142;708064;508064;;</v>
      </c>
    </row>
    <row r="66" spans="1:10">
      <c r="A66" t="s">
        <v>3379</v>
      </c>
      <c r="B66" t="str">
        <f>_xlfn.XLOOKUP(A66,SITE1!$V$4:$V$1034,SITE1!$U$4:$U$1034,"")</f>
        <v>USB31_6_TXP</v>
      </c>
      <c r="C66" t="str" cm="1">
        <f t="array" ref="C66">_xlfn.TEXTJOIN(",",TRUE,_xlfn.UNIQUE(TRANSPOSE(_xlfn.MAP(_xlfn.XLOOKUP(A66,SITE1!$C$4:$C$1034,SITE1!$F$4:$O$1034,""),_xlfn.LAMBDA(_xlpm.x,IF(_xlpm.x&lt;&gt;"",TRIM(CLEAN(LEFT(_xlpm.x,FIND(".",_xlpm.x &amp; ".")-1))),""))))))</f>
        <v>CA211,LA221</v>
      </c>
      <c r="D66">
        <v>0.80940000000000001</v>
      </c>
      <c r="E66">
        <v>11.6426</v>
      </c>
      <c r="F66" t="str">
        <f>_xlfn.LET(_xlpm.raw,_xlfn.XLOOKUP(A66,SITE1!$C$4:$C$1034,SITE1!$E$4:$E$1034),_xlpm.cleanRaw,SUBSTITUTE(SUBSTITUTE(_xlpm.raw,"_PIN","."),"PIN","."),_xlpm.mainPart,MID(_xlpm.cleanRaw,2,FIND(".",_xlpm.cleanRaw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708066</v>
      </c>
      <c r="G66" t="str">
        <f>_xlfn.LET(_xlpm.raw,_xlfn.XLOOKUP(A66,SITE3!$C$4:$C$1034,SITE3!$E$4:$E$1034),_xlpm.cleanRaw,SUBSTITUTE(SUBSTITUTE(_xlpm.raw,"_PIN","."),"PIN","."),_xlpm.mainPart,MID(_xlpm.cleanRaw,2,FIND(".",_xlpm.cleanRaw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508066</v>
      </c>
      <c r="H66" t="str">
        <f>""</f>
        <v/>
      </c>
      <c r="I66" t="str">
        <f>""</f>
        <v/>
      </c>
      <c r="J66" t="str">
        <f t="shared" ref="J66:J129" si="1">A66&amp;";"&amp;B66&amp;";"&amp;C66&amp;";"&amp;D66&amp;";"&amp;E66&amp;";"&amp;F66&amp;";"&amp;G66&amp;";"&amp;H66&amp;";"&amp;I66</f>
        <v>C25;USB31_6_TXP;CA211,LA221;0.8094;11.6426;708066;508066;;</v>
      </c>
    </row>
    <row r="67" spans="1:10">
      <c r="A67" t="s">
        <v>3442</v>
      </c>
      <c r="B67" t="str">
        <f>_xlfn.XLOOKUP(A67,SITE1!$V$4:$V$1034,SITE1!$U$4:$U$1034,"")</f>
        <v>USB31_8_TXN</v>
      </c>
      <c r="C67" t="str" cm="1">
        <f t="array" ref="C67">_xlfn.TEXTJOIN(",",TRUE,_xlfn.UNIQUE(TRANSPOSE(_xlfn.MAP(_xlfn.XLOOKUP(A67,SITE1!$C$4:$C$1034,SITE1!$F$4:$O$1034,""),_xlfn.LAMBDA(_xlpm.x,IF(_xlpm.x&lt;&gt;"",TRIM(CLEAN(LEFT(_xlpm.x,FIND(".",_xlpm.x &amp; ".")-1))),""))))))</f>
        <v>CA216,LA231</v>
      </c>
      <c r="D67">
        <v>0.80940000000000001</v>
      </c>
      <c r="E67">
        <v>12.5064999999999</v>
      </c>
      <c r="F67" t="str">
        <f>_xlfn.LET(_xlpm.raw,_xlfn.XLOOKUP(A67,SITE1!$C$4:$C$1034,SITE1!$E$4:$E$1034),_xlpm.cleanRaw,SUBSTITUTE(SUBSTITUTE(_xlpm.raw,"_PIN","."),"PIN","."),_xlpm.mainPart,MID(_xlpm.cleanRaw,2,FIND(".",_xlpm.cleanRaw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606106</v>
      </c>
      <c r="G67" t="str">
        <f>_xlfn.LET(_xlpm.raw,_xlfn.XLOOKUP(A67,SITE3!$C$4:$C$1034,SITE3!$E$4:$E$1034),_xlpm.cleanRaw,SUBSTITUTE(SUBSTITUTE(_xlpm.raw,"_PIN","."),"PIN","."),_xlpm.mainPart,MID(_xlpm.cleanRaw,2,FIND(".",_xlpm.cleanRaw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806106</v>
      </c>
      <c r="H67" t="str">
        <f>""</f>
        <v/>
      </c>
      <c r="I67" t="str">
        <f>""</f>
        <v/>
      </c>
      <c r="J67" t="str">
        <f t="shared" si="1"/>
        <v>C27;USB31_8_TXN;CA216,LA231;0.8094;12.5064999999999;606106;806106;;</v>
      </c>
    </row>
    <row r="68" spans="1:10">
      <c r="A68" t="s">
        <v>3450</v>
      </c>
      <c r="B68" t="str">
        <f>_xlfn.XLOOKUP(A68,SITE1!$V$4:$V$1034,SITE1!$U$4:$U$1034,"")</f>
        <v>USB31_8_TXP</v>
      </c>
      <c r="C68" t="str" cm="1">
        <f t="array" ref="C68">_xlfn.TEXTJOIN(",",TRUE,_xlfn.UNIQUE(TRANSPOSE(_xlfn.MAP(_xlfn.XLOOKUP(A68,SITE1!$C$4:$C$1034,SITE1!$F$4:$O$1034,""),_xlfn.LAMBDA(_xlpm.x,IF(_xlpm.x&lt;&gt;"",TRIM(CLEAN(LEFT(_xlpm.x,FIND(".",_xlpm.x &amp; ".")-1))),""))))))</f>
        <v>CA215,LA229</v>
      </c>
      <c r="D68">
        <v>0.80940000000000001</v>
      </c>
      <c r="E68">
        <v>13.007099999999999</v>
      </c>
      <c r="F68" t="str">
        <f>_xlfn.LET(_xlpm.raw,_xlfn.XLOOKUP(A68,SITE1!$C$4:$C$1034,SITE1!$E$4:$E$1034),_xlpm.cleanRaw,SUBSTITUTE(SUBSTITUTE(_xlpm.raw,"_PIN","."),"PIN","."),_xlpm.mainPart,MID(_xlpm.cleanRaw,2,FIND(".",_xlpm.cleanRaw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606104</v>
      </c>
      <c r="G68" t="str">
        <f>_xlfn.LET(_xlpm.raw,_xlfn.XLOOKUP(A68,SITE3!$C$4:$C$1034,SITE3!$E$4:$E$1034),_xlpm.cleanRaw,SUBSTITUTE(SUBSTITUTE(_xlpm.raw,"_PIN","."),"PIN","."),_xlpm.mainPart,MID(_xlpm.cleanRaw,2,FIND(".",_xlpm.cleanRaw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806104</v>
      </c>
      <c r="H68" t="str">
        <f>""</f>
        <v/>
      </c>
      <c r="I68" t="str">
        <f>""</f>
        <v/>
      </c>
      <c r="J68" t="str">
        <f t="shared" si="1"/>
        <v>C28;USB31_8_TXP;CA215,LA229;0.8094;13.0071;606104;806104;;</v>
      </c>
    </row>
    <row r="69" spans="1:10">
      <c r="A69" t="s">
        <v>3371</v>
      </c>
      <c r="B69" t="str">
        <f>_xlfn.XLOOKUP(A69,SITE1!$V$4:$V$1034,SITE1!$U$4:$U$1034,"")</f>
        <v>USB31_10_TXN</v>
      </c>
      <c r="C69" t="str" cm="1">
        <f t="array" ref="C69">_xlfn.TEXTJOIN(",",TRUE,_xlfn.UNIQUE(TRANSPOSE(_xlfn.MAP(_xlfn.XLOOKUP(A69,SITE1!$C$4:$C$1034,SITE1!$F$4:$O$1034,""),_xlfn.LAMBDA(_xlpm.x,IF(_xlpm.x&lt;&gt;"",TRIM(CLEAN(LEFT(_xlpm.x,FIND(".",_xlpm.x &amp; ".")-1))),""))))))</f>
        <v>CA220,LA239</v>
      </c>
      <c r="D69">
        <v>0.80940000000000001</v>
      </c>
      <c r="E69">
        <v>13.871</v>
      </c>
      <c r="F69" t="str">
        <f>_xlfn.LET(_xlpm.raw,_xlfn.XLOOKUP(A69,SITE1!$C$4:$C$1034,SITE1!$E$4:$E$1034),_xlpm.cleanRaw,SUBSTITUTE(SUBSTITUTE(_xlpm.raw,"_PIN","."),"PIN","."),_xlpm.mainPart,MID(_xlpm.cleanRaw,2,FIND(".",_xlpm.cleanRaw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707107</v>
      </c>
      <c r="G69" t="str">
        <f>_xlfn.LET(_xlpm.raw,_xlfn.XLOOKUP(A69,SITE3!$C$4:$C$1034,SITE3!$E$4:$E$1034),_xlpm.cleanRaw,SUBSTITUTE(SUBSTITUTE(_xlpm.raw,"_PIN","."),"PIN","."),_xlpm.mainPart,MID(_xlpm.cleanRaw,2,FIND(".",_xlpm.cleanRaw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507107</v>
      </c>
      <c r="H69" t="str">
        <f>""</f>
        <v/>
      </c>
      <c r="I69" t="str">
        <f>""</f>
        <v/>
      </c>
      <c r="J69" t="str">
        <f t="shared" si="1"/>
        <v>C30;USB31_10_TXN;CA220,LA239;0.8094;13.871;707107;507107;;</v>
      </c>
    </row>
    <row r="70" spans="1:10">
      <c r="A70" t="s">
        <v>3206</v>
      </c>
      <c r="B70" t="str">
        <f>_xlfn.XLOOKUP(A70,SITE1!$V$4:$V$1034,SITE1!$U$4:$U$1034,"")</f>
        <v>USB31_10_TXP</v>
      </c>
      <c r="C70" t="str" cm="1">
        <f t="array" ref="C70">_xlfn.TEXTJOIN(",",TRUE,_xlfn.UNIQUE(TRANSPOSE(_xlfn.MAP(_xlfn.XLOOKUP(A70,SITE1!$C$4:$C$1034,SITE1!$F$4:$O$1034,""),_xlfn.LAMBDA(_xlpm.x,IF(_xlpm.x&lt;&gt;"",TRIM(CLEAN(LEFT(_xlpm.x,FIND(".",_xlpm.x &amp; ".")-1))),""))))))</f>
        <v>CA219,LA237</v>
      </c>
      <c r="D70">
        <v>0.80940000000000001</v>
      </c>
      <c r="E70">
        <v>14.3715999999999</v>
      </c>
      <c r="F70" t="str">
        <f>_xlfn.LET(_xlpm.raw,_xlfn.XLOOKUP(A70,SITE1!$C$4:$C$1034,SITE1!$E$4:$E$1034),_xlpm.cleanRaw,SUBSTITUTE(SUBSTITUTE(_xlpm.raw,"_PIN","."),"PIN","."),_xlpm.mainPart,MID(_xlpm.cleanRaw,2,FIND(".",_xlpm.cleanRaw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707109</v>
      </c>
      <c r="G70" t="str">
        <f>_xlfn.LET(_xlpm.raw,_xlfn.XLOOKUP(A70,SITE3!$C$4:$C$1034,SITE3!$E$4:$E$1034),_xlpm.cleanRaw,SUBSTITUTE(SUBSTITUTE(_xlpm.raw,"_PIN","."),"PIN","."),_xlpm.mainPart,MID(_xlpm.cleanRaw,2,FIND(".",_xlpm.cleanRaw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507109</v>
      </c>
      <c r="H70" t="str">
        <f>""</f>
        <v/>
      </c>
      <c r="I70" t="str">
        <f>""</f>
        <v/>
      </c>
      <c r="J70" t="str">
        <f t="shared" si="1"/>
        <v>C31;USB31_10_TXP;CA219,LA237;0.8094;14.3715999999999;707109;507109;;</v>
      </c>
    </row>
    <row r="71" spans="1:10">
      <c r="A71" t="s">
        <v>3939</v>
      </c>
      <c r="B71" t="str">
        <f>_xlfn.XLOOKUP(A71,SITE1!$V$4:$V$1034,SITE1!$U$4:$U$1034,"")</f>
        <v>VSS</v>
      </c>
      <c r="C71" t="str" cm="1">
        <f t="array" ref="C71">_xlfn.TEXTJOIN(",",TRUE,_xlfn.UNIQUE(TRANSPOSE(_xlfn.MAP(_xlfn.XLOOKUP(A71,SITE1!$C$4:$C$1034,SITE1!$F$4:$O$1034,""),_xlfn.LAMBDA(_xlpm.x,IF(_xlpm.x&lt;&gt;"",TRIM(CLEAN(LEFT(_xlpm.x,FIND(".",_xlpm.x &amp; ".")-1))),""))))))</f>
        <v/>
      </c>
      <c r="D71">
        <v>0.80940000000000001</v>
      </c>
      <c r="E71">
        <v>15.2355</v>
      </c>
      <c r="F71" t="str">
        <f>_xlfn.LET(_xlpm.raw,_xlfn.XLOOKUP(A71,SITE1!$C$4:$C$1034,SITE1!$E$4:$E$1034),_xlpm.cleanRaw,SUBSTITUTE(SUBSTITUTE(_xlpm.raw,"_PIN","."),"PIN","."),_xlpm.mainPart,MID(_xlpm.cleanRaw,2,FIND(".",_xlpm.cleanRaw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1" t="str">
        <f>_xlfn.LET(_xlpm.raw,_xlfn.XLOOKUP(A71,SITE3!$C$4:$C$1034,SITE3!$E$4:$E$1034),_xlpm.cleanRaw,SUBSTITUTE(SUBSTITUTE(_xlpm.raw,"_PIN","."),"PIN","."),_xlpm.mainPart,MID(_xlpm.cleanRaw,2,FIND(".",_xlpm.cleanRaw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1" t="str">
        <f>""</f>
        <v/>
      </c>
      <c r="I71" t="str">
        <f>""</f>
        <v/>
      </c>
      <c r="J71" t="str">
        <f t="shared" si="1"/>
        <v>C33;VSS;;0.8094;15.2355;;;;</v>
      </c>
    </row>
    <row r="72" spans="1:10">
      <c r="A72" t="s">
        <v>3940</v>
      </c>
      <c r="B72" t="str">
        <f>_xlfn.XLOOKUP(A72,SITE1!$V$4:$V$1034,SITE1!$U$4:$U$1034,"")</f>
        <v>VSS</v>
      </c>
      <c r="C72" t="str" cm="1">
        <f t="array" ref="C72">_xlfn.TEXTJOIN(",",TRUE,_xlfn.UNIQUE(TRANSPOSE(_xlfn.MAP(_xlfn.XLOOKUP(A72,SITE1!$C$4:$C$1034,SITE1!$F$4:$O$1034,""),_xlfn.LAMBDA(_xlpm.x,IF(_xlpm.x&lt;&gt;"",TRIM(CLEAN(LEFT(_xlpm.x,FIND(".",_xlpm.x &amp; ".")-1))),""))))))</f>
        <v/>
      </c>
      <c r="D72">
        <v>0.80940000000000001</v>
      </c>
      <c r="E72">
        <v>15.7361</v>
      </c>
      <c r="F72" t="str">
        <f>_xlfn.LET(_xlpm.raw,_xlfn.XLOOKUP(A72,SITE1!$C$4:$C$1034,SITE1!$E$4:$E$1034),_xlpm.cleanRaw,SUBSTITUTE(SUBSTITUTE(_xlpm.raw,"_PIN","."),"PIN","."),_xlpm.mainPart,MID(_xlpm.cleanRaw,2,FIND(".",_xlpm.cleanRaw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" t="str">
        <f>_xlfn.LET(_xlpm.raw,_xlfn.XLOOKUP(A72,SITE3!$C$4:$C$1034,SITE3!$E$4:$E$1034),_xlpm.cleanRaw,SUBSTITUTE(SUBSTITUTE(_xlpm.raw,"_PIN","."),"PIN","."),_xlpm.mainPart,MID(_xlpm.cleanRaw,2,FIND(".",_xlpm.cleanRaw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" t="str">
        <f>""</f>
        <v/>
      </c>
      <c r="I72" t="str">
        <f>""</f>
        <v/>
      </c>
      <c r="J72" t="str">
        <f t="shared" si="1"/>
        <v>C34;VSS;;0.8094;15.7361;;;;</v>
      </c>
    </row>
    <row r="73" spans="1:10">
      <c r="A73" t="s">
        <v>2414</v>
      </c>
      <c r="B73" t="str">
        <f>_xlfn.XLOOKUP(A73,SITE1!$V$4:$V$1034,SITE1!$U$4:$U$1034,"")</f>
        <v>PCIE_22_TXP</v>
      </c>
      <c r="C73" t="str" cm="1">
        <f t="array" ref="C73">_xlfn.TEXTJOIN(",",TRUE,_xlfn.UNIQUE(TRANSPOSE(_xlfn.MAP(_xlfn.XLOOKUP(A73,SITE1!$C$4:$C$1034,SITE1!$F$4:$O$1034,""),_xlfn.LAMBDA(_xlpm.x,IF(_xlpm.x&lt;&gt;"",TRIM(CLEAN(LEFT(_xlpm.x,FIND(".",_xlpm.x &amp; ".")-1))),""))))))</f>
        <v>CA263,LA325</v>
      </c>
      <c r="D73">
        <v>0.80940000000000001</v>
      </c>
      <c r="E73">
        <v>16.600000000000001</v>
      </c>
      <c r="F73" t="str">
        <f>_xlfn.LET(_xlpm.raw,_xlfn.XLOOKUP(A73,SITE1!$C$4:$C$1034,SITE1!$E$4:$E$1034),_xlpm.cleanRaw,SUBSTITUTE(SUBSTITUTE(_xlpm.raw,"_PIN","."),"PIN","."),_xlpm.mainPart,MID(_xlpm.cleanRaw,2,FIND(".",_xlpm.cleanRaw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708059</v>
      </c>
      <c r="G73" t="str">
        <f>_xlfn.LET(_xlpm.raw,_xlfn.XLOOKUP(A73,SITE3!$C$4:$C$1034,SITE3!$E$4:$E$1034),_xlpm.cleanRaw,SUBSTITUTE(SUBSTITUTE(_xlpm.raw,"_PIN","."),"PIN","."),_xlpm.mainPart,MID(_xlpm.cleanRaw,2,FIND(".",_xlpm.cleanRaw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508059</v>
      </c>
      <c r="H73" t="str">
        <f>""</f>
        <v/>
      </c>
      <c r="I73" t="str">
        <f>""</f>
        <v/>
      </c>
      <c r="J73" t="str">
        <f t="shared" si="1"/>
        <v>C36;PCIE_22_TXP;CA263,LA325;0.8094;16.6;708059;508059;;</v>
      </c>
    </row>
    <row r="74" spans="1:10">
      <c r="A74" t="s">
        <v>2405</v>
      </c>
      <c r="B74" t="str">
        <f>_xlfn.XLOOKUP(A74,SITE1!$V$4:$V$1034,SITE1!$U$4:$U$1034,"")</f>
        <v>PCIE_22_TXN</v>
      </c>
      <c r="C74" t="str" cm="1">
        <f t="array" ref="C74">_xlfn.TEXTJOIN(",",TRUE,_xlfn.UNIQUE(TRANSPOSE(_xlfn.MAP(_xlfn.XLOOKUP(A74,SITE1!$C$4:$C$1034,SITE1!$F$4:$O$1034,""),_xlfn.LAMBDA(_xlpm.x,IF(_xlpm.x&lt;&gt;"",TRIM(CLEAN(LEFT(_xlpm.x,FIND(".",_xlpm.x &amp; ".")-1))),""))))))</f>
        <v>CA264,LA327</v>
      </c>
      <c r="D74">
        <v>0.80940000000000001</v>
      </c>
      <c r="E74">
        <v>17.1006</v>
      </c>
      <c r="F74" t="str">
        <f>_xlfn.LET(_xlpm.raw,_xlfn.XLOOKUP(A74,SITE1!$C$4:$C$1034,SITE1!$E$4:$E$1034),_xlpm.cleanRaw,SUBSTITUTE(SUBSTITUTE(_xlpm.raw,"_PIN","."),"PIN","."),_xlpm.mainPart,MID(_xlpm.cleanRaw,2,FIND(".",_xlpm.cleanRaw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708061</v>
      </c>
      <c r="G74" t="str">
        <f>_xlfn.LET(_xlpm.raw,_xlfn.XLOOKUP(A74,SITE3!$C$4:$C$1034,SITE3!$E$4:$E$1034),_xlpm.cleanRaw,SUBSTITUTE(SUBSTITUTE(_xlpm.raw,"_PIN","."),"PIN","."),_xlpm.mainPart,MID(_xlpm.cleanRaw,2,FIND(".",_xlpm.cleanRaw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508061</v>
      </c>
      <c r="H74" t="str">
        <f>""</f>
        <v/>
      </c>
      <c r="I74" t="str">
        <f>""</f>
        <v/>
      </c>
      <c r="J74" t="str">
        <f t="shared" si="1"/>
        <v>C37;PCIE_22_TXN;CA264,LA327;0.8094;17.1006;708061;508061;;</v>
      </c>
    </row>
    <row r="75" spans="1:10">
      <c r="A75" t="s">
        <v>2484</v>
      </c>
      <c r="B75" t="str">
        <f>_xlfn.XLOOKUP(A75,SITE1!$V$4:$V$1034,SITE1!$U$4:$U$1034,"")</f>
        <v>PCIE_24_TXP</v>
      </c>
      <c r="C75" t="str" cm="1">
        <f t="array" ref="C75">_xlfn.TEXTJOIN(",",TRUE,_xlfn.UNIQUE(TRANSPOSE(_xlfn.MAP(_xlfn.XLOOKUP(A75,SITE1!$C$4:$C$1034,SITE1!$F$4:$O$1034,""),_xlfn.LAMBDA(_xlpm.x,IF(_xlpm.x&lt;&gt;"",TRIM(CLEAN(LEFT(_xlpm.x,FIND(".",_xlpm.x &amp; ".")-1))),""))))))</f>
        <v>CA267,LA333</v>
      </c>
      <c r="D75">
        <v>0.80940000000000001</v>
      </c>
      <c r="E75">
        <v>17.964500000000001</v>
      </c>
      <c r="F75" t="str">
        <f>_xlfn.LET(_xlpm.raw,_xlfn.XLOOKUP(A75,SITE1!$C$4:$C$1034,SITE1!$E$4:$E$1034),_xlpm.cleanRaw,SUBSTITUTE(SUBSTITUTE(_xlpm.raw,"_PIN","."),"PIN","."),_xlpm.mainPart,MID(_xlpm.cleanRaw,2,FIND(".",_xlpm.cleanRaw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707100</v>
      </c>
      <c r="G75" t="str">
        <f>_xlfn.LET(_xlpm.raw,_xlfn.XLOOKUP(A75,SITE3!$C$4:$C$1034,SITE3!$E$4:$E$1034),_xlpm.cleanRaw,SUBSTITUTE(SUBSTITUTE(_xlpm.raw,"_PIN","."),"PIN","."),_xlpm.mainPart,MID(_xlpm.cleanRaw,2,FIND(".",_xlpm.cleanRaw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507100</v>
      </c>
      <c r="H75" t="str">
        <f>""</f>
        <v/>
      </c>
      <c r="I75" t="str">
        <f>""</f>
        <v/>
      </c>
      <c r="J75" t="str">
        <f t="shared" si="1"/>
        <v>C39;PCIE_24_TXP;CA267,LA333;0.8094;17.9645;707100;507100;;</v>
      </c>
    </row>
    <row r="76" spans="1:10">
      <c r="A76" t="s">
        <v>2476</v>
      </c>
      <c r="B76" t="str">
        <f>_xlfn.XLOOKUP(A76,SITE1!$V$4:$V$1034,SITE1!$U$4:$U$1034,"")</f>
        <v>PCIE_24_TXN</v>
      </c>
      <c r="C76" t="str" cm="1">
        <f t="array" ref="C76">_xlfn.TEXTJOIN(",",TRUE,_xlfn.UNIQUE(TRANSPOSE(_xlfn.MAP(_xlfn.XLOOKUP(A76,SITE1!$C$4:$C$1034,SITE1!$F$4:$O$1034,""),_xlfn.LAMBDA(_xlpm.x,IF(_xlpm.x&lt;&gt;"",TRIM(CLEAN(LEFT(_xlpm.x,FIND(".",_xlpm.x &amp; ".")-1))),""))))))</f>
        <v>CA268,LA335</v>
      </c>
      <c r="D76">
        <v>0.80940000000000001</v>
      </c>
      <c r="E76">
        <v>18.4651</v>
      </c>
      <c r="F76" t="str">
        <f>_xlfn.LET(_xlpm.raw,_xlfn.XLOOKUP(A76,SITE1!$C$4:$C$1034,SITE1!$E$4:$E$1034),_xlpm.cleanRaw,SUBSTITUTE(SUBSTITUTE(_xlpm.raw,"_PIN","."),"PIN","."),_xlpm.mainPart,MID(_xlpm.cleanRaw,2,FIND(".",_xlpm.cleanRaw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707102</v>
      </c>
      <c r="G76" t="str">
        <f>_xlfn.LET(_xlpm.raw,_xlfn.XLOOKUP(A76,SITE3!$C$4:$C$1034,SITE3!$E$4:$E$1034),_xlpm.cleanRaw,SUBSTITUTE(SUBSTITUTE(_xlpm.raw,"_PIN","."),"PIN","."),_xlpm.mainPart,MID(_xlpm.cleanRaw,2,FIND(".",_xlpm.cleanRaw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507102</v>
      </c>
      <c r="H76" t="str">
        <f>""</f>
        <v/>
      </c>
      <c r="I76" t="str">
        <f>""</f>
        <v/>
      </c>
      <c r="J76" t="str">
        <f t="shared" si="1"/>
        <v>C40;PCIE_24_TXN;CA268,LA335;0.8094;18.4651;707102;507102;;</v>
      </c>
    </row>
    <row r="77" spans="1:10">
      <c r="A77" t="s">
        <v>569</v>
      </c>
      <c r="B77" t="str">
        <f>_xlfn.XLOOKUP(A77,SITE1!$V$4:$V$1034,SITE1!$U$4:$U$1034,"")</f>
        <v>DMI_6_TXP</v>
      </c>
      <c r="C77" t="str" cm="1">
        <f t="array" ref="C77">_xlfn.TEXTJOIN(",",TRUE,_xlfn.UNIQUE(TRANSPOSE(_xlfn.MAP(_xlfn.XLOOKUP(A77,SITE1!$C$4:$C$1034,SITE1!$F$4:$O$1034,""),_xlfn.LAMBDA(_xlpm.x,IF(_xlpm.x&lt;&gt;"",TRIM(CLEAN(LEFT(_xlpm.x,FIND(".",_xlpm.x &amp; ".")-1))),""))))))</f>
        <v>LA366</v>
      </c>
      <c r="D77">
        <v>0.80940000000000001</v>
      </c>
      <c r="E77">
        <v>19.329000000000001</v>
      </c>
      <c r="F77" t="str">
        <f>_xlfn.LET(_xlpm.raw,_xlfn.XLOOKUP(A77,SITE1!$C$4:$C$1034,SITE1!$E$4:$E$1034),_xlpm.cleanRaw,SUBSTITUTE(SUBSTITUTE(_xlpm.raw,"_PIN","."),"PIN","."),_xlpm.mainPart,MID(_xlpm.cleanRaw,2,FIND(".",_xlpm.cleanRaw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709035</v>
      </c>
      <c r="G77" t="str">
        <f>_xlfn.LET(_xlpm.raw,_xlfn.XLOOKUP(A77,SITE3!$C$4:$C$1034,SITE3!$E$4:$E$1034),_xlpm.cleanRaw,SUBSTITUTE(SUBSTITUTE(_xlpm.raw,"_PIN","."),"PIN","."),_xlpm.mainPart,MID(_xlpm.cleanRaw,2,FIND(".",_xlpm.cleanRaw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509035</v>
      </c>
      <c r="H77" t="str">
        <f>""</f>
        <v/>
      </c>
      <c r="I77" t="str">
        <f>""</f>
        <v/>
      </c>
      <c r="J77" t="str">
        <f t="shared" si="1"/>
        <v>C41;DMI_6_TXP;LA366;0.8094;19.329;709035;509035;;</v>
      </c>
    </row>
    <row r="78" spans="1:10">
      <c r="A78" t="s">
        <v>566</v>
      </c>
      <c r="B78" t="str">
        <f>_xlfn.XLOOKUP(A78,SITE1!$V$4:$V$1034,SITE1!$U$4:$U$1034,"")</f>
        <v>DMI_6_TXN</v>
      </c>
      <c r="C78" t="str" cm="1">
        <f t="array" ref="C78">_xlfn.TEXTJOIN(",",TRUE,_xlfn.UNIQUE(TRANSPOSE(_xlfn.MAP(_xlfn.XLOOKUP(A78,SITE1!$C$4:$C$1034,SITE1!$F$4:$O$1034,""),_xlfn.LAMBDA(_xlpm.x,IF(_xlpm.x&lt;&gt;"",TRIM(CLEAN(LEFT(_xlpm.x,FIND(".",_xlpm.x &amp; ".")-1))),""))))))</f>
        <v>LA365</v>
      </c>
      <c r="D78">
        <v>0.80940000000000001</v>
      </c>
      <c r="E78">
        <v>19.829599999999999</v>
      </c>
      <c r="F78" t="str">
        <f>_xlfn.LET(_xlpm.raw,_xlfn.XLOOKUP(A78,SITE1!$C$4:$C$1034,SITE1!$E$4:$E$1034),_xlpm.cleanRaw,SUBSTITUTE(SUBSTITUTE(_xlpm.raw,"_PIN","."),"PIN","."),_xlpm.mainPart,MID(_xlpm.cleanRaw,2,FIND(".",_xlpm.cleanRaw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709037</v>
      </c>
      <c r="G78" t="str">
        <f>_xlfn.LET(_xlpm.raw,_xlfn.XLOOKUP(A78,SITE3!$C$4:$C$1034,SITE3!$E$4:$E$1034),_xlpm.cleanRaw,SUBSTITUTE(SUBSTITUTE(_xlpm.raw,"_PIN","."),"PIN","."),_xlpm.mainPart,MID(_xlpm.cleanRaw,2,FIND(".",_xlpm.cleanRaw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509037</v>
      </c>
      <c r="H78" t="str">
        <f>""</f>
        <v/>
      </c>
      <c r="I78" t="str">
        <f>""</f>
        <v/>
      </c>
      <c r="J78" t="str">
        <f t="shared" si="1"/>
        <v>C42;DMI_6_TXN;LA365;0.8094;19.8296;709037;509037;;</v>
      </c>
    </row>
    <row r="79" spans="1:10">
      <c r="A79" t="s">
        <v>525</v>
      </c>
      <c r="B79" t="str">
        <f>_xlfn.XLOOKUP(A79,SITE1!$V$4:$V$1034,SITE1!$U$4:$U$1034,"")</f>
        <v>DMI_4_TXP</v>
      </c>
      <c r="C79" t="str" cm="1">
        <f t="array" ref="C79">_xlfn.TEXTJOIN(",",TRUE,_xlfn.UNIQUE(TRANSPOSE(_xlfn.MAP(_xlfn.XLOOKUP(A79,SITE1!$C$4:$C$1034,SITE1!$F$4:$O$1034,""),_xlfn.LAMBDA(_xlpm.x,IF(_xlpm.x&lt;&gt;"",TRIM(CLEAN(LEFT(_xlpm.x,FIND(".",_xlpm.x &amp; ".")-1))),""))))))</f>
        <v>LA362</v>
      </c>
      <c r="D79">
        <v>0.80940000000000001</v>
      </c>
      <c r="E79">
        <v>20.6935</v>
      </c>
      <c r="F79" t="str">
        <f>_xlfn.LET(_xlpm.raw,_xlfn.XLOOKUP(A79,SITE1!$C$4:$C$1034,SITE1!$E$4:$E$1034),_xlpm.cleanRaw,SUBSTITUTE(SUBSTITUTE(_xlpm.raw,"_PIN","."),"PIN","."),_xlpm.mainPart,MID(_xlpm.cleanRaw,2,FIND(".",_xlpm.cleanRaw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709030</v>
      </c>
      <c r="G79" t="str">
        <f>_xlfn.LET(_xlpm.raw,_xlfn.XLOOKUP(A79,SITE3!$C$4:$C$1034,SITE3!$E$4:$E$1034),_xlpm.cleanRaw,SUBSTITUTE(SUBSTITUTE(_xlpm.raw,"_PIN","."),"PIN","."),_xlpm.mainPart,MID(_xlpm.cleanRaw,2,FIND(".",_xlpm.cleanRaw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509030</v>
      </c>
      <c r="H79" t="str">
        <f>""</f>
        <v/>
      </c>
      <c r="I79" t="str">
        <f>""</f>
        <v/>
      </c>
      <c r="J79" t="str">
        <f t="shared" si="1"/>
        <v>C44;DMI_4_TXP;LA362;0.8094;20.6935;709030;509030;;</v>
      </c>
    </row>
    <row r="80" spans="1:10">
      <c r="A80" t="s">
        <v>522</v>
      </c>
      <c r="B80" t="str">
        <f>_xlfn.XLOOKUP(A80,SITE1!$V$4:$V$1034,SITE1!$U$4:$U$1034,"")</f>
        <v>DMI_4_TXN</v>
      </c>
      <c r="C80" t="str" cm="1">
        <f t="array" ref="C80">_xlfn.TEXTJOIN(",",TRUE,_xlfn.UNIQUE(TRANSPOSE(_xlfn.MAP(_xlfn.XLOOKUP(A80,SITE1!$C$4:$C$1034,SITE1!$F$4:$O$1034,""),_xlfn.LAMBDA(_xlpm.x,IF(_xlpm.x&lt;&gt;"",TRIM(CLEAN(LEFT(_xlpm.x,FIND(".",_xlpm.x &amp; ".")-1))),""))))))</f>
        <v>LA361</v>
      </c>
      <c r="D80">
        <v>0.80940000000000001</v>
      </c>
      <c r="E80">
        <v>21.194099999999999</v>
      </c>
      <c r="F80" t="str">
        <f>_xlfn.LET(_xlpm.raw,_xlfn.XLOOKUP(A80,SITE1!$C$4:$C$1034,SITE1!$E$4:$E$1034),_xlpm.cleanRaw,SUBSTITUTE(SUBSTITUTE(_xlpm.raw,"_PIN","."),"PIN","."),_xlpm.mainPart,MID(_xlpm.cleanRaw,2,FIND(".",_xlpm.cleanRaw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709028</v>
      </c>
      <c r="G80" t="str">
        <f>_xlfn.LET(_xlpm.raw,_xlfn.XLOOKUP(A80,SITE3!$C$4:$C$1034,SITE3!$E$4:$E$1034),_xlpm.cleanRaw,SUBSTITUTE(SUBSTITUTE(_xlpm.raw,"_PIN","."),"PIN","."),_xlpm.mainPart,MID(_xlpm.cleanRaw,2,FIND(".",_xlpm.cleanRaw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509028</v>
      </c>
      <c r="H80" t="str">
        <f>""</f>
        <v/>
      </c>
      <c r="I80" t="str">
        <f>""</f>
        <v/>
      </c>
      <c r="J80" t="str">
        <f t="shared" si="1"/>
        <v>C45;DMI_4_TXN;LA361;0.8094;21.1941;709028;509028;;</v>
      </c>
    </row>
    <row r="81" spans="1:10">
      <c r="A81" t="s">
        <v>480</v>
      </c>
      <c r="B81" t="str">
        <f>_xlfn.XLOOKUP(A81,SITE1!$V$4:$V$1034,SITE1!$U$4:$U$1034,"")</f>
        <v>DMI_2_TXP</v>
      </c>
      <c r="C81" t="str" cm="1">
        <f t="array" ref="C81">_xlfn.TEXTJOIN(",",TRUE,_xlfn.UNIQUE(TRANSPOSE(_xlfn.MAP(_xlfn.XLOOKUP(A81,SITE1!$C$4:$C$1034,SITE1!$F$4:$O$1034,""),_xlfn.LAMBDA(_xlpm.x,IF(_xlpm.x&lt;&gt;"",TRIM(CLEAN(LEFT(_xlpm.x,FIND(".",_xlpm.x &amp; ".")-1))),""))))))</f>
        <v>LA358</v>
      </c>
      <c r="D81">
        <v>0.80940000000000001</v>
      </c>
      <c r="E81">
        <v>22.058</v>
      </c>
      <c r="F81" t="str">
        <f>_xlfn.LET(_xlpm.raw,_xlfn.XLOOKUP(A81,SITE1!$C$4:$C$1034,SITE1!$E$4:$E$1034),_xlpm.cleanRaw,SUBSTITUTE(SUBSTITUTE(_xlpm.raw,"_PIN","."),"PIN","."),_xlpm.mainPart,MID(_xlpm.cleanRaw,2,FIND(".",_xlpm.cleanRaw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706018</v>
      </c>
      <c r="G81" t="str">
        <f>_xlfn.LET(_xlpm.raw,_xlfn.XLOOKUP(A81,SITE3!$C$4:$C$1034,SITE3!$E$4:$E$1034),_xlpm.cleanRaw,SUBSTITUTE(SUBSTITUTE(_xlpm.raw,"_PIN","."),"PIN","."),_xlpm.mainPart,MID(_xlpm.cleanRaw,2,FIND(".",_xlpm.cleanRaw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506018</v>
      </c>
      <c r="H81" t="str">
        <f>""</f>
        <v/>
      </c>
      <c r="I81" t="str">
        <f>""</f>
        <v/>
      </c>
      <c r="J81" t="str">
        <f t="shared" si="1"/>
        <v>C47;DMI_2_TXP;LA358;0.8094;22.058;706018;506018;;</v>
      </c>
    </row>
    <row r="82" spans="1:10">
      <c r="A82" t="s">
        <v>477</v>
      </c>
      <c r="B82" t="str">
        <f>_xlfn.XLOOKUP(A82,SITE1!$V$4:$V$1034,SITE1!$U$4:$U$1034,"")</f>
        <v>DMI_2_TXN</v>
      </c>
      <c r="C82" t="str" cm="1">
        <f t="array" ref="C82">_xlfn.TEXTJOIN(",",TRUE,_xlfn.UNIQUE(TRANSPOSE(_xlfn.MAP(_xlfn.XLOOKUP(A82,SITE1!$C$4:$C$1034,SITE1!$F$4:$O$1034,""),_xlfn.LAMBDA(_xlpm.x,IF(_xlpm.x&lt;&gt;"",TRIM(CLEAN(LEFT(_xlpm.x,FIND(".",_xlpm.x &amp; ".")-1))),""))))))</f>
        <v>LA357</v>
      </c>
      <c r="D82">
        <v>0.80940000000000001</v>
      </c>
      <c r="E82">
        <v>22.558599999999998</v>
      </c>
      <c r="F82" t="str">
        <f>_xlfn.LET(_xlpm.raw,_xlfn.XLOOKUP(A82,SITE1!$C$4:$C$1034,SITE1!$E$4:$E$1034),_xlpm.cleanRaw,SUBSTITUTE(SUBSTITUTE(_xlpm.raw,"_PIN","."),"PIN","."),_xlpm.mainPart,MID(_xlpm.cleanRaw,2,FIND(".",_xlpm.cleanRaw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706020</v>
      </c>
      <c r="G82" t="str">
        <f>_xlfn.LET(_xlpm.raw,_xlfn.XLOOKUP(A82,SITE3!$C$4:$C$1034,SITE3!$E$4:$E$1034),_xlpm.cleanRaw,SUBSTITUTE(SUBSTITUTE(_xlpm.raw,"_PIN","."),"PIN","."),_xlpm.mainPart,MID(_xlpm.cleanRaw,2,FIND(".",_xlpm.cleanRaw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506020</v>
      </c>
      <c r="H82" t="str">
        <f>""</f>
        <v/>
      </c>
      <c r="I82" t="str">
        <f>""</f>
        <v/>
      </c>
      <c r="J82" t="str">
        <f t="shared" si="1"/>
        <v>C48;DMI_2_TXN;LA357;0.8094;22.5586;706020;506020;;</v>
      </c>
    </row>
    <row r="83" spans="1:10">
      <c r="A83" t="s">
        <v>420</v>
      </c>
      <c r="B83" t="str">
        <f>_xlfn.XLOOKUP(A83,SITE1!$V$4:$V$1034,SITE1!$U$4:$U$1034,"")</f>
        <v>DMI_0_TXP</v>
      </c>
      <c r="C83" t="str" cm="1">
        <f t="array" ref="C83">_xlfn.TEXTJOIN(",",TRUE,_xlfn.UNIQUE(TRANSPOSE(_xlfn.MAP(_xlfn.XLOOKUP(A83,SITE1!$C$4:$C$1034,SITE1!$F$4:$O$1034,""),_xlfn.LAMBDA(_xlpm.x,IF(_xlpm.x&lt;&gt;"",TRIM(CLEAN(LEFT(_xlpm.x,FIND(".",_xlpm.x &amp; ".")-1))),""))))))</f>
        <v>LA354</v>
      </c>
      <c r="D83">
        <v>0.80940000000000001</v>
      </c>
      <c r="E83">
        <v>23.422499999999999</v>
      </c>
      <c r="F83" t="str">
        <f>_xlfn.LET(_xlpm.raw,_xlfn.XLOOKUP(A83,SITE1!$C$4:$C$1034,SITE1!$E$4:$E$1034),_xlpm.cleanRaw,SUBSTITUTE(SUBSTITUTE(_xlpm.raw,"_PIN","."),"PIN","."),_xlpm.mainPart,MID(_xlpm.cleanRaw,2,FIND(".",_xlpm.cleanRaw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708071</v>
      </c>
      <c r="G83" t="str">
        <f>_xlfn.LET(_xlpm.raw,_xlfn.XLOOKUP(A83,SITE3!$C$4:$C$1034,SITE3!$E$4:$E$1034),_xlpm.cleanRaw,SUBSTITUTE(SUBSTITUTE(_xlpm.raw,"_PIN","."),"PIN","."),_xlpm.mainPart,MID(_xlpm.cleanRaw,2,FIND(".",_xlpm.cleanRaw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508071</v>
      </c>
      <c r="H83" t="str">
        <f>""</f>
        <v/>
      </c>
      <c r="I83" t="str">
        <f>""</f>
        <v/>
      </c>
      <c r="J83" t="str">
        <f t="shared" si="1"/>
        <v>C50;DMI_0_TXP;LA354;0.8094;23.4225;708071;508071;;</v>
      </c>
    </row>
    <row r="84" spans="1:10">
      <c r="A84" t="s">
        <v>417</v>
      </c>
      <c r="B84" t="str">
        <f>_xlfn.XLOOKUP(A84,SITE1!$V$4:$V$1034,SITE1!$U$4:$U$1034,"")</f>
        <v>DMI_0_TXN</v>
      </c>
      <c r="C84" t="str" cm="1">
        <f t="array" ref="C84">_xlfn.TEXTJOIN(",",TRUE,_xlfn.UNIQUE(TRANSPOSE(_xlfn.MAP(_xlfn.XLOOKUP(A84,SITE1!$C$4:$C$1034,SITE1!$F$4:$O$1034,""),_xlfn.LAMBDA(_xlpm.x,IF(_xlpm.x&lt;&gt;"",TRIM(CLEAN(LEFT(_xlpm.x,FIND(".",_xlpm.x &amp; ".")-1))),""))))))</f>
        <v>LA353</v>
      </c>
      <c r="D84">
        <v>0.80940000000000001</v>
      </c>
      <c r="E84">
        <v>23.923099999999899</v>
      </c>
      <c r="F84" t="str">
        <f>_xlfn.LET(_xlpm.raw,_xlfn.XLOOKUP(A84,SITE1!$C$4:$C$1034,SITE1!$E$4:$E$1034),_xlpm.cleanRaw,SUBSTITUTE(SUBSTITUTE(_xlpm.raw,"_PIN","."),"PIN","."),_xlpm.mainPart,MID(_xlpm.cleanRaw,2,FIND(".",_xlpm.cleanRaw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708073</v>
      </c>
      <c r="G84" t="str">
        <f>_xlfn.LET(_xlpm.raw,_xlfn.XLOOKUP(A84,SITE3!$C$4:$C$1034,SITE3!$E$4:$E$1034),_xlpm.cleanRaw,SUBSTITUTE(SUBSTITUTE(_xlpm.raw,"_PIN","."),"PIN","."),_xlpm.mainPart,MID(_xlpm.cleanRaw,2,FIND(".",_xlpm.cleanRaw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508073</v>
      </c>
      <c r="H84" t="str">
        <f>""</f>
        <v/>
      </c>
      <c r="I84" t="str">
        <f>""</f>
        <v/>
      </c>
      <c r="J84" t="str">
        <f t="shared" si="1"/>
        <v>C51;DMI_0_TXN;LA353;0.8094;23.9230999999999;708073;508073;;</v>
      </c>
    </row>
    <row r="85" spans="1:10">
      <c r="A85" t="s">
        <v>387</v>
      </c>
      <c r="B85" t="str">
        <f>_xlfn.XLOOKUP(A85,SITE1!$V$4:$V$1034,SITE1!$U$4:$U$1034,"")</f>
        <v>DIR_ESPI_RCLK</v>
      </c>
      <c r="C85" t="str" cm="1">
        <f t="array" ref="C85">_xlfn.TEXTJOIN(",",TRUE,_xlfn.UNIQUE(TRANSPOSE(_xlfn.MAP(_xlfn.XLOOKUP(A85,SITE1!$C$4:$C$1034,SITE1!$F$4:$O$1034,""),_xlfn.LAMBDA(_xlpm.x,IF(_xlpm.x&lt;&gt;"",TRIM(CLEAN(LEFT(_xlpm.x,FIND(".",_xlpm.x &amp; ".")-1))),""))))))</f>
        <v/>
      </c>
      <c r="D85">
        <v>0.83279999999999799</v>
      </c>
      <c r="E85">
        <v>24.906300000000002</v>
      </c>
      <c r="F85" t="str">
        <f>_xlfn.LET(_xlpm.raw,_xlfn.XLOOKUP(A85,SITE1!$C$4:$C$1034,SITE1!$E$4:$E$1034),_xlpm.cleanRaw,SUBSTITUTE(SUBSTITUTE(_xlpm.raw,"_PIN","."),"PIN","."),_xlpm.mainPart,MID(_xlpm.cleanRaw,2,FIND(".",_xlpm.cleanRaw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708042</v>
      </c>
      <c r="G85" t="str">
        <f>_xlfn.LET(_xlpm.raw,_xlfn.XLOOKUP(A85,SITE3!$C$4:$C$1034,SITE3!$E$4:$E$1034),_xlpm.cleanRaw,SUBSTITUTE(SUBSTITUTE(_xlpm.raw,"_PIN","."),"PIN","."),_xlpm.mainPart,MID(_xlpm.cleanRaw,2,FIND(".",_xlpm.cleanRaw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508042</v>
      </c>
      <c r="H85" t="str">
        <f>""</f>
        <v/>
      </c>
      <c r="I85" t="str">
        <f>""</f>
        <v/>
      </c>
      <c r="J85" t="str">
        <f t="shared" si="1"/>
        <v>C53;DIR_ESPI_RCLK;;0.832799999999998;24.9063;708042;508042;;</v>
      </c>
    </row>
    <row r="86" spans="1:10">
      <c r="A86" t="s">
        <v>372</v>
      </c>
      <c r="B86" t="str">
        <f>_xlfn.XLOOKUP(A86,SITE1!$V$4:$V$1034,SITE1!$U$4:$U$1034,"")</f>
        <v>DIR_ESPI_IO_1</v>
      </c>
      <c r="C86" t="str" cm="1">
        <f t="array" ref="C86">_xlfn.TEXTJOIN(",",TRUE,_xlfn.UNIQUE(TRANSPOSE(_xlfn.MAP(_xlfn.XLOOKUP(A86,SITE1!$C$4:$C$1034,SITE1!$F$4:$O$1034,""),_xlfn.LAMBDA(_xlpm.x,IF(_xlpm.x&lt;&gt;"",TRIM(CLEAN(LEFT(_xlpm.x,FIND(".",_xlpm.x &amp; ".")-1))),""))))))</f>
        <v/>
      </c>
      <c r="D86">
        <v>0.91279999999999895</v>
      </c>
      <c r="E86">
        <v>25.966899999999999</v>
      </c>
      <c r="F86" t="str">
        <f>_xlfn.LET(_xlpm.raw,_xlfn.XLOOKUP(A86,SITE1!$C$4:$C$1034,SITE1!$E$4:$E$1034),_xlpm.cleanRaw,SUBSTITUTE(SUBSTITUTE(_xlpm.raw,"_PIN","."),"PIN","."),_xlpm.mainPart,MID(_xlpm.cleanRaw,2,FIND(".",_xlpm.cleanRaw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709013</v>
      </c>
      <c r="G86" t="str">
        <f>_xlfn.LET(_xlpm.raw,_xlfn.XLOOKUP(A86,SITE3!$C$4:$C$1034,SITE3!$E$4:$E$1034),_xlpm.cleanRaw,SUBSTITUTE(SUBSTITUTE(_xlpm.raw,"_PIN","."),"PIN","."),_xlpm.mainPart,MID(_xlpm.cleanRaw,2,FIND(".",_xlpm.cleanRaw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509013</v>
      </c>
      <c r="H86" t="str">
        <f>""</f>
        <v/>
      </c>
      <c r="I86" t="str">
        <f>""</f>
        <v/>
      </c>
      <c r="J86" t="str">
        <f t="shared" si="1"/>
        <v>C55;DIR_ESPI_IO_1;;0.912799999999999;25.9669;709013;509013;;</v>
      </c>
    </row>
    <row r="87" spans="1:10">
      <c r="A87" t="s">
        <v>3942</v>
      </c>
      <c r="B87" t="str">
        <f>_xlfn.XLOOKUP(A87,SITE1!$V$4:$V$1034,SITE1!$U$4:$U$1034,"")</f>
        <v>VSS</v>
      </c>
      <c r="C87" t="str" cm="1">
        <f t="array" ref="C87">_xlfn.TEXTJOIN(",",TRUE,_xlfn.UNIQUE(TRANSPOSE(_xlfn.MAP(_xlfn.XLOOKUP(A87,SITE1!$C$4:$C$1034,SITE1!$F$4:$O$1034,""),_xlfn.LAMBDA(_xlpm.x,IF(_xlpm.x&lt;&gt;"",TRIM(CLEAN(LEFT(_xlpm.x,FIND(".",_xlpm.x &amp; ".")-1))),""))))))</f>
        <v/>
      </c>
      <c r="D87">
        <v>0.50999999999999901</v>
      </c>
      <c r="E87">
        <v>26.369199999999999</v>
      </c>
      <c r="F87" t="str">
        <f>_xlfn.LET(_xlpm.raw,_xlfn.XLOOKUP(A87,SITE1!$C$4:$C$1034,SITE1!$E$4:$E$1034),_xlpm.cleanRaw,SUBSTITUTE(SUBSTITUTE(_xlpm.raw,"_PIN","."),"PIN","."),_xlpm.mainPart,MID(_xlpm.cleanRaw,2,FIND(".",_xlpm.cleanRaw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" t="str">
        <f>_xlfn.LET(_xlpm.raw,_xlfn.XLOOKUP(A87,SITE3!$C$4:$C$1034,SITE3!$E$4:$E$1034),_xlpm.cleanRaw,SUBSTITUTE(SUBSTITUTE(_xlpm.raw,"_PIN","."),"PIN","."),_xlpm.mainPart,MID(_xlpm.cleanRaw,2,FIND(".",_xlpm.cleanRaw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" t="str">
        <f>""</f>
        <v/>
      </c>
      <c r="I87" t="str">
        <f>""</f>
        <v/>
      </c>
      <c r="J87" t="str">
        <f t="shared" si="1"/>
        <v>C56;VSS;;0.509999999999999;26.3692;;;;</v>
      </c>
    </row>
    <row r="88" spans="1:10">
      <c r="A88" t="s">
        <v>3943</v>
      </c>
      <c r="B88" t="str">
        <f>_xlfn.XLOOKUP(A88,SITE1!$V$4:$V$1034,SITE1!$U$4:$U$1034,"")</f>
        <v>VSS</v>
      </c>
      <c r="C88" t="str" cm="1">
        <f t="array" ref="C88">_xlfn.TEXTJOIN(",",TRUE,_xlfn.UNIQUE(TRANSPOSE(_xlfn.MAP(_xlfn.XLOOKUP(A88,SITE1!$C$4:$C$1034,SITE1!$F$4:$O$1034,""),_xlfn.LAMBDA(_xlpm.x,IF(_xlpm.x&lt;&gt;"",TRIM(CLEAN(LEFT(_xlpm.x,FIND(".",_xlpm.x &amp; ".")-1))),""))))))</f>
        <v/>
      </c>
      <c r="D88">
        <v>0.88109999999999999</v>
      </c>
      <c r="E88">
        <v>26.8782</v>
      </c>
      <c r="F88" t="str">
        <f>_xlfn.LET(_xlpm.raw,_xlfn.XLOOKUP(A88,SITE1!$C$4:$C$1034,SITE1!$E$4:$E$1034),_xlpm.cleanRaw,SUBSTITUTE(SUBSTITUTE(_xlpm.raw,"_PIN","."),"PIN","."),_xlpm.mainPart,MID(_xlpm.cleanRaw,2,FIND(".",_xlpm.cleanRaw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" t="str">
        <f>_xlfn.LET(_xlpm.raw,_xlfn.XLOOKUP(A88,SITE3!$C$4:$C$1034,SITE3!$E$4:$E$1034),_xlpm.cleanRaw,SUBSTITUTE(SUBSTITUTE(_xlpm.raw,"_PIN","."),"PIN","."),_xlpm.mainPart,MID(_xlpm.cleanRaw,2,FIND(".",_xlpm.cleanRaw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" t="str">
        <f>""</f>
        <v/>
      </c>
      <c r="I88" t="str">
        <f>""</f>
        <v/>
      </c>
      <c r="J88" t="str">
        <f t="shared" si="1"/>
        <v>C57;VSS;;0.8811;26.8782;;;;</v>
      </c>
    </row>
    <row r="89" spans="1:10">
      <c r="A89" t="s">
        <v>3944</v>
      </c>
      <c r="B89" t="str">
        <f>_xlfn.XLOOKUP(A89,SITE1!$V$4:$V$1034,SITE1!$U$4:$U$1034,"")</f>
        <v>VSS</v>
      </c>
      <c r="C89" t="str" cm="1">
        <f t="array" ref="C89">_xlfn.TEXTJOIN(",",TRUE,_xlfn.UNIQUE(TRANSPOSE(_xlfn.MAP(_xlfn.XLOOKUP(A89,SITE1!$C$4:$C$1034,SITE1!$F$4:$O$1034,""),_xlfn.LAMBDA(_xlpm.x,IF(_xlpm.x&lt;&gt;"",TRIM(CLEAN(LEFT(_xlpm.x,FIND(".",_xlpm.x &amp; ".")-1))),""))))))</f>
        <v/>
      </c>
      <c r="D89">
        <v>1.3816999999999999</v>
      </c>
      <c r="E89">
        <v>0</v>
      </c>
      <c r="F89" t="str">
        <f>_xlfn.LET(_xlpm.raw,_xlfn.XLOOKUP(A89,SITE1!$C$4:$C$1034,SITE1!$E$4:$E$1034),_xlpm.cleanRaw,SUBSTITUTE(SUBSTITUTE(_xlpm.raw,"_PIN","."),"PIN","."),_xlpm.mainPart,MID(_xlpm.cleanRaw,2,FIND(".",_xlpm.cleanRaw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9" t="str">
        <f>_xlfn.LET(_xlpm.raw,_xlfn.XLOOKUP(A89,SITE3!$C$4:$C$1034,SITE3!$E$4:$E$1034),_xlpm.cleanRaw,SUBSTITUTE(SUBSTITUTE(_xlpm.raw,"_PIN","."),"PIN","."),_xlpm.mainPart,MID(_xlpm.cleanRaw,2,FIND(".",_xlpm.cleanRaw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9" t="str">
        <f>""</f>
        <v/>
      </c>
      <c r="I89" t="str">
        <f>""</f>
        <v/>
      </c>
      <c r="J89" t="str">
        <f t="shared" si="1"/>
        <v>D1;VSS;;1.3817;0;;;;</v>
      </c>
    </row>
    <row r="90" spans="1:10">
      <c r="A90" t="s">
        <v>3946</v>
      </c>
      <c r="B90" t="str">
        <f>_xlfn.XLOOKUP(A90,SITE1!$V$4:$V$1034,SITE1!$U$4:$U$1034,"")</f>
        <v>VSS</v>
      </c>
      <c r="C90" t="str" cm="1">
        <f t="array" ref="C90">_xlfn.TEXTJOIN(",",TRUE,_xlfn.UNIQUE(TRANSPOSE(_xlfn.MAP(_xlfn.XLOOKUP(A90,SITE1!$C$4:$C$1034,SITE1!$F$4:$O$1034,""),_xlfn.LAMBDA(_xlpm.x,IF(_xlpm.x&lt;&gt;"",TRIM(CLEAN(LEFT(_xlpm.x,FIND(".",_xlpm.x &amp; ".")-1))),""))))))</f>
        <v/>
      </c>
      <c r="D90">
        <v>1.1444999999999901</v>
      </c>
      <c r="E90">
        <v>0.46629999999999999</v>
      </c>
      <c r="F90" t="str">
        <f>_xlfn.LET(_xlpm.raw,_xlfn.XLOOKUP(A90,SITE1!$C$4:$C$1034,SITE1!$E$4:$E$1034),_xlpm.cleanRaw,SUBSTITUTE(SUBSTITUTE(_xlpm.raw,"_PIN","."),"PIN","."),_xlpm.mainPart,MID(_xlpm.cleanRaw,2,FIND(".",_xlpm.cleanRaw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" t="str">
        <f>_xlfn.LET(_xlpm.raw,_xlfn.XLOOKUP(A90,SITE3!$C$4:$C$1034,SITE3!$E$4:$E$1034),_xlpm.cleanRaw,SUBSTITUTE(SUBSTITUTE(_xlpm.raw,"_PIN","."),"PIN","."),_xlpm.mainPart,MID(_xlpm.cleanRaw,2,FIND(".",_xlpm.cleanRaw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" t="str">
        <f>""</f>
        <v/>
      </c>
      <c r="I90" t="str">
        <f>""</f>
        <v/>
      </c>
      <c r="J90" t="str">
        <f t="shared" si="1"/>
        <v>D2;VSS;;1.14449999999999;0.4663;;;;</v>
      </c>
    </row>
    <row r="91" spans="1:10">
      <c r="A91" t="s">
        <v>3113</v>
      </c>
      <c r="B91" t="str">
        <f>_xlfn.XLOOKUP(A91,SITE1!$V$4:$V$1034,SITE1!$U$4:$U$1034,"")</f>
        <v>USB2P_7</v>
      </c>
      <c r="C91" t="str" cm="1">
        <f t="array" ref="C91">_xlfn.TEXTJOIN(",",TRUE,_xlfn.UNIQUE(TRANSPOSE(_xlfn.MAP(_xlfn.XLOOKUP(A91,SITE1!$C$4:$C$1034,SITE1!$F$4:$O$1034,""),_xlfn.LAMBDA(_xlpm.x,IF(_xlpm.x&lt;&gt;"",TRIM(CLEAN(LEFT(_xlpm.x,FIND(".",_xlpm.x &amp; ".")-1))),""))))))</f>
        <v/>
      </c>
      <c r="D91">
        <v>1.4180999999999899</v>
      </c>
      <c r="E91">
        <v>1.6520999999999899</v>
      </c>
      <c r="F91" t="str">
        <f>_xlfn.LET(_xlpm.raw,_xlfn.XLOOKUP(A91,SITE1!$C$4:$C$1034,SITE1!$E$4:$E$1034),_xlpm.cleanRaw,SUBSTITUTE(SUBSTITUTE(_xlpm.raw,"_PIN","."),"PIN","."),_xlpm.mainPart,MID(_xlpm.cleanRaw,2,FIND(".",_xlpm.cleanRaw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605070</v>
      </c>
      <c r="G91" t="str">
        <f>_xlfn.LET(_xlpm.raw,_xlfn.XLOOKUP(A91,SITE3!$C$4:$C$1034,SITE3!$E$4:$E$1034),_xlpm.cleanRaw,SUBSTITUTE(SUBSTITUTE(_xlpm.raw,"_PIN","."),"PIN","."),_xlpm.mainPart,MID(_xlpm.cleanRaw,2,FIND(".",_xlpm.cleanRaw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805070</v>
      </c>
      <c r="H91" t="str">
        <f>""</f>
        <v/>
      </c>
      <c r="I91" t="str">
        <f>""</f>
        <v/>
      </c>
      <c r="J91" t="str">
        <f t="shared" si="1"/>
        <v>D4;USB2P_7;;1.41809999999999;1.65209999999999;605070;805070;;</v>
      </c>
    </row>
    <row r="92" spans="1:10">
      <c r="A92" t="s">
        <v>3966</v>
      </c>
      <c r="B92" t="str">
        <f>_xlfn.XLOOKUP(A92,SITE1!$V$4:$V$1034,SITE1!$U$4:$U$1034,"")</f>
        <v>VSS</v>
      </c>
      <c r="C92" t="str" cm="1">
        <f t="array" ref="C92">_xlfn.TEXTJOIN(",",TRUE,_xlfn.UNIQUE(TRANSPOSE(_xlfn.MAP(_xlfn.XLOOKUP(A92,SITE1!$C$4:$C$1034,SITE1!$F$4:$O$1034,""),_xlfn.LAMBDA(_xlpm.x,IF(_xlpm.x&lt;&gt;"",TRIM(CLEAN(LEFT(_xlpm.x,FIND(".",_xlpm.x &amp; ".")-1))),""))))))</f>
        <v/>
      </c>
      <c r="D92">
        <v>1.0270999999999899</v>
      </c>
      <c r="E92">
        <v>2.7494999999999901</v>
      </c>
      <c r="F92" t="str">
        <f>_xlfn.LET(_xlpm.raw,_xlfn.XLOOKUP(A92,SITE1!$C$4:$C$1034,SITE1!$E$4:$E$1034),_xlpm.cleanRaw,SUBSTITUTE(SUBSTITUTE(_xlpm.raw,"_PIN","."),"PIN","."),_xlpm.mainPart,MID(_xlpm.cleanRaw,2,FIND(".",_xlpm.cleanRaw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2" t="str">
        <f>_xlfn.LET(_xlpm.raw,_xlfn.XLOOKUP(A92,SITE3!$C$4:$C$1034,SITE3!$E$4:$E$1034),_xlpm.cleanRaw,SUBSTITUTE(SUBSTITUTE(_xlpm.raw,"_PIN","."),"PIN","."),_xlpm.mainPart,MID(_xlpm.cleanRaw,2,FIND(".",_xlpm.cleanRaw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2" t="str">
        <f>""</f>
        <v/>
      </c>
      <c r="I92" t="str">
        <f>""</f>
        <v/>
      </c>
      <c r="J92" t="str">
        <f t="shared" si="1"/>
        <v>D7;VSS;;1.02709999999999;2.74949999999999;;;;</v>
      </c>
    </row>
    <row r="93" spans="1:10">
      <c r="A93" t="s">
        <v>2959</v>
      </c>
      <c r="B93" t="str">
        <f>_xlfn.XLOOKUP(A93,SITE1!$V$4:$V$1034,SITE1!$U$4:$U$1034,"")</f>
        <v>USB2_ID_8_14</v>
      </c>
      <c r="C93" t="str" cm="1">
        <f t="array" ref="C93">_xlfn.TEXTJOIN(",",TRUE,_xlfn.UNIQUE(TRANSPOSE(_xlfn.MAP(_xlfn.XLOOKUP(A93,SITE1!$C$4:$C$1034,SITE1!$F$4:$O$1034,""),_xlfn.LAMBDA(_xlpm.x,IF(_xlpm.x&lt;&gt;"",TRIM(CLEAN(LEFT(_xlpm.x,FIND(".",_xlpm.x &amp; ".")-1))),""))))))</f>
        <v/>
      </c>
      <c r="D93">
        <v>1.1543999999999901</v>
      </c>
      <c r="E93">
        <v>3.4579</v>
      </c>
      <c r="F93" t="str">
        <f>_xlfn.LET(_xlpm.raw,_xlfn.XLOOKUP(A93,SITE1!$C$4:$C$1034,SITE1!$E$4:$E$1034),_xlpm.cleanRaw,SUBSTITUTE(SUBSTITUTE(_xlpm.raw,"_PIN","."),"PIN","."),_xlpm.mainPart,MID(_xlpm.cleanRaw,2,FIND(".",_xlpm.cleanRaw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601021</v>
      </c>
      <c r="G93" t="str">
        <f>_xlfn.LET(_xlpm.raw,_xlfn.XLOOKUP(A93,SITE3!$C$4:$C$1034,SITE3!$E$4:$E$1034),_xlpm.cleanRaw,SUBSTITUTE(SUBSTITUTE(_xlpm.raw,"_PIN","."),"PIN","."),_xlpm.mainPart,MID(_xlpm.cleanRaw,2,FIND(".",_xlpm.cleanRaw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801021</v>
      </c>
      <c r="H93" t="str">
        <f>""</f>
        <v/>
      </c>
      <c r="I93" t="str">
        <f>""</f>
        <v/>
      </c>
      <c r="J93" t="str">
        <f t="shared" si="1"/>
        <v>D8;USB2_ID_8_14;;1.15439999999999;3.4579;601021;801021;;</v>
      </c>
    </row>
    <row r="94" spans="1:10">
      <c r="A94" t="s">
        <v>3048</v>
      </c>
      <c r="B94" t="str">
        <f>_xlfn.XLOOKUP(A94,SITE1!$V$4:$V$1034,SITE1!$U$4:$U$1034,"")</f>
        <v>USB2N_8</v>
      </c>
      <c r="C94" t="str" cm="1">
        <f t="array" ref="C94">_xlfn.TEXTJOIN(",",TRUE,_xlfn.UNIQUE(TRANSPOSE(_xlfn.MAP(_xlfn.XLOOKUP(A94,SITE1!$C$4:$C$1034,SITE1!$F$4:$O$1034,""),_xlfn.LAMBDA(_xlpm.x,IF(_xlpm.x&lt;&gt;"",TRIM(CLEAN(LEFT(_xlpm.x,FIND(".",_xlpm.x &amp; ".")-1))),""))))))</f>
        <v/>
      </c>
      <c r="D94">
        <v>1.2810999999999999</v>
      </c>
      <c r="E94">
        <v>3.9584999999999901</v>
      </c>
      <c r="F94" t="str">
        <f>_xlfn.LET(_xlpm.raw,_xlfn.XLOOKUP(A94,SITE1!$C$4:$C$1034,SITE1!$E$4:$E$1034),_xlpm.cleanRaw,SUBSTITUTE(SUBSTITUTE(_xlpm.raw,"_PIN","."),"PIN","."),_xlpm.mainPart,MID(_xlpm.cleanRaw,2,FIND(".",_xlpm.cleanRaw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605066</v>
      </c>
      <c r="G94" t="str">
        <f>_xlfn.LET(_xlpm.raw,_xlfn.XLOOKUP(A94,SITE3!$C$4:$C$1034,SITE3!$E$4:$E$1034),_xlpm.cleanRaw,SUBSTITUTE(SUBSTITUTE(_xlpm.raw,"_PIN","."),"PIN","."),_xlpm.mainPart,MID(_xlpm.cleanRaw,2,FIND(".",_xlpm.cleanRaw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805066</v>
      </c>
      <c r="H94" t="str">
        <f>""</f>
        <v/>
      </c>
      <c r="I94" t="str">
        <f>""</f>
        <v/>
      </c>
      <c r="J94" t="str">
        <f t="shared" si="1"/>
        <v>D9;USB2N_8;;1.2811;3.95849999999999;605066;805066;;</v>
      </c>
    </row>
    <row r="95" spans="1:10">
      <c r="A95" t="s">
        <v>3079</v>
      </c>
      <c r="B95" t="str">
        <f>_xlfn.XLOOKUP(A95,SITE1!$V$4:$V$1034,SITE1!$U$4:$U$1034,"")</f>
        <v>USB2P_13</v>
      </c>
      <c r="C95" t="str" cm="1">
        <f t="array" ref="C95">_xlfn.TEXTJOIN(",",TRUE,_xlfn.UNIQUE(TRANSPOSE(_xlfn.MAP(_xlfn.XLOOKUP(A95,SITE1!$C$4:$C$1034,SITE1!$F$4:$O$1034,""),_xlfn.LAMBDA(_xlpm.x,IF(_xlpm.x&lt;&gt;"",TRIM(CLEAN(LEFT(_xlpm.x,FIND(".",_xlpm.x &amp; ".")-1))),""))))))</f>
        <v/>
      </c>
      <c r="D95">
        <v>1.22219999999999</v>
      </c>
      <c r="E95">
        <v>4.4814999999999996</v>
      </c>
      <c r="F95" t="str">
        <f>_xlfn.LET(_xlpm.raw,_xlfn.XLOOKUP(A95,SITE1!$C$4:$C$1034,SITE1!$E$4:$E$1034),_xlpm.cleanRaw,SUBSTITUTE(SUBSTITUTE(_xlpm.raw,"_PIN","."),"PIN","."),_xlpm.mainPart,MID(_xlpm.cleanRaw,2,FIND(".",_xlpm.cleanRaw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605048</v>
      </c>
      <c r="G95" t="str">
        <f>_xlfn.LET(_xlpm.raw,_xlfn.XLOOKUP(A95,SITE3!$C$4:$C$1034,SITE3!$E$4:$E$1034),_xlpm.cleanRaw,SUBSTITUTE(SUBSTITUTE(_xlpm.raw,"_PIN","."),"PIN","."),_xlpm.mainPart,MID(_xlpm.cleanRaw,2,FIND(".",_xlpm.cleanRaw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805048</v>
      </c>
      <c r="H95" t="str">
        <f>""</f>
        <v/>
      </c>
      <c r="I95" t="str">
        <f>""</f>
        <v/>
      </c>
      <c r="J95" t="str">
        <f t="shared" si="1"/>
        <v>D10;USB2P_13;;1.22219999999999;4.4815;605048;805048;;</v>
      </c>
    </row>
    <row r="96" spans="1:10">
      <c r="A96" t="s">
        <v>3036</v>
      </c>
      <c r="B96" t="str">
        <f>_xlfn.XLOOKUP(A96,SITE1!$V$4:$V$1034,SITE1!$U$4:$U$1034,"")</f>
        <v>USB2N_6</v>
      </c>
      <c r="C96" t="str" cm="1">
        <f t="array" ref="C96">_xlfn.TEXTJOIN(",",TRUE,_xlfn.UNIQUE(TRANSPOSE(_xlfn.MAP(_xlfn.XLOOKUP(A96,SITE1!$C$4:$C$1034,SITE1!$F$4:$O$1034,""),_xlfn.LAMBDA(_xlpm.x,IF(_xlpm.x&lt;&gt;"",TRIM(CLEAN(LEFT(_xlpm.x,FIND(".",_xlpm.x &amp; ".")-1))),""))))))</f>
        <v/>
      </c>
      <c r="D96">
        <v>1.0270999999999899</v>
      </c>
      <c r="E96">
        <v>4.9466000000000001</v>
      </c>
      <c r="F96" t="str">
        <f>_xlfn.LET(_xlpm.raw,_xlfn.XLOOKUP(A96,SITE1!$C$4:$C$1034,SITE1!$E$4:$E$1034),_xlpm.cleanRaw,SUBSTITUTE(SUBSTITUTE(_xlpm.raw,"_PIN","."),"PIN","."),_xlpm.mainPart,MID(_xlpm.cleanRaw,2,FIND(".",_xlpm.cleanRaw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606119</v>
      </c>
      <c r="G96" t="str">
        <f>_xlfn.LET(_xlpm.raw,_xlfn.XLOOKUP(A96,SITE3!$C$4:$C$1034,SITE3!$E$4:$E$1034),_xlpm.cleanRaw,SUBSTITUTE(SUBSTITUTE(_xlpm.raw,"_PIN","."),"PIN","."),_xlpm.mainPart,MID(_xlpm.cleanRaw,2,FIND(".",_xlpm.cleanRaw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806119</v>
      </c>
      <c r="H96" t="str">
        <f>""</f>
        <v/>
      </c>
      <c r="I96" t="str">
        <f>""</f>
        <v/>
      </c>
      <c r="J96" t="str">
        <f t="shared" si="1"/>
        <v>D11;USB2N_6;;1.02709999999999;4.9466;606119;806119;;</v>
      </c>
    </row>
    <row r="97" spans="1:10">
      <c r="A97" t="s">
        <v>3098</v>
      </c>
      <c r="B97" t="str">
        <f>_xlfn.XLOOKUP(A97,SITE1!$V$4:$V$1034,SITE1!$U$4:$U$1034,"")</f>
        <v>USB2P_4</v>
      </c>
      <c r="C97" t="str" cm="1">
        <f t="array" ref="C97">_xlfn.TEXTJOIN(",",TRUE,_xlfn.UNIQUE(TRANSPOSE(_xlfn.MAP(_xlfn.XLOOKUP(A97,SITE1!$C$4:$C$1034,SITE1!$F$4:$O$1034,""),_xlfn.LAMBDA(_xlpm.x,IF(_xlpm.x&lt;&gt;"",TRIM(CLEAN(LEFT(_xlpm.x,FIND(".",_xlpm.x &amp; ".")-1))),""))))))</f>
        <v/>
      </c>
      <c r="D97">
        <v>1.1543999999999901</v>
      </c>
      <c r="E97">
        <v>5.6550000000000002</v>
      </c>
      <c r="F97" t="str">
        <f>_xlfn.LET(_xlpm.raw,_xlfn.XLOOKUP(A97,SITE1!$C$4:$C$1034,SITE1!$E$4:$E$1034),_xlpm.cleanRaw,SUBSTITUTE(SUBSTITUTE(_xlpm.raw,"_PIN","."),"PIN","."),_xlpm.mainPart,MID(_xlpm.cleanRaw,2,FIND(".",_xlpm.cleanRaw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606107</v>
      </c>
      <c r="G97" t="str">
        <f>_xlfn.LET(_xlpm.raw,_xlfn.XLOOKUP(A97,SITE3!$C$4:$C$1034,SITE3!$E$4:$E$1034),_xlpm.cleanRaw,SUBSTITUTE(SUBSTITUTE(_xlpm.raw,"_PIN","."),"PIN","."),_xlpm.mainPart,MID(_xlpm.cleanRaw,2,FIND(".",_xlpm.cleanRaw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806107</v>
      </c>
      <c r="H97" t="str">
        <f>""</f>
        <v/>
      </c>
      <c r="I97" t="str">
        <f>""</f>
        <v/>
      </c>
      <c r="J97" t="str">
        <f t="shared" si="1"/>
        <v>D13;USB2P_4;;1.15439999999999;5.655;606107;806107;;</v>
      </c>
    </row>
    <row r="98" spans="1:10">
      <c r="A98" t="s">
        <v>3018</v>
      </c>
      <c r="B98" t="str">
        <f>_xlfn.XLOOKUP(A98,SITE1!$V$4:$V$1034,SITE1!$U$4:$U$1034,"")</f>
        <v>USB2N_3</v>
      </c>
      <c r="C98" t="str" cm="1">
        <f t="array" ref="C98">_xlfn.TEXTJOIN(",",TRUE,_xlfn.UNIQUE(TRANSPOSE(_xlfn.MAP(_xlfn.XLOOKUP(A98,SITE1!$C$4:$C$1034,SITE1!$F$4:$O$1034,""),_xlfn.LAMBDA(_xlpm.x,IF(_xlpm.x&lt;&gt;"",TRIM(CLEAN(LEFT(_xlpm.x,FIND(".",_xlpm.x &amp; ".")-1))),""))))))</f>
        <v/>
      </c>
      <c r="D98">
        <v>1.2810999999999999</v>
      </c>
      <c r="E98">
        <v>6.1555999999999997</v>
      </c>
      <c r="F98" t="str">
        <f>_xlfn.LET(_xlpm.raw,_xlfn.XLOOKUP(A98,SITE1!$C$4:$C$1034,SITE1!$E$4:$E$1034),_xlpm.cleanRaw,SUBSTITUTE(SUBSTITUTE(_xlpm.raw,"_PIN","."),"PIN","."),_xlpm.mainPart,MID(_xlpm.cleanRaw,2,FIND(".",_xlpm.cleanRaw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606114</v>
      </c>
      <c r="G98" t="str">
        <f>_xlfn.LET(_xlpm.raw,_xlfn.XLOOKUP(A98,SITE3!$C$4:$C$1034,SITE3!$E$4:$E$1034),_xlpm.cleanRaw,SUBSTITUTE(SUBSTITUTE(_xlpm.raw,"_PIN","."),"PIN","."),_xlpm.mainPart,MID(_xlpm.cleanRaw,2,FIND(".",_xlpm.cleanRaw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806114</v>
      </c>
      <c r="H98" t="str">
        <f>""</f>
        <v/>
      </c>
      <c r="I98" t="str">
        <f>""</f>
        <v/>
      </c>
      <c r="J98" t="str">
        <f t="shared" si="1"/>
        <v>D14;USB2N_3;;1.2811;6.1556;606114;806114;;</v>
      </c>
    </row>
    <row r="99" spans="1:10">
      <c r="A99" t="s">
        <v>3088</v>
      </c>
      <c r="B99" t="str">
        <f>_xlfn.XLOOKUP(A99,SITE1!$V$4:$V$1034,SITE1!$U$4:$U$1034,"")</f>
        <v>USB2P_2</v>
      </c>
      <c r="C99" t="str" cm="1">
        <f t="array" ref="C99">_xlfn.TEXTJOIN(",",TRUE,_xlfn.UNIQUE(TRANSPOSE(_xlfn.MAP(_xlfn.XLOOKUP(A99,SITE1!$C$4:$C$1034,SITE1!$F$4:$O$1034,""),_xlfn.LAMBDA(_xlpm.x,IF(_xlpm.x&lt;&gt;"",TRIM(CLEAN(LEFT(_xlpm.x,FIND(".",_xlpm.x &amp; ".")-1))),""))))))</f>
        <v/>
      </c>
      <c r="D99">
        <v>1.22219999999999</v>
      </c>
      <c r="E99">
        <v>6.6785999999999897</v>
      </c>
      <c r="F99" t="str">
        <f>_xlfn.LET(_xlpm.raw,_xlfn.XLOOKUP(A99,SITE1!$C$4:$C$1034,SITE1!$E$4:$E$1034),_xlpm.cleanRaw,SUBSTITUTE(SUBSTITUTE(_xlpm.raw,"_PIN","."),"PIN","."),_xlpm.mainPart,MID(_xlpm.cleanRaw,2,FIND(".",_xlpm.cleanRaw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606100</v>
      </c>
      <c r="G99" t="str">
        <f>_xlfn.LET(_xlpm.raw,_xlfn.XLOOKUP(A99,SITE3!$C$4:$C$1034,SITE3!$E$4:$E$1034),_xlpm.cleanRaw,SUBSTITUTE(SUBSTITUTE(_xlpm.raw,"_PIN","."),"PIN","."),_xlpm.mainPart,MID(_xlpm.cleanRaw,2,FIND(".",_xlpm.cleanRaw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806100</v>
      </c>
      <c r="H99" t="str">
        <f>""</f>
        <v/>
      </c>
      <c r="I99" t="str">
        <f>""</f>
        <v/>
      </c>
      <c r="J99" t="str">
        <f t="shared" si="1"/>
        <v>D15;USB2P_2;;1.22219999999999;6.67859999999999;606100;806100;;</v>
      </c>
    </row>
    <row r="100" spans="1:10">
      <c r="A100" t="s">
        <v>2974</v>
      </c>
      <c r="B100" t="str">
        <f>_xlfn.XLOOKUP(A100,SITE1!$V$4:$V$1034,SITE1!$U$4:$U$1034,"")</f>
        <v>USB2N_1</v>
      </c>
      <c r="C100" t="str" cm="1">
        <f t="array" ref="C100">_xlfn.TEXTJOIN(",",TRUE,_xlfn.UNIQUE(TRANSPOSE(_xlfn.MAP(_xlfn.XLOOKUP(A100,SITE1!$C$4:$C$1034,SITE1!$F$4:$O$1034,""),_xlfn.LAMBDA(_xlpm.x,IF(_xlpm.x&lt;&gt;"",TRIM(CLEAN(LEFT(_xlpm.x,FIND(".",_xlpm.x &amp; ".")-1))),""))))))</f>
        <v/>
      </c>
      <c r="D100">
        <v>1.0270999999999899</v>
      </c>
      <c r="E100">
        <v>7.1436999999999999</v>
      </c>
      <c r="F100" t="str">
        <f>_xlfn.LET(_xlpm.raw,_xlfn.XLOOKUP(A100,SITE1!$C$4:$C$1034,SITE1!$E$4:$E$1034),_xlpm.cleanRaw,SUBSTITUTE(SUBSTITUTE(_xlpm.raw,"_PIN","."),"PIN","."),_xlpm.mainPart,MID(_xlpm.cleanRaw,2,FIND(".",_xlpm.cleanRaw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606110</v>
      </c>
      <c r="G100" t="str">
        <f>_xlfn.LET(_xlpm.raw,_xlfn.XLOOKUP(A100,SITE3!$C$4:$C$1034,SITE3!$E$4:$E$1034),_xlpm.cleanRaw,SUBSTITUTE(SUBSTITUTE(_xlpm.raw,"_PIN","."),"PIN","."),_xlpm.mainPart,MID(_xlpm.cleanRaw,2,FIND(".",_xlpm.cleanRaw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806110</v>
      </c>
      <c r="H100" t="str">
        <f>""</f>
        <v/>
      </c>
      <c r="I100" t="str">
        <f>""</f>
        <v/>
      </c>
      <c r="J100" t="str">
        <f t="shared" si="1"/>
        <v>D16;USB2N_1;;1.02709999999999;7.1437;606110;806110;;</v>
      </c>
    </row>
    <row r="101" spans="1:10">
      <c r="A101" t="s">
        <v>3945</v>
      </c>
      <c r="B101" t="str">
        <f>_xlfn.XLOOKUP(A101,SITE1!$V$4:$V$1034,SITE1!$U$4:$U$1034,"")</f>
        <v>VSS</v>
      </c>
      <c r="C101" t="str" cm="1">
        <f t="array" ref="C101">_xlfn.TEXTJOIN(",",TRUE,_xlfn.UNIQUE(TRANSPOSE(_xlfn.MAP(_xlfn.XLOOKUP(A101,SITE1!$C$4:$C$1034,SITE1!$F$4:$O$1034,""),_xlfn.LAMBDA(_xlpm.x,IF(_xlpm.x&lt;&gt;"",TRIM(CLEAN(LEFT(_xlpm.x,FIND(".",_xlpm.x &amp; ".")-1))),""))))))</f>
        <v/>
      </c>
      <c r="D101">
        <v>1.2428999999999899</v>
      </c>
      <c r="E101">
        <v>8.6632999999999996</v>
      </c>
      <c r="F101" t="str">
        <f>_xlfn.LET(_xlpm.raw,_xlfn.XLOOKUP(A101,SITE1!$C$4:$C$1034,SITE1!$E$4:$E$1034),_xlpm.cleanRaw,SUBSTITUTE(SUBSTITUTE(_xlpm.raw,"_PIN","."),"PIN","."),_xlpm.mainPart,MID(_xlpm.cleanRaw,2,FIND(".",_xlpm.cleanRaw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1" t="str">
        <f>_xlfn.LET(_xlpm.raw,_xlfn.XLOOKUP(A101,SITE3!$C$4:$C$1034,SITE3!$E$4:$E$1034),_xlpm.cleanRaw,SUBSTITUTE(SUBSTITUTE(_xlpm.raw,"_PIN","."),"PIN","."),_xlpm.mainPart,MID(_xlpm.cleanRaw,2,FIND(".",_xlpm.cleanRaw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1" t="str">
        <f>""</f>
        <v/>
      </c>
      <c r="I101" t="str">
        <f>""</f>
        <v/>
      </c>
      <c r="J101" t="str">
        <f t="shared" si="1"/>
        <v>D19;VSS;;1.24289999999999;8.6633;;;;</v>
      </c>
    </row>
    <row r="102" spans="1:10">
      <c r="A102" t="s">
        <v>3947</v>
      </c>
      <c r="B102" t="str">
        <f>_xlfn.XLOOKUP(A102,SITE1!$V$4:$V$1034,SITE1!$U$4:$U$1034,"")</f>
        <v>VSS</v>
      </c>
      <c r="C102" t="str" cm="1">
        <f t="array" ref="C102">_xlfn.TEXTJOIN(",",TRUE,_xlfn.UNIQUE(TRANSPOSE(_xlfn.MAP(_xlfn.XLOOKUP(A102,SITE1!$C$4:$C$1034,SITE1!$F$4:$O$1034,""),_xlfn.LAMBDA(_xlpm.x,IF(_xlpm.x&lt;&gt;"",TRIM(CLEAN(LEFT(_xlpm.x,FIND(".",_xlpm.x &amp; ".")-1))),""))))))</f>
        <v/>
      </c>
      <c r="D102">
        <v>1.1839999999999899</v>
      </c>
      <c r="E102">
        <v>9.3455999999999992</v>
      </c>
      <c r="F102" t="str">
        <f>_xlfn.LET(_xlpm.raw,_xlfn.XLOOKUP(A102,SITE1!$C$4:$C$1034,SITE1!$E$4:$E$1034),_xlpm.cleanRaw,SUBSTITUTE(SUBSTITUTE(_xlpm.raw,"_PIN","."),"PIN","."),_xlpm.mainPart,MID(_xlpm.cleanRaw,2,FIND(".",_xlpm.cleanRaw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2" t="str">
        <f>_xlfn.LET(_xlpm.raw,_xlfn.XLOOKUP(A102,SITE3!$C$4:$C$1034,SITE3!$E$4:$E$1034),_xlpm.cleanRaw,SUBSTITUTE(SUBSTITUTE(_xlpm.raw,"_PIN","."),"PIN","."),_xlpm.mainPart,MID(_xlpm.cleanRaw,2,FIND(".",_xlpm.cleanRaw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2" t="str">
        <f>""</f>
        <v/>
      </c>
      <c r="I102" t="str">
        <f>""</f>
        <v/>
      </c>
      <c r="J102" t="str">
        <f t="shared" si="1"/>
        <v>D20;VSS;;1.18399999999999;9.3456;;;;</v>
      </c>
    </row>
    <row r="103" spans="1:10">
      <c r="A103" t="s">
        <v>3948</v>
      </c>
      <c r="B103" t="str">
        <f>_xlfn.XLOOKUP(A103,SITE1!$V$4:$V$1034,SITE1!$U$4:$U$1034,"")</f>
        <v>VSS</v>
      </c>
      <c r="C103" t="str" cm="1">
        <f t="array" ref="C103">_xlfn.TEXTJOIN(",",TRUE,_xlfn.UNIQUE(TRANSPOSE(_xlfn.MAP(_xlfn.XLOOKUP(A103,SITE1!$C$4:$C$1034,SITE1!$F$4:$O$1034,""),_xlfn.LAMBDA(_xlpm.x,IF(_xlpm.x&lt;&gt;"",TRIM(CLEAN(LEFT(_xlpm.x,FIND(".",_xlpm.x &amp; ".")-1))),""))))))</f>
        <v/>
      </c>
      <c r="D103">
        <v>1.2428999999999899</v>
      </c>
      <c r="E103">
        <v>10.027799999999999</v>
      </c>
      <c r="F103" t="str">
        <f>_xlfn.LET(_xlpm.raw,_xlfn.XLOOKUP(A103,SITE1!$C$4:$C$1034,SITE1!$E$4:$E$1034),_xlpm.cleanRaw,SUBSTITUTE(SUBSTITUTE(_xlpm.raw,"_PIN","."),"PIN","."),_xlpm.mainPart,MID(_xlpm.cleanRaw,2,FIND(".",_xlpm.cleanRaw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" t="str">
        <f>_xlfn.LET(_xlpm.raw,_xlfn.XLOOKUP(A103,SITE3!$C$4:$C$1034,SITE3!$E$4:$E$1034),_xlpm.cleanRaw,SUBSTITUTE(SUBSTITUTE(_xlpm.raw,"_PIN","."),"PIN","."),_xlpm.mainPart,MID(_xlpm.cleanRaw,2,FIND(".",_xlpm.cleanRaw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" t="str">
        <f>""</f>
        <v/>
      </c>
      <c r="I103" t="str">
        <f>""</f>
        <v/>
      </c>
      <c r="J103" t="str">
        <f t="shared" si="1"/>
        <v>D22;VSS;;1.24289999999999;10.0278;;;;</v>
      </c>
    </row>
    <row r="104" spans="1:10">
      <c r="A104" t="s">
        <v>3949</v>
      </c>
      <c r="B104" t="str">
        <f>_xlfn.XLOOKUP(A104,SITE1!$V$4:$V$1034,SITE1!$U$4:$U$1034,"")</f>
        <v>VSS</v>
      </c>
      <c r="C104" t="str" cm="1">
        <f t="array" ref="C104">_xlfn.TEXTJOIN(",",TRUE,_xlfn.UNIQUE(TRANSPOSE(_xlfn.MAP(_xlfn.XLOOKUP(A104,SITE1!$C$4:$C$1034,SITE1!$F$4:$O$1034,""),_xlfn.LAMBDA(_xlpm.x,IF(_xlpm.x&lt;&gt;"",TRIM(CLEAN(LEFT(_xlpm.x,FIND(".",_xlpm.x &amp; ".")-1))),""))))))</f>
        <v/>
      </c>
      <c r="D104">
        <v>1.2428999999999899</v>
      </c>
      <c r="E104">
        <v>11.392299999999899</v>
      </c>
      <c r="F104" t="str">
        <f>_xlfn.LET(_xlpm.raw,_xlfn.XLOOKUP(A104,SITE1!$C$4:$C$1034,SITE1!$E$4:$E$1034),_xlpm.cleanRaw,SUBSTITUTE(SUBSTITUTE(_xlpm.raw,"_PIN","."),"PIN","."),_xlpm.mainPart,MID(_xlpm.cleanRaw,2,FIND(".",_xlpm.cleanRaw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4" t="str">
        <f>_xlfn.LET(_xlpm.raw,_xlfn.XLOOKUP(A104,SITE3!$C$4:$C$1034,SITE3!$E$4:$E$1034),_xlpm.cleanRaw,SUBSTITUTE(SUBSTITUTE(_xlpm.raw,"_PIN","."),"PIN","."),_xlpm.mainPart,MID(_xlpm.cleanRaw,2,FIND(".",_xlpm.cleanRaw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4" t="str">
        <f>""</f>
        <v/>
      </c>
      <c r="I104" t="str">
        <f>""</f>
        <v/>
      </c>
      <c r="J104" t="str">
        <f t="shared" si="1"/>
        <v>D25;VSS;;1.24289999999999;11.3922999999999;;;;</v>
      </c>
    </row>
    <row r="105" spans="1:10">
      <c r="A105" t="s">
        <v>3950</v>
      </c>
      <c r="B105" t="str">
        <f>_xlfn.XLOOKUP(A105,SITE1!$V$4:$V$1034,SITE1!$U$4:$U$1034,"")</f>
        <v>VSS</v>
      </c>
      <c r="C105" t="str" cm="1">
        <f t="array" ref="C105">_xlfn.TEXTJOIN(",",TRUE,_xlfn.UNIQUE(TRANSPOSE(_xlfn.MAP(_xlfn.XLOOKUP(A105,SITE1!$C$4:$C$1034,SITE1!$F$4:$O$1034,""),_xlfn.LAMBDA(_xlpm.x,IF(_xlpm.x&lt;&gt;"",TRIM(CLEAN(LEFT(_xlpm.x,FIND(".",_xlpm.x &amp; ".")-1))),""))))))</f>
        <v/>
      </c>
      <c r="D105">
        <v>1.1839999999999899</v>
      </c>
      <c r="E105">
        <v>12.0746</v>
      </c>
      <c r="F105" t="str">
        <f>_xlfn.LET(_xlpm.raw,_xlfn.XLOOKUP(A105,SITE1!$C$4:$C$1034,SITE1!$E$4:$E$1034),_xlpm.cleanRaw,SUBSTITUTE(SUBSTITUTE(_xlpm.raw,"_PIN","."),"PIN","."),_xlpm.mainPart,MID(_xlpm.cleanRaw,2,FIND(".",_xlpm.cleanRaw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5" t="str">
        <f>_xlfn.LET(_xlpm.raw,_xlfn.XLOOKUP(A105,SITE3!$C$4:$C$1034,SITE3!$E$4:$E$1034),_xlpm.cleanRaw,SUBSTITUTE(SUBSTITUTE(_xlpm.raw,"_PIN","."),"PIN","."),_xlpm.mainPart,MID(_xlpm.cleanRaw,2,FIND(".",_xlpm.cleanRaw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5" t="str">
        <f>""</f>
        <v/>
      </c>
      <c r="I105" t="str">
        <f>""</f>
        <v/>
      </c>
      <c r="J105" t="str">
        <f t="shared" si="1"/>
        <v>D26;VSS;;1.18399999999999;12.0746;;;;</v>
      </c>
    </row>
    <row r="106" spans="1:10">
      <c r="A106" t="s">
        <v>3951</v>
      </c>
      <c r="B106" t="str">
        <f>_xlfn.XLOOKUP(A106,SITE1!$V$4:$V$1034,SITE1!$U$4:$U$1034,"")</f>
        <v>VSS</v>
      </c>
      <c r="C106" t="str" cm="1">
        <f t="array" ref="C106">_xlfn.TEXTJOIN(",",TRUE,_xlfn.UNIQUE(TRANSPOSE(_xlfn.MAP(_xlfn.XLOOKUP(A106,SITE1!$C$4:$C$1034,SITE1!$F$4:$O$1034,""),_xlfn.LAMBDA(_xlpm.x,IF(_xlpm.x&lt;&gt;"",TRIM(CLEAN(LEFT(_xlpm.x,FIND(".",_xlpm.x &amp; ".")-1))),""))))))</f>
        <v/>
      </c>
      <c r="D106">
        <v>1.2428999999999899</v>
      </c>
      <c r="E106">
        <v>12.7568</v>
      </c>
      <c r="F106" t="str">
        <f>_xlfn.LET(_xlpm.raw,_xlfn.XLOOKUP(A106,SITE1!$C$4:$C$1034,SITE1!$E$4:$E$1034),_xlpm.cleanRaw,SUBSTITUTE(SUBSTITUTE(_xlpm.raw,"_PIN","."),"PIN","."),_xlpm.mainPart,MID(_xlpm.cleanRaw,2,FIND(".",_xlpm.cleanRaw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6" t="str">
        <f>_xlfn.LET(_xlpm.raw,_xlfn.XLOOKUP(A106,SITE3!$C$4:$C$1034,SITE3!$E$4:$E$1034),_xlpm.cleanRaw,SUBSTITUTE(SUBSTITUTE(_xlpm.raw,"_PIN","."),"PIN","."),_xlpm.mainPart,MID(_xlpm.cleanRaw,2,FIND(".",_xlpm.cleanRaw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6" t="str">
        <f>""</f>
        <v/>
      </c>
      <c r="I106" t="str">
        <f>""</f>
        <v/>
      </c>
      <c r="J106" t="str">
        <f t="shared" si="1"/>
        <v>D28;VSS;;1.24289999999999;12.7568;;;;</v>
      </c>
    </row>
    <row r="107" spans="1:10">
      <c r="A107" t="s">
        <v>3952</v>
      </c>
      <c r="B107" t="str">
        <f>_xlfn.XLOOKUP(A107,SITE1!$V$4:$V$1034,SITE1!$U$4:$U$1034,"")</f>
        <v>VSS</v>
      </c>
      <c r="C107" t="str" cm="1">
        <f t="array" ref="C107">_xlfn.TEXTJOIN(",",TRUE,_xlfn.UNIQUE(TRANSPOSE(_xlfn.MAP(_xlfn.XLOOKUP(A107,SITE1!$C$4:$C$1034,SITE1!$F$4:$O$1034,""),_xlfn.LAMBDA(_xlpm.x,IF(_xlpm.x&lt;&gt;"",TRIM(CLEAN(LEFT(_xlpm.x,FIND(".",_xlpm.x &amp; ".")-1))),""))))))</f>
        <v/>
      </c>
      <c r="D107">
        <v>1.2428999999999899</v>
      </c>
      <c r="E107">
        <v>14.1213</v>
      </c>
      <c r="F107" t="str">
        <f>_xlfn.LET(_xlpm.raw,_xlfn.XLOOKUP(A107,SITE1!$C$4:$C$1034,SITE1!$E$4:$E$1034),_xlpm.cleanRaw,SUBSTITUTE(SUBSTITUTE(_xlpm.raw,"_PIN","."),"PIN","."),_xlpm.mainPart,MID(_xlpm.cleanRaw,2,FIND(".",_xlpm.cleanRaw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7" t="str">
        <f>_xlfn.LET(_xlpm.raw,_xlfn.XLOOKUP(A107,SITE3!$C$4:$C$1034,SITE3!$E$4:$E$1034),_xlpm.cleanRaw,SUBSTITUTE(SUBSTITUTE(_xlpm.raw,"_PIN","."),"PIN","."),_xlpm.mainPart,MID(_xlpm.cleanRaw,2,FIND(".",_xlpm.cleanRaw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7" t="str">
        <f>""</f>
        <v/>
      </c>
      <c r="I107" t="str">
        <f>""</f>
        <v/>
      </c>
      <c r="J107" t="str">
        <f t="shared" si="1"/>
        <v>D30;VSS;;1.24289999999999;14.1213;;;;</v>
      </c>
    </row>
    <row r="108" spans="1:10">
      <c r="A108" t="s">
        <v>3953</v>
      </c>
      <c r="B108" t="str">
        <f>_xlfn.XLOOKUP(A108,SITE1!$V$4:$V$1034,SITE1!$U$4:$U$1034,"")</f>
        <v>VSS</v>
      </c>
      <c r="C108" t="str" cm="1">
        <f t="array" ref="C108">_xlfn.TEXTJOIN(",",TRUE,_xlfn.UNIQUE(TRANSPOSE(_xlfn.MAP(_xlfn.XLOOKUP(A108,SITE1!$C$4:$C$1034,SITE1!$F$4:$O$1034,""),_xlfn.LAMBDA(_xlpm.x,IF(_xlpm.x&lt;&gt;"",TRIM(CLEAN(LEFT(_xlpm.x,FIND(".",_xlpm.x &amp; ".")-1))),""))))))</f>
        <v/>
      </c>
      <c r="D108">
        <v>1.1839999999999899</v>
      </c>
      <c r="E108">
        <v>14.803599999999999</v>
      </c>
      <c r="F108" t="str">
        <f>_xlfn.LET(_xlpm.raw,_xlfn.XLOOKUP(A108,SITE1!$C$4:$C$1034,SITE1!$E$4:$E$1034),_xlpm.cleanRaw,SUBSTITUTE(SUBSTITUTE(_xlpm.raw,"_PIN","."),"PIN","."),_xlpm.mainPart,MID(_xlpm.cleanRaw,2,FIND(".",_xlpm.cleanRaw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" t="str">
        <f>_xlfn.LET(_xlpm.raw,_xlfn.XLOOKUP(A108,SITE3!$C$4:$C$1034,SITE3!$E$4:$E$1034),_xlpm.cleanRaw,SUBSTITUTE(SUBSTITUTE(_xlpm.raw,"_PIN","."),"PIN","."),_xlpm.mainPart,MID(_xlpm.cleanRaw,2,FIND(".",_xlpm.cleanRaw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" t="str">
        <f>""</f>
        <v/>
      </c>
      <c r="I108" t="str">
        <f>""</f>
        <v/>
      </c>
      <c r="J108" t="str">
        <f t="shared" si="1"/>
        <v>D32;VSS;;1.18399999999999;14.8036;;;;</v>
      </c>
    </row>
    <row r="109" spans="1:10">
      <c r="A109" t="s">
        <v>3954</v>
      </c>
      <c r="B109" t="str">
        <f>_xlfn.XLOOKUP(A109,SITE1!$V$4:$V$1034,SITE1!$U$4:$U$1034,"")</f>
        <v>VSS</v>
      </c>
      <c r="C109" t="str" cm="1">
        <f t="array" ref="C109">_xlfn.TEXTJOIN(",",TRUE,_xlfn.UNIQUE(TRANSPOSE(_xlfn.MAP(_xlfn.XLOOKUP(A109,SITE1!$C$4:$C$1034,SITE1!$F$4:$O$1034,""),_xlfn.LAMBDA(_xlpm.x,IF(_xlpm.x&lt;&gt;"",TRIM(CLEAN(LEFT(_xlpm.x,FIND(".",_xlpm.x &amp; ".")-1))),""))))))</f>
        <v/>
      </c>
      <c r="D109">
        <v>1.2428999999999899</v>
      </c>
      <c r="E109">
        <v>15.485799999999999</v>
      </c>
      <c r="F109" t="str">
        <f>_xlfn.LET(_xlpm.raw,_xlfn.XLOOKUP(A109,SITE1!$C$4:$C$1034,SITE1!$E$4:$E$1034),_xlpm.cleanRaw,SUBSTITUTE(SUBSTITUTE(_xlpm.raw,"_PIN","."),"PIN","."),_xlpm.mainPart,MID(_xlpm.cleanRaw,2,FIND(".",_xlpm.cleanRaw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9" t="str">
        <f>_xlfn.LET(_xlpm.raw,_xlfn.XLOOKUP(A109,SITE3!$C$4:$C$1034,SITE3!$E$4:$E$1034),_xlpm.cleanRaw,SUBSTITUTE(SUBSTITUTE(_xlpm.raw,"_PIN","."),"PIN","."),_xlpm.mainPart,MID(_xlpm.cleanRaw,2,FIND(".",_xlpm.cleanRaw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9" t="str">
        <f>""</f>
        <v/>
      </c>
      <c r="I109" t="str">
        <f>""</f>
        <v/>
      </c>
      <c r="J109" t="str">
        <f t="shared" si="1"/>
        <v>D33;VSS;;1.24289999999999;15.4858;;;;</v>
      </c>
    </row>
    <row r="110" spans="1:10">
      <c r="A110" t="s">
        <v>3955</v>
      </c>
      <c r="B110" t="str">
        <f>_xlfn.XLOOKUP(A110,SITE1!$V$4:$V$1034,SITE1!$U$4:$U$1034,"")</f>
        <v>VSS</v>
      </c>
      <c r="C110" t="str" cm="1">
        <f t="array" ref="C110">_xlfn.TEXTJOIN(",",TRUE,_xlfn.UNIQUE(TRANSPOSE(_xlfn.MAP(_xlfn.XLOOKUP(A110,SITE1!$C$4:$C$1034,SITE1!$F$4:$O$1034,""),_xlfn.LAMBDA(_xlpm.x,IF(_xlpm.x&lt;&gt;"",TRIM(CLEAN(LEFT(_xlpm.x,FIND(".",_xlpm.x &amp; ".")-1))),""))))))</f>
        <v/>
      </c>
      <c r="D110">
        <v>1.2428999999999899</v>
      </c>
      <c r="E110">
        <v>16.850300000000001</v>
      </c>
      <c r="F110" t="str">
        <f>_xlfn.LET(_xlpm.raw,_xlfn.XLOOKUP(A110,SITE1!$C$4:$C$1034,SITE1!$E$4:$E$1034),_xlpm.cleanRaw,SUBSTITUTE(SUBSTITUTE(_xlpm.raw,"_PIN","."),"PIN","."),_xlpm.mainPart,MID(_xlpm.cleanRaw,2,FIND(".",_xlpm.cleanRaw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0" t="str">
        <f>_xlfn.LET(_xlpm.raw,_xlfn.XLOOKUP(A110,SITE3!$C$4:$C$1034,SITE3!$E$4:$E$1034),_xlpm.cleanRaw,SUBSTITUTE(SUBSTITUTE(_xlpm.raw,"_PIN","."),"PIN","."),_xlpm.mainPart,MID(_xlpm.cleanRaw,2,FIND(".",_xlpm.cleanRaw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0" t="str">
        <f>""</f>
        <v/>
      </c>
      <c r="I110" t="str">
        <f>""</f>
        <v/>
      </c>
      <c r="J110" t="str">
        <f t="shared" si="1"/>
        <v>D36;VSS;;1.24289999999999;16.8503;;;;</v>
      </c>
    </row>
    <row r="111" spans="1:10">
      <c r="A111" t="s">
        <v>3956</v>
      </c>
      <c r="B111" t="str">
        <f>_xlfn.XLOOKUP(A111,SITE1!$V$4:$V$1034,SITE1!$U$4:$U$1034,"")</f>
        <v>VSS</v>
      </c>
      <c r="C111" t="str" cm="1">
        <f t="array" ref="C111">_xlfn.TEXTJOIN(",",TRUE,_xlfn.UNIQUE(TRANSPOSE(_xlfn.MAP(_xlfn.XLOOKUP(A111,SITE1!$C$4:$C$1034,SITE1!$F$4:$O$1034,""),_xlfn.LAMBDA(_xlpm.x,IF(_xlpm.x&lt;&gt;"",TRIM(CLEAN(LEFT(_xlpm.x,FIND(".",_xlpm.x &amp; ".")-1))),""))))))</f>
        <v/>
      </c>
      <c r="D111">
        <v>1.1839999999999899</v>
      </c>
      <c r="E111">
        <v>17.532599999999999</v>
      </c>
      <c r="F111" t="str">
        <f>_xlfn.LET(_xlpm.raw,_xlfn.XLOOKUP(A111,SITE1!$C$4:$C$1034,SITE1!$E$4:$E$1034),_xlpm.cleanRaw,SUBSTITUTE(SUBSTITUTE(_xlpm.raw,"_PIN","."),"PIN","."),_xlpm.mainPart,MID(_xlpm.cleanRaw,2,FIND(".",_xlpm.cleanRaw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1" t="str">
        <f>_xlfn.LET(_xlpm.raw,_xlfn.XLOOKUP(A111,SITE3!$C$4:$C$1034,SITE3!$E$4:$E$1034),_xlpm.cleanRaw,SUBSTITUTE(SUBSTITUTE(_xlpm.raw,"_PIN","."),"PIN","."),_xlpm.mainPart,MID(_xlpm.cleanRaw,2,FIND(".",_xlpm.cleanRaw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1" t="str">
        <f>""</f>
        <v/>
      </c>
      <c r="I111" t="str">
        <f>""</f>
        <v/>
      </c>
      <c r="J111" t="str">
        <f t="shared" si="1"/>
        <v>D38;VSS;;1.18399999999999;17.5326;;;;</v>
      </c>
    </row>
    <row r="112" spans="1:10">
      <c r="A112" t="s">
        <v>3957</v>
      </c>
      <c r="B112" t="str">
        <f>_xlfn.XLOOKUP(A112,SITE1!$V$4:$V$1034,SITE1!$U$4:$U$1034,"")</f>
        <v>VSS</v>
      </c>
      <c r="C112" t="str" cm="1">
        <f t="array" ref="C112">_xlfn.TEXTJOIN(",",TRUE,_xlfn.UNIQUE(TRANSPOSE(_xlfn.MAP(_xlfn.XLOOKUP(A112,SITE1!$C$4:$C$1034,SITE1!$F$4:$O$1034,""),_xlfn.LAMBDA(_xlpm.x,IF(_xlpm.x&lt;&gt;"",TRIM(CLEAN(LEFT(_xlpm.x,FIND(".",_xlpm.x &amp; ".")-1))),""))))))</f>
        <v/>
      </c>
      <c r="D112">
        <v>1.2428999999999899</v>
      </c>
      <c r="E112">
        <v>18.2148</v>
      </c>
      <c r="F112" t="str">
        <f>_xlfn.LET(_xlpm.raw,_xlfn.XLOOKUP(A112,SITE1!$C$4:$C$1034,SITE1!$E$4:$E$1034),_xlpm.cleanRaw,SUBSTITUTE(SUBSTITUTE(_xlpm.raw,"_PIN","."),"PIN","."),_xlpm.mainPart,MID(_xlpm.cleanRaw,2,FIND(".",_xlpm.cleanRaw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" t="str">
        <f>_xlfn.LET(_xlpm.raw,_xlfn.XLOOKUP(A112,SITE3!$C$4:$C$1034,SITE3!$E$4:$E$1034),_xlpm.cleanRaw,SUBSTITUTE(SUBSTITUTE(_xlpm.raw,"_PIN","."),"PIN","."),_xlpm.mainPart,MID(_xlpm.cleanRaw,2,FIND(".",_xlpm.cleanRaw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" t="str">
        <f>""</f>
        <v/>
      </c>
      <c r="I112" t="str">
        <f>""</f>
        <v/>
      </c>
      <c r="J112" t="str">
        <f t="shared" si="1"/>
        <v>D39;VSS;;1.24289999999999;18.2148;;;;</v>
      </c>
    </row>
    <row r="113" spans="1:10">
      <c r="A113" t="s">
        <v>3958</v>
      </c>
      <c r="B113" t="str">
        <f>_xlfn.XLOOKUP(A113,SITE1!$V$4:$V$1034,SITE1!$U$4:$U$1034,"")</f>
        <v>VSS</v>
      </c>
      <c r="C113" t="str" cm="1">
        <f t="array" ref="C113">_xlfn.TEXTJOIN(",",TRUE,_xlfn.UNIQUE(TRANSPOSE(_xlfn.MAP(_xlfn.XLOOKUP(A113,SITE1!$C$4:$C$1034,SITE1!$F$4:$O$1034,""),_xlfn.LAMBDA(_xlpm.x,IF(_xlpm.x&lt;&gt;"",TRIM(CLEAN(LEFT(_xlpm.x,FIND(".",_xlpm.x &amp; ".")-1))),""))))))</f>
        <v/>
      </c>
      <c r="D113">
        <v>1.2428999999999899</v>
      </c>
      <c r="E113">
        <v>19.5793</v>
      </c>
      <c r="F113" t="str">
        <f>_xlfn.LET(_xlpm.raw,_xlfn.XLOOKUP(A113,SITE1!$C$4:$C$1034,SITE1!$E$4:$E$1034),_xlpm.cleanRaw,SUBSTITUTE(SUBSTITUTE(_xlpm.raw,"_PIN","."),"PIN","."),_xlpm.mainPart,MID(_xlpm.cleanRaw,2,FIND(".",_xlpm.cleanRaw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3" t="str">
        <f>_xlfn.LET(_xlpm.raw,_xlfn.XLOOKUP(A113,SITE3!$C$4:$C$1034,SITE3!$E$4:$E$1034),_xlpm.cleanRaw,SUBSTITUTE(SUBSTITUTE(_xlpm.raw,"_PIN","."),"PIN","."),_xlpm.mainPart,MID(_xlpm.cleanRaw,2,FIND(".",_xlpm.cleanRaw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3" t="str">
        <f>""</f>
        <v/>
      </c>
      <c r="I113" t="str">
        <f>""</f>
        <v/>
      </c>
      <c r="J113" t="str">
        <f t="shared" si="1"/>
        <v>D42;VSS;;1.24289999999999;19.5793;;;;</v>
      </c>
    </row>
    <row r="114" spans="1:10">
      <c r="A114" t="s">
        <v>3959</v>
      </c>
      <c r="B114" t="str">
        <f>_xlfn.XLOOKUP(A114,SITE1!$V$4:$V$1034,SITE1!$U$4:$U$1034,"")</f>
        <v>VSS</v>
      </c>
      <c r="C114" t="str" cm="1">
        <f t="array" ref="C114">_xlfn.TEXTJOIN(",",TRUE,_xlfn.UNIQUE(TRANSPOSE(_xlfn.MAP(_xlfn.XLOOKUP(A114,SITE1!$C$4:$C$1034,SITE1!$F$4:$O$1034,""),_xlfn.LAMBDA(_xlpm.x,IF(_xlpm.x&lt;&gt;"",TRIM(CLEAN(LEFT(_xlpm.x,FIND(".",_xlpm.x &amp; ".")-1))),""))))))</f>
        <v/>
      </c>
      <c r="D114">
        <v>1.1839999999999899</v>
      </c>
      <c r="E114">
        <v>20.261600000000001</v>
      </c>
      <c r="F114" t="str">
        <f>_xlfn.LET(_xlpm.raw,_xlfn.XLOOKUP(A114,SITE1!$C$4:$C$1034,SITE1!$E$4:$E$1034),_xlpm.cleanRaw,SUBSTITUTE(SUBSTITUTE(_xlpm.raw,"_PIN","."),"PIN","."),_xlpm.mainPart,MID(_xlpm.cleanRaw,2,FIND(".",_xlpm.cleanRaw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" t="str">
        <f>_xlfn.LET(_xlpm.raw,_xlfn.XLOOKUP(A114,SITE3!$C$4:$C$1034,SITE3!$E$4:$E$1034),_xlpm.cleanRaw,SUBSTITUTE(SUBSTITUTE(_xlpm.raw,"_PIN","."),"PIN","."),_xlpm.mainPart,MID(_xlpm.cleanRaw,2,FIND(".",_xlpm.cleanRaw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" t="str">
        <f>""</f>
        <v/>
      </c>
      <c r="I114" t="str">
        <f>""</f>
        <v/>
      </c>
      <c r="J114" t="str">
        <f t="shared" si="1"/>
        <v>D43;VSS;;1.18399999999999;20.2616;;;;</v>
      </c>
    </row>
    <row r="115" spans="1:10">
      <c r="A115" t="s">
        <v>3960</v>
      </c>
      <c r="B115" t="str">
        <f>_xlfn.XLOOKUP(A115,SITE1!$V$4:$V$1034,SITE1!$U$4:$U$1034,"")</f>
        <v>VSS</v>
      </c>
      <c r="C115" t="str" cm="1">
        <f t="array" ref="C115">_xlfn.TEXTJOIN(",",TRUE,_xlfn.UNIQUE(TRANSPOSE(_xlfn.MAP(_xlfn.XLOOKUP(A115,SITE1!$C$4:$C$1034,SITE1!$F$4:$O$1034,""),_xlfn.LAMBDA(_xlpm.x,IF(_xlpm.x&lt;&gt;"",TRIM(CLEAN(LEFT(_xlpm.x,FIND(".",_xlpm.x &amp; ".")-1))),""))))))</f>
        <v/>
      </c>
      <c r="D115">
        <v>1.2428999999999899</v>
      </c>
      <c r="E115">
        <v>20.9438</v>
      </c>
      <c r="F115" t="str">
        <f>_xlfn.LET(_xlpm.raw,_xlfn.XLOOKUP(A115,SITE1!$C$4:$C$1034,SITE1!$E$4:$E$1034),_xlpm.cleanRaw,SUBSTITUTE(SUBSTITUTE(_xlpm.raw,"_PIN","."),"PIN","."),_xlpm.mainPart,MID(_xlpm.cleanRaw,2,FIND(".",_xlpm.cleanRaw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5" t="str">
        <f>_xlfn.LET(_xlpm.raw,_xlfn.XLOOKUP(A115,SITE3!$C$4:$C$1034,SITE3!$E$4:$E$1034),_xlpm.cleanRaw,SUBSTITUTE(SUBSTITUTE(_xlpm.raw,"_PIN","."),"PIN","."),_xlpm.mainPart,MID(_xlpm.cleanRaw,2,FIND(".",_xlpm.cleanRaw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5" t="str">
        <f>""</f>
        <v/>
      </c>
      <c r="I115" t="str">
        <f>""</f>
        <v/>
      </c>
      <c r="J115" t="str">
        <f t="shared" si="1"/>
        <v>D45;VSS;;1.24289999999999;20.9438;;;;</v>
      </c>
    </row>
    <row r="116" spans="1:10">
      <c r="A116" t="s">
        <v>3961</v>
      </c>
      <c r="B116" t="str">
        <f>_xlfn.XLOOKUP(A116,SITE1!$V$4:$V$1034,SITE1!$U$4:$U$1034,"")</f>
        <v>VSS</v>
      </c>
      <c r="C116" t="str" cm="1">
        <f t="array" ref="C116">_xlfn.TEXTJOIN(",",TRUE,_xlfn.UNIQUE(TRANSPOSE(_xlfn.MAP(_xlfn.XLOOKUP(A116,SITE1!$C$4:$C$1034,SITE1!$F$4:$O$1034,""),_xlfn.LAMBDA(_xlpm.x,IF(_xlpm.x&lt;&gt;"",TRIM(CLEAN(LEFT(_xlpm.x,FIND(".",_xlpm.x &amp; ".")-1))),""))))))</f>
        <v/>
      </c>
      <c r="D116">
        <v>1.2428999999999899</v>
      </c>
      <c r="E116">
        <v>22.308299999999999</v>
      </c>
      <c r="F116" t="str">
        <f>_xlfn.LET(_xlpm.raw,_xlfn.XLOOKUP(A116,SITE1!$C$4:$C$1034,SITE1!$E$4:$E$1034),_xlpm.cleanRaw,SUBSTITUTE(SUBSTITUTE(_xlpm.raw,"_PIN","."),"PIN","."),_xlpm.mainPart,MID(_xlpm.cleanRaw,2,FIND(".",_xlpm.cleanRaw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" t="str">
        <f>_xlfn.LET(_xlpm.raw,_xlfn.XLOOKUP(A116,SITE3!$C$4:$C$1034,SITE3!$E$4:$E$1034),_xlpm.cleanRaw,SUBSTITUTE(SUBSTITUTE(_xlpm.raw,"_PIN","."),"PIN","."),_xlpm.mainPart,MID(_xlpm.cleanRaw,2,FIND(".",_xlpm.cleanRaw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" t="str">
        <f>""</f>
        <v/>
      </c>
      <c r="I116" t="str">
        <f>""</f>
        <v/>
      </c>
      <c r="J116" t="str">
        <f t="shared" si="1"/>
        <v>D48;VSS;;1.24289999999999;22.3083;;;;</v>
      </c>
    </row>
    <row r="117" spans="1:10">
      <c r="A117" t="s">
        <v>3962</v>
      </c>
      <c r="B117" t="str">
        <f>_xlfn.XLOOKUP(A117,SITE1!$V$4:$V$1034,SITE1!$U$4:$U$1034,"")</f>
        <v>VSS</v>
      </c>
      <c r="C117" t="str" cm="1">
        <f t="array" ref="C117">_xlfn.TEXTJOIN(",",TRUE,_xlfn.UNIQUE(TRANSPOSE(_xlfn.MAP(_xlfn.XLOOKUP(A117,SITE1!$C$4:$C$1034,SITE1!$F$4:$O$1034,""),_xlfn.LAMBDA(_xlpm.x,IF(_xlpm.x&lt;&gt;"",TRIM(CLEAN(LEFT(_xlpm.x,FIND(".",_xlpm.x &amp; ".")-1))),""))))))</f>
        <v/>
      </c>
      <c r="D117">
        <v>1.1839999999999899</v>
      </c>
      <c r="E117">
        <v>22.990600000000001</v>
      </c>
      <c r="F117" t="str">
        <f>_xlfn.LET(_xlpm.raw,_xlfn.XLOOKUP(A117,SITE1!$C$4:$C$1034,SITE1!$E$4:$E$1034),_xlpm.cleanRaw,SUBSTITUTE(SUBSTITUTE(_xlpm.raw,"_PIN","."),"PIN","."),_xlpm.mainPart,MID(_xlpm.cleanRaw,2,FIND(".",_xlpm.cleanRaw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7" t="str">
        <f>_xlfn.LET(_xlpm.raw,_xlfn.XLOOKUP(A117,SITE3!$C$4:$C$1034,SITE3!$E$4:$E$1034),_xlpm.cleanRaw,SUBSTITUTE(SUBSTITUTE(_xlpm.raw,"_PIN","."),"PIN","."),_xlpm.mainPart,MID(_xlpm.cleanRaw,2,FIND(".",_xlpm.cleanRaw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7" t="str">
        <f>""</f>
        <v/>
      </c>
      <c r="I117" t="str">
        <f>""</f>
        <v/>
      </c>
      <c r="J117" t="str">
        <f t="shared" si="1"/>
        <v>D49;VSS;;1.18399999999999;22.9906;;;;</v>
      </c>
    </row>
    <row r="118" spans="1:10">
      <c r="A118" t="s">
        <v>3963</v>
      </c>
      <c r="B118" t="str">
        <f>_xlfn.XLOOKUP(A118,SITE1!$V$4:$V$1034,SITE1!$U$4:$U$1034,"")</f>
        <v>VSS</v>
      </c>
      <c r="C118" t="str" cm="1">
        <f t="array" ref="C118">_xlfn.TEXTJOIN(",",TRUE,_xlfn.UNIQUE(TRANSPOSE(_xlfn.MAP(_xlfn.XLOOKUP(A118,SITE1!$C$4:$C$1034,SITE1!$F$4:$O$1034,""),_xlfn.LAMBDA(_xlpm.x,IF(_xlpm.x&lt;&gt;"",TRIM(CLEAN(LEFT(_xlpm.x,FIND(".",_xlpm.x &amp; ".")-1))),""))))))</f>
        <v/>
      </c>
      <c r="D118">
        <v>1.2428999999999899</v>
      </c>
      <c r="E118">
        <v>23.672799999999999</v>
      </c>
      <c r="F118" t="str">
        <f>_xlfn.LET(_xlpm.raw,_xlfn.XLOOKUP(A118,SITE1!$C$4:$C$1034,SITE1!$E$4:$E$1034),_xlpm.cleanRaw,SUBSTITUTE(SUBSTITUTE(_xlpm.raw,"_PIN","."),"PIN","."),_xlpm.mainPart,MID(_xlpm.cleanRaw,2,FIND(".",_xlpm.cleanRaw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" t="str">
        <f>_xlfn.LET(_xlpm.raw,_xlfn.XLOOKUP(A118,SITE3!$C$4:$C$1034,SITE3!$E$4:$E$1034),_xlpm.cleanRaw,SUBSTITUTE(SUBSTITUTE(_xlpm.raw,"_PIN","."),"PIN","."),_xlpm.mainPart,MID(_xlpm.cleanRaw,2,FIND(".",_xlpm.cleanRaw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" t="str">
        <f>""</f>
        <v/>
      </c>
      <c r="I118" t="str">
        <f>""</f>
        <v/>
      </c>
      <c r="J118" t="str">
        <f t="shared" si="1"/>
        <v>D50;VSS;;1.24289999999999;23.6728;;;;</v>
      </c>
    </row>
    <row r="119" spans="1:10">
      <c r="A119" t="s">
        <v>367</v>
      </c>
      <c r="B119" t="str">
        <f>_xlfn.XLOOKUP(A119,SITE1!$V$4:$V$1034,SITE1!$U$4:$U$1034,"")</f>
        <v>DIR_ESPI_IO_0</v>
      </c>
      <c r="C119" t="str" cm="1">
        <f t="array" ref="C119">_xlfn.TEXTJOIN(",",TRUE,_xlfn.UNIQUE(TRANSPOSE(_xlfn.MAP(_xlfn.XLOOKUP(A119,SITE1!$C$4:$C$1034,SITE1!$F$4:$O$1034,""),_xlfn.LAMBDA(_xlpm.x,IF(_xlpm.x&lt;&gt;"",TRIM(CLEAN(LEFT(_xlpm.x,FIND(".",_xlpm.x &amp; ".")-1))),""))))))</f>
        <v/>
      </c>
      <c r="D119">
        <v>1.4180999999999899</v>
      </c>
      <c r="E119">
        <v>25.226099999999999</v>
      </c>
      <c r="F119" t="str">
        <f>_xlfn.LET(_xlpm.raw,_xlfn.XLOOKUP(A119,SITE1!$C$4:$C$1034,SITE1!$E$4:$E$1034),_xlpm.cleanRaw,SUBSTITUTE(SUBSTITUTE(_xlpm.raw,"_PIN","."),"PIN","."),_xlpm.mainPart,MID(_xlpm.cleanRaw,2,FIND(".",_xlpm.cleanRaw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709025</v>
      </c>
      <c r="G119" t="str">
        <f>_xlfn.LET(_xlpm.raw,_xlfn.XLOOKUP(A119,SITE3!$C$4:$C$1034,SITE3!$E$4:$E$1034),_xlpm.cleanRaw,SUBSTITUTE(SUBSTITUTE(_xlpm.raw,"_PIN","."),"PIN","."),_xlpm.mainPart,MID(_xlpm.cleanRaw,2,FIND(".",_xlpm.cleanRaw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509025</v>
      </c>
      <c r="H119" t="str">
        <f>""</f>
        <v/>
      </c>
      <c r="I119" t="str">
        <f>""</f>
        <v/>
      </c>
      <c r="J119" t="str">
        <f t="shared" si="1"/>
        <v>D54;DIR_ESPI_IO_0;;1.41809999999999;25.2261;709025;509025;;</v>
      </c>
    </row>
    <row r="120" spans="1:10">
      <c r="A120" t="s">
        <v>3964</v>
      </c>
      <c r="B120" t="str">
        <f>_xlfn.XLOOKUP(A120,SITE1!$V$4:$V$1034,SITE1!$U$4:$U$1034,"")</f>
        <v>VSS</v>
      </c>
      <c r="C120" t="str" cm="1">
        <f t="array" ref="C120">_xlfn.TEXTJOIN(",",TRUE,_xlfn.UNIQUE(TRANSPOSE(_xlfn.MAP(_xlfn.XLOOKUP(A120,SITE1!$C$4:$C$1034,SITE1!$F$4:$O$1034,""),_xlfn.LAMBDA(_xlpm.x,IF(_xlpm.x&lt;&gt;"",TRIM(CLEAN(LEFT(_xlpm.x,FIND(".",_xlpm.x &amp; ".")-1))),""))))))</f>
        <v/>
      </c>
      <c r="D120">
        <v>1.1444999999999901</v>
      </c>
      <c r="E120">
        <v>26.411899999999999</v>
      </c>
      <c r="F120" t="str">
        <f>_xlfn.LET(_xlpm.raw,_xlfn.XLOOKUP(A120,SITE1!$C$4:$C$1034,SITE1!$E$4:$E$1034),_xlpm.cleanRaw,SUBSTITUTE(SUBSTITUTE(_xlpm.raw,"_PIN","."),"PIN","."),_xlpm.mainPart,MID(_xlpm.cleanRaw,2,FIND(".",_xlpm.cleanRaw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0" t="str">
        <f>_xlfn.LET(_xlpm.raw,_xlfn.XLOOKUP(A120,SITE3!$C$4:$C$1034,SITE3!$E$4:$E$1034),_xlpm.cleanRaw,SUBSTITUTE(SUBSTITUTE(_xlpm.raw,"_PIN","."),"PIN","."),_xlpm.mainPart,MID(_xlpm.cleanRaw,2,FIND(".",_xlpm.cleanRaw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0" t="str">
        <f>""</f>
        <v/>
      </c>
      <c r="I120" t="str">
        <f>""</f>
        <v/>
      </c>
      <c r="J120" t="str">
        <f t="shared" si="1"/>
        <v>D56;VSS;;1.14449999999999;26.4119;;;;</v>
      </c>
    </row>
    <row r="121" spans="1:10">
      <c r="A121" t="s">
        <v>3965</v>
      </c>
      <c r="B121" t="str">
        <f>_xlfn.XLOOKUP(A121,SITE1!$V$4:$V$1034,SITE1!$U$4:$U$1034,"")</f>
        <v>VSS</v>
      </c>
      <c r="C121" t="str" cm="1">
        <f t="array" ref="C121">_xlfn.TEXTJOIN(",",TRUE,_xlfn.UNIQUE(TRANSPOSE(_xlfn.MAP(_xlfn.XLOOKUP(A121,SITE1!$C$4:$C$1034,SITE1!$F$4:$O$1034,""),_xlfn.LAMBDA(_xlpm.x,IF(_xlpm.x&lt;&gt;"",TRIM(CLEAN(LEFT(_xlpm.x,FIND(".",_xlpm.x &amp; ".")-1))),""))))))</f>
        <v/>
      </c>
      <c r="D121">
        <v>1.3816999999999999</v>
      </c>
      <c r="E121">
        <v>26.8782</v>
      </c>
      <c r="F121" t="str">
        <f>_xlfn.LET(_xlpm.raw,_xlfn.XLOOKUP(A121,SITE1!$C$4:$C$1034,SITE1!$E$4:$E$1034),_xlpm.cleanRaw,SUBSTITUTE(SUBSTITUTE(_xlpm.raw,"_PIN","."),"PIN","."),_xlpm.mainPart,MID(_xlpm.cleanRaw,2,FIND(".",_xlpm.cleanRaw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1" t="str">
        <f>_xlfn.LET(_xlpm.raw,_xlfn.XLOOKUP(A121,SITE3!$C$4:$C$1034,SITE3!$E$4:$E$1034),_xlpm.cleanRaw,SUBSTITUTE(SUBSTITUTE(_xlpm.raw,"_PIN","."),"PIN","."),_xlpm.mainPart,MID(_xlpm.cleanRaw,2,FIND(".",_xlpm.cleanRaw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1" t="str">
        <f>""</f>
        <v/>
      </c>
      <c r="I121" t="str">
        <f>""</f>
        <v/>
      </c>
      <c r="J121" t="str">
        <f t="shared" si="1"/>
        <v>D57;VSS;;1.3817;26.8782;;;;</v>
      </c>
    </row>
    <row r="122" spans="1:10">
      <c r="A122" t="s">
        <v>3967</v>
      </c>
      <c r="B122" t="str">
        <f>_xlfn.XLOOKUP(A122,SITE1!$V$4:$V$1034,SITE1!$U$4:$U$1034,"")</f>
        <v>VSS</v>
      </c>
      <c r="C122" t="str" cm="1">
        <f t="array" ref="C122">_xlfn.TEXTJOIN(",",TRUE,_xlfn.UNIQUE(TRANSPOSE(_xlfn.MAP(_xlfn.XLOOKUP(A122,SITE1!$C$4:$C$1034,SITE1!$F$4:$O$1034,""),_xlfn.LAMBDA(_xlpm.x,IF(_xlpm.x&lt;&gt;"",TRIM(CLEAN(LEFT(_xlpm.x,FIND(".",_xlpm.x &amp; ".")-1))),""))))))</f>
        <v/>
      </c>
      <c r="D122">
        <v>1.8823999999999901</v>
      </c>
      <c r="E122">
        <v>0</v>
      </c>
      <c r="F122" t="str">
        <f>_xlfn.LET(_xlpm.raw,_xlfn.XLOOKUP(A122,SITE1!$C$4:$C$1034,SITE1!$E$4:$E$1034),_xlpm.cleanRaw,SUBSTITUTE(SUBSTITUTE(_xlpm.raw,"_PIN","."),"PIN","."),_xlpm.mainPart,MID(_xlpm.cleanRaw,2,FIND(".",_xlpm.cleanRaw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2" t="str">
        <f>_xlfn.LET(_xlpm.raw,_xlfn.XLOOKUP(A122,SITE3!$C$4:$C$1034,SITE3!$E$4:$E$1034),_xlpm.cleanRaw,SUBSTITUTE(SUBSTITUTE(_xlpm.raw,"_PIN","."),"PIN","."),_xlpm.mainPart,MID(_xlpm.cleanRaw,2,FIND(".",_xlpm.cleanRaw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2" t="str">
        <f>""</f>
        <v/>
      </c>
      <c r="I122" t="str">
        <f>""</f>
        <v/>
      </c>
      <c r="J122" t="str">
        <f t="shared" si="1"/>
        <v>E1;VSS;;1.88239999999999;0;;;;</v>
      </c>
    </row>
    <row r="123" spans="1:10">
      <c r="A123" t="s">
        <v>647</v>
      </c>
      <c r="B123" t="str">
        <f>_xlfn.XLOOKUP(A123,SITE1!$V$4:$V$1034,SITE1!$U$4:$U$1034,"")</f>
        <v>EXT_INJ_PHY_N_PAD</v>
      </c>
      <c r="C123" t="str" cm="1">
        <f t="array" ref="C123">_xlfn.TEXTJOIN(",",TRUE,_xlfn.UNIQUE(TRANSPOSE(_xlfn.MAP(_xlfn.XLOOKUP(A123,SITE1!$C$4:$C$1034,SITE1!$F$4:$O$1034,""),_xlfn.LAMBDA(_xlpm.x,IF(_xlpm.x&lt;&gt;"",TRIM(CLEAN(LEFT(_xlpm.x,FIND(".",_xlpm.x &amp; ".")-1))),""))))))</f>
        <v>TPA608</v>
      </c>
      <c r="D123">
        <v>1.7827999999999999</v>
      </c>
      <c r="E123">
        <v>0.517099999999999</v>
      </c>
      <c r="F123" t="str">
        <f>_xlfn.LET(_xlpm.raw,_xlfn.XLOOKUP(A123,SITE1!$C$4:$C$1034,SITE1!$E$4:$E$1034),_xlpm.cleanRaw,SUBSTITUTE(SUBSTITUTE(_xlpm.raw,"_PIN","."),"PIN","."),_xlpm.mainPart,MID(_xlpm.cleanRaw,2,FIND(".",_xlpm.cleanRaw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605059</v>
      </c>
      <c r="G123" t="str">
        <f>_xlfn.LET(_xlpm.raw,_xlfn.XLOOKUP(A123,SITE3!$C$4:$C$1034,SITE3!$E$4:$E$1034),_xlpm.cleanRaw,SUBSTITUTE(SUBSTITUTE(_xlpm.raw,"_PIN","."),"PIN","."),_xlpm.mainPart,MID(_xlpm.cleanRaw,2,FIND(".",_xlpm.cleanRaw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805059</v>
      </c>
      <c r="H123" t="str">
        <f>""</f>
        <v/>
      </c>
      <c r="I123" t="str">
        <f>""</f>
        <v/>
      </c>
      <c r="J123" t="str">
        <f t="shared" si="1"/>
        <v>E2;EXT_INJ_PHY_N_PAD;TPA608;1.7828;0.517099999999999;605059;805059;;</v>
      </c>
    </row>
    <row r="124" spans="1:10">
      <c r="A124" t="s">
        <v>3970</v>
      </c>
      <c r="B124" t="str">
        <f>_xlfn.XLOOKUP(A124,SITE1!$V$4:$V$1034,SITE1!$U$4:$U$1034,"")</f>
        <v>VSS</v>
      </c>
      <c r="C124" t="str" cm="1">
        <f t="array" ref="C124">_xlfn.TEXTJOIN(",",TRUE,_xlfn.UNIQUE(TRANSPOSE(_xlfn.MAP(_xlfn.XLOOKUP(A124,SITE1!$C$4:$C$1034,SITE1!$F$4:$O$1034,""),_xlfn.LAMBDA(_xlpm.x,IF(_xlpm.x&lt;&gt;"",TRIM(CLEAN(LEFT(_xlpm.x,FIND(".",_xlpm.x &amp; ".")-1))),""))))))</f>
        <v/>
      </c>
      <c r="D124">
        <v>1.7781</v>
      </c>
      <c r="E124">
        <v>1.29809999999999</v>
      </c>
      <c r="F124" t="str">
        <f>_xlfn.LET(_xlpm.raw,_xlfn.XLOOKUP(A124,SITE1!$C$4:$C$1034,SITE1!$E$4:$E$1034),_xlpm.cleanRaw,SUBSTITUTE(SUBSTITUTE(_xlpm.raw,"_PIN","."),"PIN","."),_xlpm.mainPart,MID(_xlpm.cleanRaw,2,FIND(".",_xlpm.cleanRaw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4" t="str">
        <f>_xlfn.LET(_xlpm.raw,_xlfn.XLOOKUP(A124,SITE3!$C$4:$C$1034,SITE3!$E$4:$E$1034),_xlpm.cleanRaw,SUBSTITUTE(SUBSTITUTE(_xlpm.raw,"_PIN","."),"PIN","."),_xlpm.mainPart,MID(_xlpm.cleanRaw,2,FIND(".",_xlpm.cleanRaw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4" t="str">
        <f>""</f>
        <v/>
      </c>
      <c r="I124" t="str">
        <f>""</f>
        <v/>
      </c>
      <c r="J124" t="str">
        <f t="shared" si="1"/>
        <v>E3;VSS;;1.7781;1.29809999999999;;;;</v>
      </c>
    </row>
    <row r="125" spans="1:10">
      <c r="A125" t="s">
        <v>3042</v>
      </c>
      <c r="B125" t="str">
        <f>_xlfn.XLOOKUP(A125,SITE1!$V$4:$V$1034,SITE1!$U$4:$U$1034,"")</f>
        <v>USB2N_7</v>
      </c>
      <c r="C125" t="str" cm="1">
        <f t="array" ref="C125">_xlfn.TEXTJOIN(",",TRUE,_xlfn.UNIQUE(TRANSPOSE(_xlfn.MAP(_xlfn.XLOOKUP(A125,SITE1!$C$4:$C$1034,SITE1!$F$4:$O$1034,""),_xlfn.LAMBDA(_xlpm.x,IF(_xlpm.x&lt;&gt;"",TRIM(CLEAN(LEFT(_xlpm.x,FIND(".",_xlpm.x &amp; ".")-1))),""))))))</f>
        <v/>
      </c>
      <c r="D125">
        <v>1.7118</v>
      </c>
      <c r="E125">
        <v>2.06429999999999</v>
      </c>
      <c r="F125" t="str">
        <f>_xlfn.LET(_xlpm.raw,_xlfn.XLOOKUP(A125,SITE1!$C$4:$C$1034,SITE1!$E$4:$E$1034),_xlpm.cleanRaw,SUBSTITUTE(SUBSTITUTE(_xlpm.raw,"_PIN","."),"PIN","."),_xlpm.mainPart,MID(_xlpm.cleanRaw,2,FIND(".",_xlpm.cleanRaw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605068</v>
      </c>
      <c r="G125" t="str">
        <f>_xlfn.LET(_xlpm.raw,_xlfn.XLOOKUP(A125,SITE3!$C$4:$C$1034,SITE3!$E$4:$E$1034),_xlpm.cleanRaw,SUBSTITUTE(SUBSTITUTE(_xlpm.raw,"_PIN","."),"PIN","."),_xlpm.mainPart,MID(_xlpm.cleanRaw,2,FIND(".",_xlpm.cleanRaw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805068</v>
      </c>
      <c r="H125" t="str">
        <f>""</f>
        <v/>
      </c>
      <c r="I125" t="str">
        <f>""</f>
        <v/>
      </c>
      <c r="J125" t="str">
        <f t="shared" si="1"/>
        <v>E5;USB2N_7;;1.7118;2.06429999999999;605068;805068;;</v>
      </c>
    </row>
    <row r="126" spans="1:10">
      <c r="A126" t="s">
        <v>2969</v>
      </c>
      <c r="B126" t="str">
        <f>_xlfn.XLOOKUP(A126,SITE1!$V$4:$V$1034,SITE1!$U$4:$U$1034,"")</f>
        <v>USB2_RCOMP2</v>
      </c>
      <c r="C126" t="str" cm="1">
        <f t="array" ref="C126">_xlfn.TEXTJOIN(",",TRUE,_xlfn.UNIQUE(TRANSPOSE(_xlfn.MAP(_xlfn.XLOOKUP(A126,SITE1!$C$4:$C$1034,SITE1!$F$4:$O$1034,""),_xlfn.LAMBDA(_xlpm.x,IF(_xlpm.x&lt;&gt;"",TRIM(CLEAN(LEFT(_xlpm.x,FIND(".",_xlpm.x &amp; ".")-1))),""))))))</f>
        <v>RA132</v>
      </c>
      <c r="D126">
        <v>1.5274999999999901</v>
      </c>
      <c r="E126">
        <v>2.8308</v>
      </c>
      <c r="F126" t="str">
        <f>_xlfn.LET(_xlpm.raw,_xlfn.XLOOKUP(A126,SITE1!$C$4:$C$1034,SITE1!$E$4:$E$1034),_xlpm.cleanRaw,SUBSTITUTE(SUBSTITUTE(_xlpm.raw,"_PIN","."),"PIN","."),_xlpm.mainPart,MID(_xlpm.cleanRaw,2,FIND(".",_xlpm.cleanRaw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6" t="str">
        <f>_xlfn.LET(_xlpm.raw,_xlfn.XLOOKUP(A126,SITE3!$C$4:$C$1034,SITE3!$E$4:$E$1034),_xlpm.cleanRaw,SUBSTITUTE(SUBSTITUTE(_xlpm.raw,"_PIN","."),"PIN","."),_xlpm.mainPart,MID(_xlpm.cleanRaw,2,FIND(".",_xlpm.cleanRaw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6" t="str">
        <f>""</f>
        <v/>
      </c>
      <c r="I126" t="str">
        <f>""</f>
        <v/>
      </c>
      <c r="J126" t="str">
        <f t="shared" si="1"/>
        <v>E7;USB2_RCOMP2;RA132;1.52749999999999;2.8308;;;;</v>
      </c>
    </row>
    <row r="127" spans="1:10">
      <c r="A127" t="s">
        <v>3976</v>
      </c>
      <c r="B127" t="str">
        <f>_xlfn.XLOOKUP(A127,SITE1!$V$4:$V$1034,SITE1!$U$4:$U$1034,"")</f>
        <v>VSS</v>
      </c>
      <c r="C127" t="str" cm="1">
        <f t="array" ref="C127">_xlfn.TEXTJOIN(",",TRUE,_xlfn.UNIQUE(TRANSPOSE(_xlfn.MAP(_xlfn.XLOOKUP(A127,SITE1!$C$4:$C$1034,SITE1!$F$4:$O$1034,""),_xlfn.LAMBDA(_xlpm.x,IF(_xlpm.x&lt;&gt;"",TRIM(CLEAN(LEFT(_xlpm.x,FIND(".",_xlpm.x &amp; ".")-1))),""))))))</f>
        <v/>
      </c>
      <c r="D127">
        <v>1.7805</v>
      </c>
      <c r="E127">
        <v>4.0716000000000001</v>
      </c>
      <c r="F127" t="str">
        <f>_xlfn.LET(_xlpm.raw,_xlfn.XLOOKUP(A127,SITE1!$C$4:$C$1034,SITE1!$E$4:$E$1034),_xlpm.cleanRaw,SUBSTITUTE(SUBSTITUTE(_xlpm.raw,"_PIN","."),"PIN","."),_xlpm.mainPart,MID(_xlpm.cleanRaw,2,FIND(".",_xlpm.cleanRaw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7" t="str">
        <f>_xlfn.LET(_xlpm.raw,_xlfn.XLOOKUP(A127,SITE3!$C$4:$C$1034,SITE3!$E$4:$E$1034),_xlpm.cleanRaw,SUBSTITUTE(SUBSTITUTE(_xlpm.raw,"_PIN","."),"PIN","."),_xlpm.mainPart,MID(_xlpm.cleanRaw,2,FIND(".",_xlpm.cleanRaw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7" t="str">
        <f>""</f>
        <v/>
      </c>
      <c r="I127" t="str">
        <f>""</f>
        <v/>
      </c>
      <c r="J127" t="str">
        <f t="shared" si="1"/>
        <v>E9;VSS;;1.7805;4.0716;;;;</v>
      </c>
    </row>
    <row r="128" spans="1:10">
      <c r="A128" t="s">
        <v>3000</v>
      </c>
      <c r="B128" t="str">
        <f>_xlfn.XLOOKUP(A128,SITE1!$V$4:$V$1034,SITE1!$U$4:$U$1034,"")</f>
        <v>USB2N_13</v>
      </c>
      <c r="C128" t="str" cm="1">
        <f t="array" ref="C128">_xlfn.TEXTJOIN(",",TRUE,_xlfn.UNIQUE(TRANSPOSE(_xlfn.MAP(_xlfn.XLOOKUP(A128,SITE1!$C$4:$C$1034,SITE1!$F$4:$O$1034,""),_xlfn.LAMBDA(_xlpm.x,IF(_xlpm.x&lt;&gt;"",TRIM(CLEAN(LEFT(_xlpm.x,FIND(".",_xlpm.x &amp; ".")-1))),""))))))</f>
        <v/>
      </c>
      <c r="D128">
        <v>1.7423999999999999</v>
      </c>
      <c r="E128">
        <v>4.5734999999999904</v>
      </c>
      <c r="F128" t="str">
        <f>_xlfn.LET(_xlpm.raw,_xlfn.XLOOKUP(A128,SITE1!$C$4:$C$1034,SITE1!$E$4:$E$1034),_xlpm.cleanRaw,SUBSTITUTE(SUBSTITUTE(_xlpm.raw,"_PIN","."),"PIN","."),_xlpm.mainPart,MID(_xlpm.cleanRaw,2,FIND(".",_xlpm.cleanRaw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605050</v>
      </c>
      <c r="G128" t="str">
        <f>_xlfn.LET(_xlpm.raw,_xlfn.XLOOKUP(A128,SITE3!$C$4:$C$1034,SITE3!$E$4:$E$1034),_xlpm.cleanRaw,SUBSTITUTE(SUBSTITUTE(_xlpm.raw,"_PIN","."),"PIN","."),_xlpm.mainPart,MID(_xlpm.cleanRaw,2,FIND(".",_xlpm.cleanRaw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805050</v>
      </c>
      <c r="H128" t="str">
        <f>""</f>
        <v/>
      </c>
      <c r="I128" t="str">
        <f>""</f>
        <v/>
      </c>
      <c r="J128" t="str">
        <f t="shared" si="1"/>
        <v>E10;USB2N_13;;1.7424;4.57349999999999;605050;805050;;</v>
      </c>
    </row>
    <row r="129" spans="1:10">
      <c r="A129" t="s">
        <v>3030</v>
      </c>
      <c r="B129" t="str">
        <f>_xlfn.XLOOKUP(A129,SITE1!$V$4:$V$1034,SITE1!$U$4:$U$1034,"")</f>
        <v>USB2N_5</v>
      </c>
      <c r="C129" t="str" cm="1">
        <f t="array" ref="C129">_xlfn.TEXTJOIN(",",TRUE,_xlfn.UNIQUE(TRANSPOSE(_xlfn.MAP(_xlfn.XLOOKUP(A129,SITE1!$C$4:$C$1034,SITE1!$F$4:$O$1034,""),_xlfn.LAMBDA(_xlpm.x,IF(_xlpm.x&lt;&gt;"",TRIM(CLEAN(LEFT(_xlpm.x,FIND(".",_xlpm.x &amp; ".")-1))),""))))))</f>
        <v/>
      </c>
      <c r="D129">
        <v>1.5274999999999901</v>
      </c>
      <c r="E129">
        <v>5.0278999999999998</v>
      </c>
      <c r="F129" t="str">
        <f>_xlfn.LET(_xlpm.raw,_xlfn.XLOOKUP(A129,SITE1!$C$4:$C$1034,SITE1!$E$4:$E$1034),_xlpm.cleanRaw,SUBSTITUTE(SUBSTITUTE(_xlpm.raw,"_PIN","."),"PIN","."),_xlpm.mainPart,MID(_xlpm.cleanRaw,2,FIND(".",_xlpm.cleanRaw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605056</v>
      </c>
      <c r="G129" t="str">
        <f>_xlfn.LET(_xlpm.raw,_xlfn.XLOOKUP(A129,SITE3!$C$4:$C$1034,SITE3!$E$4:$E$1034),_xlpm.cleanRaw,SUBSTITUTE(SUBSTITUTE(_xlpm.raw,"_PIN","."),"PIN","."),_xlpm.mainPart,MID(_xlpm.cleanRaw,2,FIND(".",_xlpm.cleanRaw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805056</v>
      </c>
      <c r="H129" t="str">
        <f>""</f>
        <v/>
      </c>
      <c r="I129" t="str">
        <f>""</f>
        <v/>
      </c>
      <c r="J129" t="str">
        <f t="shared" si="1"/>
        <v>E11;USB2N_5;;1.52749999999999;5.0279;605056;805056;;</v>
      </c>
    </row>
    <row r="130" spans="1:10">
      <c r="A130" t="s">
        <v>3968</v>
      </c>
      <c r="B130" t="str">
        <f>_xlfn.XLOOKUP(A130,SITE1!$V$4:$V$1034,SITE1!$U$4:$U$1034,"")</f>
        <v>VSS</v>
      </c>
      <c r="C130" t="str" cm="1">
        <f t="array" ref="C130">_xlfn.TEXTJOIN(",",TRUE,_xlfn.UNIQUE(TRANSPOSE(_xlfn.MAP(_xlfn.XLOOKUP(A130,SITE1!$C$4:$C$1034,SITE1!$F$4:$O$1034,""),_xlfn.LAMBDA(_xlpm.x,IF(_xlpm.x&lt;&gt;"",TRIM(CLEAN(LEFT(_xlpm.x,FIND(".",_xlpm.x &amp; ".")-1))),""))))))</f>
        <v/>
      </c>
      <c r="D130">
        <v>1.7805</v>
      </c>
      <c r="E130">
        <v>6.2686999999999999</v>
      </c>
      <c r="F130" t="str">
        <f>_xlfn.LET(_xlpm.raw,_xlfn.XLOOKUP(A130,SITE1!$C$4:$C$1034,SITE1!$E$4:$E$1034),_xlpm.cleanRaw,SUBSTITUTE(SUBSTITUTE(_xlpm.raw,"_PIN","."),"PIN","."),_xlpm.mainPart,MID(_xlpm.cleanRaw,2,FIND(".",_xlpm.cleanRaw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0" t="str">
        <f>_xlfn.LET(_xlpm.raw,_xlfn.XLOOKUP(A130,SITE3!$C$4:$C$1034,SITE3!$E$4:$E$1034),_xlpm.cleanRaw,SUBSTITUTE(SUBSTITUTE(_xlpm.raw,"_PIN","."),"PIN","."),_xlpm.mainPart,MID(_xlpm.cleanRaw,2,FIND(".",_xlpm.cleanRaw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0" t="str">
        <f>""</f>
        <v/>
      </c>
      <c r="I130" t="str">
        <f>""</f>
        <v/>
      </c>
      <c r="J130" t="str">
        <f t="shared" ref="J130:J193" si="2">A130&amp;";"&amp;B130&amp;";"&amp;C130&amp;";"&amp;D130&amp;";"&amp;E130&amp;";"&amp;F130&amp;";"&amp;G130&amp;";"&amp;H130&amp;";"&amp;I130</f>
        <v>E14;VSS;;1.7805;6.2687;;;;</v>
      </c>
    </row>
    <row r="131" spans="1:10">
      <c r="A131" t="s">
        <v>3012</v>
      </c>
      <c r="B131" t="str">
        <f>_xlfn.XLOOKUP(A131,SITE1!$V$4:$V$1034,SITE1!$U$4:$U$1034,"")</f>
        <v>USB2N_2</v>
      </c>
      <c r="C131" t="str" cm="1">
        <f t="array" ref="C131">_xlfn.TEXTJOIN(",",TRUE,_xlfn.UNIQUE(TRANSPOSE(_xlfn.MAP(_xlfn.XLOOKUP(A131,SITE1!$C$4:$C$1034,SITE1!$F$4:$O$1034,""),_xlfn.LAMBDA(_xlpm.x,IF(_xlpm.x&lt;&gt;"",TRIM(CLEAN(LEFT(_xlpm.x,FIND(".",_xlpm.x &amp; ".")-1))),""))))))</f>
        <v/>
      </c>
      <c r="D131">
        <v>1.7423999999999999</v>
      </c>
      <c r="E131">
        <v>6.7706</v>
      </c>
      <c r="F131" t="str">
        <f>_xlfn.LET(_xlpm.raw,_xlfn.XLOOKUP(A131,SITE1!$C$4:$C$1034,SITE1!$E$4:$E$1034),_xlpm.cleanRaw,SUBSTITUTE(SUBSTITUTE(_xlpm.raw,"_PIN","."),"PIN","."),_xlpm.mainPart,MID(_xlpm.cleanRaw,2,FIND(".",_xlpm.cleanRaw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606102</v>
      </c>
      <c r="G131" t="str">
        <f>_xlfn.LET(_xlpm.raw,_xlfn.XLOOKUP(A131,SITE3!$C$4:$C$1034,SITE3!$E$4:$E$1034),_xlpm.cleanRaw,SUBSTITUTE(SUBSTITUTE(_xlpm.raw,"_PIN","."),"PIN","."),_xlpm.mainPart,MID(_xlpm.cleanRaw,2,FIND(".",_xlpm.cleanRaw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806102</v>
      </c>
      <c r="H131" t="str">
        <f>""</f>
        <v/>
      </c>
      <c r="I131" t="str">
        <f>""</f>
        <v/>
      </c>
      <c r="J131" t="str">
        <f t="shared" si="2"/>
        <v>E15;USB2N_2;;1.7424;6.7706;606102;806102;;</v>
      </c>
    </row>
    <row r="132" spans="1:10">
      <c r="A132" t="s">
        <v>3969</v>
      </c>
      <c r="B132" t="str">
        <f>_xlfn.XLOOKUP(A132,SITE1!$V$4:$V$1034,SITE1!$U$4:$U$1034,"")</f>
        <v>VSS</v>
      </c>
      <c r="C132" t="str" cm="1">
        <f t="array" ref="C132">_xlfn.TEXTJOIN(",",TRUE,_xlfn.UNIQUE(TRANSPOSE(_xlfn.MAP(_xlfn.XLOOKUP(A132,SITE1!$C$4:$C$1034,SITE1!$F$4:$O$1034,""),_xlfn.LAMBDA(_xlpm.x,IF(_xlpm.x&lt;&gt;"",TRIM(CLEAN(LEFT(_xlpm.x,FIND(".",_xlpm.x &amp; ".")-1))),""))))))</f>
        <v/>
      </c>
      <c r="D132">
        <v>1.5274999999999901</v>
      </c>
      <c r="E132">
        <v>7.2249999999999996</v>
      </c>
      <c r="F132" t="str">
        <f>_xlfn.LET(_xlpm.raw,_xlfn.XLOOKUP(A132,SITE1!$C$4:$C$1034,SITE1!$E$4:$E$1034),_xlpm.cleanRaw,SUBSTITUTE(SUBSTITUTE(_xlpm.raw,"_PIN","."),"PIN","."),_xlpm.mainPart,MID(_xlpm.cleanRaw,2,FIND(".",_xlpm.cleanRaw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2" t="str">
        <f>_xlfn.LET(_xlpm.raw,_xlfn.XLOOKUP(A132,SITE3!$C$4:$C$1034,SITE3!$E$4:$E$1034),_xlpm.cleanRaw,SUBSTITUTE(SUBSTITUTE(_xlpm.raw,"_PIN","."),"PIN","."),_xlpm.mainPart,MID(_xlpm.cleanRaw,2,FIND(".",_xlpm.cleanRaw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2" t="str">
        <f>""</f>
        <v/>
      </c>
      <c r="I132" t="str">
        <f>""</f>
        <v/>
      </c>
      <c r="J132" t="str">
        <f t="shared" si="2"/>
        <v>E16;VSS;;1.52749999999999;7.225;;;;</v>
      </c>
    </row>
    <row r="133" spans="1:10">
      <c r="A133" t="s">
        <v>398</v>
      </c>
      <c r="B133" t="str">
        <f>_xlfn.XLOOKUP(A133,SITE1!$V$4:$V$1034,SITE1!$U$4:$U$1034,"")</f>
        <v>DMI_0_RXN</v>
      </c>
      <c r="C133" t="str" cm="1">
        <f t="array" ref="C133">_xlfn.TEXTJOIN(",",TRUE,_xlfn.UNIQUE(TRANSPOSE(_xlfn.MAP(_xlfn.XLOOKUP(A133,SITE1!$C$4:$C$1034,SITE1!$F$4:$O$1034,""),_xlfn.LAMBDA(_xlpm.x,IF(_xlpm.x&lt;&gt;"",TRIM(CLEAN(LEFT(_xlpm.x,FIND(".",_xlpm.x &amp; ".")-1))),""))))))</f>
        <v>LA353</v>
      </c>
      <c r="D133">
        <v>1.7302</v>
      </c>
      <c r="E133">
        <v>22.451699999999999</v>
      </c>
      <c r="F133" t="str">
        <f>_xlfn.LET(_xlpm.raw,_xlfn.XLOOKUP(A133,SITE1!$C$4:$C$1034,SITE1!$E$4:$E$1034),_xlpm.cleanRaw,SUBSTITUTE(SUBSTITUTE(_xlpm.raw,"_PIN","."),"PIN","."),_xlpm.mainPart,MID(_xlpm.cleanRaw,2,FIND(".",_xlpm.cleanRaw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708073</v>
      </c>
      <c r="G133" t="str">
        <f>_xlfn.LET(_xlpm.raw,_xlfn.XLOOKUP(A133,SITE3!$C$4:$C$1034,SITE3!$E$4:$E$1034),_xlpm.cleanRaw,SUBSTITUTE(SUBSTITUTE(_xlpm.raw,"_PIN","."),"PIN","."),_xlpm.mainPart,MID(_xlpm.cleanRaw,2,FIND(".",_xlpm.cleanRaw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508073</v>
      </c>
      <c r="H133" t="str">
        <f>""</f>
        <v/>
      </c>
      <c r="I133" t="str">
        <f>""</f>
        <v/>
      </c>
      <c r="J133" t="str">
        <f t="shared" si="2"/>
        <v>E48;DMI_0_RXN;LA353;1.7302;22.4517;708073;508073;;</v>
      </c>
    </row>
    <row r="134" spans="1:10">
      <c r="A134" t="s">
        <v>3971</v>
      </c>
      <c r="B134" t="str">
        <f>_xlfn.XLOOKUP(A134,SITE1!$V$4:$V$1034,SITE1!$U$4:$U$1034,"")</f>
        <v>VSS</v>
      </c>
      <c r="C134" t="str" cm="1">
        <f t="array" ref="C134">_xlfn.TEXTJOIN(",",TRUE,_xlfn.UNIQUE(TRANSPOSE(_xlfn.MAP(_xlfn.XLOOKUP(A134,SITE1!$C$4:$C$1034,SITE1!$F$4:$O$1034,""),_xlfn.LAMBDA(_xlpm.x,IF(_xlpm.x&lt;&gt;"",TRIM(CLEAN(LEFT(_xlpm.x,FIND(".",_xlpm.x &amp; ".")-1))),""))))))</f>
        <v/>
      </c>
      <c r="D134">
        <v>1.7486999999999899</v>
      </c>
      <c r="E134">
        <v>23.531700000000001</v>
      </c>
      <c r="F134" t="str">
        <f>_xlfn.LET(_xlpm.raw,_xlfn.XLOOKUP(A134,SITE1!$C$4:$C$1034,SITE1!$E$4:$E$1034),_xlpm.cleanRaw,SUBSTITUTE(SUBSTITUTE(_xlpm.raw,"_PIN","."),"PIN","."),_xlpm.mainPart,MID(_xlpm.cleanRaw,2,FIND(".",_xlpm.cleanRaw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4" t="str">
        <f>_xlfn.LET(_xlpm.raw,_xlfn.XLOOKUP(A134,SITE3!$C$4:$C$1034,SITE3!$E$4:$E$1034),_xlpm.cleanRaw,SUBSTITUTE(SUBSTITUTE(_xlpm.raw,"_PIN","."),"PIN","."),_xlpm.mainPart,MID(_xlpm.cleanRaw,2,FIND(".",_xlpm.cleanRaw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4" t="str">
        <f>""</f>
        <v/>
      </c>
      <c r="I134" t="str">
        <f>""</f>
        <v/>
      </c>
      <c r="J134" t="str">
        <f t="shared" si="2"/>
        <v>E50;VSS;;1.74869999999999;23.5317;;;;</v>
      </c>
    </row>
    <row r="135" spans="1:10">
      <c r="A135" t="s">
        <v>3972</v>
      </c>
      <c r="B135" t="str">
        <f>_xlfn.XLOOKUP(A135,SITE1!$V$4:$V$1034,SITE1!$U$4:$U$1034,"")</f>
        <v>VSS</v>
      </c>
      <c r="C135" t="str" cm="1">
        <f t="array" ref="C135">_xlfn.TEXTJOIN(",",TRUE,_xlfn.UNIQUE(TRANSPOSE(_xlfn.MAP(_xlfn.XLOOKUP(A135,SITE1!$C$4:$C$1034,SITE1!$F$4:$O$1034,""),_xlfn.LAMBDA(_xlpm.x,IF(_xlpm.x&lt;&gt;"",TRIM(CLEAN(LEFT(_xlpm.x,FIND(".",_xlpm.x &amp; ".")-1))),""))))))</f>
        <v/>
      </c>
      <c r="D135">
        <v>1.47159999999999</v>
      </c>
      <c r="E135">
        <v>24.120999999999999</v>
      </c>
      <c r="F135" t="str">
        <f>_xlfn.LET(_xlpm.raw,_xlfn.XLOOKUP(A135,SITE1!$C$4:$C$1034,SITE1!$E$4:$E$1034),_xlpm.cleanRaw,SUBSTITUTE(SUBSTITUTE(_xlpm.raw,"_PIN","."),"PIN","."),_xlpm.mainPart,MID(_xlpm.cleanRaw,2,FIND(".",_xlpm.cleanRaw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5" t="str">
        <f>_xlfn.LET(_xlpm.raw,_xlfn.XLOOKUP(A135,SITE3!$C$4:$C$1034,SITE3!$E$4:$E$1034),_xlpm.cleanRaw,SUBSTITUTE(SUBSTITUTE(_xlpm.raw,"_PIN","."),"PIN","."),_xlpm.mainPart,MID(_xlpm.cleanRaw,2,FIND(".",_xlpm.cleanRaw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5" t="str">
        <f>""</f>
        <v/>
      </c>
      <c r="I135" t="str">
        <f>""</f>
        <v/>
      </c>
      <c r="J135" t="str">
        <f t="shared" si="2"/>
        <v>E51;VSS;;1.47159999999999;24.121;;;;</v>
      </c>
    </row>
    <row r="136" spans="1:10">
      <c r="A136" t="s">
        <v>599</v>
      </c>
      <c r="B136" t="str">
        <f>_xlfn.XLOOKUP(A136,SITE1!$V$4:$V$1034,SITE1!$U$4:$U$1034,"")</f>
        <v>DMI_PERSTB</v>
      </c>
      <c r="C136" t="str" cm="1">
        <f t="array" ref="C136">_xlfn.TEXTJOIN(",",TRUE,_xlfn.UNIQUE(TRANSPOSE(_xlfn.MAP(_xlfn.XLOOKUP(A136,SITE1!$C$4:$C$1034,SITE1!$F$4:$O$1034,""),_xlfn.LAMBDA(_xlpm.x,IF(_xlpm.x&lt;&gt;"",TRIM(CLEAN(LEFT(_xlpm.x,FIND(".",_xlpm.x &amp; ".")-1))),""))))))</f>
        <v/>
      </c>
      <c r="D136">
        <v>1.7118</v>
      </c>
      <c r="E136">
        <v>24.8139</v>
      </c>
      <c r="F136" t="str">
        <f>_xlfn.LET(_xlpm.raw,_xlfn.XLOOKUP(A136,SITE1!$C$4:$C$1034,SITE1!$E$4:$E$1034),_xlpm.cleanRaw,SUBSTITUTE(SUBSTITUTE(_xlpm.raw,"_PIN","."),"PIN","."),_xlpm.mainPart,MID(_xlpm.cleanRaw,2,FIND(".",_xlpm.cleanRaw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707086</v>
      </c>
      <c r="G136" t="str">
        <f>_xlfn.LET(_xlpm.raw,_xlfn.XLOOKUP(A136,SITE3!$C$4:$C$1034,SITE3!$E$4:$E$1034),_xlpm.cleanRaw,SUBSTITUTE(SUBSTITUTE(_xlpm.raw,"_PIN","."),"PIN","."),_xlpm.mainPart,MID(_xlpm.cleanRaw,2,FIND(".",_xlpm.cleanRaw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507086</v>
      </c>
      <c r="H136" t="str">
        <f>""</f>
        <v/>
      </c>
      <c r="I136" t="str">
        <f>""</f>
        <v/>
      </c>
      <c r="J136" t="str">
        <f t="shared" si="2"/>
        <v>E53;DMI_PERSTB;;1.7118;24.8139;707086;507086;;</v>
      </c>
    </row>
    <row r="137" spans="1:10">
      <c r="A137" t="s">
        <v>3973</v>
      </c>
      <c r="B137" t="str">
        <f>_xlfn.XLOOKUP(A137,SITE1!$V$4:$V$1034,SITE1!$U$4:$U$1034,"")</f>
        <v>VSS</v>
      </c>
      <c r="C137" t="str" cm="1">
        <f t="array" ref="C137">_xlfn.TEXTJOIN(",",TRUE,_xlfn.UNIQUE(TRANSPOSE(_xlfn.MAP(_xlfn.XLOOKUP(A137,SITE1!$C$4:$C$1034,SITE1!$F$4:$O$1034,""),_xlfn.LAMBDA(_xlpm.x,IF(_xlpm.x&lt;&gt;"",TRIM(CLEAN(LEFT(_xlpm.x,FIND(".",_xlpm.x &amp; ".")-1))),""))))))</f>
        <v/>
      </c>
      <c r="D137">
        <v>1.7781</v>
      </c>
      <c r="E137">
        <v>25.580100000000002</v>
      </c>
      <c r="F137" t="str">
        <f>_xlfn.LET(_xlpm.raw,_xlfn.XLOOKUP(A137,SITE1!$C$4:$C$1034,SITE1!$E$4:$E$1034),_xlpm.cleanRaw,SUBSTITUTE(SUBSTITUTE(_xlpm.raw,"_PIN","."),"PIN","."),_xlpm.mainPart,MID(_xlpm.cleanRaw,2,FIND(".",_xlpm.cleanRaw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7" t="str">
        <f>_xlfn.LET(_xlpm.raw,_xlfn.XLOOKUP(A137,SITE3!$C$4:$C$1034,SITE3!$E$4:$E$1034),_xlpm.cleanRaw,SUBSTITUTE(SUBSTITUTE(_xlpm.raw,"_PIN","."),"PIN","."),_xlpm.mainPart,MID(_xlpm.cleanRaw,2,FIND(".",_xlpm.cleanRaw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7" t="str">
        <f>""</f>
        <v/>
      </c>
      <c r="I137" t="str">
        <f>""</f>
        <v/>
      </c>
      <c r="J137" t="str">
        <f t="shared" si="2"/>
        <v>E55;VSS;;1.7781;25.5801;;;;</v>
      </c>
    </row>
    <row r="138" spans="1:10">
      <c r="A138" t="s">
        <v>3974</v>
      </c>
      <c r="B138" t="str">
        <f>_xlfn.XLOOKUP(A138,SITE1!$V$4:$V$1034,SITE1!$U$4:$U$1034,"")</f>
        <v>VSS</v>
      </c>
      <c r="C138" t="str" cm="1">
        <f t="array" ref="C138">_xlfn.TEXTJOIN(",",TRUE,_xlfn.UNIQUE(TRANSPOSE(_xlfn.MAP(_xlfn.XLOOKUP(A138,SITE1!$C$4:$C$1034,SITE1!$F$4:$O$1034,""),_xlfn.LAMBDA(_xlpm.x,IF(_xlpm.x&lt;&gt;"",TRIM(CLEAN(LEFT(_xlpm.x,FIND(".",_xlpm.x &amp; ".")-1))),""))))))</f>
        <v/>
      </c>
      <c r="D138">
        <v>1.7827999999999999</v>
      </c>
      <c r="E138">
        <v>26.3611</v>
      </c>
      <c r="F138" t="str">
        <f>_xlfn.LET(_xlpm.raw,_xlfn.XLOOKUP(A138,SITE1!$C$4:$C$1034,SITE1!$E$4:$E$1034),_xlpm.cleanRaw,SUBSTITUTE(SUBSTITUTE(_xlpm.raw,"_PIN","."),"PIN","."),_xlpm.mainPart,MID(_xlpm.cleanRaw,2,FIND(".",_xlpm.cleanRaw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8" t="str">
        <f>_xlfn.LET(_xlpm.raw,_xlfn.XLOOKUP(A138,SITE3!$C$4:$C$1034,SITE3!$E$4:$E$1034),_xlpm.cleanRaw,SUBSTITUTE(SUBSTITUTE(_xlpm.raw,"_PIN","."),"PIN","."),_xlpm.mainPart,MID(_xlpm.cleanRaw,2,FIND(".",_xlpm.cleanRaw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8" t="str">
        <f>""</f>
        <v/>
      </c>
      <c r="I138" t="str">
        <f>""</f>
        <v/>
      </c>
      <c r="J138" t="str">
        <f t="shared" si="2"/>
        <v>E56;VSS;;1.7828;26.3611;;;;</v>
      </c>
    </row>
    <row r="139" spans="1:10">
      <c r="A139" t="s">
        <v>3975</v>
      </c>
      <c r="B139" t="str">
        <f>_xlfn.XLOOKUP(A139,SITE1!$V$4:$V$1034,SITE1!$U$4:$U$1034,"")</f>
        <v>VSS</v>
      </c>
      <c r="C139" t="str" cm="1">
        <f t="array" ref="C139">_xlfn.TEXTJOIN(",",TRUE,_xlfn.UNIQUE(TRANSPOSE(_xlfn.MAP(_xlfn.XLOOKUP(A139,SITE1!$C$4:$C$1034,SITE1!$F$4:$O$1034,""),_xlfn.LAMBDA(_xlpm.x,IF(_xlpm.x&lt;&gt;"",TRIM(CLEAN(LEFT(_xlpm.x,FIND(".",_xlpm.x &amp; ".")-1))),""))))))</f>
        <v/>
      </c>
      <c r="D139">
        <v>1.8823999999999901</v>
      </c>
      <c r="E139">
        <v>26.8782</v>
      </c>
      <c r="F139" t="str">
        <f>_xlfn.LET(_xlpm.raw,_xlfn.XLOOKUP(A139,SITE1!$C$4:$C$1034,SITE1!$E$4:$E$1034),_xlpm.cleanRaw,SUBSTITUTE(SUBSTITUTE(_xlpm.raw,"_PIN","."),"PIN","."),_xlpm.mainPart,MID(_xlpm.cleanRaw,2,FIND(".",_xlpm.cleanRaw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9" t="str">
        <f>_xlfn.LET(_xlpm.raw,_xlfn.XLOOKUP(A139,SITE3!$C$4:$C$1034,SITE3!$E$4:$E$1034),_xlpm.cleanRaw,SUBSTITUTE(SUBSTITUTE(_xlpm.raw,"_PIN","."),"PIN","."),_xlpm.mainPart,MID(_xlpm.cleanRaw,2,FIND(".",_xlpm.cleanRaw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9" t="str">
        <f>""</f>
        <v/>
      </c>
      <c r="I139" t="str">
        <f>""</f>
        <v/>
      </c>
      <c r="J139" t="str">
        <f t="shared" si="2"/>
        <v>E57;VSS;;1.88239999999999;26.8782;;;;</v>
      </c>
    </row>
    <row r="140" spans="1:10">
      <c r="A140" t="s">
        <v>655</v>
      </c>
      <c r="B140" t="str">
        <f>_xlfn.XLOOKUP(A140,SITE1!$V$4:$V$1034,SITE1!$U$4:$U$1034,"")</f>
        <v>EXT_INJ_PHY_P_PAD</v>
      </c>
      <c r="C140" t="str" cm="1">
        <f t="array" ref="C140">_xlfn.TEXTJOIN(",",TRUE,_xlfn.UNIQUE(TRANSPOSE(_xlfn.MAP(_xlfn.XLOOKUP(A140,SITE1!$C$4:$C$1034,SITE1!$F$4:$O$1034,""),_xlfn.LAMBDA(_xlpm.x,IF(_xlpm.x&lt;&gt;"",TRIM(CLEAN(LEFT(_xlpm.x,FIND(".",_xlpm.x &amp; ".")-1))),""))))))</f>
        <v>TPA607</v>
      </c>
      <c r="D140">
        <v>2.2145999999999901</v>
      </c>
      <c r="E140">
        <v>0.892099999999999</v>
      </c>
      <c r="F140" t="str">
        <f>_xlfn.LET(_xlpm.raw,_xlfn.XLOOKUP(A140,SITE1!$C$4:$C$1034,SITE1!$E$4:$E$1034),_xlpm.cleanRaw,SUBSTITUTE(SUBSTITUTE(_xlpm.raw,"_PIN","."),"PIN","."),_xlpm.mainPart,MID(_xlpm.cleanRaw,2,FIND(".",_xlpm.cleanRaw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605061</v>
      </c>
      <c r="G140" t="str">
        <f>_xlfn.LET(_xlpm.raw,_xlfn.XLOOKUP(A140,SITE3!$C$4:$C$1034,SITE3!$E$4:$E$1034),_xlpm.cleanRaw,SUBSTITUTE(SUBSTITUTE(_xlpm.raw,"_PIN","."),"PIN","."),_xlpm.mainPart,MID(_xlpm.cleanRaw,2,FIND(".",_xlpm.cleanRaw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805061</v>
      </c>
      <c r="H140" t="str">
        <f>""</f>
        <v/>
      </c>
      <c r="I140" t="str">
        <f>""</f>
        <v/>
      </c>
      <c r="J140" t="str">
        <f t="shared" si="2"/>
        <v>F3;EXT_INJ_PHY_P_PAD;TPA607;2.21459999999999;0.892099999999999;605061;805061;;</v>
      </c>
    </row>
    <row r="141" spans="1:10">
      <c r="A141" t="s">
        <v>147</v>
      </c>
      <c r="B141" t="str">
        <f>_xlfn.XLOOKUP(A141,SITE1!$V$4:$V$1034,SITE1!$U$4:$U$1034,"")</f>
        <v>CLKOUT_SRC_P_10</v>
      </c>
      <c r="C141" t="str" cm="1">
        <f t="array" ref="C141">_xlfn.TEXTJOIN(",",TRUE,_xlfn.UNIQUE(TRANSPOSE(_xlfn.MAP(_xlfn.XLOOKUP(A141,SITE1!$C$4:$C$1034,SITE1!$F$4:$O$1034,""),_xlfn.LAMBDA(_xlpm.x,IF(_xlpm.x&lt;&gt;"",TRIM(CLEAN(LEFT(_xlpm.x,FIND(".",_xlpm.x &amp; ".")-1))),""))))))</f>
        <v/>
      </c>
      <c r="D141">
        <v>2.1800999999999902</v>
      </c>
      <c r="E141">
        <v>1.88519999999999</v>
      </c>
      <c r="F141" t="str">
        <f>_xlfn.LET(_xlpm.raw,_xlfn.XLOOKUP(A141,SITE1!$C$4:$C$1034,SITE1!$E$4:$E$1034),_xlpm.cleanRaw,SUBSTITUTE(SUBSTITUTE(_xlpm.raw,"_PIN","."),"PIN","."),_xlpm.mainPart,MID(_xlpm.cleanRaw,2,FIND(".",_xlpm.cleanRaw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609107</v>
      </c>
      <c r="G141" t="str">
        <f>_xlfn.LET(_xlpm.raw,_xlfn.XLOOKUP(A141,SITE3!$C$4:$C$1034,SITE3!$E$4:$E$1034),_xlpm.cleanRaw,SUBSTITUTE(SUBSTITUTE(_xlpm.raw,"_PIN","."),"PIN","."),_xlpm.mainPart,MID(_xlpm.cleanRaw,2,FIND(".",_xlpm.cleanRaw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809107</v>
      </c>
      <c r="H141" t="str">
        <f>""</f>
        <v/>
      </c>
      <c r="I141" t="str">
        <f>""</f>
        <v/>
      </c>
      <c r="J141" t="str">
        <f t="shared" si="2"/>
        <v>F5;CLKOUT_SRC_P_10;;2.18009999999999;1.88519999999999;609107;809107;;</v>
      </c>
    </row>
    <row r="142" spans="1:10">
      <c r="A142" t="s">
        <v>2964</v>
      </c>
      <c r="B142" t="str">
        <f>_xlfn.XLOOKUP(A142,SITE1!$V$4:$V$1034,SITE1!$U$4:$U$1034,"")</f>
        <v>USB2_RCOMP1</v>
      </c>
      <c r="C142" t="str" cm="1">
        <f t="array" ref="C142">_xlfn.TEXTJOIN(",",TRUE,_xlfn.UNIQUE(TRANSPOSE(_xlfn.MAP(_xlfn.XLOOKUP(A142,SITE1!$C$4:$C$1034,SITE1!$F$4:$O$1034,""),_xlfn.LAMBDA(_xlpm.x,IF(_xlpm.x&lt;&gt;"",TRIM(CLEAN(LEFT(_xlpm.x,FIND(".",_xlpm.x &amp; ".")-1))),""))))))</f>
        <v>RA133</v>
      </c>
      <c r="D142">
        <v>1.9846999999999999</v>
      </c>
      <c r="E142">
        <v>3.0491999999999901</v>
      </c>
      <c r="F142" t="str">
        <f>_xlfn.LET(_xlpm.raw,_xlfn.XLOOKUP(A142,SITE1!$C$4:$C$1034,SITE1!$E$4:$E$1034),_xlpm.cleanRaw,SUBSTITUTE(SUBSTITUTE(_xlpm.raw,"_PIN","."),"PIN","."),_xlpm.mainPart,MID(_xlpm.cleanRaw,2,FIND(".",_xlpm.cleanRaw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2" t="str">
        <f>_xlfn.LET(_xlpm.raw,_xlfn.XLOOKUP(A142,SITE3!$C$4:$C$1034,SITE3!$E$4:$E$1034),_xlpm.cleanRaw,SUBSTITUTE(SUBSTITUTE(_xlpm.raw,"_PIN","."),"PIN","."),_xlpm.mainPart,MID(_xlpm.cleanRaw,2,FIND(".",_xlpm.cleanRaw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2" t="str">
        <f>""</f>
        <v/>
      </c>
      <c r="I142" t="str">
        <f>""</f>
        <v/>
      </c>
      <c r="J142" t="str">
        <f t="shared" si="2"/>
        <v>F7;USB2_RCOMP1;RA133;1.9847;3.04919999999999;;;;</v>
      </c>
    </row>
    <row r="143" spans="1:10">
      <c r="A143" t="s">
        <v>3103</v>
      </c>
      <c r="B143" t="str">
        <f>_xlfn.XLOOKUP(A143,SITE1!$V$4:$V$1034,SITE1!$U$4:$U$1034,"")</f>
        <v>USB2P_5</v>
      </c>
      <c r="C143" t="str" cm="1">
        <f t="array" ref="C143">_xlfn.TEXTJOIN(",",TRUE,_xlfn.UNIQUE(TRANSPOSE(_xlfn.MAP(_xlfn.XLOOKUP(A143,SITE1!$C$4:$C$1034,SITE1!$F$4:$O$1034,""),_xlfn.LAMBDA(_xlpm.x,IF(_xlpm.x&lt;&gt;"",TRIM(CLEAN(LEFT(_xlpm.x,FIND(".",_xlpm.x &amp; ".")-1))),""))))))</f>
        <v/>
      </c>
      <c r="D143">
        <v>1.9846999999999999</v>
      </c>
      <c r="E143">
        <v>5.2462999999999997</v>
      </c>
      <c r="F143" t="str">
        <f>_xlfn.LET(_xlpm.raw,_xlfn.XLOOKUP(A143,SITE1!$C$4:$C$1034,SITE1!$E$4:$E$1034),_xlpm.cleanRaw,SUBSTITUTE(SUBSTITUTE(_xlpm.raw,"_PIN","."),"PIN","."),_xlpm.mainPart,MID(_xlpm.cleanRaw,2,FIND(".",_xlpm.cleanRaw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605058</v>
      </c>
      <c r="G143" t="str">
        <f>_xlfn.LET(_xlpm.raw,_xlfn.XLOOKUP(A143,SITE3!$C$4:$C$1034,SITE3!$E$4:$E$1034),_xlpm.cleanRaw,SUBSTITUTE(SUBSTITUTE(_xlpm.raw,"_PIN","."),"PIN","."),_xlpm.mainPart,MID(_xlpm.cleanRaw,2,FIND(".",_xlpm.cleanRaw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805058</v>
      </c>
      <c r="H143" t="str">
        <f>""</f>
        <v/>
      </c>
      <c r="I143" t="str">
        <f>""</f>
        <v/>
      </c>
      <c r="J143" t="str">
        <f t="shared" si="2"/>
        <v>F12;USB2P_5;;1.9847;5.2463;605058;805058;;</v>
      </c>
    </row>
    <row r="144" spans="1:10">
      <c r="A144" t="s">
        <v>3214</v>
      </c>
      <c r="B144" t="str">
        <f>_xlfn.XLOOKUP(A144,SITE1!$V$4:$V$1034,SITE1!$U$4:$U$1034,"")</f>
        <v>USB31_2_RXN</v>
      </c>
      <c r="C144" t="str" cm="1">
        <f t="array" ref="C144">_xlfn.TEXTJOIN(",",TRUE,_xlfn.UNIQUE(TRANSPOSE(_xlfn.MAP(_xlfn.XLOOKUP(A144,SITE1!$C$4:$C$1034,SITE1!$F$4:$O$1034,""),_xlfn.LAMBDA(_xlpm.x,IF(_xlpm.x&lt;&gt;"",TRIM(CLEAN(LEFT(_xlpm.x,FIND(".",_xlpm.x &amp; ".")-1))),""))))))</f>
        <v>CA204,LA208</v>
      </c>
      <c r="D144">
        <v>2.0602</v>
      </c>
      <c r="E144">
        <v>7.4349999999999996</v>
      </c>
      <c r="F144" t="str">
        <f>_xlfn.LET(_xlpm.raw,_xlfn.XLOOKUP(A144,SITE1!$C$4:$C$1034,SITE1!$E$4:$E$1034),_xlpm.cleanRaw,SUBSTITUTE(SUBSTITUTE(_xlpm.raw,"_PIN","."),"PIN","."),_xlpm.mainPart,MID(_xlpm.cleanRaw,2,FIND(".",_xlpm.cleanRaw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602078</v>
      </c>
      <c r="G144" t="str">
        <f>_xlfn.LET(_xlpm.raw,_xlfn.XLOOKUP(A144,SITE3!$C$4:$C$1034,SITE3!$E$4:$E$1034),_xlpm.cleanRaw,SUBSTITUTE(SUBSTITUTE(_xlpm.raw,"_PIN","."),"PIN","."),_xlpm.mainPart,MID(_xlpm.cleanRaw,2,FIND(".",_xlpm.cleanRaw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802078</v>
      </c>
      <c r="H144" t="str">
        <f>""</f>
        <v/>
      </c>
      <c r="I144" t="str">
        <f>""</f>
        <v/>
      </c>
      <c r="J144" t="str">
        <f t="shared" si="2"/>
        <v>F16;USB31_2_RXN;CA204,LA208;2.0602;7.435;602078;802078;;</v>
      </c>
    </row>
    <row r="145" spans="1:10">
      <c r="A145" t="s">
        <v>3977</v>
      </c>
      <c r="B145" t="str">
        <f>_xlfn.XLOOKUP(A145,SITE1!$V$4:$V$1034,SITE1!$U$4:$U$1034,"")</f>
        <v>VSS</v>
      </c>
      <c r="C145" t="str" cm="1">
        <f t="array" ref="C145">_xlfn.TEXTJOIN(",",TRUE,_xlfn.UNIQUE(TRANSPOSE(_xlfn.MAP(_xlfn.XLOOKUP(A145,SITE1!$C$4:$C$1034,SITE1!$F$4:$O$1034,""),_xlfn.LAMBDA(_xlpm.x,IF(_xlpm.x&lt;&gt;"",TRIM(CLEAN(LEFT(_xlpm.x,FIND(".",_xlpm.x &amp; ".")-1))),""))))))</f>
        <v/>
      </c>
      <c r="D145">
        <v>2.0602</v>
      </c>
      <c r="E145">
        <v>8.8066999999999993</v>
      </c>
      <c r="F145" t="str">
        <f>_xlfn.LET(_xlpm.raw,_xlfn.XLOOKUP(A145,SITE1!$C$4:$C$1034,SITE1!$E$4:$E$1034),_xlpm.cleanRaw,SUBSTITUTE(SUBSTITUTE(_xlpm.raw,"_PIN","."),"PIN","."),_xlpm.mainPart,MID(_xlpm.cleanRaw,2,FIND(".",_xlpm.cleanRaw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5" t="str">
        <f>_xlfn.LET(_xlpm.raw,_xlfn.XLOOKUP(A145,SITE3!$C$4:$C$1034,SITE3!$E$4:$E$1034),_xlpm.cleanRaw,SUBSTITUTE(SUBSTITUTE(_xlpm.raw,"_PIN","."),"PIN","."),_xlpm.mainPart,MID(_xlpm.cleanRaw,2,FIND(".",_xlpm.cleanRaw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5" t="str">
        <f>""</f>
        <v/>
      </c>
      <c r="I145" t="str">
        <f>""</f>
        <v/>
      </c>
      <c r="J145" t="str">
        <f t="shared" si="2"/>
        <v>F19;VSS;;2.0602;8.8067;;;;</v>
      </c>
    </row>
    <row r="146" spans="1:10">
      <c r="A146" t="s">
        <v>3354</v>
      </c>
      <c r="B146" t="str">
        <f>_xlfn.XLOOKUP(A146,SITE1!$V$4:$V$1034,SITE1!$U$4:$U$1034,"")</f>
        <v>USB31_6_RXN</v>
      </c>
      <c r="C146" t="str" cm="1">
        <f t="array" ref="C146">_xlfn.TEXTJOIN(",",TRUE,_xlfn.UNIQUE(TRANSPOSE(_xlfn.MAP(_xlfn.XLOOKUP(A146,SITE1!$C$4:$C$1034,SITE1!$F$4:$O$1034,""),_xlfn.LAMBDA(_xlpm.x,IF(_xlpm.x&lt;&gt;"",TRIM(CLEAN(LEFT(_xlpm.x,FIND(".",_xlpm.x &amp; ".")-1))),""))))))</f>
        <v>CA212,LA224</v>
      </c>
      <c r="D146">
        <v>2.0602</v>
      </c>
      <c r="E146">
        <v>10.164</v>
      </c>
      <c r="F146" t="str">
        <f>_xlfn.LET(_xlpm.raw,_xlfn.XLOOKUP(A146,SITE1!$C$4:$C$1034,SITE1!$E$4:$E$1034),_xlpm.cleanRaw,SUBSTITUTE(SUBSTITUTE(_xlpm.raw,"_PIN","."),"PIN","."),_xlpm.mainPart,MID(_xlpm.cleanRaw,2,FIND(".",_xlpm.cleanRaw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707113</v>
      </c>
      <c r="G146" t="str">
        <f>_xlfn.LET(_xlpm.raw,_xlfn.XLOOKUP(A146,SITE3!$C$4:$C$1034,SITE3!$E$4:$E$1034),_xlpm.cleanRaw,SUBSTITUTE(SUBSTITUTE(_xlpm.raw,"_PIN","."),"PIN","."),_xlpm.mainPart,MID(_xlpm.cleanRaw,2,FIND(".",_xlpm.cleanRaw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507113</v>
      </c>
      <c r="H146" t="str">
        <f>""</f>
        <v/>
      </c>
      <c r="I146" t="str">
        <f>""</f>
        <v/>
      </c>
      <c r="J146" t="str">
        <f t="shared" si="2"/>
        <v>F22;USB31_6_RXN;CA212,LA224;2.0602;10.164;707113;507113;;</v>
      </c>
    </row>
    <row r="147" spans="1:10">
      <c r="A147" t="s">
        <v>3978</v>
      </c>
      <c r="B147" t="str">
        <f>_xlfn.XLOOKUP(A147,SITE1!$V$4:$V$1034,SITE1!$U$4:$U$1034,"")</f>
        <v>VSS</v>
      </c>
      <c r="C147" t="str" cm="1">
        <f t="array" ref="C147">_xlfn.TEXTJOIN(",",TRUE,_xlfn.UNIQUE(TRANSPOSE(_xlfn.MAP(_xlfn.XLOOKUP(A147,SITE1!$C$4:$C$1034,SITE1!$F$4:$O$1034,""),_xlfn.LAMBDA(_xlpm.x,IF(_xlpm.x&lt;&gt;"",TRIM(CLEAN(LEFT(_xlpm.x,FIND(".",_xlpm.x &amp; ".")-1))),""))))))</f>
        <v/>
      </c>
      <c r="D147">
        <v>2.0602</v>
      </c>
      <c r="E147">
        <v>11.5357</v>
      </c>
      <c r="F147" t="str">
        <f>_xlfn.LET(_xlpm.raw,_xlfn.XLOOKUP(A147,SITE1!$C$4:$C$1034,SITE1!$E$4:$E$1034),_xlpm.cleanRaw,SUBSTITUTE(SUBSTITUTE(_xlpm.raw,"_PIN","."),"PIN","."),_xlpm.mainPart,MID(_xlpm.cleanRaw,2,FIND(".",_xlpm.cleanRaw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7" t="str">
        <f>_xlfn.LET(_xlpm.raw,_xlfn.XLOOKUP(A147,SITE3!$C$4:$C$1034,SITE3!$E$4:$E$1034),_xlpm.cleanRaw,SUBSTITUTE(SUBSTITUTE(_xlpm.raw,"_PIN","."),"PIN","."),_xlpm.mainPart,MID(_xlpm.cleanRaw,2,FIND(".",_xlpm.cleanRaw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7" t="str">
        <f>""</f>
        <v/>
      </c>
      <c r="I147" t="str">
        <f>""</f>
        <v/>
      </c>
      <c r="J147" t="str">
        <f t="shared" si="2"/>
        <v>F25;VSS;;2.0602;11.5357;;;;</v>
      </c>
    </row>
    <row r="148" spans="1:10">
      <c r="A148" t="s">
        <v>3178</v>
      </c>
      <c r="B148" t="str">
        <f>_xlfn.XLOOKUP(A148,SITE1!$V$4:$V$1034,SITE1!$U$4:$U$1034,"")</f>
        <v>USB31_10_RXN</v>
      </c>
      <c r="C148" t="str" cm="1">
        <f t="array" ref="C148">_xlfn.TEXTJOIN(",",TRUE,_xlfn.UNIQUE(TRANSPOSE(_xlfn.MAP(_xlfn.XLOOKUP(A148,SITE1!$C$4:$C$1034,SITE1!$F$4:$O$1034,""),_xlfn.LAMBDA(_xlpm.x,IF(_xlpm.x&lt;&gt;"",TRIM(CLEAN(LEFT(_xlpm.x,FIND(".",_xlpm.x &amp; ".")-1))),""))))))</f>
        <v>CA220,LA240</v>
      </c>
      <c r="D148">
        <v>2.0602</v>
      </c>
      <c r="E148">
        <v>12.893000000000001</v>
      </c>
      <c r="F148" t="str">
        <f>_xlfn.LET(_xlpm.raw,_xlfn.XLOOKUP(A148,SITE1!$C$4:$C$1034,SITE1!$E$4:$E$1034),_xlpm.cleanRaw,SUBSTITUTE(SUBSTITUTE(_xlpm.raw,"_PIN","."),"PIN","."),_xlpm.mainPart,MID(_xlpm.cleanRaw,2,FIND(".",_xlpm.cleanRaw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708063</v>
      </c>
      <c r="G148" t="str">
        <f>_xlfn.LET(_xlpm.raw,_xlfn.XLOOKUP(A148,SITE3!$C$4:$C$1034,SITE3!$E$4:$E$1034),_xlpm.cleanRaw,SUBSTITUTE(SUBSTITUTE(_xlpm.raw,"_PIN","."),"PIN","."),_xlpm.mainPart,MID(_xlpm.cleanRaw,2,FIND(".",_xlpm.cleanRaw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508063</v>
      </c>
      <c r="H148" t="str">
        <f>""</f>
        <v/>
      </c>
      <c r="I148" t="str">
        <f>""</f>
        <v/>
      </c>
      <c r="J148" t="str">
        <f t="shared" si="2"/>
        <v>F28;USB31_10_RXN;CA220,LA240;2.0602;12.893;708063;508063;;</v>
      </c>
    </row>
    <row r="149" spans="1:10">
      <c r="A149" t="s">
        <v>3979</v>
      </c>
      <c r="B149" t="str">
        <f>_xlfn.XLOOKUP(A149,SITE1!$V$4:$V$1034,SITE1!$U$4:$U$1034,"")</f>
        <v>VSS</v>
      </c>
      <c r="C149" t="str" cm="1">
        <f t="array" ref="C149">_xlfn.TEXTJOIN(",",TRUE,_xlfn.UNIQUE(TRANSPOSE(_xlfn.MAP(_xlfn.XLOOKUP(A149,SITE1!$C$4:$C$1034,SITE1!$F$4:$O$1034,""),_xlfn.LAMBDA(_xlpm.x,IF(_xlpm.x&lt;&gt;"",TRIM(CLEAN(LEFT(_xlpm.x,FIND(".",_xlpm.x &amp; ".")-1))),""))))))</f>
        <v/>
      </c>
      <c r="D149">
        <v>2.0602</v>
      </c>
      <c r="E149">
        <v>14.264699999999999</v>
      </c>
      <c r="F149" t="str">
        <f>_xlfn.LET(_xlpm.raw,_xlfn.XLOOKUP(A149,SITE1!$C$4:$C$1034,SITE1!$E$4:$E$1034),_xlpm.cleanRaw,SUBSTITUTE(SUBSTITUTE(_xlpm.raw,"_PIN","."),"PIN","."),_xlpm.mainPart,MID(_xlpm.cleanRaw,2,FIND(".",_xlpm.cleanRaw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49" t="str">
        <f>_xlfn.LET(_xlpm.raw,_xlfn.XLOOKUP(A149,SITE3!$C$4:$C$1034,SITE3!$E$4:$E$1034),_xlpm.cleanRaw,SUBSTITUTE(SUBSTITUTE(_xlpm.raw,"_PIN","."),"PIN","."),_xlpm.mainPart,MID(_xlpm.cleanRaw,2,FIND(".",_xlpm.cleanRaw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49" t="str">
        <f>""</f>
        <v/>
      </c>
      <c r="I149" t="str">
        <f>""</f>
        <v/>
      </c>
      <c r="J149" t="str">
        <f t="shared" si="2"/>
        <v>F31;VSS;;2.0602;14.2647;;;;</v>
      </c>
    </row>
    <row r="150" spans="1:10">
      <c r="A150" t="s">
        <v>2456</v>
      </c>
      <c r="B150" t="str">
        <f>_xlfn.XLOOKUP(A150,SITE1!$V$4:$V$1034,SITE1!$U$4:$U$1034,"")</f>
        <v>PCIE_24_RXN</v>
      </c>
      <c r="C150" t="str" cm="1">
        <f t="array" ref="C150">_xlfn.TEXTJOIN(",",TRUE,_xlfn.UNIQUE(TRANSPOSE(_xlfn.MAP(_xlfn.XLOOKUP(A150,SITE1!$C$4:$C$1034,SITE1!$F$4:$O$1034,""),_xlfn.LAMBDA(_xlpm.x,IF(_xlpm.x&lt;&gt;"",TRIM(CLEAN(LEFT(_xlpm.x,FIND(".",_xlpm.x &amp; ".")-1))),""))))))</f>
        <v>CA268,LA336</v>
      </c>
      <c r="D150">
        <v>2.0602</v>
      </c>
      <c r="E150">
        <v>15.622</v>
      </c>
      <c r="F150" t="str">
        <f>_xlfn.LET(_xlpm.raw,_xlfn.XLOOKUP(A150,SITE1!$C$4:$C$1034,SITE1!$E$4:$E$1034),_xlpm.cleanRaw,SUBSTITUTE(SUBSTITUTE(_xlpm.raw,"_PIN","."),"PIN","."),_xlpm.mainPart,MID(_xlpm.cleanRaw,2,FIND(".",_xlpm.cleanRaw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706002</v>
      </c>
      <c r="G150" t="str">
        <f>_xlfn.LET(_xlpm.raw,_xlfn.XLOOKUP(A150,SITE3!$C$4:$C$1034,SITE3!$E$4:$E$1034),_xlpm.cleanRaw,SUBSTITUTE(SUBSTITUTE(_xlpm.raw,"_PIN","."),"PIN","."),_xlpm.mainPart,MID(_xlpm.cleanRaw,2,FIND(".",_xlpm.cleanRaw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506002</v>
      </c>
      <c r="H150" t="str">
        <f>""</f>
        <v/>
      </c>
      <c r="I150" t="str">
        <f>""</f>
        <v/>
      </c>
      <c r="J150" t="str">
        <f t="shared" si="2"/>
        <v>F34;PCIE_24_RXN;CA268,LA336;2.0602;15.622;706002;506002;;</v>
      </c>
    </row>
    <row r="151" spans="1:10">
      <c r="A151" t="s">
        <v>3980</v>
      </c>
      <c r="B151" t="str">
        <f>_xlfn.XLOOKUP(A151,SITE1!$V$4:$V$1034,SITE1!$U$4:$U$1034,"")</f>
        <v>VSS</v>
      </c>
      <c r="C151" t="str" cm="1">
        <f t="array" ref="C151">_xlfn.TEXTJOIN(",",TRUE,_xlfn.UNIQUE(TRANSPOSE(_xlfn.MAP(_xlfn.XLOOKUP(A151,SITE1!$C$4:$C$1034,SITE1!$F$4:$O$1034,""),_xlfn.LAMBDA(_xlpm.x,IF(_xlpm.x&lt;&gt;"",TRIM(CLEAN(LEFT(_xlpm.x,FIND(".",_xlpm.x &amp; ".")-1))),""))))))</f>
        <v/>
      </c>
      <c r="D151">
        <v>2.0602</v>
      </c>
      <c r="E151">
        <v>16.9937</v>
      </c>
      <c r="F151" t="str">
        <f>_xlfn.LET(_xlpm.raw,_xlfn.XLOOKUP(A151,SITE1!$C$4:$C$1034,SITE1!$E$4:$E$1034),_xlpm.cleanRaw,SUBSTITUTE(SUBSTITUTE(_xlpm.raw,"_PIN","."),"PIN","."),_xlpm.mainPart,MID(_xlpm.cleanRaw,2,FIND(".",_xlpm.cleanRaw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1" t="str">
        <f>_xlfn.LET(_xlpm.raw,_xlfn.XLOOKUP(A151,SITE3!$C$4:$C$1034,SITE3!$E$4:$E$1034),_xlpm.cleanRaw,SUBSTITUTE(SUBSTITUTE(_xlpm.raw,"_PIN","."),"PIN","."),_xlpm.mainPart,MID(_xlpm.cleanRaw,2,FIND(".",_xlpm.cleanRaw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1" t="str">
        <f>""</f>
        <v/>
      </c>
      <c r="I151" t="str">
        <f>""</f>
        <v/>
      </c>
      <c r="J151" t="str">
        <f t="shared" si="2"/>
        <v>F36;VSS;;2.0602;16.9937;;;;</v>
      </c>
    </row>
    <row r="152" spans="1:10">
      <c r="A152" t="s">
        <v>506</v>
      </c>
      <c r="B152" t="str">
        <f>_xlfn.XLOOKUP(A152,SITE1!$V$4:$V$1034,SITE1!$U$4:$U$1034,"")</f>
        <v>DMI_4_RXN</v>
      </c>
      <c r="C152" t="str" cm="1">
        <f t="array" ref="C152">_xlfn.TEXTJOIN(",",TRUE,_xlfn.UNIQUE(TRANSPOSE(_xlfn.MAP(_xlfn.XLOOKUP(A152,SITE1!$C$4:$C$1034,SITE1!$F$4:$O$1034,""),_xlfn.LAMBDA(_xlpm.x,IF(_xlpm.x&lt;&gt;"",TRIM(CLEAN(LEFT(_xlpm.x,FIND(".",_xlpm.x &amp; ".")-1))),""))))))</f>
        <v>LA361</v>
      </c>
      <c r="D152">
        <v>2.0602</v>
      </c>
      <c r="E152">
        <v>18.350999999999999</v>
      </c>
      <c r="F152" t="str">
        <f>_xlfn.LET(_xlpm.raw,_xlfn.XLOOKUP(A152,SITE1!$C$4:$C$1034,SITE1!$E$4:$E$1034),_xlpm.cleanRaw,SUBSTITUTE(SUBSTITUTE(_xlpm.raw,"_PIN","."),"PIN","."),_xlpm.mainPart,MID(_xlpm.cleanRaw,2,FIND(".",_xlpm.cleanRaw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709028</v>
      </c>
      <c r="G152" t="str">
        <f>_xlfn.LET(_xlpm.raw,_xlfn.XLOOKUP(A152,SITE3!$C$4:$C$1034,SITE3!$E$4:$E$1034),_xlpm.cleanRaw,SUBSTITUTE(SUBSTITUTE(_xlpm.raw,"_PIN","."),"PIN","."),_xlpm.mainPart,MID(_xlpm.cleanRaw,2,FIND(".",_xlpm.cleanRaw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509028</v>
      </c>
      <c r="H152" t="str">
        <f>""</f>
        <v/>
      </c>
      <c r="I152" t="str">
        <f>""</f>
        <v/>
      </c>
      <c r="J152" t="str">
        <f t="shared" si="2"/>
        <v>F39;DMI_4_RXN;LA361;2.0602;18.351;709028;509028;;</v>
      </c>
    </row>
    <row r="153" spans="1:10">
      <c r="A153" t="s">
        <v>470</v>
      </c>
      <c r="B153" t="str">
        <f>_xlfn.XLOOKUP(A153,SITE1!$V$4:$V$1034,SITE1!$U$4:$U$1034,"")</f>
        <v>DMI_2_RXP</v>
      </c>
      <c r="C153" t="str" cm="1">
        <f t="array" ref="C153">_xlfn.TEXTJOIN(",",TRUE,_xlfn.UNIQUE(TRANSPOSE(_xlfn.MAP(_xlfn.XLOOKUP(A153,SITE1!$C$4:$C$1034,SITE1!$F$4:$O$1034,""),_xlfn.LAMBDA(_xlpm.x,IF(_xlpm.x&lt;&gt;"",TRIM(CLEAN(LEFT(_xlpm.x,FIND(".",_xlpm.x &amp; ".")-1))),""))))))</f>
        <v>LA358</v>
      </c>
      <c r="D153">
        <v>2.0602</v>
      </c>
      <c r="E153">
        <v>19.7227</v>
      </c>
      <c r="F153" t="str">
        <f>_xlfn.LET(_xlpm.raw,_xlfn.XLOOKUP(A153,SITE1!$C$4:$C$1034,SITE1!$E$4:$E$1034),_xlpm.cleanRaw,SUBSTITUTE(SUBSTITUTE(_xlpm.raw,"_PIN","."),"PIN","."),_xlpm.mainPart,MID(_xlpm.cleanRaw,2,FIND(".",_xlpm.cleanRaw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706018</v>
      </c>
      <c r="G153" t="str">
        <f>_xlfn.LET(_xlpm.raw,_xlfn.XLOOKUP(A153,SITE3!$C$4:$C$1034,SITE3!$E$4:$E$1034),_xlpm.cleanRaw,SUBSTITUTE(SUBSTITUTE(_xlpm.raw,"_PIN","."),"PIN","."),_xlpm.mainPart,MID(_xlpm.cleanRaw,2,FIND(".",_xlpm.cleanRaw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506018</v>
      </c>
      <c r="H153" t="str">
        <f>""</f>
        <v/>
      </c>
      <c r="I153" t="str">
        <f>""</f>
        <v/>
      </c>
      <c r="J153" t="str">
        <f t="shared" si="2"/>
        <v>F42;DMI_2_RXP;LA358;2.0602;19.7227;706018;506018;;</v>
      </c>
    </row>
    <row r="154" spans="1:10">
      <c r="A154" t="s">
        <v>3466</v>
      </c>
      <c r="B154" t="str">
        <f>_xlfn.XLOOKUP(A154,SITE1!$V$4:$V$1034,SITE1!$U$4:$U$1034,"")</f>
        <v>DMI_1_RXN</v>
      </c>
      <c r="C154" t="str" cm="1">
        <f t="array" ref="C154">_xlfn.TEXTJOIN(",",TRUE,_xlfn.UNIQUE(TRANSPOSE(_xlfn.MAP(_xlfn.XLOOKUP(A154,SITE1!$C$4:$C$1034,SITE1!$F$4:$O$1034,""),_xlfn.LAMBDA(_xlpm.x,IF(_xlpm.x&lt;&gt;"",TRIM(CLEAN(LEFT(_xlpm.x,FIND(".",_xlpm.x &amp; ".")-1))),""))))))</f>
        <v>LA355</v>
      </c>
      <c r="D154">
        <v>2.0602</v>
      </c>
      <c r="E154">
        <v>21.08</v>
      </c>
      <c r="F154" t="str">
        <f>_xlfn.LET(_xlpm.raw,_xlfn.XLOOKUP(A154,SITE1!$C$4:$C$1034,SITE1!$E$4:$E$1034),_xlpm.cleanRaw,SUBSTITUTE(SUBSTITUTE(_xlpm.raw,"_PIN","."),"PIN","."),_xlpm.mainPart,MID(_xlpm.cleanRaw,2,FIND(".",_xlpm.cleanRaw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709008</v>
      </c>
      <c r="G154" t="str">
        <f>_xlfn.LET(_xlpm.raw,_xlfn.XLOOKUP(A154,SITE3!$C$4:$C$1034,SITE3!$E$4:$E$1034),_xlpm.cleanRaw,SUBSTITUTE(SUBSTITUTE(_xlpm.raw,"_PIN","."),"PIN","."),_xlpm.mainPart,MID(_xlpm.cleanRaw,2,FIND(".",_xlpm.cleanRaw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509008</v>
      </c>
      <c r="H154" t="str">
        <f>""</f>
        <v/>
      </c>
      <c r="I154" t="str">
        <f>""</f>
        <v/>
      </c>
      <c r="J154" t="str">
        <f t="shared" si="2"/>
        <v>F45;DMI_1_RXN;LA355;2.0602;21.08;709008;509008;;</v>
      </c>
    </row>
    <row r="155" spans="1:10">
      <c r="A155" t="s">
        <v>3981</v>
      </c>
      <c r="B155" t="str">
        <f>_xlfn.XLOOKUP(A155,SITE1!$V$4:$V$1034,SITE1!$U$4:$U$1034,"")</f>
        <v>VSS</v>
      </c>
      <c r="C155" t="str" cm="1">
        <f t="array" ref="C155">_xlfn.TEXTJOIN(",",TRUE,_xlfn.UNIQUE(TRANSPOSE(_xlfn.MAP(_xlfn.XLOOKUP(A155,SITE1!$C$4:$C$1034,SITE1!$F$4:$O$1034,""),_xlfn.LAMBDA(_xlpm.x,IF(_xlpm.x&lt;&gt;"",TRIM(CLEAN(LEFT(_xlpm.x,FIND(".",_xlpm.x &amp; ".")-1))),""))))))</f>
        <v/>
      </c>
      <c r="D155">
        <v>2.3000999999999898</v>
      </c>
      <c r="E155">
        <v>23.523</v>
      </c>
      <c r="F155" t="str">
        <f>_xlfn.LET(_xlpm.raw,_xlfn.XLOOKUP(A155,SITE1!$C$4:$C$1034,SITE1!$E$4:$E$1034),_xlpm.cleanRaw,SUBSTITUTE(SUBSTITUTE(_xlpm.raw,"_PIN","."),"PIN","."),_xlpm.mainPart,MID(_xlpm.cleanRaw,2,FIND(".",_xlpm.cleanRaw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5" t="str">
        <f>_xlfn.LET(_xlpm.raw,_xlfn.XLOOKUP(A155,SITE3!$C$4:$C$1034,SITE3!$E$4:$E$1034),_xlpm.cleanRaw,SUBSTITUTE(SUBSTITUTE(_xlpm.raw,"_PIN","."),"PIN","."),_xlpm.mainPart,MID(_xlpm.cleanRaw,2,FIND(".",_xlpm.cleanRaw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5" t="str">
        <f>""</f>
        <v/>
      </c>
      <c r="I155" t="str">
        <f>""</f>
        <v/>
      </c>
      <c r="J155" t="str">
        <f t="shared" si="2"/>
        <v>F50;VSS;;2.30009999999999;23.523;;;;</v>
      </c>
    </row>
    <row r="156" spans="1:10">
      <c r="A156" t="s">
        <v>382</v>
      </c>
      <c r="B156" t="str">
        <f>_xlfn.XLOOKUP(A156,SITE1!$V$4:$V$1034,SITE1!$U$4:$U$1034,"")</f>
        <v>DIR_ESPI_IO_3</v>
      </c>
      <c r="C156" t="str" cm="1">
        <f t="array" ref="C156">_xlfn.TEXTJOIN(",",TRUE,_xlfn.UNIQUE(TRANSPOSE(_xlfn.MAP(_xlfn.XLOOKUP(A156,SITE1!$C$4:$C$1034,SITE1!$F$4:$O$1034,""),_xlfn.LAMBDA(_xlpm.x,IF(_xlpm.x&lt;&gt;"",TRIM(CLEAN(LEFT(_xlpm.x,FIND(".",_xlpm.x &amp; ".")-1))),""))))))</f>
        <v/>
      </c>
      <c r="D156">
        <v>2.1800999999999902</v>
      </c>
      <c r="E156">
        <v>24.992999999999999</v>
      </c>
      <c r="F156" t="str">
        <f>_xlfn.LET(_xlpm.raw,_xlfn.XLOOKUP(A156,SITE1!$C$4:$C$1034,SITE1!$E$4:$E$1034),_xlpm.cleanRaw,SUBSTITUTE(SUBSTITUTE(_xlpm.raw,"_PIN","."),"PIN","."),_xlpm.mainPart,MID(_xlpm.cleanRaw,2,FIND(".",_xlpm.cleanRaw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709014</v>
      </c>
      <c r="G156" t="str">
        <f>_xlfn.LET(_xlpm.raw,_xlfn.XLOOKUP(A156,SITE3!$C$4:$C$1034,SITE3!$E$4:$E$1034),_xlpm.cleanRaw,SUBSTITUTE(SUBSTITUTE(_xlpm.raw,"_PIN","."),"PIN","."),_xlpm.mainPart,MID(_xlpm.cleanRaw,2,FIND(".",_xlpm.cleanRaw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509014</v>
      </c>
      <c r="H156" t="str">
        <f>""</f>
        <v/>
      </c>
      <c r="I156" t="str">
        <f>""</f>
        <v/>
      </c>
      <c r="J156" t="str">
        <f t="shared" si="2"/>
        <v>F53;DIR_ESPI_IO_3;;2.18009999999999;24.993;709014;509014;;</v>
      </c>
    </row>
    <row r="157" spans="1:10">
      <c r="A157" t="s">
        <v>357</v>
      </c>
      <c r="B157" t="str">
        <f>_xlfn.XLOOKUP(A157,SITE1!$V$4:$V$1034,SITE1!$U$4:$U$1034,"")</f>
        <v>DIR_ESPI_CLK</v>
      </c>
      <c r="C157" t="str" cm="1">
        <f t="array" ref="C157">_xlfn.TEXTJOIN(",",TRUE,_xlfn.UNIQUE(TRANSPOSE(_xlfn.MAP(_xlfn.XLOOKUP(A157,SITE1!$C$4:$C$1034,SITE1!$F$4:$O$1034,""),_xlfn.LAMBDA(_xlpm.x,IF(_xlpm.x&lt;&gt;"",TRIM(CLEAN(LEFT(_xlpm.x,FIND(".",_xlpm.x &amp; ".")-1))),""))))))</f>
        <v/>
      </c>
      <c r="D157">
        <v>2.2145999999999901</v>
      </c>
      <c r="E157">
        <v>25.9861</v>
      </c>
      <c r="F157" t="str">
        <f>_xlfn.LET(_xlpm.raw,_xlfn.XLOOKUP(A157,SITE1!$C$4:$C$1034,SITE1!$E$4:$E$1034),_xlpm.cleanRaw,SUBSTITUTE(SUBSTITUTE(_xlpm.raw,"_PIN","."),"PIN","."),_xlpm.mainPart,MID(_xlpm.cleanRaw,2,FIND(".",_xlpm.cleanRaw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703022</v>
      </c>
      <c r="G157" t="str">
        <f>_xlfn.LET(_xlpm.raw,_xlfn.XLOOKUP(A157,SITE3!$C$4:$C$1034,SITE3!$E$4:$E$1034),_xlpm.cleanRaw,SUBSTITUTE(SUBSTITUTE(_xlpm.raw,"_PIN","."),"PIN","."),_xlpm.mainPart,MID(_xlpm.cleanRaw,2,FIND(".",_xlpm.cleanRaw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503022</v>
      </c>
      <c r="H157" t="str">
        <f>""</f>
        <v/>
      </c>
      <c r="I157" t="str">
        <f>""</f>
        <v/>
      </c>
      <c r="J157" t="str">
        <f t="shared" si="2"/>
        <v>F55;DIR_ESPI_CLK;;2.21459999999999;25.9861;703022;503022;;</v>
      </c>
    </row>
    <row r="158" spans="1:10">
      <c r="A158" t="s">
        <v>142</v>
      </c>
      <c r="B158" t="str">
        <f>_xlfn.XLOOKUP(A158,SITE1!$V$4:$V$1034,SITE1!$U$4:$U$1034,"")</f>
        <v>CLKOUT_SRC_P_1</v>
      </c>
      <c r="C158" t="str" cm="1">
        <f t="array" ref="C158">_xlfn.TEXTJOIN(",",TRUE,_xlfn.UNIQUE(TRANSPOSE(_xlfn.MAP(_xlfn.XLOOKUP(A158,SITE1!$C$4:$C$1034,SITE1!$F$4:$O$1034,""),_xlfn.LAMBDA(_xlpm.x,IF(_xlpm.x&lt;&gt;"",TRIM(CLEAN(LEFT(_xlpm.x,FIND(".",_xlpm.x &amp; ".")-1))),""))))))</f>
        <v/>
      </c>
      <c r="D158">
        <v>2.7276999999999898</v>
      </c>
      <c r="E158">
        <v>0.52369999999999906</v>
      </c>
      <c r="F158" t="str">
        <f>_xlfn.LET(_xlpm.raw,_xlfn.XLOOKUP(A158,SITE1!$C$4:$C$1034,SITE1!$E$4:$E$1034),_xlpm.cleanRaw,SUBSTITUTE(SUBSTITUTE(_xlpm.raw,"_PIN","."),"PIN","."),_xlpm.mainPart,MID(_xlpm.cleanRaw,2,FIND(".",_xlpm.cleanRaw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609112</v>
      </c>
      <c r="G158" t="str">
        <f>_xlfn.LET(_xlpm.raw,_xlfn.XLOOKUP(A158,SITE3!$C$4:$C$1034,SITE3!$E$4:$E$1034),_xlpm.cleanRaw,SUBSTITUTE(SUBSTITUTE(_xlpm.raw,"_PIN","."),"PIN","."),_xlpm.mainPart,MID(_xlpm.cleanRaw,2,FIND(".",_xlpm.cleanRaw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809112</v>
      </c>
      <c r="H158" t="str">
        <f>""</f>
        <v/>
      </c>
      <c r="I158" t="str">
        <f>""</f>
        <v/>
      </c>
      <c r="J158" t="str">
        <f t="shared" si="2"/>
        <v>G2;CLKOUT_SRC_P_1;;2.72769999999999;0.523699999999999;609112;809112;;</v>
      </c>
    </row>
    <row r="159" spans="1:10">
      <c r="A159" t="s">
        <v>57</v>
      </c>
      <c r="B159" t="str">
        <f>_xlfn.XLOOKUP(A159,SITE1!$V$4:$V$1034,SITE1!$U$4:$U$1034,"")</f>
        <v>CLKOUT_SRC_N_1</v>
      </c>
      <c r="C159" t="str" cm="1">
        <f t="array" ref="C159">_xlfn.TEXTJOIN(",",TRUE,_xlfn.UNIQUE(TRANSPOSE(_xlfn.MAP(_xlfn.XLOOKUP(A159,SITE1!$C$4:$C$1034,SITE1!$F$4:$O$1034,""),_xlfn.LAMBDA(_xlpm.x,IF(_xlpm.x&lt;&gt;"",TRIM(CLEAN(LEFT(_xlpm.x,FIND(".",_xlpm.x &amp; ".")-1))),""))))))</f>
        <v/>
      </c>
      <c r="D159">
        <v>2.6974999999999998</v>
      </c>
      <c r="E159">
        <v>1.02609999999999</v>
      </c>
      <c r="F159" t="str">
        <f>_xlfn.LET(_xlpm.raw,_xlfn.XLOOKUP(A159,SITE1!$C$4:$C$1034,SITE1!$E$4:$E$1034),_xlpm.cleanRaw,SUBSTITUTE(SUBSTITUTE(_xlpm.raw,"_PIN","."),"PIN","."),_xlpm.mainPart,MID(_xlpm.cleanRaw,2,FIND(".",_xlpm.cleanRaw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609114</v>
      </c>
      <c r="G159" t="str">
        <f>_xlfn.LET(_xlpm.raw,_xlfn.XLOOKUP(A159,SITE3!$C$4:$C$1034,SITE3!$E$4:$E$1034),_xlpm.cleanRaw,SUBSTITUTE(SUBSTITUTE(_xlpm.raw,"_PIN","."),"PIN","."),_xlpm.mainPart,MID(_xlpm.cleanRaw,2,FIND(".",_xlpm.cleanRaw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809114</v>
      </c>
      <c r="H159" t="str">
        <f>""</f>
        <v/>
      </c>
      <c r="I159" t="str">
        <f>""</f>
        <v/>
      </c>
      <c r="J159" t="str">
        <f t="shared" si="2"/>
        <v>G3;CLKOUT_SRC_N_1;;2.6975;1.02609999999999;609114;809114;;</v>
      </c>
    </row>
    <row r="160" spans="1:10">
      <c r="A160" t="s">
        <v>3986</v>
      </c>
      <c r="B160" t="str">
        <f>_xlfn.XLOOKUP(A160,SITE1!$V$4:$V$1034,SITE1!$U$4:$U$1034,"")</f>
        <v>VSS</v>
      </c>
      <c r="C160" t="str" cm="1">
        <f t="array" ref="C160">_xlfn.TEXTJOIN(",",TRUE,_xlfn.UNIQUE(TRANSPOSE(_xlfn.MAP(_xlfn.XLOOKUP(A160,SITE1!$C$4:$C$1034,SITE1!$F$4:$O$1034,""),_xlfn.LAMBDA(_xlpm.x,IF(_xlpm.x&lt;&gt;"",TRIM(CLEAN(LEFT(_xlpm.x,FIND(".",_xlpm.x &amp; ".")-1))),""))))))</f>
        <v/>
      </c>
      <c r="D160">
        <v>2.7787999999999999</v>
      </c>
      <c r="E160">
        <v>1.5265</v>
      </c>
      <c r="F160" t="str">
        <f>_xlfn.LET(_xlpm.raw,_xlfn.XLOOKUP(A160,SITE1!$C$4:$C$1034,SITE1!$E$4:$E$1034),_xlpm.cleanRaw,SUBSTITUTE(SUBSTITUTE(_xlpm.raw,"_PIN","."),"PIN","."),_xlpm.mainPart,MID(_xlpm.cleanRaw,2,FIND(".",_xlpm.cleanRaw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0" t="str">
        <f>_xlfn.LET(_xlpm.raw,_xlfn.XLOOKUP(A160,SITE3!$C$4:$C$1034,SITE3!$E$4:$E$1034),_xlpm.cleanRaw,SUBSTITUTE(SUBSTITUTE(_xlpm.raw,"_PIN","."),"PIN","."),_xlpm.mainPart,MID(_xlpm.cleanRaw,2,FIND(".",_xlpm.cleanRaw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0" t="str">
        <f>""</f>
        <v/>
      </c>
      <c r="I160" t="str">
        <f>""</f>
        <v/>
      </c>
      <c r="J160" t="str">
        <f t="shared" si="2"/>
        <v>G4;VSS;;2.7788;1.5265;;;;</v>
      </c>
    </row>
    <row r="161" spans="1:10">
      <c r="A161" t="s">
        <v>3987</v>
      </c>
      <c r="B161" t="str">
        <f>_xlfn.XLOOKUP(A161,SITE1!$V$4:$V$1034,SITE1!$U$4:$U$1034,"")</f>
        <v>VSS</v>
      </c>
      <c r="C161" t="str" cm="1">
        <f t="array" ref="C161">_xlfn.TEXTJOIN(",",TRUE,_xlfn.UNIQUE(TRANSPOSE(_xlfn.MAP(_xlfn.XLOOKUP(A161,SITE1!$C$4:$C$1034,SITE1!$F$4:$O$1034,""),_xlfn.LAMBDA(_xlpm.x,IF(_xlpm.x&lt;&gt;"",TRIM(CLEAN(LEFT(_xlpm.x,FIND(".",_xlpm.x &amp; ".")-1))),""))))))</f>
        <v/>
      </c>
      <c r="D161">
        <v>2.4242999999999899</v>
      </c>
      <c r="E161">
        <v>2.8058999999999901</v>
      </c>
      <c r="F161" t="str">
        <f>_xlfn.LET(_xlpm.raw,_xlfn.XLOOKUP(A161,SITE1!$C$4:$C$1034,SITE1!$E$4:$E$1034),_xlpm.cleanRaw,SUBSTITUTE(SUBSTITUTE(_xlpm.raw,"_PIN","."),"PIN","."),_xlpm.mainPart,MID(_xlpm.cleanRaw,2,FIND(".",_xlpm.cleanRaw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1" t="str">
        <f>_xlfn.LET(_xlpm.raw,_xlfn.XLOOKUP(A161,SITE3!$C$4:$C$1034,SITE3!$E$4:$E$1034),_xlpm.cleanRaw,SUBSTITUTE(SUBSTITUTE(_xlpm.raw,"_PIN","."),"PIN","."),_xlpm.mainPart,MID(_xlpm.cleanRaw,2,FIND(".",_xlpm.cleanRaw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1" t="str">
        <f>""</f>
        <v/>
      </c>
      <c r="I161" t="str">
        <f>""</f>
        <v/>
      </c>
      <c r="J161" t="str">
        <f t="shared" si="2"/>
        <v>G7;VSS;;2.42429999999999;2.80589999999999;;;;</v>
      </c>
    </row>
    <row r="162" spans="1:10">
      <c r="A162" t="s">
        <v>2994</v>
      </c>
      <c r="B162" t="str">
        <f>_xlfn.XLOOKUP(A162,SITE1!$V$4:$V$1034,SITE1!$U$4:$U$1034,"")</f>
        <v>USB2N_12</v>
      </c>
      <c r="C162" t="str" cm="1">
        <f t="array" ref="C162">_xlfn.TEXTJOIN(",",TRUE,_xlfn.UNIQUE(TRANSPOSE(_xlfn.MAP(_xlfn.XLOOKUP(A162,SITE1!$C$4:$C$1034,SITE1!$F$4:$O$1034,""),_xlfn.LAMBDA(_xlpm.x,IF(_xlpm.x&lt;&gt;"",TRIM(CLEAN(LEFT(_xlpm.x,FIND(".",_xlpm.x &amp; ".")-1))),""))))))</f>
        <v/>
      </c>
      <c r="D162">
        <v>2.3961999999999999</v>
      </c>
      <c r="E162">
        <v>4.2218999999999998</v>
      </c>
      <c r="F162" t="str">
        <f>_xlfn.LET(_xlpm.raw,_xlfn.XLOOKUP(A162,SITE1!$C$4:$C$1034,SITE1!$E$4:$E$1034),_xlpm.cleanRaw,SUBSTITUTE(SUBSTITUTE(_xlpm.raw,"_PIN","."),"PIN","."),_xlpm.mainPart,MID(_xlpm.cleanRaw,2,FIND(".",_xlpm.cleanRaw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604012</v>
      </c>
      <c r="G162" t="str">
        <f>_xlfn.LET(_xlpm.raw,_xlfn.XLOOKUP(A162,SITE3!$C$4:$C$1034,SITE3!$E$4:$E$1034),_xlpm.cleanRaw,SUBSTITUTE(SUBSTITUTE(_xlpm.raw,"_PIN","."),"PIN","."),_xlpm.mainPart,MID(_xlpm.cleanRaw,2,FIND(".",_xlpm.cleanRaw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804012</v>
      </c>
      <c r="H162" t="str">
        <f>""</f>
        <v/>
      </c>
      <c r="I162" t="str">
        <f>""</f>
        <v/>
      </c>
      <c r="J162" t="str">
        <f t="shared" si="2"/>
        <v>G10;USB2N_12;;2.3962;4.2219;604012;804012;;</v>
      </c>
    </row>
    <row r="163" spans="1:10">
      <c r="A163" t="s">
        <v>3069</v>
      </c>
      <c r="B163" t="str">
        <f>_xlfn.XLOOKUP(A163,SITE1!$V$4:$V$1034,SITE1!$U$4:$U$1034,"")</f>
        <v>USB2P_11</v>
      </c>
      <c r="C163" t="str" cm="1">
        <f t="array" ref="C163">_xlfn.TEXTJOIN(",",TRUE,_xlfn.UNIQUE(TRANSPOSE(_xlfn.MAP(_xlfn.XLOOKUP(A163,SITE1!$C$4:$C$1034,SITE1!$F$4:$O$1034,""),_xlfn.LAMBDA(_xlpm.x,IF(_xlpm.x&lt;&gt;"",TRIM(CLEAN(LEFT(_xlpm.x,FIND(".",_xlpm.x &amp; ".")-1))),""))))))</f>
        <v/>
      </c>
      <c r="D163">
        <v>2.49419999999999</v>
      </c>
      <c r="E163">
        <v>5.4335000000000004</v>
      </c>
      <c r="F163" t="str">
        <f>_xlfn.LET(_xlpm.raw,_xlfn.XLOOKUP(A163,SITE1!$C$4:$C$1034,SITE1!$E$4:$E$1034),_xlpm.cleanRaw,SUBSTITUTE(SUBSTITUTE(_xlpm.raw,"_PIN","."),"PIN","."),_xlpm.mainPart,MID(_xlpm.cleanRaw,2,FIND(".",_xlpm.cleanRaw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605077</v>
      </c>
      <c r="G163" t="str">
        <f>_xlfn.LET(_xlpm.raw,_xlfn.XLOOKUP(A163,SITE3!$C$4:$C$1034,SITE3!$E$4:$E$1034),_xlpm.cleanRaw,SUBSTITUTE(SUBSTITUTE(_xlpm.raw,"_PIN","."),"PIN","."),_xlpm.mainPart,MID(_xlpm.cleanRaw,2,FIND(".",_xlpm.cleanRaw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805077</v>
      </c>
      <c r="H163" t="str">
        <f>""</f>
        <v/>
      </c>
      <c r="I163" t="str">
        <f>""</f>
        <v/>
      </c>
      <c r="J163" t="str">
        <f t="shared" si="2"/>
        <v>G12;USB2P_11;;2.49419999999999;5.4335;605077;805077;;</v>
      </c>
    </row>
    <row r="164" spans="1:10">
      <c r="A164" t="s">
        <v>3123</v>
      </c>
      <c r="B164" t="str">
        <f>_xlfn.XLOOKUP(A164,SITE1!$V$4:$V$1034,SITE1!$U$4:$U$1034,"")</f>
        <v>USB2P_9</v>
      </c>
      <c r="C164" t="str" cm="1">
        <f t="array" ref="C164">_xlfn.TEXTJOIN(",",TRUE,_xlfn.UNIQUE(TRANSPOSE(_xlfn.MAP(_xlfn.XLOOKUP(A164,SITE1!$C$4:$C$1034,SITE1!$F$4:$O$1034,""),_xlfn.LAMBDA(_xlpm.x,IF(_xlpm.x&lt;&gt;"",TRIM(CLEAN(LEFT(_xlpm.x,FIND(".",_xlpm.x &amp; ".")-1))),""))))))</f>
        <v/>
      </c>
      <c r="D164">
        <v>2.49419999999999</v>
      </c>
      <c r="E164">
        <v>6.6181000000000001</v>
      </c>
      <c r="F164" t="str">
        <f>_xlfn.LET(_xlpm.raw,_xlfn.XLOOKUP(A164,SITE1!$C$4:$C$1034,SITE1!$E$4:$E$1034),_xlpm.cleanRaw,SUBSTITUTE(SUBSTITUTE(_xlpm.raw,"_PIN","."),"PIN","."),_xlpm.mainPart,MID(_xlpm.cleanRaw,2,FIND(".",_xlpm.cleanRaw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605062</v>
      </c>
      <c r="G164" t="str">
        <f>_xlfn.LET(_xlpm.raw,_xlfn.XLOOKUP(A164,SITE3!$C$4:$C$1034,SITE3!$E$4:$E$1034),_xlpm.cleanRaw,SUBSTITUTE(SUBSTITUTE(_xlpm.raw,"_PIN","."),"PIN","."),_xlpm.mainPart,MID(_xlpm.cleanRaw,2,FIND(".",_xlpm.cleanRaw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805062</v>
      </c>
      <c r="H164" t="str">
        <f>""</f>
        <v/>
      </c>
      <c r="I164" t="str">
        <f>""</f>
        <v/>
      </c>
      <c r="J164" t="str">
        <f t="shared" si="2"/>
        <v>G15;USB2P_9;;2.49419999999999;6.6181;605062;805062;;</v>
      </c>
    </row>
    <row r="165" spans="1:10">
      <c r="A165" t="s">
        <v>3224</v>
      </c>
      <c r="B165" t="str">
        <f>_xlfn.XLOOKUP(A165,SITE1!$V$4:$V$1034,SITE1!$U$4:$U$1034,"")</f>
        <v>USB31_2_RXP</v>
      </c>
      <c r="C165" t="str" cm="1">
        <f t="array" ref="C165">_xlfn.TEXTJOIN(",",TRUE,_xlfn.UNIQUE(TRANSPOSE(_xlfn.MAP(_xlfn.XLOOKUP(A165,SITE1!$C$4:$C$1034,SITE1!$F$4:$O$1034,""),_xlfn.LAMBDA(_xlpm.x,IF(_xlpm.x&lt;&gt;"",TRIM(CLEAN(LEFT(_xlpm.x,FIND(".",_xlpm.x &amp; ".")-1))),""))))))</f>
        <v>CA203,LA206</v>
      </c>
      <c r="D165">
        <v>2.7713999999999999</v>
      </c>
      <c r="E165">
        <v>7.4349999999999996</v>
      </c>
      <c r="F165" t="str">
        <f>_xlfn.LET(_xlpm.raw,_xlfn.XLOOKUP(A165,SITE1!$C$4:$C$1034,SITE1!$E$4:$E$1034),_xlpm.cleanRaw,SUBSTITUTE(SUBSTITUTE(_xlpm.raw,"_PIN","."),"PIN","."),_xlpm.mainPart,MID(_xlpm.cleanRaw,2,FIND(".",_xlpm.cleanRaw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602076</v>
      </c>
      <c r="G165" t="str">
        <f>_xlfn.LET(_xlpm.raw,_xlfn.XLOOKUP(A165,SITE3!$C$4:$C$1034,SITE3!$E$4:$E$1034),_xlpm.cleanRaw,SUBSTITUTE(SUBSTITUTE(_xlpm.raw,"_PIN","."),"PIN","."),_xlpm.mainPart,MID(_xlpm.cleanRaw,2,FIND(".",_xlpm.cleanRaw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802076</v>
      </c>
      <c r="H165" t="str">
        <f>""</f>
        <v/>
      </c>
      <c r="I165" t="str">
        <f>""</f>
        <v/>
      </c>
      <c r="J165" t="str">
        <f t="shared" si="2"/>
        <v>G16;USB31_2_RXP;CA203,LA206;2.7714;7.435;602076;802076;;</v>
      </c>
    </row>
    <row r="166" spans="1:10">
      <c r="A166" t="s">
        <v>3982</v>
      </c>
      <c r="B166" t="str">
        <f>_xlfn.XLOOKUP(A166,SITE1!$V$4:$V$1034,SITE1!$U$4:$U$1034,"")</f>
        <v>VSS</v>
      </c>
      <c r="C166" t="str" cm="1">
        <f t="array" ref="C166">_xlfn.TEXTJOIN(",",TRUE,_xlfn.UNIQUE(TRANSPOSE(_xlfn.MAP(_xlfn.XLOOKUP(A166,SITE1!$C$4:$C$1034,SITE1!$F$4:$O$1034,""),_xlfn.LAMBDA(_xlpm.x,IF(_xlpm.x&lt;&gt;"",TRIM(CLEAN(LEFT(_xlpm.x,FIND(".",_xlpm.x &amp; ".")-1))),""))))))</f>
        <v/>
      </c>
      <c r="D166">
        <v>2.7713999999999999</v>
      </c>
      <c r="E166">
        <v>8.8066999999999993</v>
      </c>
      <c r="F166" t="str">
        <f>_xlfn.LET(_xlpm.raw,_xlfn.XLOOKUP(A166,SITE1!$C$4:$C$1034,SITE1!$E$4:$E$1034),_xlpm.cleanRaw,SUBSTITUTE(SUBSTITUTE(_xlpm.raw,"_PIN","."),"PIN","."),_xlpm.mainPart,MID(_xlpm.cleanRaw,2,FIND(".",_xlpm.cleanRaw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6" t="str">
        <f>_xlfn.LET(_xlpm.raw,_xlfn.XLOOKUP(A166,SITE3!$C$4:$C$1034,SITE3!$E$4:$E$1034),_xlpm.cleanRaw,SUBSTITUTE(SUBSTITUTE(_xlpm.raw,"_PIN","."),"PIN","."),_xlpm.mainPart,MID(_xlpm.cleanRaw,2,FIND(".",_xlpm.cleanRaw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6" t="str">
        <f>""</f>
        <v/>
      </c>
      <c r="I166" t="str">
        <f>""</f>
        <v/>
      </c>
      <c r="J166" t="str">
        <f t="shared" si="2"/>
        <v>G19;VSS;;2.7714;8.8067;;;;</v>
      </c>
    </row>
    <row r="167" spans="1:10">
      <c r="A167" t="s">
        <v>3362</v>
      </c>
      <c r="B167" t="str">
        <f>_xlfn.XLOOKUP(A167,SITE1!$V$4:$V$1034,SITE1!$U$4:$U$1034,"")</f>
        <v>USB31_6_RXP</v>
      </c>
      <c r="C167" t="str" cm="1">
        <f t="array" ref="C167">_xlfn.TEXTJOIN(",",TRUE,_xlfn.UNIQUE(TRANSPOSE(_xlfn.MAP(_xlfn.XLOOKUP(A167,SITE1!$C$4:$C$1034,SITE1!$F$4:$O$1034,""),_xlfn.LAMBDA(_xlpm.x,IF(_xlpm.x&lt;&gt;"",TRIM(CLEAN(LEFT(_xlpm.x,FIND(".",_xlpm.x &amp; ".")-1))),""))))))</f>
        <v>CA211,LA222</v>
      </c>
      <c r="D167">
        <v>2.7713999999999999</v>
      </c>
      <c r="E167">
        <v>10.164</v>
      </c>
      <c r="F167" t="str">
        <f>_xlfn.LET(_xlpm.raw,_xlfn.XLOOKUP(A167,SITE1!$C$4:$C$1034,SITE1!$E$4:$E$1034),_xlpm.cleanRaw,SUBSTITUTE(SUBSTITUTE(_xlpm.raw,"_PIN","."),"PIN","."),_xlpm.mainPart,MID(_xlpm.cleanRaw,2,FIND(".",_xlpm.cleanRaw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707111</v>
      </c>
      <c r="G167" t="str">
        <f>_xlfn.LET(_xlpm.raw,_xlfn.XLOOKUP(A167,SITE3!$C$4:$C$1034,SITE3!$E$4:$E$1034),_xlpm.cleanRaw,SUBSTITUTE(SUBSTITUTE(_xlpm.raw,"_PIN","."),"PIN","."),_xlpm.mainPart,MID(_xlpm.cleanRaw,2,FIND(".",_xlpm.cleanRaw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507111</v>
      </c>
      <c r="H167" t="str">
        <f>""</f>
        <v/>
      </c>
      <c r="I167" t="str">
        <f>""</f>
        <v/>
      </c>
      <c r="J167" t="str">
        <f t="shared" si="2"/>
        <v>G22;USB31_6_RXP;CA211,LA222;2.7714;10.164;707111;507111;;</v>
      </c>
    </row>
    <row r="168" spans="1:10">
      <c r="A168" t="s">
        <v>3983</v>
      </c>
      <c r="B168" t="str">
        <f>_xlfn.XLOOKUP(A168,SITE1!$V$4:$V$1034,SITE1!$U$4:$U$1034,"")</f>
        <v>VSS</v>
      </c>
      <c r="C168" t="str" cm="1">
        <f t="array" ref="C168">_xlfn.TEXTJOIN(",",TRUE,_xlfn.UNIQUE(TRANSPOSE(_xlfn.MAP(_xlfn.XLOOKUP(A168,SITE1!$C$4:$C$1034,SITE1!$F$4:$O$1034,""),_xlfn.LAMBDA(_xlpm.x,IF(_xlpm.x&lt;&gt;"",TRIM(CLEAN(LEFT(_xlpm.x,FIND(".",_xlpm.x &amp; ".")-1))),""))))))</f>
        <v/>
      </c>
      <c r="D168">
        <v>2.7713999999999999</v>
      </c>
      <c r="E168">
        <v>11.5357</v>
      </c>
      <c r="F168" t="str">
        <f>_xlfn.LET(_xlpm.raw,_xlfn.XLOOKUP(A168,SITE1!$C$4:$C$1034,SITE1!$E$4:$E$1034),_xlpm.cleanRaw,SUBSTITUTE(SUBSTITUTE(_xlpm.raw,"_PIN","."),"PIN","."),_xlpm.mainPart,MID(_xlpm.cleanRaw,2,FIND(".",_xlpm.cleanRaw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8" t="str">
        <f>_xlfn.LET(_xlpm.raw,_xlfn.XLOOKUP(A168,SITE3!$C$4:$C$1034,SITE3!$E$4:$E$1034),_xlpm.cleanRaw,SUBSTITUTE(SUBSTITUTE(_xlpm.raw,"_PIN","."),"PIN","."),_xlpm.mainPart,MID(_xlpm.cleanRaw,2,FIND(".",_xlpm.cleanRaw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8" t="str">
        <f>""</f>
        <v/>
      </c>
      <c r="I168" t="str">
        <f>""</f>
        <v/>
      </c>
      <c r="J168" t="str">
        <f t="shared" si="2"/>
        <v>G25;VSS;;2.7714;11.5357;;;;</v>
      </c>
    </row>
    <row r="169" spans="1:10">
      <c r="A169" t="s">
        <v>3188</v>
      </c>
      <c r="B169" t="str">
        <f>_xlfn.XLOOKUP(A169,SITE1!$V$4:$V$1034,SITE1!$U$4:$U$1034,"")</f>
        <v>USB31_10_RXP</v>
      </c>
      <c r="C169" t="str" cm="1">
        <f t="array" ref="C169">_xlfn.TEXTJOIN(",",TRUE,_xlfn.UNIQUE(TRANSPOSE(_xlfn.MAP(_xlfn.XLOOKUP(A169,SITE1!$C$4:$C$1034,SITE1!$F$4:$O$1034,""),_xlfn.LAMBDA(_xlpm.x,IF(_xlpm.x&lt;&gt;"",TRIM(CLEAN(LEFT(_xlpm.x,FIND(".",_xlpm.x &amp; ".")-1))),""))))))</f>
        <v>CA219,LA238</v>
      </c>
      <c r="D169">
        <v>2.7713999999999999</v>
      </c>
      <c r="E169">
        <v>12.893000000000001</v>
      </c>
      <c r="F169" t="str">
        <f>_xlfn.LET(_xlpm.raw,_xlfn.XLOOKUP(A169,SITE1!$C$4:$C$1034,SITE1!$E$4:$E$1034),_xlpm.cleanRaw,SUBSTITUTE(SUBSTITUTE(_xlpm.raw,"_PIN","."),"PIN","."),_xlpm.mainPart,MID(_xlpm.cleanRaw,2,FIND(".",_xlpm.cleanRaw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708065</v>
      </c>
      <c r="G169" t="str">
        <f>_xlfn.LET(_xlpm.raw,_xlfn.XLOOKUP(A169,SITE3!$C$4:$C$1034,SITE3!$E$4:$E$1034),_xlpm.cleanRaw,SUBSTITUTE(SUBSTITUTE(_xlpm.raw,"_PIN","."),"PIN","."),_xlpm.mainPart,MID(_xlpm.cleanRaw,2,FIND(".",_xlpm.cleanRaw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508065</v>
      </c>
      <c r="H169" t="str">
        <f>""</f>
        <v/>
      </c>
      <c r="I169" t="str">
        <f>""</f>
        <v/>
      </c>
      <c r="J169" t="str">
        <f t="shared" si="2"/>
        <v>G28;USB31_10_RXP;CA219,LA238;2.7714;12.893;708065;508065;;</v>
      </c>
    </row>
    <row r="170" spans="1:10">
      <c r="A170" t="s">
        <v>3984</v>
      </c>
      <c r="B170" t="str">
        <f>_xlfn.XLOOKUP(A170,SITE1!$V$4:$V$1034,SITE1!$U$4:$U$1034,"")</f>
        <v>VSS</v>
      </c>
      <c r="C170" t="str" cm="1">
        <f t="array" ref="C170">_xlfn.TEXTJOIN(",",TRUE,_xlfn.UNIQUE(TRANSPOSE(_xlfn.MAP(_xlfn.XLOOKUP(A170,SITE1!$C$4:$C$1034,SITE1!$F$4:$O$1034,""),_xlfn.LAMBDA(_xlpm.x,IF(_xlpm.x&lt;&gt;"",TRIM(CLEAN(LEFT(_xlpm.x,FIND(".",_xlpm.x &amp; ".")-1))),""))))))</f>
        <v/>
      </c>
      <c r="D170">
        <v>2.7713999999999999</v>
      </c>
      <c r="E170">
        <v>14.264699999999999</v>
      </c>
      <c r="F170" t="str">
        <f>_xlfn.LET(_xlpm.raw,_xlfn.XLOOKUP(A170,SITE1!$C$4:$C$1034,SITE1!$E$4:$E$1034),_xlpm.cleanRaw,SUBSTITUTE(SUBSTITUTE(_xlpm.raw,"_PIN","."),"PIN","."),_xlpm.mainPart,MID(_xlpm.cleanRaw,2,FIND(".",_xlpm.cleanRaw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0" t="str">
        <f>_xlfn.LET(_xlpm.raw,_xlfn.XLOOKUP(A170,SITE3!$C$4:$C$1034,SITE3!$E$4:$E$1034),_xlpm.cleanRaw,SUBSTITUTE(SUBSTITUTE(_xlpm.raw,"_PIN","."),"PIN","."),_xlpm.mainPart,MID(_xlpm.cleanRaw,2,FIND(".",_xlpm.cleanRaw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0" t="str">
        <f>""</f>
        <v/>
      </c>
      <c r="I170" t="str">
        <f>""</f>
        <v/>
      </c>
      <c r="J170" t="str">
        <f t="shared" si="2"/>
        <v>G31;VSS;;2.7714;14.2647;;;;</v>
      </c>
    </row>
    <row r="171" spans="1:10">
      <c r="A171" t="s">
        <v>2467</v>
      </c>
      <c r="B171" t="str">
        <f>_xlfn.XLOOKUP(A171,SITE1!$V$4:$V$1034,SITE1!$U$4:$U$1034,"")</f>
        <v>PCIE_24_RXP</v>
      </c>
      <c r="C171" t="str" cm="1">
        <f t="array" ref="C171">_xlfn.TEXTJOIN(",",TRUE,_xlfn.UNIQUE(TRANSPOSE(_xlfn.MAP(_xlfn.XLOOKUP(A171,SITE1!$C$4:$C$1034,SITE1!$F$4:$O$1034,""),_xlfn.LAMBDA(_xlpm.x,IF(_xlpm.x&lt;&gt;"",TRIM(CLEAN(LEFT(_xlpm.x,FIND(".",_xlpm.x &amp; ".")-1))),""))))))</f>
        <v>CA267,LA334</v>
      </c>
      <c r="D171">
        <v>2.7713999999999999</v>
      </c>
      <c r="E171">
        <v>15.622</v>
      </c>
      <c r="F171" t="str">
        <f>_xlfn.LET(_xlpm.raw,_xlfn.XLOOKUP(A171,SITE1!$C$4:$C$1034,SITE1!$E$4:$E$1034),_xlpm.cleanRaw,SUBSTITUTE(SUBSTITUTE(_xlpm.raw,"_PIN","."),"PIN","."),_xlpm.mainPart,MID(_xlpm.cleanRaw,2,FIND(".",_xlpm.cleanRaw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706004</v>
      </c>
      <c r="G171" t="str">
        <f>_xlfn.LET(_xlpm.raw,_xlfn.XLOOKUP(A171,SITE3!$C$4:$C$1034,SITE3!$E$4:$E$1034),_xlpm.cleanRaw,SUBSTITUTE(SUBSTITUTE(_xlpm.raw,"_PIN","."),"PIN","."),_xlpm.mainPart,MID(_xlpm.cleanRaw,2,FIND(".",_xlpm.cleanRaw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506004</v>
      </c>
      <c r="H171" t="str">
        <f>""</f>
        <v/>
      </c>
      <c r="I171" t="str">
        <f>""</f>
        <v/>
      </c>
      <c r="J171" t="str">
        <f t="shared" si="2"/>
        <v>G34;PCIE_24_RXP;CA267,LA334;2.7714;15.622;706004;506004;;</v>
      </c>
    </row>
    <row r="172" spans="1:10">
      <c r="A172" t="s">
        <v>3985</v>
      </c>
      <c r="B172" t="str">
        <f>_xlfn.XLOOKUP(A172,SITE1!$V$4:$V$1034,SITE1!$U$4:$U$1034,"")</f>
        <v>VSS</v>
      </c>
      <c r="C172" t="str" cm="1">
        <f t="array" ref="C172">_xlfn.TEXTJOIN(",",TRUE,_xlfn.UNIQUE(TRANSPOSE(_xlfn.MAP(_xlfn.XLOOKUP(A172,SITE1!$C$4:$C$1034,SITE1!$F$4:$O$1034,""),_xlfn.LAMBDA(_xlpm.x,IF(_xlpm.x&lt;&gt;"",TRIM(CLEAN(LEFT(_xlpm.x,FIND(".",_xlpm.x &amp; ".")-1))),""))))))</f>
        <v/>
      </c>
      <c r="D172">
        <v>2.7713999999999999</v>
      </c>
      <c r="E172">
        <v>16.9937</v>
      </c>
      <c r="F172" t="str">
        <f>_xlfn.LET(_xlpm.raw,_xlfn.XLOOKUP(A172,SITE1!$C$4:$C$1034,SITE1!$E$4:$E$1034),_xlpm.cleanRaw,SUBSTITUTE(SUBSTITUTE(_xlpm.raw,"_PIN","."),"PIN","."),_xlpm.mainPart,MID(_xlpm.cleanRaw,2,FIND(".",_xlpm.cleanRaw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2" t="str">
        <f>_xlfn.LET(_xlpm.raw,_xlfn.XLOOKUP(A172,SITE3!$C$4:$C$1034,SITE3!$E$4:$E$1034),_xlpm.cleanRaw,SUBSTITUTE(SUBSTITUTE(_xlpm.raw,"_PIN","."),"PIN","."),_xlpm.mainPart,MID(_xlpm.cleanRaw,2,FIND(".",_xlpm.cleanRaw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2" t="str">
        <f>""</f>
        <v/>
      </c>
      <c r="I172" t="str">
        <f>""</f>
        <v/>
      </c>
      <c r="J172" t="str">
        <f t="shared" si="2"/>
        <v>G36;VSS;;2.7714;16.9937;;;;</v>
      </c>
    </row>
    <row r="173" spans="1:10">
      <c r="A173" t="s">
        <v>515</v>
      </c>
      <c r="B173" t="str">
        <f>_xlfn.XLOOKUP(A173,SITE1!$V$4:$V$1034,SITE1!$U$4:$U$1034,"")</f>
        <v>DMI_4_RXP</v>
      </c>
      <c r="C173" t="str" cm="1">
        <f t="array" ref="C173">_xlfn.TEXTJOIN(",",TRUE,_xlfn.UNIQUE(TRANSPOSE(_xlfn.MAP(_xlfn.XLOOKUP(A173,SITE1!$C$4:$C$1034,SITE1!$F$4:$O$1034,""),_xlfn.LAMBDA(_xlpm.x,IF(_xlpm.x&lt;&gt;"",TRIM(CLEAN(LEFT(_xlpm.x,FIND(".",_xlpm.x &amp; ".")-1))),""))))))</f>
        <v>LA362</v>
      </c>
      <c r="D173">
        <v>2.7713999999999999</v>
      </c>
      <c r="E173">
        <v>18.350999999999999</v>
      </c>
      <c r="F173" t="str">
        <f>_xlfn.LET(_xlpm.raw,_xlfn.XLOOKUP(A173,SITE1!$C$4:$C$1034,SITE1!$E$4:$E$1034),_xlpm.cleanRaw,SUBSTITUTE(SUBSTITUTE(_xlpm.raw,"_PIN","."),"PIN","."),_xlpm.mainPart,MID(_xlpm.cleanRaw,2,FIND(".",_xlpm.cleanRaw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709030</v>
      </c>
      <c r="G173" t="str">
        <f>_xlfn.LET(_xlpm.raw,_xlfn.XLOOKUP(A173,SITE3!$C$4:$C$1034,SITE3!$E$4:$E$1034),_xlpm.cleanRaw,SUBSTITUTE(SUBSTITUTE(_xlpm.raw,"_PIN","."),"PIN","."),_xlpm.mainPart,MID(_xlpm.cleanRaw,2,FIND(".",_xlpm.cleanRaw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509030</v>
      </c>
      <c r="H173" t="str">
        <f>""</f>
        <v/>
      </c>
      <c r="I173" t="str">
        <f>""</f>
        <v/>
      </c>
      <c r="J173" t="str">
        <f t="shared" si="2"/>
        <v>G39;DMI_4_RXP;LA362;2.7714;18.351;709030;509030;;</v>
      </c>
    </row>
    <row r="174" spans="1:10">
      <c r="A174" t="s">
        <v>460</v>
      </c>
      <c r="B174" t="str">
        <f>_xlfn.XLOOKUP(A174,SITE1!$V$4:$V$1034,SITE1!$U$4:$U$1034,"")</f>
        <v>DMI_2_RXN</v>
      </c>
      <c r="C174" t="str" cm="1">
        <f t="array" ref="C174">_xlfn.TEXTJOIN(",",TRUE,_xlfn.UNIQUE(TRANSPOSE(_xlfn.MAP(_xlfn.XLOOKUP(A174,SITE1!$C$4:$C$1034,SITE1!$F$4:$O$1034,""),_xlfn.LAMBDA(_xlpm.x,IF(_xlpm.x&lt;&gt;"",TRIM(CLEAN(LEFT(_xlpm.x,FIND(".",_xlpm.x &amp; ".")-1))),""))))))</f>
        <v>LA357</v>
      </c>
      <c r="D174">
        <v>2.7713999999999999</v>
      </c>
      <c r="E174">
        <v>19.7227</v>
      </c>
      <c r="F174" t="str">
        <f>_xlfn.LET(_xlpm.raw,_xlfn.XLOOKUP(A174,SITE1!$C$4:$C$1034,SITE1!$E$4:$E$1034),_xlpm.cleanRaw,SUBSTITUTE(SUBSTITUTE(_xlpm.raw,"_PIN","."),"PIN","."),_xlpm.mainPart,MID(_xlpm.cleanRaw,2,FIND(".",_xlpm.cleanRaw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706020</v>
      </c>
      <c r="G174" t="str">
        <f>_xlfn.LET(_xlpm.raw,_xlfn.XLOOKUP(A174,SITE3!$C$4:$C$1034,SITE3!$E$4:$E$1034),_xlpm.cleanRaw,SUBSTITUTE(SUBSTITUTE(_xlpm.raw,"_PIN","."),"PIN","."),_xlpm.mainPart,MID(_xlpm.cleanRaw,2,FIND(".",_xlpm.cleanRaw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506020</v>
      </c>
      <c r="H174" t="str">
        <f>""</f>
        <v/>
      </c>
      <c r="I174" t="str">
        <f>""</f>
        <v/>
      </c>
      <c r="J174" t="str">
        <f t="shared" si="2"/>
        <v>G42;DMI_2_RXN;LA357;2.7714;19.7227;706020;506020;;</v>
      </c>
    </row>
    <row r="175" spans="1:10">
      <c r="A175" t="s">
        <v>436</v>
      </c>
      <c r="B175" t="str">
        <f>_xlfn.XLOOKUP(A175,SITE1!$V$4:$V$1034,SITE1!$U$4:$U$1034,"")</f>
        <v>DMI_1_RXP</v>
      </c>
      <c r="C175" t="str" cm="1">
        <f t="array" ref="C175">_xlfn.TEXTJOIN(",",TRUE,_xlfn.UNIQUE(TRANSPOSE(_xlfn.MAP(_xlfn.XLOOKUP(A175,SITE1!$C$4:$C$1034,SITE1!$F$4:$O$1034,""),_xlfn.LAMBDA(_xlpm.x,IF(_xlpm.x&lt;&gt;"",TRIM(CLEAN(LEFT(_xlpm.x,FIND(".",_xlpm.x &amp; ".")-1))),""))))))</f>
        <v>LA356</v>
      </c>
      <c r="D175">
        <v>2.7713999999999999</v>
      </c>
      <c r="E175">
        <v>21.08</v>
      </c>
      <c r="F175" t="str">
        <f>_xlfn.LET(_xlpm.raw,_xlfn.XLOOKUP(A175,SITE1!$C$4:$C$1034,SITE1!$E$4:$E$1034),_xlpm.cleanRaw,SUBSTITUTE(SUBSTITUTE(_xlpm.raw,"_PIN","."),"PIN","."),_xlpm.mainPart,MID(_xlpm.cleanRaw,2,FIND(".",_xlpm.cleanRaw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709010</v>
      </c>
      <c r="G175" t="str">
        <f>_xlfn.LET(_xlpm.raw,_xlfn.XLOOKUP(A175,SITE3!$C$4:$C$1034,SITE3!$E$4:$E$1034),_xlpm.cleanRaw,SUBSTITUTE(SUBSTITUTE(_xlpm.raw,"_PIN","."),"PIN","."),_xlpm.mainPart,MID(_xlpm.cleanRaw,2,FIND(".",_xlpm.cleanRaw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509010</v>
      </c>
      <c r="H175" t="str">
        <f>""</f>
        <v/>
      </c>
      <c r="I175" t="str">
        <f>""</f>
        <v/>
      </c>
      <c r="J175" t="str">
        <f t="shared" si="2"/>
        <v>G45;DMI_1_RXP;LA356;2.7714;21.08;709010;509010;;</v>
      </c>
    </row>
    <row r="176" spans="1:10">
      <c r="A176" t="s">
        <v>410</v>
      </c>
      <c r="B176" t="str">
        <f>_xlfn.XLOOKUP(A176,SITE1!$V$4:$V$1034,SITE1!$U$4:$U$1034,"")</f>
        <v>DMI_0_RXP</v>
      </c>
      <c r="C176" t="str" cm="1">
        <f t="array" ref="C176">_xlfn.TEXTJOIN(",",TRUE,_xlfn.UNIQUE(TRANSPOSE(_xlfn.MAP(_xlfn.XLOOKUP(A176,SITE1!$C$4:$C$1034,SITE1!$F$4:$O$1034,""),_xlfn.LAMBDA(_xlpm.x,IF(_xlpm.x&lt;&gt;"",TRIM(CLEAN(LEFT(_xlpm.x,FIND(".",_xlpm.x &amp; ".")-1))),""))))))</f>
        <v>LA354</v>
      </c>
      <c r="D176">
        <v>2.4413999999999998</v>
      </c>
      <c r="E176">
        <v>22.451699999999999</v>
      </c>
      <c r="F176" t="str">
        <f>_xlfn.LET(_xlpm.raw,_xlfn.XLOOKUP(A176,SITE1!$C$4:$C$1034,SITE1!$E$4:$E$1034),_xlpm.cleanRaw,SUBSTITUTE(SUBSTITUTE(_xlpm.raw,"_PIN","."),"PIN","."),_xlpm.mainPart,MID(_xlpm.cleanRaw,2,FIND(".",_xlpm.cleanRaw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708071</v>
      </c>
      <c r="G176" t="str">
        <f>_xlfn.LET(_xlpm.raw,_xlfn.XLOOKUP(A176,SITE3!$C$4:$C$1034,SITE3!$E$4:$E$1034),_xlpm.cleanRaw,SUBSTITUTE(SUBSTITUTE(_xlpm.raw,"_PIN","."),"PIN","."),_xlpm.mainPart,MID(_xlpm.cleanRaw,2,FIND(".",_xlpm.cleanRaw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508071</v>
      </c>
      <c r="H176" t="str">
        <f>""</f>
        <v/>
      </c>
      <c r="I176" t="str">
        <f>""</f>
        <v/>
      </c>
      <c r="J176" t="str">
        <f t="shared" si="2"/>
        <v>G48;DMI_0_RXP;LA354;2.4414;22.4517;708071;508071;;</v>
      </c>
    </row>
    <row r="177" spans="1:10">
      <c r="A177" t="s">
        <v>594</v>
      </c>
      <c r="B177" t="str">
        <f>_xlfn.XLOOKUP(A177,SITE1!$V$4:$V$1034,SITE1!$U$4:$U$1034,"")</f>
        <v>DMI_CLKREQB</v>
      </c>
      <c r="C177" t="str" cm="1">
        <f t="array" ref="C177">_xlfn.TEXTJOIN(",",TRUE,_xlfn.UNIQUE(TRANSPOSE(_xlfn.MAP(_xlfn.XLOOKUP(A177,SITE1!$C$4:$C$1034,SITE1!$F$4:$O$1034,""),_xlfn.LAMBDA(_xlpm.x,IF(_xlpm.x&lt;&gt;"",TRIM(CLEAN(LEFT(_xlpm.x,FIND(".",_xlpm.x &amp; ".")-1))),""))))))</f>
        <v/>
      </c>
      <c r="D177">
        <v>2.4242999999999899</v>
      </c>
      <c r="E177">
        <v>24.072299999999998</v>
      </c>
      <c r="F177" t="str">
        <f>_xlfn.LET(_xlpm.raw,_xlfn.XLOOKUP(A177,SITE1!$C$4:$C$1034,SITE1!$E$4:$E$1034),_xlpm.cleanRaw,SUBSTITUTE(SUBSTITUTE(_xlpm.raw,"_PIN","."),"PIN","."),_xlpm.mainPart,MID(_xlpm.cleanRaw,2,FIND(".",_xlpm.cleanRaw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709005</v>
      </c>
      <c r="G177" t="str">
        <f>_xlfn.LET(_xlpm.raw,_xlfn.XLOOKUP(A177,SITE3!$C$4:$C$1034,SITE3!$E$4:$E$1034),_xlpm.cleanRaw,SUBSTITUTE(SUBSTITUTE(_xlpm.raw,"_PIN","."),"PIN","."),_xlpm.mainPart,MID(_xlpm.cleanRaw,2,FIND(".",_xlpm.cleanRaw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509005</v>
      </c>
      <c r="H177" t="str">
        <f>""</f>
        <v/>
      </c>
      <c r="I177" t="str">
        <f>""</f>
        <v/>
      </c>
      <c r="J177" t="str">
        <f t="shared" si="2"/>
        <v>G51;DMI_CLKREQB;;2.42429999999999;24.0723;709005;509005;;</v>
      </c>
    </row>
    <row r="178" spans="1:10">
      <c r="A178" t="s">
        <v>377</v>
      </c>
      <c r="B178" t="str">
        <f>_xlfn.XLOOKUP(A178,SITE1!$V$4:$V$1034,SITE1!$U$4:$U$1034,"")</f>
        <v>DIR_ESPI_IO_2</v>
      </c>
      <c r="C178" t="str" cm="1">
        <f t="array" ref="C178">_xlfn.TEXTJOIN(",",TRUE,_xlfn.UNIQUE(TRANSPOSE(_xlfn.MAP(_xlfn.XLOOKUP(A178,SITE1!$C$4:$C$1034,SITE1!$F$4:$O$1034,""),_xlfn.LAMBDA(_xlpm.x,IF(_xlpm.x&lt;&gt;"",TRIM(CLEAN(LEFT(_xlpm.x,FIND(".",_xlpm.x &amp; ".")-1))),""))))))</f>
        <v/>
      </c>
      <c r="D178">
        <v>2.7787999999999999</v>
      </c>
      <c r="E178">
        <v>25.351700000000001</v>
      </c>
      <c r="F178" t="str">
        <f>_xlfn.LET(_xlpm.raw,_xlfn.XLOOKUP(A178,SITE1!$C$4:$C$1034,SITE1!$E$4:$E$1034),_xlpm.cleanRaw,SUBSTITUTE(SUBSTITUTE(_xlpm.raw,"_PIN","."),"PIN","."),_xlpm.mainPart,MID(_xlpm.cleanRaw,2,FIND(".",_xlpm.cleanRaw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706022</v>
      </c>
      <c r="G178" t="str">
        <f>_xlfn.LET(_xlpm.raw,_xlfn.XLOOKUP(A178,SITE3!$C$4:$C$1034,SITE3!$E$4:$E$1034),_xlpm.cleanRaw,SUBSTITUTE(SUBSTITUTE(_xlpm.raw,"_PIN","."),"PIN","."),_xlpm.mainPart,MID(_xlpm.cleanRaw,2,FIND(".",_xlpm.cleanRaw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506022</v>
      </c>
      <c r="H178" t="str">
        <f>""</f>
        <v/>
      </c>
      <c r="I178" t="str">
        <f>""</f>
        <v/>
      </c>
      <c r="J178" t="str">
        <f t="shared" si="2"/>
        <v>G54;DIR_ESPI_IO_2;;2.7788;25.3517;706022;506022;;</v>
      </c>
    </row>
    <row r="179" spans="1:10">
      <c r="A179" t="s">
        <v>392</v>
      </c>
      <c r="B179" t="str">
        <f>_xlfn.XLOOKUP(A179,SITE1!$V$4:$V$1034,SITE1!$U$4:$U$1034,"")</f>
        <v>DIR_ESPI_RESETB</v>
      </c>
      <c r="C179" t="str" cm="1">
        <f t="array" ref="C179">_xlfn.TEXTJOIN(",",TRUE,_xlfn.UNIQUE(TRANSPOSE(_xlfn.MAP(_xlfn.XLOOKUP(A179,SITE1!$C$4:$C$1034,SITE1!$F$4:$O$1034,""),_xlfn.LAMBDA(_xlpm.x,IF(_xlpm.x&lt;&gt;"",TRIM(CLEAN(LEFT(_xlpm.x,FIND(".",_xlpm.x &amp; ".")-1))),""))))))</f>
        <v/>
      </c>
      <c r="D179">
        <v>2.6974999999999998</v>
      </c>
      <c r="E179">
        <v>25.8521</v>
      </c>
      <c r="F179" t="str">
        <f>_xlfn.LET(_xlpm.raw,_xlfn.XLOOKUP(A179,SITE1!$C$4:$C$1034,SITE1!$E$4:$E$1034),_xlpm.cleanRaw,SUBSTITUTE(SUBSTITUTE(_xlpm.raw,"_PIN","."),"PIN","."),_xlpm.mainPart,MID(_xlpm.cleanRaw,2,FIND(".",_xlpm.cleanRaw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709036</v>
      </c>
      <c r="G179" t="str">
        <f>_xlfn.LET(_xlpm.raw,_xlfn.XLOOKUP(A179,SITE3!$C$4:$C$1034,SITE3!$E$4:$E$1034),_xlpm.cleanRaw,SUBSTITUTE(SUBSTITUTE(_xlpm.raw,"_PIN","."),"PIN","."),_xlpm.mainPart,MID(_xlpm.cleanRaw,2,FIND(".",_xlpm.cleanRaw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509036</v>
      </c>
      <c r="H179" t="str">
        <f>""</f>
        <v/>
      </c>
      <c r="I179" t="str">
        <f>""</f>
        <v/>
      </c>
      <c r="J179" t="str">
        <f t="shared" si="2"/>
        <v>G55;DIR_ESPI_RESETB;;2.6975;25.8521;709036;509036;;</v>
      </c>
    </row>
    <row r="180" spans="1:10">
      <c r="A180" t="s">
        <v>352</v>
      </c>
      <c r="B180" t="str">
        <f>_xlfn.XLOOKUP(A180,SITE1!$V$4:$V$1034,SITE1!$U$4:$U$1034,"")</f>
        <v>DIR_ESPI_ALERTB</v>
      </c>
      <c r="C180" t="str" cm="1">
        <f t="array" ref="C180">_xlfn.TEXTJOIN(",",TRUE,_xlfn.UNIQUE(TRANSPOSE(_xlfn.MAP(_xlfn.XLOOKUP(A180,SITE1!$C$4:$C$1034,SITE1!$F$4:$O$1034,""),_xlfn.LAMBDA(_xlpm.x,IF(_xlpm.x&lt;&gt;"",TRIM(CLEAN(LEFT(_xlpm.x,FIND(".",_xlpm.x &amp; ".")-1))),""))))))</f>
        <v/>
      </c>
      <c r="D180">
        <v>2.7276999999999898</v>
      </c>
      <c r="E180">
        <v>26.354500000000002</v>
      </c>
      <c r="F180" t="str">
        <f>_xlfn.LET(_xlpm.raw,_xlfn.XLOOKUP(A180,SITE1!$C$4:$C$1034,SITE1!$E$4:$E$1034),_xlpm.cleanRaw,SUBSTITUTE(SUBSTITUTE(_xlpm.raw,"_PIN","."),"PIN","."),_xlpm.mainPart,MID(_xlpm.cleanRaw,2,FIND(".",_xlpm.cleanRaw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709012</v>
      </c>
      <c r="G180" t="str">
        <f>_xlfn.LET(_xlpm.raw,_xlfn.XLOOKUP(A180,SITE3!$C$4:$C$1034,SITE3!$E$4:$E$1034),_xlpm.cleanRaw,SUBSTITUTE(SUBSTITUTE(_xlpm.raw,"_PIN","."),"PIN","."),_xlpm.mainPart,MID(_xlpm.cleanRaw,2,FIND(".",_xlpm.cleanRaw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509012</v>
      </c>
      <c r="H180" t="str">
        <f>""</f>
        <v/>
      </c>
      <c r="I180" t="str">
        <f>""</f>
        <v/>
      </c>
      <c r="J180" t="str">
        <f t="shared" si="2"/>
        <v>G56;DIR_ESPI_ALERTB;;2.72769999999999;26.3545;709012;509012;;</v>
      </c>
    </row>
    <row r="181" spans="1:10">
      <c r="A181" t="s">
        <v>3988</v>
      </c>
      <c r="B181" t="str">
        <f>_xlfn.XLOOKUP(A181,SITE1!$V$4:$V$1034,SITE1!$U$4:$U$1034,"")</f>
        <v>VSS</v>
      </c>
      <c r="C181" t="str" cm="1">
        <f t="array" ref="C181">_xlfn.TEXTJOIN(",",TRUE,_xlfn.UNIQUE(TRANSPOSE(_xlfn.MAP(_xlfn.XLOOKUP(A181,SITE1!$C$4:$C$1034,SITE1!$F$4:$O$1034,""),_xlfn.LAMBDA(_xlpm.x,IF(_xlpm.x&lt;&gt;"",TRIM(CLEAN(LEFT(_xlpm.x,FIND(".",_xlpm.x &amp; ".")-1))),""))))))</f>
        <v/>
      </c>
      <c r="D181">
        <v>2.8956</v>
      </c>
      <c r="E181">
        <v>0</v>
      </c>
      <c r="F181" t="str">
        <f>_xlfn.LET(_xlpm.raw,_xlfn.XLOOKUP(A181,SITE1!$C$4:$C$1034,SITE1!$E$4:$E$1034),_xlpm.cleanRaw,SUBSTITUTE(SUBSTITUTE(_xlpm.raw,"_PIN","."),"PIN","."),_xlpm.mainPart,MID(_xlpm.cleanRaw,2,FIND(".",_xlpm.cleanRaw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81" t="str">
        <f>_xlfn.LET(_xlpm.raw,_xlfn.XLOOKUP(A181,SITE3!$C$4:$C$1034,SITE3!$E$4:$E$1034),_xlpm.cleanRaw,SUBSTITUTE(SUBSTITUTE(_xlpm.raw,"_PIN","."),"PIN","."),_xlpm.mainPart,MID(_xlpm.cleanRaw,2,FIND(".",_xlpm.cleanRaw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81" t="str">
        <f>""</f>
        <v/>
      </c>
      <c r="I181" t="str">
        <f>""</f>
        <v/>
      </c>
      <c r="J181" t="str">
        <f t="shared" si="2"/>
        <v>H1;VSS;;2.8956;0;;;;</v>
      </c>
    </row>
    <row r="182" spans="1:10">
      <c r="A182" t="s">
        <v>64</v>
      </c>
      <c r="B182" t="str">
        <f>_xlfn.XLOOKUP(A182,SITE1!$V$4:$V$1034,SITE1!$U$4:$U$1034,"")</f>
        <v>CLKOUT_SRC_N_10</v>
      </c>
      <c r="C182" t="str" cm="1">
        <f t="array" ref="C182">_xlfn.TEXTJOIN(",",TRUE,_xlfn.UNIQUE(TRANSPOSE(_xlfn.MAP(_xlfn.XLOOKUP(A182,SITE1!$C$4:$C$1034,SITE1!$F$4:$O$1034,""),_xlfn.LAMBDA(_xlpm.x,IF(_xlpm.x&lt;&gt;"",TRIM(CLEAN(LEFT(_xlpm.x,FIND(".",_xlpm.x &amp; ".")-1))),""))))))</f>
        <v/>
      </c>
      <c r="D182">
        <v>2.9971999999999901</v>
      </c>
      <c r="E182">
        <v>1.9837</v>
      </c>
      <c r="F182" t="str">
        <f>_xlfn.LET(_xlpm.raw,_xlfn.XLOOKUP(A182,SITE1!$C$4:$C$1034,SITE1!$E$4:$E$1034),_xlpm.cleanRaw,SUBSTITUTE(SUBSTITUTE(_xlpm.raw,"_PIN","."),"PIN","."),_xlpm.mainPart,MID(_xlpm.cleanRaw,2,FIND(".",_xlpm.cleanRaw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609109</v>
      </c>
      <c r="G182" t="str">
        <f>_xlfn.LET(_xlpm.raw,_xlfn.XLOOKUP(A182,SITE3!$C$4:$C$1034,SITE3!$E$4:$E$1034),_xlpm.cleanRaw,SUBSTITUTE(SUBSTITUTE(_xlpm.raw,"_PIN","."),"PIN","."),_xlpm.mainPart,MID(_xlpm.cleanRaw,2,FIND(".",_xlpm.cleanRaw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809109</v>
      </c>
      <c r="H182" t="str">
        <f>""</f>
        <v/>
      </c>
      <c r="I182" t="str">
        <f>""</f>
        <v/>
      </c>
      <c r="J182" t="str">
        <f t="shared" si="2"/>
        <v>H5;CLKOUT_SRC_N_10;;2.99719999999999;1.9837;609109;809109;;</v>
      </c>
    </row>
    <row r="183" spans="1:10">
      <c r="A183" t="s">
        <v>202</v>
      </c>
      <c r="B183" t="str">
        <f>_xlfn.XLOOKUP(A183,SITE1!$V$4:$V$1034,SITE1!$U$4:$U$1034,"")</f>
        <v>CLKOUT_SRC_P_9</v>
      </c>
      <c r="C183" t="str" cm="1">
        <f t="array" ref="C183">_xlfn.TEXTJOIN(",",TRUE,_xlfn.UNIQUE(TRANSPOSE(_xlfn.MAP(_xlfn.XLOOKUP(A183,SITE1!$C$4:$C$1034,SITE1!$F$4:$O$1034,""),_xlfn.LAMBDA(_xlpm.x,IF(_xlpm.x&lt;&gt;"",TRIM(CLEAN(LEFT(_xlpm.x,FIND(".",_xlpm.x &amp; ".")-1))),""))))))</f>
        <v/>
      </c>
      <c r="D183">
        <v>3.09</v>
      </c>
      <c r="E183">
        <v>2.5559999999999898</v>
      </c>
      <c r="F183" t="str">
        <f>_xlfn.LET(_xlpm.raw,_xlfn.XLOOKUP(A183,SITE1!$C$4:$C$1034,SITE1!$E$4:$E$1034),_xlpm.cleanRaw,SUBSTITUTE(SUBSTITUTE(_xlpm.raw,"_PIN","."),"PIN","."),_xlpm.mainPart,MID(_xlpm.cleanRaw,2,FIND(".",_xlpm.cleanRaw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608069</v>
      </c>
      <c r="G183" t="str">
        <f>_xlfn.LET(_xlpm.raw,_xlfn.XLOOKUP(A183,SITE3!$C$4:$C$1034,SITE3!$E$4:$E$1034),_xlpm.cleanRaw,SUBSTITUTE(SUBSTITUTE(_xlpm.raw,"_PIN","."),"PIN","."),_xlpm.mainPart,MID(_xlpm.cleanRaw,2,FIND(".",_xlpm.cleanRaw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808069</v>
      </c>
      <c r="H183" t="str">
        <f>""</f>
        <v/>
      </c>
      <c r="I183" t="str">
        <f>""</f>
        <v/>
      </c>
      <c r="J183" t="str">
        <f t="shared" si="2"/>
        <v>H6;CLKOUT_SRC_P_9;;3.09;2.55599999999999;608069;808069;;</v>
      </c>
    </row>
    <row r="184" spans="1:10">
      <c r="A184" t="s">
        <v>3992</v>
      </c>
      <c r="B184" t="str">
        <f>_xlfn.XLOOKUP(A184,SITE1!$V$4:$V$1034,SITE1!$U$4:$U$1034,"")</f>
        <v>VSS</v>
      </c>
      <c r="C184" t="str" cm="1">
        <f t="array" ref="C184">_xlfn.TEXTJOIN(",",TRUE,_xlfn.UNIQUE(TRANSPOSE(_xlfn.MAP(_xlfn.XLOOKUP(A184,SITE1!$C$4:$C$1034,SITE1!$F$4:$O$1034,""),_xlfn.LAMBDA(_xlpm.x,IF(_xlpm.x&lt;&gt;"",TRIM(CLEAN(LEFT(_xlpm.x,FIND(".",_xlpm.x &amp; ".")-1))),""))))))</f>
        <v/>
      </c>
      <c r="D184">
        <v>3.2276999999999898</v>
      </c>
      <c r="E184">
        <v>3.4655999999999998</v>
      </c>
      <c r="F184" t="str">
        <f>_xlfn.LET(_xlpm.raw,_xlfn.XLOOKUP(A184,SITE1!$C$4:$C$1034,SITE1!$E$4:$E$1034),_xlpm.cleanRaw,SUBSTITUTE(SUBSTITUTE(_xlpm.raw,"_PIN","."),"PIN","."),_xlpm.mainPart,MID(_xlpm.cleanRaw,2,FIND(".",_xlpm.cleanRaw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84" t="str">
        <f>_xlfn.LET(_xlpm.raw,_xlfn.XLOOKUP(A184,SITE3!$C$4:$C$1034,SITE3!$E$4:$E$1034),_xlpm.cleanRaw,SUBSTITUTE(SUBSTITUTE(_xlpm.raw,"_PIN","."),"PIN","."),_xlpm.mainPart,MID(_xlpm.cleanRaw,2,FIND(".",_xlpm.cleanRaw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84" t="str">
        <f>""</f>
        <v/>
      </c>
      <c r="I184" t="str">
        <f>""</f>
        <v/>
      </c>
      <c r="J184" t="str">
        <f t="shared" si="2"/>
        <v>H8;VSS;;3.22769999999999;3.4656;;;;</v>
      </c>
    </row>
    <row r="185" spans="1:10">
      <c r="A185" t="s">
        <v>3074</v>
      </c>
      <c r="B185" t="str">
        <f>_xlfn.XLOOKUP(A185,SITE1!$V$4:$V$1034,SITE1!$U$4:$U$1034,"")</f>
        <v>USB2P_12</v>
      </c>
      <c r="C185" t="str" cm="1">
        <f t="array" ref="C185">_xlfn.TEXTJOIN(",",TRUE,_xlfn.UNIQUE(TRANSPOSE(_xlfn.MAP(_xlfn.XLOOKUP(A185,SITE1!$C$4:$C$1034,SITE1!$F$4:$O$1034,""),_xlfn.LAMBDA(_xlpm.x,IF(_xlpm.x&lt;&gt;"",TRIM(CLEAN(LEFT(_xlpm.x,FIND(".",_xlpm.x &amp; ".")-1))),""))))))</f>
        <v/>
      </c>
      <c r="D185">
        <v>3.0247999999999902</v>
      </c>
      <c r="E185">
        <v>4.5552999999999901</v>
      </c>
      <c r="F185" t="str">
        <f>_xlfn.LET(_xlpm.raw,_xlfn.XLOOKUP(A185,SITE1!$C$4:$C$1034,SITE1!$E$4:$E$1034),_xlpm.cleanRaw,SUBSTITUTE(SUBSTITUTE(_xlpm.raw,"_PIN","."),"PIN","."),_xlpm.mainPart,MID(_xlpm.cleanRaw,2,FIND(".",_xlpm.cleanRaw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604014</v>
      </c>
      <c r="G185" t="str">
        <f>_xlfn.LET(_xlpm.raw,_xlfn.XLOOKUP(A185,SITE3!$C$4:$C$1034,SITE3!$E$4:$E$1034),_xlpm.cleanRaw,SUBSTITUTE(SUBSTITUTE(_xlpm.raw,"_PIN","."),"PIN","."),_xlpm.mainPart,MID(_xlpm.cleanRaw,2,FIND(".",_xlpm.cleanRaw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804014</v>
      </c>
      <c r="H185" t="str">
        <f>""</f>
        <v/>
      </c>
      <c r="I185" t="str">
        <f>""</f>
        <v/>
      </c>
      <c r="J185" t="str">
        <f t="shared" si="2"/>
        <v>H10;USB2P_12;;3.02479999999999;4.55529999999999;604014;804014;;</v>
      </c>
    </row>
    <row r="186" spans="1:10">
      <c r="A186" t="s">
        <v>2988</v>
      </c>
      <c r="B186" t="str">
        <f>_xlfn.XLOOKUP(A186,SITE1!$V$4:$V$1034,SITE1!$U$4:$U$1034,"")</f>
        <v>USB2N_11</v>
      </c>
      <c r="C186" t="str" cm="1">
        <f t="array" ref="C186">_xlfn.TEXTJOIN(",",TRUE,_xlfn.UNIQUE(TRANSPOSE(_xlfn.MAP(_xlfn.XLOOKUP(A186,SITE1!$C$4:$C$1034,SITE1!$F$4:$O$1034,""),_xlfn.LAMBDA(_xlpm.x,IF(_xlpm.x&lt;&gt;"",TRIM(CLEAN(LEFT(_xlpm.x,FIND(".",_xlpm.x &amp; ".")-1))),""))))))</f>
        <v/>
      </c>
      <c r="D186">
        <v>3.1037999999999899</v>
      </c>
      <c r="E186">
        <v>5.7999000000000001</v>
      </c>
      <c r="F186" t="str">
        <f>_xlfn.LET(_xlpm.raw,_xlfn.XLOOKUP(A186,SITE1!$C$4:$C$1034,SITE1!$E$4:$E$1034),_xlpm.cleanRaw,SUBSTITUTE(SUBSTITUTE(_xlpm.raw,"_PIN","."),"PIN","."),_xlpm.mainPart,MID(_xlpm.cleanRaw,2,FIND(".",_xlpm.cleanRaw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605075</v>
      </c>
      <c r="G186" t="str">
        <f>_xlfn.LET(_xlpm.raw,_xlfn.XLOOKUP(A186,SITE3!$C$4:$C$1034,SITE3!$E$4:$E$1034),_xlpm.cleanRaw,SUBSTITUTE(SUBSTITUTE(_xlpm.raw,"_PIN","."),"PIN","."),_xlpm.mainPart,MID(_xlpm.cleanRaw,2,FIND(".",_xlpm.cleanRaw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805075</v>
      </c>
      <c r="H186" t="str">
        <f>""</f>
        <v/>
      </c>
      <c r="I186" t="str">
        <f>""</f>
        <v/>
      </c>
      <c r="J186" t="str">
        <f t="shared" si="2"/>
        <v>H13;USB2N_11;;3.10379999999999;5.7999;605075;805075;;</v>
      </c>
    </row>
    <row r="187" spans="1:10">
      <c r="A187" t="s">
        <v>3054</v>
      </c>
      <c r="B187" t="str">
        <f>_xlfn.XLOOKUP(A187,SITE1!$V$4:$V$1034,SITE1!$U$4:$U$1034,"")</f>
        <v>USB2N_9</v>
      </c>
      <c r="C187" t="str" cm="1">
        <f t="array" ref="C187">_xlfn.TEXTJOIN(",",TRUE,_xlfn.UNIQUE(TRANSPOSE(_xlfn.MAP(_xlfn.XLOOKUP(A187,SITE1!$C$4:$C$1034,SITE1!$F$4:$O$1034,""),_xlfn.LAMBDA(_xlpm.x,IF(_xlpm.x&lt;&gt;"",TRIM(CLEAN(LEFT(_xlpm.x,FIND(".",_xlpm.x &amp; ".")-1))),""))))))</f>
        <v/>
      </c>
      <c r="D187">
        <v>3.1418999999999899</v>
      </c>
      <c r="E187">
        <v>6.9844999999999997</v>
      </c>
      <c r="F187" t="str">
        <f>_xlfn.LET(_xlpm.raw,_xlfn.XLOOKUP(A187,SITE1!$C$4:$C$1034,SITE1!$E$4:$E$1034),_xlpm.cleanRaw,SUBSTITUTE(SUBSTITUTE(_xlpm.raw,"_PIN","."),"PIN","."),_xlpm.mainPart,MID(_xlpm.cleanRaw,2,FIND(".",_xlpm.cleanRaw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605060</v>
      </c>
      <c r="G187" t="str">
        <f>_xlfn.LET(_xlpm.raw,_xlfn.XLOOKUP(A187,SITE3!$C$4:$C$1034,SITE3!$E$4:$E$1034),_xlpm.cleanRaw,SUBSTITUTE(SUBSTITUTE(_xlpm.raw,"_PIN","."),"PIN","."),_xlpm.mainPart,MID(_xlpm.cleanRaw,2,FIND(".",_xlpm.cleanRaw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805060</v>
      </c>
      <c r="H187" t="str">
        <f>""</f>
        <v/>
      </c>
      <c r="I187" t="str">
        <f>""</f>
        <v/>
      </c>
      <c r="J187" t="str">
        <f t="shared" si="2"/>
        <v>H15;USB2N_9;;3.14189999999999;6.9845;605060;805060;;</v>
      </c>
    </row>
    <row r="188" spans="1:10">
      <c r="A188" t="s">
        <v>3989</v>
      </c>
      <c r="B188" t="str">
        <f>_xlfn.XLOOKUP(A188,SITE1!$V$4:$V$1034,SITE1!$U$4:$U$1034,"")</f>
        <v>VSS</v>
      </c>
      <c r="C188" t="str" cm="1">
        <f t="array" ref="C188">_xlfn.TEXTJOIN(",",TRUE,_xlfn.UNIQUE(TRANSPOSE(_xlfn.MAP(_xlfn.XLOOKUP(A188,SITE1!$C$4:$C$1034,SITE1!$F$4:$O$1034,""),_xlfn.LAMBDA(_xlpm.x,IF(_xlpm.x&lt;&gt;"",TRIM(CLEAN(LEFT(_xlpm.x,FIND(".",_xlpm.x &amp; ".")-1))),""))))))</f>
        <v/>
      </c>
      <c r="D188">
        <v>3.1525999999999899</v>
      </c>
      <c r="E188">
        <v>22.451699999999999</v>
      </c>
      <c r="F188" t="str">
        <f>_xlfn.LET(_xlpm.raw,_xlfn.XLOOKUP(A188,SITE1!$C$4:$C$1034,SITE1!$E$4:$E$1034),_xlpm.cleanRaw,SUBSTITUTE(SUBSTITUTE(_xlpm.raw,"_PIN","."),"PIN","."),_xlpm.mainPart,MID(_xlpm.cleanRaw,2,FIND(".",_xlpm.cleanRaw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88" t="str">
        <f>_xlfn.LET(_xlpm.raw,_xlfn.XLOOKUP(A188,SITE3!$C$4:$C$1034,SITE3!$E$4:$E$1034),_xlpm.cleanRaw,SUBSTITUTE(SUBSTITUTE(_xlpm.raw,"_PIN","."),"PIN","."),_xlpm.mainPart,MID(_xlpm.cleanRaw,2,FIND(".",_xlpm.cleanRaw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88" t="str">
        <f>""</f>
        <v/>
      </c>
      <c r="I188" t="str">
        <f>""</f>
        <v/>
      </c>
      <c r="J188" t="str">
        <f t="shared" si="2"/>
        <v>H48;VSS;;3.15259999999999;22.4517;;;;</v>
      </c>
    </row>
    <row r="189" spans="1:10">
      <c r="A189" t="s">
        <v>3990</v>
      </c>
      <c r="B189" t="str">
        <f>_xlfn.XLOOKUP(A189,SITE1!$V$4:$V$1034,SITE1!$U$4:$U$1034,"")</f>
        <v>VSS</v>
      </c>
      <c r="C189" t="str" cm="1">
        <f t="array" ref="C189">_xlfn.TEXTJOIN(",",TRUE,_xlfn.UNIQUE(TRANSPOSE(_xlfn.MAP(_xlfn.XLOOKUP(A189,SITE1!$C$4:$C$1034,SITE1!$F$4:$O$1034,""),_xlfn.LAMBDA(_xlpm.x,IF(_xlpm.x&lt;&gt;"",TRIM(CLEAN(LEFT(_xlpm.x,FIND(".",_xlpm.x &amp; ".")-1))),""))))))</f>
        <v/>
      </c>
      <c r="D189">
        <v>3.09</v>
      </c>
      <c r="E189">
        <v>24.322199999999999</v>
      </c>
      <c r="F189" t="str">
        <f>_xlfn.LET(_xlpm.raw,_xlfn.XLOOKUP(A189,SITE1!$C$4:$C$1034,SITE1!$E$4:$E$1034),_xlpm.cleanRaw,SUBSTITUTE(SUBSTITUTE(_xlpm.raw,"_PIN","."),"PIN","."),_xlpm.mainPart,MID(_xlpm.cleanRaw,2,FIND(".",_xlpm.cleanRaw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89" t="str">
        <f>_xlfn.LET(_xlpm.raw,_xlfn.XLOOKUP(A189,SITE3!$C$4:$C$1034,SITE3!$E$4:$E$1034),_xlpm.cleanRaw,SUBSTITUTE(SUBSTITUTE(_xlpm.raw,"_PIN","."),"PIN","."),_xlpm.mainPart,MID(_xlpm.cleanRaw,2,FIND(".",_xlpm.cleanRaw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89" t="str">
        <f>""</f>
        <v/>
      </c>
      <c r="I189" t="str">
        <f>""</f>
        <v/>
      </c>
      <c r="J189" t="str">
        <f t="shared" si="2"/>
        <v>H52;VSS;;3.09;24.3222;;;;</v>
      </c>
    </row>
    <row r="190" spans="1:10">
      <c r="A190" t="s">
        <v>2788</v>
      </c>
      <c r="B190" t="str">
        <f>_xlfn.XLOOKUP(A190,SITE1!$V$4:$V$1034,SITE1!$U$4:$U$1034,"")</f>
        <v>PWRBTNB_OUT</v>
      </c>
      <c r="C190" t="str" cm="1">
        <f t="array" ref="C190">_xlfn.TEXTJOIN(",",TRUE,_xlfn.UNIQUE(TRANSPOSE(_xlfn.MAP(_xlfn.XLOOKUP(A190,SITE1!$C$4:$C$1034,SITE1!$F$4:$O$1034,""),_xlfn.LAMBDA(_xlpm.x,IF(_xlpm.x&lt;&gt;"",TRIM(CLEAN(LEFT(_xlpm.x,FIND(".",_xlpm.x &amp; ".")-1))),""))))))</f>
        <v/>
      </c>
      <c r="D190">
        <v>2.9971999999999901</v>
      </c>
      <c r="E190">
        <v>24.894500000000001</v>
      </c>
      <c r="F190" t="str">
        <f>_xlfn.LET(_xlpm.raw,_xlfn.XLOOKUP(A190,SITE1!$C$4:$C$1034,SITE1!$E$4:$E$1034),_xlpm.cleanRaw,SUBSTITUTE(SUBSTITUTE(_xlpm.raw,"_PIN","."),"PIN","."),_xlpm.mainPart,MID(_xlpm.cleanRaw,2,FIND(".",_xlpm.cleanRaw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709038</v>
      </c>
      <c r="G190" t="str">
        <f>_xlfn.LET(_xlpm.raw,_xlfn.XLOOKUP(A190,SITE3!$C$4:$C$1034,SITE3!$E$4:$E$1034),_xlpm.cleanRaw,SUBSTITUTE(SUBSTITUTE(_xlpm.raw,"_PIN","."),"PIN","."),_xlpm.mainPart,MID(_xlpm.cleanRaw,2,FIND(".",_xlpm.cleanRaw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509038</v>
      </c>
      <c r="H190" t="str">
        <f>""</f>
        <v/>
      </c>
      <c r="I190" t="str">
        <f>""</f>
        <v/>
      </c>
      <c r="J190" t="str">
        <f t="shared" si="2"/>
        <v>H53;PWRBTNB_OUT;;2.99719999999999;24.8945;709038;509038;;</v>
      </c>
    </row>
    <row r="191" spans="1:10">
      <c r="A191" t="s">
        <v>3991</v>
      </c>
      <c r="B191" t="str">
        <f>_xlfn.XLOOKUP(A191,SITE1!$V$4:$V$1034,SITE1!$U$4:$U$1034,"")</f>
        <v>VSS</v>
      </c>
      <c r="C191" t="str" cm="1">
        <f t="array" ref="C191">_xlfn.TEXTJOIN(",",TRUE,_xlfn.UNIQUE(TRANSPOSE(_xlfn.MAP(_xlfn.XLOOKUP(A191,SITE1!$C$4:$C$1034,SITE1!$F$4:$O$1034,""),_xlfn.LAMBDA(_xlpm.x,IF(_xlpm.x&lt;&gt;"",TRIM(CLEAN(LEFT(_xlpm.x,FIND(".",_xlpm.x &amp; ".")-1))),""))))))</f>
        <v/>
      </c>
      <c r="D191">
        <v>2.8956</v>
      </c>
      <c r="E191">
        <v>26.8782</v>
      </c>
      <c r="F191" t="str">
        <f>_xlfn.LET(_xlpm.raw,_xlfn.XLOOKUP(A191,SITE1!$C$4:$C$1034,SITE1!$E$4:$E$1034),_xlpm.cleanRaw,SUBSTITUTE(SUBSTITUTE(_xlpm.raw,"_PIN","."),"PIN","."),_xlpm.mainPart,MID(_xlpm.cleanRaw,2,FIND(".",_xlpm.cleanRaw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91" t="str">
        <f>_xlfn.LET(_xlpm.raw,_xlfn.XLOOKUP(A191,SITE3!$C$4:$C$1034,SITE3!$E$4:$E$1034),_xlpm.cleanRaw,SUBSTITUTE(SUBSTITUTE(_xlpm.raw,"_PIN","."),"PIN","."),_xlpm.mainPart,MID(_xlpm.cleanRaw,2,FIND(".",_xlpm.cleanRaw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91" t="str">
        <f>""</f>
        <v/>
      </c>
      <c r="I191" t="str">
        <f>""</f>
        <v/>
      </c>
      <c r="J191" t="str">
        <f t="shared" si="2"/>
        <v>H57;VSS;;2.8956;26.8782;;;;</v>
      </c>
    </row>
    <row r="192" spans="1:10">
      <c r="A192" t="s">
        <v>90</v>
      </c>
      <c r="B192" t="str">
        <f>_xlfn.XLOOKUP(A192,SITE1!$V$4:$V$1034,SITE1!$U$4:$U$1034,"")</f>
        <v>CLKOUT_SRC_N_2</v>
      </c>
      <c r="C192" t="str" cm="1">
        <f t="array" ref="C192">_xlfn.TEXTJOIN(",",TRUE,_xlfn.UNIQUE(TRANSPOSE(_xlfn.MAP(_xlfn.XLOOKUP(A192,SITE1!$C$4:$C$1034,SITE1!$F$4:$O$1034,""),_xlfn.LAMBDA(_xlpm.x,IF(_xlpm.x&lt;&gt;"",TRIM(CLEAN(LEFT(_xlpm.x,FIND(".",_xlpm.x &amp; ".")-1))),""))))))</f>
        <v/>
      </c>
      <c r="D192">
        <v>3.4058999999999999</v>
      </c>
      <c r="E192">
        <v>0.65259999999999896</v>
      </c>
      <c r="F192" t="str">
        <f>_xlfn.LET(_xlpm.raw,_xlfn.XLOOKUP(A192,SITE1!$C$4:$C$1034,SITE1!$E$4:$E$1034),_xlpm.cleanRaw,SUBSTITUTE(SUBSTITUTE(_xlpm.raw,"_PIN","."),"PIN","."),_xlpm.mainPart,MID(_xlpm.cleanRaw,2,FIND(".",_xlpm.cleanRaw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608062</v>
      </c>
      <c r="G192" t="str">
        <f>_xlfn.LET(_xlpm.raw,_xlfn.XLOOKUP(A192,SITE3!$C$4:$C$1034,SITE3!$E$4:$E$1034),_xlpm.cleanRaw,SUBSTITUTE(SUBSTITUTE(_xlpm.raw,"_PIN","."),"PIN","."),_xlpm.mainPart,MID(_xlpm.cleanRaw,2,FIND(".",_xlpm.cleanRaw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808062</v>
      </c>
      <c r="H192" t="str">
        <f>""</f>
        <v/>
      </c>
      <c r="I192" t="str">
        <f>""</f>
        <v/>
      </c>
      <c r="J192" t="str">
        <f t="shared" si="2"/>
        <v>J2;CLKOUT_SRC_N_2;;3.4059;0.652599999999999;608062;808062;;</v>
      </c>
    </row>
    <row r="193" spans="1:10">
      <c r="A193" t="s">
        <v>167</v>
      </c>
      <c r="B193" t="str">
        <f>_xlfn.XLOOKUP(A193,SITE1!$V$4:$V$1034,SITE1!$U$4:$U$1034,"")</f>
        <v>CLKOUT_SRC_P_2</v>
      </c>
      <c r="C193" t="str" cm="1">
        <f t="array" ref="C193">_xlfn.TEXTJOIN(",",TRUE,_xlfn.UNIQUE(TRANSPOSE(_xlfn.MAP(_xlfn.XLOOKUP(A193,SITE1!$C$4:$C$1034,SITE1!$F$4:$O$1034,""),_xlfn.LAMBDA(_xlpm.x,IF(_xlpm.x&lt;&gt;"",TRIM(CLEAN(LEFT(_xlpm.x,FIND(".",_xlpm.x &amp; ".")-1))),""))))))</f>
        <v/>
      </c>
      <c r="D193">
        <v>3.4058999999999999</v>
      </c>
      <c r="E193">
        <v>1.15339999999999</v>
      </c>
      <c r="F193" t="str">
        <f>_xlfn.LET(_xlpm.raw,_xlfn.XLOOKUP(A193,SITE1!$C$4:$C$1034,SITE1!$E$4:$E$1034),_xlpm.cleanRaw,SUBSTITUTE(SUBSTITUTE(_xlpm.raw,"_PIN","."),"PIN","."),_xlpm.mainPart,MID(_xlpm.cleanRaw,2,FIND(".",_xlpm.cleanRaw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608060</v>
      </c>
      <c r="G193" t="str">
        <f>_xlfn.LET(_xlpm.raw,_xlfn.XLOOKUP(A193,SITE3!$C$4:$C$1034,SITE3!$E$4:$E$1034),_xlpm.cleanRaw,SUBSTITUTE(SUBSTITUTE(_xlpm.raw,"_PIN","."),"PIN","."),_xlpm.mainPart,MID(_xlpm.cleanRaw,2,FIND(".",_xlpm.cleanRaw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808060</v>
      </c>
      <c r="H193" t="str">
        <f>""</f>
        <v/>
      </c>
      <c r="I193" t="str">
        <f>""</f>
        <v/>
      </c>
      <c r="J193" t="str">
        <f t="shared" si="2"/>
        <v>J3;CLKOUT_SRC_P_2;;3.4059;1.15339999999999;608060;808060;;</v>
      </c>
    </row>
    <row r="194" spans="1:10">
      <c r="A194" t="s">
        <v>131</v>
      </c>
      <c r="B194" t="str">
        <f>_xlfn.XLOOKUP(A194,SITE1!$V$4:$V$1034,SITE1!$U$4:$U$1034,"")</f>
        <v>CLKOUT_SRC_N_9</v>
      </c>
      <c r="C194" t="str" cm="1">
        <f t="array" ref="C194">_xlfn.TEXTJOIN(",",TRUE,_xlfn.UNIQUE(TRANSPOSE(_xlfn.MAP(_xlfn.XLOOKUP(A194,SITE1!$C$4:$C$1034,SITE1!$F$4:$O$1034,""),_xlfn.LAMBDA(_xlpm.x,IF(_xlpm.x&lt;&gt;"",TRIM(CLEAN(LEFT(_xlpm.x,FIND(".",_xlpm.x &amp; ".")-1))),""))))))</f>
        <v/>
      </c>
      <c r="D194">
        <v>3.4484999999999899</v>
      </c>
      <c r="E194">
        <v>2.9894999999999898</v>
      </c>
      <c r="F194" t="str">
        <f>_xlfn.LET(_xlpm.raw,_xlfn.XLOOKUP(A194,SITE1!$C$4:$C$1034,SITE1!$E$4:$E$1034),_xlpm.cleanRaw,SUBSTITUTE(SUBSTITUTE(_xlpm.raw,"_PIN","."),"PIN","."),_xlpm.mainPart,MID(_xlpm.cleanRaw,2,FIND(".",_xlpm.cleanRaw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608067</v>
      </c>
      <c r="G194" t="str">
        <f>_xlfn.LET(_xlpm.raw,_xlfn.XLOOKUP(A194,SITE3!$C$4:$C$1034,SITE3!$E$4:$E$1034),_xlpm.cleanRaw,SUBSTITUTE(SUBSTITUTE(_xlpm.raw,"_PIN","."),"PIN","."),_xlpm.mainPart,MID(_xlpm.cleanRaw,2,FIND(".",_xlpm.cleanRaw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808067</v>
      </c>
      <c r="H194" t="str">
        <f>""</f>
        <v/>
      </c>
      <c r="I194" t="str">
        <f>""</f>
        <v/>
      </c>
      <c r="J194" t="str">
        <f t="shared" ref="J194:J257" si="3">A194&amp;";"&amp;B194&amp;";"&amp;C194&amp;";"&amp;D194&amp;";"&amp;E194&amp;";"&amp;F194&amp;";"&amp;G194&amp;";"&amp;H194&amp;";"&amp;I194</f>
        <v>J7;CLKOUT_SRC_N_9;;3.44849999999999;2.98949999999999;608067;808067;;</v>
      </c>
    </row>
    <row r="195" spans="1:10">
      <c r="A195" t="s">
        <v>4004</v>
      </c>
      <c r="B195" t="str">
        <f>_xlfn.XLOOKUP(A195,SITE1!$V$4:$V$1034,SITE1!$U$4:$U$1034,"")</f>
        <v>VSS</v>
      </c>
      <c r="C195" t="str" cm="1">
        <f t="array" ref="C195">_xlfn.TEXTJOIN(",",TRUE,_xlfn.UNIQUE(TRANSPOSE(_xlfn.MAP(_xlfn.XLOOKUP(A195,SITE1!$C$4:$C$1034,SITE1!$F$4:$O$1034,""),_xlfn.LAMBDA(_xlpm.x,IF(_xlpm.x&lt;&gt;"",TRIM(CLEAN(LEFT(_xlpm.x,FIND(".",_xlpm.x &amp; ".")-1))),""))))))</f>
        <v/>
      </c>
      <c r="D195">
        <v>3.7328999999999999</v>
      </c>
      <c r="E195">
        <v>3.7035</v>
      </c>
      <c r="F195" t="str">
        <f>_xlfn.LET(_xlpm.raw,_xlfn.XLOOKUP(A195,SITE1!$C$4:$C$1034,SITE1!$E$4:$E$1034),_xlpm.cleanRaw,SUBSTITUTE(SUBSTITUTE(_xlpm.raw,"_PIN","."),"PIN","."),_xlpm.mainPart,MID(_xlpm.cleanRaw,2,FIND(".",_xlpm.cleanRaw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95" t="str">
        <f>_xlfn.LET(_xlpm.raw,_xlfn.XLOOKUP(A195,SITE3!$C$4:$C$1034,SITE3!$E$4:$E$1034),_xlpm.cleanRaw,SUBSTITUTE(SUBSTITUTE(_xlpm.raw,"_PIN","."),"PIN","."),_xlpm.mainPart,MID(_xlpm.cleanRaw,2,FIND(".",_xlpm.cleanRaw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95" t="str">
        <f>""</f>
        <v/>
      </c>
      <c r="I195" t="str">
        <f>""</f>
        <v/>
      </c>
      <c r="J195" t="str">
        <f t="shared" si="3"/>
        <v>J9;VSS;;3.7329;3.7035;;;;</v>
      </c>
    </row>
    <row r="196" spans="1:10">
      <c r="A196" t="s">
        <v>3993</v>
      </c>
      <c r="B196" t="str">
        <f>_xlfn.XLOOKUP(A196,SITE1!$V$4:$V$1034,SITE1!$U$4:$U$1034,"")</f>
        <v>VSS</v>
      </c>
      <c r="C196" t="str" cm="1">
        <f t="array" ref="C196">_xlfn.TEXTJOIN(",",TRUE,_xlfn.UNIQUE(TRANSPOSE(_xlfn.MAP(_xlfn.XLOOKUP(A196,SITE1!$C$4:$C$1034,SITE1!$F$4:$O$1034,""),_xlfn.LAMBDA(_xlpm.x,IF(_xlpm.x&lt;&gt;"",TRIM(CLEAN(LEFT(_xlpm.x,FIND(".",_xlpm.x &amp; ".")-1))),""))))))</f>
        <v/>
      </c>
      <c r="D196">
        <v>3.6358999999999901</v>
      </c>
      <c r="E196">
        <v>4.9408999999999903</v>
      </c>
      <c r="F196" t="str">
        <f>_xlfn.LET(_xlpm.raw,_xlfn.XLOOKUP(A196,SITE1!$C$4:$C$1034,SITE1!$E$4:$E$1034),_xlpm.cleanRaw,SUBSTITUTE(SUBSTITUTE(_xlpm.raw,"_PIN","."),"PIN","."),_xlpm.mainPart,MID(_xlpm.cleanRaw,2,FIND(".",_xlpm.cleanRaw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96" t="str">
        <f>_xlfn.LET(_xlpm.raw,_xlfn.XLOOKUP(A196,SITE3!$C$4:$C$1034,SITE3!$E$4:$E$1034),_xlpm.cleanRaw,SUBSTITUTE(SUBSTITUTE(_xlpm.raw,"_PIN","."),"PIN","."),_xlpm.mainPart,MID(_xlpm.cleanRaw,2,FIND(".",_xlpm.cleanRaw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96" t="str">
        <f>""</f>
        <v/>
      </c>
      <c r="I196" t="str">
        <f>""</f>
        <v/>
      </c>
      <c r="J196" t="str">
        <f t="shared" si="3"/>
        <v>J11;VSS;;3.63589999999999;4.94089999999999;;;;</v>
      </c>
    </row>
    <row r="197" spans="1:10">
      <c r="A197" t="s">
        <v>2982</v>
      </c>
      <c r="B197" t="str">
        <f>_xlfn.XLOOKUP(A197,SITE1!$V$4:$V$1034,SITE1!$U$4:$U$1034,"")</f>
        <v>USB2N_10</v>
      </c>
      <c r="C197" t="str" cm="1">
        <f t="array" ref="C197">_xlfn.TEXTJOIN(",",TRUE,_xlfn.UNIQUE(TRANSPOSE(_xlfn.MAP(_xlfn.XLOOKUP(A197,SITE1!$C$4:$C$1034,SITE1!$F$4:$O$1034,""),_xlfn.LAMBDA(_xlpm.x,IF(_xlpm.x&lt;&gt;"",TRIM(CLEAN(LEFT(_xlpm.x,FIND(".",_xlpm.x &amp; ".")-1))),""))))))</f>
        <v/>
      </c>
      <c r="D197">
        <v>3.7208999999999901</v>
      </c>
      <c r="E197">
        <v>6.1604999999999999</v>
      </c>
      <c r="F197" t="str">
        <f>_xlfn.LET(_xlpm.raw,_xlfn.XLOOKUP(A197,SITE1!$C$4:$C$1034,SITE1!$E$4:$E$1034),_xlpm.cleanRaw,SUBSTITUTE(SUBSTITUTE(_xlpm.raw,"_PIN","."),"PIN","."),_xlpm.mainPart,MID(_xlpm.cleanRaw,2,FIND(".",_xlpm.cleanRaw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605076</v>
      </c>
      <c r="G197" t="str">
        <f>_xlfn.LET(_xlpm.raw,_xlfn.XLOOKUP(A197,SITE3!$C$4:$C$1034,SITE3!$E$4:$E$1034),_xlpm.cleanRaw,SUBSTITUTE(SUBSTITUTE(_xlpm.raw,"_PIN","."),"PIN","."),_xlpm.mainPart,MID(_xlpm.cleanRaw,2,FIND(".",_xlpm.cleanRaw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805076</v>
      </c>
      <c r="H197" t="str">
        <f>""</f>
        <v/>
      </c>
      <c r="I197" t="str">
        <f>""</f>
        <v/>
      </c>
      <c r="J197" t="str">
        <f t="shared" si="3"/>
        <v>J14;USB2N_10;;3.72089999999999;6.1605;605076;805076;;</v>
      </c>
    </row>
    <row r="198" spans="1:10">
      <c r="A198" t="s">
        <v>3994</v>
      </c>
      <c r="B198" t="str">
        <f>_xlfn.XLOOKUP(A198,SITE1!$V$4:$V$1034,SITE1!$U$4:$U$1034,"")</f>
        <v>VSS</v>
      </c>
      <c r="C198" t="str" cm="1">
        <f t="array" ref="C198">_xlfn.TEXTJOIN(",",TRUE,_xlfn.UNIQUE(TRANSPOSE(_xlfn.MAP(_xlfn.XLOOKUP(A198,SITE1!$C$4:$C$1034,SITE1!$F$4:$O$1034,""),_xlfn.LAMBDA(_xlpm.x,IF(_xlpm.x&lt;&gt;"",TRIM(CLEAN(LEFT(_xlpm.x,FIND(".",_xlpm.x &amp; ".")-1))),""))))))</f>
        <v/>
      </c>
      <c r="D198">
        <v>3.4825999999999899</v>
      </c>
      <c r="E198">
        <v>7.4349999999999996</v>
      </c>
      <c r="F198" t="str">
        <f>_xlfn.LET(_xlpm.raw,_xlfn.XLOOKUP(A198,SITE1!$C$4:$C$1034,SITE1!$E$4:$E$1034),_xlpm.cleanRaw,SUBSTITUTE(SUBSTITUTE(_xlpm.raw,"_PIN","."),"PIN","."),_xlpm.mainPart,MID(_xlpm.cleanRaw,2,FIND(".",_xlpm.cleanRaw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98" t="str">
        <f>_xlfn.LET(_xlpm.raw,_xlfn.XLOOKUP(A198,SITE3!$C$4:$C$1034,SITE3!$E$4:$E$1034),_xlpm.cleanRaw,SUBSTITUTE(SUBSTITUTE(_xlpm.raw,"_PIN","."),"PIN","."),_xlpm.mainPart,MID(_xlpm.cleanRaw,2,FIND(".",_xlpm.cleanRaw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98" t="str">
        <f>""</f>
        <v/>
      </c>
      <c r="I198" t="str">
        <f>""</f>
        <v/>
      </c>
      <c r="J198" t="str">
        <f t="shared" si="3"/>
        <v>J16;VSS;;3.48259999999999;7.435;;;;</v>
      </c>
    </row>
    <row r="199" spans="1:10">
      <c r="A199" t="s">
        <v>3294</v>
      </c>
      <c r="B199" t="str">
        <f>_xlfn.XLOOKUP(A199,SITE1!$V$4:$V$1034,SITE1!$U$4:$U$1034,"")</f>
        <v>USB31_4_RXP</v>
      </c>
      <c r="C199" t="str" cm="1">
        <f t="array" ref="C199">_xlfn.TEXTJOIN(",",TRUE,_xlfn.UNIQUE(TRANSPOSE(_xlfn.MAP(_xlfn.XLOOKUP(A199,SITE1!$C$4:$C$1034,SITE1!$F$4:$O$1034,""),_xlfn.LAMBDA(_xlpm.x,IF(_xlpm.x&lt;&gt;"",TRIM(CLEAN(LEFT(_xlpm.x,FIND(".",_xlpm.x &amp; ".")-1))),""))))))</f>
        <v>CA207,LA214</v>
      </c>
      <c r="D199">
        <v>3.4825999999999899</v>
      </c>
      <c r="E199">
        <v>8.8066999999999993</v>
      </c>
      <c r="F199" t="str">
        <f>_xlfn.LET(_xlpm.raw,_xlfn.XLOOKUP(A199,SITE1!$C$4:$C$1034,SITE1!$E$4:$E$1034),_xlpm.cleanRaw,SUBSTITUTE(SUBSTITUTE(_xlpm.raw,"_PIN","."),"PIN","."),_xlpm.mainPart,MID(_xlpm.cleanRaw,2,FIND(".",_xlpm.cleanRaw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606113</v>
      </c>
      <c r="G199" t="str">
        <f>_xlfn.LET(_xlpm.raw,_xlfn.XLOOKUP(A199,SITE3!$C$4:$C$1034,SITE3!$E$4:$E$1034),_xlpm.cleanRaw,SUBSTITUTE(SUBSTITUTE(_xlpm.raw,"_PIN","."),"PIN","."),_xlpm.mainPart,MID(_xlpm.cleanRaw,2,FIND(".",_xlpm.cleanRaw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806113</v>
      </c>
      <c r="H199" t="str">
        <f>""</f>
        <v/>
      </c>
      <c r="I199" t="str">
        <f>""</f>
        <v/>
      </c>
      <c r="J199" t="str">
        <f t="shared" si="3"/>
        <v>J19;USB31_4_RXP;CA207,LA214;3.48259999999999;8.8067;606113;806113;;</v>
      </c>
    </row>
    <row r="200" spans="1:10">
      <c r="A200" t="s">
        <v>3995</v>
      </c>
      <c r="B200" t="str">
        <f>_xlfn.XLOOKUP(A200,SITE1!$V$4:$V$1034,SITE1!$U$4:$U$1034,"")</f>
        <v>VSS</v>
      </c>
      <c r="C200" t="str" cm="1">
        <f t="array" ref="C200">_xlfn.TEXTJOIN(",",TRUE,_xlfn.UNIQUE(TRANSPOSE(_xlfn.MAP(_xlfn.XLOOKUP(A200,SITE1!$C$4:$C$1034,SITE1!$F$4:$O$1034,""),_xlfn.LAMBDA(_xlpm.x,IF(_xlpm.x&lt;&gt;"",TRIM(CLEAN(LEFT(_xlpm.x,FIND(".",_xlpm.x &amp; ".")-1))),""))))))</f>
        <v/>
      </c>
      <c r="D200">
        <v>3.4825999999999899</v>
      </c>
      <c r="E200">
        <v>10.164</v>
      </c>
      <c r="F200" t="str">
        <f>_xlfn.LET(_xlpm.raw,_xlfn.XLOOKUP(A200,SITE1!$C$4:$C$1034,SITE1!$E$4:$E$1034),_xlpm.cleanRaw,SUBSTITUTE(SUBSTITUTE(_xlpm.raw,"_PIN","."),"PIN","."),_xlpm.mainPart,MID(_xlpm.cleanRaw,2,FIND(".",_xlpm.cleanRaw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0" t="str">
        <f>_xlfn.LET(_xlpm.raw,_xlfn.XLOOKUP(A200,SITE3!$C$4:$C$1034,SITE3!$E$4:$E$1034),_xlpm.cleanRaw,SUBSTITUTE(SUBSTITUTE(_xlpm.raw,"_PIN","."),"PIN","."),_xlpm.mainPart,MID(_xlpm.cleanRaw,2,FIND(".",_xlpm.cleanRaw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0" t="str">
        <f>""</f>
        <v/>
      </c>
      <c r="I200" t="str">
        <f>""</f>
        <v/>
      </c>
      <c r="J200" t="str">
        <f t="shared" si="3"/>
        <v>J22;VSS;;3.48259999999999;10.164;;;;</v>
      </c>
    </row>
    <row r="201" spans="1:10">
      <c r="A201" t="s">
        <v>3423</v>
      </c>
      <c r="B201" t="str">
        <f>_xlfn.XLOOKUP(A201,SITE1!$V$4:$V$1034,SITE1!$U$4:$U$1034,"")</f>
        <v>USB31_8_RXN</v>
      </c>
      <c r="C201" t="str" cm="1">
        <f t="array" ref="C201">_xlfn.TEXTJOIN(",",TRUE,_xlfn.UNIQUE(TRANSPOSE(_xlfn.MAP(_xlfn.XLOOKUP(A201,SITE1!$C$4:$C$1034,SITE1!$F$4:$O$1034,""),_xlfn.LAMBDA(_xlpm.x,IF(_xlpm.x&lt;&gt;"",TRIM(CLEAN(LEFT(_xlpm.x,FIND(".",_xlpm.x &amp; ".")-1))),""))))))</f>
        <v>CA216,LA232</v>
      </c>
      <c r="D201">
        <v>3.4825999999999899</v>
      </c>
      <c r="E201">
        <v>11.5357</v>
      </c>
      <c r="F201" t="str">
        <f>_xlfn.LET(_xlpm.raw,_xlfn.XLOOKUP(A201,SITE1!$C$4:$C$1034,SITE1!$E$4:$E$1034),_xlpm.cleanRaw,SUBSTITUTE(SUBSTITUTE(_xlpm.raw,"_PIN","."),"PIN","."),_xlpm.mainPart,MID(_xlpm.cleanRaw,2,FIND(".",_xlpm.cleanRaw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606105</v>
      </c>
      <c r="G201" t="str">
        <f>_xlfn.LET(_xlpm.raw,_xlfn.XLOOKUP(A201,SITE3!$C$4:$C$1034,SITE3!$E$4:$E$1034),_xlpm.cleanRaw,SUBSTITUTE(SUBSTITUTE(_xlpm.raw,"_PIN","."),"PIN","."),_xlpm.mainPart,MID(_xlpm.cleanRaw,2,FIND(".",_xlpm.cleanRaw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806105</v>
      </c>
      <c r="H201" t="str">
        <f>""</f>
        <v/>
      </c>
      <c r="I201" t="str">
        <f>""</f>
        <v/>
      </c>
      <c r="J201" t="str">
        <f t="shared" si="3"/>
        <v>J25;USB31_8_RXN;CA216,LA232;3.48259999999999;11.5357;606105;806105;;</v>
      </c>
    </row>
    <row r="202" spans="1:10">
      <c r="A202" t="s">
        <v>3996</v>
      </c>
      <c r="B202" t="str">
        <f>_xlfn.XLOOKUP(A202,SITE1!$V$4:$V$1034,SITE1!$U$4:$U$1034,"")</f>
        <v>VSS</v>
      </c>
      <c r="C202" t="str" cm="1">
        <f t="array" ref="C202">_xlfn.TEXTJOIN(",",TRUE,_xlfn.UNIQUE(TRANSPOSE(_xlfn.MAP(_xlfn.XLOOKUP(A202,SITE1!$C$4:$C$1034,SITE1!$F$4:$O$1034,""),_xlfn.LAMBDA(_xlpm.x,IF(_xlpm.x&lt;&gt;"",TRIM(CLEAN(LEFT(_xlpm.x,FIND(".",_xlpm.x &amp; ".")-1))),""))))))</f>
        <v/>
      </c>
      <c r="D202">
        <v>3.4825999999999899</v>
      </c>
      <c r="E202">
        <v>12.893000000000001</v>
      </c>
      <c r="F202" t="str">
        <f>_xlfn.LET(_xlpm.raw,_xlfn.XLOOKUP(A202,SITE1!$C$4:$C$1034,SITE1!$E$4:$E$1034),_xlpm.cleanRaw,SUBSTITUTE(SUBSTITUTE(_xlpm.raw,"_PIN","."),"PIN","."),_xlpm.mainPart,MID(_xlpm.cleanRaw,2,FIND(".",_xlpm.cleanRaw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2" t="str">
        <f>_xlfn.LET(_xlpm.raw,_xlfn.XLOOKUP(A202,SITE3!$C$4:$C$1034,SITE3!$E$4:$E$1034),_xlpm.cleanRaw,SUBSTITUTE(SUBSTITUTE(_xlpm.raw,"_PIN","."),"PIN","."),_xlpm.mainPart,MID(_xlpm.cleanRaw,2,FIND(".",_xlpm.cleanRaw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2" t="str">
        <f>""</f>
        <v/>
      </c>
      <c r="I202" t="str">
        <f>""</f>
        <v/>
      </c>
      <c r="J202" t="str">
        <f t="shared" si="3"/>
        <v>J28;VSS;;3.48259999999999;12.893;;;;</v>
      </c>
    </row>
    <row r="203" spans="1:10">
      <c r="A203" t="s">
        <v>2387</v>
      </c>
      <c r="B203" t="str">
        <f>_xlfn.XLOOKUP(A203,SITE1!$V$4:$V$1034,SITE1!$U$4:$U$1034,"")</f>
        <v>PCIE_22_RXN</v>
      </c>
      <c r="C203" t="str" cm="1">
        <f t="array" ref="C203">_xlfn.TEXTJOIN(",",TRUE,_xlfn.UNIQUE(TRANSPOSE(_xlfn.MAP(_xlfn.XLOOKUP(A203,SITE1!$C$4:$C$1034,SITE1!$F$4:$O$1034,""),_xlfn.LAMBDA(_xlpm.x,IF(_xlpm.x&lt;&gt;"",TRIM(CLEAN(LEFT(_xlpm.x,FIND(".",_xlpm.x &amp; ".")-1))),""))))))</f>
        <v>CA264,LA328</v>
      </c>
      <c r="D203">
        <v>3.4825999999999899</v>
      </c>
      <c r="E203">
        <v>14.264699999999999</v>
      </c>
      <c r="F203" t="str">
        <f>_xlfn.LET(_xlpm.raw,_xlfn.XLOOKUP(A203,SITE1!$C$4:$C$1034,SITE1!$E$4:$E$1034),_xlpm.cleanRaw,SUBSTITUTE(SUBSTITUTE(_xlpm.raw,"_PIN","."),"PIN","."),_xlpm.mainPart,MID(_xlpm.cleanRaw,2,FIND(".",_xlpm.cleanRaw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707119</v>
      </c>
      <c r="G203" t="str">
        <f>_xlfn.LET(_xlpm.raw,_xlfn.XLOOKUP(A203,SITE3!$C$4:$C$1034,SITE3!$E$4:$E$1034),_xlpm.cleanRaw,SUBSTITUTE(SUBSTITUTE(_xlpm.raw,"_PIN","."),"PIN","."),_xlpm.mainPart,MID(_xlpm.cleanRaw,2,FIND(".",_xlpm.cleanRaw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507119</v>
      </c>
      <c r="H203" t="str">
        <f>""</f>
        <v/>
      </c>
      <c r="I203" t="str">
        <f>""</f>
        <v/>
      </c>
      <c r="J203" t="str">
        <f t="shared" si="3"/>
        <v>J31;PCIE_22_RXN;CA264,LA328;3.48259999999999;14.2647;707119;507119;;</v>
      </c>
    </row>
    <row r="204" spans="1:10">
      <c r="A204" t="s">
        <v>3997</v>
      </c>
      <c r="B204" t="str">
        <f>_xlfn.XLOOKUP(A204,SITE1!$V$4:$V$1034,SITE1!$U$4:$U$1034,"")</f>
        <v>VSS</v>
      </c>
      <c r="C204" t="str" cm="1">
        <f t="array" ref="C204">_xlfn.TEXTJOIN(",",TRUE,_xlfn.UNIQUE(TRANSPOSE(_xlfn.MAP(_xlfn.XLOOKUP(A204,SITE1!$C$4:$C$1034,SITE1!$F$4:$O$1034,""),_xlfn.LAMBDA(_xlpm.x,IF(_xlpm.x&lt;&gt;"",TRIM(CLEAN(LEFT(_xlpm.x,FIND(".",_xlpm.x &amp; ".")-1))),""))))))</f>
        <v/>
      </c>
      <c r="D204">
        <v>3.4825999999999899</v>
      </c>
      <c r="E204">
        <v>15.622</v>
      </c>
      <c r="F204" t="str">
        <f>_xlfn.LET(_xlpm.raw,_xlfn.XLOOKUP(A204,SITE1!$C$4:$C$1034,SITE1!$E$4:$E$1034),_xlpm.cleanRaw,SUBSTITUTE(SUBSTITUTE(_xlpm.raw,"_PIN","."),"PIN","."),_xlpm.mainPart,MID(_xlpm.cleanRaw,2,FIND(".",_xlpm.cleanRaw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4" t="str">
        <f>_xlfn.LET(_xlpm.raw,_xlfn.XLOOKUP(A204,SITE3!$C$4:$C$1034,SITE3!$E$4:$E$1034),_xlpm.cleanRaw,SUBSTITUTE(SUBSTITUTE(_xlpm.raw,"_PIN","."),"PIN","."),_xlpm.mainPart,MID(_xlpm.cleanRaw,2,FIND(".",_xlpm.cleanRaw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4" t="str">
        <f>""</f>
        <v/>
      </c>
      <c r="I204" t="str">
        <f>""</f>
        <v/>
      </c>
      <c r="J204" t="str">
        <f t="shared" si="3"/>
        <v>J34;VSS;;3.48259999999999;15.622;;;;</v>
      </c>
    </row>
    <row r="205" spans="1:10">
      <c r="A205" t="s">
        <v>550</v>
      </c>
      <c r="B205" t="str">
        <f>_xlfn.XLOOKUP(A205,SITE1!$V$4:$V$1034,SITE1!$U$4:$U$1034,"")</f>
        <v>DMI_6_RXN</v>
      </c>
      <c r="C205" t="str" cm="1">
        <f t="array" ref="C205">_xlfn.TEXTJOIN(",",TRUE,_xlfn.UNIQUE(TRANSPOSE(_xlfn.MAP(_xlfn.XLOOKUP(A205,SITE1!$C$4:$C$1034,SITE1!$F$4:$O$1034,""),_xlfn.LAMBDA(_xlpm.x,IF(_xlpm.x&lt;&gt;"",TRIM(CLEAN(LEFT(_xlpm.x,FIND(".",_xlpm.x &amp; ".")-1))),""))))))</f>
        <v>LA365</v>
      </c>
      <c r="D205">
        <v>3.4825999999999899</v>
      </c>
      <c r="E205">
        <v>16.9937</v>
      </c>
      <c r="F205" t="str">
        <f>_xlfn.LET(_xlpm.raw,_xlfn.XLOOKUP(A205,SITE1!$C$4:$C$1034,SITE1!$E$4:$E$1034),_xlpm.cleanRaw,SUBSTITUTE(SUBSTITUTE(_xlpm.raw,"_PIN","."),"PIN","."),_xlpm.mainPart,MID(_xlpm.cleanRaw,2,FIND(".",_xlpm.cleanRaw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709037</v>
      </c>
      <c r="G205" t="str">
        <f>_xlfn.LET(_xlpm.raw,_xlfn.XLOOKUP(A205,SITE3!$C$4:$C$1034,SITE3!$E$4:$E$1034),_xlpm.cleanRaw,SUBSTITUTE(SUBSTITUTE(_xlpm.raw,"_PIN","."),"PIN","."),_xlpm.mainPart,MID(_xlpm.cleanRaw,2,FIND(".",_xlpm.cleanRaw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509037</v>
      </c>
      <c r="H205" t="str">
        <f>""</f>
        <v/>
      </c>
      <c r="I205" t="str">
        <f>""</f>
        <v/>
      </c>
      <c r="J205" t="str">
        <f t="shared" si="3"/>
        <v>J36;DMI_6_RXN;LA365;3.48259999999999;16.9937;709037;509037;;</v>
      </c>
    </row>
    <row r="206" spans="1:10">
      <c r="A206" t="s">
        <v>3998</v>
      </c>
      <c r="B206" t="str">
        <f>_xlfn.XLOOKUP(A206,SITE1!$V$4:$V$1034,SITE1!$U$4:$U$1034,"")</f>
        <v>VSS</v>
      </c>
      <c r="C206" t="str" cm="1">
        <f t="array" ref="C206">_xlfn.TEXTJOIN(",",TRUE,_xlfn.UNIQUE(TRANSPOSE(_xlfn.MAP(_xlfn.XLOOKUP(A206,SITE1!$C$4:$C$1034,SITE1!$F$4:$O$1034,""),_xlfn.LAMBDA(_xlpm.x,IF(_xlpm.x&lt;&gt;"",TRIM(CLEAN(LEFT(_xlpm.x,FIND(".",_xlpm.x &amp; ".")-1))),""))))))</f>
        <v/>
      </c>
      <c r="D206">
        <v>3.4825999999999899</v>
      </c>
      <c r="E206">
        <v>18.350999999999999</v>
      </c>
      <c r="F206" t="str">
        <f>_xlfn.LET(_xlpm.raw,_xlfn.XLOOKUP(A206,SITE1!$C$4:$C$1034,SITE1!$E$4:$E$1034),_xlpm.cleanRaw,SUBSTITUTE(SUBSTITUTE(_xlpm.raw,"_PIN","."),"PIN","."),_xlpm.mainPart,MID(_xlpm.cleanRaw,2,FIND(".",_xlpm.cleanRaw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6" t="str">
        <f>_xlfn.LET(_xlpm.raw,_xlfn.XLOOKUP(A206,SITE3!$C$4:$C$1034,SITE3!$E$4:$E$1034),_xlpm.cleanRaw,SUBSTITUTE(SUBSTITUTE(_xlpm.raw,"_PIN","."),"PIN","."),_xlpm.mainPart,MID(_xlpm.cleanRaw,2,FIND(".",_xlpm.cleanRaw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6" t="str">
        <f>""</f>
        <v/>
      </c>
      <c r="I206" t="str">
        <f>""</f>
        <v/>
      </c>
      <c r="J206" t="str">
        <f t="shared" si="3"/>
        <v>J39;VSS;;3.48259999999999;18.351;;;;</v>
      </c>
    </row>
    <row r="207" spans="1:10">
      <c r="A207" t="s">
        <v>3999</v>
      </c>
      <c r="B207" t="str">
        <f>_xlfn.XLOOKUP(A207,SITE1!$V$4:$V$1034,SITE1!$U$4:$U$1034,"")</f>
        <v>VSS</v>
      </c>
      <c r="C207" t="str" cm="1">
        <f t="array" ref="C207">_xlfn.TEXTJOIN(",",TRUE,_xlfn.UNIQUE(TRANSPOSE(_xlfn.MAP(_xlfn.XLOOKUP(A207,SITE1!$C$4:$C$1034,SITE1!$F$4:$O$1034,""),_xlfn.LAMBDA(_xlpm.x,IF(_xlpm.x&lt;&gt;"",TRIM(CLEAN(LEFT(_xlpm.x,FIND(".",_xlpm.x &amp; ".")-1))),""))))))</f>
        <v/>
      </c>
      <c r="D207">
        <v>3.4825999999999899</v>
      </c>
      <c r="E207">
        <v>19.7227</v>
      </c>
      <c r="F207" t="str">
        <f>_xlfn.LET(_xlpm.raw,_xlfn.XLOOKUP(A207,SITE1!$C$4:$C$1034,SITE1!$E$4:$E$1034),_xlpm.cleanRaw,SUBSTITUTE(SUBSTITUTE(_xlpm.raw,"_PIN","."),"PIN","."),_xlpm.mainPart,MID(_xlpm.cleanRaw,2,FIND(".",_xlpm.cleanRaw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7" t="str">
        <f>_xlfn.LET(_xlpm.raw,_xlfn.XLOOKUP(A207,SITE3!$C$4:$C$1034,SITE3!$E$4:$E$1034),_xlpm.cleanRaw,SUBSTITUTE(SUBSTITUTE(_xlpm.raw,"_PIN","."),"PIN","."),_xlpm.mainPart,MID(_xlpm.cleanRaw,2,FIND(".",_xlpm.cleanRaw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7" t="str">
        <f>""</f>
        <v/>
      </c>
      <c r="I207" t="str">
        <f>""</f>
        <v/>
      </c>
      <c r="J207" t="str">
        <f t="shared" si="3"/>
        <v>J42;VSS;;3.48259999999999;19.7227;;;;</v>
      </c>
    </row>
    <row r="208" spans="1:10">
      <c r="A208" t="s">
        <v>4000</v>
      </c>
      <c r="B208" t="str">
        <f>_xlfn.XLOOKUP(A208,SITE1!$V$4:$V$1034,SITE1!$U$4:$U$1034,"")</f>
        <v>VSS</v>
      </c>
      <c r="C208" t="str" cm="1">
        <f t="array" ref="C208">_xlfn.TEXTJOIN(",",TRUE,_xlfn.UNIQUE(TRANSPOSE(_xlfn.MAP(_xlfn.XLOOKUP(A208,SITE1!$C$4:$C$1034,SITE1!$F$4:$O$1034,""),_xlfn.LAMBDA(_xlpm.x,IF(_xlpm.x&lt;&gt;"",TRIM(CLEAN(LEFT(_xlpm.x,FIND(".",_xlpm.x &amp; ".")-1))),""))))))</f>
        <v/>
      </c>
      <c r="D208">
        <v>3.4825999999999899</v>
      </c>
      <c r="E208">
        <v>21.08</v>
      </c>
      <c r="F208" t="str">
        <f>_xlfn.LET(_xlpm.raw,_xlfn.XLOOKUP(A208,SITE1!$C$4:$C$1034,SITE1!$E$4:$E$1034),_xlpm.cleanRaw,SUBSTITUTE(SUBSTITUTE(_xlpm.raw,"_PIN","."),"PIN","."),_xlpm.mainPart,MID(_xlpm.cleanRaw,2,FIND(".",_xlpm.cleanRaw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8" t="str">
        <f>_xlfn.LET(_xlpm.raw,_xlfn.XLOOKUP(A208,SITE3!$C$4:$C$1034,SITE3!$E$4:$E$1034),_xlpm.cleanRaw,SUBSTITUTE(SUBSTITUTE(_xlpm.raw,"_PIN","."),"PIN","."),_xlpm.mainPart,MID(_xlpm.cleanRaw,2,FIND(".",_xlpm.cleanRaw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8" t="str">
        <f>""</f>
        <v/>
      </c>
      <c r="I208" t="str">
        <f>""</f>
        <v/>
      </c>
      <c r="J208" t="str">
        <f t="shared" si="3"/>
        <v>J45;VSS;;3.48259999999999;21.08;;;;</v>
      </c>
    </row>
    <row r="209" spans="1:10">
      <c r="A209" t="s">
        <v>4001</v>
      </c>
      <c r="B209" t="str">
        <f>_xlfn.XLOOKUP(A209,SITE1!$V$4:$V$1034,SITE1!$U$4:$U$1034,"")</f>
        <v>VSS</v>
      </c>
      <c r="C209" t="str" cm="1">
        <f t="array" ref="C209">_xlfn.TEXTJOIN(",",TRUE,_xlfn.UNIQUE(TRANSPOSE(_xlfn.MAP(_xlfn.XLOOKUP(A209,SITE1!$C$4:$C$1034,SITE1!$F$4:$O$1034,""),_xlfn.LAMBDA(_xlpm.x,IF(_xlpm.x&lt;&gt;"",TRIM(CLEAN(LEFT(_xlpm.x,FIND(".",_xlpm.x &amp; ".")-1))),""))))))</f>
        <v/>
      </c>
      <c r="D209">
        <v>3.78269999999999</v>
      </c>
      <c r="E209">
        <v>22.9011</v>
      </c>
      <c r="F209" t="str">
        <f>_xlfn.LET(_xlpm.raw,_xlfn.XLOOKUP(A209,SITE1!$C$4:$C$1034,SITE1!$E$4:$E$1034),_xlpm.cleanRaw,SUBSTITUTE(SUBSTITUTE(_xlpm.raw,"_PIN","."),"PIN","."),_xlpm.mainPart,MID(_xlpm.cleanRaw,2,FIND(".",_xlpm.cleanRaw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9" t="str">
        <f>_xlfn.LET(_xlpm.raw,_xlfn.XLOOKUP(A209,SITE3!$C$4:$C$1034,SITE3!$E$4:$E$1034),_xlpm.cleanRaw,SUBSTITUTE(SUBSTITUTE(_xlpm.raw,"_PIN","."),"PIN","."),_xlpm.mainPart,MID(_xlpm.cleanRaw,2,FIND(".",_xlpm.cleanRaw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9" t="str">
        <f>""</f>
        <v/>
      </c>
      <c r="I209" t="str">
        <f>""</f>
        <v/>
      </c>
      <c r="J209" t="str">
        <f t="shared" si="3"/>
        <v>J49;VSS;;3.78269999999999;22.9011;;;;</v>
      </c>
    </row>
    <row r="210" spans="1:10">
      <c r="A210" t="s">
        <v>4002</v>
      </c>
      <c r="B210" t="str">
        <f>_xlfn.XLOOKUP(A210,SITE1!$V$4:$V$1034,SITE1!$U$4:$U$1034,"")</f>
        <v>VSS</v>
      </c>
      <c r="C210" t="str" cm="1">
        <f t="array" ref="C210">_xlfn.TEXTJOIN(",",TRUE,_xlfn.UNIQUE(TRANSPOSE(_xlfn.MAP(_xlfn.XLOOKUP(A210,SITE1!$C$4:$C$1034,SITE1!$F$4:$O$1034,""),_xlfn.LAMBDA(_xlpm.x,IF(_xlpm.x&lt;&gt;"",TRIM(CLEAN(LEFT(_xlpm.x,FIND(".",_xlpm.x &amp; ".")-1))),""))))))</f>
        <v/>
      </c>
      <c r="D210">
        <v>3.5267999999999899</v>
      </c>
      <c r="E210">
        <v>23.362200000000001</v>
      </c>
      <c r="F210" t="str">
        <f>_xlfn.LET(_xlpm.raw,_xlfn.XLOOKUP(A210,SITE1!$C$4:$C$1034,SITE1!$E$4:$E$1034),_xlpm.cleanRaw,SUBSTITUTE(SUBSTITUTE(_xlpm.raw,"_PIN","."),"PIN","."),_xlpm.mainPart,MID(_xlpm.cleanRaw,2,FIND(".",_xlpm.cleanRaw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0" t="str">
        <f>_xlfn.LET(_xlpm.raw,_xlfn.XLOOKUP(A210,SITE3!$C$4:$C$1034,SITE3!$E$4:$E$1034),_xlpm.cleanRaw,SUBSTITUTE(SUBSTITUTE(_xlpm.raw,"_PIN","."),"PIN","."),_xlpm.mainPart,MID(_xlpm.cleanRaw,2,FIND(".",_xlpm.cleanRaw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0" t="str">
        <f>""</f>
        <v/>
      </c>
      <c r="I210" t="str">
        <f>""</f>
        <v/>
      </c>
      <c r="J210" t="str">
        <f t="shared" si="3"/>
        <v>J50;VSS;;3.52679999999999;23.3622;;;;</v>
      </c>
    </row>
    <row r="211" spans="1:10">
      <c r="A211" t="s">
        <v>4003</v>
      </c>
      <c r="B211" t="str">
        <f>_xlfn.XLOOKUP(A211,SITE1!$V$4:$V$1034,SITE1!$U$4:$U$1034,"")</f>
        <v>VSS</v>
      </c>
      <c r="C211" t="str" cm="1">
        <f t="array" ref="C211">_xlfn.TEXTJOIN(",",TRUE,_xlfn.UNIQUE(TRANSPOSE(_xlfn.MAP(_xlfn.XLOOKUP(A211,SITE1!$C$4:$C$1034,SITE1!$F$4:$O$1034,""),_xlfn.LAMBDA(_xlpm.x,IF(_xlpm.x&lt;&gt;"",TRIM(CLEAN(LEFT(_xlpm.x,FIND(".",_xlpm.x &amp; ".")-1))),""))))))</f>
        <v/>
      </c>
      <c r="D211">
        <v>3.4484999999999899</v>
      </c>
      <c r="E211">
        <v>23.8887</v>
      </c>
      <c r="F211" t="str">
        <f>_xlfn.LET(_xlpm.raw,_xlfn.XLOOKUP(A211,SITE1!$C$4:$C$1034,SITE1!$E$4:$E$1034),_xlpm.cleanRaw,SUBSTITUTE(SUBSTITUTE(_xlpm.raw,"_PIN","."),"PIN","."),_xlpm.mainPart,MID(_xlpm.cleanRaw,2,FIND(".",_xlpm.cleanRaw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1" t="str">
        <f>_xlfn.LET(_xlpm.raw,_xlfn.XLOOKUP(A211,SITE3!$C$4:$C$1034,SITE3!$E$4:$E$1034),_xlpm.cleanRaw,SUBSTITUTE(SUBSTITUTE(_xlpm.raw,"_PIN","."),"PIN","."),_xlpm.mainPart,MID(_xlpm.cleanRaw,2,FIND(".",_xlpm.cleanRaw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1" t="str">
        <f>""</f>
        <v/>
      </c>
      <c r="I211" t="str">
        <f>""</f>
        <v/>
      </c>
      <c r="J211" t="str">
        <f t="shared" si="3"/>
        <v>J51;VSS;;3.44849999999999;23.8887;;;;</v>
      </c>
    </row>
    <row r="212" spans="1:10">
      <c r="A212" t="s">
        <v>790</v>
      </c>
      <c r="B212" t="str">
        <f>_xlfn.XLOOKUP(A212,SITE1!$V$4:$V$1034,SITE1!$U$4:$U$1034,"")</f>
        <v>GPP_A_6_ESPI_RESETB</v>
      </c>
      <c r="C212" t="str" cm="1">
        <f t="array" ref="C212">_xlfn.TEXTJOIN(",",TRUE,_xlfn.UNIQUE(TRANSPOSE(_xlfn.MAP(_xlfn.XLOOKUP(A212,SITE1!$C$4:$C$1034,SITE1!$F$4:$O$1034,""),_xlfn.LAMBDA(_xlpm.x,IF(_xlpm.x&lt;&gt;"",TRIM(CLEAN(LEFT(_xlpm.x,FIND(".",_xlpm.x &amp; ".")-1))),""))))))</f>
        <v/>
      </c>
      <c r="D212">
        <v>3.4058999999999999</v>
      </c>
      <c r="E212">
        <v>25.724799999999998</v>
      </c>
      <c r="F212" t="str">
        <f>_xlfn.LET(_xlpm.raw,_xlfn.XLOOKUP(A212,SITE1!$C$4:$C$1034,SITE1!$E$4:$E$1034),_xlpm.cleanRaw,SUBSTITUTE(SUBSTITUTE(_xlpm.raw,"_PIN","."),"PIN","."),_xlpm.mainPart,MID(_xlpm.cleanRaw,2,FIND(".",_xlpm.cleanRaw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708068</v>
      </c>
      <c r="G212" t="str">
        <f>_xlfn.LET(_xlpm.raw,_xlfn.XLOOKUP(A212,SITE3!$C$4:$C$1034,SITE3!$E$4:$E$1034),_xlpm.cleanRaw,SUBSTITUTE(SUBSTITUTE(_xlpm.raw,"_PIN","."),"PIN","."),_xlpm.mainPart,MID(_xlpm.cleanRaw,2,FIND(".",_xlpm.cleanRaw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508068</v>
      </c>
      <c r="H212" t="str">
        <f>""</f>
        <v/>
      </c>
      <c r="I212" t="str">
        <f>""</f>
        <v/>
      </c>
      <c r="J212" t="str">
        <f t="shared" si="3"/>
        <v>J55;GPP_A_6_ESPI_RESETB;;3.4059;25.7248;708068;508068;;</v>
      </c>
    </row>
    <row r="213" spans="1:10">
      <c r="A213" t="s">
        <v>800</v>
      </c>
      <c r="B213" t="str">
        <f>_xlfn.XLOOKUP(A213,SITE1!$V$4:$V$1034,SITE1!$U$4:$U$1034,"")</f>
        <v>GPP_A_8_ESPI_CS2B</v>
      </c>
      <c r="C213" t="str" cm="1">
        <f t="array" ref="C213">_xlfn.TEXTJOIN(",",TRUE,_xlfn.UNIQUE(TRANSPOSE(_xlfn.MAP(_xlfn.XLOOKUP(A213,SITE1!$C$4:$C$1034,SITE1!$F$4:$O$1034,""),_xlfn.LAMBDA(_xlpm.x,IF(_xlpm.x&lt;&gt;"",TRIM(CLEAN(LEFT(_xlpm.x,FIND(".",_xlpm.x &amp; ".")-1))),""))))))</f>
        <v/>
      </c>
      <c r="D213">
        <v>3.4058999999999999</v>
      </c>
      <c r="E213">
        <v>26.2256</v>
      </c>
      <c r="F213" t="str">
        <f>_xlfn.LET(_xlpm.raw,_xlfn.XLOOKUP(A213,SITE1!$C$4:$C$1034,SITE1!$E$4:$E$1034),_xlpm.cleanRaw,SUBSTITUTE(SUBSTITUTE(_xlpm.raw,"_PIN","."),"PIN","."),_xlpm.mainPart,MID(_xlpm.cleanRaw,2,FIND(".",_xlpm.cleanRaw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702068</v>
      </c>
      <c r="G213" t="str">
        <f>_xlfn.LET(_xlpm.raw,_xlfn.XLOOKUP(A213,SITE3!$C$4:$C$1034,SITE3!$E$4:$E$1034),_xlpm.cleanRaw,SUBSTITUTE(SUBSTITUTE(_xlpm.raw,"_PIN","."),"PIN","."),_xlpm.mainPart,MID(_xlpm.cleanRaw,2,FIND(".",_xlpm.cleanRaw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502068</v>
      </c>
      <c r="H213" t="str">
        <f>""</f>
        <v/>
      </c>
      <c r="I213" t="str">
        <f>""</f>
        <v/>
      </c>
      <c r="J213" t="str">
        <f t="shared" si="3"/>
        <v>J56;GPP_A_8_ESPI_CS2B;;3.4059;26.2256;702068;502068;;</v>
      </c>
    </row>
    <row r="214" spans="1:10">
      <c r="A214" t="s">
        <v>96</v>
      </c>
      <c r="B214" t="str">
        <f>_xlfn.XLOOKUP(A214,SITE1!$V$4:$V$1034,SITE1!$U$4:$U$1034,"")</f>
        <v>CLKOUT_SRC_N_3</v>
      </c>
      <c r="C214" t="str" cm="1">
        <f t="array" ref="C214">_xlfn.TEXTJOIN(",",TRUE,_xlfn.UNIQUE(TRANSPOSE(_xlfn.MAP(_xlfn.XLOOKUP(A214,SITE1!$C$4:$C$1034,SITE1!$F$4:$O$1034,""),_xlfn.LAMBDA(_xlpm.x,IF(_xlpm.x&lt;&gt;"",TRIM(CLEAN(LEFT(_xlpm.x,FIND(".",_xlpm.x &amp; ".")-1))),""))))))</f>
        <v/>
      </c>
      <c r="D214">
        <v>4.0665999999999896</v>
      </c>
      <c r="E214">
        <v>0.73659999999999903</v>
      </c>
      <c r="F214" t="str">
        <f>_xlfn.LET(_xlpm.raw,_xlfn.XLOOKUP(A214,SITE1!$C$4:$C$1034,SITE1!$E$4:$E$1034),_xlpm.cleanRaw,SUBSTITUTE(SUBSTITUTE(_xlpm.raw,"_PIN","."),"PIN","."),_xlpm.mainPart,MID(_xlpm.cleanRaw,2,FIND(".",_xlpm.cleanRaw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607020</v>
      </c>
      <c r="G214" t="str">
        <f>_xlfn.LET(_xlpm.raw,_xlfn.XLOOKUP(A214,SITE3!$C$4:$C$1034,SITE3!$E$4:$E$1034),_xlpm.cleanRaw,SUBSTITUTE(SUBSTITUTE(_xlpm.raw,"_PIN","."),"PIN","."),_xlpm.mainPart,MID(_xlpm.cleanRaw,2,FIND(".",_xlpm.cleanRaw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807020</v>
      </c>
      <c r="H214" t="str">
        <f>""</f>
        <v/>
      </c>
      <c r="I214" t="str">
        <f>""</f>
        <v/>
      </c>
      <c r="J214" t="str">
        <f t="shared" si="3"/>
        <v>K2;CLKOUT_SRC_N_3;;4.06659999999999;0.736599999999999;607020;807020;;</v>
      </c>
    </row>
    <row r="215" spans="1:10">
      <c r="A215" t="s">
        <v>4006</v>
      </c>
      <c r="B215" t="str">
        <f>_xlfn.XLOOKUP(A215,SITE1!$V$4:$V$1034,SITE1!$U$4:$U$1034,"")</f>
        <v>VSS</v>
      </c>
      <c r="C215" t="str" cm="1">
        <f t="array" ref="C215">_xlfn.TEXTJOIN(",",TRUE,_xlfn.UNIQUE(TRANSPOSE(_xlfn.MAP(_xlfn.XLOOKUP(A215,SITE1!$C$4:$C$1034,SITE1!$F$4:$O$1034,""),_xlfn.LAMBDA(_xlpm.x,IF(_xlpm.x&lt;&gt;"",TRIM(CLEAN(LEFT(_xlpm.x,FIND(".",_xlpm.x &amp; ".")-1))),""))))))</f>
        <v/>
      </c>
      <c r="D215">
        <v>3.9128999999999898</v>
      </c>
      <c r="E215">
        <v>1.28009999999999</v>
      </c>
      <c r="F215" t="str">
        <f>_xlfn.LET(_xlpm.raw,_xlfn.XLOOKUP(A215,SITE1!$C$4:$C$1034,SITE1!$E$4:$E$1034),_xlpm.cleanRaw,SUBSTITUTE(SUBSTITUTE(_xlpm.raw,"_PIN","."),"PIN","."),_xlpm.mainPart,MID(_xlpm.cleanRaw,2,FIND(".",_xlpm.cleanRaw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5" t="str">
        <f>_xlfn.LET(_xlpm.raw,_xlfn.XLOOKUP(A215,SITE3!$C$4:$C$1034,SITE3!$E$4:$E$1034),_xlpm.cleanRaw,SUBSTITUTE(SUBSTITUTE(_xlpm.raw,"_PIN","."),"PIN","."),_xlpm.mainPart,MID(_xlpm.cleanRaw,2,FIND(".",_xlpm.cleanRaw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5" t="str">
        <f>""</f>
        <v/>
      </c>
      <c r="I215" t="str">
        <f>""</f>
        <v/>
      </c>
      <c r="J215" t="str">
        <f t="shared" si="3"/>
        <v>K3;VSS;;3.91289999999999;1.28009999999999;;;;</v>
      </c>
    </row>
    <row r="216" spans="1:10">
      <c r="A216" t="s">
        <v>4008</v>
      </c>
      <c r="B216" t="str">
        <f>_xlfn.XLOOKUP(A216,SITE1!$V$4:$V$1034,SITE1!$U$4:$U$1034,"")</f>
        <v>VSS</v>
      </c>
      <c r="C216" t="str" cm="1">
        <f t="array" ref="C216">_xlfn.TEXTJOIN(",",TRUE,_xlfn.UNIQUE(TRANSPOSE(_xlfn.MAP(_xlfn.XLOOKUP(A216,SITE1!$C$4:$C$1034,SITE1!$F$4:$O$1034,""),_xlfn.LAMBDA(_xlpm.x,IF(_xlpm.x&lt;&gt;"",TRIM(CLEAN(LEFT(_xlpm.x,FIND(".",_xlpm.x &amp; ".")-1))),""))))))</f>
        <v/>
      </c>
      <c r="D216">
        <v>4.0195999999999996</v>
      </c>
      <c r="E216">
        <v>1.7795000000000001</v>
      </c>
      <c r="F216" t="str">
        <f>_xlfn.LET(_xlpm.raw,_xlfn.XLOOKUP(A216,SITE1!$C$4:$C$1034,SITE1!$E$4:$E$1034),_xlpm.cleanRaw,SUBSTITUTE(SUBSTITUTE(_xlpm.raw,"_PIN","."),"PIN","."),_xlpm.mainPart,MID(_xlpm.cleanRaw,2,FIND(".",_xlpm.cleanRaw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6" t="str">
        <f>_xlfn.LET(_xlpm.raw,_xlfn.XLOOKUP(A216,SITE3!$C$4:$C$1034,SITE3!$E$4:$E$1034),_xlpm.cleanRaw,SUBSTITUTE(SUBSTITUTE(_xlpm.raw,"_PIN","."),"PIN","."),_xlpm.mainPart,MID(_xlpm.cleanRaw,2,FIND(".",_xlpm.cleanRaw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6" t="str">
        <f>""</f>
        <v/>
      </c>
      <c r="I216" t="str">
        <f>""</f>
        <v/>
      </c>
      <c r="J216" t="str">
        <f t="shared" si="3"/>
        <v>K5;VSS;;4.0196;1.7795;;;;</v>
      </c>
    </row>
    <row r="217" spans="1:10">
      <c r="A217" t="s">
        <v>71</v>
      </c>
      <c r="B217" t="str">
        <f>_xlfn.XLOOKUP(A217,SITE1!$V$4:$V$1034,SITE1!$U$4:$U$1034,"")</f>
        <v>CLKOUT_SRC_N_11</v>
      </c>
      <c r="C217" t="str" cm="1">
        <f t="array" ref="C217">_xlfn.TEXTJOIN(",",TRUE,_xlfn.UNIQUE(TRANSPOSE(_xlfn.MAP(_xlfn.XLOOKUP(A217,SITE1!$C$4:$C$1034,SITE1!$F$4:$O$1034,""),_xlfn.LAMBDA(_xlpm.x,IF(_xlpm.x&lt;&gt;"",TRIM(CLEAN(LEFT(_xlpm.x,FIND(".",_xlpm.x &amp; ".")-1))),""))))))</f>
        <v/>
      </c>
      <c r="D217">
        <v>4.1544999999999996</v>
      </c>
      <c r="E217">
        <v>2.4931999999999999</v>
      </c>
      <c r="F217" t="str">
        <f>_xlfn.LET(_xlpm.raw,_xlfn.XLOOKUP(A217,SITE1!$C$4:$C$1034,SITE1!$E$4:$E$1034),_xlpm.cleanRaw,SUBSTITUTE(SUBSTITUTE(_xlpm.raw,"_PIN","."),"PIN","."),_xlpm.mainPart,MID(_xlpm.cleanRaw,2,FIND(".",_xlpm.cleanRaw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608063</v>
      </c>
      <c r="G217" t="str">
        <f>_xlfn.LET(_xlpm.raw,_xlfn.XLOOKUP(A217,SITE3!$C$4:$C$1034,SITE3!$E$4:$E$1034),_xlpm.cleanRaw,SUBSTITUTE(SUBSTITUTE(_xlpm.raw,"_PIN","."),"PIN","."),_xlpm.mainPart,MID(_xlpm.cleanRaw,2,FIND(".",_xlpm.cleanRaw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808063</v>
      </c>
      <c r="H217" t="str">
        <f>""</f>
        <v/>
      </c>
      <c r="I217" t="str">
        <f>""</f>
        <v/>
      </c>
      <c r="J217" t="str">
        <f t="shared" si="3"/>
        <v>K6;CLKOUT_SRC_N_11;;4.1545;2.4932;608063;808063;;</v>
      </c>
    </row>
    <row r="218" spans="1:10">
      <c r="A218" t="s">
        <v>4005</v>
      </c>
      <c r="B218" t="str">
        <f>_xlfn.XLOOKUP(A218,SITE1!$V$4:$V$1034,SITE1!$U$4:$U$1034,"")</f>
        <v>VSS</v>
      </c>
      <c r="C218" t="str" cm="1">
        <f t="array" ref="C218">_xlfn.TEXTJOIN(",",TRUE,_xlfn.UNIQUE(TRANSPOSE(_xlfn.MAP(_xlfn.XLOOKUP(A218,SITE1!$C$4:$C$1034,SITE1!$F$4:$O$1034,""),_xlfn.LAMBDA(_xlpm.x,IF(_xlpm.x&lt;&gt;"",TRIM(CLEAN(LEFT(_xlpm.x,FIND(".",_xlpm.x &amp; ".")-1))),""))))))</f>
        <v/>
      </c>
      <c r="D218">
        <v>4.1456999999999997</v>
      </c>
      <c r="E218">
        <v>4.8071999999999999</v>
      </c>
      <c r="F218" t="str">
        <f>_xlfn.LET(_xlpm.raw,_xlfn.XLOOKUP(A218,SITE1!$C$4:$C$1034,SITE1!$E$4:$E$1034),_xlpm.cleanRaw,SUBSTITUTE(SUBSTITUTE(_xlpm.raw,"_PIN","."),"PIN","."),_xlpm.mainPart,MID(_xlpm.cleanRaw,2,FIND(".",_xlpm.cleanRaw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8" t="str">
        <f>_xlfn.LET(_xlpm.raw,_xlfn.XLOOKUP(A218,SITE3!$C$4:$C$1034,SITE3!$E$4:$E$1034),_xlpm.cleanRaw,SUBSTITUTE(SUBSTITUTE(_xlpm.raw,"_PIN","."),"PIN","."),_xlpm.mainPart,MID(_xlpm.cleanRaw,2,FIND(".",_xlpm.cleanRaw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8" t="str">
        <f>""</f>
        <v/>
      </c>
      <c r="I218" t="str">
        <f>""</f>
        <v/>
      </c>
      <c r="J218" t="str">
        <f t="shared" si="3"/>
        <v>K11;VSS;;4.1457;4.8072;;;;</v>
      </c>
    </row>
    <row r="219" spans="1:10">
      <c r="A219" t="s">
        <v>3153</v>
      </c>
      <c r="B219" t="str">
        <f>_xlfn.XLOOKUP(A219,SITE1!$V$4:$V$1034,SITE1!$U$4:$U$1034,"")</f>
        <v>USB31_1_RXP</v>
      </c>
      <c r="C219" t="str" cm="1">
        <f t="array" ref="C219">_xlfn.TEXTJOIN(",",TRUE,_xlfn.UNIQUE(TRANSPOSE(_xlfn.MAP(_xlfn.XLOOKUP(A219,SITE1!$C$4:$C$1034,SITE1!$F$4:$O$1034,""),_xlfn.LAMBDA(_xlpm.x,IF(_xlpm.x&lt;&gt;"",TRIM(CLEAN(LEFT(_xlpm.x,FIND(".",_xlpm.x &amp; ".")-1))),""))))))</f>
        <v>CA201,LA202</v>
      </c>
      <c r="D219">
        <v>4.1937999999999898</v>
      </c>
      <c r="E219">
        <v>7.4349999999999996</v>
      </c>
      <c r="F219" t="str">
        <f>_xlfn.LET(_xlpm.raw,_xlfn.XLOOKUP(A219,SITE1!$C$4:$C$1034,SITE1!$E$4:$E$1034),_xlpm.cleanRaw,SUBSTITUTE(SUBSTITUTE(_xlpm.raw,"_PIN","."),"PIN","."),_xlpm.mainPart,MID(_xlpm.cleanRaw,2,FIND(".",_xlpm.cleanRaw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604031</v>
      </c>
      <c r="G219" t="str">
        <f>_xlfn.LET(_xlpm.raw,_xlfn.XLOOKUP(A219,SITE3!$C$4:$C$1034,SITE3!$E$4:$E$1034),_xlpm.cleanRaw,SUBSTITUTE(SUBSTITUTE(_xlpm.raw,"_PIN","."),"PIN","."),_xlpm.mainPart,MID(_xlpm.cleanRaw,2,FIND(".",_xlpm.cleanRaw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804031</v>
      </c>
      <c r="H219" t="str">
        <f>""</f>
        <v/>
      </c>
      <c r="I219" t="str">
        <f>""</f>
        <v/>
      </c>
      <c r="J219" t="str">
        <f t="shared" si="3"/>
        <v>K16;USB31_1_RXP;CA201,LA202;4.19379999999999;7.435;604031;804031;;</v>
      </c>
    </row>
    <row r="220" spans="1:10">
      <c r="A220" t="s">
        <v>3284</v>
      </c>
      <c r="B220" t="str">
        <f>_xlfn.XLOOKUP(A220,SITE1!$V$4:$V$1034,SITE1!$U$4:$U$1034,"")</f>
        <v>USB31_4_RXN</v>
      </c>
      <c r="C220" t="str" cm="1">
        <f t="array" ref="C220">_xlfn.TEXTJOIN(",",TRUE,_xlfn.UNIQUE(TRANSPOSE(_xlfn.MAP(_xlfn.XLOOKUP(A220,SITE1!$C$4:$C$1034,SITE1!$F$4:$O$1034,""),_xlfn.LAMBDA(_xlpm.x,IF(_xlpm.x&lt;&gt;"",TRIM(CLEAN(LEFT(_xlpm.x,FIND(".",_xlpm.x &amp; ".")-1))),""))))))</f>
        <v>CA208,LA216</v>
      </c>
      <c r="D220">
        <v>4.1937999999999898</v>
      </c>
      <c r="E220">
        <v>8.8066999999999993</v>
      </c>
      <c r="F220" t="str">
        <f>_xlfn.LET(_xlpm.raw,_xlfn.XLOOKUP(A220,SITE1!$C$4:$C$1034,SITE1!$E$4:$E$1034),_xlpm.cleanRaw,SUBSTITUTE(SUBSTITUTE(_xlpm.raw,"_PIN","."),"PIN","."),_xlpm.mainPart,MID(_xlpm.cleanRaw,2,FIND(".",_xlpm.cleanRaw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606111</v>
      </c>
      <c r="G220" t="str">
        <f>_xlfn.LET(_xlpm.raw,_xlfn.XLOOKUP(A220,SITE3!$C$4:$C$1034,SITE3!$E$4:$E$1034),_xlpm.cleanRaw,SUBSTITUTE(SUBSTITUTE(_xlpm.raw,"_PIN","."),"PIN","."),_xlpm.mainPart,MID(_xlpm.cleanRaw,2,FIND(".",_xlpm.cleanRaw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806111</v>
      </c>
      <c r="H220" t="str">
        <f>""</f>
        <v/>
      </c>
      <c r="I220" t="str">
        <f>""</f>
        <v/>
      </c>
      <c r="J220" t="str">
        <f t="shared" si="3"/>
        <v>K19;USB31_4_RXN;CA208,LA216;4.19379999999999;8.8067;606111;806111;;</v>
      </c>
    </row>
    <row r="221" spans="1:10">
      <c r="A221" t="s">
        <v>3319</v>
      </c>
      <c r="B221" t="str">
        <f>_xlfn.XLOOKUP(A221,SITE1!$V$4:$V$1034,SITE1!$U$4:$U$1034,"")</f>
        <v>USB31_5_RXN</v>
      </c>
      <c r="C221" t="str" cm="1">
        <f t="array" ref="C221">_xlfn.TEXTJOIN(",",TRUE,_xlfn.UNIQUE(TRANSPOSE(_xlfn.MAP(_xlfn.XLOOKUP(A221,SITE1!$C$4:$C$1034,SITE1!$F$4:$O$1034,""),_xlfn.LAMBDA(_xlpm.x,IF(_xlpm.x&lt;&gt;"",TRIM(CLEAN(LEFT(_xlpm.x,FIND(".",_xlpm.x &amp; ".")-1))),""))))))</f>
        <v>CA210,LA220</v>
      </c>
      <c r="D221">
        <v>4.1937999999999898</v>
      </c>
      <c r="E221">
        <v>10.164</v>
      </c>
      <c r="F221" t="str">
        <f>_xlfn.LET(_xlpm.raw,_xlfn.XLOOKUP(A221,SITE1!$C$4:$C$1034,SITE1!$E$4:$E$1034),_xlpm.cleanRaw,SUBSTITUTE(SUBSTITUTE(_xlpm.raw,"_PIN","."),"PIN","."),_xlpm.mainPart,MID(_xlpm.cleanRaw,2,FIND(".",_xlpm.cleanRaw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705069</v>
      </c>
      <c r="G221" t="str">
        <f>_xlfn.LET(_xlpm.raw,_xlfn.XLOOKUP(A221,SITE3!$C$4:$C$1034,SITE3!$E$4:$E$1034),_xlpm.cleanRaw,SUBSTITUTE(SUBSTITUTE(_xlpm.raw,"_PIN","."),"PIN","."),_xlpm.mainPart,MID(_xlpm.cleanRaw,2,FIND(".",_xlpm.cleanRaw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505069</v>
      </c>
      <c r="H221" t="str">
        <f>""</f>
        <v/>
      </c>
      <c r="I221" t="str">
        <f>""</f>
        <v/>
      </c>
      <c r="J221" t="str">
        <f t="shared" si="3"/>
        <v>K22;USB31_5_RXN;CA210,LA220;4.19379999999999;10.164;705069;505069;;</v>
      </c>
    </row>
    <row r="222" spans="1:10">
      <c r="A222" t="s">
        <v>3433</v>
      </c>
      <c r="B222" t="str">
        <f>_xlfn.XLOOKUP(A222,SITE1!$V$4:$V$1034,SITE1!$U$4:$U$1034,"")</f>
        <v>USB31_8_RXP</v>
      </c>
      <c r="C222" t="str" cm="1">
        <f t="array" ref="C222">_xlfn.TEXTJOIN(",",TRUE,_xlfn.UNIQUE(TRANSPOSE(_xlfn.MAP(_xlfn.XLOOKUP(A222,SITE1!$C$4:$C$1034,SITE1!$F$4:$O$1034,""),_xlfn.LAMBDA(_xlpm.x,IF(_xlpm.x&lt;&gt;"",TRIM(CLEAN(LEFT(_xlpm.x,FIND(".",_xlpm.x &amp; ".")-1))),""))))))</f>
        <v>CA215,LA230</v>
      </c>
      <c r="D222">
        <v>4.1937999999999898</v>
      </c>
      <c r="E222">
        <v>11.5357</v>
      </c>
      <c r="F222" t="str">
        <f>_xlfn.LET(_xlpm.raw,_xlfn.XLOOKUP(A222,SITE1!$C$4:$C$1034,SITE1!$E$4:$E$1034),_xlpm.cleanRaw,SUBSTITUTE(SUBSTITUTE(_xlpm.raw,"_PIN","."),"PIN","."),_xlpm.mainPart,MID(_xlpm.cleanRaw,2,FIND(".",_xlpm.cleanRaw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606103</v>
      </c>
      <c r="G222" t="str">
        <f>_xlfn.LET(_xlpm.raw,_xlfn.XLOOKUP(A222,SITE3!$C$4:$C$1034,SITE3!$E$4:$E$1034),_xlpm.cleanRaw,SUBSTITUTE(SUBSTITUTE(_xlpm.raw,"_PIN","."),"PIN","."),_xlpm.mainPart,MID(_xlpm.cleanRaw,2,FIND(".",_xlpm.cleanRaw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806103</v>
      </c>
      <c r="H222" t="str">
        <f>""</f>
        <v/>
      </c>
      <c r="I222" t="str">
        <f>""</f>
        <v/>
      </c>
      <c r="J222" t="str">
        <f t="shared" si="3"/>
        <v>K25;USB31_8_RXP;CA215,LA230;4.19379999999999;11.5357;606103;806103;;</v>
      </c>
    </row>
    <row r="223" spans="1:10">
      <c r="A223" t="s">
        <v>446</v>
      </c>
      <c r="B223" t="str">
        <f>_xlfn.XLOOKUP(A223,SITE1!$V$4:$V$1034,SITE1!$U$4:$U$1034,"")</f>
        <v>USB31_9_RXP</v>
      </c>
      <c r="C223" t="str" cm="1">
        <f t="array" ref="C223">_xlfn.TEXTJOIN(",",TRUE,_xlfn.UNIQUE(TRANSPOSE(_xlfn.MAP(_xlfn.XLOOKUP(A223,SITE1!$C$4:$C$1034,SITE1!$F$4:$O$1034,""),_xlfn.LAMBDA(_xlpm.x,IF(_xlpm.x&lt;&gt;"",TRIM(CLEAN(LEFT(_xlpm.x,FIND(".",_xlpm.x &amp; ".")-1))),""))))))</f>
        <v>CA217,LA234</v>
      </c>
      <c r="D223">
        <v>4.1937999999999898</v>
      </c>
      <c r="E223">
        <v>12.893000000000001</v>
      </c>
      <c r="F223" t="str">
        <f>_xlfn.LET(_xlpm.raw,_xlfn.XLOOKUP(A223,SITE1!$C$4:$C$1034,SITE1!$E$4:$E$1034),_xlpm.cleanRaw,SUBSTITUTE(SUBSTITUTE(_xlpm.raw,"_PIN","."),"PIN","."),_xlpm.mainPart,MID(_xlpm.cleanRaw,2,FIND(".",_xlpm.cleanRaw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708062</v>
      </c>
      <c r="G223" t="str">
        <f>_xlfn.LET(_xlpm.raw,_xlfn.XLOOKUP(A223,SITE3!$C$4:$C$1034,SITE3!$E$4:$E$1034),_xlpm.cleanRaw,SUBSTITUTE(SUBSTITUTE(_xlpm.raw,"_PIN","."),"PIN","."),_xlpm.mainPart,MID(_xlpm.cleanRaw,2,FIND(".",_xlpm.cleanRaw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508062</v>
      </c>
      <c r="H223" t="str">
        <f>""</f>
        <v/>
      </c>
      <c r="I223" t="str">
        <f>""</f>
        <v/>
      </c>
      <c r="J223" t="str">
        <f t="shared" si="3"/>
        <v>K28;USB31_9_RXP;CA217,LA234;4.19379999999999;12.893;708062;508062;;</v>
      </c>
    </row>
    <row r="224" spans="1:10">
      <c r="A224" t="s">
        <v>2397</v>
      </c>
      <c r="B224" t="str">
        <f>_xlfn.XLOOKUP(A224,SITE1!$V$4:$V$1034,SITE1!$U$4:$U$1034,"")</f>
        <v>PCIE_22_RXP</v>
      </c>
      <c r="C224" t="str" cm="1">
        <f t="array" ref="C224">_xlfn.TEXTJOIN(",",TRUE,_xlfn.UNIQUE(TRANSPOSE(_xlfn.MAP(_xlfn.XLOOKUP(A224,SITE1!$C$4:$C$1034,SITE1!$F$4:$O$1034,""),_xlfn.LAMBDA(_xlpm.x,IF(_xlpm.x&lt;&gt;"",TRIM(CLEAN(LEFT(_xlpm.x,FIND(".",_xlpm.x &amp; ".")-1))),""))))))</f>
        <v>CA263,LA326</v>
      </c>
      <c r="D224">
        <v>4.1937999999999898</v>
      </c>
      <c r="E224">
        <v>14.264699999999999</v>
      </c>
      <c r="F224" t="str">
        <f>_xlfn.LET(_xlpm.raw,_xlfn.XLOOKUP(A224,SITE1!$C$4:$C$1034,SITE1!$E$4:$E$1034),_xlpm.cleanRaw,SUBSTITUTE(SUBSTITUTE(_xlpm.raw,"_PIN","."),"PIN","."),_xlpm.mainPart,MID(_xlpm.cleanRaw,2,FIND(".",_xlpm.cleanRaw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707121</v>
      </c>
      <c r="G224" t="str">
        <f>_xlfn.LET(_xlpm.raw,_xlfn.XLOOKUP(A224,SITE3!$C$4:$C$1034,SITE3!$E$4:$E$1034),_xlpm.cleanRaw,SUBSTITUTE(SUBSTITUTE(_xlpm.raw,"_PIN","."),"PIN","."),_xlpm.mainPart,MID(_xlpm.cleanRaw,2,FIND(".",_xlpm.cleanRaw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507121</v>
      </c>
      <c r="H224" t="str">
        <f>""</f>
        <v/>
      </c>
      <c r="I224" t="str">
        <f>""</f>
        <v/>
      </c>
      <c r="J224" t="str">
        <f t="shared" si="3"/>
        <v>K31;PCIE_22_RXP;CA263,LA326;4.19379999999999;14.2647;707121;507121;;</v>
      </c>
    </row>
    <row r="225" spans="1:10">
      <c r="A225" t="s">
        <v>2422</v>
      </c>
      <c r="B225" t="str">
        <f>_xlfn.XLOOKUP(A225,SITE1!$V$4:$V$1034,SITE1!$U$4:$U$1034,"")</f>
        <v>PCIE_23_RXN</v>
      </c>
      <c r="C225" t="str" cm="1">
        <f t="array" ref="C225">_xlfn.TEXTJOIN(",",TRUE,_xlfn.UNIQUE(TRANSPOSE(_xlfn.MAP(_xlfn.XLOOKUP(A225,SITE1!$C$4:$C$1034,SITE1!$F$4:$O$1034,""),_xlfn.LAMBDA(_xlpm.x,IF(_xlpm.x&lt;&gt;"",TRIM(CLEAN(LEFT(_xlpm.x,FIND(".",_xlpm.x &amp; ".")-1))),""))))))</f>
        <v>CA266,LA332</v>
      </c>
      <c r="D225">
        <v>4.1937999999999898</v>
      </c>
      <c r="E225">
        <v>15.622</v>
      </c>
      <c r="F225" t="str">
        <f>_xlfn.LET(_xlpm.raw,_xlfn.XLOOKUP(A225,SITE1!$C$4:$C$1034,SITE1!$E$4:$E$1034),_xlpm.cleanRaw,SUBSTITUTE(SUBSTITUTE(_xlpm.raw,"_PIN","."),"PIN","."),_xlpm.mainPart,MID(_xlpm.cleanRaw,2,FIND(".",_xlpm.cleanRaw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707117</v>
      </c>
      <c r="G225" t="str">
        <f>_xlfn.LET(_xlpm.raw,_xlfn.XLOOKUP(A225,SITE3!$C$4:$C$1034,SITE3!$E$4:$E$1034),_xlpm.cleanRaw,SUBSTITUTE(SUBSTITUTE(_xlpm.raw,"_PIN","."),"PIN","."),_xlpm.mainPart,MID(_xlpm.cleanRaw,2,FIND(".",_xlpm.cleanRaw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507117</v>
      </c>
      <c r="H225" t="str">
        <f>""</f>
        <v/>
      </c>
      <c r="I225" t="str">
        <f>""</f>
        <v/>
      </c>
      <c r="J225" t="str">
        <f t="shared" si="3"/>
        <v>K34;PCIE_23_RXN;CA266,LA332;4.19379999999999;15.622;707117;507117;;</v>
      </c>
    </row>
    <row r="226" spans="1:10">
      <c r="A226" t="s">
        <v>559</v>
      </c>
      <c r="B226" t="str">
        <f>_xlfn.XLOOKUP(A226,SITE1!$V$4:$V$1034,SITE1!$U$4:$U$1034,"")</f>
        <v>DMI_6_RXP</v>
      </c>
      <c r="C226" t="str" cm="1">
        <f t="array" ref="C226">_xlfn.TEXTJOIN(",",TRUE,_xlfn.UNIQUE(TRANSPOSE(_xlfn.MAP(_xlfn.XLOOKUP(A226,SITE1!$C$4:$C$1034,SITE1!$F$4:$O$1034,""),_xlfn.LAMBDA(_xlpm.x,IF(_xlpm.x&lt;&gt;"",TRIM(CLEAN(LEFT(_xlpm.x,FIND(".",_xlpm.x &amp; ".")-1))),""))))))</f>
        <v>LA366</v>
      </c>
      <c r="D226">
        <v>4.1937999999999898</v>
      </c>
      <c r="E226">
        <v>16.9937</v>
      </c>
      <c r="F226" t="str">
        <f>_xlfn.LET(_xlpm.raw,_xlfn.XLOOKUP(A226,SITE1!$C$4:$C$1034,SITE1!$E$4:$E$1034),_xlpm.cleanRaw,SUBSTITUTE(SUBSTITUTE(_xlpm.raw,"_PIN","."),"PIN","."),_xlpm.mainPart,MID(_xlpm.cleanRaw,2,FIND(".",_xlpm.cleanRaw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709035</v>
      </c>
      <c r="G226" t="str">
        <f>_xlfn.LET(_xlpm.raw,_xlfn.XLOOKUP(A226,SITE3!$C$4:$C$1034,SITE3!$E$4:$E$1034),_xlpm.cleanRaw,SUBSTITUTE(SUBSTITUTE(_xlpm.raw,"_PIN","."),"PIN","."),_xlpm.mainPart,MID(_xlpm.cleanRaw,2,FIND(".",_xlpm.cleanRaw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509035</v>
      </c>
      <c r="H226" t="str">
        <f>""</f>
        <v/>
      </c>
      <c r="I226" t="str">
        <f>""</f>
        <v/>
      </c>
      <c r="J226" t="str">
        <f t="shared" si="3"/>
        <v>K36;DMI_6_RXP;LA366;4.19379999999999;16.9937;709035;509035;;</v>
      </c>
    </row>
    <row r="227" spans="1:10">
      <c r="A227" t="s">
        <v>528</v>
      </c>
      <c r="B227" t="str">
        <f>_xlfn.XLOOKUP(A227,SITE1!$V$4:$V$1034,SITE1!$U$4:$U$1034,"")</f>
        <v>DMI_5_RXN</v>
      </c>
      <c r="C227" t="str" cm="1">
        <f t="array" ref="C227">_xlfn.TEXTJOIN(",",TRUE,_xlfn.UNIQUE(TRANSPOSE(_xlfn.MAP(_xlfn.XLOOKUP(A227,SITE1!$C$4:$C$1034,SITE1!$F$4:$O$1034,""),_xlfn.LAMBDA(_xlpm.x,IF(_xlpm.x&lt;&gt;"",TRIM(CLEAN(LEFT(_xlpm.x,FIND(".",_xlpm.x &amp; ".")-1))),""))))))</f>
        <v>LA363</v>
      </c>
      <c r="D227">
        <v>4.1937999999999898</v>
      </c>
      <c r="E227">
        <v>18.350999999999999</v>
      </c>
      <c r="F227" t="str">
        <f>_xlfn.LET(_xlpm.raw,_xlfn.XLOOKUP(A227,SITE1!$C$4:$C$1034,SITE1!$E$4:$E$1034),_xlpm.cleanRaw,SUBSTITUTE(SUBSTITUTE(_xlpm.raw,"_PIN","."),"PIN","."),_xlpm.mainPart,MID(_xlpm.cleanRaw,2,FIND(".",_xlpm.cleanRaw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706031</v>
      </c>
      <c r="G227" t="str">
        <f>_xlfn.LET(_xlpm.raw,_xlfn.XLOOKUP(A227,SITE3!$C$4:$C$1034,SITE3!$E$4:$E$1034),_xlpm.cleanRaw,SUBSTITUTE(SUBSTITUTE(_xlpm.raw,"_PIN","."),"PIN","."),_xlpm.mainPart,MID(_xlpm.cleanRaw,2,FIND(".",_xlpm.cleanRaw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506031</v>
      </c>
      <c r="H227" t="str">
        <f>""</f>
        <v/>
      </c>
      <c r="I227" t="str">
        <f>""</f>
        <v/>
      </c>
      <c r="J227" t="str">
        <f t="shared" si="3"/>
        <v>K39;DMI_5_RXN;LA363;4.19379999999999;18.351;706031;506031;;</v>
      </c>
    </row>
    <row r="228" spans="1:10">
      <c r="A228" t="s">
        <v>483</v>
      </c>
      <c r="B228" t="str">
        <f>_xlfn.XLOOKUP(A228,SITE1!$V$4:$V$1034,SITE1!$U$4:$U$1034,"")</f>
        <v>DMI_3_RXN</v>
      </c>
      <c r="C228" t="str" cm="1">
        <f t="array" ref="C228">_xlfn.TEXTJOIN(",",TRUE,_xlfn.UNIQUE(TRANSPOSE(_xlfn.MAP(_xlfn.XLOOKUP(A228,SITE1!$C$4:$C$1034,SITE1!$F$4:$O$1034,""),_xlfn.LAMBDA(_xlpm.x,IF(_xlpm.x&lt;&gt;"",TRIM(CLEAN(LEFT(_xlpm.x,FIND(".",_xlpm.x &amp; ".")-1))),""))))))</f>
        <v>LA359</v>
      </c>
      <c r="D228">
        <v>4.1937999999999898</v>
      </c>
      <c r="E228">
        <v>19.7227</v>
      </c>
      <c r="F228" t="str">
        <f>_xlfn.LET(_xlpm.raw,_xlfn.XLOOKUP(A228,SITE1!$C$4:$C$1034,SITE1!$E$4:$E$1034),_xlpm.cleanRaw,SUBSTITUTE(SUBSTITUTE(_xlpm.raw,"_PIN","."),"PIN","."),_xlpm.mainPart,MID(_xlpm.cleanRaw,2,FIND(".",_xlpm.cleanRaw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706029</v>
      </c>
      <c r="G228" t="str">
        <f>_xlfn.LET(_xlpm.raw,_xlfn.XLOOKUP(A228,SITE3!$C$4:$C$1034,SITE3!$E$4:$E$1034),_xlpm.cleanRaw,SUBSTITUTE(SUBSTITUTE(_xlpm.raw,"_PIN","."),"PIN","."),_xlpm.mainPart,MID(_xlpm.cleanRaw,2,FIND(".",_xlpm.cleanRaw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506029</v>
      </c>
      <c r="H228" t="str">
        <f>""</f>
        <v/>
      </c>
      <c r="I228" t="str">
        <f>""</f>
        <v/>
      </c>
      <c r="J228" t="str">
        <f t="shared" si="3"/>
        <v>K42;DMI_3_RXN;LA359;4.19379999999999;19.7227;706029;506029;;</v>
      </c>
    </row>
    <row r="229" spans="1:10">
      <c r="A229" t="s">
        <v>4007</v>
      </c>
      <c r="B229" t="str">
        <f>_xlfn.XLOOKUP(A229,SITE1!$V$4:$V$1034,SITE1!$U$4:$U$1034,"")</f>
        <v>VSS</v>
      </c>
      <c r="C229" t="str" cm="1">
        <f t="array" ref="C229">_xlfn.TEXTJOIN(",",TRUE,_xlfn.UNIQUE(TRANSPOSE(_xlfn.MAP(_xlfn.XLOOKUP(A229,SITE1!$C$4:$C$1034,SITE1!$F$4:$O$1034,""),_xlfn.LAMBDA(_xlpm.x,IF(_xlpm.x&lt;&gt;"",TRIM(CLEAN(LEFT(_xlpm.x,FIND(".",_xlpm.x &amp; ".")-1))),""))))))</f>
        <v/>
      </c>
      <c r="D229">
        <v>4.1937999999999898</v>
      </c>
      <c r="E229">
        <v>21.08</v>
      </c>
      <c r="F229" t="str">
        <f>_xlfn.LET(_xlpm.raw,_xlfn.XLOOKUP(A229,SITE1!$C$4:$C$1034,SITE1!$E$4:$E$1034),_xlpm.cleanRaw,SUBSTITUTE(SUBSTITUTE(_xlpm.raw,"_PIN","."),"PIN","."),_xlpm.mainPart,MID(_xlpm.cleanRaw,2,FIND(".",_xlpm.cleanRaw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9" t="str">
        <f>_xlfn.LET(_xlpm.raw,_xlfn.XLOOKUP(A229,SITE3!$C$4:$C$1034,SITE3!$E$4:$E$1034),_xlpm.cleanRaw,SUBSTITUTE(SUBSTITUTE(_xlpm.raw,"_PIN","."),"PIN","."),_xlpm.mainPart,MID(_xlpm.cleanRaw,2,FIND(".",_xlpm.cleanRaw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9" t="str">
        <f>""</f>
        <v/>
      </c>
      <c r="I229" t="str">
        <f>""</f>
        <v/>
      </c>
      <c r="J229" t="str">
        <f t="shared" si="3"/>
        <v>K45;VSS;;4.19379999999999;21.08;;;;</v>
      </c>
    </row>
    <row r="230" spans="1:10">
      <c r="A230" t="s">
        <v>4009</v>
      </c>
      <c r="B230" t="str">
        <f>_xlfn.XLOOKUP(A230,SITE1!$V$4:$V$1034,SITE1!$U$4:$U$1034,"")</f>
        <v>VSS</v>
      </c>
      <c r="C230" t="str" cm="1">
        <f t="array" ref="C230">_xlfn.TEXTJOIN(",",TRUE,_xlfn.UNIQUE(TRANSPOSE(_xlfn.MAP(_xlfn.XLOOKUP(A230,SITE1!$C$4:$C$1034,SITE1!$F$4:$O$1034,""),_xlfn.LAMBDA(_xlpm.x,IF(_xlpm.x&lt;&gt;"",TRIM(CLEAN(LEFT(_xlpm.x,FIND(".",_xlpm.x &amp; ".")-1))),""))))))</f>
        <v/>
      </c>
      <c r="D230">
        <v>4.1544999999999996</v>
      </c>
      <c r="E230">
        <v>24.384999999999899</v>
      </c>
      <c r="F230" t="str">
        <f>_xlfn.LET(_xlpm.raw,_xlfn.XLOOKUP(A230,SITE1!$C$4:$C$1034,SITE1!$E$4:$E$1034),_xlpm.cleanRaw,SUBSTITUTE(SUBSTITUTE(_xlpm.raw,"_PIN","."),"PIN","."),_xlpm.mainPart,MID(_xlpm.cleanRaw,2,FIND(".",_xlpm.cleanRaw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0" t="str">
        <f>_xlfn.LET(_xlpm.raw,_xlfn.XLOOKUP(A230,SITE3!$C$4:$C$1034,SITE3!$E$4:$E$1034),_xlpm.cleanRaw,SUBSTITUTE(SUBSTITUTE(_xlpm.raw,"_PIN","."),"PIN","."),_xlpm.mainPart,MID(_xlpm.cleanRaw,2,FIND(".",_xlpm.cleanRaw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0" t="str">
        <f>""</f>
        <v/>
      </c>
      <c r="I230" t="str">
        <f>""</f>
        <v/>
      </c>
      <c r="J230" t="str">
        <f t="shared" si="3"/>
        <v>K52;VSS;;4.1545;24.3849999999999;;;;</v>
      </c>
    </row>
    <row r="231" spans="1:10">
      <c r="A231" t="s">
        <v>4010</v>
      </c>
      <c r="B231" t="str">
        <f>_xlfn.XLOOKUP(A231,SITE1!$V$4:$V$1034,SITE1!$U$4:$U$1034,"")</f>
        <v>VSS</v>
      </c>
      <c r="C231" t="str" cm="1">
        <f t="array" ref="C231">_xlfn.TEXTJOIN(",",TRUE,_xlfn.UNIQUE(TRANSPOSE(_xlfn.MAP(_xlfn.XLOOKUP(A231,SITE1!$C$4:$C$1034,SITE1!$F$4:$O$1034,""),_xlfn.LAMBDA(_xlpm.x,IF(_xlpm.x&lt;&gt;"",TRIM(CLEAN(LEFT(_xlpm.x,FIND(".",_xlpm.x &amp; ".")-1))),""))))))</f>
        <v/>
      </c>
      <c r="D231">
        <v>4.0195999999999996</v>
      </c>
      <c r="E231">
        <v>25.098700000000001</v>
      </c>
      <c r="F231" t="str">
        <f>_xlfn.LET(_xlpm.raw,_xlfn.XLOOKUP(A231,SITE1!$C$4:$C$1034,SITE1!$E$4:$E$1034),_xlpm.cleanRaw,SUBSTITUTE(SUBSTITUTE(_xlpm.raw,"_PIN","."),"PIN","."),_xlpm.mainPart,MID(_xlpm.cleanRaw,2,FIND(".",_xlpm.cleanRaw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1" t="str">
        <f>_xlfn.LET(_xlpm.raw,_xlfn.XLOOKUP(A231,SITE3!$C$4:$C$1034,SITE3!$E$4:$E$1034),_xlpm.cleanRaw,SUBSTITUTE(SUBSTITUTE(_xlpm.raw,"_PIN","."),"PIN","."),_xlpm.mainPart,MID(_xlpm.cleanRaw,2,FIND(".",_xlpm.cleanRaw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1" t="str">
        <f>""</f>
        <v/>
      </c>
      <c r="I231" t="str">
        <f>""</f>
        <v/>
      </c>
      <c r="J231" t="str">
        <f t="shared" si="3"/>
        <v>K53;VSS;;4.0196;25.0987;;;;</v>
      </c>
    </row>
    <row r="232" spans="1:10">
      <c r="A232" t="s">
        <v>795</v>
      </c>
      <c r="B232" t="str">
        <f>_xlfn.XLOOKUP(A232,SITE1!$V$4:$V$1034,SITE1!$U$4:$U$1034,"")</f>
        <v>GPP_A_7_ESPI_CS1B</v>
      </c>
      <c r="C232" t="str" cm="1">
        <f t="array" ref="C232">_xlfn.TEXTJOIN(",",TRUE,_xlfn.UNIQUE(TRANSPOSE(_xlfn.MAP(_xlfn.XLOOKUP(A232,SITE1!$C$4:$C$1034,SITE1!$F$4:$O$1034,""),_xlfn.LAMBDA(_xlpm.x,IF(_xlpm.x&lt;&gt;"",TRIM(CLEAN(LEFT(_xlpm.x,FIND(".",_xlpm.x &amp; ".")-1))),""))))))</f>
        <v/>
      </c>
      <c r="D232">
        <v>3.9128999999999898</v>
      </c>
      <c r="E232">
        <v>25.598099999999999</v>
      </c>
      <c r="F232" t="str">
        <f>_xlfn.LET(_xlpm.raw,_xlfn.XLOOKUP(A232,SITE1!$C$4:$C$1034,SITE1!$E$4:$E$1034),_xlpm.cleanRaw,SUBSTITUTE(SUBSTITUTE(_xlpm.raw,"_PIN","."),"PIN","."),_xlpm.mainPart,MID(_xlpm.cleanRaw,2,FIND(".",_xlpm.cleanRaw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709034</v>
      </c>
      <c r="G232" t="str">
        <f>_xlfn.LET(_xlpm.raw,_xlfn.XLOOKUP(A232,SITE3!$C$4:$C$1034,SITE3!$E$4:$E$1034),_xlpm.cleanRaw,SUBSTITUTE(SUBSTITUTE(_xlpm.raw,"_PIN","."),"PIN","."),_xlpm.mainPart,MID(_xlpm.cleanRaw,2,FIND(".",_xlpm.cleanRaw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509034</v>
      </c>
      <c r="H232" t="str">
        <f>""</f>
        <v/>
      </c>
      <c r="I232" t="str">
        <f>""</f>
        <v/>
      </c>
      <c r="J232" t="str">
        <f t="shared" si="3"/>
        <v>K55;GPP_A_7_ESPI_CS1B;;3.91289999999999;25.5981;709034;509034;;</v>
      </c>
    </row>
    <row r="233" spans="1:10">
      <c r="A233" t="s">
        <v>750</v>
      </c>
      <c r="B233" t="str">
        <f>_xlfn.XLOOKUP(A233,SITE1!$V$4:$V$1034,SITE1!$U$4:$U$1034,"")</f>
        <v>GPP_A_10_ESPI_ALERT0B</v>
      </c>
      <c r="C233" t="str" cm="1">
        <f t="array" ref="C233">_xlfn.TEXTJOIN(",",TRUE,_xlfn.UNIQUE(TRANSPOSE(_xlfn.MAP(_xlfn.XLOOKUP(A233,SITE1!$C$4:$C$1034,SITE1!$F$4:$O$1034,""),_xlfn.LAMBDA(_xlpm.x,IF(_xlpm.x&lt;&gt;"",TRIM(CLEAN(LEFT(_xlpm.x,FIND(".",_xlpm.x &amp; ".")-1))),""))))))</f>
        <v/>
      </c>
      <c r="D233">
        <v>4.0665999999999896</v>
      </c>
      <c r="E233">
        <v>26.1416</v>
      </c>
      <c r="F233" t="str">
        <f>_xlfn.LET(_xlpm.raw,_xlfn.XLOOKUP(A233,SITE1!$C$4:$C$1034,SITE1!$E$4:$E$1034),_xlpm.cleanRaw,SUBSTITUTE(SUBSTITUTE(_xlpm.raw,"_PIN","."),"PIN","."),_xlpm.mainPart,MID(_xlpm.cleanRaw,2,FIND(".",_xlpm.cleanRaw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706016</v>
      </c>
      <c r="G233" t="str">
        <f>_xlfn.LET(_xlpm.raw,_xlfn.XLOOKUP(A233,SITE3!$C$4:$C$1034,SITE3!$E$4:$E$1034),_xlpm.cleanRaw,SUBSTITUTE(SUBSTITUTE(_xlpm.raw,"_PIN","."),"PIN","."),_xlpm.mainPart,MID(_xlpm.cleanRaw,2,FIND(".",_xlpm.cleanRaw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506016</v>
      </c>
      <c r="H233" t="str">
        <f>""</f>
        <v/>
      </c>
      <c r="I233" t="str">
        <f>""</f>
        <v/>
      </c>
      <c r="J233" t="str">
        <f t="shared" si="3"/>
        <v>K56;GPP_A_10_ESPI_ALERT0B;;4.06659999999999;26.1416;706016;506016;;</v>
      </c>
    </row>
    <row r="234" spans="1:10">
      <c r="A234" t="s">
        <v>172</v>
      </c>
      <c r="B234" t="str">
        <f>_xlfn.XLOOKUP(A234,SITE1!$V$4:$V$1034,SITE1!$U$4:$U$1034,"")</f>
        <v>CLKOUT_SRC_P_3</v>
      </c>
      <c r="C234" t="str" cm="1">
        <f t="array" ref="C234">_xlfn.TEXTJOIN(",",TRUE,_xlfn.UNIQUE(TRANSPOSE(_xlfn.MAP(_xlfn.XLOOKUP(A234,SITE1!$C$4:$C$1034,SITE1!$F$4:$O$1034,""),_xlfn.LAMBDA(_xlpm.x,IF(_xlpm.x&lt;&gt;"",TRIM(CLEAN(LEFT(_xlpm.x,FIND(".",_xlpm.x &amp; ".")-1))),""))))))</f>
        <v/>
      </c>
      <c r="D234">
        <v>4.4294999999999902</v>
      </c>
      <c r="E234">
        <v>1.2211999999999901</v>
      </c>
      <c r="F234" t="str">
        <f>_xlfn.LET(_xlpm.raw,_xlfn.XLOOKUP(A234,SITE1!$C$4:$C$1034,SITE1!$E$4:$E$1034),_xlpm.cleanRaw,SUBSTITUTE(SUBSTITUTE(_xlpm.raw,"_PIN","."),"PIN","."),_xlpm.mainPart,MID(_xlpm.cleanRaw,2,FIND(".",_xlpm.cleanRaw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607022</v>
      </c>
      <c r="G234" t="str">
        <f>_xlfn.LET(_xlpm.raw,_xlfn.XLOOKUP(A234,SITE3!$C$4:$C$1034,SITE3!$E$4:$E$1034),_xlpm.cleanRaw,SUBSTITUTE(SUBSTITUTE(_xlpm.raw,"_PIN","."),"PIN","."),_xlpm.mainPart,MID(_xlpm.cleanRaw,2,FIND(".",_xlpm.cleanRaw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807022</v>
      </c>
      <c r="H234" t="str">
        <f>""</f>
        <v/>
      </c>
      <c r="I234" t="str">
        <f>""</f>
        <v/>
      </c>
      <c r="J234" t="str">
        <f t="shared" si="3"/>
        <v>L3;CLKOUT_SRC_P_3;;4.42949999999999;1.22119999999999;607022;807022;;</v>
      </c>
    </row>
    <row r="235" spans="1:10">
      <c r="A235" t="s">
        <v>4011</v>
      </c>
      <c r="B235" t="str">
        <f>_xlfn.XLOOKUP(A235,SITE1!$V$4:$V$1034,SITE1!$U$4:$U$1034,"")</f>
        <v>VSS</v>
      </c>
      <c r="C235" t="str" cm="1">
        <f t="array" ref="C235">_xlfn.TEXTJOIN(",",TRUE,_xlfn.UNIQUE(TRANSPOSE(_xlfn.MAP(_xlfn.XLOOKUP(A235,SITE1!$C$4:$C$1034,SITE1!$F$4:$O$1034,""),_xlfn.LAMBDA(_xlpm.x,IF(_xlpm.x&lt;&gt;"",TRIM(CLEAN(LEFT(_xlpm.x,FIND(".",_xlpm.x &amp; ".")-1))),""))))))</f>
        <v/>
      </c>
      <c r="D235">
        <v>4.5214999999999996</v>
      </c>
      <c r="E235">
        <v>1.7414000000000001</v>
      </c>
      <c r="F235" t="str">
        <f>_xlfn.LET(_xlpm.raw,_xlfn.XLOOKUP(A235,SITE1!$C$4:$C$1034,SITE1!$E$4:$E$1034),_xlpm.cleanRaw,SUBSTITUTE(SUBSTITUTE(_xlpm.raw,"_PIN","."),"PIN","."),_xlpm.mainPart,MID(_xlpm.cleanRaw,2,FIND(".",_xlpm.cleanRaw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5" t="str">
        <f>_xlfn.LET(_xlpm.raw,_xlfn.XLOOKUP(A235,SITE3!$C$4:$C$1034,SITE3!$E$4:$E$1034),_xlpm.cleanRaw,SUBSTITUTE(SUBSTITUTE(_xlpm.raw,"_PIN","."),"PIN","."),_xlpm.mainPart,MID(_xlpm.cleanRaw,2,FIND(".",_xlpm.cleanRaw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5" t="str">
        <f>""</f>
        <v/>
      </c>
      <c r="I235" t="str">
        <f>""</f>
        <v/>
      </c>
      <c r="J235" t="str">
        <f t="shared" si="3"/>
        <v>L4;VSS;;4.5215;1.7414;;;;</v>
      </c>
    </row>
    <row r="236" spans="1:10">
      <c r="A236" t="s">
        <v>152</v>
      </c>
      <c r="B236" t="str">
        <f>_xlfn.XLOOKUP(A236,SITE1!$V$4:$V$1034,SITE1!$U$4:$U$1034,"")</f>
        <v>CLKOUT_SRC_P_11</v>
      </c>
      <c r="C236" t="str" cm="1">
        <f t="array" ref="C236">_xlfn.TEXTJOIN(",",TRUE,_xlfn.UNIQUE(TRANSPOSE(_xlfn.MAP(_xlfn.XLOOKUP(A236,SITE1!$C$4:$C$1034,SITE1!$F$4:$O$1034,""),_xlfn.LAMBDA(_xlpm.x,IF(_xlpm.x&lt;&gt;"",TRIM(CLEAN(LEFT(_xlpm.x,FIND(".",_xlpm.x &amp; ".")-1))),""))))))</f>
        <v/>
      </c>
      <c r="D236">
        <v>4.4954999999999998</v>
      </c>
      <c r="E236">
        <v>3.1497999999999902</v>
      </c>
      <c r="F236" t="str">
        <f>_xlfn.LET(_xlpm.raw,_xlfn.XLOOKUP(A236,SITE1!$C$4:$C$1034,SITE1!$E$4:$E$1034),_xlpm.cleanRaw,SUBSTITUTE(SUBSTITUTE(_xlpm.raw,"_PIN","."),"PIN","."),_xlpm.mainPart,MID(_xlpm.cleanRaw,2,FIND(".",_xlpm.cleanRaw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608065</v>
      </c>
      <c r="G236" t="str">
        <f>_xlfn.LET(_xlpm.raw,_xlfn.XLOOKUP(A236,SITE3!$C$4:$C$1034,SITE3!$E$4:$E$1034),_xlpm.cleanRaw,SUBSTITUTE(SUBSTITUTE(_xlpm.raw,"_PIN","."),"PIN","."),_xlpm.mainPart,MID(_xlpm.cleanRaw,2,FIND(".",_xlpm.cleanRaw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808065</v>
      </c>
      <c r="H236" t="str">
        <f>""</f>
        <v/>
      </c>
      <c r="I236" t="str">
        <f>""</f>
        <v/>
      </c>
      <c r="J236" t="str">
        <f t="shared" si="3"/>
        <v>L7;CLKOUT_SRC_P_11;;4.4955;3.14979999999999;608065;808065;;</v>
      </c>
    </row>
    <row r="237" spans="1:10">
      <c r="A237" t="s">
        <v>2289</v>
      </c>
      <c r="B237" t="str">
        <f>_xlfn.XLOOKUP(A237,SITE1!$V$4:$V$1034,SITE1!$U$4:$U$1034,"")</f>
        <v>VSS</v>
      </c>
      <c r="C237" t="str" cm="1">
        <f t="array" ref="C237">_xlfn.TEXTJOIN(",",TRUE,_xlfn.UNIQUE(TRANSPOSE(_xlfn.MAP(_xlfn.XLOOKUP(A237,SITE1!$C$4:$C$1034,SITE1!$F$4:$O$1034,""),_xlfn.LAMBDA(_xlpm.x,IF(_xlpm.x&lt;&gt;"",TRIM(CLEAN(LEFT(_xlpm.x,FIND(".",_xlpm.x &amp; ".")-1))),""))))))</f>
        <v/>
      </c>
      <c r="D237">
        <v>4.6318999999999999</v>
      </c>
      <c r="E237">
        <v>5.7642999999999898</v>
      </c>
      <c r="F237" t="str">
        <f>_xlfn.LET(_xlpm.raw,_xlfn.XLOOKUP(A237,SITE1!$C$4:$C$1034,SITE1!$E$4:$E$1034),_xlpm.cleanRaw,SUBSTITUTE(SUBSTITUTE(_xlpm.raw,"_PIN","."),"PIN","."),_xlpm.mainPart,MID(_xlpm.cleanRaw,2,FIND(".",_xlpm.cleanRaw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7" t="str">
        <f>_xlfn.LET(_xlpm.raw,_xlfn.XLOOKUP(A237,SITE3!$C$4:$C$1034,SITE3!$E$4:$E$1034),_xlpm.cleanRaw,SUBSTITUTE(SUBSTITUTE(_xlpm.raw,"_PIN","."),"PIN","."),_xlpm.mainPart,MID(_xlpm.cleanRaw,2,FIND(".",_xlpm.cleanRaw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7" t="str">
        <f>""</f>
        <v/>
      </c>
      <c r="I237" t="str">
        <f>""</f>
        <v/>
      </c>
      <c r="J237" t="str">
        <f t="shared" si="3"/>
        <v>L13;VSS;;4.6319;5.76429999999999;;;;</v>
      </c>
    </row>
    <row r="238" spans="1:10">
      <c r="A238" t="s">
        <v>2298</v>
      </c>
      <c r="B238" t="str">
        <f>_xlfn.XLOOKUP(A238,SITE1!$V$4:$V$1034,SITE1!$U$4:$U$1034,"")</f>
        <v>USB2P_10</v>
      </c>
      <c r="C238" t="str" cm="1">
        <f t="array" ref="C238">_xlfn.TEXTJOIN(",",TRUE,_xlfn.UNIQUE(TRANSPOSE(_xlfn.MAP(_xlfn.XLOOKUP(A238,SITE1!$C$4:$C$1034,SITE1!$F$4:$O$1034,""),_xlfn.LAMBDA(_xlpm.x,IF(_xlpm.x&lt;&gt;"",TRIM(CLEAN(LEFT(_xlpm.x,FIND(".",_xlpm.x &amp; ".")-1))),""))))))</f>
        <v/>
      </c>
      <c r="D238">
        <v>4.6318999999999999</v>
      </c>
      <c r="E238">
        <v>6.4882</v>
      </c>
      <c r="F238" t="str">
        <f>_xlfn.LET(_xlpm.raw,_xlfn.XLOOKUP(A238,SITE1!$C$4:$C$1034,SITE1!$E$4:$E$1034),_xlpm.cleanRaw,SUBSTITUTE(SUBSTITUTE(_xlpm.raw,"_PIN","."),"PIN","."),_xlpm.mainPart,MID(_xlpm.cleanRaw,2,FIND(".",_xlpm.cleanRaw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605078</v>
      </c>
      <c r="G238" t="str">
        <f>_xlfn.LET(_xlpm.raw,_xlfn.XLOOKUP(A238,SITE3!$C$4:$C$1034,SITE3!$E$4:$E$1034),_xlpm.cleanRaw,SUBSTITUTE(SUBSTITUTE(_xlpm.raw,"_PIN","."),"PIN","."),_xlpm.mainPart,MID(_xlpm.cleanRaw,2,FIND(".",_xlpm.cleanRaw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805078</v>
      </c>
      <c r="H238" t="str">
        <f>""</f>
        <v/>
      </c>
      <c r="I238" t="str">
        <f>""</f>
        <v/>
      </c>
      <c r="J238" t="str">
        <f t="shared" si="3"/>
        <v>L14;USB2P_10;;4.6319;6.4882;605078;805078;;</v>
      </c>
    </row>
    <row r="239" spans="1:10">
      <c r="A239" t="s">
        <v>2641</v>
      </c>
      <c r="B239" t="str">
        <f>_xlfn.XLOOKUP(A239,SITE1!$V$4:$V$1034,SITE1!$U$4:$U$1034,"")</f>
        <v>VSS</v>
      </c>
      <c r="C239" t="str" cm="1">
        <f t="array" ref="C239">_xlfn.TEXTJOIN(",",TRUE,_xlfn.UNIQUE(TRANSPOSE(_xlfn.MAP(_xlfn.XLOOKUP(A239,SITE1!$C$4:$C$1034,SITE1!$F$4:$O$1034,""),_xlfn.LAMBDA(_xlpm.x,IF(_xlpm.x&lt;&gt;"",TRIM(CLEAN(LEFT(_xlpm.x,FIND(".",_xlpm.x &amp; ".")-1))),""))))))</f>
        <v/>
      </c>
      <c r="D239">
        <v>4.3067999999999902</v>
      </c>
      <c r="E239">
        <v>6.9192</v>
      </c>
      <c r="F239" t="str">
        <f>_xlfn.LET(_xlpm.raw,_xlfn.XLOOKUP(A239,SITE1!$C$4:$C$1034,SITE1!$E$4:$E$1034),_xlpm.cleanRaw,SUBSTITUTE(SUBSTITUTE(_xlpm.raw,"_PIN","."),"PIN","."),_xlpm.mainPart,MID(_xlpm.cleanRaw,2,FIND(".",_xlpm.cleanRaw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9" t="str">
        <f>_xlfn.LET(_xlpm.raw,_xlfn.XLOOKUP(A239,SITE3!$C$4:$C$1034,SITE3!$E$4:$E$1034),_xlpm.cleanRaw,SUBSTITUTE(SUBSTITUTE(_xlpm.raw,"_PIN","."),"PIN","."),_xlpm.mainPart,MID(_xlpm.cleanRaw,2,FIND(".",_xlpm.cleanRaw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9" t="str">
        <f>""</f>
        <v/>
      </c>
      <c r="I239" t="str">
        <f>""</f>
        <v/>
      </c>
      <c r="J239" t="str">
        <f t="shared" si="3"/>
        <v>L15;VSS;;4.30679999999999;6.9192;;;;</v>
      </c>
    </row>
    <row r="240" spans="1:10">
      <c r="A240" t="s">
        <v>2191</v>
      </c>
      <c r="B240" t="str">
        <f>_xlfn.XLOOKUP(A240,SITE1!$V$4:$V$1034,SITE1!$U$4:$U$1034,"")</f>
        <v>VSS</v>
      </c>
      <c r="C240" t="str" cm="1">
        <f t="array" ref="C240">_xlfn.TEXTJOIN(",",TRUE,_xlfn.UNIQUE(TRANSPOSE(_xlfn.MAP(_xlfn.XLOOKUP(A240,SITE1!$C$4:$C$1034,SITE1!$F$4:$O$1034,""),_xlfn.LAMBDA(_xlpm.x,IF(_xlpm.x&lt;&gt;"",TRIM(CLEAN(LEFT(_xlpm.x,FIND(".",_xlpm.x &amp; ".")-1))),""))))))</f>
        <v/>
      </c>
      <c r="D240">
        <v>4.6807999999999996</v>
      </c>
      <c r="E240">
        <v>20.7468</v>
      </c>
      <c r="F240" t="str">
        <f>_xlfn.LET(_xlpm.raw,_xlfn.XLOOKUP(A240,SITE1!$C$4:$C$1034,SITE1!$E$4:$E$1034),_xlpm.cleanRaw,SUBSTITUTE(SUBSTITUTE(_xlpm.raw,"_PIN","."),"PIN","."),_xlpm.mainPart,MID(_xlpm.cleanRaw,2,FIND(".",_xlpm.cleanRaw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40" t="str">
        <f>_xlfn.LET(_xlpm.raw,_xlfn.XLOOKUP(A240,SITE3!$C$4:$C$1034,SITE3!$E$4:$E$1034),_xlpm.cleanRaw,SUBSTITUTE(SUBSTITUTE(_xlpm.raw,"_PIN","."),"PIN","."),_xlpm.mainPart,MID(_xlpm.cleanRaw,2,FIND(".",_xlpm.cleanRaw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40" t="str">
        <f>""</f>
        <v/>
      </c>
      <c r="I240" t="str">
        <f>""</f>
        <v/>
      </c>
      <c r="J240" t="str">
        <f t="shared" si="3"/>
        <v>L44;VSS;;4.6808;20.7468;;;;</v>
      </c>
    </row>
    <row r="241" spans="1:10">
      <c r="A241" t="s">
        <v>2360</v>
      </c>
      <c r="B241" t="str">
        <f>_xlfn.XLOOKUP(A241,SITE1!$V$4:$V$1034,SITE1!$U$4:$U$1034,"")</f>
        <v>VSS</v>
      </c>
      <c r="C241" t="str" cm="1">
        <f t="array" ref="C241">_xlfn.TEXTJOIN(",",TRUE,_xlfn.UNIQUE(TRANSPOSE(_xlfn.MAP(_xlfn.XLOOKUP(A241,SITE1!$C$4:$C$1034,SITE1!$F$4:$O$1034,""),_xlfn.LAMBDA(_xlpm.x,IF(_xlpm.x&lt;&gt;"",TRIM(CLEAN(LEFT(_xlpm.x,FIND(".",_xlpm.x &amp; ".")-1))),""))))))</f>
        <v/>
      </c>
      <c r="D241">
        <v>4.4954999999999998</v>
      </c>
      <c r="E241">
        <v>23.728400000000001</v>
      </c>
      <c r="F241" t="str">
        <f>_xlfn.LET(_xlpm.raw,_xlfn.XLOOKUP(A241,SITE1!$C$4:$C$1034,SITE1!$E$4:$E$1034),_xlpm.cleanRaw,SUBSTITUTE(SUBSTITUTE(_xlpm.raw,"_PIN","."),"PIN","."),_xlpm.mainPart,MID(_xlpm.cleanRaw,2,FIND(".",_xlpm.cleanRaw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41" t="str">
        <f>_xlfn.LET(_xlpm.raw,_xlfn.XLOOKUP(A241,SITE3!$C$4:$C$1034,SITE3!$E$4:$E$1034),_xlpm.cleanRaw,SUBSTITUTE(SUBSTITUTE(_xlpm.raw,"_PIN","."),"PIN","."),_xlpm.mainPart,MID(_xlpm.cleanRaw,2,FIND(".",_xlpm.cleanRaw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41" t="str">
        <f>""</f>
        <v/>
      </c>
      <c r="I241" t="str">
        <f>""</f>
        <v/>
      </c>
      <c r="J241" t="str">
        <f t="shared" si="3"/>
        <v>L51;VSS;;4.4955;23.7284;;;;</v>
      </c>
    </row>
    <row r="242" spans="1:10">
      <c r="A242" t="s">
        <v>760</v>
      </c>
      <c r="B242" t="str">
        <f>_xlfn.XLOOKUP(A242,SITE1!$V$4:$V$1034,SITE1!$U$4:$U$1034,"")</f>
        <v>GPP_A_12_ESPI_ALERT2B</v>
      </c>
      <c r="C242" t="str" cm="1">
        <f t="array" ref="C242">_xlfn.TEXTJOIN(",",TRUE,_xlfn.UNIQUE(TRANSPOSE(_xlfn.MAP(_xlfn.XLOOKUP(A242,SITE1!$C$4:$C$1034,SITE1!$F$4:$O$1034,""),_xlfn.LAMBDA(_xlpm.x,IF(_xlpm.x&lt;&gt;"",TRIM(CLEAN(LEFT(_xlpm.x,FIND(".",_xlpm.x &amp; ".")-1))),""))))))</f>
        <v/>
      </c>
      <c r="D242">
        <v>4.5214999999999996</v>
      </c>
      <c r="E242">
        <v>25.136800000000001</v>
      </c>
      <c r="F242" t="str">
        <f>_xlfn.LET(_xlpm.raw,_xlfn.XLOOKUP(A242,SITE1!$C$4:$C$1034,SITE1!$E$4:$E$1034),_xlpm.cleanRaw,SUBSTITUTE(SUBSTITUTE(_xlpm.raw,"_PIN","."),"PIN","."),_xlpm.mainPart,MID(_xlpm.cleanRaw,2,FIND(".",_xlpm.cleanRaw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708076</v>
      </c>
      <c r="G242" t="str">
        <f>_xlfn.LET(_xlpm.raw,_xlfn.XLOOKUP(A242,SITE3!$C$4:$C$1034,SITE3!$E$4:$E$1034),_xlpm.cleanRaw,SUBSTITUTE(SUBSTITUTE(_xlpm.raw,"_PIN","."),"PIN","."),_xlpm.mainPart,MID(_xlpm.cleanRaw,2,FIND(".",_xlpm.cleanRaw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508076</v>
      </c>
      <c r="H242" t="str">
        <f>""</f>
        <v/>
      </c>
      <c r="I242" t="str">
        <f>""</f>
        <v/>
      </c>
      <c r="J242" t="str">
        <f t="shared" si="3"/>
        <v>L54;GPP_A_12_ESPI_ALERT2B;;4.5215;25.1368;708076;508076;;</v>
      </c>
    </row>
    <row r="243" spans="1:10">
      <c r="A243" t="s">
        <v>770</v>
      </c>
      <c r="B243" t="str">
        <f>_xlfn.XLOOKUP(A243,SITE1!$V$4:$V$1034,SITE1!$U$4:$U$1034,"")</f>
        <v>GPP_A_2_ESPI_IO_2_SUSWARNB_SUSPWRDNACK</v>
      </c>
      <c r="C243" t="str" cm="1">
        <f t="array" ref="C243">_xlfn.TEXTJOIN(",",TRUE,_xlfn.UNIQUE(TRANSPOSE(_xlfn.MAP(_xlfn.XLOOKUP(A243,SITE1!$C$4:$C$1034,SITE1!$F$4:$O$1034,""),_xlfn.LAMBDA(_xlpm.x,IF(_xlpm.x&lt;&gt;"",TRIM(CLEAN(LEFT(_xlpm.x,FIND(".",_xlpm.x &amp; ".")-1))),""))))))</f>
        <v/>
      </c>
      <c r="D243">
        <v>4.4294999999999902</v>
      </c>
      <c r="E243">
        <v>25.657</v>
      </c>
      <c r="F243" t="str">
        <f>_xlfn.LET(_xlpm.raw,_xlfn.XLOOKUP(A243,SITE1!$C$4:$C$1034,SITE1!$E$4:$E$1034),_xlpm.cleanRaw,SUBSTITUTE(SUBSTITUTE(_xlpm.raw,"_PIN","."),"PIN","."),_xlpm.mainPart,MID(_xlpm.cleanRaw,2,FIND(".",_xlpm.cleanRaw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708057</v>
      </c>
      <c r="G243" t="str">
        <f>_xlfn.LET(_xlpm.raw,_xlfn.XLOOKUP(A243,SITE3!$C$4:$C$1034,SITE3!$E$4:$E$1034),_xlpm.cleanRaw,SUBSTITUTE(SUBSTITUTE(_xlpm.raw,"_PIN","."),"PIN","."),_xlpm.mainPart,MID(_xlpm.cleanRaw,2,FIND(".",_xlpm.cleanRaw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508057</v>
      </c>
      <c r="H243" t="str">
        <f>""</f>
        <v/>
      </c>
      <c r="I243" t="str">
        <f>""</f>
        <v/>
      </c>
      <c r="J243" t="str">
        <f t="shared" si="3"/>
        <v>L55;GPP_A_2_ESPI_IO_2_SUSWARNB_SUSPWRDNACK;;4.42949999999999;25.657;708057;508057;;</v>
      </c>
    </row>
    <row r="244" spans="1:10">
      <c r="A244" t="s">
        <v>4012</v>
      </c>
      <c r="B244" t="str">
        <f>_xlfn.XLOOKUP(A244,SITE1!$V$4:$V$1034,SITE1!$U$4:$U$1034,"")</f>
        <v>VSS</v>
      </c>
      <c r="C244" t="str" cm="1">
        <f t="array" ref="C244">_xlfn.TEXTJOIN(",",TRUE,_xlfn.UNIQUE(TRANSPOSE(_xlfn.MAP(_xlfn.XLOOKUP(A244,SITE1!$C$4:$C$1034,SITE1!$F$4:$O$1034,""),_xlfn.LAMBDA(_xlpm.x,IF(_xlpm.x&lt;&gt;"",TRIM(CLEAN(LEFT(_xlpm.x,FIND(".",_xlpm.x &amp; ".")-1))),""))))))</f>
        <v/>
      </c>
      <c r="D244">
        <v>5.1180999999999903</v>
      </c>
      <c r="E244">
        <v>0</v>
      </c>
      <c r="F244" t="str">
        <f>_xlfn.LET(_xlpm.raw,_xlfn.XLOOKUP(A244,SITE1!$C$4:$C$1034,SITE1!$E$4:$E$1034),_xlpm.cleanRaw,SUBSTITUTE(SUBSTITUTE(_xlpm.raw,"_PIN","."),"PIN","."),_xlpm.mainPart,MID(_xlpm.cleanRaw,2,FIND(".",_xlpm.cleanRaw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44" t="str">
        <f>_xlfn.LET(_xlpm.raw,_xlfn.XLOOKUP(A244,SITE3!$C$4:$C$1034,SITE3!$E$4:$E$1034),_xlpm.cleanRaw,SUBSTITUTE(SUBSTITUTE(_xlpm.raw,"_PIN","."),"PIN","."),_xlpm.mainPart,MID(_xlpm.cleanRaw,2,FIND(".",_xlpm.cleanRaw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44" t="str">
        <f>""</f>
        <v/>
      </c>
      <c r="I244" t="str">
        <f>""</f>
        <v/>
      </c>
      <c r="J244" t="str">
        <f t="shared" si="3"/>
        <v>M1;VSS;;5.11809999999999;0;;;;</v>
      </c>
    </row>
    <row r="245" spans="1:10">
      <c r="A245" t="s">
        <v>177</v>
      </c>
      <c r="B245" t="str">
        <f>_xlfn.XLOOKUP(A245,SITE1!$V$4:$V$1034,SITE1!$U$4:$U$1034,"")</f>
        <v>CLKOUT_SRC_P_4</v>
      </c>
      <c r="C245" t="str" cm="1">
        <f t="array" ref="C245">_xlfn.TEXTJOIN(",",TRUE,_xlfn.UNIQUE(TRANSPOSE(_xlfn.MAP(_xlfn.XLOOKUP(A245,SITE1!$C$4:$C$1034,SITE1!$F$4:$O$1034,""),_xlfn.LAMBDA(_xlpm.x,IF(_xlpm.x&lt;&gt;"",TRIM(CLEAN(LEFT(_xlpm.x,FIND(".",_xlpm.x &amp; ".")-1))),""))))))</f>
        <v/>
      </c>
      <c r="D245">
        <v>4.9247999999999896</v>
      </c>
      <c r="E245">
        <v>0.52369999999999906</v>
      </c>
      <c r="F245" t="str">
        <f>_xlfn.LET(_xlpm.raw,_xlfn.XLOOKUP(A245,SITE1!$C$4:$C$1034,SITE1!$E$4:$E$1034),_xlpm.cleanRaw,SUBSTITUTE(SUBSTITUTE(_xlpm.raw,"_PIN","."),"PIN","."),_xlpm.mainPart,MID(_xlpm.cleanRaw,2,FIND(".",_xlpm.cleanRaw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608061</v>
      </c>
      <c r="G245" t="str">
        <f>_xlfn.LET(_xlpm.raw,_xlfn.XLOOKUP(A245,SITE3!$C$4:$C$1034,SITE3!$E$4:$E$1034),_xlpm.cleanRaw,SUBSTITUTE(SUBSTITUTE(_xlpm.raw,"_PIN","."),"PIN","."),_xlpm.mainPart,MID(_xlpm.cleanRaw,2,FIND(".",_xlpm.cleanRaw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808061</v>
      </c>
      <c r="H245" t="str">
        <f>""</f>
        <v/>
      </c>
      <c r="I245" t="str">
        <f>""</f>
        <v/>
      </c>
      <c r="J245" t="str">
        <f t="shared" si="3"/>
        <v>M2;CLKOUT_SRC_P_4;;4.92479999999999;0.523699999999999;608061;808061;;</v>
      </c>
    </row>
    <row r="246" spans="1:10">
      <c r="A246" t="s">
        <v>102</v>
      </c>
      <c r="B246" t="str">
        <f>_xlfn.XLOOKUP(A246,SITE1!$V$4:$V$1034,SITE1!$U$4:$U$1034,"")</f>
        <v>CLKOUT_SRC_N_4</v>
      </c>
      <c r="C246" t="str" cm="1">
        <f t="array" ref="C246">_xlfn.TEXTJOIN(",",TRUE,_xlfn.UNIQUE(TRANSPOSE(_xlfn.MAP(_xlfn.XLOOKUP(A246,SITE1!$C$4:$C$1034,SITE1!$F$4:$O$1034,""),_xlfn.LAMBDA(_xlpm.x,IF(_xlpm.x&lt;&gt;"",TRIM(CLEAN(LEFT(_xlpm.x,FIND(".",_xlpm.x &amp; ".")-1))),""))))))</f>
        <v/>
      </c>
      <c r="D246">
        <v>4.8945999999999996</v>
      </c>
      <c r="E246">
        <v>1.02609999999999</v>
      </c>
      <c r="F246" t="str">
        <f>_xlfn.LET(_xlpm.raw,_xlfn.XLOOKUP(A246,SITE1!$C$4:$C$1034,SITE1!$E$4:$E$1034),_xlpm.cleanRaw,SUBSTITUTE(SUBSTITUTE(_xlpm.raw,"_PIN","."),"PIN","."),_xlpm.mainPart,MID(_xlpm.cleanRaw,2,FIND(".",_xlpm.cleanRaw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608059</v>
      </c>
      <c r="G246" t="str">
        <f>_xlfn.LET(_xlpm.raw,_xlfn.XLOOKUP(A246,SITE3!$C$4:$C$1034,SITE3!$E$4:$E$1034),_xlpm.cleanRaw,SUBSTITUTE(SUBSTITUTE(_xlpm.raw,"_PIN","."),"PIN","."),_xlpm.mainPart,MID(_xlpm.cleanRaw,2,FIND(".",_xlpm.cleanRaw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808059</v>
      </c>
      <c r="H246" t="str">
        <f>""</f>
        <v/>
      </c>
      <c r="I246" t="str">
        <f>""</f>
        <v/>
      </c>
      <c r="J246" t="str">
        <f t="shared" si="3"/>
        <v>M3;CLKOUT_SRC_N_4;;4.8946;1.02609999999999;608059;808059;;</v>
      </c>
    </row>
    <row r="247" spans="1:10">
      <c r="A247" t="s">
        <v>108</v>
      </c>
      <c r="B247" t="str">
        <f>_xlfn.XLOOKUP(A247,SITE1!$V$4:$V$1034,SITE1!$U$4:$U$1034,"")</f>
        <v>CLKOUT_SRC_N_5</v>
      </c>
      <c r="C247" t="str" cm="1">
        <f t="array" ref="C247">_xlfn.TEXTJOIN(",",TRUE,_xlfn.UNIQUE(TRANSPOSE(_xlfn.MAP(_xlfn.XLOOKUP(A247,SITE1!$C$4:$C$1034,SITE1!$F$4:$O$1034,""),_xlfn.LAMBDA(_xlpm.x,IF(_xlpm.x&lt;&gt;"",TRIM(CLEAN(LEFT(_xlpm.x,FIND(".",_xlpm.x &amp; ".")-1))),""))))))</f>
        <v/>
      </c>
      <c r="D247">
        <v>4.9758999999999904</v>
      </c>
      <c r="E247">
        <v>1.5265</v>
      </c>
      <c r="F247" t="str">
        <f>_xlfn.LET(_xlpm.raw,_xlfn.XLOOKUP(A247,SITE1!$C$4:$C$1034,SITE1!$E$4:$E$1034),_xlpm.cleanRaw,SUBSTITUTE(SUBSTITUTE(_xlpm.raw,"_PIN","."),"PIN","."),_xlpm.mainPart,MID(_xlpm.cleanRaw,2,FIND(".",_xlpm.cleanRaw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607012</v>
      </c>
      <c r="G247" t="str">
        <f>_xlfn.LET(_xlpm.raw,_xlfn.XLOOKUP(A247,SITE3!$C$4:$C$1034,SITE3!$E$4:$E$1034),_xlpm.cleanRaw,SUBSTITUTE(SUBSTITUTE(_xlpm.raw,"_PIN","."),"PIN","."),_xlpm.mainPart,MID(_xlpm.cleanRaw,2,FIND(".",_xlpm.cleanRaw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807012</v>
      </c>
      <c r="H247" t="str">
        <f>""</f>
        <v/>
      </c>
      <c r="I247" t="str">
        <f>""</f>
        <v/>
      </c>
      <c r="J247" t="str">
        <f t="shared" si="3"/>
        <v>M4;CLKOUT_SRC_N_5;;4.97589999999999;1.5265;607012;807012;;</v>
      </c>
    </row>
    <row r="248" spans="1:10">
      <c r="A248" t="s">
        <v>182</v>
      </c>
      <c r="B248" t="str">
        <f>_xlfn.XLOOKUP(A248,SITE1!$V$4:$V$1034,SITE1!$U$4:$U$1034,"")</f>
        <v>CLKOUT_SRC_P_5</v>
      </c>
      <c r="C248" t="str" cm="1">
        <f t="array" ref="C248">_xlfn.TEXTJOIN(",",TRUE,_xlfn.UNIQUE(TRANSPOSE(_xlfn.MAP(_xlfn.XLOOKUP(A248,SITE1!$C$4:$C$1034,SITE1!$F$4:$O$1034,""),_xlfn.LAMBDA(_xlpm.x,IF(_xlpm.x&lt;&gt;"",TRIM(CLEAN(LEFT(_xlpm.x,FIND(".",_xlpm.x &amp; ".")-1))),""))))))</f>
        <v/>
      </c>
      <c r="D248">
        <v>5.1942999999999904</v>
      </c>
      <c r="E248">
        <v>1.9837</v>
      </c>
      <c r="F248" t="str">
        <f>_xlfn.LET(_xlpm.raw,_xlfn.XLOOKUP(A248,SITE1!$C$4:$C$1034,SITE1!$E$4:$E$1034),_xlpm.cleanRaw,SUBSTITUTE(SUBSTITUTE(_xlpm.raw,"_PIN","."),"PIN","."),_xlpm.mainPart,MID(_xlpm.cleanRaw,2,FIND(".",_xlpm.cleanRaw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607014</v>
      </c>
      <c r="G248" t="str">
        <f>_xlfn.LET(_xlpm.raw,_xlfn.XLOOKUP(A248,SITE3!$C$4:$C$1034,SITE3!$E$4:$E$1034),_xlpm.cleanRaw,SUBSTITUTE(SUBSTITUTE(_xlpm.raw,"_PIN","."),"PIN","."),_xlpm.mainPart,MID(_xlpm.cleanRaw,2,FIND(".",_xlpm.cleanRaw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807014</v>
      </c>
      <c r="H248" t="str">
        <f>""</f>
        <v/>
      </c>
      <c r="I248" t="str">
        <f>""</f>
        <v/>
      </c>
      <c r="J248" t="str">
        <f t="shared" si="3"/>
        <v>M5;CLKOUT_SRC_P_5;;5.19429999999999;1.9837;607014;807014;;</v>
      </c>
    </row>
    <row r="249" spans="1:10">
      <c r="A249" t="s">
        <v>4021</v>
      </c>
      <c r="B249" t="str">
        <f>_xlfn.XLOOKUP(A249,SITE1!$V$4:$V$1034,SITE1!$U$4:$U$1034,"")</f>
        <v>VSS</v>
      </c>
      <c r="C249" t="str" cm="1">
        <f t="array" ref="C249">_xlfn.TEXTJOIN(",",TRUE,_xlfn.UNIQUE(TRANSPOSE(_xlfn.MAP(_xlfn.XLOOKUP(A249,SITE1!$C$4:$C$1034,SITE1!$F$4:$O$1034,""),_xlfn.LAMBDA(_xlpm.x,IF(_xlpm.x&lt;&gt;"",TRIM(CLEAN(LEFT(_xlpm.x,FIND(".",_xlpm.x &amp; ".")-1))),""))))))</f>
        <v/>
      </c>
      <c r="D249">
        <v>4.8434999999999997</v>
      </c>
      <c r="E249">
        <v>3.7734000000000001</v>
      </c>
      <c r="F249" t="str">
        <f>_xlfn.LET(_xlpm.raw,_xlfn.XLOOKUP(A249,SITE1!$C$4:$C$1034,SITE1!$E$4:$E$1034),_xlpm.cleanRaw,SUBSTITUTE(SUBSTITUTE(_xlpm.raw,"_PIN","."),"PIN","."),_xlpm.mainPart,MID(_xlpm.cleanRaw,2,FIND(".",_xlpm.cleanRaw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49" t="str">
        <f>_xlfn.LET(_xlpm.raw,_xlfn.XLOOKUP(A249,SITE3!$C$4:$C$1034,SITE3!$E$4:$E$1034),_xlpm.cleanRaw,SUBSTITUTE(SUBSTITUTE(_xlpm.raw,"_PIN","."),"PIN","."),_xlpm.mainPart,MID(_xlpm.cleanRaw,2,FIND(".",_xlpm.cleanRaw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49" t="str">
        <f>""</f>
        <v/>
      </c>
      <c r="I249" t="str">
        <f>""</f>
        <v/>
      </c>
      <c r="J249" t="str">
        <f t="shared" si="3"/>
        <v>M9;VSS;;4.8435;3.7734;;;;</v>
      </c>
    </row>
    <row r="250" spans="1:10">
      <c r="A250" t="s">
        <v>228</v>
      </c>
      <c r="B250" t="str">
        <f>_xlfn.XLOOKUP(A250,SITE1!$V$4:$V$1034,SITE1!$U$4:$U$1034,"")</f>
        <v>USB2P_14</v>
      </c>
      <c r="C250" t="str" cm="1">
        <f t="array" ref="C250">_xlfn.TEXTJOIN(",",TRUE,_xlfn.UNIQUE(TRANSPOSE(_xlfn.MAP(_xlfn.XLOOKUP(A250,SITE1!$C$4:$C$1034,SITE1!$F$4:$O$1034,""),_xlfn.LAMBDA(_xlpm.x,IF(_xlpm.x&lt;&gt;"",TRIM(CLEAN(LEFT(_xlpm.x,FIND(".",_xlpm.x &amp; ".")-1))),""))))))</f>
        <v/>
      </c>
      <c r="D250">
        <v>5.0796999999999999</v>
      </c>
      <c r="E250">
        <v>4.4555999999999996</v>
      </c>
      <c r="F250" t="str">
        <f>_xlfn.LET(_xlpm.raw,_xlfn.XLOOKUP(A250,SITE1!$C$4:$C$1034,SITE1!$E$4:$E$1034),_xlpm.cleanRaw,SUBSTITUTE(SUBSTITUTE(_xlpm.raw,"_PIN","."),"PIN","."),_xlpm.mainPart,MID(_xlpm.cleanRaw,2,FIND(".",_xlpm.cleanRaw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605069</v>
      </c>
      <c r="G250" t="str">
        <f>_xlfn.LET(_xlpm.raw,_xlfn.XLOOKUP(A250,SITE3!$C$4:$C$1034,SITE3!$E$4:$E$1034),_xlpm.cleanRaw,SUBSTITUTE(SUBSTITUTE(_xlpm.raw,"_PIN","."),"PIN","."),_xlpm.mainPart,MID(_xlpm.cleanRaw,2,FIND(".",_xlpm.cleanRaw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805069</v>
      </c>
      <c r="H250" t="str">
        <f>""</f>
        <v/>
      </c>
      <c r="I250" t="str">
        <f>""</f>
        <v/>
      </c>
      <c r="J250" t="str">
        <f t="shared" si="3"/>
        <v>M10;USB2P_14;;5.0797;4.4556;605069;805069;;</v>
      </c>
    </row>
    <row r="251" spans="1:10">
      <c r="A251" t="s">
        <v>3006</v>
      </c>
      <c r="B251" t="str">
        <f>_xlfn.XLOOKUP(A251,SITE1!$V$4:$V$1034,SITE1!$U$4:$U$1034,"")</f>
        <v>USB2N_14</v>
      </c>
      <c r="C251" t="str" cm="1">
        <f t="array" ref="C251">_xlfn.TEXTJOIN(",",TRUE,_xlfn.UNIQUE(TRANSPOSE(_xlfn.MAP(_xlfn.XLOOKUP(A251,SITE1!$C$4:$C$1034,SITE1!$F$4:$O$1034,""),_xlfn.LAMBDA(_xlpm.x,IF(_xlpm.x&lt;&gt;"",TRIM(CLEAN(LEFT(_xlpm.x,FIND(".",_xlpm.x &amp; ".")-1))),""))))))</f>
        <v/>
      </c>
      <c r="D251">
        <v>5.0796999999999999</v>
      </c>
      <c r="E251">
        <v>5.1668000000000003</v>
      </c>
      <c r="F251" t="str">
        <f>_xlfn.LET(_xlpm.raw,_xlfn.XLOOKUP(A251,SITE1!$C$4:$C$1034,SITE1!$E$4:$E$1034),_xlpm.cleanRaw,SUBSTITUTE(SUBSTITUTE(_xlpm.raw,"_PIN","."),"PIN","."),_xlpm.mainPart,MID(_xlpm.cleanRaw,2,FIND(".",_xlpm.cleanRaw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605067</v>
      </c>
      <c r="G251" t="str">
        <f>_xlfn.LET(_xlpm.raw,_xlfn.XLOOKUP(A251,SITE3!$C$4:$C$1034,SITE3!$E$4:$E$1034),_xlpm.cleanRaw,SUBSTITUTE(SUBSTITUTE(_xlpm.raw,"_PIN","."),"PIN","."),_xlpm.mainPart,MID(_xlpm.cleanRaw,2,FIND(".",_xlpm.cleanRaw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805067</v>
      </c>
      <c r="H251" t="str">
        <f>""</f>
        <v/>
      </c>
      <c r="I251" t="str">
        <f>""</f>
        <v/>
      </c>
      <c r="J251" t="str">
        <f t="shared" si="3"/>
        <v>M12;USB2N_14;;5.0797;5.1668;605067;805067;;</v>
      </c>
    </row>
    <row r="252" spans="1:10">
      <c r="A252" t="s">
        <v>3143</v>
      </c>
      <c r="B252" t="str">
        <f>_xlfn.XLOOKUP(A252,SITE1!$V$4:$V$1034,SITE1!$U$4:$U$1034,"")</f>
        <v>USB31_1_RXN</v>
      </c>
      <c r="C252" t="str" cm="1">
        <f t="array" ref="C252">_xlfn.TEXTJOIN(",",TRUE,_xlfn.UNIQUE(TRANSPOSE(_xlfn.MAP(_xlfn.XLOOKUP(A252,SITE1!$C$4:$C$1034,SITE1!$F$4:$O$1034,""),_xlfn.LAMBDA(_xlpm.x,IF(_xlpm.x&lt;&gt;"",TRIM(CLEAN(LEFT(_xlpm.x,FIND(".",_xlpm.x &amp; ".")-1))),""))))))</f>
        <v>CA202,LA204</v>
      </c>
      <c r="D252">
        <v>4.9049999999999896</v>
      </c>
      <c r="E252">
        <v>7.4349999999999996</v>
      </c>
      <c r="F252" t="str">
        <f>_xlfn.LET(_xlpm.raw,_xlfn.XLOOKUP(A252,SITE1!$C$4:$C$1034,SITE1!$E$4:$E$1034),_xlpm.cleanRaw,SUBSTITUTE(SUBSTITUTE(_xlpm.raw,"_PIN","."),"PIN","."),_xlpm.mainPart,MID(_xlpm.cleanRaw,2,FIND(".",_xlpm.cleanRaw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604033</v>
      </c>
      <c r="G252" t="str">
        <f>_xlfn.LET(_xlpm.raw,_xlfn.XLOOKUP(A252,SITE3!$C$4:$C$1034,SITE3!$E$4:$E$1034),_xlpm.cleanRaw,SUBSTITUTE(SUBSTITUTE(_xlpm.raw,"_PIN","."),"PIN","."),_xlpm.mainPart,MID(_xlpm.cleanRaw,2,FIND(".",_xlpm.cleanRaw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804033</v>
      </c>
      <c r="H252" t="str">
        <f>""</f>
        <v/>
      </c>
      <c r="I252" t="str">
        <f>""</f>
        <v/>
      </c>
      <c r="J252" t="str">
        <f t="shared" si="3"/>
        <v>M16;USB31_1_RXN;CA202,LA204;4.90499999999999;7.435;604033;804033;;</v>
      </c>
    </row>
    <row r="253" spans="1:10">
      <c r="A253" t="s">
        <v>4013</v>
      </c>
      <c r="B253" t="str">
        <f>_xlfn.XLOOKUP(A253,SITE1!$V$4:$V$1034,SITE1!$U$4:$U$1034,"")</f>
        <v>VSS</v>
      </c>
      <c r="C253" t="str" cm="1">
        <f t="array" ref="C253">_xlfn.TEXTJOIN(",",TRUE,_xlfn.UNIQUE(TRANSPOSE(_xlfn.MAP(_xlfn.XLOOKUP(A253,SITE1!$C$4:$C$1034,SITE1!$F$4:$O$1034,""),_xlfn.LAMBDA(_xlpm.x,IF(_xlpm.x&lt;&gt;"",TRIM(CLEAN(LEFT(_xlpm.x,FIND(".",_xlpm.x &amp; ".")-1))),""))))))</f>
        <v/>
      </c>
      <c r="D253">
        <v>4.9049999999999896</v>
      </c>
      <c r="E253">
        <v>8.8066999999999993</v>
      </c>
      <c r="F253" t="str">
        <f>_xlfn.LET(_xlpm.raw,_xlfn.XLOOKUP(A253,SITE1!$C$4:$C$1034,SITE1!$E$4:$E$1034),_xlpm.cleanRaw,SUBSTITUTE(SUBSTITUTE(_xlpm.raw,"_PIN","."),"PIN","."),_xlpm.mainPart,MID(_xlpm.cleanRaw,2,FIND(".",_xlpm.cleanRaw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53" t="str">
        <f>_xlfn.LET(_xlpm.raw,_xlfn.XLOOKUP(A253,SITE3!$C$4:$C$1034,SITE3!$E$4:$E$1034),_xlpm.cleanRaw,SUBSTITUTE(SUBSTITUTE(_xlpm.raw,"_PIN","."),"PIN","."),_xlpm.mainPart,MID(_xlpm.cleanRaw,2,FIND(".",_xlpm.cleanRaw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53" t="str">
        <f>""</f>
        <v/>
      </c>
      <c r="I253" t="str">
        <f>""</f>
        <v/>
      </c>
      <c r="J253" t="str">
        <f t="shared" si="3"/>
        <v>M19;VSS;;4.90499999999999;8.8067;;;;</v>
      </c>
    </row>
    <row r="254" spans="1:10">
      <c r="A254" t="s">
        <v>3329</v>
      </c>
      <c r="B254" t="str">
        <f>_xlfn.XLOOKUP(A254,SITE1!$V$4:$V$1034,SITE1!$U$4:$U$1034,"")</f>
        <v>USB31_5_RXP</v>
      </c>
      <c r="C254" t="str" cm="1">
        <f t="array" ref="C254">_xlfn.TEXTJOIN(",",TRUE,_xlfn.UNIQUE(TRANSPOSE(_xlfn.MAP(_xlfn.XLOOKUP(A254,SITE1!$C$4:$C$1034,SITE1!$F$4:$O$1034,""),_xlfn.LAMBDA(_xlpm.x,IF(_xlpm.x&lt;&gt;"",TRIM(CLEAN(LEFT(_xlpm.x,FIND(".",_xlpm.x &amp; ".")-1))),""))))))</f>
        <v>CA209,LA218</v>
      </c>
      <c r="D254">
        <v>4.9049999999999896</v>
      </c>
      <c r="E254">
        <v>10.164</v>
      </c>
      <c r="F254" t="str">
        <f>_xlfn.LET(_xlpm.raw,_xlfn.XLOOKUP(A254,SITE1!$C$4:$C$1034,SITE1!$E$4:$E$1034),_xlpm.cleanRaw,SUBSTITUTE(SUBSTITUTE(_xlpm.raw,"_PIN","."),"PIN","."),_xlpm.mainPart,MID(_xlpm.cleanRaw,2,FIND(".",_xlpm.cleanRaw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705067</v>
      </c>
      <c r="G254" t="str">
        <f>_xlfn.LET(_xlpm.raw,_xlfn.XLOOKUP(A254,SITE3!$C$4:$C$1034,SITE3!$E$4:$E$1034),_xlpm.cleanRaw,SUBSTITUTE(SUBSTITUTE(_xlpm.raw,"_PIN","."),"PIN","."),_xlpm.mainPart,MID(_xlpm.cleanRaw,2,FIND(".",_xlpm.cleanRaw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505067</v>
      </c>
      <c r="H254" t="str">
        <f>""</f>
        <v/>
      </c>
      <c r="I254" t="str">
        <f>""</f>
        <v/>
      </c>
      <c r="J254" t="str">
        <f t="shared" si="3"/>
        <v>M22;USB31_5_RXP;CA209,LA218;4.90499999999999;10.164;705067;505067;;</v>
      </c>
    </row>
    <row r="255" spans="1:10">
      <c r="A255" t="s">
        <v>4014</v>
      </c>
      <c r="B255" t="str">
        <f>_xlfn.XLOOKUP(A255,SITE1!$V$4:$V$1034,SITE1!$U$4:$U$1034,"")</f>
        <v>VSS</v>
      </c>
      <c r="C255" t="str" cm="1">
        <f t="array" ref="C255">_xlfn.TEXTJOIN(",",TRUE,_xlfn.UNIQUE(TRANSPOSE(_xlfn.MAP(_xlfn.XLOOKUP(A255,SITE1!$C$4:$C$1034,SITE1!$F$4:$O$1034,""),_xlfn.LAMBDA(_xlpm.x,IF(_xlpm.x&lt;&gt;"",TRIM(CLEAN(LEFT(_xlpm.x,FIND(".",_xlpm.x &amp; ".")-1))),""))))))</f>
        <v/>
      </c>
      <c r="D255">
        <v>4.9049999999999896</v>
      </c>
      <c r="E255">
        <v>11.5357</v>
      </c>
      <c r="F255" t="str">
        <f>_xlfn.LET(_xlpm.raw,_xlfn.XLOOKUP(A255,SITE1!$C$4:$C$1034,SITE1!$E$4:$E$1034),_xlpm.cleanRaw,SUBSTITUTE(SUBSTITUTE(_xlpm.raw,"_PIN","."),"PIN","."),_xlpm.mainPart,MID(_xlpm.cleanRaw,2,FIND(".",_xlpm.cleanRaw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55" t="str">
        <f>_xlfn.LET(_xlpm.raw,_xlfn.XLOOKUP(A255,SITE3!$C$4:$C$1034,SITE3!$E$4:$E$1034),_xlpm.cleanRaw,SUBSTITUTE(SUBSTITUTE(_xlpm.raw,"_PIN","."),"PIN","."),_xlpm.mainPart,MID(_xlpm.cleanRaw,2,FIND(".",_xlpm.cleanRaw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55" t="str">
        <f>""</f>
        <v/>
      </c>
      <c r="I255" t="str">
        <f>""</f>
        <v/>
      </c>
      <c r="J255" t="str">
        <f t="shared" si="3"/>
        <v>M25;VSS;;4.90499999999999;11.5357;;;;</v>
      </c>
    </row>
    <row r="256" spans="1:10">
      <c r="A256" t="s">
        <v>3458</v>
      </c>
      <c r="B256" t="str">
        <f>_xlfn.XLOOKUP(A256,SITE1!$V$4:$V$1034,SITE1!$U$4:$U$1034,"")</f>
        <v>USB31_9_RXN</v>
      </c>
      <c r="C256" t="str" cm="1">
        <f t="array" ref="C256">_xlfn.TEXTJOIN(",",TRUE,_xlfn.UNIQUE(TRANSPOSE(_xlfn.MAP(_xlfn.XLOOKUP(A256,SITE1!$C$4:$C$1034,SITE1!$F$4:$O$1034,""),_xlfn.LAMBDA(_xlpm.x,IF(_xlpm.x&lt;&gt;"",TRIM(CLEAN(LEFT(_xlpm.x,FIND(".",_xlpm.x &amp; ".")-1))),""))))))</f>
        <v>CA218,LA236</v>
      </c>
      <c r="D256">
        <v>4.9049999999999896</v>
      </c>
      <c r="E256">
        <v>12.893000000000001</v>
      </c>
      <c r="F256" t="str">
        <f>_xlfn.LET(_xlpm.raw,_xlfn.XLOOKUP(A256,SITE1!$C$4:$C$1034,SITE1!$E$4:$E$1034),_xlpm.cleanRaw,SUBSTITUTE(SUBSTITUTE(_xlpm.raw,"_PIN","."),"PIN","."),_xlpm.mainPart,MID(_xlpm.cleanRaw,2,FIND(".",_xlpm.cleanRaw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708060</v>
      </c>
      <c r="G256" t="str">
        <f>_xlfn.LET(_xlpm.raw,_xlfn.XLOOKUP(A256,SITE3!$C$4:$C$1034,SITE3!$E$4:$E$1034),_xlpm.cleanRaw,SUBSTITUTE(SUBSTITUTE(_xlpm.raw,"_PIN","."),"PIN","."),_xlpm.mainPart,MID(_xlpm.cleanRaw,2,FIND(".",_xlpm.cleanRaw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508060</v>
      </c>
      <c r="H256" t="str">
        <f>""</f>
        <v/>
      </c>
      <c r="I256" t="str">
        <f>""</f>
        <v/>
      </c>
      <c r="J256" t="str">
        <f t="shared" si="3"/>
        <v>M28;USB31_9_RXN;CA218,LA236;4.90499999999999;12.893;708060;508060;;</v>
      </c>
    </row>
    <row r="257" spans="1:10">
      <c r="A257" t="s">
        <v>4015</v>
      </c>
      <c r="B257" t="str">
        <f>_xlfn.XLOOKUP(A257,SITE1!$V$4:$V$1034,SITE1!$U$4:$U$1034,"")</f>
        <v>VSS</v>
      </c>
      <c r="C257" t="str" cm="1">
        <f t="array" ref="C257">_xlfn.TEXTJOIN(",",TRUE,_xlfn.UNIQUE(TRANSPOSE(_xlfn.MAP(_xlfn.XLOOKUP(A257,SITE1!$C$4:$C$1034,SITE1!$F$4:$O$1034,""),_xlfn.LAMBDA(_xlpm.x,IF(_xlpm.x&lt;&gt;"",TRIM(CLEAN(LEFT(_xlpm.x,FIND(".",_xlpm.x &amp; ".")-1))),""))))))</f>
        <v/>
      </c>
      <c r="D257">
        <v>4.9049999999999896</v>
      </c>
      <c r="E257">
        <v>14.264699999999999</v>
      </c>
      <c r="F257" t="str">
        <f>_xlfn.LET(_xlpm.raw,_xlfn.XLOOKUP(A257,SITE1!$C$4:$C$1034,SITE1!$E$4:$E$1034),_xlpm.cleanRaw,SUBSTITUTE(SUBSTITUTE(_xlpm.raw,"_PIN","."),"PIN","."),_xlpm.mainPart,MID(_xlpm.cleanRaw,2,FIND(".",_xlpm.cleanRaw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57" t="str">
        <f>_xlfn.LET(_xlpm.raw,_xlfn.XLOOKUP(A257,SITE3!$C$4:$C$1034,SITE3!$E$4:$E$1034),_xlpm.cleanRaw,SUBSTITUTE(SUBSTITUTE(_xlpm.raw,"_PIN","."),"PIN","."),_xlpm.mainPart,MID(_xlpm.cleanRaw,2,FIND(".",_xlpm.cleanRaw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57" t="str">
        <f>""</f>
        <v/>
      </c>
      <c r="I257" t="str">
        <f>""</f>
        <v/>
      </c>
      <c r="J257" t="str">
        <f t="shared" si="3"/>
        <v>M31;VSS;;4.90499999999999;14.2647;;;;</v>
      </c>
    </row>
    <row r="258" spans="1:10">
      <c r="A258" t="s">
        <v>2431</v>
      </c>
      <c r="B258" t="str">
        <f>_xlfn.XLOOKUP(A258,SITE1!$V$4:$V$1034,SITE1!$U$4:$U$1034,"")</f>
        <v>PCIE_23_RXP</v>
      </c>
      <c r="C258" t="str" cm="1">
        <f t="array" ref="C258">_xlfn.TEXTJOIN(",",TRUE,_xlfn.UNIQUE(TRANSPOSE(_xlfn.MAP(_xlfn.XLOOKUP(A258,SITE1!$C$4:$C$1034,SITE1!$F$4:$O$1034,""),_xlfn.LAMBDA(_xlpm.x,IF(_xlpm.x&lt;&gt;"",TRIM(CLEAN(LEFT(_xlpm.x,FIND(".",_xlpm.x &amp; ".")-1))),""))))))</f>
        <v>CA265,LA330</v>
      </c>
      <c r="D258">
        <v>4.9049999999999896</v>
      </c>
      <c r="E258">
        <v>15.622</v>
      </c>
      <c r="F258" t="str">
        <f>_xlfn.LET(_xlpm.raw,_xlfn.XLOOKUP(A258,SITE1!$C$4:$C$1034,SITE1!$E$4:$E$1034),_xlpm.cleanRaw,SUBSTITUTE(SUBSTITUTE(_xlpm.raw,"_PIN","."),"PIN","."),_xlpm.mainPart,MID(_xlpm.cleanRaw,2,FIND(".",_xlpm.cleanRaw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707115</v>
      </c>
      <c r="G258" t="str">
        <f>_xlfn.LET(_xlpm.raw,_xlfn.XLOOKUP(A258,SITE3!$C$4:$C$1034,SITE3!$E$4:$E$1034),_xlpm.cleanRaw,SUBSTITUTE(SUBSTITUTE(_xlpm.raw,"_PIN","."),"PIN","."),_xlpm.mainPart,MID(_xlpm.cleanRaw,2,FIND(".",_xlpm.cleanRaw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507115</v>
      </c>
      <c r="H258" t="str">
        <f>""</f>
        <v/>
      </c>
      <c r="I258" t="str">
        <f>""</f>
        <v/>
      </c>
      <c r="J258" t="str">
        <f t="shared" ref="J258:J321" si="4">A258&amp;";"&amp;B258&amp;";"&amp;C258&amp;";"&amp;D258&amp;";"&amp;E258&amp;";"&amp;F258&amp;";"&amp;G258&amp;";"&amp;H258&amp;";"&amp;I258</f>
        <v>M34;PCIE_23_RXP;CA265,LA330;4.90499999999999;15.622;707115;507115;;</v>
      </c>
    </row>
    <row r="259" spans="1:10">
      <c r="A259" t="s">
        <v>4016</v>
      </c>
      <c r="B259" t="str">
        <f>_xlfn.XLOOKUP(A259,SITE1!$V$4:$V$1034,SITE1!$U$4:$U$1034,"")</f>
        <v>VSS</v>
      </c>
      <c r="C259" t="str" cm="1">
        <f t="array" ref="C259">_xlfn.TEXTJOIN(",",TRUE,_xlfn.UNIQUE(TRANSPOSE(_xlfn.MAP(_xlfn.XLOOKUP(A259,SITE1!$C$4:$C$1034,SITE1!$F$4:$O$1034,""),_xlfn.LAMBDA(_xlpm.x,IF(_xlpm.x&lt;&gt;"",TRIM(CLEAN(LEFT(_xlpm.x,FIND(".",_xlpm.x &amp; ".")-1))),""))))))</f>
        <v/>
      </c>
      <c r="D259">
        <v>4.9049999999999896</v>
      </c>
      <c r="E259">
        <v>16.9937</v>
      </c>
      <c r="F259" t="str">
        <f>_xlfn.LET(_xlpm.raw,_xlfn.XLOOKUP(A259,SITE1!$C$4:$C$1034,SITE1!$E$4:$E$1034),_xlpm.cleanRaw,SUBSTITUTE(SUBSTITUTE(_xlpm.raw,"_PIN","."),"PIN","."),_xlpm.mainPart,MID(_xlpm.cleanRaw,2,FIND(".",_xlpm.cleanRaw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59" t="str">
        <f>_xlfn.LET(_xlpm.raw,_xlfn.XLOOKUP(A259,SITE3!$C$4:$C$1034,SITE3!$E$4:$E$1034),_xlpm.cleanRaw,SUBSTITUTE(SUBSTITUTE(_xlpm.raw,"_PIN","."),"PIN","."),_xlpm.mainPart,MID(_xlpm.cleanRaw,2,FIND(".",_xlpm.cleanRaw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59" t="str">
        <f>""</f>
        <v/>
      </c>
      <c r="I259" t="str">
        <f>""</f>
        <v/>
      </c>
      <c r="J259" t="str">
        <f t="shared" si="4"/>
        <v>M36;VSS;;4.90499999999999;16.9937;;;;</v>
      </c>
    </row>
    <row r="260" spans="1:10">
      <c r="A260" t="s">
        <v>537</v>
      </c>
      <c r="B260" t="str">
        <f>_xlfn.XLOOKUP(A260,SITE1!$V$4:$V$1034,SITE1!$U$4:$U$1034,"")</f>
        <v>DMI_5_RXP</v>
      </c>
      <c r="C260" t="str" cm="1">
        <f t="array" ref="C260">_xlfn.TEXTJOIN(",",TRUE,_xlfn.UNIQUE(TRANSPOSE(_xlfn.MAP(_xlfn.XLOOKUP(A260,SITE1!$C$4:$C$1034,SITE1!$F$4:$O$1034,""),_xlfn.LAMBDA(_xlpm.x,IF(_xlpm.x&lt;&gt;"",TRIM(CLEAN(LEFT(_xlpm.x,FIND(".",_xlpm.x &amp; ".")-1))),""))))))</f>
        <v>LA364</v>
      </c>
      <c r="D260">
        <v>4.9049999999999896</v>
      </c>
      <c r="E260">
        <v>18.350999999999999</v>
      </c>
      <c r="F260" t="str">
        <f>_xlfn.LET(_xlpm.raw,_xlfn.XLOOKUP(A260,SITE1!$C$4:$C$1034,SITE1!$E$4:$E$1034),_xlpm.cleanRaw,SUBSTITUTE(SUBSTITUTE(_xlpm.raw,"_PIN","."),"PIN","."),_xlpm.mainPart,MID(_xlpm.cleanRaw,2,FIND(".",_xlpm.cleanRaw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706033</v>
      </c>
      <c r="G260" t="str">
        <f>_xlfn.LET(_xlpm.raw,_xlfn.XLOOKUP(A260,SITE3!$C$4:$C$1034,SITE3!$E$4:$E$1034),_xlpm.cleanRaw,SUBSTITUTE(SUBSTITUTE(_xlpm.raw,"_PIN","."),"PIN","."),_xlpm.mainPart,MID(_xlpm.cleanRaw,2,FIND(".",_xlpm.cleanRaw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506033</v>
      </c>
      <c r="H260" t="str">
        <f>""</f>
        <v/>
      </c>
      <c r="I260" t="str">
        <f>""</f>
        <v/>
      </c>
      <c r="J260" t="str">
        <f t="shared" si="4"/>
        <v>M39;DMI_5_RXP;LA364;4.90499999999999;18.351;706033;506033;;</v>
      </c>
    </row>
    <row r="261" spans="1:10">
      <c r="A261" t="s">
        <v>493</v>
      </c>
      <c r="B261" t="str">
        <f>_xlfn.XLOOKUP(A261,SITE1!$V$4:$V$1034,SITE1!$U$4:$U$1034,"")</f>
        <v>DMI_3_RXP</v>
      </c>
      <c r="C261" t="str" cm="1">
        <f t="array" ref="C261">_xlfn.TEXTJOIN(",",TRUE,_xlfn.UNIQUE(TRANSPOSE(_xlfn.MAP(_xlfn.XLOOKUP(A261,SITE1!$C$4:$C$1034,SITE1!$F$4:$O$1034,""),_xlfn.LAMBDA(_xlpm.x,IF(_xlpm.x&lt;&gt;"",TRIM(CLEAN(LEFT(_xlpm.x,FIND(".",_xlpm.x &amp; ".")-1))),""))))))</f>
        <v>LA360</v>
      </c>
      <c r="D261">
        <v>4.9049999999999896</v>
      </c>
      <c r="E261">
        <v>19.7227</v>
      </c>
      <c r="F261" t="str">
        <f>_xlfn.LET(_xlpm.raw,_xlfn.XLOOKUP(A261,SITE1!$C$4:$C$1034,SITE1!$E$4:$E$1034),_xlpm.cleanRaw,SUBSTITUTE(SUBSTITUTE(_xlpm.raw,"_PIN","."),"PIN","."),_xlpm.mainPart,MID(_xlpm.cleanRaw,2,FIND(".",_xlpm.cleanRaw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706027</v>
      </c>
      <c r="G261" t="str">
        <f>_xlfn.LET(_xlpm.raw,_xlfn.XLOOKUP(A261,SITE3!$C$4:$C$1034,SITE3!$E$4:$E$1034),_xlpm.cleanRaw,SUBSTITUTE(SUBSTITUTE(_xlpm.raw,"_PIN","."),"PIN","."),_xlpm.mainPart,MID(_xlpm.cleanRaw,2,FIND(".",_xlpm.cleanRaw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506027</v>
      </c>
      <c r="H261" t="str">
        <f>""</f>
        <v/>
      </c>
      <c r="I261" t="str">
        <f>""</f>
        <v/>
      </c>
      <c r="J261" t="str">
        <f t="shared" si="4"/>
        <v>M42;DMI_3_RXP;LA360;4.90499999999999;19.7227;706027;506027;;</v>
      </c>
    </row>
    <row r="262" spans="1:10">
      <c r="A262" t="s">
        <v>4017</v>
      </c>
      <c r="B262" t="str">
        <f>_xlfn.XLOOKUP(A262,SITE1!$V$4:$V$1034,SITE1!$U$4:$U$1034,"")</f>
        <v>VSS</v>
      </c>
      <c r="C262" t="str" cm="1">
        <f t="array" ref="C262">_xlfn.TEXTJOIN(",",TRUE,_xlfn.UNIQUE(TRANSPOSE(_xlfn.MAP(_xlfn.XLOOKUP(A262,SITE1!$C$4:$C$1034,SITE1!$F$4:$O$1034,""),_xlfn.LAMBDA(_xlpm.x,IF(_xlpm.x&lt;&gt;"",TRIM(CLEAN(LEFT(_xlpm.x,FIND(".",_xlpm.x &amp; ".")-1))),""))))))</f>
        <v/>
      </c>
      <c r="D262">
        <v>5.0796999999999999</v>
      </c>
      <c r="E262">
        <v>21.711399999999902</v>
      </c>
      <c r="F262" t="str">
        <f>_xlfn.LET(_xlpm.raw,_xlfn.XLOOKUP(A262,SITE1!$C$4:$C$1034,SITE1!$E$4:$E$1034),_xlpm.cleanRaw,SUBSTITUTE(SUBSTITUTE(_xlpm.raw,"_PIN","."),"PIN","."),_xlpm.mainPart,MID(_xlpm.cleanRaw,2,FIND(".",_xlpm.cleanRaw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2" t="str">
        <f>_xlfn.LET(_xlpm.raw,_xlfn.XLOOKUP(A262,SITE3!$C$4:$C$1034,SITE3!$E$4:$E$1034),_xlpm.cleanRaw,SUBSTITUTE(SUBSTITUTE(_xlpm.raw,"_PIN","."),"PIN","."),_xlpm.mainPart,MID(_xlpm.cleanRaw,2,FIND(".",_xlpm.cleanRaw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2" t="str">
        <f>""</f>
        <v/>
      </c>
      <c r="I262" t="str">
        <f>""</f>
        <v/>
      </c>
      <c r="J262" t="str">
        <f t="shared" si="4"/>
        <v>M46;VSS;;5.0797;21.7113999999999;;;;</v>
      </c>
    </row>
    <row r="263" spans="1:10">
      <c r="A263" t="s">
        <v>4018</v>
      </c>
      <c r="B263" t="str">
        <f>_xlfn.XLOOKUP(A263,SITE1!$V$4:$V$1034,SITE1!$U$4:$U$1034,"")</f>
        <v>VSS</v>
      </c>
      <c r="C263" t="str" cm="1">
        <f t="array" ref="C263">_xlfn.TEXTJOIN(",",TRUE,_xlfn.UNIQUE(TRANSPOSE(_xlfn.MAP(_xlfn.XLOOKUP(A263,SITE1!$C$4:$C$1034,SITE1!$F$4:$O$1034,""),_xlfn.LAMBDA(_xlpm.x,IF(_xlpm.x&lt;&gt;"",TRIM(CLEAN(LEFT(_xlpm.x,FIND(".",_xlpm.x &amp; ".")-1))),""))))))</f>
        <v/>
      </c>
      <c r="D263">
        <v>5.0796999999999999</v>
      </c>
      <c r="E263">
        <v>22.422599999999999</v>
      </c>
      <c r="F263" t="str">
        <f>_xlfn.LET(_xlpm.raw,_xlfn.XLOOKUP(A263,SITE1!$C$4:$C$1034,SITE1!$E$4:$E$1034),_xlpm.cleanRaw,SUBSTITUTE(SUBSTITUTE(_xlpm.raw,"_PIN","."),"PIN","."),_xlpm.mainPart,MID(_xlpm.cleanRaw,2,FIND(".",_xlpm.cleanRaw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3" t="str">
        <f>_xlfn.LET(_xlpm.raw,_xlfn.XLOOKUP(A263,SITE3!$C$4:$C$1034,SITE3!$E$4:$E$1034),_xlpm.cleanRaw,SUBSTITUTE(SUBSTITUTE(_xlpm.raw,"_PIN","."),"PIN","."),_xlpm.mainPart,MID(_xlpm.cleanRaw,2,FIND(".",_xlpm.cleanRaw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3" t="str">
        <f>""</f>
        <v/>
      </c>
      <c r="I263" t="str">
        <f>""</f>
        <v/>
      </c>
      <c r="J263" t="str">
        <f t="shared" si="4"/>
        <v>M48;VSS;;5.0797;22.4226;;;;</v>
      </c>
    </row>
    <row r="264" spans="1:10">
      <c r="A264" t="s">
        <v>4019</v>
      </c>
      <c r="B264" t="str">
        <f>_xlfn.XLOOKUP(A264,SITE1!$V$4:$V$1034,SITE1!$U$4:$U$1034,"")</f>
        <v>VSS</v>
      </c>
      <c r="C264" t="str" cm="1">
        <f t="array" ref="C264">_xlfn.TEXTJOIN(",",TRUE,_xlfn.UNIQUE(TRANSPOSE(_xlfn.MAP(_xlfn.XLOOKUP(A264,SITE1!$C$4:$C$1034,SITE1!$F$4:$O$1034,""),_xlfn.LAMBDA(_xlpm.x,IF(_xlpm.x&lt;&gt;"",TRIM(CLEAN(LEFT(_xlpm.x,FIND(".",_xlpm.x &amp; ".")-1))),""))))))</f>
        <v/>
      </c>
      <c r="D264">
        <v>4.8434999999999997</v>
      </c>
      <c r="E264">
        <v>23.104799999999901</v>
      </c>
      <c r="F264" t="str">
        <f>_xlfn.LET(_xlpm.raw,_xlfn.XLOOKUP(A264,SITE1!$C$4:$C$1034,SITE1!$E$4:$E$1034),_xlpm.cleanRaw,SUBSTITUTE(SUBSTITUTE(_xlpm.raw,"_PIN","."),"PIN","."),_xlpm.mainPart,MID(_xlpm.cleanRaw,2,FIND(".",_xlpm.cleanRaw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4" t="str">
        <f>_xlfn.LET(_xlpm.raw,_xlfn.XLOOKUP(A264,SITE3!$C$4:$C$1034,SITE3!$E$4:$E$1034),_xlpm.cleanRaw,SUBSTITUTE(SUBSTITUTE(_xlpm.raw,"_PIN","."),"PIN","."),_xlpm.mainPart,MID(_xlpm.cleanRaw,2,FIND(".",_xlpm.cleanRaw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4" t="str">
        <f>""</f>
        <v/>
      </c>
      <c r="I264" t="str">
        <f>""</f>
        <v/>
      </c>
      <c r="J264" t="str">
        <f t="shared" si="4"/>
        <v>M49;VSS;;4.8435;23.1047999999999;;;;</v>
      </c>
    </row>
    <row r="265" spans="1:10">
      <c r="A265" t="s">
        <v>755</v>
      </c>
      <c r="B265" t="str">
        <f>_xlfn.XLOOKUP(A265,SITE1!$V$4:$V$1034,SITE1!$U$4:$U$1034,"")</f>
        <v>GPP_A_11_ESPI_ALERT1B</v>
      </c>
      <c r="C265" t="str" cm="1">
        <f t="array" ref="C265">_xlfn.TEXTJOIN(",",TRUE,_xlfn.UNIQUE(TRANSPOSE(_xlfn.MAP(_xlfn.XLOOKUP(A265,SITE1!$C$4:$C$1034,SITE1!$F$4:$O$1034,""),_xlfn.LAMBDA(_xlpm.x,IF(_xlpm.x&lt;&gt;"",TRIM(CLEAN(LEFT(_xlpm.x,FIND(".",_xlpm.x &amp; ".")-1))),""))))))</f>
        <v/>
      </c>
      <c r="D265">
        <v>5.1942999999999904</v>
      </c>
      <c r="E265">
        <v>24.894500000000001</v>
      </c>
      <c r="F265" t="str">
        <f>_xlfn.LET(_xlpm.raw,_xlfn.XLOOKUP(A265,SITE1!$C$4:$C$1034,SITE1!$E$4:$E$1034),_xlpm.cleanRaw,SUBSTITUTE(SUBSTITUTE(_xlpm.raw,"_PIN","."),"PIN","."),_xlpm.mainPart,MID(_xlpm.cleanRaw,2,FIND(".",_xlpm.cleanRaw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702051</v>
      </c>
      <c r="G265" t="str">
        <f>_xlfn.LET(_xlpm.raw,_xlfn.XLOOKUP(A265,SITE3!$C$4:$C$1034,SITE3!$E$4:$E$1034),_xlpm.cleanRaw,SUBSTITUTE(SUBSTITUTE(_xlpm.raw,"_PIN","."),"PIN","."),_xlpm.mainPart,MID(_xlpm.cleanRaw,2,FIND(".",_xlpm.cleanRaw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502051</v>
      </c>
      <c r="H265" t="str">
        <f>""</f>
        <v/>
      </c>
      <c r="I265" t="str">
        <f>""</f>
        <v/>
      </c>
      <c r="J265" t="str">
        <f t="shared" si="4"/>
        <v>M53;GPP_A_11_ESPI_ALERT1B;;5.19429999999999;24.8945;702051;502051;;</v>
      </c>
    </row>
    <row r="266" spans="1:10">
      <c r="A266" t="s">
        <v>805</v>
      </c>
      <c r="B266" t="str">
        <f>_xlfn.XLOOKUP(A266,SITE1!$V$4:$V$1034,SITE1!$U$4:$U$1034,"")</f>
        <v>GPP_A_9_ESPI_CS3B</v>
      </c>
      <c r="C266" t="str" cm="1">
        <f t="array" ref="C266">_xlfn.TEXTJOIN(",",TRUE,_xlfn.UNIQUE(TRANSPOSE(_xlfn.MAP(_xlfn.XLOOKUP(A266,SITE1!$C$4:$C$1034,SITE1!$F$4:$O$1034,""),_xlfn.LAMBDA(_xlpm.x,IF(_xlpm.x&lt;&gt;"",TRIM(CLEAN(LEFT(_xlpm.x,FIND(".",_xlpm.x &amp; ".")-1))),""))))))</f>
        <v/>
      </c>
      <c r="D266">
        <v>4.9758999999999904</v>
      </c>
      <c r="E266">
        <v>25.351700000000001</v>
      </c>
      <c r="F266" t="str">
        <f>_xlfn.LET(_xlpm.raw,_xlfn.XLOOKUP(A266,SITE1!$C$4:$C$1034,SITE1!$E$4:$E$1034),_xlpm.cleanRaw,SUBSTITUTE(SUBSTITUTE(_xlpm.raw,"_PIN","."),"PIN","."),_xlpm.mainPart,MID(_xlpm.cleanRaw,2,FIND(".",_xlpm.cleanRaw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709031</v>
      </c>
      <c r="G266" t="str">
        <f>_xlfn.LET(_xlpm.raw,_xlfn.XLOOKUP(A266,SITE3!$C$4:$C$1034,SITE3!$E$4:$E$1034),_xlpm.cleanRaw,SUBSTITUTE(SUBSTITUTE(_xlpm.raw,"_PIN","."),"PIN","."),_xlpm.mainPart,MID(_xlpm.cleanRaw,2,FIND(".",_xlpm.cleanRaw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509031</v>
      </c>
      <c r="H266" t="str">
        <f>""</f>
        <v/>
      </c>
      <c r="I266" t="str">
        <f>""</f>
        <v/>
      </c>
      <c r="J266" t="str">
        <f t="shared" si="4"/>
        <v>M54;GPP_A_9_ESPI_CS3B;;4.97589999999999;25.3517;709031;509031;;</v>
      </c>
    </row>
    <row r="267" spans="1:10">
      <c r="A267" t="s">
        <v>780</v>
      </c>
      <c r="B267" t="str">
        <f>_xlfn.XLOOKUP(A267,SITE1!$V$4:$V$1034,SITE1!$U$4:$U$1034,"")</f>
        <v>GPP_A_4_ESPI_CS0B</v>
      </c>
      <c r="C267" t="str" cm="1">
        <f t="array" ref="C267">_xlfn.TEXTJOIN(",",TRUE,_xlfn.UNIQUE(TRANSPOSE(_xlfn.MAP(_xlfn.XLOOKUP(A267,SITE1!$C$4:$C$1034,SITE1!$F$4:$O$1034,""),_xlfn.LAMBDA(_xlpm.x,IF(_xlpm.x&lt;&gt;"",TRIM(CLEAN(LEFT(_xlpm.x,FIND(".",_xlpm.x &amp; ".")-1))),""))))))</f>
        <v/>
      </c>
      <c r="D267">
        <v>4.8945999999999996</v>
      </c>
      <c r="E267">
        <v>25.8521</v>
      </c>
      <c r="F267" t="str">
        <f>_xlfn.LET(_xlpm.raw,_xlfn.XLOOKUP(A267,SITE1!$C$4:$C$1034,SITE1!$E$4:$E$1034),_xlpm.cleanRaw,SUBSTITUTE(SUBSTITUTE(_xlpm.raw,"_PIN","."),"PIN","."),_xlpm.mainPart,MID(_xlpm.cleanRaw,2,FIND(".",_xlpm.cleanRaw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705051</v>
      </c>
      <c r="G267" t="str">
        <f>_xlfn.LET(_xlpm.raw,_xlfn.XLOOKUP(A267,SITE3!$C$4:$C$1034,SITE3!$E$4:$E$1034),_xlpm.cleanRaw,SUBSTITUTE(SUBSTITUTE(_xlpm.raw,"_PIN","."),"PIN","."),_xlpm.mainPart,MID(_xlpm.cleanRaw,2,FIND(".",_xlpm.cleanRaw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505051</v>
      </c>
      <c r="H267" t="str">
        <f>""</f>
        <v/>
      </c>
      <c r="I267" t="str">
        <f>""</f>
        <v/>
      </c>
      <c r="J267" t="str">
        <f t="shared" si="4"/>
        <v>M55;GPP_A_4_ESPI_CS0B;;4.8946;25.8521;705051;505051;;</v>
      </c>
    </row>
    <row r="268" spans="1:10">
      <c r="A268" t="s">
        <v>740</v>
      </c>
      <c r="B268" t="str">
        <f>_xlfn.XLOOKUP(A268,SITE1!$V$4:$V$1034,SITE1!$U$4:$U$1034,"")</f>
        <v>GPP_A_0_ESPI_IO_0</v>
      </c>
      <c r="C268" t="str" cm="1">
        <f t="array" ref="C268">_xlfn.TEXTJOIN(",",TRUE,_xlfn.UNIQUE(TRANSPOSE(_xlfn.MAP(_xlfn.XLOOKUP(A268,SITE1!$C$4:$C$1034,SITE1!$F$4:$O$1034,""),_xlfn.LAMBDA(_xlpm.x,IF(_xlpm.x&lt;&gt;"",TRIM(CLEAN(LEFT(_xlpm.x,FIND(".",_xlpm.x &amp; ".")-1))),""))))))</f>
        <v/>
      </c>
      <c r="D268">
        <v>4.9247999999999896</v>
      </c>
      <c r="E268">
        <v>26.354500000000002</v>
      </c>
      <c r="F268" t="str">
        <f>_xlfn.LET(_xlpm.raw,_xlfn.XLOOKUP(A268,SITE1!$C$4:$C$1034,SITE1!$E$4:$E$1034),_xlpm.cleanRaw,SUBSTITUTE(SUBSTITUTE(_xlpm.raw,"_PIN","."),"PIN","."),_xlpm.mainPart,MID(_xlpm.cleanRaw,2,FIND(".",_xlpm.cleanRaw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702067</v>
      </c>
      <c r="G268" t="str">
        <f>_xlfn.LET(_xlpm.raw,_xlfn.XLOOKUP(A268,SITE3!$C$4:$C$1034,SITE3!$E$4:$E$1034),_xlpm.cleanRaw,SUBSTITUTE(SUBSTITUTE(_xlpm.raw,"_PIN","."),"PIN","."),_xlpm.mainPart,MID(_xlpm.cleanRaw,2,FIND(".",_xlpm.cleanRaw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502067</v>
      </c>
      <c r="H268" t="str">
        <f>""</f>
        <v/>
      </c>
      <c r="I268" t="str">
        <f>""</f>
        <v/>
      </c>
      <c r="J268" t="str">
        <f t="shared" si="4"/>
        <v>M56;GPP_A_0_ESPI_IO_0;;4.92479999999999;26.3545;702067;502067;;</v>
      </c>
    </row>
    <row r="269" spans="1:10">
      <c r="A269" t="s">
        <v>4020</v>
      </c>
      <c r="B269" t="str">
        <f>_xlfn.XLOOKUP(A269,SITE1!$V$4:$V$1034,SITE1!$U$4:$U$1034,"")</f>
        <v>VSS</v>
      </c>
      <c r="C269" t="str" cm="1">
        <f t="array" ref="C269">_xlfn.TEXTJOIN(",",TRUE,_xlfn.UNIQUE(TRANSPOSE(_xlfn.MAP(_xlfn.XLOOKUP(A269,SITE1!$C$4:$C$1034,SITE1!$F$4:$O$1034,""),_xlfn.LAMBDA(_xlpm.x,IF(_xlpm.x&lt;&gt;"",TRIM(CLEAN(LEFT(_xlpm.x,FIND(".",_xlpm.x &amp; ".")-1))),""))))))</f>
        <v/>
      </c>
      <c r="D269">
        <v>5.1180999999999903</v>
      </c>
      <c r="E269">
        <v>26.8782</v>
      </c>
      <c r="F269" t="str">
        <f>_xlfn.LET(_xlpm.raw,_xlfn.XLOOKUP(A269,SITE1!$C$4:$C$1034,SITE1!$E$4:$E$1034),_xlpm.cleanRaw,SUBSTITUTE(SUBSTITUTE(_xlpm.raw,"_PIN","."),"PIN","."),_xlpm.mainPart,MID(_xlpm.cleanRaw,2,FIND(".",_xlpm.cleanRaw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9" t="str">
        <f>_xlfn.LET(_xlpm.raw,_xlfn.XLOOKUP(A269,SITE3!$C$4:$C$1034,SITE3!$E$4:$E$1034),_xlpm.cleanRaw,SUBSTITUTE(SUBSTITUTE(_xlpm.raw,"_PIN","."),"PIN","."),_xlpm.mainPart,MID(_xlpm.cleanRaw,2,FIND(".",_xlpm.cleanRaw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9" t="str">
        <f>""</f>
        <v/>
      </c>
      <c r="I269" t="str">
        <f>""</f>
        <v/>
      </c>
      <c r="J269" t="str">
        <f t="shared" si="4"/>
        <v>M57;VSS;;5.11809999999999;26.8782;;;;</v>
      </c>
    </row>
    <row r="270" spans="1:10">
      <c r="A270" t="s">
        <v>187</v>
      </c>
      <c r="B270" t="str">
        <f>_xlfn.XLOOKUP(A270,SITE1!$V$4:$V$1034,SITE1!$U$4:$U$1034,"")</f>
        <v>CLKOUT_SRC_P_6</v>
      </c>
      <c r="C270" t="str" cm="1">
        <f t="array" ref="C270">_xlfn.TEXTJOIN(",",TRUE,_xlfn.UNIQUE(TRANSPOSE(_xlfn.MAP(_xlfn.XLOOKUP(A270,SITE1!$C$4:$C$1034,SITE1!$F$4:$O$1034,""),_xlfn.LAMBDA(_xlpm.x,IF(_xlpm.x&lt;&gt;"",TRIM(CLEAN(LEFT(_xlpm.x,FIND(".",_xlpm.x &amp; ".")-1))),""))))))</f>
        <v/>
      </c>
      <c r="D270">
        <v>5.6029999999999998</v>
      </c>
      <c r="E270">
        <v>0.65259999999999896</v>
      </c>
      <c r="F270" t="str">
        <f>_xlfn.LET(_xlpm.raw,_xlfn.XLOOKUP(A270,SITE1!$C$4:$C$1034,SITE1!$E$4:$E$1034),_xlpm.cleanRaw,SUBSTITUTE(SUBSTITUTE(_xlpm.raw,"_PIN","."),"PIN","."),_xlpm.mainPart,MID(_xlpm.cleanRaw,2,FIND(".",_xlpm.cleanRaw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608068</v>
      </c>
      <c r="G270" t="str">
        <f>_xlfn.LET(_xlpm.raw,_xlfn.XLOOKUP(A270,SITE3!$C$4:$C$1034,SITE3!$E$4:$E$1034),_xlpm.cleanRaw,SUBSTITUTE(SUBSTITUTE(_xlpm.raw,"_PIN","."),"PIN","."),_xlpm.mainPart,MID(_xlpm.cleanRaw,2,FIND(".",_xlpm.cleanRaw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808068</v>
      </c>
      <c r="H270" t="str">
        <f>""</f>
        <v/>
      </c>
      <c r="I270" t="str">
        <f>""</f>
        <v/>
      </c>
      <c r="J270" t="str">
        <f t="shared" si="4"/>
        <v>N2;CLKOUT_SRC_P_6;;5.603;0.652599999999999;608068;808068;;</v>
      </c>
    </row>
    <row r="271" spans="1:10">
      <c r="A271" t="s">
        <v>114</v>
      </c>
      <c r="B271" t="str">
        <f>_xlfn.XLOOKUP(A271,SITE1!$V$4:$V$1034,SITE1!$U$4:$U$1034,"")</f>
        <v>CLKOUT_SRC_N_6</v>
      </c>
      <c r="C271" t="str" cm="1">
        <f t="array" ref="C271">_xlfn.TEXTJOIN(",",TRUE,_xlfn.UNIQUE(TRANSPOSE(_xlfn.MAP(_xlfn.XLOOKUP(A271,SITE1!$C$4:$C$1034,SITE1!$F$4:$O$1034,""),_xlfn.LAMBDA(_xlpm.x,IF(_xlpm.x&lt;&gt;"",TRIM(CLEAN(LEFT(_xlpm.x,FIND(".",_xlpm.x &amp; ".")-1))),""))))))</f>
        <v/>
      </c>
      <c r="D271">
        <v>5.6029999999999998</v>
      </c>
      <c r="E271">
        <v>1.15339999999999</v>
      </c>
      <c r="F271" t="str">
        <f>_xlfn.LET(_xlpm.raw,_xlfn.XLOOKUP(A271,SITE1!$C$4:$C$1034,SITE1!$E$4:$E$1034),_xlpm.cleanRaw,SUBSTITUTE(SUBSTITUTE(_xlpm.raw,"_PIN","."),"PIN","."),_xlpm.mainPart,MID(_xlpm.cleanRaw,2,FIND(".",_xlpm.cleanRaw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608070</v>
      </c>
      <c r="G271" t="str">
        <f>_xlfn.LET(_xlpm.raw,_xlfn.XLOOKUP(A271,SITE3!$C$4:$C$1034,SITE3!$E$4:$E$1034),_xlpm.cleanRaw,SUBSTITUTE(SUBSTITUTE(_xlpm.raw,"_PIN","."),"PIN","."),_xlpm.mainPart,MID(_xlpm.cleanRaw,2,FIND(".",_xlpm.cleanRaw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808070</v>
      </c>
      <c r="H271" t="str">
        <f>""</f>
        <v/>
      </c>
      <c r="I271" t="str">
        <f>""</f>
        <v/>
      </c>
      <c r="J271" t="str">
        <f t="shared" si="4"/>
        <v>N3;CLKOUT_SRC_N_6;;5.603;1.15339999999999;608070;808070;;</v>
      </c>
    </row>
    <row r="272" spans="1:10">
      <c r="A272" t="s">
        <v>78</v>
      </c>
      <c r="B272" t="str">
        <f>_xlfn.XLOOKUP(A272,SITE1!$V$4:$V$1034,SITE1!$U$4:$U$1034,"")</f>
        <v>CLKOUT_SRC_N_12</v>
      </c>
      <c r="C272" t="str" cm="1">
        <f t="array" ref="C272">_xlfn.TEXTJOIN(",",TRUE,_xlfn.UNIQUE(TRANSPOSE(_xlfn.MAP(_xlfn.XLOOKUP(A272,SITE1!$C$4:$C$1034,SITE1!$F$4:$O$1034,""),_xlfn.LAMBDA(_xlpm.x,IF(_xlpm.x&lt;&gt;"",TRIM(CLEAN(LEFT(_xlpm.x,FIND(".",_xlpm.x &amp; ".")-1))),""))))))</f>
        <v/>
      </c>
      <c r="D272">
        <v>5.3356999999999903</v>
      </c>
      <c r="E272">
        <v>2.4931999999999999</v>
      </c>
      <c r="F272" t="str">
        <f>_xlfn.LET(_xlpm.raw,_xlfn.XLOOKUP(A272,SITE1!$C$4:$C$1034,SITE1!$E$4:$E$1034),_xlpm.cleanRaw,SUBSTITUTE(SUBSTITUTE(_xlpm.raw,"_PIN","."),"PIN","."),_xlpm.mainPart,MID(_xlpm.cleanRaw,2,FIND(".",_xlpm.cleanRaw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607030</v>
      </c>
      <c r="G272" t="str">
        <f>_xlfn.LET(_xlpm.raw,_xlfn.XLOOKUP(A272,SITE3!$C$4:$C$1034,SITE3!$E$4:$E$1034),_xlpm.cleanRaw,SUBSTITUTE(SUBSTITUTE(_xlpm.raw,"_PIN","."),"PIN","."),_xlpm.mainPart,MID(_xlpm.cleanRaw,2,FIND(".",_xlpm.cleanRaw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807030</v>
      </c>
      <c r="H272" t="str">
        <f>""</f>
        <v/>
      </c>
      <c r="I272" t="str">
        <f>""</f>
        <v/>
      </c>
      <c r="J272" t="str">
        <f t="shared" si="4"/>
        <v>N6;CLKOUT_SRC_N_12;;5.33569999999999;2.4932;607030;807030;;</v>
      </c>
    </row>
    <row r="273" spans="1:10">
      <c r="A273" t="s">
        <v>157</v>
      </c>
      <c r="B273" t="str">
        <f>_xlfn.XLOOKUP(A273,SITE1!$V$4:$V$1034,SITE1!$U$4:$U$1034,"")</f>
        <v>CLKOUT_SRC_P_12</v>
      </c>
      <c r="C273" t="str" cm="1">
        <f t="array" ref="C273">_xlfn.TEXTJOIN(",",TRUE,_xlfn.UNIQUE(TRANSPOSE(_xlfn.MAP(_xlfn.XLOOKUP(A273,SITE1!$C$4:$C$1034,SITE1!$F$4:$O$1034,""),_xlfn.LAMBDA(_xlpm.x,IF(_xlpm.x&lt;&gt;"",TRIM(CLEAN(LEFT(_xlpm.x,FIND(".",_xlpm.x &amp; ".")-1))),""))))))</f>
        <v/>
      </c>
      <c r="D273">
        <v>5.6686999999999896</v>
      </c>
      <c r="E273">
        <v>3.1497999999999902</v>
      </c>
      <c r="F273" t="str">
        <f>_xlfn.LET(_xlpm.raw,_xlfn.XLOOKUP(A273,SITE1!$C$4:$C$1034,SITE1!$E$4:$E$1034),_xlpm.cleanRaw,SUBSTITUTE(SUBSTITUTE(_xlpm.raw,"_PIN","."),"PIN","."),_xlpm.mainPart,MID(_xlpm.cleanRaw,2,FIND(".",_xlpm.cleanRaw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607028</v>
      </c>
      <c r="G273" t="str">
        <f>_xlfn.LET(_xlpm.raw,_xlfn.XLOOKUP(A273,SITE3!$C$4:$C$1034,SITE3!$E$4:$E$1034),_xlpm.cleanRaw,SUBSTITUTE(SUBSTITUTE(_xlpm.raw,"_PIN","."),"PIN","."),_xlpm.mainPart,MID(_xlpm.cleanRaw,2,FIND(".",_xlpm.cleanRaw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807028</v>
      </c>
      <c r="H273" t="str">
        <f>""</f>
        <v/>
      </c>
      <c r="I273" t="str">
        <f>""</f>
        <v/>
      </c>
      <c r="J273" t="str">
        <f t="shared" si="4"/>
        <v>N7;CLKOUT_SRC_P_12;;5.66869999999999;3.14979999999999;607028;807028;;</v>
      </c>
    </row>
    <row r="274" spans="1:10">
      <c r="A274" t="s">
        <v>4022</v>
      </c>
      <c r="B274" t="str">
        <f>_xlfn.XLOOKUP(A274,SITE1!$V$4:$V$1034,SITE1!$U$4:$U$1034,"")</f>
        <v>VSS</v>
      </c>
      <c r="C274" t="str" cm="1">
        <f t="array" ref="C274">_xlfn.TEXTJOIN(",",TRUE,_xlfn.UNIQUE(TRANSPOSE(_xlfn.MAP(_xlfn.XLOOKUP(A274,SITE1!$C$4:$C$1034,SITE1!$F$4:$O$1034,""),_xlfn.LAMBDA(_xlpm.x,IF(_xlpm.x&lt;&gt;"",TRIM(CLEAN(LEFT(_xlpm.x,FIND(".",_xlpm.x &amp; ".")-1))),""))))))</f>
        <v/>
      </c>
      <c r="D274">
        <v>5.3156999999999996</v>
      </c>
      <c r="E274">
        <v>5.6861999999999897</v>
      </c>
      <c r="F274" t="str">
        <f>_xlfn.LET(_xlpm.raw,_xlfn.XLOOKUP(A274,SITE1!$C$4:$C$1034,SITE1!$E$4:$E$1034),_xlpm.cleanRaw,SUBSTITUTE(SUBSTITUTE(_xlpm.raw,"_PIN","."),"PIN","."),_xlpm.mainPart,MID(_xlpm.cleanRaw,2,FIND(".",_xlpm.cleanRaw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4" t="str">
        <f>_xlfn.LET(_xlpm.raw,_xlfn.XLOOKUP(A274,SITE3!$C$4:$C$1034,SITE3!$E$4:$E$1034),_xlpm.cleanRaw,SUBSTITUTE(SUBSTITUTE(_xlpm.raw,"_PIN","."),"PIN","."),_xlpm.mainPart,MID(_xlpm.cleanRaw,2,FIND(".",_xlpm.cleanRaw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4" t="str">
        <f>""</f>
        <v/>
      </c>
      <c r="I274" t="str">
        <f>""</f>
        <v/>
      </c>
      <c r="J274" t="str">
        <f t="shared" si="4"/>
        <v>N13;VSS;;5.3157;5.68619999999999;;;;</v>
      </c>
    </row>
    <row r="275" spans="1:10">
      <c r="A275" t="s">
        <v>4023</v>
      </c>
      <c r="B275" t="str">
        <f>_xlfn.XLOOKUP(A275,SITE1!$V$4:$V$1034,SITE1!$U$4:$U$1034,"")</f>
        <v>VSS</v>
      </c>
      <c r="C275" t="str" cm="1">
        <f t="array" ref="C275">_xlfn.TEXTJOIN(",",TRUE,_xlfn.UNIQUE(TRANSPOSE(_xlfn.MAP(_xlfn.XLOOKUP(A275,SITE1!$C$4:$C$1034,SITE1!$F$4:$O$1034,""),_xlfn.LAMBDA(_xlpm.x,IF(_xlpm.x&lt;&gt;"",TRIM(CLEAN(LEFT(_xlpm.x,FIND(".",_xlpm.x &amp; ".")-1))),""))))))</f>
        <v/>
      </c>
      <c r="D275">
        <v>5.3291999999999904</v>
      </c>
      <c r="E275">
        <v>6.5594999999999999</v>
      </c>
      <c r="F275" t="str">
        <f>_xlfn.LET(_xlpm.raw,_xlfn.XLOOKUP(A275,SITE1!$C$4:$C$1034,SITE1!$E$4:$E$1034),_xlpm.cleanRaw,SUBSTITUTE(SUBSTITUTE(_xlpm.raw,"_PIN","."),"PIN","."),_xlpm.mainPart,MID(_xlpm.cleanRaw,2,FIND(".",_xlpm.cleanRaw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5" t="str">
        <f>_xlfn.LET(_xlpm.raw,_xlfn.XLOOKUP(A275,SITE3!$C$4:$C$1034,SITE3!$E$4:$E$1034),_xlpm.cleanRaw,SUBSTITUTE(SUBSTITUTE(_xlpm.raw,"_PIN","."),"PIN","."),_xlpm.mainPart,MID(_xlpm.cleanRaw,2,FIND(".",_xlpm.cleanRaw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5" t="str">
        <f>""</f>
        <v/>
      </c>
      <c r="I275" t="str">
        <f>""</f>
        <v/>
      </c>
      <c r="J275" t="str">
        <f t="shared" si="4"/>
        <v>N15;VSS;;5.32919999999999;6.5595;;;;</v>
      </c>
    </row>
    <row r="276" spans="1:10">
      <c r="A276" t="s">
        <v>4024</v>
      </c>
      <c r="B276" t="str">
        <f>_xlfn.XLOOKUP(A276,SITE1!$V$4:$V$1034,SITE1!$U$4:$U$1034,"")</f>
        <v>VSS</v>
      </c>
      <c r="C276" t="str" cm="1">
        <f t="array" ref="C276">_xlfn.TEXTJOIN(",",TRUE,_xlfn.UNIQUE(TRANSPOSE(_xlfn.MAP(_xlfn.XLOOKUP(A276,SITE1!$C$4:$C$1034,SITE1!$F$4:$O$1034,""),_xlfn.LAMBDA(_xlpm.x,IF(_xlpm.x&lt;&gt;"",TRIM(CLEAN(LEFT(_xlpm.x,FIND(".",_xlpm.x &amp; ".")-1))),""))))))</f>
        <v/>
      </c>
      <c r="D276">
        <v>5.4161999999999999</v>
      </c>
      <c r="E276">
        <v>7.4349999999999996</v>
      </c>
      <c r="F276" t="str">
        <f>_xlfn.LET(_xlpm.raw,_xlfn.XLOOKUP(A276,SITE1!$C$4:$C$1034,SITE1!$E$4:$E$1034),_xlpm.cleanRaw,SUBSTITUTE(SUBSTITUTE(_xlpm.raw,"_PIN","."),"PIN","."),_xlpm.mainPart,MID(_xlpm.cleanRaw,2,FIND(".",_xlpm.cleanRaw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6" t="str">
        <f>_xlfn.LET(_xlpm.raw,_xlfn.XLOOKUP(A276,SITE3!$C$4:$C$1034,SITE3!$E$4:$E$1034),_xlpm.cleanRaw,SUBSTITUTE(SUBSTITUTE(_xlpm.raw,"_PIN","."),"PIN","."),_xlpm.mainPart,MID(_xlpm.cleanRaw,2,FIND(".",_xlpm.cleanRaw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6" t="str">
        <f>""</f>
        <v/>
      </c>
      <c r="I276" t="str">
        <f>""</f>
        <v/>
      </c>
      <c r="J276" t="str">
        <f t="shared" si="4"/>
        <v>N16;VSS;;5.4162;7.435;;;;</v>
      </c>
    </row>
    <row r="277" spans="1:10">
      <c r="A277" t="s">
        <v>3249</v>
      </c>
      <c r="B277" t="str">
        <f>_xlfn.XLOOKUP(A277,SITE1!$V$4:$V$1034,SITE1!$U$4:$U$1034,"")</f>
        <v>USB31_3_RXN</v>
      </c>
      <c r="C277" t="str" cm="1">
        <f t="array" ref="C277">_xlfn.TEXTJOIN(",",TRUE,_xlfn.UNIQUE(TRANSPOSE(_xlfn.MAP(_xlfn.XLOOKUP(A277,SITE1!$C$4:$C$1034,SITE1!$F$4:$O$1034,""),_xlfn.LAMBDA(_xlpm.x,IF(_xlpm.x&lt;&gt;"",TRIM(CLEAN(LEFT(_xlpm.x,FIND(".",_xlpm.x &amp; ".")-1))),""))))))</f>
        <v>CA206,LA212</v>
      </c>
      <c r="D277">
        <v>5.6161999999999903</v>
      </c>
      <c r="E277">
        <v>8.8066999999999993</v>
      </c>
      <c r="F277" t="str">
        <f>_xlfn.LET(_xlpm.raw,_xlfn.XLOOKUP(A277,SITE1!$C$4:$C$1034,SITE1!$E$4:$E$1034),_xlpm.cleanRaw,SUBSTITUTE(SUBSTITUTE(_xlpm.raw,"_PIN","."),"PIN","."),_xlpm.mainPart,MID(_xlpm.cleanRaw,2,FIND(".",_xlpm.cleanRaw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701124</v>
      </c>
      <c r="G277" t="str">
        <f>_xlfn.LET(_xlpm.raw,_xlfn.XLOOKUP(A277,SITE3!$C$4:$C$1034,SITE3!$E$4:$E$1034),_xlpm.cleanRaw,SUBSTITUTE(SUBSTITUTE(_xlpm.raw,"_PIN","."),"PIN","."),_xlpm.mainPart,MID(_xlpm.cleanRaw,2,FIND(".",_xlpm.cleanRaw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501124</v>
      </c>
      <c r="H277" t="str">
        <f>""</f>
        <v/>
      </c>
      <c r="I277" t="str">
        <f>""</f>
        <v/>
      </c>
      <c r="J277" t="str">
        <f t="shared" si="4"/>
        <v>N19;USB31_3_RXN;CA206,LA212;5.61619999999999;8.8067;701124;501124;;</v>
      </c>
    </row>
    <row r="278" spans="1:10">
      <c r="A278" t="s">
        <v>4025</v>
      </c>
      <c r="B278" t="str">
        <f>_xlfn.XLOOKUP(A278,SITE1!$V$4:$V$1034,SITE1!$U$4:$U$1034,"")</f>
        <v>VSS</v>
      </c>
      <c r="C278" t="str" cm="1">
        <f t="array" ref="C278">_xlfn.TEXTJOIN(",",TRUE,_xlfn.UNIQUE(TRANSPOSE(_xlfn.MAP(_xlfn.XLOOKUP(A278,SITE1!$C$4:$C$1034,SITE1!$F$4:$O$1034,""),_xlfn.LAMBDA(_xlpm.x,IF(_xlpm.x&lt;&gt;"",TRIM(CLEAN(LEFT(_xlpm.x,FIND(".",_xlpm.x &amp; ".")-1))),""))))))</f>
        <v/>
      </c>
      <c r="D278">
        <v>5.6161999999999903</v>
      </c>
      <c r="E278">
        <v>10.164</v>
      </c>
      <c r="F278" t="str">
        <f>_xlfn.LET(_xlpm.raw,_xlfn.XLOOKUP(A278,SITE1!$C$4:$C$1034,SITE1!$E$4:$E$1034),_xlpm.cleanRaw,SUBSTITUTE(SUBSTITUTE(_xlpm.raw,"_PIN","."),"PIN","."),_xlpm.mainPart,MID(_xlpm.cleanRaw,2,FIND(".",_xlpm.cleanRaw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8" t="str">
        <f>_xlfn.LET(_xlpm.raw,_xlfn.XLOOKUP(A278,SITE3!$C$4:$C$1034,SITE3!$E$4:$E$1034),_xlpm.cleanRaw,SUBSTITUTE(SUBSTITUTE(_xlpm.raw,"_PIN","."),"PIN","."),_xlpm.mainPart,MID(_xlpm.cleanRaw,2,FIND(".",_xlpm.cleanRaw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8" t="str">
        <f>""</f>
        <v/>
      </c>
      <c r="I278" t="str">
        <f>""</f>
        <v/>
      </c>
      <c r="J278" t="str">
        <f t="shared" si="4"/>
        <v>N22;VSS;;5.61619999999999;10.164;;;;</v>
      </c>
    </row>
    <row r="279" spans="1:10">
      <c r="A279" t="s">
        <v>3387</v>
      </c>
      <c r="B279" t="str">
        <f>_xlfn.XLOOKUP(A279,SITE1!$V$4:$V$1034,SITE1!$U$4:$U$1034,"")</f>
        <v>USB31_7_RXN</v>
      </c>
      <c r="C279" t="str" cm="1">
        <f t="array" ref="C279">_xlfn.TEXTJOIN(",",TRUE,_xlfn.UNIQUE(TRANSPOSE(_xlfn.MAP(_xlfn.XLOOKUP(A279,SITE1!$C$4:$C$1034,SITE1!$F$4:$O$1034,""),_xlfn.LAMBDA(_xlpm.x,IF(_xlpm.x&lt;&gt;"",TRIM(CLEAN(LEFT(_xlpm.x,FIND(".",_xlpm.x &amp; ".")-1))),""))))))</f>
        <v>CA214,LA228</v>
      </c>
      <c r="D279">
        <v>5.6161999999999903</v>
      </c>
      <c r="E279">
        <v>11.5357</v>
      </c>
      <c r="F279" t="str">
        <f>_xlfn.LET(_xlpm.raw,_xlfn.XLOOKUP(A279,SITE1!$C$4:$C$1034,SITE1!$E$4:$E$1034),_xlpm.cleanRaw,SUBSTITUTE(SUBSTITUTE(_xlpm.raw,"_PIN","."),"PIN","."),_xlpm.mainPart,MID(_xlpm.cleanRaw,2,FIND(".",_xlpm.cleanRaw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707104</v>
      </c>
      <c r="G279" t="str">
        <f>_xlfn.LET(_xlpm.raw,_xlfn.XLOOKUP(A279,SITE3!$C$4:$C$1034,SITE3!$E$4:$E$1034),_xlpm.cleanRaw,SUBSTITUTE(SUBSTITUTE(_xlpm.raw,"_PIN","."),"PIN","."),_xlpm.mainPart,MID(_xlpm.cleanRaw,2,FIND(".",_xlpm.cleanRaw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507104</v>
      </c>
      <c r="H279" t="str">
        <f>""</f>
        <v/>
      </c>
      <c r="I279" t="str">
        <f>""</f>
        <v/>
      </c>
      <c r="J279" t="str">
        <f t="shared" si="4"/>
        <v>N25;USB31_7_RXN;CA214,LA228;5.61619999999999;11.5357;707104;507104;;</v>
      </c>
    </row>
    <row r="280" spans="1:10">
      <c r="A280" t="s">
        <v>4026</v>
      </c>
      <c r="B280" t="str">
        <f>_xlfn.XLOOKUP(A280,SITE1!$V$4:$V$1034,SITE1!$U$4:$U$1034,"")</f>
        <v>VSS</v>
      </c>
      <c r="C280" t="str" cm="1">
        <f t="array" ref="C280">_xlfn.TEXTJOIN(",",TRUE,_xlfn.UNIQUE(TRANSPOSE(_xlfn.MAP(_xlfn.XLOOKUP(A280,SITE1!$C$4:$C$1034,SITE1!$F$4:$O$1034,""),_xlfn.LAMBDA(_xlpm.x,IF(_xlpm.x&lt;&gt;"",TRIM(CLEAN(LEFT(_xlpm.x,FIND(".",_xlpm.x &amp; ".")-1))),""))))))</f>
        <v/>
      </c>
      <c r="D280">
        <v>5.6161999999999903</v>
      </c>
      <c r="E280">
        <v>12.893000000000001</v>
      </c>
      <c r="F280" t="str">
        <f>_xlfn.LET(_xlpm.raw,_xlfn.XLOOKUP(A280,SITE1!$C$4:$C$1034,SITE1!$E$4:$E$1034),_xlpm.cleanRaw,SUBSTITUTE(SUBSTITUTE(_xlpm.raw,"_PIN","."),"PIN","."),_xlpm.mainPart,MID(_xlpm.cleanRaw,2,FIND(".",_xlpm.cleanRaw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0" t="str">
        <f>_xlfn.LET(_xlpm.raw,_xlfn.XLOOKUP(A280,SITE3!$C$4:$C$1034,SITE3!$E$4:$E$1034),_xlpm.cleanRaw,SUBSTITUTE(SUBSTITUTE(_xlpm.raw,"_PIN","."),"PIN","."),_xlpm.mainPart,MID(_xlpm.cleanRaw,2,FIND(".",_xlpm.cleanRaw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0" t="str">
        <f>""</f>
        <v/>
      </c>
      <c r="I280" t="str">
        <f>""</f>
        <v/>
      </c>
      <c r="J280" t="str">
        <f t="shared" si="4"/>
        <v>N28;VSS;;5.61619999999999;12.893;;;;</v>
      </c>
    </row>
    <row r="281" spans="1:10">
      <c r="A281" t="s">
        <v>2352</v>
      </c>
      <c r="B281" t="str">
        <f>_xlfn.XLOOKUP(A281,SITE1!$V$4:$V$1034,SITE1!$U$4:$U$1034,"")</f>
        <v>PCIE_21_RXN</v>
      </c>
      <c r="C281" t="str" cm="1">
        <f t="array" ref="C281">_xlfn.TEXTJOIN(",",TRUE,_xlfn.UNIQUE(TRANSPOSE(_xlfn.MAP(_xlfn.XLOOKUP(A281,SITE1!$C$4:$C$1034,SITE1!$F$4:$O$1034,""),_xlfn.LAMBDA(_xlpm.x,IF(_xlpm.x&lt;&gt;"",TRIM(CLEAN(LEFT(_xlpm.x,FIND(".",_xlpm.x &amp; ".")-1))),""))))))</f>
        <v>CA262,LA324</v>
      </c>
      <c r="D281">
        <v>5.6161999999999903</v>
      </c>
      <c r="E281">
        <v>14.264699999999999</v>
      </c>
      <c r="F281" t="str">
        <f>_xlfn.LET(_xlpm.raw,_xlfn.XLOOKUP(A281,SITE1!$C$4:$C$1034,SITE1!$E$4:$E$1034),_xlpm.cleanRaw,SUBSTITUTE(SUBSTITUTE(_xlpm.raw,"_PIN","."),"PIN","."),_xlpm.mainPart,MID(_xlpm.cleanRaw,2,FIND(".",_xlpm.cleanRaw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706023</v>
      </c>
      <c r="G281" t="str">
        <f>_xlfn.LET(_xlpm.raw,_xlfn.XLOOKUP(A281,SITE3!$C$4:$C$1034,SITE3!$E$4:$E$1034),_xlpm.cleanRaw,SUBSTITUTE(SUBSTITUTE(_xlpm.raw,"_PIN","."),"PIN","."),_xlpm.mainPart,MID(_xlpm.cleanRaw,2,FIND(".",_xlpm.cleanRaw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506023</v>
      </c>
      <c r="H281" t="str">
        <f>""</f>
        <v/>
      </c>
      <c r="I281" t="str">
        <f>""</f>
        <v/>
      </c>
      <c r="J281" t="str">
        <f t="shared" si="4"/>
        <v>N31;PCIE_21_RXN;CA262,LA324;5.61619999999999;14.2647;706023;506023;;</v>
      </c>
    </row>
    <row r="282" spans="1:10">
      <c r="A282" t="s">
        <v>4027</v>
      </c>
      <c r="B282" t="str">
        <f>_xlfn.XLOOKUP(A282,SITE1!$V$4:$V$1034,SITE1!$U$4:$U$1034,"")</f>
        <v>VSS</v>
      </c>
      <c r="C282" t="str" cm="1">
        <f t="array" ref="C282">_xlfn.TEXTJOIN(",",TRUE,_xlfn.UNIQUE(TRANSPOSE(_xlfn.MAP(_xlfn.XLOOKUP(A282,SITE1!$C$4:$C$1034,SITE1!$F$4:$O$1034,""),_xlfn.LAMBDA(_xlpm.x,IF(_xlpm.x&lt;&gt;"",TRIM(CLEAN(LEFT(_xlpm.x,FIND(".",_xlpm.x &amp; ".")-1))),""))))))</f>
        <v/>
      </c>
      <c r="D282">
        <v>5.6161999999999903</v>
      </c>
      <c r="E282">
        <v>15.622</v>
      </c>
      <c r="F282" t="str">
        <f>_xlfn.LET(_xlpm.raw,_xlfn.XLOOKUP(A282,SITE1!$C$4:$C$1034,SITE1!$E$4:$E$1034),_xlpm.cleanRaw,SUBSTITUTE(SUBSTITUTE(_xlpm.raw,"_PIN","."),"PIN","."),_xlpm.mainPart,MID(_xlpm.cleanRaw,2,FIND(".",_xlpm.cleanRaw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2" t="str">
        <f>_xlfn.LET(_xlpm.raw,_xlfn.XLOOKUP(A282,SITE3!$C$4:$C$1034,SITE3!$E$4:$E$1034),_xlpm.cleanRaw,SUBSTITUTE(SUBSTITUTE(_xlpm.raw,"_PIN","."),"PIN","."),_xlpm.mainPart,MID(_xlpm.cleanRaw,2,FIND(".",_xlpm.cleanRaw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2" t="str">
        <f>""</f>
        <v/>
      </c>
      <c r="I282" t="str">
        <f>""</f>
        <v/>
      </c>
      <c r="J282" t="str">
        <f t="shared" si="4"/>
        <v>N34;VSS;;5.61619999999999;15.622;;;;</v>
      </c>
    </row>
    <row r="283" spans="1:10">
      <c r="A283" t="s">
        <v>572</v>
      </c>
      <c r="B283" t="str">
        <f>_xlfn.XLOOKUP(A283,SITE1!$V$4:$V$1034,SITE1!$U$4:$U$1034,"")</f>
        <v>DMI_7_RXN</v>
      </c>
      <c r="C283" t="str" cm="1">
        <f t="array" ref="C283">_xlfn.TEXTJOIN(",",TRUE,_xlfn.UNIQUE(TRANSPOSE(_xlfn.MAP(_xlfn.XLOOKUP(A283,SITE1!$C$4:$C$1034,SITE1!$F$4:$O$1034,""),_xlfn.LAMBDA(_xlpm.x,IF(_xlpm.x&lt;&gt;"",TRIM(CLEAN(LEFT(_xlpm.x,FIND(".",_xlpm.x &amp; ".")-1))),""))))))</f>
        <v>LA367</v>
      </c>
      <c r="D283">
        <v>5.6161999999999903</v>
      </c>
      <c r="E283">
        <v>16.9937</v>
      </c>
      <c r="F283" t="str">
        <f>_xlfn.LET(_xlpm.raw,_xlfn.XLOOKUP(A283,SITE1!$C$4:$C$1034,SITE1!$E$4:$E$1034),_xlpm.cleanRaw,SUBSTITUTE(SUBSTITUTE(_xlpm.raw,"_PIN","."),"PIN","."),_xlpm.mainPart,MID(_xlpm.cleanRaw,2,FIND(".",_xlpm.cleanRaw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707108</v>
      </c>
      <c r="G283" t="str">
        <f>_xlfn.LET(_xlpm.raw,_xlfn.XLOOKUP(A283,SITE3!$C$4:$C$1034,SITE3!$E$4:$E$1034),_xlpm.cleanRaw,SUBSTITUTE(SUBSTITUTE(_xlpm.raw,"_PIN","."),"PIN","."),_xlpm.mainPart,MID(_xlpm.cleanRaw,2,FIND(".",_xlpm.cleanRaw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507108</v>
      </c>
      <c r="H283" t="str">
        <f>""</f>
        <v/>
      </c>
      <c r="I283" t="str">
        <f>""</f>
        <v/>
      </c>
      <c r="J283" t="str">
        <f t="shared" si="4"/>
        <v>N36;DMI_7_RXN;LA367;5.61619999999999;16.9937;707108;507108;;</v>
      </c>
    </row>
    <row r="284" spans="1:10">
      <c r="A284" t="s">
        <v>4028</v>
      </c>
      <c r="B284" t="str">
        <f>_xlfn.XLOOKUP(A284,SITE1!$V$4:$V$1034,SITE1!$U$4:$U$1034,"")</f>
        <v>VSS</v>
      </c>
      <c r="C284" t="str" cm="1">
        <f t="array" ref="C284">_xlfn.TEXTJOIN(",",TRUE,_xlfn.UNIQUE(TRANSPOSE(_xlfn.MAP(_xlfn.XLOOKUP(A284,SITE1!$C$4:$C$1034,SITE1!$F$4:$O$1034,""),_xlfn.LAMBDA(_xlpm.x,IF(_xlpm.x&lt;&gt;"",TRIM(CLEAN(LEFT(_xlpm.x,FIND(".",_xlpm.x &amp; ".")-1))),""))))))</f>
        <v/>
      </c>
      <c r="D284">
        <v>5.6161999999999903</v>
      </c>
      <c r="E284">
        <v>18.350999999999999</v>
      </c>
      <c r="F284" t="str">
        <f>_xlfn.LET(_xlpm.raw,_xlfn.XLOOKUP(A284,SITE1!$C$4:$C$1034,SITE1!$E$4:$E$1034),_xlpm.cleanRaw,SUBSTITUTE(SUBSTITUTE(_xlpm.raw,"_PIN","."),"PIN","."),_xlpm.mainPart,MID(_xlpm.cleanRaw,2,FIND(".",_xlpm.cleanRaw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4" t="str">
        <f>_xlfn.LET(_xlpm.raw,_xlfn.XLOOKUP(A284,SITE3!$C$4:$C$1034,SITE3!$E$4:$E$1034),_xlpm.cleanRaw,SUBSTITUTE(SUBSTITUTE(_xlpm.raw,"_PIN","."),"PIN","."),_xlpm.mainPart,MID(_xlpm.cleanRaw,2,FIND(".",_xlpm.cleanRaw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4" t="str">
        <f>""</f>
        <v/>
      </c>
      <c r="I284" t="str">
        <f>""</f>
        <v/>
      </c>
      <c r="J284" t="str">
        <f t="shared" si="4"/>
        <v>N39;VSS;;5.61619999999999;18.351;;;;</v>
      </c>
    </row>
    <row r="285" spans="1:10">
      <c r="A285" t="s">
        <v>4029</v>
      </c>
      <c r="B285" t="str">
        <f>_xlfn.XLOOKUP(A285,SITE1!$V$4:$V$1034,SITE1!$U$4:$U$1034,"")</f>
        <v>VSS</v>
      </c>
      <c r="C285" t="str" cm="1">
        <f t="array" ref="C285">_xlfn.TEXTJOIN(",",TRUE,_xlfn.UNIQUE(TRANSPOSE(_xlfn.MAP(_xlfn.XLOOKUP(A285,SITE1!$C$4:$C$1034,SITE1!$F$4:$O$1034,""),_xlfn.LAMBDA(_xlpm.x,IF(_xlpm.x&lt;&gt;"",TRIM(CLEAN(LEFT(_xlpm.x,FIND(".",_xlpm.x &amp; ".")-1))),""))))))</f>
        <v/>
      </c>
      <c r="D285">
        <v>5.3780999999999999</v>
      </c>
      <c r="E285">
        <v>19.502700000000001</v>
      </c>
      <c r="F285" t="str">
        <f>_xlfn.LET(_xlpm.raw,_xlfn.XLOOKUP(A285,SITE1!$C$4:$C$1034,SITE1!$E$4:$E$1034),_xlpm.cleanRaw,SUBSTITUTE(SUBSTITUTE(_xlpm.raw,"_PIN","."),"PIN","."),_xlpm.mainPart,MID(_xlpm.cleanRaw,2,FIND(".",_xlpm.cleanRaw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5" t="str">
        <f>_xlfn.LET(_xlpm.raw,_xlfn.XLOOKUP(A285,SITE3!$C$4:$C$1034,SITE3!$E$4:$E$1034),_xlpm.cleanRaw,SUBSTITUTE(SUBSTITUTE(_xlpm.raw,"_PIN","."),"PIN","."),_xlpm.mainPart,MID(_xlpm.cleanRaw,2,FIND(".",_xlpm.cleanRaw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5" t="str">
        <f>""</f>
        <v/>
      </c>
      <c r="I285" t="str">
        <f>""</f>
        <v/>
      </c>
      <c r="J285" t="str">
        <f t="shared" si="4"/>
        <v>N42;VSS;;5.3781;19.5027;;;;</v>
      </c>
    </row>
    <row r="286" spans="1:10">
      <c r="A286" t="s">
        <v>4030</v>
      </c>
      <c r="B286" t="str">
        <f>_xlfn.XLOOKUP(A286,SITE1!$V$4:$V$1034,SITE1!$U$4:$U$1034,"")</f>
        <v>VSS</v>
      </c>
      <c r="C286" t="str" cm="1">
        <f t="array" ref="C286">_xlfn.TEXTJOIN(",",TRUE,_xlfn.UNIQUE(TRANSPOSE(_xlfn.MAP(_xlfn.XLOOKUP(A286,SITE1!$C$4:$C$1034,SITE1!$F$4:$O$1034,""),_xlfn.LAMBDA(_xlpm.x,IF(_xlpm.x&lt;&gt;"",TRIM(CLEAN(LEFT(_xlpm.x,FIND(".",_xlpm.x &amp; ".")-1))),""))))))</f>
        <v/>
      </c>
      <c r="D286">
        <v>5.4242999999999997</v>
      </c>
      <c r="E286">
        <v>20.155200000000001</v>
      </c>
      <c r="F286" t="str">
        <f>_xlfn.LET(_xlpm.raw,_xlfn.XLOOKUP(A286,SITE1!$C$4:$C$1034,SITE1!$E$4:$E$1034),_xlpm.cleanRaw,SUBSTITUTE(SUBSTITUTE(_xlpm.raw,"_PIN","."),"PIN","."),_xlpm.mainPart,MID(_xlpm.cleanRaw,2,FIND(".",_xlpm.cleanRaw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6" t="str">
        <f>_xlfn.LET(_xlpm.raw,_xlfn.XLOOKUP(A286,SITE3!$C$4:$C$1034,SITE3!$E$4:$E$1034),_xlpm.cleanRaw,SUBSTITUTE(SUBSTITUTE(_xlpm.raw,"_PIN","."),"PIN","."),_xlpm.mainPart,MID(_xlpm.cleanRaw,2,FIND(".",_xlpm.cleanRaw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6" t="str">
        <f>""</f>
        <v/>
      </c>
      <c r="I286" t="str">
        <f>""</f>
        <v/>
      </c>
      <c r="J286" t="str">
        <f t="shared" si="4"/>
        <v>N43;VSS;;5.4243;20.1552;;;;</v>
      </c>
    </row>
    <row r="287" spans="1:10">
      <c r="A287" t="s">
        <v>4031</v>
      </c>
      <c r="B287" t="str">
        <f>_xlfn.XLOOKUP(A287,SITE1!$V$4:$V$1034,SITE1!$U$4:$U$1034,"")</f>
        <v>VSS</v>
      </c>
      <c r="C287" t="str" cm="1">
        <f t="array" ref="C287">_xlfn.TEXTJOIN(",",TRUE,_xlfn.UNIQUE(TRANSPOSE(_xlfn.MAP(_xlfn.XLOOKUP(A287,SITE1!$C$4:$C$1034,SITE1!$F$4:$O$1034,""),_xlfn.LAMBDA(_xlpm.x,IF(_xlpm.x&lt;&gt;"",TRIM(CLEAN(LEFT(_xlpm.x,FIND(".",_xlpm.x &amp; ".")-1))),""))))))</f>
        <v/>
      </c>
      <c r="D287">
        <v>5.3783999999999903</v>
      </c>
      <c r="E287">
        <v>21.2865</v>
      </c>
      <c r="F287" t="str">
        <f>_xlfn.LET(_xlpm.raw,_xlfn.XLOOKUP(A287,SITE1!$C$4:$C$1034,SITE1!$E$4:$E$1034),_xlpm.cleanRaw,SUBSTITUTE(SUBSTITUTE(_xlpm.raw,"_PIN","."),"PIN","."),_xlpm.mainPart,MID(_xlpm.cleanRaw,2,FIND(".",_xlpm.cleanRaw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7" t="str">
        <f>_xlfn.LET(_xlpm.raw,_xlfn.XLOOKUP(A287,SITE3!$C$4:$C$1034,SITE3!$E$4:$E$1034),_xlpm.cleanRaw,SUBSTITUTE(SUBSTITUTE(_xlpm.raw,"_PIN","."),"PIN","."),_xlpm.mainPart,MID(_xlpm.cleanRaw,2,FIND(".",_xlpm.cleanRaw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7" t="str">
        <f>""</f>
        <v/>
      </c>
      <c r="I287" t="str">
        <f>""</f>
        <v/>
      </c>
      <c r="J287" t="str">
        <f t="shared" si="4"/>
        <v>N45;VSS;;5.37839999999999;21.2865;;;;</v>
      </c>
    </row>
    <row r="288" spans="1:10">
      <c r="A288" t="s">
        <v>910</v>
      </c>
      <c r="B288" t="str">
        <f>_xlfn.XLOOKUP(A288,SITE1!$V$4:$V$1034,SITE1!$U$4:$U$1034,"")</f>
        <v>GPP_B_8_ISH_GP_0</v>
      </c>
      <c r="C288" t="str" cm="1">
        <f t="array" ref="C288">_xlfn.TEXTJOIN(",",TRUE,_xlfn.UNIQUE(TRANSPOSE(_xlfn.MAP(_xlfn.XLOOKUP(A288,SITE1!$C$4:$C$1034,SITE1!$F$4:$O$1034,""),_xlfn.LAMBDA(_xlpm.x,IF(_xlpm.x&lt;&gt;"",TRIM(CLEAN(LEFT(_xlpm.x,FIND(".",_xlpm.x &amp; ".")-1))),""))))))</f>
        <v/>
      </c>
      <c r="D288">
        <v>5.6686999999999896</v>
      </c>
      <c r="E288">
        <v>23.728400000000001</v>
      </c>
      <c r="F288" t="str">
        <f>_xlfn.LET(_xlpm.raw,_xlfn.XLOOKUP(A288,SITE1!$C$4:$C$1034,SITE1!$E$4:$E$1034),_xlpm.cleanRaw,SUBSTITUTE(SUBSTITUTE(_xlpm.raw,"_PIN","."),"PIN","."),_xlpm.mainPart,MID(_xlpm.cleanRaw,2,FIND(".",_xlpm.cleanRaw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708074</v>
      </c>
      <c r="G288" t="str">
        <f>_xlfn.LET(_xlpm.raw,_xlfn.XLOOKUP(A288,SITE3!$C$4:$C$1034,SITE3!$E$4:$E$1034),_xlpm.cleanRaw,SUBSTITUTE(SUBSTITUTE(_xlpm.raw,"_PIN","."),"PIN","."),_xlpm.mainPart,MID(_xlpm.cleanRaw,2,FIND(".",_xlpm.cleanRaw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508074</v>
      </c>
      <c r="H288" t="str">
        <f>""</f>
        <v/>
      </c>
      <c r="I288" t="str">
        <f>""</f>
        <v/>
      </c>
      <c r="J288" t="str">
        <f t="shared" si="4"/>
        <v>N51;GPP_B_8_ISH_GP_0;;5.66869999999999;23.7284;708074;508074;;</v>
      </c>
    </row>
    <row r="289" spans="1:10">
      <c r="A289" t="s">
        <v>810</v>
      </c>
      <c r="B289" t="str">
        <f>_xlfn.XLOOKUP(A289,SITE1!$V$4:$V$1034,SITE1!$U$4:$U$1034,"")</f>
        <v>GPP_B_0_PCIE_LNK_DOWN</v>
      </c>
      <c r="C289" t="str" cm="1">
        <f t="array" ref="C289">_xlfn.TEXTJOIN(",",TRUE,_xlfn.UNIQUE(TRANSPOSE(_xlfn.MAP(_xlfn.XLOOKUP(A289,SITE1!$C$4:$C$1034,SITE1!$F$4:$O$1034,""),_xlfn.LAMBDA(_xlpm.x,IF(_xlpm.x&lt;&gt;"",TRIM(CLEAN(LEFT(_xlpm.x,FIND(".",_xlpm.x &amp; ".")-1))),""))))))</f>
        <v/>
      </c>
      <c r="D289">
        <v>5.3356999999999903</v>
      </c>
      <c r="E289">
        <v>24.384999999999899</v>
      </c>
      <c r="F289" t="str">
        <f>_xlfn.LET(_xlpm.raw,_xlfn.XLOOKUP(A289,SITE1!$C$4:$C$1034,SITE1!$E$4:$E$1034),_xlpm.cleanRaw,SUBSTITUTE(SUBSTITUTE(_xlpm.raw,"_PIN","."),"PIN","."),_xlpm.mainPart,MID(_xlpm.cleanRaw,2,FIND(".",_xlpm.cleanRaw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706026</v>
      </c>
      <c r="G289" t="str">
        <f>_xlfn.LET(_xlpm.raw,_xlfn.XLOOKUP(A289,SITE3!$C$4:$C$1034,SITE3!$E$4:$E$1034),_xlpm.cleanRaw,SUBSTITUTE(SUBSTITUTE(_xlpm.raw,"_PIN","."),"PIN","."),_xlpm.mainPart,MID(_xlpm.cleanRaw,2,FIND(".",_xlpm.cleanRaw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506026</v>
      </c>
      <c r="H289" t="str">
        <f>""</f>
        <v/>
      </c>
      <c r="I289" t="str">
        <f>""</f>
        <v/>
      </c>
      <c r="J289" t="str">
        <f t="shared" si="4"/>
        <v>N52;GPP_B_0_PCIE_LNK_DOWN;;5.33569999999999;24.3849999999999;706026;506026;;</v>
      </c>
    </row>
    <row r="290" spans="1:10">
      <c r="A290" t="s">
        <v>775</v>
      </c>
      <c r="B290" t="str">
        <f>_xlfn.XLOOKUP(A290,SITE1!$V$4:$V$1034,SITE1!$U$4:$U$1034,"")</f>
        <v>GPP_A_3_ESPI_IO_3_SUSACKB</v>
      </c>
      <c r="C290" t="str" cm="1">
        <f t="array" ref="C290">_xlfn.TEXTJOIN(",",TRUE,_xlfn.UNIQUE(TRANSPOSE(_xlfn.MAP(_xlfn.XLOOKUP(A290,SITE1!$C$4:$C$1034,SITE1!$F$4:$O$1034,""),_xlfn.LAMBDA(_xlpm.x,IF(_xlpm.x&lt;&gt;"",TRIM(CLEAN(LEFT(_xlpm.x,FIND(".",_xlpm.x &amp; ".")-1))),""))))))</f>
        <v/>
      </c>
      <c r="D290">
        <v>5.6029999999999998</v>
      </c>
      <c r="E290">
        <v>25.724799999999998</v>
      </c>
      <c r="F290" t="str">
        <f>_xlfn.LET(_xlpm.raw,_xlfn.XLOOKUP(A290,SITE1!$C$4:$C$1034,SITE1!$E$4:$E$1034),_xlpm.cleanRaw,SUBSTITUTE(SUBSTITUTE(_xlpm.raw,"_PIN","."),"PIN","."),_xlpm.mainPart,MID(_xlpm.cleanRaw,2,FIND(".",_xlpm.cleanRaw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708054</v>
      </c>
      <c r="G290" t="str">
        <f>_xlfn.LET(_xlpm.raw,_xlfn.XLOOKUP(A290,SITE3!$C$4:$C$1034,SITE3!$E$4:$E$1034),_xlpm.cleanRaw,SUBSTITUTE(SUBSTITUTE(_xlpm.raw,"_PIN","."),"PIN","."),_xlpm.mainPart,MID(_xlpm.cleanRaw,2,FIND(".",_xlpm.cleanRaw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508054</v>
      </c>
      <c r="H290" t="str">
        <f>""</f>
        <v/>
      </c>
      <c r="I290" t="str">
        <f>""</f>
        <v/>
      </c>
      <c r="J290" t="str">
        <f t="shared" si="4"/>
        <v>N55;GPP_A_3_ESPI_IO_3_SUSACKB;;5.603;25.7248;708054;508054;;</v>
      </c>
    </row>
    <row r="291" spans="1:10">
      <c r="A291" t="s">
        <v>745</v>
      </c>
      <c r="B291" t="str">
        <f>_xlfn.XLOOKUP(A291,SITE1!$V$4:$V$1034,SITE1!$U$4:$U$1034,"")</f>
        <v>GPP_A_1_ESPI_IO_1</v>
      </c>
      <c r="C291" t="str" cm="1">
        <f t="array" ref="C291">_xlfn.TEXTJOIN(",",TRUE,_xlfn.UNIQUE(TRANSPOSE(_xlfn.MAP(_xlfn.XLOOKUP(A291,SITE1!$C$4:$C$1034,SITE1!$F$4:$O$1034,""),_xlfn.LAMBDA(_xlpm.x,IF(_xlpm.x&lt;&gt;"",TRIM(CLEAN(LEFT(_xlpm.x,FIND(".",_xlpm.x &amp; ".")-1))),""))))))</f>
        <v/>
      </c>
      <c r="D291">
        <v>5.6029999999999998</v>
      </c>
      <c r="E291">
        <v>26.2256</v>
      </c>
      <c r="F291" t="str">
        <f>_xlfn.LET(_xlpm.raw,_xlfn.XLOOKUP(A291,SITE1!$C$4:$C$1034,SITE1!$E$4:$E$1034),_xlpm.cleanRaw,SUBSTITUTE(SUBSTITUTE(_xlpm.raw,"_PIN","."),"PIN","."),_xlpm.mainPart,MID(_xlpm.cleanRaw,2,FIND(".",_xlpm.cleanRaw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702064</v>
      </c>
      <c r="G291" t="str">
        <f>_xlfn.LET(_xlpm.raw,_xlfn.XLOOKUP(A291,SITE3!$C$4:$C$1034,SITE3!$E$4:$E$1034),_xlpm.cleanRaw,SUBSTITUTE(SUBSTITUTE(_xlpm.raw,"_PIN","."),"PIN","."),_xlpm.mainPart,MID(_xlpm.cleanRaw,2,FIND(".",_xlpm.cleanRaw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502064</v>
      </c>
      <c r="H291" t="str">
        <f>""</f>
        <v/>
      </c>
      <c r="I291" t="str">
        <f>""</f>
        <v/>
      </c>
      <c r="J291" t="str">
        <f t="shared" si="4"/>
        <v>N56;GPP_A_1_ESPI_IO_1;;5.603;26.2256;702064;502064;;</v>
      </c>
    </row>
    <row r="292" spans="1:10">
      <c r="A292" t="s">
        <v>192</v>
      </c>
      <c r="B292" t="str">
        <f>_xlfn.XLOOKUP(A292,SITE1!$V$4:$V$1034,SITE1!$U$4:$U$1034,"")</f>
        <v>CLKOUT_SRC_P_7</v>
      </c>
      <c r="C292" t="str" cm="1">
        <f t="array" ref="C292">_xlfn.TEXTJOIN(",",TRUE,_xlfn.UNIQUE(TRANSPOSE(_xlfn.MAP(_xlfn.XLOOKUP(A292,SITE1!$C$4:$C$1034,SITE1!$F$4:$O$1034,""),_xlfn.LAMBDA(_xlpm.x,IF(_xlpm.x&lt;&gt;"",TRIM(CLEAN(LEFT(_xlpm.x,FIND(".",_xlpm.x &amp; ".")-1))),""))))))</f>
        <v/>
      </c>
      <c r="D292">
        <v>6.1099999999999897</v>
      </c>
      <c r="E292">
        <v>1.28009999999999</v>
      </c>
      <c r="F292" t="str">
        <f>_xlfn.LET(_xlpm.raw,_xlfn.XLOOKUP(A292,SITE1!$C$4:$C$1034,SITE1!$E$4:$E$1034),_xlpm.cleanRaw,SUBSTITUTE(SUBSTITUTE(_xlpm.raw,"_PIN","."),"PIN","."),_xlpm.mainPart,MID(_xlpm.cleanRaw,2,FIND(".",_xlpm.cleanRaw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607017</v>
      </c>
      <c r="G292" t="str">
        <f>_xlfn.LET(_xlpm.raw,_xlfn.XLOOKUP(A292,SITE3!$C$4:$C$1034,SITE3!$E$4:$E$1034),_xlpm.cleanRaw,SUBSTITUTE(SUBSTITUTE(_xlpm.raw,"_PIN","."),"PIN","."),_xlpm.mainPart,MID(_xlpm.cleanRaw,2,FIND(".",_xlpm.cleanRaw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807017</v>
      </c>
      <c r="H292" t="str">
        <f>""</f>
        <v/>
      </c>
      <c r="I292" t="str">
        <f>""</f>
        <v/>
      </c>
      <c r="J292" t="str">
        <f t="shared" si="4"/>
        <v>P3;CLKOUT_SRC_P_7;;6.10999999999999;1.28009999999999;607017;807017;;</v>
      </c>
    </row>
    <row r="293" spans="1:10">
      <c r="A293" t="s">
        <v>4037</v>
      </c>
      <c r="B293" t="str">
        <f>_xlfn.XLOOKUP(A293,SITE1!$V$4:$V$1034,SITE1!$U$4:$U$1034,"")</f>
        <v>VSS</v>
      </c>
      <c r="C293" t="str" cm="1">
        <f t="array" ref="C293">_xlfn.TEXTJOIN(",",TRUE,_xlfn.UNIQUE(TRANSPOSE(_xlfn.MAP(_xlfn.XLOOKUP(A293,SITE1!$C$4:$C$1034,SITE1!$F$4:$O$1034,""),_xlfn.LAMBDA(_xlpm.x,IF(_xlpm.x&lt;&gt;"",TRIM(CLEAN(LEFT(_xlpm.x,FIND(".",_xlpm.x &amp; ".")-1))),""))))))</f>
        <v/>
      </c>
      <c r="D293">
        <v>6.0566999999999904</v>
      </c>
      <c r="E293">
        <v>3.7734000000000001</v>
      </c>
      <c r="F293" t="str">
        <f>_xlfn.LET(_xlpm.raw,_xlfn.XLOOKUP(A293,SITE1!$C$4:$C$1034,SITE1!$E$4:$E$1034),_xlpm.cleanRaw,SUBSTITUTE(SUBSTITUTE(_xlpm.raw,"_PIN","."),"PIN","."),_xlpm.mainPart,MID(_xlpm.cleanRaw,2,FIND(".",_xlpm.cleanRaw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3" t="str">
        <f>_xlfn.LET(_xlpm.raw,_xlfn.XLOOKUP(A293,SITE3!$C$4:$C$1034,SITE3!$E$4:$E$1034),_xlpm.cleanRaw,SUBSTITUTE(SUBSTITUTE(_xlpm.raw,"_PIN","."),"PIN","."),_xlpm.mainPart,MID(_xlpm.cleanRaw,2,FIND(".",_xlpm.cleanRaw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3" t="str">
        <f>""</f>
        <v/>
      </c>
      <c r="I293" t="str">
        <f>""</f>
        <v/>
      </c>
      <c r="J293" t="str">
        <f t="shared" si="4"/>
        <v>P9;VSS;;6.05669999999999;3.7734;;;;</v>
      </c>
    </row>
    <row r="294" spans="1:10">
      <c r="A294" t="s">
        <v>4032</v>
      </c>
      <c r="B294" t="str">
        <f>_xlfn.XLOOKUP(A294,SITE1!$V$4:$V$1034,SITE1!$U$4:$U$1034,"")</f>
        <v>VSS</v>
      </c>
      <c r="C294" t="str" cm="1">
        <f t="array" ref="C294">_xlfn.TEXTJOIN(",",TRUE,_xlfn.UNIQUE(TRANSPOSE(_xlfn.MAP(_xlfn.XLOOKUP(A294,SITE1!$C$4:$C$1034,SITE1!$F$4:$O$1034,""),_xlfn.LAMBDA(_xlpm.x,IF(_xlpm.x&lt;&gt;"",TRIM(CLEAN(LEFT(_xlpm.x,FIND(".",_xlpm.x &amp; ".")-1))),""))))))</f>
        <v/>
      </c>
      <c r="D294">
        <v>5.8733999999999904</v>
      </c>
      <c r="E294">
        <v>5.7642999999999898</v>
      </c>
      <c r="F294" t="str">
        <f>_xlfn.LET(_xlpm.raw,_xlfn.XLOOKUP(A294,SITE1!$C$4:$C$1034,SITE1!$E$4:$E$1034),_xlpm.cleanRaw,SUBSTITUTE(SUBSTITUTE(_xlpm.raw,"_PIN","."),"PIN","."),_xlpm.mainPart,MID(_xlpm.cleanRaw,2,FIND(".",_xlpm.cleanRaw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4" t="str">
        <f>_xlfn.LET(_xlpm.raw,_xlfn.XLOOKUP(A294,SITE3!$C$4:$C$1034,SITE3!$E$4:$E$1034),_xlpm.cleanRaw,SUBSTITUTE(SUBSTITUTE(_xlpm.raw,"_PIN","."),"PIN","."),_xlpm.mainPart,MID(_xlpm.cleanRaw,2,FIND(".",_xlpm.cleanRaw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4" t="str">
        <f>""</f>
        <v/>
      </c>
      <c r="I294" t="str">
        <f>""</f>
        <v/>
      </c>
      <c r="J294" t="str">
        <f t="shared" si="4"/>
        <v>P13;VSS;;5.87339999999999;5.76429999999999;;;;</v>
      </c>
    </row>
    <row r="295" spans="1:10">
      <c r="A295" t="s">
        <v>3518</v>
      </c>
      <c r="B295" t="str">
        <f>_xlfn.XLOOKUP(A295,SITE1!$V$4:$V$1034,SITE1!$U$4:$U$1034,"")</f>
        <v>VCCA_SRC_GEN4_0P82</v>
      </c>
      <c r="C295" t="str" cm="1">
        <f t="array" ref="C295">_xlfn.TEXTJOIN(",",TRUE,_xlfn.UNIQUE(TRANSPOSE(_xlfn.MAP(_xlfn.XLOOKUP(A295,SITE1!$C$4:$C$1034,SITE1!$F$4:$O$1034,""),_xlfn.LAMBDA(_xlpm.x,IF(_xlpm.x&lt;&gt;"",TRIM(CLEAN(LEFT(_xlpm.x,FIND(".",_xlpm.x &amp; ".")-1))),""))))))</f>
        <v/>
      </c>
      <c r="D295">
        <v>5.8733999999999904</v>
      </c>
      <c r="E295">
        <v>6.4882</v>
      </c>
      <c r="F295" t="str">
        <f>_xlfn.LET(_xlpm.raw,_xlfn.XLOOKUP(A295,SITE1!$C$4:$C$1034,SITE1!$E$4:$E$1034),_xlpm.cleanRaw,SUBSTITUTE(SUBSTITUTE(_xlpm.raw,"_PIN","."),"PIN","."),_xlpm.mainPart,MID(_xlpm.cleanRaw,2,FIND(".",_xlpm.cleanRaw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5" t="str">
        <f>_xlfn.LET(_xlpm.raw,_xlfn.XLOOKUP(A295,SITE3!$C$4:$C$1034,SITE3!$E$4:$E$1034),_xlpm.cleanRaw,SUBSTITUTE(SUBSTITUTE(_xlpm.raw,"_PIN","."),"PIN","."),_xlpm.mainPart,MID(_xlpm.cleanRaw,2,FIND(".",_xlpm.cleanRaw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5" t="str">
        <f>""</f>
        <v/>
      </c>
      <c r="I295" t="str">
        <f>""</f>
        <v/>
      </c>
      <c r="J295" t="str">
        <f t="shared" si="4"/>
        <v>P14;VCCA_SRC_GEN4_0P82;;5.87339999999999;6.4882;;;;</v>
      </c>
    </row>
    <row r="296" spans="1:10">
      <c r="A296" t="s">
        <v>3522</v>
      </c>
      <c r="B296" t="str">
        <f>_xlfn.XLOOKUP(A296,SITE1!$V$4:$V$1034,SITE1!$U$4:$U$1034,"")</f>
        <v>VCCA_SRC_GEN5_0P82</v>
      </c>
      <c r="C296" t="str" cm="1">
        <f t="array" ref="C296">_xlfn.TEXTJOIN(",",TRUE,_xlfn.UNIQUE(TRANSPOSE(_xlfn.MAP(_xlfn.XLOOKUP(A296,SITE1!$C$4:$C$1034,SITE1!$F$4:$O$1034,""),_xlfn.LAMBDA(_xlpm.x,IF(_xlpm.x&lt;&gt;"",TRIM(CLEAN(LEFT(_xlpm.x,FIND(".",_xlpm.x &amp; ".")-1))),""))))))</f>
        <v/>
      </c>
      <c r="D296">
        <v>5.8733999999999904</v>
      </c>
      <c r="E296">
        <v>7.2120999999999897</v>
      </c>
      <c r="F296" t="str">
        <f>_xlfn.LET(_xlpm.raw,_xlfn.XLOOKUP(A296,SITE1!$C$4:$C$1034,SITE1!$E$4:$E$1034),_xlpm.cleanRaw,SUBSTITUTE(SUBSTITUTE(_xlpm.raw,"_PIN","."),"PIN","."),_xlpm.mainPart,MID(_xlpm.cleanRaw,2,FIND(".",_xlpm.cleanRaw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6" t="str">
        <f>_xlfn.LET(_xlpm.raw,_xlfn.XLOOKUP(A296,SITE3!$C$4:$C$1034,SITE3!$E$4:$E$1034),_xlpm.cleanRaw,SUBSTITUTE(SUBSTITUTE(_xlpm.raw,"_PIN","."),"PIN","."),_xlpm.mainPart,MID(_xlpm.cleanRaw,2,FIND(".",_xlpm.cleanRaw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6" t="str">
        <f>""</f>
        <v/>
      </c>
      <c r="I296" t="str">
        <f>""</f>
        <v/>
      </c>
      <c r="J296" t="str">
        <f t="shared" si="4"/>
        <v>P16;VCCA_SRC_GEN5_0P82;;5.87339999999999;7.21209999999999;;;;</v>
      </c>
    </row>
    <row r="297" spans="1:10">
      <c r="A297" t="s">
        <v>4033</v>
      </c>
      <c r="B297" t="str">
        <f>_xlfn.XLOOKUP(A297,SITE1!$V$4:$V$1034,SITE1!$U$4:$U$1034,"")</f>
        <v>VSS</v>
      </c>
      <c r="C297" t="str" cm="1">
        <f t="array" ref="C297">_xlfn.TEXTJOIN(",",TRUE,_xlfn.UNIQUE(TRANSPOSE(_xlfn.MAP(_xlfn.XLOOKUP(A297,SITE1!$C$4:$C$1034,SITE1!$F$4:$O$1034,""),_xlfn.LAMBDA(_xlpm.x,IF(_xlpm.x&lt;&gt;"",TRIM(CLEAN(LEFT(_xlpm.x,FIND(".",_xlpm.x &amp; ".")-1))),""))))))</f>
        <v/>
      </c>
      <c r="D297">
        <v>6.1544999999999996</v>
      </c>
      <c r="E297">
        <v>8.1120000000000001</v>
      </c>
      <c r="F297" t="str">
        <f>_xlfn.LET(_xlpm.raw,_xlfn.XLOOKUP(A297,SITE1!$C$4:$C$1034,SITE1!$E$4:$E$1034),_xlpm.cleanRaw,SUBSTITUTE(SUBSTITUTE(_xlpm.raw,"_PIN","."),"PIN","."),_xlpm.mainPart,MID(_xlpm.cleanRaw,2,FIND(".",_xlpm.cleanRaw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7" t="str">
        <f>_xlfn.LET(_xlpm.raw,_xlfn.XLOOKUP(A297,SITE3!$C$4:$C$1034,SITE3!$E$4:$E$1034),_xlpm.cleanRaw,SUBSTITUTE(SUBSTITUTE(_xlpm.raw,"_PIN","."),"PIN","."),_xlpm.mainPart,MID(_xlpm.cleanRaw,2,FIND(".",_xlpm.cleanRaw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7" t="str">
        <f>""</f>
        <v/>
      </c>
      <c r="I297" t="str">
        <f>""</f>
        <v/>
      </c>
      <c r="J297" t="str">
        <f t="shared" si="4"/>
        <v>P18;VSS;;6.1545;8.112;;;;</v>
      </c>
    </row>
    <row r="298" spans="1:10">
      <c r="A298" t="s">
        <v>4034</v>
      </c>
      <c r="B298" t="str">
        <f>_xlfn.XLOOKUP(A298,SITE1!$V$4:$V$1034,SITE1!$U$4:$U$1034,"")</f>
        <v>VSS</v>
      </c>
      <c r="C298" t="str" cm="1">
        <f t="array" ref="C298">_xlfn.TEXTJOIN(",",TRUE,_xlfn.UNIQUE(TRANSPOSE(_xlfn.MAP(_xlfn.XLOOKUP(A298,SITE1!$C$4:$C$1034,SITE1!$F$4:$O$1034,""),_xlfn.LAMBDA(_xlpm.x,IF(_xlpm.x&lt;&gt;"",TRIM(CLEAN(LEFT(_xlpm.x,FIND(".",_xlpm.x &amp; ".")-1))),""))))))</f>
        <v/>
      </c>
      <c r="D298">
        <v>5.8733999999999904</v>
      </c>
      <c r="E298">
        <v>19.6661</v>
      </c>
      <c r="F298" t="str">
        <f>_xlfn.LET(_xlpm.raw,_xlfn.XLOOKUP(A298,SITE1!$C$4:$C$1034,SITE1!$E$4:$E$1034),_xlpm.cleanRaw,SUBSTITUTE(SUBSTITUTE(_xlpm.raw,"_PIN","."),"PIN","."),_xlpm.mainPart,MID(_xlpm.cleanRaw,2,FIND(".",_xlpm.cleanRaw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8" t="str">
        <f>_xlfn.LET(_xlpm.raw,_xlfn.XLOOKUP(A298,SITE3!$C$4:$C$1034,SITE3!$E$4:$E$1034),_xlpm.cleanRaw,SUBSTITUTE(SUBSTITUTE(_xlpm.raw,"_PIN","."),"PIN","."),_xlpm.mainPart,MID(_xlpm.cleanRaw,2,FIND(".",_xlpm.cleanRaw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8" t="str">
        <f>""</f>
        <v/>
      </c>
      <c r="I298" t="str">
        <f>""</f>
        <v/>
      </c>
      <c r="J298" t="str">
        <f t="shared" si="4"/>
        <v>P42;VSS;;5.87339999999999;19.6661;;;;</v>
      </c>
    </row>
    <row r="299" spans="1:10">
      <c r="A299" t="s">
        <v>4035</v>
      </c>
      <c r="B299" t="str">
        <f>_xlfn.XLOOKUP(A299,SITE1!$V$4:$V$1034,SITE1!$U$4:$U$1034,"")</f>
        <v>VSS</v>
      </c>
      <c r="C299" t="str" cm="1">
        <f t="array" ref="C299">_xlfn.TEXTJOIN(",",TRUE,_xlfn.UNIQUE(TRANSPOSE(_xlfn.MAP(_xlfn.XLOOKUP(A299,SITE1!$C$4:$C$1034,SITE1!$F$4:$O$1034,""),_xlfn.LAMBDA(_xlpm.x,IF(_xlpm.x&lt;&gt;"",TRIM(CLEAN(LEFT(_xlpm.x,FIND(".",_xlpm.x &amp; ".")-1))),""))))))</f>
        <v/>
      </c>
      <c r="D299">
        <v>5.8733999999999904</v>
      </c>
      <c r="E299">
        <v>20.39</v>
      </c>
      <c r="F299" t="str">
        <f>_xlfn.LET(_xlpm.raw,_xlfn.XLOOKUP(A299,SITE1!$C$4:$C$1034,SITE1!$E$4:$E$1034),_xlpm.cleanRaw,SUBSTITUTE(SUBSTITUTE(_xlpm.raw,"_PIN","."),"PIN","."),_xlpm.mainPart,MID(_xlpm.cleanRaw,2,FIND(".",_xlpm.cleanRaw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9" t="str">
        <f>_xlfn.LET(_xlpm.raw,_xlfn.XLOOKUP(A299,SITE3!$C$4:$C$1034,SITE3!$E$4:$E$1034),_xlpm.cleanRaw,SUBSTITUTE(SUBSTITUTE(_xlpm.raw,"_PIN","."),"PIN","."),_xlpm.mainPart,MID(_xlpm.cleanRaw,2,FIND(".",_xlpm.cleanRaw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9" t="str">
        <f>""</f>
        <v/>
      </c>
      <c r="I299" t="str">
        <f>""</f>
        <v/>
      </c>
      <c r="J299" t="str">
        <f t="shared" si="4"/>
        <v>P44;VSS;;5.87339999999999;20.39;;;;</v>
      </c>
    </row>
    <row r="300" spans="1:10">
      <c r="A300" t="s">
        <v>4036</v>
      </c>
      <c r="B300" t="str">
        <f>_xlfn.XLOOKUP(A300,SITE1!$V$4:$V$1034,SITE1!$U$4:$U$1034,"")</f>
        <v>VSS</v>
      </c>
      <c r="C300" t="str" cm="1">
        <f t="array" ref="C300">_xlfn.TEXTJOIN(",",TRUE,_xlfn.UNIQUE(TRANSPOSE(_xlfn.MAP(_xlfn.XLOOKUP(A300,SITE1!$C$4:$C$1034,SITE1!$F$4:$O$1034,""),_xlfn.LAMBDA(_xlpm.x,IF(_xlpm.x&lt;&gt;"",TRIM(CLEAN(LEFT(_xlpm.x,FIND(".",_xlpm.x &amp; ".")-1))),""))))))</f>
        <v/>
      </c>
      <c r="D300">
        <v>5.8733999999999904</v>
      </c>
      <c r="E300">
        <v>21.113900000000001</v>
      </c>
      <c r="F300" t="str">
        <f>_xlfn.LET(_xlpm.raw,_xlfn.XLOOKUP(A300,SITE1!$C$4:$C$1034,SITE1!$E$4:$E$1034),_xlpm.cleanRaw,SUBSTITUTE(SUBSTITUTE(_xlpm.raw,"_PIN","."),"PIN","."),_xlpm.mainPart,MID(_xlpm.cleanRaw,2,FIND(".",_xlpm.cleanRaw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00" t="str">
        <f>_xlfn.LET(_xlpm.raw,_xlfn.XLOOKUP(A300,SITE3!$C$4:$C$1034,SITE3!$E$4:$E$1034),_xlpm.cleanRaw,SUBSTITUTE(SUBSTITUTE(_xlpm.raw,"_PIN","."),"PIN","."),_xlpm.mainPart,MID(_xlpm.cleanRaw,2,FIND(".",_xlpm.cleanRaw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00" t="str">
        <f>""</f>
        <v/>
      </c>
      <c r="I300" t="str">
        <f>""</f>
        <v/>
      </c>
      <c r="J300" t="str">
        <f t="shared" si="4"/>
        <v>P45;VSS;;5.87339999999999;21.1139;;;;</v>
      </c>
    </row>
    <row r="301" spans="1:10">
      <c r="A301" t="s">
        <v>915</v>
      </c>
      <c r="B301" t="str">
        <f>_xlfn.XLOOKUP(A301,SITE1!$V$4:$V$1034,SITE1!$U$4:$U$1034,"")</f>
        <v>GPP_B_9_ISH_GP_1</v>
      </c>
      <c r="C301" t="str" cm="1">
        <f t="array" ref="C301">_xlfn.TEXTJOIN(",",TRUE,_xlfn.UNIQUE(TRANSPOSE(_xlfn.MAP(_xlfn.XLOOKUP(A301,SITE1!$C$4:$C$1034,SITE1!$F$4:$O$1034,""),_xlfn.LAMBDA(_xlpm.x,IF(_xlpm.x&lt;&gt;"",TRIM(CLEAN(LEFT(_xlpm.x,FIND(".",_xlpm.x &amp; ".")-1))),""))))))</f>
        <v/>
      </c>
      <c r="D301">
        <v>6.0566999999999904</v>
      </c>
      <c r="E301">
        <v>23.104799999999901</v>
      </c>
      <c r="F301" t="str">
        <f>_xlfn.LET(_xlpm.raw,_xlfn.XLOOKUP(A301,SITE1!$C$4:$C$1034,SITE1!$E$4:$E$1034),_xlpm.cleanRaw,SUBSTITUTE(SUBSTITUTE(_xlpm.raw,"_PIN","."),"PIN","."),_xlpm.mainPart,MID(_xlpm.cleanRaw,2,FIND(".",_xlpm.cleanRaw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709029</v>
      </c>
      <c r="G301" t="str">
        <f>_xlfn.LET(_xlpm.raw,_xlfn.XLOOKUP(A301,SITE3!$C$4:$C$1034,SITE3!$E$4:$E$1034),_xlpm.cleanRaw,SUBSTITUTE(SUBSTITUTE(_xlpm.raw,"_PIN","."),"PIN","."),_xlpm.mainPart,MID(_xlpm.cleanRaw,2,FIND(".",_xlpm.cleanRaw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509029</v>
      </c>
      <c r="H301" t="str">
        <f>""</f>
        <v/>
      </c>
      <c r="I301" t="str">
        <f>""</f>
        <v/>
      </c>
      <c r="J301" t="str">
        <f t="shared" si="4"/>
        <v>P49;GPP_B_9_ISH_GP_1;;6.05669999999999;23.1047999999999;709029;509029;;</v>
      </c>
    </row>
    <row r="302" spans="1:10">
      <c r="A302" t="s">
        <v>765</v>
      </c>
      <c r="B302" t="str">
        <f>_xlfn.XLOOKUP(A302,SITE1!$V$4:$V$1034,SITE1!$U$4:$U$1034,"")</f>
        <v>GPP_A_13_ESPI_ALERT3B</v>
      </c>
      <c r="C302" t="str" cm="1">
        <f t="array" ref="C302">_xlfn.TEXTJOIN(",",TRUE,_xlfn.UNIQUE(TRANSPOSE(_xlfn.MAP(_xlfn.XLOOKUP(A302,SITE1!$C$4:$C$1034,SITE1!$F$4:$O$1034,""),_xlfn.LAMBDA(_xlpm.x,IF(_xlpm.x&lt;&gt;"",TRIM(CLEAN(LEFT(_xlpm.x,FIND(".",_xlpm.x &amp; ".")-1))),""))))))</f>
        <v/>
      </c>
      <c r="D302">
        <v>6.1099999999999897</v>
      </c>
      <c r="E302">
        <v>25.598099999999999</v>
      </c>
      <c r="F302" t="str">
        <f>_xlfn.LET(_xlpm.raw,_xlfn.XLOOKUP(A302,SITE1!$C$4:$C$1034,SITE1!$E$4:$E$1034),_xlpm.cleanRaw,SUBSTITUTE(SUBSTITUTE(_xlpm.raw,"_PIN","."),"PIN","."),_xlpm.mainPart,MID(_xlpm.cleanRaw,2,FIND(".",_xlpm.cleanRaw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705050</v>
      </c>
      <c r="G302" t="str">
        <f>_xlfn.LET(_xlpm.raw,_xlfn.XLOOKUP(A302,SITE3!$C$4:$C$1034,SITE3!$E$4:$E$1034),_xlpm.cleanRaw,SUBSTITUTE(SUBSTITUTE(_xlpm.raw,"_PIN","."),"PIN","."),_xlpm.mainPart,MID(_xlpm.cleanRaw,2,FIND(".",_xlpm.cleanRaw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505050</v>
      </c>
      <c r="H302" t="str">
        <f>""</f>
        <v/>
      </c>
      <c r="I302" t="str">
        <f>""</f>
        <v/>
      </c>
      <c r="J302" t="str">
        <f t="shared" si="4"/>
        <v>P55;GPP_A_13_ESPI_ALERT3B;;6.10999999999999;25.5981;705050;505050;;</v>
      </c>
    </row>
    <row r="303" spans="1:10">
      <c r="A303" t="s">
        <v>120</v>
      </c>
      <c r="B303" t="str">
        <f>_xlfn.XLOOKUP(A303,SITE1!$V$4:$V$1034,SITE1!$U$4:$U$1034,"")</f>
        <v>CLKOUT_SRC_N_7</v>
      </c>
      <c r="C303" t="str" cm="1">
        <f t="array" ref="C303">_xlfn.TEXTJOIN(",",TRUE,_xlfn.UNIQUE(TRANSPOSE(_xlfn.MAP(_xlfn.XLOOKUP(A303,SITE1!$C$4:$C$1034,SITE1!$F$4:$O$1034,""),_xlfn.LAMBDA(_xlpm.x,IF(_xlpm.x&lt;&gt;"",TRIM(CLEAN(LEFT(_xlpm.x,FIND(".",_xlpm.x &amp; ".")-1))),""))))))</f>
        <v/>
      </c>
      <c r="D303">
        <v>6.2636999999999903</v>
      </c>
      <c r="E303">
        <v>0.73659999999999903</v>
      </c>
      <c r="F303" t="str">
        <f>_xlfn.LET(_xlpm.raw,_xlfn.XLOOKUP(A303,SITE1!$C$4:$C$1034,SITE1!$E$4:$E$1034),_xlpm.cleanRaw,SUBSTITUTE(SUBSTITUTE(_xlpm.raw,"_PIN","."),"PIN","."),_xlpm.mainPart,MID(_xlpm.cleanRaw,2,FIND(".",_xlpm.cleanRaw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607015</v>
      </c>
      <c r="G303" t="str">
        <f>_xlfn.LET(_xlpm.raw,_xlfn.XLOOKUP(A303,SITE3!$C$4:$C$1034,SITE3!$E$4:$E$1034),_xlpm.cleanRaw,SUBSTITUTE(SUBSTITUTE(_xlpm.raw,"_PIN","."),"PIN","."),_xlpm.mainPart,MID(_xlpm.cleanRaw,2,FIND(".",_xlpm.cleanRaw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807015</v>
      </c>
      <c r="H303" t="str">
        <f>""</f>
        <v/>
      </c>
      <c r="I303" t="str">
        <f>""</f>
        <v/>
      </c>
      <c r="J303" t="str">
        <f t="shared" si="4"/>
        <v>R2;CLKOUT_SRC_N_7;;6.26369999999999;0.736599999999999;607015;807015;;</v>
      </c>
    </row>
    <row r="304" spans="1:10">
      <c r="A304" t="s">
        <v>126</v>
      </c>
      <c r="B304" t="str">
        <f>_xlfn.XLOOKUP(A304,SITE1!$V$4:$V$1034,SITE1!$U$4:$U$1034,"")</f>
        <v>CLKOUT_SRC_N_8</v>
      </c>
      <c r="C304" t="str" cm="1">
        <f t="array" ref="C304">_xlfn.TEXTJOIN(",",TRUE,_xlfn.UNIQUE(TRANSPOSE(_xlfn.MAP(_xlfn.XLOOKUP(A304,SITE1!$C$4:$C$1034,SITE1!$F$4:$O$1034,""),_xlfn.LAMBDA(_xlpm.x,IF(_xlpm.x&lt;&gt;"",TRIM(CLEAN(LEFT(_xlpm.x,FIND(".",_xlpm.x &amp; ".")-1))),""))))))</f>
        <v/>
      </c>
      <c r="D304">
        <v>6.6265999999999998</v>
      </c>
      <c r="E304">
        <v>1.2211999999999901</v>
      </c>
      <c r="F304" t="str">
        <f>_xlfn.LET(_xlpm.raw,_xlfn.XLOOKUP(A304,SITE1!$C$4:$C$1034,SITE1!$E$4:$E$1034),_xlpm.cleanRaw,SUBSTITUTE(SUBSTITUTE(_xlpm.raw,"_PIN","."),"PIN","."),_xlpm.mainPart,MID(_xlpm.cleanRaw,2,FIND(".",_xlpm.cleanRaw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607016</v>
      </c>
      <c r="G304" t="str">
        <f>_xlfn.LET(_xlpm.raw,_xlfn.XLOOKUP(A304,SITE3!$C$4:$C$1034,SITE3!$E$4:$E$1034),_xlpm.cleanRaw,SUBSTITUTE(SUBSTITUTE(_xlpm.raw,"_PIN","."),"PIN","."),_xlpm.mainPart,MID(_xlpm.cleanRaw,2,FIND(".",_xlpm.cleanRaw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807016</v>
      </c>
      <c r="H304" t="str">
        <f>""</f>
        <v/>
      </c>
      <c r="I304" t="str">
        <f>""</f>
        <v/>
      </c>
      <c r="J304" t="str">
        <f t="shared" si="4"/>
        <v>R3;CLKOUT_SRC_N_8;;6.6266;1.22119999999999;607016;807016;;</v>
      </c>
    </row>
    <row r="305" spans="1:10">
      <c r="A305" t="s">
        <v>4039</v>
      </c>
      <c r="B305" t="str">
        <f>_xlfn.XLOOKUP(A305,SITE1!$V$4:$V$1034,SITE1!$U$4:$U$1034,"")</f>
        <v>VSS</v>
      </c>
      <c r="C305" t="str" cm="1">
        <f t="array" ref="C305">_xlfn.TEXTJOIN(",",TRUE,_xlfn.UNIQUE(TRANSPOSE(_xlfn.MAP(_xlfn.XLOOKUP(A305,SITE1!$C$4:$C$1034,SITE1!$F$4:$O$1034,""),_xlfn.LAMBDA(_xlpm.x,IF(_xlpm.x&lt;&gt;"",TRIM(CLEAN(LEFT(_xlpm.x,FIND(".",_xlpm.x &amp; ".")-1))),""))))))</f>
        <v/>
      </c>
      <c r="D305">
        <v>6.2166999999999897</v>
      </c>
      <c r="E305">
        <v>1.7795000000000001</v>
      </c>
      <c r="F305" t="str">
        <f>_xlfn.LET(_xlpm.raw,_xlfn.XLOOKUP(A305,SITE1!$C$4:$C$1034,SITE1!$E$4:$E$1034),_xlpm.cleanRaw,SUBSTITUTE(SUBSTITUTE(_xlpm.raw,"_PIN","."),"PIN","."),_xlpm.mainPart,MID(_xlpm.cleanRaw,2,FIND(".",_xlpm.cleanRaw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05" t="str">
        <f>_xlfn.LET(_xlpm.raw,_xlfn.XLOOKUP(A305,SITE3!$C$4:$C$1034,SITE3!$E$4:$E$1034),_xlpm.cleanRaw,SUBSTITUTE(SUBSTITUTE(_xlpm.raw,"_PIN","."),"PIN","."),_xlpm.mainPart,MID(_xlpm.cleanRaw,2,FIND(".",_xlpm.cleanRaw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05" t="str">
        <f>""</f>
        <v/>
      </c>
      <c r="I305" t="str">
        <f>""</f>
        <v/>
      </c>
      <c r="J305" t="str">
        <f t="shared" si="4"/>
        <v>R5;VSS;;6.21669999999999;1.7795;;;;</v>
      </c>
    </row>
    <row r="306" spans="1:10">
      <c r="A306" t="s">
        <v>43</v>
      </c>
      <c r="B306" t="str">
        <f>_xlfn.XLOOKUP(A306,SITE1!$V$4:$V$1034,SITE1!$U$4:$U$1034,"")</f>
        <v>CLKOUT_SRC_N_0</v>
      </c>
      <c r="C306" t="str" cm="1">
        <f t="array" ref="C306">_xlfn.TEXTJOIN(",",TRUE,_xlfn.UNIQUE(TRANSPOSE(_xlfn.MAP(_xlfn.XLOOKUP(A306,SITE1!$C$4:$C$1034,SITE1!$F$4:$O$1034,""),_xlfn.LAMBDA(_xlpm.x,IF(_xlpm.x&lt;&gt;"",TRIM(CLEAN(LEFT(_xlpm.x,FIND(".",_xlpm.x &amp; ".")-1))),""))))))</f>
        <v/>
      </c>
      <c r="D306">
        <v>6.2928999999999897</v>
      </c>
      <c r="E306">
        <v>4.4555999999999996</v>
      </c>
      <c r="F306" t="str">
        <f>_xlfn.LET(_xlpm.raw,_xlfn.XLOOKUP(A306,SITE1!$C$4:$C$1034,SITE1!$E$4:$E$1034),_xlpm.cleanRaw,SUBSTITUTE(SUBSTITUTE(_xlpm.raw,"_PIN","."),"PIN","."),_xlpm.mainPart,MID(_xlpm.cleanRaw,2,FIND(".",_xlpm.cleanRaw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609102</v>
      </c>
      <c r="G306" t="str">
        <f>_xlfn.LET(_xlpm.raw,_xlfn.XLOOKUP(A306,SITE3!$C$4:$C$1034,SITE3!$E$4:$E$1034),_xlpm.cleanRaw,SUBSTITUTE(SUBSTITUTE(_xlpm.raw,"_PIN","."),"PIN","."),_xlpm.mainPart,MID(_xlpm.cleanRaw,2,FIND(".",_xlpm.cleanRaw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809102</v>
      </c>
      <c r="H306" t="str">
        <f>""</f>
        <v/>
      </c>
      <c r="I306" t="str">
        <f>""</f>
        <v/>
      </c>
      <c r="J306" t="str">
        <f t="shared" si="4"/>
        <v>R10;CLKOUT_SRC_N_0;;6.29289999999999;4.4556;609102;809102;;</v>
      </c>
    </row>
    <row r="307" spans="1:10">
      <c r="A307" t="s">
        <v>137</v>
      </c>
      <c r="B307" t="str">
        <f>_xlfn.XLOOKUP(A307,SITE1!$V$4:$V$1034,SITE1!$U$4:$U$1034,"")</f>
        <v>CLKOUT_SRC_P_0</v>
      </c>
      <c r="C307" t="str" cm="1">
        <f t="array" ref="C307">_xlfn.TEXTJOIN(",",TRUE,_xlfn.UNIQUE(TRANSPOSE(_xlfn.MAP(_xlfn.XLOOKUP(A307,SITE1!$C$4:$C$1034,SITE1!$F$4:$O$1034,""),_xlfn.LAMBDA(_xlpm.x,IF(_xlpm.x&lt;&gt;"",TRIM(CLEAN(LEFT(_xlpm.x,FIND(".",_xlpm.x &amp; ".")-1))),""))))))</f>
        <v/>
      </c>
      <c r="D307">
        <v>6.2928999999999897</v>
      </c>
      <c r="E307">
        <v>5.1668000000000003</v>
      </c>
      <c r="F307" t="str">
        <f>_xlfn.LET(_xlpm.raw,_xlfn.XLOOKUP(A307,SITE1!$C$4:$C$1034,SITE1!$E$4:$E$1034),_xlpm.cleanRaw,SUBSTITUTE(SUBSTITUTE(_xlpm.raw,"_PIN","."),"PIN","."),_xlpm.mainPart,MID(_xlpm.cleanRaw,2,FIND(".",_xlpm.cleanRaw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609100</v>
      </c>
      <c r="G307" t="str">
        <f>_xlfn.LET(_xlpm.raw,_xlfn.XLOOKUP(A307,SITE3!$C$4:$C$1034,SITE3!$E$4:$E$1034),_xlpm.cleanRaw,SUBSTITUTE(SUBSTITUTE(_xlpm.raw,"_PIN","."),"PIN","."),_xlpm.mainPart,MID(_xlpm.cleanRaw,2,FIND(".",_xlpm.cleanRaw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809100</v>
      </c>
      <c r="H307" t="str">
        <f>""</f>
        <v/>
      </c>
      <c r="I307" t="str">
        <f>""</f>
        <v/>
      </c>
      <c r="J307" t="str">
        <f t="shared" si="4"/>
        <v>R12;CLKOUT_SRC_P_0;;6.29289999999999;5.1668;609100;809100;;</v>
      </c>
    </row>
    <row r="308" spans="1:10">
      <c r="A308" t="s">
        <v>3259</v>
      </c>
      <c r="B308" t="str">
        <f>_xlfn.XLOOKUP(A308,SITE1!$V$4:$V$1034,SITE1!$U$4:$U$1034,"")</f>
        <v>USB31_3_RXP</v>
      </c>
      <c r="C308" t="str" cm="1">
        <f t="array" ref="C308">_xlfn.TEXTJOIN(",",TRUE,_xlfn.UNIQUE(TRANSPOSE(_xlfn.MAP(_xlfn.XLOOKUP(A308,SITE1!$C$4:$C$1034,SITE1!$F$4:$O$1034,""),_xlfn.LAMBDA(_xlpm.x,IF(_xlpm.x&lt;&gt;"",TRIM(CLEAN(LEFT(_xlpm.x,FIND(".",_xlpm.x &amp; ".")-1))),""))))))</f>
        <v>CA205,LA210</v>
      </c>
      <c r="D308">
        <v>6.3273999999999999</v>
      </c>
      <c r="E308">
        <v>8.8066999999999993</v>
      </c>
      <c r="F308" t="str">
        <f>_xlfn.LET(_xlpm.raw,_xlfn.XLOOKUP(A308,SITE1!$C$4:$C$1034,SITE1!$E$4:$E$1034),_xlpm.cleanRaw,SUBSTITUTE(SUBSTITUTE(_xlpm.raw,"_PIN","."),"PIN","."),_xlpm.mainPart,MID(_xlpm.cleanRaw,2,FIND(".",_xlpm.cleanRaw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701126</v>
      </c>
      <c r="G308" t="str">
        <f>_xlfn.LET(_xlpm.raw,_xlfn.XLOOKUP(A308,SITE3!$C$4:$C$1034,SITE3!$E$4:$E$1034),_xlpm.cleanRaw,SUBSTITUTE(SUBSTITUTE(_xlpm.raw,"_PIN","."),"PIN","."),_xlpm.mainPart,MID(_xlpm.cleanRaw,2,FIND(".",_xlpm.cleanRaw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501126</v>
      </c>
      <c r="H308" t="str">
        <f>""</f>
        <v/>
      </c>
      <c r="I308" t="str">
        <f>""</f>
        <v/>
      </c>
      <c r="J308" t="str">
        <f t="shared" si="4"/>
        <v>R19;USB31_3_RXP;CA205,LA210;6.3274;8.8067;701126;501126;;</v>
      </c>
    </row>
    <row r="309" spans="1:10">
      <c r="A309" t="s">
        <v>3132</v>
      </c>
      <c r="B309" t="str">
        <f>_xlfn.XLOOKUP(A309,SITE1!$V$4:$V$1034,SITE1!$U$4:$U$1034,"")</f>
        <v>USB3_REFCLKN</v>
      </c>
      <c r="C309" t="str" cm="1">
        <f t="array" ref="C309">_xlfn.TEXTJOIN(",",TRUE,_xlfn.UNIQUE(TRANSPOSE(_xlfn.MAP(_xlfn.XLOOKUP(A309,SITE1!$C$4:$C$1034,SITE1!$F$4:$O$1034,""),_xlfn.LAMBDA(_xlpm.x,IF(_xlpm.x&lt;&gt;"",TRIM(CLEAN(LEFT(_xlpm.x,FIND(".",_xlpm.x &amp; ".")-1))),""))))))</f>
        <v/>
      </c>
      <c r="D309">
        <v>6.3273999999999999</v>
      </c>
      <c r="E309">
        <v>10.164</v>
      </c>
      <c r="F309" t="str">
        <f>_xlfn.LET(_xlpm.raw,_xlfn.XLOOKUP(A309,SITE1!$C$4:$C$1034,SITE1!$E$4:$E$1034),_xlpm.cleanRaw,SUBSTITUTE(SUBSTITUTE(_xlpm.raw,"_PIN","."),"PIN","."),_xlpm.mainPart,MID(_xlpm.cleanRaw,2,FIND(".",_xlpm.cleanRaw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705066</v>
      </c>
      <c r="G309" t="str">
        <f>_xlfn.LET(_xlpm.raw,_xlfn.XLOOKUP(A309,SITE3!$C$4:$C$1034,SITE3!$E$4:$E$1034),_xlpm.cleanRaw,SUBSTITUTE(SUBSTITUTE(_xlpm.raw,"_PIN","."),"PIN","."),_xlpm.mainPart,MID(_xlpm.cleanRaw,2,FIND(".",_xlpm.cleanRaw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505066</v>
      </c>
      <c r="H309" t="str">
        <f>""</f>
        <v/>
      </c>
      <c r="I309" t="str">
        <f>""</f>
        <v/>
      </c>
      <c r="J309" t="str">
        <f t="shared" si="4"/>
        <v>R22;USB3_REFCLKN;;6.3274;10.164;705066;505066;;</v>
      </c>
    </row>
    <row r="310" spans="1:10">
      <c r="A310" t="s">
        <v>3397</v>
      </c>
      <c r="B310" t="str">
        <f>_xlfn.XLOOKUP(A310,SITE1!$V$4:$V$1034,SITE1!$U$4:$U$1034,"")</f>
        <v>USB31_7_RXP</v>
      </c>
      <c r="C310" t="str" cm="1">
        <f t="array" ref="C310">_xlfn.TEXTJOIN(",",TRUE,_xlfn.UNIQUE(TRANSPOSE(_xlfn.MAP(_xlfn.XLOOKUP(A310,SITE1!$C$4:$C$1034,SITE1!$F$4:$O$1034,""),_xlfn.LAMBDA(_xlpm.x,IF(_xlpm.x&lt;&gt;"",TRIM(CLEAN(LEFT(_xlpm.x,FIND(".",_xlpm.x &amp; ".")-1))),""))))))</f>
        <v>CA213,LA226</v>
      </c>
      <c r="D310">
        <v>6.3273999999999999</v>
      </c>
      <c r="E310">
        <v>11.5357</v>
      </c>
      <c r="F310" t="str">
        <f>_xlfn.LET(_xlpm.raw,_xlfn.XLOOKUP(A310,SITE1!$C$4:$C$1034,SITE1!$E$4:$E$1034),_xlpm.cleanRaw,SUBSTITUTE(SUBSTITUTE(_xlpm.raw,"_PIN","."),"PIN","."),_xlpm.mainPart,MID(_xlpm.cleanRaw,2,FIND(".",_xlpm.cleanRaw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707106</v>
      </c>
      <c r="G310" t="str">
        <f>_xlfn.LET(_xlpm.raw,_xlfn.XLOOKUP(A310,SITE3!$C$4:$C$1034,SITE3!$E$4:$E$1034),_xlpm.cleanRaw,SUBSTITUTE(SUBSTITUTE(_xlpm.raw,"_PIN","."),"PIN","."),_xlpm.mainPart,MID(_xlpm.cleanRaw,2,FIND(".",_xlpm.cleanRaw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507106</v>
      </c>
      <c r="H310" t="str">
        <f>""</f>
        <v/>
      </c>
      <c r="I310" t="str">
        <f>""</f>
        <v/>
      </c>
      <c r="J310" t="str">
        <f t="shared" si="4"/>
        <v>R25;USB31_7_RXP;CA213,LA226;6.3274;11.5357;707106;507106;;</v>
      </c>
    </row>
    <row r="311" spans="1:10">
      <c r="A311" t="s">
        <v>610</v>
      </c>
      <c r="B311" t="str">
        <f>_xlfn.XLOOKUP(A311,SITE1!$V$4:$V$1034,SITE1!$U$4:$U$1034,"")</f>
        <v>DMI_REFCLKN</v>
      </c>
      <c r="C311" t="str" cm="1">
        <f t="array" ref="C311">_xlfn.TEXTJOIN(",",TRUE,_xlfn.UNIQUE(TRANSPOSE(_xlfn.MAP(_xlfn.XLOOKUP(A311,SITE1!$C$4:$C$1034,SITE1!$F$4:$O$1034,""),_xlfn.LAMBDA(_xlpm.x,IF(_xlpm.x&lt;&gt;"",TRIM(CLEAN(LEFT(_xlpm.x,FIND(".",_xlpm.x &amp; ".")-1))),""))))))</f>
        <v/>
      </c>
      <c r="D311">
        <v>6.3273999999999999</v>
      </c>
      <c r="E311">
        <v>12.893000000000001</v>
      </c>
      <c r="F311" t="str">
        <f>_xlfn.LET(_xlpm.raw,_xlfn.XLOOKUP(A311,SITE1!$C$4:$C$1034,SITE1!$E$4:$E$1034),_xlpm.cleanRaw,SUBSTITUTE(SUBSTITUTE(_xlpm.raw,"_PIN","."),"PIN","."),_xlpm.mainPart,MID(_xlpm.cleanRaw,2,FIND(".",_xlpm.cleanRaw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704109</v>
      </c>
      <c r="G311" t="str">
        <f>_xlfn.LET(_xlpm.raw,_xlfn.XLOOKUP(A311,SITE3!$C$4:$C$1034,SITE3!$E$4:$E$1034),_xlpm.cleanRaw,SUBSTITUTE(SUBSTITUTE(_xlpm.raw,"_PIN","."),"PIN","."),_xlpm.mainPart,MID(_xlpm.cleanRaw,2,FIND(".",_xlpm.cleanRaw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504109</v>
      </c>
      <c r="H311" t="str">
        <f>""</f>
        <v/>
      </c>
      <c r="I311" t="str">
        <f>""</f>
        <v/>
      </c>
      <c r="J311" t="str">
        <f t="shared" si="4"/>
        <v>R28;DMI_REFCLKN;;6.3274;12.893;704109;504109;;</v>
      </c>
    </row>
    <row r="312" spans="1:10">
      <c r="A312" t="s">
        <v>2362</v>
      </c>
      <c r="B312" t="str">
        <f>_xlfn.XLOOKUP(A312,SITE1!$V$4:$V$1034,SITE1!$U$4:$U$1034,"")</f>
        <v>PCIE_21_RXP</v>
      </c>
      <c r="C312" t="str" cm="1">
        <f t="array" ref="C312">_xlfn.TEXTJOIN(",",TRUE,_xlfn.UNIQUE(TRANSPOSE(_xlfn.MAP(_xlfn.XLOOKUP(A312,SITE1!$C$4:$C$1034,SITE1!$F$4:$O$1034,""),_xlfn.LAMBDA(_xlpm.x,IF(_xlpm.x&lt;&gt;"",TRIM(CLEAN(LEFT(_xlpm.x,FIND(".",_xlpm.x &amp; ".")-1))),""))))))</f>
        <v>CA261,LA322</v>
      </c>
      <c r="D312">
        <v>6.3273999999999999</v>
      </c>
      <c r="E312">
        <v>14.264699999999999</v>
      </c>
      <c r="F312" t="str">
        <f>_xlfn.LET(_xlpm.raw,_xlfn.XLOOKUP(A312,SITE1!$C$4:$C$1034,SITE1!$E$4:$E$1034),_xlpm.cleanRaw,SUBSTITUTE(SUBSTITUTE(_xlpm.raw,"_PIN","."),"PIN","."),_xlpm.mainPart,MID(_xlpm.cleanRaw,2,FIND(".",_xlpm.cleanRaw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706025</v>
      </c>
      <c r="G312" t="str">
        <f>_xlfn.LET(_xlpm.raw,_xlfn.XLOOKUP(A312,SITE3!$C$4:$C$1034,SITE3!$E$4:$E$1034),_xlpm.cleanRaw,SUBSTITUTE(SUBSTITUTE(_xlpm.raw,"_PIN","."),"PIN","."),_xlpm.mainPart,MID(_xlpm.cleanRaw,2,FIND(".",_xlpm.cleanRaw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506025</v>
      </c>
      <c r="H312" t="str">
        <f>""</f>
        <v/>
      </c>
      <c r="I312" t="str">
        <f>""</f>
        <v/>
      </c>
      <c r="J312" t="str">
        <f t="shared" si="4"/>
        <v>R31;PCIE_21_RXP;CA261,LA322;6.3274;14.2647;706025;506025;;</v>
      </c>
    </row>
    <row r="313" spans="1:10">
      <c r="A313" t="s">
        <v>2915</v>
      </c>
      <c r="B313" t="str">
        <f>_xlfn.XLOOKUP(A313,SITE1!$V$4:$V$1034,SITE1!$U$4:$U$1034,"")</f>
        <v>TD_CATHODE</v>
      </c>
      <c r="C313" t="str" cm="1">
        <f t="array" ref="C313">_xlfn.TEXTJOIN(",",TRUE,_xlfn.UNIQUE(TRANSPOSE(_xlfn.MAP(_xlfn.XLOOKUP(A313,SITE1!$C$4:$C$1034,SITE1!$F$4:$O$1034,""),_xlfn.LAMBDA(_xlpm.x,IF(_xlpm.x&lt;&gt;"",TRIM(CLEAN(LEFT(_xlpm.x,FIND(".",_xlpm.x &amp; ".")-1))),""))))))</f>
        <v>RA33,RA34,RA37,RA38</v>
      </c>
      <c r="D313">
        <v>6.3273999999999999</v>
      </c>
      <c r="E313">
        <v>15.622</v>
      </c>
      <c r="F313" t="str">
        <f>_xlfn.LET(_xlpm.raw,_xlfn.XLOOKUP(A313,SITE1!$C$4:$C$1034,SITE1!$E$4:$E$1034),_xlpm.cleanRaw,SUBSTITUTE(SUBSTITUTE(_xlpm.raw,"_PIN","."),"PIN","."),_xlpm.mainPart,MID(_xlpm.cleanRaw,2,FIND(".",_xlpm.cleanRaw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705075</v>
      </c>
      <c r="G313" t="str">
        <f>_xlfn.LET(_xlpm.raw,_xlfn.XLOOKUP(A313,SITE3!$C$4:$C$1034,SITE3!$E$4:$E$1034),_xlpm.cleanRaw,SUBSTITUTE(SUBSTITUTE(_xlpm.raw,"_PIN","."),"PIN","."),_xlpm.mainPart,MID(_xlpm.cleanRaw,2,FIND(".",_xlpm.cleanRaw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505075</v>
      </c>
      <c r="H313" t="str">
        <f>""</f>
        <v/>
      </c>
      <c r="I313" t="str">
        <f>""</f>
        <v/>
      </c>
      <c r="J313" t="str">
        <f t="shared" si="4"/>
        <v>R34;TD_CATHODE;RA33,RA34,RA37,RA38;6.3274;15.622;705075;505075;;</v>
      </c>
    </row>
    <row r="314" spans="1:10">
      <c r="A314" t="s">
        <v>581</v>
      </c>
      <c r="B314" t="str">
        <f>_xlfn.XLOOKUP(A314,SITE1!$V$4:$V$1034,SITE1!$U$4:$U$1034,"")</f>
        <v>DMI_7_RXP</v>
      </c>
      <c r="C314" t="str" cm="1">
        <f t="array" ref="C314">_xlfn.TEXTJOIN(",",TRUE,_xlfn.UNIQUE(TRANSPOSE(_xlfn.MAP(_xlfn.XLOOKUP(A314,SITE1!$C$4:$C$1034,SITE1!$F$4:$O$1034,""),_xlfn.LAMBDA(_xlpm.x,IF(_xlpm.x&lt;&gt;"",TRIM(CLEAN(LEFT(_xlpm.x,FIND(".",_xlpm.x &amp; ".")-1))),""))))))</f>
        <v>LA368</v>
      </c>
      <c r="D314">
        <v>6.3273999999999999</v>
      </c>
      <c r="E314">
        <v>16.9937</v>
      </c>
      <c r="F314" t="str">
        <f>_xlfn.LET(_xlpm.raw,_xlfn.XLOOKUP(A314,SITE1!$C$4:$C$1034,SITE1!$E$4:$E$1034),_xlpm.cleanRaw,SUBSTITUTE(SUBSTITUTE(_xlpm.raw,"_PIN","."),"PIN","."),_xlpm.mainPart,MID(_xlpm.cleanRaw,2,FIND(".",_xlpm.cleanRaw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707110</v>
      </c>
      <c r="G314" t="str">
        <f>_xlfn.LET(_xlpm.raw,_xlfn.XLOOKUP(A314,SITE3!$C$4:$C$1034,SITE3!$E$4:$E$1034),_xlpm.cleanRaw,SUBSTITUTE(SUBSTITUTE(_xlpm.raw,"_PIN","."),"PIN","."),_xlpm.mainPart,MID(_xlpm.cleanRaw,2,FIND(".",_xlpm.cleanRaw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507110</v>
      </c>
      <c r="H314" t="str">
        <f>""</f>
        <v/>
      </c>
      <c r="I314" t="str">
        <f>""</f>
        <v/>
      </c>
      <c r="J314" t="str">
        <f t="shared" si="4"/>
        <v>R36;DMI_7_RXP;LA368;6.3274;16.9937;707110;507110;;</v>
      </c>
    </row>
    <row r="315" spans="1:10">
      <c r="A315" t="s">
        <v>4038</v>
      </c>
      <c r="B315" t="str">
        <f>_xlfn.XLOOKUP(A315,SITE1!$V$4:$V$1034,SITE1!$U$4:$U$1034,"")</f>
        <v>VSS</v>
      </c>
      <c r="C315" t="str" cm="1">
        <f t="array" ref="C315">_xlfn.TEXTJOIN(",",TRUE,_xlfn.UNIQUE(TRANSPOSE(_xlfn.MAP(_xlfn.XLOOKUP(A315,SITE1!$C$4:$C$1034,SITE1!$F$4:$O$1034,""),_xlfn.LAMBDA(_xlpm.x,IF(_xlpm.x&lt;&gt;"",TRIM(CLEAN(LEFT(_xlpm.x,FIND(".",_xlpm.x &amp; ".")-1))),""))))))</f>
        <v/>
      </c>
      <c r="D315">
        <v>6.2928999999999897</v>
      </c>
      <c r="E315">
        <v>21.711399999999902</v>
      </c>
      <c r="F315" t="str">
        <f>_xlfn.LET(_xlpm.raw,_xlfn.XLOOKUP(A315,SITE1!$C$4:$C$1034,SITE1!$E$4:$E$1034),_xlpm.cleanRaw,SUBSTITUTE(SUBSTITUTE(_xlpm.raw,"_PIN","."),"PIN","."),_xlpm.mainPart,MID(_xlpm.cleanRaw,2,FIND(".",_xlpm.cleanRaw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5" t="str">
        <f>_xlfn.LET(_xlpm.raw,_xlfn.XLOOKUP(A315,SITE3!$C$4:$C$1034,SITE3!$E$4:$E$1034),_xlpm.cleanRaw,SUBSTITUTE(SUBSTITUTE(_xlpm.raw,"_PIN","."),"PIN","."),_xlpm.mainPart,MID(_xlpm.cleanRaw,2,FIND(".",_xlpm.cleanRaw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5" t="str">
        <f>""</f>
        <v/>
      </c>
      <c r="I315" t="str">
        <f>""</f>
        <v/>
      </c>
      <c r="J315" t="str">
        <f t="shared" si="4"/>
        <v>R46;VSS;;6.29289999999999;21.7113999999999;;;;</v>
      </c>
    </row>
    <row r="316" spans="1:10">
      <c r="A316" t="s">
        <v>820</v>
      </c>
      <c r="B316" t="str">
        <f>_xlfn.XLOOKUP(A316,SITE1!$V$4:$V$1034,SITE1!$U$4:$U$1034,"")</f>
        <v>GPP_B_10_ISH_GP_2</v>
      </c>
      <c r="C316" t="str" cm="1">
        <f t="array" ref="C316">_xlfn.TEXTJOIN(",",TRUE,_xlfn.UNIQUE(TRANSPOSE(_xlfn.MAP(_xlfn.XLOOKUP(A316,SITE1!$C$4:$C$1034,SITE1!$F$4:$O$1034,""),_xlfn.LAMBDA(_xlpm.x,IF(_xlpm.x&lt;&gt;"",TRIM(CLEAN(LEFT(_xlpm.x,FIND(".",_xlpm.x &amp; ".")-1))),""))))))</f>
        <v/>
      </c>
      <c r="D316">
        <v>6.2928999999999897</v>
      </c>
      <c r="E316">
        <v>22.422599999999999</v>
      </c>
      <c r="F316" t="str">
        <f>_xlfn.LET(_xlpm.raw,_xlfn.XLOOKUP(A316,SITE1!$C$4:$C$1034,SITE1!$E$4:$E$1034),_xlpm.cleanRaw,SUBSTITUTE(SUBSTITUTE(_xlpm.raw,"_PIN","."),"PIN","."),_xlpm.mainPart,MID(_xlpm.cleanRaw,2,FIND(".",_xlpm.cleanRaw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702078</v>
      </c>
      <c r="G316" t="str">
        <f>_xlfn.LET(_xlpm.raw,_xlfn.XLOOKUP(A316,SITE3!$C$4:$C$1034,SITE3!$E$4:$E$1034),_xlpm.cleanRaw,SUBSTITUTE(SUBSTITUTE(_xlpm.raw,"_PIN","."),"PIN","."),_xlpm.mainPart,MID(_xlpm.cleanRaw,2,FIND(".",_xlpm.cleanRaw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502078</v>
      </c>
      <c r="H316" t="str">
        <f>""</f>
        <v/>
      </c>
      <c r="I316" t="str">
        <f>""</f>
        <v/>
      </c>
      <c r="J316" t="str">
        <f t="shared" si="4"/>
        <v>R48;GPP_B_10_ISH_GP_2;;6.29289999999999;22.4226;702078;502078;;</v>
      </c>
    </row>
    <row r="317" spans="1:10">
      <c r="A317" t="s">
        <v>4040</v>
      </c>
      <c r="B317" t="str">
        <f>_xlfn.XLOOKUP(A317,SITE1!$V$4:$V$1034,SITE1!$U$4:$U$1034,"")</f>
        <v>VSS</v>
      </c>
      <c r="C317" t="str" cm="1">
        <f t="array" ref="C317">_xlfn.TEXTJOIN(",",TRUE,_xlfn.UNIQUE(TRANSPOSE(_xlfn.MAP(_xlfn.XLOOKUP(A317,SITE1!$C$4:$C$1034,SITE1!$F$4:$O$1034,""),_xlfn.LAMBDA(_xlpm.x,IF(_xlpm.x&lt;&gt;"",TRIM(CLEAN(LEFT(_xlpm.x,FIND(".",_xlpm.x &amp; ".")-1))),""))))))</f>
        <v/>
      </c>
      <c r="D317">
        <v>6.2166999999999897</v>
      </c>
      <c r="E317">
        <v>25.098700000000001</v>
      </c>
      <c r="F317" t="str">
        <f>_xlfn.LET(_xlpm.raw,_xlfn.XLOOKUP(A317,SITE1!$C$4:$C$1034,SITE1!$E$4:$E$1034),_xlpm.cleanRaw,SUBSTITUTE(SUBSTITUTE(_xlpm.raw,"_PIN","."),"PIN","."),_xlpm.mainPart,MID(_xlpm.cleanRaw,2,FIND(".",_xlpm.cleanRaw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7" t="str">
        <f>_xlfn.LET(_xlpm.raw,_xlfn.XLOOKUP(A317,SITE3!$C$4:$C$1034,SITE3!$E$4:$E$1034),_xlpm.cleanRaw,SUBSTITUTE(SUBSTITUTE(_xlpm.raw,"_PIN","."),"PIN","."),_xlpm.mainPart,MID(_xlpm.cleanRaw,2,FIND(".",_xlpm.cleanRaw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7" t="str">
        <f>""</f>
        <v/>
      </c>
      <c r="I317" t="str">
        <f>""</f>
        <v/>
      </c>
      <c r="J317" t="str">
        <f t="shared" si="4"/>
        <v>R53;VSS;;6.21669999999999;25.0987;;;;</v>
      </c>
    </row>
    <row r="318" spans="1:10">
      <c r="A318" t="s">
        <v>895</v>
      </c>
      <c r="B318" t="str">
        <f>_xlfn.XLOOKUP(A318,SITE1!$V$4:$V$1034,SITE1!$U$4:$U$1034,"")</f>
        <v>GPP_B_5_SX_EXIT_HOLDOFFB_ISH_GP_6_IEH_FATAL_ERR2B</v>
      </c>
      <c r="C318" t="str" cm="1">
        <f t="array" ref="C318">_xlfn.TEXTJOIN(",",TRUE,_xlfn.UNIQUE(TRANSPOSE(_xlfn.MAP(_xlfn.XLOOKUP(A318,SITE1!$C$4:$C$1034,SITE1!$F$4:$O$1034,""),_xlfn.LAMBDA(_xlpm.x,IF(_xlpm.x&lt;&gt;"",TRIM(CLEAN(LEFT(_xlpm.x,FIND(".",_xlpm.x &amp; ".")-1))),""))))))</f>
        <v/>
      </c>
      <c r="D318">
        <v>6.6265999999999998</v>
      </c>
      <c r="E318">
        <v>25.657</v>
      </c>
      <c r="F318" t="str">
        <f>_xlfn.LET(_xlpm.raw,_xlfn.XLOOKUP(A318,SITE1!$C$4:$C$1034,SITE1!$E$4:$E$1034),_xlpm.cleanRaw,SUBSTITUTE(SUBSTITUTE(_xlpm.raw,"_PIN","."),"PIN","."),_xlpm.mainPart,MID(_xlpm.cleanRaw,2,FIND(".",_xlpm.cleanRaw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704087</v>
      </c>
      <c r="G318" t="str">
        <f>_xlfn.LET(_xlpm.raw,_xlfn.XLOOKUP(A318,SITE3!$C$4:$C$1034,SITE3!$E$4:$E$1034),_xlpm.cleanRaw,SUBSTITUTE(SUBSTITUTE(_xlpm.raw,"_PIN","."),"PIN","."),_xlpm.mainPart,MID(_xlpm.cleanRaw,2,FIND(".",_xlpm.cleanRaw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504087</v>
      </c>
      <c r="H318" t="str">
        <f>""</f>
        <v/>
      </c>
      <c r="I318" t="str">
        <f>""</f>
        <v/>
      </c>
      <c r="J318" t="str">
        <f t="shared" si="4"/>
        <v>R55;GPP_B_5_SX_EXIT_HOLDOFFB_ISH_GP_6_IEH_FATAL_ERR2B;;6.6266;25.657;704087;504087;;</v>
      </c>
    </row>
    <row r="319" spans="1:10">
      <c r="A319" t="s">
        <v>785</v>
      </c>
      <c r="B319" t="str">
        <f>_xlfn.XLOOKUP(A319,SITE1!$V$4:$V$1034,SITE1!$U$4:$U$1034,"")</f>
        <v>GPP_A_5_ESPI_CLK</v>
      </c>
      <c r="C319" t="str" cm="1">
        <f t="array" ref="C319">_xlfn.TEXTJOIN(",",TRUE,_xlfn.UNIQUE(TRANSPOSE(_xlfn.MAP(_xlfn.XLOOKUP(A319,SITE1!$C$4:$C$1034,SITE1!$F$4:$O$1034,""),_xlfn.LAMBDA(_xlpm.x,IF(_xlpm.x&lt;&gt;"",TRIM(CLEAN(LEFT(_xlpm.x,FIND(".",_xlpm.x &amp; ".")-1))),""))))))</f>
        <v/>
      </c>
      <c r="D319">
        <v>6.2636999999999903</v>
      </c>
      <c r="E319">
        <v>26.1416</v>
      </c>
      <c r="F319" t="str">
        <f>_xlfn.LET(_xlpm.raw,_xlfn.XLOOKUP(A319,SITE1!$C$4:$C$1034,SITE1!$E$4:$E$1034),_xlpm.cleanRaw,SUBSTITUTE(SUBSTITUTE(_xlpm.raw,"_PIN","."),"PIN","."),_xlpm.mainPart,MID(_xlpm.cleanRaw,2,FIND(".",_xlpm.cleanRaw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702066</v>
      </c>
      <c r="G319" t="str">
        <f>_xlfn.LET(_xlpm.raw,_xlfn.XLOOKUP(A319,SITE3!$C$4:$C$1034,SITE3!$E$4:$E$1034),_xlpm.cleanRaw,SUBSTITUTE(SUBSTITUTE(_xlpm.raw,"_PIN","."),"PIN","."),_xlpm.mainPart,MID(_xlpm.cleanRaw,2,FIND(".",_xlpm.cleanRaw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502066</v>
      </c>
      <c r="H319" t="str">
        <f>""</f>
        <v/>
      </c>
      <c r="I319" t="str">
        <f>""</f>
        <v/>
      </c>
      <c r="J319" t="str">
        <f t="shared" si="4"/>
        <v>R56;GPP_A_5_ESPI_CLK;;6.26369999999999;26.1416;702066;502066;;</v>
      </c>
    </row>
    <row r="320" spans="1:10">
      <c r="A320" t="s">
        <v>4042</v>
      </c>
      <c r="B320" t="str">
        <f>_xlfn.XLOOKUP(A320,SITE1!$V$4:$V$1034,SITE1!$U$4:$U$1034,"")</f>
        <v>VSS</v>
      </c>
      <c r="C320" t="str" cm="1">
        <f t="array" ref="C320">_xlfn.TEXTJOIN(",",TRUE,_xlfn.UNIQUE(TRANSPOSE(_xlfn.MAP(_xlfn.XLOOKUP(A320,SITE1!$C$4:$C$1034,SITE1!$F$4:$O$1034,""),_xlfn.LAMBDA(_xlpm.x,IF(_xlpm.x&lt;&gt;"",TRIM(CLEAN(LEFT(_xlpm.x,FIND(".",_xlpm.x &amp; ".")-1))),""))))))</f>
        <v/>
      </c>
      <c r="D320">
        <v>7.1218999999999903</v>
      </c>
      <c r="E320">
        <v>0.52369999999999906</v>
      </c>
      <c r="F320" t="str">
        <f>_xlfn.LET(_xlpm.raw,_xlfn.XLOOKUP(A320,SITE1!$C$4:$C$1034,SITE1!$E$4:$E$1034),_xlpm.cleanRaw,SUBSTITUTE(SUBSTITUTE(_xlpm.raw,"_PIN","."),"PIN","."),_xlpm.mainPart,MID(_xlpm.cleanRaw,2,FIND(".",_xlpm.cleanRaw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0" t="str">
        <f>_xlfn.LET(_xlpm.raw,_xlfn.XLOOKUP(A320,SITE3!$C$4:$C$1034,SITE3!$E$4:$E$1034),_xlpm.cleanRaw,SUBSTITUTE(SUBSTITUTE(_xlpm.raw,"_PIN","."),"PIN","."),_xlpm.mainPart,MID(_xlpm.cleanRaw,2,FIND(".",_xlpm.cleanRaw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0" t="str">
        <f>""</f>
        <v/>
      </c>
      <c r="I320" t="str">
        <f>""</f>
        <v/>
      </c>
      <c r="J320" t="str">
        <f t="shared" si="4"/>
        <v>T2;VSS;;7.12189999999999;0.523699999999999;;;;</v>
      </c>
    </row>
    <row r="321" spans="1:10">
      <c r="A321" t="s">
        <v>197</v>
      </c>
      <c r="B321" t="str">
        <f>_xlfn.XLOOKUP(A321,SITE1!$V$4:$V$1034,SITE1!$U$4:$U$1034,"")</f>
        <v>CLKOUT_SRC_P_8</v>
      </c>
      <c r="C321" t="str" cm="1">
        <f t="array" ref="C321">_xlfn.TEXTJOIN(",",TRUE,_xlfn.UNIQUE(TRANSPOSE(_xlfn.MAP(_xlfn.XLOOKUP(A321,SITE1!$C$4:$C$1034,SITE1!$F$4:$O$1034,""),_xlfn.LAMBDA(_xlpm.x,IF(_xlpm.x&lt;&gt;"",TRIM(CLEAN(LEFT(_xlpm.x,FIND(".",_xlpm.x &amp; ".")-1))),""))))))</f>
        <v/>
      </c>
      <c r="D321">
        <v>7.0916999999999897</v>
      </c>
      <c r="E321">
        <v>1.02609999999999</v>
      </c>
      <c r="F321" t="str">
        <f>_xlfn.LET(_xlpm.raw,_xlfn.XLOOKUP(A321,SITE1!$C$4:$C$1034,SITE1!$E$4:$E$1034),_xlpm.cleanRaw,SUBSTITUTE(SUBSTITUTE(_xlpm.raw,"_PIN","."),"PIN","."),_xlpm.mainPart,MID(_xlpm.cleanRaw,2,FIND(".",_xlpm.cleanRaw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607018</v>
      </c>
      <c r="G321" t="str">
        <f>_xlfn.LET(_xlpm.raw,_xlfn.XLOOKUP(A321,SITE3!$C$4:$C$1034,SITE3!$E$4:$E$1034),_xlpm.cleanRaw,SUBSTITUTE(SUBSTITUTE(_xlpm.raw,"_PIN","."),"PIN","."),_xlpm.mainPart,MID(_xlpm.cleanRaw,2,FIND(".",_xlpm.cleanRaw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807018</v>
      </c>
      <c r="H321" t="str">
        <f>""</f>
        <v/>
      </c>
      <c r="I321" t="str">
        <f>""</f>
        <v/>
      </c>
      <c r="J321" t="str">
        <f t="shared" si="4"/>
        <v>T3;CLKOUT_SRC_P_8;;7.09169999999999;1.02609999999999;607018;807018;;</v>
      </c>
    </row>
    <row r="322" spans="1:10">
      <c r="A322" t="s">
        <v>4047</v>
      </c>
      <c r="B322" t="str">
        <f>_xlfn.XLOOKUP(A322,SITE1!$V$4:$V$1034,SITE1!$U$4:$U$1034,"")</f>
        <v>VSS</v>
      </c>
      <c r="C322" t="str" cm="1">
        <f t="array" ref="C322">_xlfn.TEXTJOIN(",",TRUE,_xlfn.UNIQUE(TRANSPOSE(_xlfn.MAP(_xlfn.XLOOKUP(A322,SITE1!$C$4:$C$1034,SITE1!$F$4:$O$1034,""),_xlfn.LAMBDA(_xlpm.x,IF(_xlpm.x&lt;&gt;"",TRIM(CLEAN(LEFT(_xlpm.x,FIND(".",_xlpm.x &amp; ".")-1))),""))))))</f>
        <v/>
      </c>
      <c r="D322">
        <v>6.7185999999999897</v>
      </c>
      <c r="E322">
        <v>1.7414000000000001</v>
      </c>
      <c r="F322" t="str">
        <f>_xlfn.LET(_xlpm.raw,_xlfn.XLOOKUP(A322,SITE1!$C$4:$C$1034,SITE1!$E$4:$E$1034),_xlpm.cleanRaw,SUBSTITUTE(SUBSTITUTE(_xlpm.raw,"_PIN","."),"PIN","."),_xlpm.mainPart,MID(_xlpm.cleanRaw,2,FIND(".",_xlpm.cleanRaw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2" t="str">
        <f>_xlfn.LET(_xlpm.raw,_xlfn.XLOOKUP(A322,SITE3!$C$4:$C$1034,SITE3!$E$4:$E$1034),_xlpm.cleanRaw,SUBSTITUTE(SUBSTITUTE(_xlpm.raw,"_PIN","."),"PIN","."),_xlpm.mainPart,MID(_xlpm.cleanRaw,2,FIND(".",_xlpm.cleanRaw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2" t="str">
        <f>""</f>
        <v/>
      </c>
      <c r="I322" t="str">
        <f>""</f>
        <v/>
      </c>
      <c r="J322" t="str">
        <f t="shared" ref="J322:J385" si="5">A322&amp;";"&amp;B322&amp;";"&amp;C322&amp;";"&amp;D322&amp;";"&amp;E322&amp;";"&amp;F322&amp;";"&amp;G322&amp;";"&amp;H322&amp;";"&amp;I322</f>
        <v>T4;VSS;;6.71859999999999;1.7414;;;;</v>
      </c>
    </row>
    <row r="323" spans="1:10">
      <c r="A323" t="s">
        <v>4050</v>
      </c>
      <c r="B323" t="str">
        <f>_xlfn.XLOOKUP(A323,SITE1!$V$4:$V$1034,SITE1!$U$4:$U$1034,"")</f>
        <v>VSS</v>
      </c>
      <c r="C323" t="str" cm="1">
        <f t="array" ref="C323">_xlfn.TEXTJOIN(",",TRUE,_xlfn.UNIQUE(TRANSPOSE(_xlfn.MAP(_xlfn.XLOOKUP(A323,SITE1!$C$4:$C$1034,SITE1!$F$4:$O$1034,""),_xlfn.LAMBDA(_xlpm.x,IF(_xlpm.x&lt;&gt;"",TRIM(CLEAN(LEFT(_xlpm.x,FIND(".",_xlpm.x &amp; ".")-1))),""))))))</f>
        <v/>
      </c>
      <c r="D323">
        <v>6.9659999999999904</v>
      </c>
      <c r="E323">
        <v>2.4931999999999999</v>
      </c>
      <c r="F323" t="str">
        <f>_xlfn.LET(_xlpm.raw,_xlfn.XLOOKUP(A323,SITE1!$C$4:$C$1034,SITE1!$E$4:$E$1034),_xlpm.cleanRaw,SUBSTITUTE(SUBSTITUTE(_xlpm.raw,"_PIN","."),"PIN","."),_xlpm.mainPart,MID(_xlpm.cleanRaw,2,FIND(".",_xlpm.cleanRaw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3" t="str">
        <f>_xlfn.LET(_xlpm.raw,_xlfn.XLOOKUP(A323,SITE3!$C$4:$C$1034,SITE3!$E$4:$E$1034),_xlpm.cleanRaw,SUBSTITUTE(SUBSTITUTE(_xlpm.raw,"_PIN","."),"PIN","."),_xlpm.mainPart,MID(_xlpm.cleanRaw,2,FIND(".",_xlpm.cleanRaw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3" t="str">
        <f>""</f>
        <v/>
      </c>
      <c r="I323" t="str">
        <f>""</f>
        <v/>
      </c>
      <c r="J323" t="str">
        <f t="shared" si="5"/>
        <v>T6;VSS;;6.96599999999999;2.4932;;;;</v>
      </c>
    </row>
    <row r="324" spans="1:10">
      <c r="A324" t="s">
        <v>3526</v>
      </c>
      <c r="B324" t="str">
        <f>_xlfn.XLOOKUP(A324,SITE1!$V$4:$V$1034,SITE1!$U$4:$U$1034,"")</f>
        <v>VCCA_XTAL_0P82</v>
      </c>
      <c r="C324" t="str" cm="1">
        <f t="array" ref="C324">_xlfn.TEXTJOIN(",",TRUE,_xlfn.UNIQUE(TRANSPOSE(_xlfn.MAP(_xlfn.XLOOKUP(A324,SITE1!$C$4:$C$1034,SITE1!$F$4:$O$1034,""),_xlfn.LAMBDA(_xlpm.x,IF(_xlpm.x&lt;&gt;"",TRIM(CLEAN(LEFT(_xlpm.x,FIND(".",_xlpm.x &amp; ".")-1))),""))))))</f>
        <v/>
      </c>
      <c r="D324">
        <v>6.8640999999999996</v>
      </c>
      <c r="E324">
        <v>5.7642999999999898</v>
      </c>
      <c r="F324" t="str">
        <f>_xlfn.LET(_xlpm.raw,_xlfn.XLOOKUP(A324,SITE1!$C$4:$C$1034,SITE1!$E$4:$E$1034),_xlpm.cleanRaw,SUBSTITUTE(SUBSTITUTE(_xlpm.raw,"_PIN","."),"PIN","."),_xlpm.mainPart,MID(_xlpm.cleanRaw,2,FIND(".",_xlpm.cleanRaw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4" t="str">
        <f>_xlfn.LET(_xlpm.raw,_xlfn.XLOOKUP(A324,SITE3!$C$4:$C$1034,SITE3!$E$4:$E$1034),_xlpm.cleanRaw,SUBSTITUTE(SUBSTITUTE(_xlpm.raw,"_PIN","."),"PIN","."),_xlpm.mainPart,MID(_xlpm.cleanRaw,2,FIND(".",_xlpm.cleanRaw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4" t="str">
        <f>""</f>
        <v/>
      </c>
      <c r="I324" t="str">
        <f>""</f>
        <v/>
      </c>
      <c r="J324" t="str">
        <f t="shared" si="5"/>
        <v>T13;VCCA_XTAL_0P82;;6.8641;5.76429999999999;;;;</v>
      </c>
    </row>
    <row r="325" spans="1:10">
      <c r="A325" t="s">
        <v>3510</v>
      </c>
      <c r="B325" t="str">
        <f>_xlfn.XLOOKUP(A325,SITE1!$V$4:$V$1034,SITE1!$U$4:$U$1034,"")</f>
        <v>VCCA_REFPLL_0P82</v>
      </c>
      <c r="C325" t="str" cm="1">
        <f t="array" ref="C325">_xlfn.TEXTJOIN(",",TRUE,_xlfn.UNIQUE(TRANSPOSE(_xlfn.MAP(_xlfn.XLOOKUP(A325,SITE1!$C$4:$C$1034,SITE1!$F$4:$O$1034,""),_xlfn.LAMBDA(_xlpm.x,IF(_xlpm.x&lt;&gt;"",TRIM(CLEAN(LEFT(_xlpm.x,FIND(".",_xlpm.x &amp; ".")-1))),""))))))</f>
        <v/>
      </c>
      <c r="D325">
        <v>6.8640999999999996</v>
      </c>
      <c r="E325">
        <v>6.4882</v>
      </c>
      <c r="F325" t="str">
        <f>_xlfn.LET(_xlpm.raw,_xlfn.XLOOKUP(A325,SITE1!$C$4:$C$1034,SITE1!$E$4:$E$1034),_xlpm.cleanRaw,SUBSTITUTE(SUBSTITUTE(_xlpm.raw,"_PIN","."),"PIN","."),_xlpm.mainPart,MID(_xlpm.cleanRaw,2,FIND(".",_xlpm.cleanRaw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5" t="str">
        <f>_xlfn.LET(_xlpm.raw,_xlfn.XLOOKUP(A325,SITE3!$C$4:$C$1034,SITE3!$E$4:$E$1034),_xlpm.cleanRaw,SUBSTITUTE(SUBSTITUTE(_xlpm.raw,"_PIN","."),"PIN","."),_xlpm.mainPart,MID(_xlpm.cleanRaw,2,FIND(".",_xlpm.cleanRaw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5" t="str">
        <f>""</f>
        <v/>
      </c>
      <c r="I325" t="str">
        <f>""</f>
        <v/>
      </c>
      <c r="J325" t="str">
        <f t="shared" si="5"/>
        <v>T14;VCCA_REFPLL_0P82;;6.8641;6.4882;;;;</v>
      </c>
    </row>
    <row r="326" spans="1:10">
      <c r="A326" t="s">
        <v>3500</v>
      </c>
      <c r="B326" t="str">
        <f>_xlfn.XLOOKUP(A326,SITE1!$V$4:$V$1034,SITE1!$U$4:$U$1034,"")</f>
        <v>VCCA_DIG_0P82</v>
      </c>
      <c r="C326" t="str" cm="1">
        <f t="array" ref="C326">_xlfn.TEXTJOIN(",",TRUE,_xlfn.UNIQUE(TRANSPOSE(_xlfn.MAP(_xlfn.XLOOKUP(A326,SITE1!$C$4:$C$1034,SITE1!$F$4:$O$1034,""),_xlfn.LAMBDA(_xlpm.x,IF(_xlpm.x&lt;&gt;"",TRIM(CLEAN(LEFT(_xlpm.x,FIND(".",_xlpm.x &amp; ".")-1))),""))))))</f>
        <v/>
      </c>
      <c r="D326">
        <v>6.8640999999999996</v>
      </c>
      <c r="E326">
        <v>7.2120999999999897</v>
      </c>
      <c r="F326" t="str">
        <f>_xlfn.LET(_xlpm.raw,_xlfn.XLOOKUP(A326,SITE1!$C$4:$C$1034,SITE1!$E$4:$E$1034),_xlpm.cleanRaw,SUBSTITUTE(SUBSTITUTE(_xlpm.raw,"_PIN","."),"PIN","."),_xlpm.mainPart,MID(_xlpm.cleanRaw,2,FIND(".",_xlpm.cleanRaw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6" t="str">
        <f>_xlfn.LET(_xlpm.raw,_xlfn.XLOOKUP(A326,SITE3!$C$4:$C$1034,SITE3!$E$4:$E$1034),_xlpm.cleanRaw,SUBSTITUTE(SUBSTITUTE(_xlpm.raw,"_PIN","."),"PIN","."),_xlpm.mainPart,MID(_xlpm.cleanRaw,2,FIND(".",_xlpm.cleanRaw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6" t="str">
        <f>""</f>
        <v/>
      </c>
      <c r="I326" t="str">
        <f>""</f>
        <v/>
      </c>
      <c r="J326" t="str">
        <f t="shared" si="5"/>
        <v>T16;VCCA_DIG_0P82;;6.8641;7.21209999999999;;;;</v>
      </c>
    </row>
    <row r="327" spans="1:10">
      <c r="A327" t="s">
        <v>3484</v>
      </c>
      <c r="B327" t="str">
        <f>_xlfn.XLOOKUP(A327,SITE1!$V$4:$V$1034,SITE1!$U$4:$U$1034,"")</f>
        <v>VCCA_CLKPLL_0P82</v>
      </c>
      <c r="C327" t="str" cm="1">
        <f t="array" ref="C327">_xlfn.TEXTJOIN(",",TRUE,_xlfn.UNIQUE(TRANSPOSE(_xlfn.MAP(_xlfn.XLOOKUP(A327,SITE1!$C$4:$C$1034,SITE1!$F$4:$O$1034,""),_xlfn.LAMBDA(_xlpm.x,IF(_xlpm.x&lt;&gt;"",TRIM(CLEAN(LEFT(_xlpm.x,FIND(".",_xlpm.x &amp; ".")-1))),""))))))</f>
        <v/>
      </c>
      <c r="D327">
        <v>6.7520999999999898</v>
      </c>
      <c r="E327">
        <v>7.7675999999999998</v>
      </c>
      <c r="F327" t="str">
        <f>_xlfn.LET(_xlpm.raw,_xlfn.XLOOKUP(A327,SITE1!$C$4:$C$1034,SITE1!$E$4:$E$1034),_xlpm.cleanRaw,SUBSTITUTE(SUBSTITUTE(_xlpm.raw,"_PIN","."),"PIN","."),_xlpm.mainPart,MID(_xlpm.cleanRaw,2,FIND(".",_xlpm.cleanRaw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7" t="str">
        <f>_xlfn.LET(_xlpm.raw,_xlfn.XLOOKUP(A327,SITE3!$C$4:$C$1034,SITE3!$E$4:$E$1034),_xlpm.cleanRaw,SUBSTITUTE(SUBSTITUTE(_xlpm.raw,"_PIN","."),"PIN","."),_xlpm.mainPart,MID(_xlpm.cleanRaw,2,FIND(".",_xlpm.cleanRaw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7" t="str">
        <f>""</f>
        <v/>
      </c>
      <c r="I327" t="str">
        <f>""</f>
        <v/>
      </c>
      <c r="J327" t="str">
        <f t="shared" si="5"/>
        <v>T17;VCCA_CLKPLL_0P82;;6.75209999999999;7.7676;;;;</v>
      </c>
    </row>
    <row r="328" spans="1:10">
      <c r="A328" t="s">
        <v>4041</v>
      </c>
      <c r="B328" t="str">
        <f>_xlfn.XLOOKUP(A328,SITE1!$V$4:$V$1034,SITE1!$U$4:$U$1034,"")</f>
        <v>VSS</v>
      </c>
      <c r="C328" t="str" cm="1">
        <f t="array" ref="C328">_xlfn.TEXTJOIN(",",TRUE,_xlfn.UNIQUE(TRANSPOSE(_xlfn.MAP(_xlfn.XLOOKUP(A328,SITE1!$C$4:$C$1034,SITE1!$F$4:$O$1034,""),_xlfn.LAMBDA(_xlpm.x,IF(_xlpm.x&lt;&gt;"",TRIM(CLEAN(LEFT(_xlpm.x,FIND(".",_xlpm.x &amp; ".")-1))),""))))))</f>
        <v/>
      </c>
      <c r="D328">
        <v>7.0385999999999997</v>
      </c>
      <c r="E328">
        <v>8.8066999999999993</v>
      </c>
      <c r="F328" t="str">
        <f>_xlfn.LET(_xlpm.raw,_xlfn.XLOOKUP(A328,SITE1!$C$4:$C$1034,SITE1!$E$4:$E$1034),_xlpm.cleanRaw,SUBSTITUTE(SUBSTITUTE(_xlpm.raw,"_PIN","."),"PIN","."),_xlpm.mainPart,MID(_xlpm.cleanRaw,2,FIND(".",_xlpm.cleanRaw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8" t="str">
        <f>_xlfn.LET(_xlpm.raw,_xlfn.XLOOKUP(A328,SITE3!$C$4:$C$1034,SITE3!$E$4:$E$1034),_xlpm.cleanRaw,SUBSTITUTE(SUBSTITUTE(_xlpm.raw,"_PIN","."),"PIN","."),_xlpm.mainPart,MID(_xlpm.cleanRaw,2,FIND(".",_xlpm.cleanRaw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8" t="str">
        <f>""</f>
        <v/>
      </c>
      <c r="I328" t="str">
        <f>""</f>
        <v/>
      </c>
      <c r="J328" t="str">
        <f t="shared" si="5"/>
        <v>T19;VSS;;7.0386;8.8067;;;;</v>
      </c>
    </row>
    <row r="329" spans="1:10">
      <c r="A329" t="s">
        <v>3138</v>
      </c>
      <c r="B329" t="str">
        <f>_xlfn.XLOOKUP(A329,SITE1!$V$4:$V$1034,SITE1!$U$4:$U$1034,"")</f>
        <v>USB3_REFCLKP</v>
      </c>
      <c r="C329" t="str" cm="1">
        <f t="array" ref="C329">_xlfn.TEXTJOIN(",",TRUE,_xlfn.UNIQUE(TRANSPOSE(_xlfn.MAP(_xlfn.XLOOKUP(A329,SITE1!$C$4:$C$1034,SITE1!$F$4:$O$1034,""),_xlfn.LAMBDA(_xlpm.x,IF(_xlpm.x&lt;&gt;"",TRIM(CLEAN(LEFT(_xlpm.x,FIND(".",_xlpm.x &amp; ".")-1))),""))))))</f>
        <v/>
      </c>
      <c r="D329">
        <v>7.0385999999999997</v>
      </c>
      <c r="E329">
        <v>10.164</v>
      </c>
      <c r="F329" t="str">
        <f>_xlfn.LET(_xlpm.raw,_xlfn.XLOOKUP(A329,SITE1!$C$4:$C$1034,SITE1!$E$4:$E$1034),_xlpm.cleanRaw,SUBSTITUTE(SUBSTITUTE(_xlpm.raw,"_PIN","."),"PIN","."),_xlpm.mainPart,MID(_xlpm.cleanRaw,2,FIND(".",_xlpm.cleanRaw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705064</v>
      </c>
      <c r="G329" t="str">
        <f>_xlfn.LET(_xlpm.raw,_xlfn.XLOOKUP(A329,SITE3!$C$4:$C$1034,SITE3!$E$4:$E$1034),_xlpm.cleanRaw,SUBSTITUTE(SUBSTITUTE(_xlpm.raw,"_PIN","."),"PIN","."),_xlpm.mainPart,MID(_xlpm.cleanRaw,2,FIND(".",_xlpm.cleanRaw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505064</v>
      </c>
      <c r="H329" t="str">
        <f>""</f>
        <v/>
      </c>
      <c r="I329" t="str">
        <f>""</f>
        <v/>
      </c>
      <c r="J329" t="str">
        <f t="shared" si="5"/>
        <v>T22;USB3_REFCLKP;;7.0386;10.164;705064;505064;;</v>
      </c>
    </row>
    <row r="330" spans="1:10">
      <c r="A330" t="s">
        <v>4043</v>
      </c>
      <c r="B330" t="str">
        <f>_xlfn.XLOOKUP(A330,SITE1!$V$4:$V$1034,SITE1!$U$4:$U$1034,"")</f>
        <v>VSS</v>
      </c>
      <c r="C330" t="str" cm="1">
        <f t="array" ref="C330">_xlfn.TEXTJOIN(",",TRUE,_xlfn.UNIQUE(TRANSPOSE(_xlfn.MAP(_xlfn.XLOOKUP(A330,SITE1!$C$4:$C$1034,SITE1!$F$4:$O$1034,""),_xlfn.LAMBDA(_xlpm.x,IF(_xlpm.x&lt;&gt;"",TRIM(CLEAN(LEFT(_xlpm.x,FIND(".",_xlpm.x &amp; ".")-1))),""))))))</f>
        <v/>
      </c>
      <c r="D330">
        <v>7.0385999999999997</v>
      </c>
      <c r="E330">
        <v>11.5357</v>
      </c>
      <c r="F330" t="str">
        <f>_xlfn.LET(_xlpm.raw,_xlfn.XLOOKUP(A330,SITE1!$C$4:$C$1034,SITE1!$E$4:$E$1034),_xlpm.cleanRaw,SUBSTITUTE(SUBSTITUTE(_xlpm.raw,"_PIN","."),"PIN","."),_xlpm.mainPart,MID(_xlpm.cleanRaw,2,FIND(".",_xlpm.cleanRaw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0" t="str">
        <f>_xlfn.LET(_xlpm.raw,_xlfn.XLOOKUP(A330,SITE3!$C$4:$C$1034,SITE3!$E$4:$E$1034),_xlpm.cleanRaw,SUBSTITUTE(SUBSTITUTE(_xlpm.raw,"_PIN","."),"PIN","."),_xlpm.mainPart,MID(_xlpm.cleanRaw,2,FIND(".",_xlpm.cleanRaw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0" t="str">
        <f>""</f>
        <v/>
      </c>
      <c r="I330" t="str">
        <f>""</f>
        <v/>
      </c>
      <c r="J330" t="str">
        <f t="shared" si="5"/>
        <v>T25;VSS;;7.0386;11.5357;;;;</v>
      </c>
    </row>
    <row r="331" spans="1:10">
      <c r="A331" t="s">
        <v>616</v>
      </c>
      <c r="B331" t="str">
        <f>_xlfn.XLOOKUP(A331,SITE1!$V$4:$V$1034,SITE1!$U$4:$U$1034,"")</f>
        <v>DMI_REFCLKP</v>
      </c>
      <c r="C331" t="str" cm="1">
        <f t="array" ref="C331">_xlfn.TEXTJOIN(",",TRUE,_xlfn.UNIQUE(TRANSPOSE(_xlfn.MAP(_xlfn.XLOOKUP(A331,SITE1!$C$4:$C$1034,SITE1!$F$4:$O$1034,""),_xlfn.LAMBDA(_xlpm.x,IF(_xlpm.x&lt;&gt;"",TRIM(CLEAN(LEFT(_xlpm.x,FIND(".",_xlpm.x &amp; ".")-1))),""))))))</f>
        <v/>
      </c>
      <c r="D331">
        <v>7.0385999999999997</v>
      </c>
      <c r="E331">
        <v>12.893000000000001</v>
      </c>
      <c r="F331" t="str">
        <f>_xlfn.LET(_xlpm.raw,_xlfn.XLOOKUP(A331,SITE1!$C$4:$C$1034,SITE1!$E$4:$E$1034),_xlpm.cleanRaw,SUBSTITUTE(SUBSTITUTE(_xlpm.raw,"_PIN","."),"PIN","."),_xlpm.mainPart,MID(_xlpm.cleanRaw,2,FIND(".",_xlpm.cleanRaw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704107</v>
      </c>
      <c r="G331" t="str">
        <f>_xlfn.LET(_xlpm.raw,_xlfn.XLOOKUP(A331,SITE3!$C$4:$C$1034,SITE3!$E$4:$E$1034),_xlpm.cleanRaw,SUBSTITUTE(SUBSTITUTE(_xlpm.raw,"_PIN","."),"PIN","."),_xlpm.mainPart,MID(_xlpm.cleanRaw,2,FIND(".",_xlpm.cleanRaw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504107</v>
      </c>
      <c r="H331" t="str">
        <f>""</f>
        <v/>
      </c>
      <c r="I331" t="str">
        <f>""</f>
        <v/>
      </c>
      <c r="J331" t="str">
        <f t="shared" si="5"/>
        <v>T28;DMI_REFCLKP;;7.0386;12.893;704107;504107;;</v>
      </c>
    </row>
    <row r="332" spans="1:10">
      <c r="A332" t="s">
        <v>4044</v>
      </c>
      <c r="B332" t="str">
        <f>_xlfn.XLOOKUP(A332,SITE1!$V$4:$V$1034,SITE1!$U$4:$U$1034,"")</f>
        <v>VSS</v>
      </c>
      <c r="C332" t="str" cm="1">
        <f t="array" ref="C332">_xlfn.TEXTJOIN(",",TRUE,_xlfn.UNIQUE(TRANSPOSE(_xlfn.MAP(_xlfn.XLOOKUP(A332,SITE1!$C$4:$C$1034,SITE1!$F$4:$O$1034,""),_xlfn.LAMBDA(_xlpm.x,IF(_xlpm.x&lt;&gt;"",TRIM(CLEAN(LEFT(_xlpm.x,FIND(".",_xlpm.x &amp; ".")-1))),""))))))</f>
        <v/>
      </c>
      <c r="D332">
        <v>7.0385999999999997</v>
      </c>
      <c r="E332">
        <v>14.264699999999999</v>
      </c>
      <c r="F332" t="str">
        <f>_xlfn.LET(_xlpm.raw,_xlfn.XLOOKUP(A332,SITE1!$C$4:$C$1034,SITE1!$E$4:$E$1034),_xlpm.cleanRaw,SUBSTITUTE(SUBSTITUTE(_xlpm.raw,"_PIN","."),"PIN","."),_xlpm.mainPart,MID(_xlpm.cleanRaw,2,FIND(".",_xlpm.cleanRaw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2" t="str">
        <f>_xlfn.LET(_xlpm.raw,_xlfn.XLOOKUP(A332,SITE3!$C$4:$C$1034,SITE3!$E$4:$E$1034),_xlpm.cleanRaw,SUBSTITUTE(SUBSTITUTE(_xlpm.raw,"_PIN","."),"PIN","."),_xlpm.mainPart,MID(_xlpm.cleanRaw,2,FIND(".",_xlpm.cleanRaw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2" t="str">
        <f>""</f>
        <v/>
      </c>
      <c r="I332" t="str">
        <f>""</f>
        <v/>
      </c>
      <c r="J332" t="str">
        <f t="shared" si="5"/>
        <v>T31;VSS;;7.0386;14.2647;;;;</v>
      </c>
    </row>
    <row r="333" spans="1:10">
      <c r="A333" t="s">
        <v>2904</v>
      </c>
      <c r="B333" t="str">
        <f>_xlfn.XLOOKUP(A333,SITE1!$V$4:$V$1034,SITE1!$U$4:$U$1034,"")</f>
        <v>TD_ANODE</v>
      </c>
      <c r="C333" t="str" cm="1">
        <f t="array" ref="C333">_xlfn.TEXTJOIN(",",TRUE,_xlfn.UNIQUE(TRANSPOSE(_xlfn.MAP(_xlfn.XLOOKUP(A333,SITE1!$C$4:$C$1034,SITE1!$F$4:$O$1034,""),_xlfn.LAMBDA(_xlpm.x,IF(_xlpm.x&lt;&gt;"",TRIM(CLEAN(LEFT(_xlpm.x,FIND(".",_xlpm.x &amp; ".")-1))),""))))))</f>
        <v>RA31,RA32,RA35,RA36</v>
      </c>
      <c r="D333">
        <v>7.0385999999999997</v>
      </c>
      <c r="E333">
        <v>15.622</v>
      </c>
      <c r="F333" t="str">
        <f>_xlfn.LET(_xlpm.raw,_xlfn.XLOOKUP(A333,SITE1!$C$4:$C$1034,SITE1!$E$4:$E$1034),_xlpm.cleanRaw,SUBSTITUTE(SUBSTITUTE(_xlpm.raw,"_PIN","."),"PIN","."),_xlpm.mainPart,MID(_xlpm.cleanRaw,2,FIND(".",_xlpm.cleanRaw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705078</v>
      </c>
      <c r="G333" t="str">
        <f>_xlfn.LET(_xlpm.raw,_xlfn.XLOOKUP(A333,SITE3!$C$4:$C$1034,SITE3!$E$4:$E$1034),_xlpm.cleanRaw,SUBSTITUTE(SUBSTITUTE(_xlpm.raw,"_PIN","."),"PIN","."),_xlpm.mainPart,MID(_xlpm.cleanRaw,2,FIND(".",_xlpm.cleanRaw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505078</v>
      </c>
      <c r="H333" t="str">
        <f>""</f>
        <v/>
      </c>
      <c r="I333" t="str">
        <f>""</f>
        <v/>
      </c>
      <c r="J333" t="str">
        <f t="shared" si="5"/>
        <v>T34;TD_ANODE;RA31,RA32,RA35,RA36;7.0386;15.622;705078;505078;;</v>
      </c>
    </row>
    <row r="334" spans="1:10">
      <c r="A334" t="s">
        <v>4045</v>
      </c>
      <c r="B334" t="str">
        <f>_xlfn.XLOOKUP(A334,SITE1!$V$4:$V$1034,SITE1!$U$4:$U$1034,"")</f>
        <v>VSS</v>
      </c>
      <c r="C334" t="str" cm="1">
        <f t="array" ref="C334">_xlfn.TEXTJOIN(",",TRUE,_xlfn.UNIQUE(TRANSPOSE(_xlfn.MAP(_xlfn.XLOOKUP(A334,SITE1!$C$4:$C$1034,SITE1!$F$4:$O$1034,""),_xlfn.LAMBDA(_xlpm.x,IF(_xlpm.x&lt;&gt;"",TRIM(CLEAN(LEFT(_xlpm.x,FIND(".",_xlpm.x &amp; ".")-1))),""))))))</f>
        <v/>
      </c>
      <c r="D334">
        <v>7.0385999999999997</v>
      </c>
      <c r="E334">
        <v>16.9937</v>
      </c>
      <c r="F334" t="str">
        <f>_xlfn.LET(_xlpm.raw,_xlfn.XLOOKUP(A334,SITE1!$C$4:$C$1034,SITE1!$E$4:$E$1034),_xlpm.cleanRaw,SUBSTITUTE(SUBSTITUTE(_xlpm.raw,"_PIN","."),"PIN","."),_xlpm.mainPart,MID(_xlpm.cleanRaw,2,FIND(".",_xlpm.cleanRaw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4" t="str">
        <f>_xlfn.LET(_xlpm.raw,_xlfn.XLOOKUP(A334,SITE3!$C$4:$C$1034,SITE3!$E$4:$E$1034),_xlpm.cleanRaw,SUBSTITUTE(SUBSTITUTE(_xlpm.raw,"_PIN","."),"PIN","."),_xlpm.mainPart,MID(_xlpm.cleanRaw,2,FIND(".",_xlpm.cleanRaw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4" t="str">
        <f>""</f>
        <v/>
      </c>
      <c r="I334" t="str">
        <f>""</f>
        <v/>
      </c>
      <c r="J334" t="str">
        <f t="shared" si="5"/>
        <v>T36;VSS;;7.0386;16.9937;;;;</v>
      </c>
    </row>
    <row r="335" spans="1:10">
      <c r="A335" t="s">
        <v>4046</v>
      </c>
      <c r="B335" t="str">
        <f>_xlfn.XLOOKUP(A335,SITE1!$V$4:$V$1034,SITE1!$U$4:$U$1034,"")</f>
        <v>VSS</v>
      </c>
      <c r="C335" t="str" cm="1">
        <f t="array" ref="C335">_xlfn.TEXTJOIN(",",TRUE,_xlfn.UNIQUE(TRANSPOSE(_xlfn.MAP(_xlfn.XLOOKUP(A335,SITE1!$C$4:$C$1034,SITE1!$F$4:$O$1034,""),_xlfn.LAMBDA(_xlpm.x,IF(_xlpm.x&lt;&gt;"",TRIM(CLEAN(LEFT(_xlpm.x,FIND(".",_xlpm.x &amp; ".")-1))),""))))))</f>
        <v/>
      </c>
      <c r="D335">
        <v>6.7520999999999898</v>
      </c>
      <c r="E335">
        <v>18.355499999999999</v>
      </c>
      <c r="F335" t="str">
        <f>_xlfn.LET(_xlpm.raw,_xlfn.XLOOKUP(A335,SITE1!$C$4:$C$1034,SITE1!$E$4:$E$1034),_xlpm.cleanRaw,SUBSTITUTE(SUBSTITUTE(_xlpm.raw,"_PIN","."),"PIN","."),_xlpm.mainPart,MID(_xlpm.cleanRaw,2,FIND(".",_xlpm.cleanRaw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5" t="str">
        <f>_xlfn.LET(_xlpm.raw,_xlfn.XLOOKUP(A335,SITE3!$C$4:$C$1034,SITE3!$E$4:$E$1034),_xlpm.cleanRaw,SUBSTITUTE(SUBSTITUTE(_xlpm.raw,"_PIN","."),"PIN","."),_xlpm.mainPart,MID(_xlpm.cleanRaw,2,FIND(".",_xlpm.cleanRaw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5" t="str">
        <f>""</f>
        <v/>
      </c>
      <c r="I335" t="str">
        <f>""</f>
        <v/>
      </c>
      <c r="J335" t="str">
        <f t="shared" si="5"/>
        <v>T39;VSS;;6.75209999999999;18.3555;;;;</v>
      </c>
    </row>
    <row r="336" spans="1:10">
      <c r="A336" t="s">
        <v>4048</v>
      </c>
      <c r="B336" t="str">
        <f>_xlfn.XLOOKUP(A336,SITE1!$V$4:$V$1034,SITE1!$U$4:$U$1034,"")</f>
        <v>VSS</v>
      </c>
      <c r="C336" t="str" cm="1">
        <f t="array" ref="C336">_xlfn.TEXTJOIN(",",TRUE,_xlfn.UNIQUE(TRANSPOSE(_xlfn.MAP(_xlfn.XLOOKUP(A336,SITE1!$C$4:$C$1034,SITE1!$F$4:$O$1034,""),_xlfn.LAMBDA(_xlpm.x,IF(_xlpm.x&lt;&gt;"",TRIM(CLEAN(LEFT(_xlpm.x,FIND(".",_xlpm.x &amp; ".")-1))),""))))))</f>
        <v/>
      </c>
      <c r="D336">
        <v>6.8640999999999996</v>
      </c>
      <c r="E336">
        <v>18.9422</v>
      </c>
      <c r="F336" t="str">
        <f>_xlfn.LET(_xlpm.raw,_xlfn.XLOOKUP(A336,SITE1!$C$4:$C$1034,SITE1!$E$4:$E$1034),_xlpm.cleanRaw,SUBSTITUTE(SUBSTITUTE(_xlpm.raw,"_PIN","."),"PIN","."),_xlpm.mainPart,MID(_xlpm.cleanRaw,2,FIND(".",_xlpm.cleanRaw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6" t="str">
        <f>_xlfn.LET(_xlpm.raw,_xlfn.XLOOKUP(A336,SITE3!$C$4:$C$1034,SITE3!$E$4:$E$1034),_xlpm.cleanRaw,SUBSTITUTE(SUBSTITUTE(_xlpm.raw,"_PIN","."),"PIN","."),_xlpm.mainPart,MID(_xlpm.cleanRaw,2,FIND(".",_xlpm.cleanRaw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6" t="str">
        <f>""</f>
        <v/>
      </c>
      <c r="I336" t="str">
        <f>""</f>
        <v/>
      </c>
      <c r="J336" t="str">
        <f t="shared" si="5"/>
        <v>T41;VSS;;6.8641;18.9422;;;;</v>
      </c>
    </row>
    <row r="337" spans="1:10">
      <c r="A337" t="s">
        <v>4049</v>
      </c>
      <c r="B337" t="str">
        <f>_xlfn.XLOOKUP(A337,SITE1!$V$4:$V$1034,SITE1!$U$4:$U$1034,"")</f>
        <v>VSS</v>
      </c>
      <c r="C337" t="str" cm="1">
        <f t="array" ref="C337">_xlfn.TEXTJOIN(",",TRUE,_xlfn.UNIQUE(TRANSPOSE(_xlfn.MAP(_xlfn.XLOOKUP(A337,SITE1!$C$4:$C$1034,SITE1!$F$4:$O$1034,""),_xlfn.LAMBDA(_xlpm.x,IF(_xlpm.x&lt;&gt;"",TRIM(CLEAN(LEFT(_xlpm.x,FIND(".",_xlpm.x &amp; ".")-1))),""))))))</f>
        <v/>
      </c>
      <c r="D337">
        <v>6.8640999999999996</v>
      </c>
      <c r="E337">
        <v>19.6661</v>
      </c>
      <c r="F337" t="str">
        <f>_xlfn.LET(_xlpm.raw,_xlfn.XLOOKUP(A337,SITE1!$C$4:$C$1034,SITE1!$E$4:$E$1034),_xlpm.cleanRaw,SUBSTITUTE(SUBSTITUTE(_xlpm.raw,"_PIN","."),"PIN","."),_xlpm.mainPart,MID(_xlpm.cleanRaw,2,FIND(".",_xlpm.cleanRaw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7" t="str">
        <f>_xlfn.LET(_xlpm.raw,_xlfn.XLOOKUP(A337,SITE3!$C$4:$C$1034,SITE3!$E$4:$E$1034),_xlpm.cleanRaw,SUBSTITUTE(SUBSTITUTE(_xlpm.raw,"_PIN","."),"PIN","."),_xlpm.mainPart,MID(_xlpm.cleanRaw,2,FIND(".",_xlpm.cleanRaw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7" t="str">
        <f>""</f>
        <v/>
      </c>
      <c r="I337" t="str">
        <f>""</f>
        <v/>
      </c>
      <c r="J337" t="str">
        <f t="shared" si="5"/>
        <v>T42;VSS;;6.8641;19.6661;;;;</v>
      </c>
    </row>
    <row r="338" spans="1:10">
      <c r="A338" t="s">
        <v>890</v>
      </c>
      <c r="B338" t="str">
        <f>_xlfn.XLOOKUP(A338,SITE1!$V$4:$V$1034,SITE1!$U$4:$U$1034,"")</f>
        <v>GPP_B_4_CPU_GP_3</v>
      </c>
      <c r="C338" t="str" cm="1">
        <f t="array" ref="C338">_xlfn.TEXTJOIN(",",TRUE,_xlfn.UNIQUE(TRANSPOSE(_xlfn.MAP(_xlfn.XLOOKUP(A338,SITE1!$C$4:$C$1034,SITE1!$F$4:$O$1034,""),_xlfn.LAMBDA(_xlpm.x,IF(_xlpm.x&lt;&gt;"",TRIM(CLEAN(LEFT(_xlpm.x,FIND(".",_xlpm.x &amp; ".")-1))),""))))))</f>
        <v/>
      </c>
      <c r="D338">
        <v>6.8640999999999996</v>
      </c>
      <c r="E338">
        <v>20.39</v>
      </c>
      <c r="F338" t="str">
        <f>_xlfn.LET(_xlpm.raw,_xlfn.XLOOKUP(A338,SITE1!$C$4:$C$1034,SITE1!$E$4:$E$1034),_xlpm.cleanRaw,SUBSTITUTE(SUBSTITUTE(_xlpm.raw,"_PIN","."),"PIN","."),_xlpm.mainPart,MID(_xlpm.cleanRaw,2,FIND(".",_xlpm.cleanRaw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702076</v>
      </c>
      <c r="G338" t="str">
        <f>_xlfn.LET(_xlpm.raw,_xlfn.XLOOKUP(A338,SITE3!$C$4:$C$1034,SITE3!$E$4:$E$1034),_xlpm.cleanRaw,SUBSTITUTE(SUBSTITUTE(_xlpm.raw,"_PIN","."),"PIN","."),_xlpm.mainPart,MID(_xlpm.cleanRaw,2,FIND(".",_xlpm.cleanRaw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502076</v>
      </c>
      <c r="H338" t="str">
        <f>""</f>
        <v/>
      </c>
      <c r="I338" t="str">
        <f>""</f>
        <v/>
      </c>
      <c r="J338" t="str">
        <f t="shared" si="5"/>
        <v>T44;GPP_B_4_CPU_GP_3;;6.8641;20.39;702076;502076;;</v>
      </c>
    </row>
    <row r="339" spans="1:10">
      <c r="A339" t="s">
        <v>850</v>
      </c>
      <c r="B339" t="str">
        <f>_xlfn.XLOOKUP(A339,SITE1!$V$4:$V$1034,SITE1!$U$4:$U$1034,"")</f>
        <v>GPP_B_16_ISH_GP_4</v>
      </c>
      <c r="C339" t="str" cm="1">
        <f t="array" ref="C339">_xlfn.TEXTJOIN(",",TRUE,_xlfn.UNIQUE(TRANSPOSE(_xlfn.MAP(_xlfn.XLOOKUP(A339,SITE1!$C$4:$C$1034,SITE1!$F$4:$O$1034,""),_xlfn.LAMBDA(_xlpm.x,IF(_xlpm.x&lt;&gt;"",TRIM(CLEAN(LEFT(_xlpm.x,FIND(".",_xlpm.x &amp; ".")-1))),""))))))</f>
        <v/>
      </c>
      <c r="D339">
        <v>6.8640999999999996</v>
      </c>
      <c r="E339">
        <v>21.113900000000001</v>
      </c>
      <c r="F339" t="str">
        <f>_xlfn.LET(_xlpm.raw,_xlfn.XLOOKUP(A339,SITE1!$C$4:$C$1034,SITE1!$E$4:$E$1034),_xlpm.cleanRaw,SUBSTITUTE(SUBSTITUTE(_xlpm.raw,"_PIN","."),"PIN","."),_xlpm.mainPart,MID(_xlpm.cleanRaw,2,FIND(".",_xlpm.cleanRaw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702074</v>
      </c>
      <c r="G339" t="str">
        <f>_xlfn.LET(_xlpm.raw,_xlfn.XLOOKUP(A339,SITE3!$C$4:$C$1034,SITE3!$E$4:$E$1034),_xlpm.cleanRaw,SUBSTITUTE(SUBSTITUTE(_xlpm.raw,"_PIN","."),"PIN","."),_xlpm.mainPart,MID(_xlpm.cleanRaw,2,FIND(".",_xlpm.cleanRaw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502074</v>
      </c>
      <c r="H339" t="str">
        <f>""</f>
        <v/>
      </c>
      <c r="I339" t="str">
        <f>""</f>
        <v/>
      </c>
      <c r="J339" t="str">
        <f t="shared" si="5"/>
        <v>T45;GPP_B_16_ISH_GP_4;;6.8641;21.1139;702074;502074;;</v>
      </c>
    </row>
    <row r="340" spans="1:10">
      <c r="A340" t="s">
        <v>870</v>
      </c>
      <c r="B340" t="str">
        <f>_xlfn.XLOOKUP(A340,SITE1!$V$4:$V$1034,SITE1!$U$4:$U$1034,"")</f>
        <v>GPP_B_2_ISH_GP_8</v>
      </c>
      <c r="C340" t="str" cm="1">
        <f t="array" ref="C340">_xlfn.TEXTJOIN(",",TRUE,_xlfn.UNIQUE(TRANSPOSE(_xlfn.MAP(_xlfn.XLOOKUP(A340,SITE1!$C$4:$C$1034,SITE1!$F$4:$O$1034,""),_xlfn.LAMBDA(_xlpm.x,IF(_xlpm.x&lt;&gt;"",TRIM(CLEAN(LEFT(_xlpm.x,FIND(".",_xlpm.x &amp; ".")-1))),""))))))</f>
        <v/>
      </c>
      <c r="D340">
        <v>6.9659999999999904</v>
      </c>
      <c r="E340">
        <v>24.384999999999899</v>
      </c>
      <c r="F340" t="str">
        <f>_xlfn.LET(_xlpm.raw,_xlfn.XLOOKUP(A340,SITE1!$C$4:$C$1034,SITE1!$E$4:$E$1034),_xlpm.cleanRaw,SUBSTITUTE(SUBSTITUTE(_xlpm.raw,"_PIN","."),"PIN","."),_xlpm.mainPart,MID(_xlpm.cleanRaw,2,FIND(".",_xlpm.cleanRaw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701117</v>
      </c>
      <c r="G340" t="str">
        <f>_xlfn.LET(_xlpm.raw,_xlfn.XLOOKUP(A340,SITE3!$C$4:$C$1034,SITE3!$E$4:$E$1034),_xlpm.cleanRaw,SUBSTITUTE(SUBSTITUTE(_xlpm.raw,"_PIN","."),"PIN","."),_xlpm.mainPart,MID(_xlpm.cleanRaw,2,FIND(".",_xlpm.cleanRaw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501117</v>
      </c>
      <c r="H340" t="str">
        <f>""</f>
        <v/>
      </c>
      <c r="I340" t="str">
        <f>""</f>
        <v/>
      </c>
      <c r="J340" t="str">
        <f t="shared" si="5"/>
        <v>T52;GPP_B_2_ISH_GP_8;;6.96599999999999;24.3849999999999;701117;501117;;</v>
      </c>
    </row>
    <row r="341" spans="1:10">
      <c r="A341" t="s">
        <v>880</v>
      </c>
      <c r="B341" t="str">
        <f>_xlfn.XLOOKUP(A341,SITE1!$V$4:$V$1034,SITE1!$U$4:$U$1034,"")</f>
        <v>GPP_B_21_SML1ALERTB_PCHHOTB</v>
      </c>
      <c r="C341" t="str" cm="1">
        <f t="array" ref="C341">_xlfn.TEXTJOIN(",",TRUE,_xlfn.UNIQUE(TRANSPOSE(_xlfn.MAP(_xlfn.XLOOKUP(A341,SITE1!$C$4:$C$1034,SITE1!$F$4:$O$1034,""),_xlfn.LAMBDA(_xlpm.x,IF(_xlpm.x&lt;&gt;"",TRIM(CLEAN(LEFT(_xlpm.x,FIND(".",_xlpm.x &amp; ".")-1))),""))))))</f>
        <v/>
      </c>
      <c r="D341">
        <v>6.7185999999999897</v>
      </c>
      <c r="E341">
        <v>25.136800000000001</v>
      </c>
      <c r="F341" t="str">
        <f>_xlfn.LET(_xlpm.raw,_xlfn.XLOOKUP(A341,SITE1!$C$4:$C$1034,SITE1!$E$4:$E$1034),_xlpm.cleanRaw,SUBSTITUTE(SUBSTITUTE(_xlpm.raw,"_PIN","."),"PIN","."),_xlpm.mainPart,MID(_xlpm.cleanRaw,2,FIND(".",_xlpm.cleanRaw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702050</v>
      </c>
      <c r="G341" t="str">
        <f>_xlfn.LET(_xlpm.raw,_xlfn.XLOOKUP(A341,SITE3!$C$4:$C$1034,SITE3!$E$4:$E$1034),_xlpm.cleanRaw,SUBSTITUTE(SUBSTITUTE(_xlpm.raw,"_PIN","."),"PIN","."),_xlpm.mainPart,MID(_xlpm.cleanRaw,2,FIND(".",_xlpm.cleanRaw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502050</v>
      </c>
      <c r="H341" t="str">
        <f>""</f>
        <v/>
      </c>
      <c r="I341" t="str">
        <f>""</f>
        <v/>
      </c>
      <c r="J341" t="str">
        <f t="shared" si="5"/>
        <v>T54;GPP_B_21_SML1ALERTB_PCHHOTB;;6.71859999999999;25.1368;702050;502050;;</v>
      </c>
    </row>
    <row r="342" spans="1:10">
      <c r="A342" t="s">
        <v>845</v>
      </c>
      <c r="B342" t="str">
        <f>_xlfn.XLOOKUP(A342,SITE1!$V$4:$V$1034,SITE1!$U$4:$U$1034,"")</f>
        <v>GPP_B_15_ISH_GP_3</v>
      </c>
      <c r="C342" t="str" cm="1">
        <f t="array" ref="C342">_xlfn.TEXTJOIN(",",TRUE,_xlfn.UNIQUE(TRANSPOSE(_xlfn.MAP(_xlfn.XLOOKUP(A342,SITE1!$C$4:$C$1034,SITE1!$F$4:$O$1034,""),_xlfn.LAMBDA(_xlpm.x,IF(_xlpm.x&lt;&gt;"",TRIM(CLEAN(LEFT(_xlpm.x,FIND(".",_xlpm.x &amp; ".")-1))),""))))))</f>
        <v/>
      </c>
      <c r="D342">
        <v>7.0916999999999897</v>
      </c>
      <c r="E342">
        <v>25.8521</v>
      </c>
      <c r="F342" t="str">
        <f>_xlfn.LET(_xlpm.raw,_xlfn.XLOOKUP(A342,SITE1!$C$4:$C$1034,SITE1!$E$4:$E$1034),_xlpm.cleanRaw,SUBSTITUTE(SUBSTITUTE(_xlpm.raw,"_PIN","."),"PIN","."),_xlpm.mainPart,MID(_xlpm.cleanRaw,2,FIND(".",_xlpm.cleanRaw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707116</v>
      </c>
      <c r="G342" t="str">
        <f>_xlfn.LET(_xlpm.raw,_xlfn.XLOOKUP(A342,SITE3!$C$4:$C$1034,SITE3!$E$4:$E$1034),_xlpm.cleanRaw,SUBSTITUTE(SUBSTITUTE(_xlpm.raw,"_PIN","."),"PIN","."),_xlpm.mainPart,MID(_xlpm.cleanRaw,2,FIND(".",_xlpm.cleanRaw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507116</v>
      </c>
      <c r="H342" t="str">
        <f>""</f>
        <v/>
      </c>
      <c r="I342" t="str">
        <f>""</f>
        <v/>
      </c>
      <c r="J342" t="str">
        <f t="shared" si="5"/>
        <v>T55;GPP_B_15_ISH_GP_3;;7.09169999999999;25.8521;707116;507116;;</v>
      </c>
    </row>
    <row r="343" spans="1:10">
      <c r="A343" t="s">
        <v>865</v>
      </c>
      <c r="B343" t="str">
        <f>_xlfn.XLOOKUP(A343,SITE1!$V$4:$V$1034,SITE1!$U$4:$U$1034,"")</f>
        <v>GPP_B_19_FUSA_DIAGTEST_EN</v>
      </c>
      <c r="C343" t="str" cm="1">
        <f t="array" ref="C343">_xlfn.TEXTJOIN(",",TRUE,_xlfn.UNIQUE(TRANSPOSE(_xlfn.MAP(_xlfn.XLOOKUP(A343,SITE1!$C$4:$C$1034,SITE1!$F$4:$O$1034,""),_xlfn.LAMBDA(_xlpm.x,IF(_xlpm.x&lt;&gt;"",TRIM(CLEAN(LEFT(_xlpm.x,FIND(".",_xlpm.x &amp; ".")-1))),""))))))</f>
        <v/>
      </c>
      <c r="D343">
        <v>7.1218999999999903</v>
      </c>
      <c r="E343">
        <v>26.354500000000002</v>
      </c>
      <c r="F343" t="str">
        <f>_xlfn.LET(_xlpm.raw,_xlfn.XLOOKUP(A343,SITE1!$C$4:$C$1034,SITE1!$E$4:$E$1034),_xlpm.cleanRaw,SUBSTITUTE(SUBSTITUTE(_xlpm.raw,"_PIN","."),"PIN","."),_xlpm.mainPart,MID(_xlpm.cleanRaw,2,FIND(".",_xlpm.cleanRaw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701114</v>
      </c>
      <c r="G343" t="str">
        <f>_xlfn.LET(_xlpm.raw,_xlfn.XLOOKUP(A343,SITE3!$C$4:$C$1034,SITE3!$E$4:$E$1034),_xlpm.cleanRaw,SUBSTITUTE(SUBSTITUTE(_xlpm.raw,"_PIN","."),"PIN","."),_xlpm.mainPart,MID(_xlpm.cleanRaw,2,FIND(".",_xlpm.cleanRaw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501114</v>
      </c>
      <c r="H343" t="str">
        <f>""</f>
        <v/>
      </c>
      <c r="I343" t="str">
        <f>""</f>
        <v/>
      </c>
      <c r="J343" t="str">
        <f t="shared" si="5"/>
        <v>T56;GPP_B_19_FUSA_DIAGTEST_EN;;7.12189999999999;26.3545;701114;501114;;</v>
      </c>
    </row>
    <row r="344" spans="1:10">
      <c r="A344" t="s">
        <v>4051</v>
      </c>
      <c r="B344" t="str">
        <f>_xlfn.XLOOKUP(A344,SITE1!$V$4:$V$1034,SITE1!$U$4:$U$1034,"")</f>
        <v>VSS</v>
      </c>
      <c r="C344" t="str" cm="1">
        <f t="array" ref="C344">_xlfn.TEXTJOIN(",",TRUE,_xlfn.UNIQUE(TRANSPOSE(_xlfn.MAP(_xlfn.XLOOKUP(A344,SITE1!$C$4:$C$1034,SITE1!$F$4:$O$1034,""),_xlfn.LAMBDA(_xlpm.x,IF(_xlpm.x&lt;&gt;"",TRIM(CLEAN(LEFT(_xlpm.x,FIND(".",_xlpm.x &amp; ".")-1))),""))))))</f>
        <v/>
      </c>
      <c r="D344">
        <v>7.3151999999999902</v>
      </c>
      <c r="E344">
        <v>0</v>
      </c>
      <c r="F344" t="str">
        <f>_xlfn.LET(_xlpm.raw,_xlfn.XLOOKUP(A344,SITE1!$C$4:$C$1034,SITE1!$E$4:$E$1034),_xlpm.cleanRaw,SUBSTITUTE(SUBSTITUTE(_xlpm.raw,"_PIN","."),"PIN","."),_xlpm.mainPart,MID(_xlpm.cleanRaw,2,FIND(".",_xlpm.cleanRaw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4" t="str">
        <f>_xlfn.LET(_xlpm.raw,_xlfn.XLOOKUP(A344,SITE3!$C$4:$C$1034,SITE3!$E$4:$E$1034),_xlpm.cleanRaw,SUBSTITUTE(SUBSTITUTE(_xlpm.raw,"_PIN","."),"PIN","."),_xlpm.mainPart,MID(_xlpm.cleanRaw,2,FIND(".",_xlpm.cleanRaw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4" t="str">
        <f>""</f>
        <v/>
      </c>
      <c r="I344" t="str">
        <f>""</f>
        <v/>
      </c>
      <c r="J344" t="str">
        <f t="shared" si="5"/>
        <v>U1;VSS;;7.31519999999999;0;;;;</v>
      </c>
    </row>
    <row r="345" spans="1:10">
      <c r="A345" t="s">
        <v>1559</v>
      </c>
      <c r="B345" t="str">
        <f>_xlfn.XLOOKUP(A345,SITE1!$V$4:$V$1034,SITE1!$U$4:$U$1034,"")</f>
        <v>GPP_I_6_GSPI0_CS0B</v>
      </c>
      <c r="C345" t="str" cm="1">
        <f t="array" ref="C345">_xlfn.TEXTJOIN(",",TRUE,_xlfn.UNIQUE(TRANSPOSE(_xlfn.MAP(_xlfn.XLOOKUP(A345,SITE1!$C$4:$C$1034,SITE1!$F$4:$O$1034,""),_xlfn.LAMBDA(_xlpm.x,IF(_xlpm.x&lt;&gt;"",TRIM(CLEAN(LEFT(_xlpm.x,FIND(".",_xlpm.x &amp; ".")-1))),""))))))</f>
        <v/>
      </c>
      <c r="D345">
        <v>7.1729999999999903</v>
      </c>
      <c r="E345">
        <v>1.5265</v>
      </c>
      <c r="F345" t="str">
        <f>_xlfn.LET(_xlpm.raw,_xlfn.XLOOKUP(A345,SITE1!$C$4:$C$1034,SITE1!$E$4:$E$1034),_xlpm.cleanRaw,SUBSTITUTE(SUBSTITUTE(_xlpm.raw,"_PIN","."),"PIN","."),_xlpm.mainPart,MID(_xlpm.cleanRaw,2,FIND(".",_xlpm.cleanRaw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606094</v>
      </c>
      <c r="G345" t="str">
        <f>_xlfn.LET(_xlpm.raw,_xlfn.XLOOKUP(A345,SITE3!$C$4:$C$1034,SITE3!$E$4:$E$1034),_xlpm.cleanRaw,SUBSTITUTE(SUBSTITUTE(_xlpm.raw,"_PIN","."),"PIN","."),_xlpm.mainPart,MID(_xlpm.cleanRaw,2,FIND(".",_xlpm.cleanRaw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806094</v>
      </c>
      <c r="H345" t="str">
        <f>""</f>
        <v/>
      </c>
      <c r="I345" t="str">
        <f>""</f>
        <v/>
      </c>
      <c r="J345" t="str">
        <f t="shared" si="5"/>
        <v>U4;GPP_I_6_GSPI0_CS0B;;7.17299999999999;1.5265;606094;806094;;</v>
      </c>
    </row>
    <row r="346" spans="1:10">
      <c r="A346" t="s">
        <v>1569</v>
      </c>
      <c r="B346" t="str">
        <f>_xlfn.XLOOKUP(A346,SITE1!$V$4:$V$1034,SITE1!$U$4:$U$1034,"")</f>
        <v>GPP_I_8_GSPI0_MISO</v>
      </c>
      <c r="C346" t="str" cm="1">
        <f t="array" ref="C346">_xlfn.TEXTJOIN(",",TRUE,_xlfn.UNIQUE(TRANSPOSE(_xlfn.MAP(_xlfn.XLOOKUP(A346,SITE1!$C$4:$C$1034,SITE1!$F$4:$O$1034,""),_xlfn.LAMBDA(_xlpm.x,IF(_xlpm.x&lt;&gt;"",TRIM(CLEAN(LEFT(_xlpm.x,FIND(".",_xlpm.x &amp; ".")-1))),""))))))</f>
        <v/>
      </c>
      <c r="D346">
        <v>7.3913999999999902</v>
      </c>
      <c r="E346">
        <v>1.9837</v>
      </c>
      <c r="F346" t="str">
        <f>_xlfn.LET(_xlpm.raw,_xlfn.XLOOKUP(A346,SITE1!$C$4:$C$1034,SITE1!$E$4:$E$1034),_xlpm.cleanRaw,SUBSTITUTE(SUBSTITUTE(_xlpm.raw,"_PIN","."),"PIN","."),_xlpm.mainPart,MID(_xlpm.cleanRaw,2,FIND(".",_xlpm.cleanRaw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604011</v>
      </c>
      <c r="G346" t="str">
        <f>_xlfn.LET(_xlpm.raw,_xlfn.XLOOKUP(A346,SITE3!$C$4:$C$1034,SITE3!$E$4:$E$1034),_xlpm.cleanRaw,SUBSTITUTE(SUBSTITUTE(_xlpm.raw,"_PIN","."),"PIN","."),_xlpm.mainPart,MID(_xlpm.cleanRaw,2,FIND(".",_xlpm.cleanRaw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804011</v>
      </c>
      <c r="H346" t="str">
        <f>""</f>
        <v/>
      </c>
      <c r="I346" t="str">
        <f>""</f>
        <v/>
      </c>
      <c r="J346" t="str">
        <f t="shared" si="5"/>
        <v>U5;GPP_I_8_GSPI0_MISO;;7.39139999999999;1.9837;604011;804011;;</v>
      </c>
    </row>
    <row r="347" spans="1:10">
      <c r="A347" t="s">
        <v>4056</v>
      </c>
      <c r="B347" t="str">
        <f>_xlfn.XLOOKUP(A347,SITE1!$V$4:$V$1034,SITE1!$U$4:$U$1034,"")</f>
        <v>VSS</v>
      </c>
      <c r="C347" t="str" cm="1">
        <f t="array" ref="C347">_xlfn.TEXTJOIN(",",TRUE,_xlfn.UNIQUE(TRANSPOSE(_xlfn.MAP(_xlfn.XLOOKUP(A347,SITE1!$C$4:$C$1034,SITE1!$F$4:$O$1034,""),_xlfn.LAMBDA(_xlpm.x,IF(_xlpm.x&lt;&gt;"",TRIM(CLEAN(LEFT(_xlpm.x,FIND(".",_xlpm.x &amp; ".")-1))),""))))))</f>
        <v/>
      </c>
      <c r="D347">
        <v>7.3469999999999898</v>
      </c>
      <c r="E347">
        <v>3.1227999999999998</v>
      </c>
      <c r="F347" t="str">
        <f>_xlfn.LET(_xlpm.raw,_xlfn.XLOOKUP(A347,SITE1!$C$4:$C$1034,SITE1!$E$4:$E$1034),_xlpm.cleanRaw,SUBSTITUTE(SUBSTITUTE(_xlpm.raw,"_PIN","."),"PIN","."),_xlpm.mainPart,MID(_xlpm.cleanRaw,2,FIND(".",_xlpm.cleanRaw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7" t="str">
        <f>_xlfn.LET(_xlpm.raw,_xlfn.XLOOKUP(A347,SITE3!$C$4:$C$1034,SITE3!$E$4:$E$1034),_xlpm.cleanRaw,SUBSTITUTE(SUBSTITUTE(_xlpm.raw,"_PIN","."),"PIN","."),_xlpm.mainPart,MID(_xlpm.cleanRaw,2,FIND(".",_xlpm.cleanRaw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7" t="str">
        <f>""</f>
        <v/>
      </c>
      <c r="I347" t="str">
        <f>""</f>
        <v/>
      </c>
      <c r="J347" t="str">
        <f t="shared" si="5"/>
        <v>U7;VSS;;7.34699999999999;3.1228;;;;</v>
      </c>
    </row>
    <row r="348" spans="1:10">
      <c r="A348" t="s">
        <v>4052</v>
      </c>
      <c r="B348" t="str">
        <f>_xlfn.XLOOKUP(A348,SITE1!$V$4:$V$1034,SITE1!$U$4:$U$1034,"")</f>
        <v>VSS</v>
      </c>
      <c r="C348" t="str" cm="1">
        <f t="array" ref="C348">_xlfn.TEXTJOIN(",",TRUE,_xlfn.UNIQUE(TRANSPOSE(_xlfn.MAP(_xlfn.XLOOKUP(A348,SITE1!$C$4:$C$1034,SITE1!$F$4:$O$1034,""),_xlfn.LAMBDA(_xlpm.x,IF(_xlpm.x&lt;&gt;"",TRIM(CLEAN(LEFT(_xlpm.x,FIND(".",_xlpm.x &amp; ".")-1))),""))))))</f>
        <v/>
      </c>
      <c r="D348">
        <v>7.1600999999999999</v>
      </c>
      <c r="E348">
        <v>8.0876999999999999</v>
      </c>
      <c r="F348" t="str">
        <f>_xlfn.LET(_xlpm.raw,_xlfn.XLOOKUP(A348,SITE1!$C$4:$C$1034,SITE1!$E$4:$E$1034),_xlpm.cleanRaw,SUBSTITUTE(SUBSTITUTE(_xlpm.raw,"_PIN","."),"PIN","."),_xlpm.mainPart,MID(_xlpm.cleanRaw,2,FIND(".",_xlpm.cleanRaw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8" t="str">
        <f>_xlfn.LET(_xlpm.raw,_xlfn.XLOOKUP(A348,SITE3!$C$4:$C$1034,SITE3!$E$4:$E$1034),_xlpm.cleanRaw,SUBSTITUTE(SUBSTITUTE(_xlpm.raw,"_PIN","."),"PIN","."),_xlpm.mainPart,MID(_xlpm.cleanRaw,2,FIND(".",_xlpm.cleanRaw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8" t="str">
        <f>""</f>
        <v/>
      </c>
      <c r="I348" t="str">
        <f>""</f>
        <v/>
      </c>
      <c r="J348" t="str">
        <f t="shared" si="5"/>
        <v>U18;VSS;;7.1601;8.0877;;;;</v>
      </c>
    </row>
    <row r="349" spans="1:10">
      <c r="A349" t="s">
        <v>4053</v>
      </c>
      <c r="B349" t="str">
        <f>_xlfn.XLOOKUP(A349,SITE1!$V$4:$V$1034,SITE1!$U$4:$U$1034,"")</f>
        <v>VSS</v>
      </c>
      <c r="C349" t="str" cm="1">
        <f t="array" ref="C349">_xlfn.TEXTJOIN(",",TRUE,_xlfn.UNIQUE(TRANSPOSE(_xlfn.MAP(_xlfn.XLOOKUP(A349,SITE1!$C$4:$C$1034,SITE1!$F$4:$O$1034,""),_xlfn.LAMBDA(_xlpm.x,IF(_xlpm.x&lt;&gt;"",TRIM(CLEAN(LEFT(_xlpm.x,FIND(".",_xlpm.x &amp; ".")-1))),""))))))</f>
        <v/>
      </c>
      <c r="D349">
        <v>7.5779999999999896</v>
      </c>
      <c r="E349">
        <v>9.1265999999999998</v>
      </c>
      <c r="F349" t="str">
        <f>_xlfn.LET(_xlpm.raw,_xlfn.XLOOKUP(A349,SITE1!$C$4:$C$1034,SITE1!$E$4:$E$1034),_xlpm.cleanRaw,SUBSTITUTE(SUBSTITUTE(_xlpm.raw,"_PIN","."),"PIN","."),_xlpm.mainPart,MID(_xlpm.cleanRaw,2,FIND(".",_xlpm.cleanRaw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9" t="str">
        <f>_xlfn.LET(_xlpm.raw,_xlfn.XLOOKUP(A349,SITE3!$C$4:$C$1034,SITE3!$E$4:$E$1034),_xlpm.cleanRaw,SUBSTITUTE(SUBSTITUTE(_xlpm.raw,"_PIN","."),"PIN","."),_xlpm.mainPart,MID(_xlpm.cleanRaw,2,FIND(".",_xlpm.cleanRaw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9" t="str">
        <f>""</f>
        <v/>
      </c>
      <c r="I349" t="str">
        <f>""</f>
        <v/>
      </c>
      <c r="J349" t="str">
        <f t="shared" si="5"/>
        <v>U20;VSS;;7.57799999999999;9.1266;;;;</v>
      </c>
    </row>
    <row r="350" spans="1:10">
      <c r="A350" t="s">
        <v>4054</v>
      </c>
      <c r="B350" t="str">
        <f>_xlfn.XLOOKUP(A350,SITE1!$V$4:$V$1034,SITE1!$U$4:$U$1034,"")</f>
        <v>VSS</v>
      </c>
      <c r="C350" t="str" cm="1">
        <f t="array" ref="C350">_xlfn.TEXTJOIN(",",TRUE,_xlfn.UNIQUE(TRANSPOSE(_xlfn.MAP(_xlfn.XLOOKUP(A350,SITE1!$C$4:$C$1034,SITE1!$F$4:$O$1034,""),_xlfn.LAMBDA(_xlpm.x,IF(_xlpm.x&lt;&gt;"",TRIM(CLEAN(LEFT(_xlpm.x,FIND(".",_xlpm.x &amp; ".")-1))),""))))))</f>
        <v/>
      </c>
      <c r="D350">
        <v>7.3298999999999896</v>
      </c>
      <c r="E350">
        <v>18.009899999999998</v>
      </c>
      <c r="F350" t="str">
        <f>_xlfn.LET(_xlpm.raw,_xlfn.XLOOKUP(A350,SITE1!$C$4:$C$1034,SITE1!$E$4:$E$1034),_xlpm.cleanRaw,SUBSTITUTE(SUBSTITUTE(_xlpm.raw,"_PIN","."),"PIN","."),_xlpm.mainPart,MID(_xlpm.cleanRaw,2,FIND(".",_xlpm.cleanRaw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50" t="str">
        <f>_xlfn.LET(_xlpm.raw,_xlfn.XLOOKUP(A350,SITE3!$C$4:$C$1034,SITE3!$E$4:$E$1034),_xlpm.cleanRaw,SUBSTITUTE(SUBSTITUTE(_xlpm.raw,"_PIN","."),"PIN","."),_xlpm.mainPart,MID(_xlpm.cleanRaw,2,FIND(".",_xlpm.cleanRaw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50" t="str">
        <f>""</f>
        <v/>
      </c>
      <c r="I350" t="str">
        <f>""</f>
        <v/>
      </c>
      <c r="J350" t="str">
        <f t="shared" si="5"/>
        <v>U39;VSS;;7.32989999999999;18.0099;;;;</v>
      </c>
    </row>
    <row r="351" spans="1:10">
      <c r="A351" t="s">
        <v>875</v>
      </c>
      <c r="B351" t="str">
        <f>_xlfn.XLOOKUP(A351,SITE1!$V$4:$V$1034,SITE1!$U$4:$U$1034,"")</f>
        <v>GPP_B_20_FUSA_DIAGTEST_MODE</v>
      </c>
      <c r="C351" t="str" cm="1">
        <f t="array" ref="C351">_xlfn.TEXTJOIN(",",TRUE,_xlfn.UNIQUE(TRANSPOSE(_xlfn.MAP(_xlfn.XLOOKUP(A351,SITE1!$C$4:$C$1034,SITE1!$F$4:$O$1034,""),_xlfn.LAMBDA(_xlpm.x,IF(_xlpm.x&lt;&gt;"",TRIM(CLEAN(LEFT(_xlpm.x,FIND(".",_xlpm.x &amp; ".")-1))),""))))))</f>
        <v/>
      </c>
      <c r="D351">
        <v>7.3469999999999898</v>
      </c>
      <c r="E351">
        <v>23.755400000000002</v>
      </c>
      <c r="F351" t="str">
        <f>_xlfn.LET(_xlpm.raw,_xlfn.XLOOKUP(A351,SITE1!$C$4:$C$1034,SITE1!$E$4:$E$1034),_xlpm.cleanRaw,SUBSTITUTE(SUBSTITUTE(_xlpm.raw,"_PIN","."),"PIN","."),_xlpm.mainPart,MID(_xlpm.cleanRaw,2,FIND(".",_xlpm.cleanRaw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701123</v>
      </c>
      <c r="G351" t="str">
        <f>_xlfn.LET(_xlpm.raw,_xlfn.XLOOKUP(A351,SITE3!$C$4:$C$1034,SITE3!$E$4:$E$1034),_xlpm.cleanRaw,SUBSTITUTE(SUBSTITUTE(_xlpm.raw,"_PIN","."),"PIN","."),_xlpm.mainPart,MID(_xlpm.cleanRaw,2,FIND(".",_xlpm.cleanRaw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501123</v>
      </c>
      <c r="H351" t="str">
        <f>""</f>
        <v/>
      </c>
      <c r="I351" t="str">
        <f>""</f>
        <v/>
      </c>
      <c r="J351" t="str">
        <f t="shared" si="5"/>
        <v>U51;GPP_B_20_FUSA_DIAGTEST_MODE;;7.34699999999999;23.7554;701123;501123;;</v>
      </c>
    </row>
    <row r="352" spans="1:10">
      <c r="A352" t="s">
        <v>835</v>
      </c>
      <c r="B352" t="str">
        <f>_xlfn.XLOOKUP(A352,SITE1!$V$4:$V$1034,SITE1!$U$4:$U$1034,"")</f>
        <v>GPP_B_13_PLTRSTB</v>
      </c>
      <c r="C352" t="str" cm="1">
        <f t="array" ref="C352">_xlfn.TEXTJOIN(",",TRUE,_xlfn.UNIQUE(TRANSPOSE(_xlfn.MAP(_xlfn.XLOOKUP(A352,SITE1!$C$4:$C$1034,SITE1!$F$4:$O$1034,""),_xlfn.LAMBDA(_xlpm.x,IF(_xlpm.x&lt;&gt;"",TRIM(CLEAN(LEFT(_xlpm.x,FIND(".",_xlpm.x &amp; ".")-1))),""))))))</f>
        <v/>
      </c>
      <c r="D352">
        <v>7.3913999999999902</v>
      </c>
      <c r="E352">
        <v>24.894500000000001</v>
      </c>
      <c r="F352" t="str">
        <f>_xlfn.LET(_xlpm.raw,_xlfn.XLOOKUP(A352,SITE1!$C$4:$C$1034,SITE1!$E$4:$E$1034),_xlpm.cleanRaw,SUBSTITUTE(SUBSTITUTE(_xlpm.raw,"_PIN","."),"PIN","."),_xlpm.mainPart,MID(_xlpm.cleanRaw,2,FIND(".",_xlpm.cleanRaw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709027</v>
      </c>
      <c r="G352" t="str">
        <f>_xlfn.LET(_xlpm.raw,_xlfn.XLOOKUP(A352,SITE3!$C$4:$C$1034,SITE3!$E$4:$E$1034),_xlpm.cleanRaw,SUBSTITUTE(SUBSTITUTE(_xlpm.raw,"_PIN","."),"PIN","."),_xlpm.mainPart,MID(_xlpm.cleanRaw,2,FIND(".",_xlpm.cleanRaw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509027</v>
      </c>
      <c r="H352" t="str">
        <f>""</f>
        <v/>
      </c>
      <c r="I352" t="str">
        <f>""</f>
        <v/>
      </c>
      <c r="J352" t="str">
        <f t="shared" si="5"/>
        <v>U53;GPP_B_13_PLTRSTB;;7.39139999999999;24.8945;709027;509027;;</v>
      </c>
    </row>
    <row r="353" spans="1:10">
      <c r="A353" t="s">
        <v>900</v>
      </c>
      <c r="B353" t="str">
        <f>_xlfn.XLOOKUP(A353,SITE1!$V$4:$V$1034,SITE1!$U$4:$U$1034,"")</f>
        <v>GPP_B_6</v>
      </c>
      <c r="C353" t="str" cm="1">
        <f t="array" ref="C353">_xlfn.TEXTJOIN(",",TRUE,_xlfn.UNIQUE(TRANSPOSE(_xlfn.MAP(_xlfn.XLOOKUP(A353,SITE1!$C$4:$C$1034,SITE1!$F$4:$O$1034,""),_xlfn.LAMBDA(_xlpm.x,IF(_xlpm.x&lt;&gt;"",TRIM(CLEAN(LEFT(_xlpm.x,FIND(".",_xlpm.x &amp; ".")-1))),""))))))</f>
        <v/>
      </c>
      <c r="D353">
        <v>7.1729999999999903</v>
      </c>
      <c r="E353">
        <v>25.351700000000001</v>
      </c>
      <c r="F353" t="str">
        <f>_xlfn.LET(_xlpm.raw,_xlfn.XLOOKUP(A353,SITE1!$C$4:$C$1034,SITE1!$E$4:$E$1034),_xlpm.cleanRaw,SUBSTITUTE(SUBSTITUTE(_xlpm.raw,"_PIN","."),"PIN","."),_xlpm.mainPart,MID(_xlpm.cleanRaw,2,FIND(".",_xlpm.cleanRaw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706009</v>
      </c>
      <c r="G353" t="str">
        <f>_xlfn.LET(_xlpm.raw,_xlfn.XLOOKUP(A353,SITE3!$C$4:$C$1034,SITE3!$E$4:$E$1034),_xlpm.cleanRaw,SUBSTITUTE(SUBSTITUTE(_xlpm.raw,"_PIN","."),"PIN","."),_xlpm.mainPart,MID(_xlpm.cleanRaw,2,FIND(".",_xlpm.cleanRaw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506009</v>
      </c>
      <c r="H353" t="str">
        <f>""</f>
        <v/>
      </c>
      <c r="I353" t="str">
        <f>""</f>
        <v/>
      </c>
      <c r="J353" t="str">
        <f t="shared" si="5"/>
        <v>U54;GPP_B_6;;7.17299999999999;25.3517;706009;506009;;</v>
      </c>
    </row>
    <row r="354" spans="1:10">
      <c r="A354" t="s">
        <v>4055</v>
      </c>
      <c r="B354" t="str">
        <f>_xlfn.XLOOKUP(A354,SITE1!$V$4:$V$1034,SITE1!$U$4:$U$1034,"")</f>
        <v>VSS</v>
      </c>
      <c r="C354" t="str" cm="1">
        <f t="array" ref="C354">_xlfn.TEXTJOIN(",",TRUE,_xlfn.UNIQUE(TRANSPOSE(_xlfn.MAP(_xlfn.XLOOKUP(A354,SITE1!$C$4:$C$1034,SITE1!$F$4:$O$1034,""),_xlfn.LAMBDA(_xlpm.x,IF(_xlpm.x&lt;&gt;"",TRIM(CLEAN(LEFT(_xlpm.x,FIND(".",_xlpm.x &amp; ".")-1))),""))))))</f>
        <v/>
      </c>
      <c r="D354">
        <v>7.3151999999999902</v>
      </c>
      <c r="E354">
        <v>26.8782</v>
      </c>
      <c r="F354" t="str">
        <f>_xlfn.LET(_xlpm.raw,_xlfn.XLOOKUP(A354,SITE1!$C$4:$C$1034,SITE1!$E$4:$E$1034),_xlpm.cleanRaw,SUBSTITUTE(SUBSTITUTE(_xlpm.raw,"_PIN","."),"PIN","."),_xlpm.mainPart,MID(_xlpm.cleanRaw,2,FIND(".",_xlpm.cleanRaw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54" t="str">
        <f>_xlfn.LET(_xlpm.raw,_xlfn.XLOOKUP(A354,SITE3!$C$4:$C$1034,SITE3!$E$4:$E$1034),_xlpm.cleanRaw,SUBSTITUTE(SUBSTITUTE(_xlpm.raw,"_PIN","."),"PIN","."),_xlpm.mainPart,MID(_xlpm.cleanRaw,2,FIND(".",_xlpm.cleanRaw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54" t="str">
        <f>""</f>
        <v/>
      </c>
      <c r="I354" t="str">
        <f>""</f>
        <v/>
      </c>
      <c r="J354" t="str">
        <f t="shared" si="5"/>
        <v>U57;VSS;;7.31519999999999;26.8782;;;;</v>
      </c>
    </row>
    <row r="355" spans="1:10">
      <c r="A355" t="s">
        <v>1574</v>
      </c>
      <c r="B355" t="str">
        <f>_xlfn.XLOOKUP(A355,SITE1!$V$4:$V$1034,SITE1!$U$4:$U$1034,"")</f>
        <v>GPP_I_9_GSPI0_MOSI</v>
      </c>
      <c r="C355" t="str" cm="1">
        <f t="array" ref="C355">_xlfn.TEXTJOIN(",",TRUE,_xlfn.UNIQUE(TRANSPOSE(_xlfn.MAP(_xlfn.XLOOKUP(A355,SITE1!$C$4:$C$1034,SITE1!$F$4:$O$1034,""),_xlfn.LAMBDA(_xlpm.x,IF(_xlpm.x&lt;&gt;"",TRIM(CLEAN(LEFT(_xlpm.x,FIND(".",_xlpm.x &amp; ".")-1))),""))))))</f>
        <v/>
      </c>
      <c r="D355">
        <v>7.8000999999999996</v>
      </c>
      <c r="E355">
        <v>0.65259999999999896</v>
      </c>
      <c r="F355" t="str">
        <f>_xlfn.LET(_xlpm.raw,_xlfn.XLOOKUP(A355,SITE1!$C$4:$C$1034,SITE1!$E$4:$E$1034),_xlpm.cleanRaw,SUBSTITUTE(SUBSTITUTE(_xlpm.raw,"_PIN","."),"PIN","."),_xlpm.mainPart,MID(_xlpm.cleanRaw,2,FIND(".",_xlpm.cleanRaw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604009</v>
      </c>
      <c r="G355" t="str">
        <f>_xlfn.LET(_xlpm.raw,_xlfn.XLOOKUP(A355,SITE3!$C$4:$C$1034,SITE3!$E$4:$E$1034),_xlpm.cleanRaw,SUBSTITUTE(SUBSTITUTE(_xlpm.raw,"_PIN","."),"PIN","."),_xlpm.mainPart,MID(_xlpm.cleanRaw,2,FIND(".",_xlpm.cleanRaw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804009</v>
      </c>
      <c r="H355" t="str">
        <f>""</f>
        <v/>
      </c>
      <c r="I355" t="str">
        <f>""</f>
        <v/>
      </c>
      <c r="J355" t="str">
        <f t="shared" si="5"/>
        <v>V2;GPP_I_9_GSPI0_MOSI;;7.8001;0.652599999999999;604009;804009;;</v>
      </c>
    </row>
    <row r="356" spans="1:10">
      <c r="A356" t="s">
        <v>1564</v>
      </c>
      <c r="B356" t="str">
        <f>_xlfn.XLOOKUP(A356,SITE1!$V$4:$V$1034,SITE1!$U$4:$U$1034,"")</f>
        <v>GPP_I_7_GSPI0_CLK</v>
      </c>
      <c r="C356" t="str" cm="1">
        <f t="array" ref="C356">_xlfn.TEXTJOIN(",",TRUE,_xlfn.UNIQUE(TRANSPOSE(_xlfn.MAP(_xlfn.XLOOKUP(A356,SITE1!$C$4:$C$1034,SITE1!$F$4:$O$1034,""),_xlfn.LAMBDA(_xlpm.x,IF(_xlpm.x&lt;&gt;"",TRIM(CLEAN(LEFT(_xlpm.x,FIND(".",_xlpm.x &amp; ".")-1))),""))))))</f>
        <v/>
      </c>
      <c r="D356">
        <v>7.8000999999999996</v>
      </c>
      <c r="E356">
        <v>1.15339999999999</v>
      </c>
      <c r="F356" t="str">
        <f>_xlfn.LET(_xlpm.raw,_xlfn.XLOOKUP(A356,SITE1!$C$4:$C$1034,SITE1!$E$4:$E$1034),_xlpm.cleanRaw,SUBSTITUTE(SUBSTITUTE(_xlpm.raw,"_PIN","."),"PIN","."),_xlpm.mainPart,MID(_xlpm.cleanRaw,2,FIND(".",_xlpm.cleanRaw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604004</v>
      </c>
      <c r="G356" t="str">
        <f>_xlfn.LET(_xlpm.raw,_xlfn.XLOOKUP(A356,SITE3!$C$4:$C$1034,SITE3!$E$4:$E$1034),_xlpm.cleanRaw,SUBSTITUTE(SUBSTITUTE(_xlpm.raw,"_PIN","."),"PIN","."),_xlpm.mainPart,MID(_xlpm.cleanRaw,2,FIND(".",_xlpm.cleanRaw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804004</v>
      </c>
      <c r="H356" t="str">
        <f>""</f>
        <v/>
      </c>
      <c r="I356" t="str">
        <f>""</f>
        <v/>
      </c>
      <c r="J356" t="str">
        <f t="shared" si="5"/>
        <v>V3;GPP_I_7_GSPI0_CLK;;7.8001;1.15339999999999;604004;804004;;</v>
      </c>
    </row>
    <row r="357" spans="1:10">
      <c r="A357" t="s">
        <v>4071</v>
      </c>
      <c r="B357" t="str">
        <f>_xlfn.XLOOKUP(A357,SITE1!$V$4:$V$1034,SITE1!$U$4:$U$1034,"")</f>
        <v>VSS</v>
      </c>
      <c r="C357" t="str" cm="1">
        <f t="array" ref="C357">_xlfn.TEXTJOIN(",",TRUE,_xlfn.UNIQUE(TRANSPOSE(_xlfn.MAP(_xlfn.XLOOKUP(A357,SITE1!$C$4:$C$1034,SITE1!$F$4:$O$1034,""),_xlfn.LAMBDA(_xlpm.x,IF(_xlpm.x&lt;&gt;"",TRIM(CLEAN(LEFT(_xlpm.x,FIND(".",_xlpm.x &amp; ".")-1))),""))))))</f>
        <v/>
      </c>
      <c r="D357">
        <v>7.6949999999999896</v>
      </c>
      <c r="E357">
        <v>3.7734000000000001</v>
      </c>
      <c r="F357" t="str">
        <f>_xlfn.LET(_xlpm.raw,_xlfn.XLOOKUP(A357,SITE1!$C$4:$C$1034,SITE1!$E$4:$E$1034),_xlpm.cleanRaw,SUBSTITUTE(SUBSTITUTE(_xlpm.raw,"_PIN","."),"PIN","."),_xlpm.mainPart,MID(_xlpm.cleanRaw,2,FIND(".",_xlpm.cleanRaw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57" t="str">
        <f>_xlfn.LET(_xlpm.raw,_xlfn.XLOOKUP(A357,SITE3!$C$4:$C$1034,SITE3!$E$4:$E$1034),_xlpm.cleanRaw,SUBSTITUTE(SUBSTITUTE(_xlpm.raw,"_PIN","."),"PIN","."),_xlpm.mainPart,MID(_xlpm.cleanRaw,2,FIND(".",_xlpm.cleanRaw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57" t="str">
        <f>""</f>
        <v/>
      </c>
      <c r="I357" t="str">
        <f>""</f>
        <v/>
      </c>
      <c r="J357" t="str">
        <f t="shared" si="5"/>
        <v>V9;VSS;;7.69499999999999;3.7734;;;;</v>
      </c>
    </row>
    <row r="358" spans="1:10">
      <c r="A358" t="s">
        <v>84</v>
      </c>
      <c r="B358" t="str">
        <f>_xlfn.XLOOKUP(A358,SITE1!$V$4:$V$1034,SITE1!$U$4:$U$1034,"")</f>
        <v>CLKOUT_SRC_N_13</v>
      </c>
      <c r="C358" t="str" cm="1">
        <f t="array" ref="C358">_xlfn.TEXTJOIN(",",TRUE,_xlfn.UNIQUE(TRANSPOSE(_xlfn.MAP(_xlfn.XLOOKUP(A358,SITE1!$C$4:$C$1034,SITE1!$F$4:$O$1034,""),_xlfn.LAMBDA(_xlpm.x,IF(_xlpm.x&lt;&gt;"",TRIM(CLEAN(LEFT(_xlpm.x,FIND(".",_xlpm.x &amp; ".")-1))),""))))))</f>
        <v/>
      </c>
      <c r="D358">
        <v>7.9311999999999996</v>
      </c>
      <c r="E358">
        <v>4.4555999999999996</v>
      </c>
      <c r="F358" t="str">
        <f>_xlfn.LET(_xlpm.raw,_xlfn.XLOOKUP(A358,SITE1!$C$4:$C$1034,SITE1!$E$4:$E$1034),_xlpm.cleanRaw,SUBSTITUTE(SUBSTITUTE(_xlpm.raw,"_PIN","."),"PIN","."),_xlpm.mainPart,MID(_xlpm.cleanRaw,2,FIND(".",_xlpm.cleanRaw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609111</v>
      </c>
      <c r="G358" t="str">
        <f>_xlfn.LET(_xlpm.raw,_xlfn.XLOOKUP(A358,SITE3!$C$4:$C$1034,SITE3!$E$4:$E$1034),_xlpm.cleanRaw,SUBSTITUTE(SUBSTITUTE(_xlpm.raw,"_PIN","."),"PIN","."),_xlpm.mainPart,MID(_xlpm.cleanRaw,2,FIND(".",_xlpm.cleanRaw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809111</v>
      </c>
      <c r="H358" t="str">
        <f>""</f>
        <v/>
      </c>
      <c r="I358" t="str">
        <f>""</f>
        <v/>
      </c>
      <c r="J358" t="str">
        <f t="shared" si="5"/>
        <v>V10;CLKOUT_SRC_N_13;;7.9312;4.4556;609111;809111;;</v>
      </c>
    </row>
    <row r="359" spans="1:10">
      <c r="A359" t="s">
        <v>162</v>
      </c>
      <c r="B359" t="str">
        <f>_xlfn.XLOOKUP(A359,SITE1!$V$4:$V$1034,SITE1!$U$4:$U$1034,"")</f>
        <v>CLKOUT_SRC_P_13</v>
      </c>
      <c r="C359" t="str" cm="1">
        <f t="array" ref="C359">_xlfn.TEXTJOIN(",",TRUE,_xlfn.UNIQUE(TRANSPOSE(_xlfn.MAP(_xlfn.XLOOKUP(A359,SITE1!$C$4:$C$1034,SITE1!$F$4:$O$1034,""),_xlfn.LAMBDA(_xlpm.x,IF(_xlpm.x&lt;&gt;"",TRIM(CLEAN(LEFT(_xlpm.x,FIND(".",_xlpm.x &amp; ".")-1))),""))))))</f>
        <v/>
      </c>
      <c r="D359">
        <v>7.9311999999999996</v>
      </c>
      <c r="E359">
        <v>5.1668000000000003</v>
      </c>
      <c r="F359" t="str">
        <f>_xlfn.LET(_xlpm.raw,_xlfn.XLOOKUP(A359,SITE1!$C$4:$C$1034,SITE1!$E$4:$E$1034),_xlpm.cleanRaw,SUBSTITUTE(SUBSTITUTE(_xlpm.raw,"_PIN","."),"PIN","."),_xlpm.mainPart,MID(_xlpm.cleanRaw,2,FIND(".",_xlpm.cleanRaw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609113</v>
      </c>
      <c r="G359" t="str">
        <f>_xlfn.LET(_xlpm.raw,_xlfn.XLOOKUP(A359,SITE3!$C$4:$C$1034,SITE3!$E$4:$E$1034),_xlpm.cleanRaw,SUBSTITUTE(SUBSTITUTE(_xlpm.raw,"_PIN","."),"PIN","."),_xlpm.mainPart,MID(_xlpm.cleanRaw,2,FIND(".",_xlpm.cleanRaw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809113</v>
      </c>
      <c r="H359" t="str">
        <f>""</f>
        <v/>
      </c>
      <c r="I359" t="str">
        <f>""</f>
        <v/>
      </c>
      <c r="J359" t="str">
        <f t="shared" si="5"/>
        <v>V12;CLKOUT_SRC_P_13;;7.9312;5.1668;609113;809113;;</v>
      </c>
    </row>
    <row r="360" spans="1:10">
      <c r="A360" t="s">
        <v>4057</v>
      </c>
      <c r="B360" t="str">
        <f>_xlfn.XLOOKUP(A360,SITE1!$V$4:$V$1034,SITE1!$U$4:$U$1034,"")</f>
        <v>VSS</v>
      </c>
      <c r="C360" t="str" cm="1">
        <f t="array" ref="C360">_xlfn.TEXTJOIN(",",TRUE,_xlfn.UNIQUE(TRANSPOSE(_xlfn.MAP(_xlfn.XLOOKUP(A360,SITE1!$C$4:$C$1034,SITE1!$F$4:$O$1034,""),_xlfn.LAMBDA(_xlpm.x,IF(_xlpm.x&lt;&gt;"",TRIM(CLEAN(LEFT(_xlpm.x,FIND(".",_xlpm.x &amp; ".")-1))),""))))))</f>
        <v/>
      </c>
      <c r="D360">
        <v>7.8547999999999902</v>
      </c>
      <c r="E360">
        <v>5.7642999999999898</v>
      </c>
      <c r="F360" t="str">
        <f>_xlfn.LET(_xlpm.raw,_xlfn.XLOOKUP(A360,SITE1!$C$4:$C$1034,SITE1!$E$4:$E$1034),_xlpm.cleanRaw,SUBSTITUTE(SUBSTITUTE(_xlpm.raw,"_PIN","."),"PIN","."),_xlpm.mainPart,MID(_xlpm.cleanRaw,2,FIND(".",_xlpm.cleanRaw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0" t="str">
        <f>_xlfn.LET(_xlpm.raw,_xlfn.XLOOKUP(A360,SITE3!$C$4:$C$1034,SITE3!$E$4:$E$1034),_xlpm.cleanRaw,SUBSTITUTE(SUBSTITUTE(_xlpm.raw,"_PIN","."),"PIN","."),_xlpm.mainPart,MID(_xlpm.cleanRaw,2,FIND(".",_xlpm.cleanRaw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0" t="str">
        <f>""</f>
        <v/>
      </c>
      <c r="I360" t="str">
        <f>""</f>
        <v/>
      </c>
      <c r="J360" t="str">
        <f t="shared" si="5"/>
        <v>V13;VSS;;7.85479999999999;5.76429999999999;;;;</v>
      </c>
    </row>
    <row r="361" spans="1:10">
      <c r="A361" t="s">
        <v>4058</v>
      </c>
      <c r="B361" t="str">
        <f>_xlfn.XLOOKUP(A361,SITE1!$V$4:$V$1034,SITE1!$U$4:$U$1034,"")</f>
        <v>VSS</v>
      </c>
      <c r="C361" t="str" cm="1">
        <f t="array" ref="C361">_xlfn.TEXTJOIN(",",TRUE,_xlfn.UNIQUE(TRANSPOSE(_xlfn.MAP(_xlfn.XLOOKUP(A361,SITE1!$C$4:$C$1034,SITE1!$F$4:$O$1034,""),_xlfn.LAMBDA(_xlpm.x,IF(_xlpm.x&lt;&gt;"",TRIM(CLEAN(LEFT(_xlpm.x,FIND(".",_xlpm.x &amp; ".")-1))),""))))))</f>
        <v/>
      </c>
      <c r="D361">
        <v>7.8547999999999902</v>
      </c>
      <c r="E361">
        <v>6.4882</v>
      </c>
      <c r="F361" t="str">
        <f>_xlfn.LET(_xlpm.raw,_xlfn.XLOOKUP(A361,SITE1!$C$4:$C$1034,SITE1!$E$4:$E$1034),_xlpm.cleanRaw,SUBSTITUTE(SUBSTITUTE(_xlpm.raw,"_PIN","."),"PIN","."),_xlpm.mainPart,MID(_xlpm.cleanRaw,2,FIND(".",_xlpm.cleanRaw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1" t="str">
        <f>_xlfn.LET(_xlpm.raw,_xlfn.XLOOKUP(A361,SITE3!$C$4:$C$1034,SITE3!$E$4:$E$1034),_xlpm.cleanRaw,SUBSTITUTE(SUBSTITUTE(_xlpm.raw,"_PIN","."),"PIN","."),_xlpm.mainPart,MID(_xlpm.cleanRaw,2,FIND(".",_xlpm.cleanRaw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1" t="str">
        <f>""</f>
        <v/>
      </c>
      <c r="I361" t="str">
        <f>""</f>
        <v/>
      </c>
      <c r="J361" t="str">
        <f t="shared" si="5"/>
        <v>V14;VSS;;7.85479999999999;6.4882;;;;</v>
      </c>
    </row>
    <row r="362" spans="1:10">
      <c r="A362" t="s">
        <v>4059</v>
      </c>
      <c r="B362" t="str">
        <f>_xlfn.XLOOKUP(A362,SITE1!$V$4:$V$1034,SITE1!$U$4:$U$1034,"")</f>
        <v>VSS</v>
      </c>
      <c r="C362" t="str" cm="1">
        <f t="array" ref="C362">_xlfn.TEXTJOIN(",",TRUE,_xlfn.UNIQUE(TRANSPOSE(_xlfn.MAP(_xlfn.XLOOKUP(A362,SITE1!$C$4:$C$1034,SITE1!$F$4:$O$1034,""),_xlfn.LAMBDA(_xlpm.x,IF(_xlpm.x&lt;&gt;"",TRIM(CLEAN(LEFT(_xlpm.x,FIND(".",_xlpm.x &amp; ".")-1))),""))))))</f>
        <v/>
      </c>
      <c r="D362">
        <v>7.8547999999999902</v>
      </c>
      <c r="E362">
        <v>7.2120999999999897</v>
      </c>
      <c r="F362" t="str">
        <f>_xlfn.LET(_xlpm.raw,_xlfn.XLOOKUP(A362,SITE1!$C$4:$C$1034,SITE1!$E$4:$E$1034),_xlpm.cleanRaw,SUBSTITUTE(SUBSTITUTE(_xlpm.raw,"_PIN","."),"PIN","."),_xlpm.mainPart,MID(_xlpm.cleanRaw,2,FIND(".",_xlpm.cleanRaw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2" t="str">
        <f>_xlfn.LET(_xlpm.raw,_xlfn.XLOOKUP(A362,SITE3!$C$4:$C$1034,SITE3!$E$4:$E$1034),_xlpm.cleanRaw,SUBSTITUTE(SUBSTITUTE(_xlpm.raw,"_PIN","."),"PIN","."),_xlpm.mainPart,MID(_xlpm.cleanRaw,2,FIND(".",_xlpm.cleanRaw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2" t="str">
        <f>""</f>
        <v/>
      </c>
      <c r="I362" t="str">
        <f>""</f>
        <v/>
      </c>
      <c r="J362" t="str">
        <f t="shared" si="5"/>
        <v>V16;VSS;;7.85479999999999;7.21209999999999;;;;</v>
      </c>
    </row>
    <row r="363" spans="1:10">
      <c r="A363" t="s">
        <v>4060</v>
      </c>
      <c r="B363" t="str">
        <f>_xlfn.XLOOKUP(A363,SITE1!$V$4:$V$1034,SITE1!$U$4:$U$1034,"")</f>
        <v>VSS</v>
      </c>
      <c r="C363" t="str" cm="1">
        <f t="array" ref="C363">_xlfn.TEXTJOIN(",",TRUE,_xlfn.UNIQUE(TRANSPOSE(_xlfn.MAP(_xlfn.XLOOKUP(A363,SITE1!$C$4:$C$1034,SITE1!$F$4:$O$1034,""),_xlfn.LAMBDA(_xlpm.x,IF(_xlpm.x&lt;&gt;"",TRIM(CLEAN(LEFT(_xlpm.x,FIND(".",_xlpm.x &amp; ".")-1))),""))))))</f>
        <v/>
      </c>
      <c r="D363">
        <v>7.8547999999999902</v>
      </c>
      <c r="E363">
        <v>7.9359999999999999</v>
      </c>
      <c r="F363" t="str">
        <f>_xlfn.LET(_xlpm.raw,_xlfn.XLOOKUP(A363,SITE1!$C$4:$C$1034,SITE1!$E$4:$E$1034),_xlpm.cleanRaw,SUBSTITUTE(SUBSTITUTE(_xlpm.raw,"_PIN","."),"PIN","."),_xlpm.mainPart,MID(_xlpm.cleanRaw,2,FIND(".",_xlpm.cleanRaw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3" t="str">
        <f>_xlfn.LET(_xlpm.raw,_xlfn.XLOOKUP(A363,SITE3!$C$4:$C$1034,SITE3!$E$4:$E$1034),_xlpm.cleanRaw,SUBSTITUTE(SUBSTITUTE(_xlpm.raw,"_PIN","."),"PIN","."),_xlpm.mainPart,MID(_xlpm.cleanRaw,2,FIND(".",_xlpm.cleanRaw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3" t="str">
        <f>""</f>
        <v/>
      </c>
      <c r="I363" t="str">
        <f>""</f>
        <v/>
      </c>
      <c r="J363" t="str">
        <f t="shared" si="5"/>
        <v>V17;VSS;;7.85479999999999;7.936;;;;</v>
      </c>
    </row>
    <row r="364" spans="1:10">
      <c r="A364" t="s">
        <v>4061</v>
      </c>
      <c r="B364" t="str">
        <f>_xlfn.XLOOKUP(A364,SITE1!$V$4:$V$1034,SITE1!$U$4:$U$1034,"")</f>
        <v>VSS</v>
      </c>
      <c r="C364" t="str" cm="1">
        <f t="array" ref="C364">_xlfn.TEXTJOIN(",",TRUE,_xlfn.UNIQUE(TRANSPOSE(_xlfn.MAP(_xlfn.XLOOKUP(A364,SITE1!$C$4:$C$1034,SITE1!$F$4:$O$1034,""),_xlfn.LAMBDA(_xlpm.x,IF(_xlpm.x&lt;&gt;"",TRIM(CLEAN(LEFT(_xlpm.x,FIND(".",_xlpm.x &amp; ".")-1))),""))))))</f>
        <v/>
      </c>
      <c r="D364">
        <v>7.8547999999999902</v>
      </c>
      <c r="E364">
        <v>8.6599000000000004</v>
      </c>
      <c r="F364" t="str">
        <f>_xlfn.LET(_xlpm.raw,_xlfn.XLOOKUP(A364,SITE1!$C$4:$C$1034,SITE1!$E$4:$E$1034),_xlpm.cleanRaw,SUBSTITUTE(SUBSTITUTE(_xlpm.raw,"_PIN","."),"PIN","."),_xlpm.mainPart,MID(_xlpm.cleanRaw,2,FIND(".",_xlpm.cleanRaw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4" t="str">
        <f>_xlfn.LET(_xlpm.raw,_xlfn.XLOOKUP(A364,SITE3!$C$4:$C$1034,SITE3!$E$4:$E$1034),_xlpm.cleanRaw,SUBSTITUTE(SUBSTITUTE(_xlpm.raw,"_PIN","."),"PIN","."),_xlpm.mainPart,MID(_xlpm.cleanRaw,2,FIND(".",_xlpm.cleanRaw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4" t="str">
        <f>""</f>
        <v/>
      </c>
      <c r="I364" t="str">
        <f>""</f>
        <v/>
      </c>
      <c r="J364" t="str">
        <f t="shared" si="5"/>
        <v>V19;VSS;;7.85479999999999;8.6599;;;;</v>
      </c>
    </row>
    <row r="365" spans="1:10">
      <c r="A365" t="s">
        <v>4062</v>
      </c>
      <c r="B365" t="str">
        <f>_xlfn.XLOOKUP(A365,SITE1!$V$4:$V$1034,SITE1!$U$4:$U$1034,"")</f>
        <v>VSS</v>
      </c>
      <c r="C365" t="str" cm="1">
        <f t="array" ref="C365">_xlfn.TEXTJOIN(",",TRUE,_xlfn.UNIQUE(TRANSPOSE(_xlfn.MAP(_xlfn.XLOOKUP(A365,SITE1!$C$4:$C$1034,SITE1!$F$4:$O$1034,""),_xlfn.LAMBDA(_xlpm.x,IF(_xlpm.x&lt;&gt;"",TRIM(CLEAN(LEFT(_xlpm.x,FIND(".",_xlpm.x &amp; ".")-1))),""))))))</f>
        <v/>
      </c>
      <c r="D365">
        <v>7.9407999999999896</v>
      </c>
      <c r="E365">
        <v>10.103899999999999</v>
      </c>
      <c r="F365" t="str">
        <f>_xlfn.LET(_xlpm.raw,_xlfn.XLOOKUP(A365,SITE1!$C$4:$C$1034,SITE1!$E$4:$E$1034),_xlpm.cleanRaw,SUBSTITUTE(SUBSTITUTE(_xlpm.raw,"_PIN","."),"PIN","."),_xlpm.mainPart,MID(_xlpm.cleanRaw,2,FIND(".",_xlpm.cleanRaw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5" t="str">
        <f>_xlfn.LET(_xlpm.raw,_xlfn.XLOOKUP(A365,SITE3!$C$4:$C$1034,SITE3!$E$4:$E$1034),_xlpm.cleanRaw,SUBSTITUTE(SUBSTITUTE(_xlpm.raw,"_PIN","."),"PIN","."),_xlpm.mainPart,MID(_xlpm.cleanRaw,2,FIND(".",_xlpm.cleanRaw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5" t="str">
        <f>""</f>
        <v/>
      </c>
      <c r="I365" t="str">
        <f>""</f>
        <v/>
      </c>
      <c r="J365" t="str">
        <f t="shared" si="5"/>
        <v>V22;VSS;;7.94079999999999;10.1039;;;;</v>
      </c>
    </row>
    <row r="366" spans="1:10">
      <c r="A366" t="s">
        <v>3682</v>
      </c>
      <c r="B366" t="str">
        <f>_xlfn.XLOOKUP(A366,SITE1!$V$4:$V$1034,SITE1!$U$4:$U$1034,"")</f>
        <v>VFSOURCE_1_1P8_EHV</v>
      </c>
      <c r="C366" t="str" cm="1">
        <f t="array" ref="C366">_xlfn.TEXTJOIN(",",TRUE,_xlfn.UNIQUE(TRANSPOSE(_xlfn.MAP(_xlfn.XLOOKUP(A366,SITE1!$C$4:$C$1034,SITE1!$F$4:$O$1034,""),_xlfn.LAMBDA(_xlpm.x,IF(_xlpm.x&lt;&gt;"",TRIM(CLEAN(LEFT(_xlpm.x,FIND(".",_xlpm.x &amp; ".")-1))),""))))))</f>
        <v/>
      </c>
      <c r="D366">
        <v>7.9407999999999896</v>
      </c>
      <c r="E366">
        <v>11.0946</v>
      </c>
      <c r="F366" t="str">
        <f>_xlfn.LET(_xlpm.raw,_xlfn.XLOOKUP(A366,SITE1!$C$4:$C$1034,SITE1!$E$4:$E$1034),_xlpm.cleanRaw,SUBSTITUTE(SUBSTITUTE(_xlpm.raw,"_PIN","."),"PIN","."),_xlpm.mainPart,MID(_xlpm.cleanRaw,2,FIND(".",_xlpm.cleanRaw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6" t="str">
        <f>_xlfn.LET(_xlpm.raw,_xlfn.XLOOKUP(A366,SITE3!$C$4:$C$1034,SITE3!$E$4:$E$1034),_xlpm.cleanRaw,SUBSTITUTE(SUBSTITUTE(_xlpm.raw,"_PIN","."),"PIN","."),_xlpm.mainPart,MID(_xlpm.cleanRaw,2,FIND(".",_xlpm.cleanRaw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6" t="str">
        <f>""</f>
        <v/>
      </c>
      <c r="I366" t="str">
        <f>""</f>
        <v/>
      </c>
      <c r="J366" t="str">
        <f t="shared" si="5"/>
        <v>V24;VFSOURCE_1_1P8_EHV;;7.94079999999999;11.0946;;;;</v>
      </c>
    </row>
    <row r="367" spans="1:10">
      <c r="A367" t="s">
        <v>3670</v>
      </c>
      <c r="B367" t="str">
        <f>_xlfn.XLOOKUP(A367,SITE1!$V$4:$V$1034,SITE1!$U$4:$U$1034,"")</f>
        <v>VDDWL_0_1P8_EHV</v>
      </c>
      <c r="C367" t="str" cm="1">
        <f t="array" ref="C367">_xlfn.TEXTJOIN(",",TRUE,_xlfn.UNIQUE(TRANSPOSE(_xlfn.MAP(_xlfn.XLOOKUP(A367,SITE1!$C$4:$C$1034,SITE1!$F$4:$O$1034,""),_xlfn.LAMBDA(_xlpm.x,IF(_xlpm.x&lt;&gt;"",TRIM(CLEAN(LEFT(_xlpm.x,FIND(".",_xlpm.x &amp; ".")-1))),""))))))</f>
        <v/>
      </c>
      <c r="D367">
        <v>7.9407999999999896</v>
      </c>
      <c r="E367">
        <v>12.0853</v>
      </c>
      <c r="F367" t="str">
        <f>_xlfn.LET(_xlpm.raw,_xlfn.XLOOKUP(A367,SITE1!$C$4:$C$1034,SITE1!$E$4:$E$1034),_xlpm.cleanRaw,SUBSTITUTE(SUBSTITUTE(_xlpm.raw,"_PIN","."),"PIN","."),_xlpm.mainPart,MID(_xlpm.cleanRaw,2,FIND(".",_xlpm.cleanRaw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7" t="str">
        <f>_xlfn.LET(_xlpm.raw,_xlfn.XLOOKUP(A367,SITE3!$C$4:$C$1034,SITE3!$E$4:$E$1034),_xlpm.cleanRaw,SUBSTITUTE(SUBSTITUTE(_xlpm.raw,"_PIN","."),"PIN","."),_xlpm.mainPart,MID(_xlpm.cleanRaw,2,FIND(".",_xlpm.cleanRaw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7" t="str">
        <f>""</f>
        <v/>
      </c>
      <c r="I367" t="str">
        <f>""</f>
        <v/>
      </c>
      <c r="J367" t="str">
        <f t="shared" si="5"/>
        <v>V26;VDDWL_0_1P8_EHV;;7.94079999999999;12.0853;;;;</v>
      </c>
    </row>
    <row r="368" spans="1:10">
      <c r="A368" t="s">
        <v>4063</v>
      </c>
      <c r="B368" t="str">
        <f>_xlfn.XLOOKUP(A368,SITE1!$V$4:$V$1034,SITE1!$U$4:$U$1034,"")</f>
        <v>VSS</v>
      </c>
      <c r="C368" t="str" cm="1">
        <f t="array" ref="C368">_xlfn.TEXTJOIN(",",TRUE,_xlfn.UNIQUE(TRANSPOSE(_xlfn.MAP(_xlfn.XLOOKUP(A368,SITE1!$C$4:$C$1034,SITE1!$F$4:$O$1034,""),_xlfn.LAMBDA(_xlpm.x,IF(_xlpm.x&lt;&gt;"",TRIM(CLEAN(LEFT(_xlpm.x,FIND(".",_xlpm.x &amp; ".")-1))),""))))))</f>
        <v/>
      </c>
      <c r="D368">
        <v>7.9407999999999896</v>
      </c>
      <c r="E368">
        <v>12.86</v>
      </c>
      <c r="F368" t="str">
        <f>_xlfn.LET(_xlpm.raw,_xlfn.XLOOKUP(A368,SITE1!$C$4:$C$1034,SITE1!$E$4:$E$1034),_xlpm.cleanRaw,SUBSTITUTE(SUBSTITUTE(_xlpm.raw,"_PIN","."),"PIN","."),_xlpm.mainPart,MID(_xlpm.cleanRaw,2,FIND(".",_xlpm.cleanRaw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8" t="str">
        <f>_xlfn.LET(_xlpm.raw,_xlfn.XLOOKUP(A368,SITE3!$C$4:$C$1034,SITE3!$E$4:$E$1034),_xlpm.cleanRaw,SUBSTITUTE(SUBSTITUTE(_xlpm.raw,"_PIN","."),"PIN","."),_xlpm.mainPart,MID(_xlpm.cleanRaw,2,FIND(".",_xlpm.cleanRaw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8" t="str">
        <f>""</f>
        <v/>
      </c>
      <c r="I368" t="str">
        <f>""</f>
        <v/>
      </c>
      <c r="J368" t="str">
        <f t="shared" si="5"/>
        <v>V28;VSS;;7.94079999999999;12.86;;;;</v>
      </c>
    </row>
    <row r="369" spans="1:10">
      <c r="A369" t="s">
        <v>4064</v>
      </c>
      <c r="B369" t="str">
        <f>_xlfn.XLOOKUP(A369,SITE1!$V$4:$V$1034,SITE1!$U$4:$U$1034,"")</f>
        <v>VSS</v>
      </c>
      <c r="C369" t="str" cm="1">
        <f t="array" ref="C369">_xlfn.TEXTJOIN(",",TRUE,_xlfn.UNIQUE(TRANSPOSE(_xlfn.MAP(_xlfn.XLOOKUP(A369,SITE1!$C$4:$C$1034,SITE1!$F$4:$O$1034,""),_xlfn.LAMBDA(_xlpm.x,IF(_xlpm.x&lt;&gt;"",TRIM(CLEAN(LEFT(_xlpm.x,FIND(".",_xlpm.x &amp; ".")-1))),""))))))</f>
        <v/>
      </c>
      <c r="D369">
        <v>7.9407999999999896</v>
      </c>
      <c r="E369">
        <v>14.0182</v>
      </c>
      <c r="F369" t="str">
        <f>_xlfn.LET(_xlpm.raw,_xlfn.XLOOKUP(A369,SITE1!$C$4:$C$1034,SITE1!$E$4:$E$1034),_xlpm.cleanRaw,SUBSTITUTE(SUBSTITUTE(_xlpm.raw,"_PIN","."),"PIN","."),_xlpm.mainPart,MID(_xlpm.cleanRaw,2,FIND(".",_xlpm.cleanRaw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9" t="str">
        <f>_xlfn.LET(_xlpm.raw,_xlfn.XLOOKUP(A369,SITE3!$C$4:$C$1034,SITE3!$E$4:$E$1034),_xlpm.cleanRaw,SUBSTITUTE(SUBSTITUTE(_xlpm.raw,"_PIN","."),"PIN","."),_xlpm.mainPart,MID(_xlpm.cleanRaw,2,FIND(".",_xlpm.cleanRaw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9" t="str">
        <f>""</f>
        <v/>
      </c>
      <c r="I369" t="str">
        <f>""</f>
        <v/>
      </c>
      <c r="J369" t="str">
        <f t="shared" si="5"/>
        <v>V30;VSS;;7.94079999999999;14.0182;;;;</v>
      </c>
    </row>
    <row r="370" spans="1:10">
      <c r="A370" t="s">
        <v>4065</v>
      </c>
      <c r="B370" t="str">
        <f>_xlfn.XLOOKUP(A370,SITE1!$V$4:$V$1034,SITE1!$U$4:$U$1034,"")</f>
        <v>VSS</v>
      </c>
      <c r="C370" t="str" cm="1">
        <f t="array" ref="C370">_xlfn.TEXTJOIN(",",TRUE,_xlfn.UNIQUE(TRANSPOSE(_xlfn.MAP(_xlfn.XLOOKUP(A370,SITE1!$C$4:$C$1034,SITE1!$F$4:$O$1034,""),_xlfn.LAMBDA(_xlpm.x,IF(_xlpm.x&lt;&gt;"",TRIM(CLEAN(LEFT(_xlpm.x,FIND(".",_xlpm.x &amp; ".")-1))),""))))))</f>
        <v/>
      </c>
      <c r="D370">
        <v>7.9407999999999896</v>
      </c>
      <c r="E370">
        <v>14.792899999999999</v>
      </c>
      <c r="F370" t="str">
        <f>_xlfn.LET(_xlpm.raw,_xlfn.XLOOKUP(A370,SITE1!$C$4:$C$1034,SITE1!$E$4:$E$1034),_xlpm.cleanRaw,SUBSTITUTE(SUBSTITUTE(_xlpm.raw,"_PIN","."),"PIN","."),_xlpm.mainPart,MID(_xlpm.cleanRaw,2,FIND(".",_xlpm.cleanRaw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0" t="str">
        <f>_xlfn.LET(_xlpm.raw,_xlfn.XLOOKUP(A370,SITE3!$C$4:$C$1034,SITE3!$E$4:$E$1034),_xlpm.cleanRaw,SUBSTITUTE(SUBSTITUTE(_xlpm.raw,"_PIN","."),"PIN","."),_xlpm.mainPart,MID(_xlpm.cleanRaw,2,FIND(".",_xlpm.cleanRaw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0" t="str">
        <f>""</f>
        <v/>
      </c>
      <c r="I370" t="str">
        <f>""</f>
        <v/>
      </c>
      <c r="J370" t="str">
        <f t="shared" si="5"/>
        <v>V32;VSS;;7.94079999999999;14.7929;;;;</v>
      </c>
    </row>
    <row r="371" spans="1:10">
      <c r="A371" t="s">
        <v>4066</v>
      </c>
      <c r="B371" t="str">
        <f>_xlfn.XLOOKUP(A371,SITE1!$V$4:$V$1034,SITE1!$U$4:$U$1034,"")</f>
        <v>VSS</v>
      </c>
      <c r="C371" t="str" cm="1">
        <f t="array" ref="C371">_xlfn.TEXTJOIN(",",TRUE,_xlfn.UNIQUE(TRANSPOSE(_xlfn.MAP(_xlfn.XLOOKUP(A371,SITE1!$C$4:$C$1034,SITE1!$F$4:$O$1034,""),_xlfn.LAMBDA(_xlpm.x,IF(_xlpm.x&lt;&gt;"",TRIM(CLEAN(LEFT(_xlpm.x,FIND(".",_xlpm.x &amp; ".")-1))),""))))))</f>
        <v/>
      </c>
      <c r="D371">
        <v>7.9407999999999896</v>
      </c>
      <c r="E371">
        <v>15.7836</v>
      </c>
      <c r="F371" t="str">
        <f>_xlfn.LET(_xlpm.raw,_xlfn.XLOOKUP(A371,SITE1!$C$4:$C$1034,SITE1!$E$4:$E$1034),_xlpm.cleanRaw,SUBSTITUTE(SUBSTITUTE(_xlpm.raw,"_PIN","."),"PIN","."),_xlpm.mainPart,MID(_xlpm.cleanRaw,2,FIND(".",_xlpm.cleanRaw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1" t="str">
        <f>_xlfn.LET(_xlpm.raw,_xlfn.XLOOKUP(A371,SITE3!$C$4:$C$1034,SITE3!$E$4:$E$1034),_xlpm.cleanRaw,SUBSTITUTE(SUBSTITUTE(_xlpm.raw,"_PIN","."),"PIN","."),_xlpm.mainPart,MID(_xlpm.cleanRaw,2,FIND(".",_xlpm.cleanRaw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1" t="str">
        <f>""</f>
        <v/>
      </c>
      <c r="I371" t="str">
        <f>""</f>
        <v/>
      </c>
      <c r="J371" t="str">
        <f t="shared" si="5"/>
        <v>V34;VSS;;7.94079999999999;15.7836;;;;</v>
      </c>
    </row>
    <row r="372" spans="1:10">
      <c r="A372" t="s">
        <v>4067</v>
      </c>
      <c r="B372" t="str">
        <f>_xlfn.XLOOKUP(A372,SITE1!$V$4:$V$1034,SITE1!$U$4:$U$1034,"")</f>
        <v>VSS</v>
      </c>
      <c r="C372" t="str" cm="1">
        <f t="array" ref="C372">_xlfn.TEXTJOIN(",",TRUE,_xlfn.UNIQUE(TRANSPOSE(_xlfn.MAP(_xlfn.XLOOKUP(A372,SITE1!$C$4:$C$1034,SITE1!$F$4:$O$1034,""),_xlfn.LAMBDA(_xlpm.x,IF(_xlpm.x&lt;&gt;"",TRIM(CLEAN(LEFT(_xlpm.x,FIND(".",_xlpm.x &amp; ".")-1))),""))))))</f>
        <v/>
      </c>
      <c r="D372">
        <v>7.9407999999999896</v>
      </c>
      <c r="E372">
        <v>16.7743</v>
      </c>
      <c r="F372" t="str">
        <f>_xlfn.LET(_xlpm.raw,_xlfn.XLOOKUP(A372,SITE1!$C$4:$C$1034,SITE1!$E$4:$E$1034),_xlpm.cleanRaw,SUBSTITUTE(SUBSTITUTE(_xlpm.raw,"_PIN","."),"PIN","."),_xlpm.mainPart,MID(_xlpm.cleanRaw,2,FIND(".",_xlpm.cleanRaw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2" t="str">
        <f>_xlfn.LET(_xlpm.raw,_xlfn.XLOOKUP(A372,SITE3!$C$4:$C$1034,SITE3!$E$4:$E$1034),_xlpm.cleanRaw,SUBSTITUTE(SUBSTITUTE(_xlpm.raw,"_PIN","."),"PIN","."),_xlpm.mainPart,MID(_xlpm.cleanRaw,2,FIND(".",_xlpm.cleanRaw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2" t="str">
        <f>""</f>
        <v/>
      </c>
      <c r="I372" t="str">
        <f>""</f>
        <v/>
      </c>
      <c r="J372" t="str">
        <f t="shared" si="5"/>
        <v>V36;VSS;;7.94079999999999;16.7743;;;;</v>
      </c>
    </row>
    <row r="373" spans="1:10">
      <c r="A373" t="s">
        <v>4068</v>
      </c>
      <c r="B373" t="str">
        <f>_xlfn.XLOOKUP(A373,SITE1!$V$4:$V$1034,SITE1!$U$4:$U$1034,"")</f>
        <v>VSS</v>
      </c>
      <c r="C373" t="str" cm="1">
        <f t="array" ref="C373">_xlfn.TEXTJOIN(",",TRUE,_xlfn.UNIQUE(TRANSPOSE(_xlfn.MAP(_xlfn.XLOOKUP(A373,SITE1!$C$4:$C$1034,SITE1!$F$4:$O$1034,""),_xlfn.LAMBDA(_xlpm.x,IF(_xlpm.x&lt;&gt;"",TRIM(CLEAN(LEFT(_xlpm.x,FIND(".",_xlpm.x &amp; ".")-1))),""))))))</f>
        <v/>
      </c>
      <c r="D373">
        <v>7.6877999999999904</v>
      </c>
      <c r="E373">
        <v>17.526899999999898</v>
      </c>
      <c r="F373" t="str">
        <f>_xlfn.LET(_xlpm.raw,_xlfn.XLOOKUP(A373,SITE1!$C$4:$C$1034,SITE1!$E$4:$E$1034),_xlpm.cleanRaw,SUBSTITUTE(SUBSTITUTE(_xlpm.raw,"_PIN","."),"PIN","."),_xlpm.mainPart,MID(_xlpm.cleanRaw,2,FIND(".",_xlpm.cleanRaw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3" t="str">
        <f>_xlfn.LET(_xlpm.raw,_xlfn.XLOOKUP(A373,SITE3!$C$4:$C$1034,SITE3!$E$4:$E$1034),_xlpm.cleanRaw,SUBSTITUTE(SUBSTITUTE(_xlpm.raw,"_PIN","."),"PIN","."),_xlpm.mainPart,MID(_xlpm.cleanRaw,2,FIND(".",_xlpm.cleanRaw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3" t="str">
        <f>""</f>
        <v/>
      </c>
      <c r="I373" t="str">
        <f>""</f>
        <v/>
      </c>
      <c r="J373" t="str">
        <f t="shared" si="5"/>
        <v>V38;VSS;;7.68779999999999;17.5268999999999;;;;</v>
      </c>
    </row>
    <row r="374" spans="1:10">
      <c r="A374" t="s">
        <v>2925</v>
      </c>
      <c r="B374" t="str">
        <f>_xlfn.XLOOKUP(A374,SITE1!$V$4:$V$1034,SITE1!$U$4:$U$1034,"")</f>
        <v>TEST_OUT_TS</v>
      </c>
      <c r="C374" t="str" cm="1">
        <f t="array" ref="C374">_xlfn.TEXTJOIN(",",TRUE,_xlfn.UNIQUE(TRANSPOSE(_xlfn.MAP(_xlfn.XLOOKUP(A374,SITE1!$C$4:$C$1034,SITE1!$F$4:$O$1034,""),_xlfn.LAMBDA(_xlpm.x,IF(_xlpm.x&lt;&gt;"",TRIM(CLEAN(LEFT(_xlpm.x,FIND(".",_xlpm.x &amp; ".")-1))),""))))))</f>
        <v/>
      </c>
      <c r="D374">
        <v>7.8547999999999902</v>
      </c>
      <c r="E374">
        <v>18.218299999999999</v>
      </c>
      <c r="F374" t="str">
        <f>_xlfn.LET(_xlpm.raw,_xlfn.XLOOKUP(A374,SITE1!$C$4:$C$1034,SITE1!$E$4:$E$1034),_xlpm.cleanRaw,SUBSTITUTE(SUBSTITUTE(_xlpm.raw,"_PIN","."),"PIN","."),_xlpm.mainPart,MID(_xlpm.cleanRaw,2,FIND(".",_xlpm.cleanRaw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601040</v>
      </c>
      <c r="G374" t="str">
        <f>_xlfn.LET(_xlpm.raw,_xlfn.XLOOKUP(A374,SITE3!$C$4:$C$1034,SITE3!$E$4:$E$1034),_xlpm.cleanRaw,SUBSTITUTE(SUBSTITUTE(_xlpm.raw,"_PIN","."),"PIN","."),_xlpm.mainPart,MID(_xlpm.cleanRaw,2,FIND(".",_xlpm.cleanRaw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801040</v>
      </c>
      <c r="H374" t="str">
        <f>""</f>
        <v/>
      </c>
      <c r="I374" t="str">
        <f>""</f>
        <v/>
      </c>
      <c r="J374" t="str">
        <f t="shared" si="5"/>
        <v>V39;TEST_OUT_TS;;7.85479999999999;18.2183;601040;801040;;</v>
      </c>
    </row>
    <row r="375" spans="1:10">
      <c r="A375" t="s">
        <v>3594</v>
      </c>
      <c r="B375" t="str">
        <f>_xlfn.XLOOKUP(A375,SITE1!$V$4:$V$1034,SITE1!$U$4:$U$1034,"")</f>
        <v>VCCPGPPA</v>
      </c>
      <c r="C375" t="str" cm="1">
        <f t="array" ref="C375">_xlfn.TEXTJOIN(",",TRUE,_xlfn.UNIQUE(TRANSPOSE(_xlfn.MAP(_xlfn.XLOOKUP(A375,SITE1!$C$4:$C$1034,SITE1!$F$4:$O$1034,""),_xlfn.LAMBDA(_xlpm.x,IF(_xlpm.x&lt;&gt;"",TRIM(CLEAN(LEFT(_xlpm.x,FIND(".",_xlpm.x &amp; ".")-1))),""))))))</f>
        <v/>
      </c>
      <c r="D375">
        <v>7.8547999999999902</v>
      </c>
      <c r="E375">
        <v>18.9422</v>
      </c>
      <c r="F375" t="str">
        <f>_xlfn.LET(_xlpm.raw,_xlfn.XLOOKUP(A375,SITE1!$C$4:$C$1034,SITE1!$E$4:$E$1034),_xlpm.cleanRaw,SUBSTITUTE(SUBSTITUTE(_xlpm.raw,"_PIN","."),"PIN","."),_xlpm.mainPart,MID(_xlpm.cleanRaw,2,FIND(".",_xlpm.cleanRaw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5" t="str">
        <f>_xlfn.LET(_xlpm.raw,_xlfn.XLOOKUP(A375,SITE3!$C$4:$C$1034,SITE3!$E$4:$E$1034),_xlpm.cleanRaw,SUBSTITUTE(SUBSTITUTE(_xlpm.raw,"_PIN","."),"PIN","."),_xlpm.mainPart,MID(_xlpm.cleanRaw,2,FIND(".",_xlpm.cleanRaw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5" t="str">
        <f>""</f>
        <v/>
      </c>
      <c r="I375" t="str">
        <f>""</f>
        <v/>
      </c>
      <c r="J375" t="str">
        <f t="shared" si="5"/>
        <v>V41;VCCPGPPA;;7.85479999999999;18.9422;;;;</v>
      </c>
    </row>
    <row r="376" spans="1:10">
      <c r="A376" t="s">
        <v>4069</v>
      </c>
      <c r="B376" t="str">
        <f>_xlfn.XLOOKUP(A376,SITE1!$V$4:$V$1034,SITE1!$U$4:$U$1034,"")</f>
        <v>VSS</v>
      </c>
      <c r="C376" t="str" cm="1">
        <f t="array" ref="C376">_xlfn.TEXTJOIN(",",TRUE,_xlfn.UNIQUE(TRANSPOSE(_xlfn.MAP(_xlfn.XLOOKUP(A376,SITE1!$C$4:$C$1034,SITE1!$F$4:$O$1034,""),_xlfn.LAMBDA(_xlpm.x,IF(_xlpm.x&lt;&gt;"",TRIM(CLEAN(LEFT(_xlpm.x,FIND(".",_xlpm.x &amp; ".")-1))),""))))))</f>
        <v/>
      </c>
      <c r="D376">
        <v>7.8547999999999902</v>
      </c>
      <c r="E376">
        <v>19.6661</v>
      </c>
      <c r="F376" t="str">
        <f>_xlfn.LET(_xlpm.raw,_xlfn.XLOOKUP(A376,SITE1!$C$4:$C$1034,SITE1!$E$4:$E$1034),_xlpm.cleanRaw,SUBSTITUTE(SUBSTITUTE(_xlpm.raw,"_PIN","."),"PIN","."),_xlpm.mainPart,MID(_xlpm.cleanRaw,2,FIND(".",_xlpm.cleanRaw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6" t="str">
        <f>_xlfn.LET(_xlpm.raw,_xlfn.XLOOKUP(A376,SITE3!$C$4:$C$1034,SITE3!$E$4:$E$1034),_xlpm.cleanRaw,SUBSTITUTE(SUBSTITUTE(_xlpm.raw,"_PIN","."),"PIN","."),_xlpm.mainPart,MID(_xlpm.cleanRaw,2,FIND(".",_xlpm.cleanRaw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6" t="str">
        <f>""</f>
        <v/>
      </c>
      <c r="I376" t="str">
        <f>""</f>
        <v/>
      </c>
      <c r="J376" t="str">
        <f t="shared" si="5"/>
        <v>V42;VSS;;7.85479999999999;19.6661;;;;</v>
      </c>
    </row>
    <row r="377" spans="1:10">
      <c r="A377" t="s">
        <v>855</v>
      </c>
      <c r="B377" t="str">
        <f>_xlfn.XLOOKUP(A377,SITE1!$V$4:$V$1034,SITE1!$U$4:$U$1034,"")</f>
        <v>GPP_B_17_ISH_GP_5</v>
      </c>
      <c r="C377" t="str" cm="1">
        <f t="array" ref="C377">_xlfn.TEXTJOIN(",",TRUE,_xlfn.UNIQUE(TRANSPOSE(_xlfn.MAP(_xlfn.XLOOKUP(A377,SITE1!$C$4:$C$1034,SITE1!$F$4:$O$1034,""),_xlfn.LAMBDA(_xlpm.x,IF(_xlpm.x&lt;&gt;"",TRIM(CLEAN(LEFT(_xlpm.x,FIND(".",_xlpm.x &amp; ".")-1))),""))))))</f>
        <v/>
      </c>
      <c r="D377">
        <v>7.8547999999999902</v>
      </c>
      <c r="E377">
        <v>20.39</v>
      </c>
      <c r="F377" t="str">
        <f>_xlfn.LET(_xlpm.raw,_xlfn.XLOOKUP(A377,SITE1!$C$4:$C$1034,SITE1!$E$4:$E$1034),_xlpm.cleanRaw,SUBSTITUTE(SUBSTITUTE(_xlpm.raw,"_PIN","."),"PIN","."),_xlpm.mainPart,MID(_xlpm.cleanRaw,2,FIND(".",_xlpm.cleanRaw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701096</v>
      </c>
      <c r="G377" t="str">
        <f>_xlfn.LET(_xlpm.raw,_xlfn.XLOOKUP(A377,SITE3!$C$4:$C$1034,SITE3!$E$4:$E$1034),_xlpm.cleanRaw,SUBSTITUTE(SUBSTITUTE(_xlpm.raw,"_PIN","."),"PIN","."),_xlpm.mainPart,MID(_xlpm.cleanRaw,2,FIND(".",_xlpm.cleanRaw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501096</v>
      </c>
      <c r="H377" t="str">
        <f>""</f>
        <v/>
      </c>
      <c r="I377" t="str">
        <f>""</f>
        <v/>
      </c>
      <c r="J377" t="str">
        <f t="shared" si="5"/>
        <v>V44;GPP_B_17_ISH_GP_5;;7.85479999999999;20.39;701096;501096;;</v>
      </c>
    </row>
    <row r="378" spans="1:10">
      <c r="A378" t="s">
        <v>885</v>
      </c>
      <c r="B378" t="str">
        <f>_xlfn.XLOOKUP(A378,SITE1!$V$4:$V$1034,SITE1!$U$4:$U$1034,"")</f>
        <v>GPP_B_3_CPU_GP_2</v>
      </c>
      <c r="C378" t="str" cm="1">
        <f t="array" ref="C378">_xlfn.TEXTJOIN(",",TRUE,_xlfn.UNIQUE(TRANSPOSE(_xlfn.MAP(_xlfn.XLOOKUP(A378,SITE1!$C$4:$C$1034,SITE1!$F$4:$O$1034,""),_xlfn.LAMBDA(_xlpm.x,IF(_xlpm.x&lt;&gt;"",TRIM(CLEAN(LEFT(_xlpm.x,FIND(".",_xlpm.x &amp; ".")-1))),""))))))</f>
        <v/>
      </c>
      <c r="D378">
        <v>7.8547999999999902</v>
      </c>
      <c r="E378">
        <v>21.113900000000001</v>
      </c>
      <c r="F378" t="str">
        <f>_xlfn.LET(_xlpm.raw,_xlfn.XLOOKUP(A378,SITE1!$C$4:$C$1034,SITE1!$E$4:$E$1034),_xlpm.cleanRaw,SUBSTITUTE(SUBSTITUTE(_xlpm.raw,"_PIN","."),"PIN","."),_xlpm.mainPart,MID(_xlpm.cleanRaw,2,FIND(".",_xlpm.cleanRaw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706011</v>
      </c>
      <c r="G378" t="str">
        <f>_xlfn.LET(_xlpm.raw,_xlfn.XLOOKUP(A378,SITE3!$C$4:$C$1034,SITE3!$E$4:$E$1034),_xlpm.cleanRaw,SUBSTITUTE(SUBSTITUTE(_xlpm.raw,"_PIN","."),"PIN","."),_xlpm.mainPart,MID(_xlpm.cleanRaw,2,FIND(".",_xlpm.cleanRaw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506011</v>
      </c>
      <c r="H378" t="str">
        <f>""</f>
        <v/>
      </c>
      <c r="I378" t="str">
        <f>""</f>
        <v/>
      </c>
      <c r="J378" t="str">
        <f t="shared" si="5"/>
        <v>V45;GPP_B_3_CPU_GP_2;;7.85479999999999;21.1139;706011;506011;;</v>
      </c>
    </row>
    <row r="379" spans="1:10">
      <c r="A379" t="s">
        <v>4070</v>
      </c>
      <c r="B379" t="str">
        <f>_xlfn.XLOOKUP(A379,SITE1!$V$4:$V$1034,SITE1!$U$4:$U$1034,"")</f>
        <v>VSS</v>
      </c>
      <c r="C379" t="str" cm="1">
        <f t="array" ref="C379">_xlfn.TEXTJOIN(",",TRUE,_xlfn.UNIQUE(TRANSPOSE(_xlfn.MAP(_xlfn.XLOOKUP(A379,SITE1!$C$4:$C$1034,SITE1!$F$4:$O$1034,""),_xlfn.LAMBDA(_xlpm.x,IF(_xlpm.x&lt;&gt;"",TRIM(CLEAN(LEFT(_xlpm.x,FIND(".",_xlpm.x &amp; ".")-1))),""))))))</f>
        <v/>
      </c>
      <c r="D379">
        <v>7.9311999999999996</v>
      </c>
      <c r="E379">
        <v>21.711399999999902</v>
      </c>
      <c r="F379" t="str">
        <f>_xlfn.LET(_xlpm.raw,_xlfn.XLOOKUP(A379,SITE1!$C$4:$C$1034,SITE1!$E$4:$E$1034),_xlpm.cleanRaw,SUBSTITUTE(SUBSTITUTE(_xlpm.raw,"_PIN","."),"PIN","."),_xlpm.mainPart,MID(_xlpm.cleanRaw,2,FIND(".",_xlpm.cleanRaw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9" t="str">
        <f>_xlfn.LET(_xlpm.raw,_xlfn.XLOOKUP(A379,SITE3!$C$4:$C$1034,SITE3!$E$4:$E$1034),_xlpm.cleanRaw,SUBSTITUTE(SUBSTITUTE(_xlpm.raw,"_PIN","."),"PIN","."),_xlpm.mainPart,MID(_xlpm.cleanRaw,2,FIND(".",_xlpm.cleanRaw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9" t="str">
        <f>""</f>
        <v/>
      </c>
      <c r="I379" t="str">
        <f>""</f>
        <v/>
      </c>
      <c r="J379" t="str">
        <f t="shared" si="5"/>
        <v>V46;VSS;;7.9312;21.7113999999999;;;;</v>
      </c>
    </row>
    <row r="380" spans="1:10">
      <c r="A380" t="s">
        <v>905</v>
      </c>
      <c r="B380" t="str">
        <f>_xlfn.XLOOKUP(A380,SITE1!$V$4:$V$1034,SITE1!$U$4:$U$1034,"")</f>
        <v>GPP_B_7_ISH_GP_7</v>
      </c>
      <c r="C380" t="str" cm="1">
        <f t="array" ref="C380">_xlfn.TEXTJOIN(",",TRUE,_xlfn.UNIQUE(TRANSPOSE(_xlfn.MAP(_xlfn.XLOOKUP(A380,SITE1!$C$4:$C$1034,SITE1!$F$4:$O$1034,""),_xlfn.LAMBDA(_xlpm.x,IF(_xlpm.x&lt;&gt;"",TRIM(CLEAN(LEFT(_xlpm.x,FIND(".",_xlpm.x &amp; ".")-1))),""))))))</f>
        <v/>
      </c>
      <c r="D380">
        <v>7.9311999999999996</v>
      </c>
      <c r="E380">
        <v>22.422599999999999</v>
      </c>
      <c r="F380" t="str">
        <f>_xlfn.LET(_xlpm.raw,_xlfn.XLOOKUP(A380,SITE1!$C$4:$C$1034,SITE1!$E$4:$E$1034),_xlpm.cleanRaw,SUBSTITUTE(SUBSTITUTE(_xlpm.raw,"_PIN","."),"PIN","."),_xlpm.mainPart,MID(_xlpm.cleanRaw,2,FIND(".",_xlpm.cleanRaw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709018</v>
      </c>
      <c r="G380" t="str">
        <f>_xlfn.LET(_xlpm.raw,_xlfn.XLOOKUP(A380,SITE3!$C$4:$C$1034,SITE3!$E$4:$E$1034),_xlpm.cleanRaw,SUBSTITUTE(SUBSTITUTE(_xlpm.raw,"_PIN","."),"PIN","."),_xlpm.mainPart,MID(_xlpm.cleanRaw,2,FIND(".",_xlpm.cleanRaw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509018</v>
      </c>
      <c r="H380" t="str">
        <f>""</f>
        <v/>
      </c>
      <c r="I380" t="str">
        <f>""</f>
        <v/>
      </c>
      <c r="J380" t="str">
        <f t="shared" si="5"/>
        <v>V48;GPP_B_7_ISH_GP_7;;7.9312;22.4226;709018;509018;;</v>
      </c>
    </row>
    <row r="381" spans="1:10">
      <c r="A381" t="s">
        <v>815</v>
      </c>
      <c r="B381" t="str">
        <f>_xlfn.XLOOKUP(A381,SITE1!$V$4:$V$1034,SITE1!$U$4:$U$1034,"")</f>
        <v>GPP_B_1_ISH_UART0_RTSB_GSPI2_CS1B</v>
      </c>
      <c r="C381" t="str" cm="1">
        <f t="array" ref="C381">_xlfn.TEXTJOIN(",",TRUE,_xlfn.UNIQUE(TRANSPOSE(_xlfn.MAP(_xlfn.XLOOKUP(A381,SITE1!$C$4:$C$1034,SITE1!$F$4:$O$1034,""),_xlfn.LAMBDA(_xlpm.x,IF(_xlpm.x&lt;&gt;"",TRIM(CLEAN(LEFT(_xlpm.x,FIND(".",_xlpm.x &amp; ".")-1))),""))))))</f>
        <v/>
      </c>
      <c r="D381">
        <v>7.6949999999999896</v>
      </c>
      <c r="E381">
        <v>23.104799999999901</v>
      </c>
      <c r="F381" t="str">
        <f>_xlfn.LET(_xlpm.raw,_xlfn.XLOOKUP(A381,SITE1!$C$4:$C$1034,SITE1!$E$4:$E$1034),_xlpm.cleanRaw,SUBSTITUTE(SUBSTITUTE(_xlpm.raw,"_PIN","."),"PIN","."),_xlpm.mainPart,MID(_xlpm.cleanRaw,2,FIND(".",_xlpm.cleanRaw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709011</v>
      </c>
      <c r="G381" t="str">
        <f>_xlfn.LET(_xlpm.raw,_xlfn.XLOOKUP(A381,SITE3!$C$4:$C$1034,SITE3!$E$4:$E$1034),_xlpm.cleanRaw,SUBSTITUTE(SUBSTITUTE(_xlpm.raw,"_PIN","."),"PIN","."),_xlpm.mainPart,MID(_xlpm.cleanRaw,2,FIND(".",_xlpm.cleanRaw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509011</v>
      </c>
      <c r="H381" t="str">
        <f>""</f>
        <v/>
      </c>
      <c r="I381" t="str">
        <f>""</f>
        <v/>
      </c>
      <c r="J381" t="str">
        <f t="shared" si="5"/>
        <v>V49;GPP_B_1_ISH_UART0_RTSB_GSPI2_CS1B;;7.69499999999999;23.1047999999999;709011;509011;;</v>
      </c>
    </row>
    <row r="382" spans="1:10">
      <c r="A382" t="s">
        <v>840</v>
      </c>
      <c r="B382" t="str">
        <f>_xlfn.XLOOKUP(A382,SITE1!$V$4:$V$1034,SITE1!$U$4:$U$1034,"")</f>
        <v>GPP_B_14</v>
      </c>
      <c r="C382" t="str" cm="1">
        <f t="array" ref="C382">_xlfn.TEXTJOIN(",",TRUE,_xlfn.UNIQUE(TRANSPOSE(_xlfn.MAP(_xlfn.XLOOKUP(A382,SITE1!$C$4:$C$1034,SITE1!$F$4:$O$1034,""),_xlfn.LAMBDA(_xlpm.x,IF(_xlpm.x&lt;&gt;"",TRIM(CLEAN(LEFT(_xlpm.x,FIND(".",_xlpm.x &amp; ".")-1))),""))))))</f>
        <v/>
      </c>
      <c r="D382">
        <v>7.8000999999999996</v>
      </c>
      <c r="E382">
        <v>25.724799999999998</v>
      </c>
      <c r="F382" t="str">
        <f>_xlfn.LET(_xlpm.raw,_xlfn.XLOOKUP(A382,SITE1!$C$4:$C$1034,SITE1!$E$4:$E$1034),_xlpm.cleanRaw,SUBSTITUTE(SUBSTITUTE(_xlpm.raw,"_PIN","."),"PIN","."),_xlpm.mainPart,MID(_xlpm.cleanRaw,2,FIND(".",_xlpm.cleanRaw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701115</v>
      </c>
      <c r="G382" t="str">
        <f>_xlfn.LET(_xlpm.raw,_xlfn.XLOOKUP(A382,SITE3!$C$4:$C$1034,SITE3!$E$4:$E$1034),_xlpm.cleanRaw,SUBSTITUTE(SUBSTITUTE(_xlpm.raw,"_PIN","."),"PIN","."),_xlpm.mainPart,MID(_xlpm.cleanRaw,2,FIND(".",_xlpm.cleanRaw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501115</v>
      </c>
      <c r="H382" t="str">
        <f>""</f>
        <v/>
      </c>
      <c r="I382" t="str">
        <f>""</f>
        <v/>
      </c>
      <c r="J382" t="str">
        <f t="shared" si="5"/>
        <v>V55;GPP_B_14;;7.8001;25.7248;701115;501115;;</v>
      </c>
    </row>
    <row r="383" spans="1:10">
      <c r="A383" t="s">
        <v>825</v>
      </c>
      <c r="B383" t="str">
        <f>_xlfn.XLOOKUP(A383,SITE1!$V$4:$V$1034,SITE1!$U$4:$U$1034,"")</f>
        <v>GPP_B_11_I2S_MCLK</v>
      </c>
      <c r="C383" t="str" cm="1">
        <f t="array" ref="C383">_xlfn.TEXTJOIN(",",TRUE,_xlfn.UNIQUE(TRANSPOSE(_xlfn.MAP(_xlfn.XLOOKUP(A383,SITE1!$C$4:$C$1034,SITE1!$F$4:$O$1034,""),_xlfn.LAMBDA(_xlpm.x,IF(_xlpm.x&lt;&gt;"",TRIM(CLEAN(LEFT(_xlpm.x,FIND(".",_xlpm.x &amp; ".")-1))),""))))))</f>
        <v/>
      </c>
      <c r="D383">
        <v>7.8000999999999996</v>
      </c>
      <c r="E383">
        <v>26.2256</v>
      </c>
      <c r="F383" t="str">
        <f>_xlfn.LET(_xlpm.raw,_xlfn.XLOOKUP(A383,SITE1!$C$4:$C$1034,SITE1!$E$4:$E$1034),_xlpm.cleanRaw,SUBSTITUTE(SUBSTITUTE(_xlpm.raw,"_PIN","."),"PIN","."),_xlpm.mainPart,MID(_xlpm.cleanRaw,2,FIND(".",_xlpm.cleanRaw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704088</v>
      </c>
      <c r="G383" t="str">
        <f>_xlfn.LET(_xlpm.raw,_xlfn.XLOOKUP(A383,SITE3!$C$4:$C$1034,SITE3!$E$4:$E$1034),_xlpm.cleanRaw,SUBSTITUTE(SUBSTITUTE(_xlpm.raw,"_PIN","."),"PIN","."),_xlpm.mainPart,MID(_xlpm.cleanRaw,2,FIND(".",_xlpm.cleanRaw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504088</v>
      </c>
      <c r="H383" t="str">
        <f>""</f>
        <v/>
      </c>
      <c r="I383" t="str">
        <f>""</f>
        <v/>
      </c>
      <c r="J383" t="str">
        <f t="shared" si="5"/>
        <v>V56;GPP_B_11_I2S_MCLK;;7.8001;26.2256;704088;504088;;</v>
      </c>
    </row>
    <row r="384" spans="1:10">
      <c r="A384" t="s">
        <v>1509</v>
      </c>
      <c r="B384" t="str">
        <f>_xlfn.XLOOKUP(A384,SITE1!$V$4:$V$1034,SITE1!$U$4:$U$1034,"")</f>
        <v>GPP_I_11_GSPI1_CLK_NFC_CLK</v>
      </c>
      <c r="C384" t="str" cm="1">
        <f t="array" ref="C384">_xlfn.TEXTJOIN(",",TRUE,_xlfn.UNIQUE(TRANSPOSE(_xlfn.MAP(_xlfn.XLOOKUP(A384,SITE1!$C$4:$C$1034,SITE1!$F$4:$O$1034,""),_xlfn.LAMBDA(_xlpm.x,IF(_xlpm.x&lt;&gt;"",TRIM(CLEAN(LEFT(_xlpm.x,FIND(".",_xlpm.x &amp; ".")-1))),""))))))</f>
        <v/>
      </c>
      <c r="D384">
        <v>8.4607999999999901</v>
      </c>
      <c r="E384">
        <v>0.73659999999999903</v>
      </c>
      <c r="F384" t="str">
        <f>_xlfn.LET(_xlpm.raw,_xlfn.XLOOKUP(A384,SITE1!$C$4:$C$1034,SITE1!$E$4:$E$1034),_xlpm.cleanRaw,SUBSTITUTE(SUBSTITUTE(_xlpm.raw,"_PIN","."),"PIN","."),_xlpm.mainPart,MID(_xlpm.cleanRaw,2,FIND(".",_xlpm.cleanRaw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606095</v>
      </c>
      <c r="G384" t="str">
        <f>_xlfn.LET(_xlpm.raw,_xlfn.XLOOKUP(A384,SITE3!$C$4:$C$1034,SITE3!$E$4:$E$1034),_xlpm.cleanRaw,SUBSTITUTE(SUBSTITUTE(_xlpm.raw,"_PIN","."),"PIN","."),_xlpm.mainPart,MID(_xlpm.cleanRaw,2,FIND(".",_xlpm.cleanRaw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806095</v>
      </c>
      <c r="H384" t="str">
        <f>""</f>
        <v/>
      </c>
      <c r="I384" t="str">
        <f>""</f>
        <v/>
      </c>
      <c r="J384" t="str">
        <f t="shared" si="5"/>
        <v>W2;GPP_I_11_GSPI1_CLK_NFC_CLK;;8.46079999999999;0.736599999999999;606095;806095;;</v>
      </c>
    </row>
    <row r="385" spans="1:10">
      <c r="A385" t="s">
        <v>1504</v>
      </c>
      <c r="B385" t="str">
        <f>_xlfn.XLOOKUP(A385,SITE1!$V$4:$V$1034,SITE1!$U$4:$U$1034,"")</f>
        <v>GPP_I_10_GSPI1_CS0B</v>
      </c>
      <c r="C385" t="str" cm="1">
        <f t="array" ref="C385">_xlfn.TEXTJOIN(",",TRUE,_xlfn.UNIQUE(TRANSPOSE(_xlfn.MAP(_xlfn.XLOOKUP(A385,SITE1!$C$4:$C$1034,SITE1!$F$4:$O$1034,""),_xlfn.LAMBDA(_xlpm.x,IF(_xlpm.x&lt;&gt;"",TRIM(CLEAN(LEFT(_xlpm.x,FIND(".",_xlpm.x &amp; ".")-1))),""))))))</f>
        <v/>
      </c>
      <c r="D385">
        <v>8.3071000000000002</v>
      </c>
      <c r="E385">
        <v>1.28009999999999</v>
      </c>
      <c r="F385" t="str">
        <f>_xlfn.LET(_xlpm.raw,_xlfn.XLOOKUP(A385,SITE1!$C$4:$C$1034,SITE1!$E$4:$E$1034),_xlpm.cleanRaw,SUBSTITUTE(SUBSTITUTE(_xlpm.raw,"_PIN","."),"PIN","."),_xlpm.mainPart,MID(_xlpm.cleanRaw,2,FIND(".",_xlpm.cleanRaw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604039</v>
      </c>
      <c r="G385" t="str">
        <f>_xlfn.LET(_xlpm.raw,_xlfn.XLOOKUP(A385,SITE3!$C$4:$C$1034,SITE3!$E$4:$E$1034),_xlpm.cleanRaw,SUBSTITUTE(SUBSTITUTE(_xlpm.raw,"_PIN","."),"PIN","."),_xlpm.mainPart,MID(_xlpm.cleanRaw,2,FIND(".",_xlpm.cleanRaw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804039</v>
      </c>
      <c r="H385" t="str">
        <f>""</f>
        <v/>
      </c>
      <c r="I385" t="str">
        <f>""</f>
        <v/>
      </c>
      <c r="J385" t="str">
        <f t="shared" si="5"/>
        <v>W3;GPP_I_10_GSPI1_CS0B;;8.3071;1.28009999999999;604039;804039;;</v>
      </c>
    </row>
    <row r="386" spans="1:10">
      <c r="A386" t="s">
        <v>4074</v>
      </c>
      <c r="B386" t="str">
        <f>_xlfn.XLOOKUP(A386,SITE1!$V$4:$V$1034,SITE1!$U$4:$U$1034,"")</f>
        <v>VSS</v>
      </c>
      <c r="C386" t="str" cm="1">
        <f t="array" ref="C386">_xlfn.TEXTJOIN(",",TRUE,_xlfn.UNIQUE(TRANSPOSE(_xlfn.MAP(_xlfn.XLOOKUP(A386,SITE1!$C$4:$C$1034,SITE1!$F$4:$O$1034,""),_xlfn.LAMBDA(_xlpm.x,IF(_xlpm.x&lt;&gt;"",TRIM(CLEAN(LEFT(_xlpm.x,FIND(".",_xlpm.x &amp; ".")-1))),""))))))</f>
        <v/>
      </c>
      <c r="D386">
        <v>8.4138000000000002</v>
      </c>
      <c r="E386">
        <v>1.7795000000000001</v>
      </c>
      <c r="F386" t="str">
        <f>_xlfn.LET(_xlpm.raw,_xlfn.XLOOKUP(A386,SITE1!$C$4:$C$1034,SITE1!$E$4:$E$1034),_xlpm.cleanRaw,SUBSTITUTE(SUBSTITUTE(_xlpm.raw,"_PIN","."),"PIN","."),_xlpm.mainPart,MID(_xlpm.cleanRaw,2,FIND(".",_xlpm.cleanRaw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6" t="str">
        <f>_xlfn.LET(_xlpm.raw,_xlfn.XLOOKUP(A386,SITE3!$C$4:$C$1034,SITE3!$E$4:$E$1034),_xlpm.cleanRaw,SUBSTITUTE(SUBSTITUTE(_xlpm.raw,"_PIN","."),"PIN","."),_xlpm.mainPart,MID(_xlpm.cleanRaw,2,FIND(".",_xlpm.cleanRaw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6" t="str">
        <f>""</f>
        <v/>
      </c>
      <c r="I386" t="str">
        <f>""</f>
        <v/>
      </c>
      <c r="J386" t="str">
        <f t="shared" ref="J386:J449" si="6">A386&amp;";"&amp;B386&amp;";"&amp;C386&amp;";"&amp;D386&amp;";"&amp;E386&amp;";"&amp;F386&amp;";"&amp;G386&amp;";"&amp;H386&amp;";"&amp;I386</f>
        <v>W5;VSS;;8.4138;1.7795;;;;</v>
      </c>
    </row>
    <row r="387" spans="1:10">
      <c r="A387" t="s">
        <v>4072</v>
      </c>
      <c r="B387" t="str">
        <f>_xlfn.XLOOKUP(A387,SITE1!$V$4:$V$1034,SITE1!$U$4:$U$1034,"")</f>
        <v>VSS</v>
      </c>
      <c r="C387" t="str" cm="1">
        <f t="array" ref="C387">_xlfn.TEXTJOIN(",",TRUE,_xlfn.UNIQUE(TRANSPOSE(_xlfn.MAP(_xlfn.XLOOKUP(A387,SITE1!$C$4:$C$1034,SITE1!$F$4:$O$1034,""),_xlfn.LAMBDA(_xlpm.x,IF(_xlpm.x&lt;&gt;"",TRIM(CLEAN(LEFT(_xlpm.x,FIND(".",_xlpm.x &amp; ".")-1))),""))))))</f>
        <v/>
      </c>
      <c r="D387">
        <v>8.2142999999999997</v>
      </c>
      <c r="E387">
        <v>9.5418000000000003</v>
      </c>
      <c r="F387" t="str">
        <f>_xlfn.LET(_xlpm.raw,_xlfn.XLOOKUP(A387,SITE1!$C$4:$C$1034,SITE1!$E$4:$E$1034),_xlpm.cleanRaw,SUBSTITUTE(SUBSTITUTE(_xlpm.raw,"_PIN","."),"PIN","."),_xlpm.mainPart,MID(_xlpm.cleanRaw,2,FIND(".",_xlpm.cleanRaw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7" t="str">
        <f>_xlfn.LET(_xlpm.raw,_xlfn.XLOOKUP(A387,SITE3!$C$4:$C$1034,SITE3!$E$4:$E$1034),_xlpm.cleanRaw,SUBSTITUTE(SUBSTITUTE(_xlpm.raw,"_PIN","."),"PIN","."),_xlpm.mainPart,MID(_xlpm.cleanRaw,2,FIND(".",_xlpm.cleanRaw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7" t="str">
        <f>""</f>
        <v/>
      </c>
      <c r="I387" t="str">
        <f>""</f>
        <v/>
      </c>
      <c r="J387" t="str">
        <f t="shared" si="6"/>
        <v>W21;VSS;;8.2143;9.5418;;;;</v>
      </c>
    </row>
    <row r="388" spans="1:10">
      <c r="A388" t="s">
        <v>3577</v>
      </c>
      <c r="B388" t="str">
        <f>_xlfn.XLOOKUP(A388,SITE1!$V$4:$V$1034,SITE1!$U$4:$U$1034,"")</f>
        <v>VCCMPHY_0P82</v>
      </c>
      <c r="C388" t="str" cm="1">
        <f t="array" ref="C388">_xlfn.TEXTJOIN(",",TRUE,_xlfn.UNIQUE(TRANSPOSE(_xlfn.MAP(_xlfn.XLOOKUP(A388,SITE1!$C$4:$C$1034,SITE1!$F$4:$O$1034,""),_xlfn.LAMBDA(_xlpm.x,IF(_xlpm.x&lt;&gt;"",TRIM(CLEAN(LEFT(_xlpm.x,FIND(".",_xlpm.x &amp; ".")-1))),""))))))</f>
        <v/>
      </c>
      <c r="D388">
        <v>8.3026999999999997</v>
      </c>
      <c r="E388">
        <v>13.4391</v>
      </c>
      <c r="F388" t="str">
        <f>_xlfn.LET(_xlpm.raw,_xlfn.XLOOKUP(A388,SITE1!$C$4:$C$1034,SITE1!$E$4:$E$1034),_xlpm.cleanRaw,SUBSTITUTE(SUBSTITUTE(_xlpm.raw,"_PIN","."),"PIN","."),_xlpm.mainPart,MID(_xlpm.cleanRaw,2,FIND(".",_xlpm.cleanRaw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8" t="str">
        <f>_xlfn.LET(_xlpm.raw,_xlfn.XLOOKUP(A388,SITE3!$C$4:$C$1034,SITE3!$E$4:$E$1034),_xlpm.cleanRaw,SUBSTITUTE(SUBSTITUTE(_xlpm.raw,"_PIN","."),"PIN","."),_xlpm.mainPart,MID(_xlpm.cleanRaw,2,FIND(".",_xlpm.cleanRaw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8" t="str">
        <f>""</f>
        <v/>
      </c>
      <c r="I388" t="str">
        <f>""</f>
        <v/>
      </c>
      <c r="J388" t="str">
        <f t="shared" si="6"/>
        <v>W29;VCCMPHY_0P82;;8.3027;13.4391;;;;</v>
      </c>
    </row>
    <row r="389" spans="1:10">
      <c r="A389" t="s">
        <v>4073</v>
      </c>
      <c r="B389" t="str">
        <f>_xlfn.XLOOKUP(A389,SITE1!$V$4:$V$1034,SITE1!$U$4:$U$1034,"")</f>
        <v>VSS</v>
      </c>
      <c r="C389" t="str" cm="1">
        <f t="array" ref="C389">_xlfn.TEXTJOIN(",",TRUE,_xlfn.UNIQUE(TRANSPOSE(_xlfn.MAP(_xlfn.XLOOKUP(A389,SITE1!$C$4:$C$1034,SITE1!$F$4:$O$1034,""),_xlfn.LAMBDA(_xlpm.x,IF(_xlpm.x&lt;&gt;"",TRIM(CLEAN(LEFT(_xlpm.x,FIND(".",_xlpm.x &amp; ".")-1))),""))))))</f>
        <v/>
      </c>
      <c r="D389">
        <v>8.2142999999999997</v>
      </c>
      <c r="E389">
        <v>17.336400000000001</v>
      </c>
      <c r="F389" t="str">
        <f>_xlfn.LET(_xlpm.raw,_xlfn.XLOOKUP(A389,SITE1!$C$4:$C$1034,SITE1!$E$4:$E$1034),_xlpm.cleanRaw,SUBSTITUTE(SUBSTITUTE(_xlpm.raw,"_PIN","."),"PIN","."),_xlpm.mainPart,MID(_xlpm.cleanRaw,2,FIND(".",_xlpm.cleanRaw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9" t="str">
        <f>_xlfn.LET(_xlpm.raw,_xlfn.XLOOKUP(A389,SITE3!$C$4:$C$1034,SITE3!$E$4:$E$1034),_xlpm.cleanRaw,SUBSTITUTE(SUBSTITUTE(_xlpm.raw,"_PIN","."),"PIN","."),_xlpm.mainPart,MID(_xlpm.cleanRaw,2,FIND(".",_xlpm.cleanRaw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9" t="str">
        <f>""</f>
        <v/>
      </c>
      <c r="I389" t="str">
        <f>""</f>
        <v/>
      </c>
      <c r="J389" t="str">
        <f t="shared" si="6"/>
        <v>W37;VSS;;8.2143;17.3364;;;;</v>
      </c>
    </row>
    <row r="390" spans="1:10">
      <c r="A390" t="s">
        <v>4075</v>
      </c>
      <c r="B390" t="str">
        <f>_xlfn.XLOOKUP(A390,SITE1!$V$4:$V$1034,SITE1!$U$4:$U$1034,"")</f>
        <v>VSS</v>
      </c>
      <c r="C390" t="str" cm="1">
        <f t="array" ref="C390">_xlfn.TEXTJOIN(",",TRUE,_xlfn.UNIQUE(TRANSPOSE(_xlfn.MAP(_xlfn.XLOOKUP(A390,SITE1!$C$4:$C$1034,SITE1!$F$4:$O$1034,""),_xlfn.LAMBDA(_xlpm.x,IF(_xlpm.x&lt;&gt;"",TRIM(CLEAN(LEFT(_xlpm.x,FIND(".",_xlpm.x &amp; ".")-1))),""))))))</f>
        <v/>
      </c>
      <c r="D390">
        <v>8.4138000000000002</v>
      </c>
      <c r="E390">
        <v>25.098700000000001</v>
      </c>
      <c r="F390" t="str">
        <f>_xlfn.LET(_xlpm.raw,_xlfn.XLOOKUP(A390,SITE1!$C$4:$C$1034,SITE1!$E$4:$E$1034),_xlpm.cleanRaw,SUBSTITUTE(SUBSTITUTE(_xlpm.raw,"_PIN","."),"PIN","."),_xlpm.mainPart,MID(_xlpm.cleanRaw,2,FIND(".",_xlpm.cleanRaw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0" t="str">
        <f>_xlfn.LET(_xlpm.raw,_xlfn.XLOOKUP(A390,SITE3!$C$4:$C$1034,SITE3!$E$4:$E$1034),_xlpm.cleanRaw,SUBSTITUTE(SUBSTITUTE(_xlpm.raw,"_PIN","."),"PIN","."),_xlpm.mainPart,MID(_xlpm.cleanRaw,2,FIND(".",_xlpm.cleanRaw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0" t="str">
        <f>""</f>
        <v/>
      </c>
      <c r="I390" t="str">
        <f>""</f>
        <v/>
      </c>
      <c r="J390" t="str">
        <f t="shared" si="6"/>
        <v>W53;VSS;;8.4138;25.0987;;;;</v>
      </c>
    </row>
    <row r="391" spans="1:10">
      <c r="A391" t="s">
        <v>860</v>
      </c>
      <c r="B391" t="str">
        <f>_xlfn.XLOOKUP(A391,SITE1!$V$4:$V$1034,SITE1!$U$4:$U$1034,"")</f>
        <v>GPP_B_18_PMCALERTB</v>
      </c>
      <c r="C391" t="str" cm="1">
        <f t="array" ref="C391">_xlfn.TEXTJOIN(",",TRUE,_xlfn.UNIQUE(TRANSPOSE(_xlfn.MAP(_xlfn.XLOOKUP(A391,SITE1!$C$4:$C$1034,SITE1!$F$4:$O$1034,""),_xlfn.LAMBDA(_xlpm.x,IF(_xlpm.x&lt;&gt;"",TRIM(CLEAN(LEFT(_xlpm.x,FIND(".",_xlpm.x &amp; ".")-1))),""))))))</f>
        <v/>
      </c>
      <c r="D391">
        <v>8.3071000000000002</v>
      </c>
      <c r="E391">
        <v>25.598099999999999</v>
      </c>
      <c r="F391" t="str">
        <f>_xlfn.LET(_xlpm.raw,_xlfn.XLOOKUP(A391,SITE1!$C$4:$C$1034,SITE1!$E$4:$E$1034),_xlpm.cleanRaw,SUBSTITUTE(SUBSTITUTE(_xlpm.raw,"_PIN","."),"PIN","."),_xlpm.mainPart,MID(_xlpm.cleanRaw,2,FIND(".",_xlpm.cleanRaw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707118</v>
      </c>
      <c r="G391" t="str">
        <f>_xlfn.LET(_xlpm.raw,_xlfn.XLOOKUP(A391,SITE3!$C$4:$C$1034,SITE3!$E$4:$E$1034),_xlpm.cleanRaw,SUBSTITUTE(SUBSTITUTE(_xlpm.raw,"_PIN","."),"PIN","."),_xlpm.mainPart,MID(_xlpm.cleanRaw,2,FIND(".",_xlpm.cleanRaw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507118</v>
      </c>
      <c r="H391" t="str">
        <f>""</f>
        <v/>
      </c>
      <c r="I391" t="str">
        <f>""</f>
        <v/>
      </c>
      <c r="J391" t="str">
        <f t="shared" si="6"/>
        <v>W55;GPP_B_18_PMCALERTB;;8.3071;25.5981;707118;507118;;</v>
      </c>
    </row>
    <row r="392" spans="1:10">
      <c r="A392" t="s">
        <v>1018</v>
      </c>
      <c r="B392" t="str">
        <f>_xlfn.XLOOKUP(A392,SITE1!$V$4:$V$1034,SITE1!$U$4:$U$1034,"")</f>
        <v>GPP_C_5_SML0ALERTB</v>
      </c>
      <c r="C392" t="str" cm="1">
        <f t="array" ref="C392">_xlfn.TEXTJOIN(",",TRUE,_xlfn.UNIQUE(TRANSPOSE(_xlfn.MAP(_xlfn.XLOOKUP(A392,SITE1!$C$4:$C$1034,SITE1!$F$4:$O$1034,""),_xlfn.LAMBDA(_xlpm.x,IF(_xlpm.x&lt;&gt;"",TRIM(CLEAN(LEFT(_xlpm.x,FIND(".",_xlpm.x &amp; ".")-1))),""))))))</f>
        <v/>
      </c>
      <c r="D392">
        <v>8.4607999999999901</v>
      </c>
      <c r="E392">
        <v>26.1416</v>
      </c>
      <c r="F392" t="str">
        <f>_xlfn.LET(_xlpm.raw,_xlfn.XLOOKUP(A392,SITE1!$C$4:$C$1034,SITE1!$E$4:$E$1034),_xlpm.cleanRaw,SUBSTITUTE(SUBSTITUTE(_xlpm.raw,"_PIN","."),"PIN","."),_xlpm.mainPart,MID(_xlpm.cleanRaw,2,FIND(".",_xlpm.cleanRaw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701112</v>
      </c>
      <c r="G392" t="str">
        <f>_xlfn.LET(_xlpm.raw,_xlfn.XLOOKUP(A392,SITE3!$C$4:$C$1034,SITE3!$E$4:$E$1034),_xlpm.cleanRaw,SUBSTITUTE(SUBSTITUTE(_xlpm.raw,"_PIN","."),"PIN","."),_xlpm.mainPart,MID(_xlpm.cleanRaw,2,FIND(".",_xlpm.cleanRaw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501112</v>
      </c>
      <c r="H392" t="str">
        <f>""</f>
        <v/>
      </c>
      <c r="I392" t="str">
        <f>""</f>
        <v/>
      </c>
      <c r="J392" t="str">
        <f t="shared" si="6"/>
        <v>W56;GPP_C_5_SML0ALERTB;;8.46079999999999;26.1416;701112;501112;;</v>
      </c>
    </row>
    <row r="393" spans="1:10">
      <c r="A393" t="s">
        <v>1519</v>
      </c>
      <c r="B393" t="str">
        <f>_xlfn.XLOOKUP(A393,SITE1!$V$4:$V$1034,SITE1!$U$4:$U$1034,"")</f>
        <v>GPP_I_13_GSPI1_MOSI</v>
      </c>
      <c r="C393" t="str" cm="1">
        <f t="array" ref="C393">_xlfn.TEXTJOIN(",",TRUE,_xlfn.UNIQUE(TRANSPOSE(_xlfn.MAP(_xlfn.XLOOKUP(A393,SITE1!$C$4:$C$1034,SITE1!$F$4:$O$1034,""),_xlfn.LAMBDA(_xlpm.x,IF(_xlpm.x&lt;&gt;"",TRIM(CLEAN(LEFT(_xlpm.x,FIND(".",_xlpm.x &amp; ".")-1))),""))))))</f>
        <v/>
      </c>
      <c r="D393">
        <v>8.8236999999999899</v>
      </c>
      <c r="E393">
        <v>1.2211999999999901</v>
      </c>
      <c r="F393" t="str">
        <f>_xlfn.LET(_xlpm.raw,_xlfn.XLOOKUP(A393,SITE1!$C$4:$C$1034,SITE1!$E$4:$E$1034),_xlpm.cleanRaw,SUBSTITUTE(SUBSTITUTE(_xlpm.raw,"_PIN","."),"PIN","."),_xlpm.mainPart,MID(_xlpm.cleanRaw,2,FIND(".",_xlpm.cleanRaw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604027</v>
      </c>
      <c r="G393" t="str">
        <f>_xlfn.LET(_xlpm.raw,_xlfn.XLOOKUP(A393,SITE3!$C$4:$C$1034,SITE3!$E$4:$E$1034),_xlpm.cleanRaw,SUBSTITUTE(SUBSTITUTE(_xlpm.raw,"_PIN","."),"PIN","."),_xlpm.mainPart,MID(_xlpm.cleanRaw,2,FIND(".",_xlpm.cleanRaw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804027</v>
      </c>
      <c r="H393" t="str">
        <f>""</f>
        <v/>
      </c>
      <c r="I393" t="str">
        <f>""</f>
        <v/>
      </c>
      <c r="J393" t="str">
        <f t="shared" si="6"/>
        <v>Y3;GPP_I_13_GSPI1_MOSI;;8.82369999999999;1.22119999999999;604027;804027;;</v>
      </c>
    </row>
    <row r="394" spans="1:10">
      <c r="A394" t="s">
        <v>1514</v>
      </c>
      <c r="B394" t="str">
        <f>_xlfn.XLOOKUP(A394,SITE1!$V$4:$V$1034,SITE1!$U$4:$U$1034,"")</f>
        <v>GPP_I_12_GSPI1_MISO_NFC_CLKREQ</v>
      </c>
      <c r="C394" t="str" cm="1">
        <f t="array" ref="C394">_xlfn.TEXTJOIN(",",TRUE,_xlfn.UNIQUE(TRANSPOSE(_xlfn.MAP(_xlfn.XLOOKUP(A394,SITE1!$C$4:$C$1034,SITE1!$F$4:$O$1034,""),_xlfn.LAMBDA(_xlpm.x,IF(_xlpm.x&lt;&gt;"",TRIM(CLEAN(LEFT(_xlpm.x,FIND(".",_xlpm.x &amp; ".")-1))),""))))))</f>
        <v/>
      </c>
      <c r="D394">
        <v>8.9156999999999993</v>
      </c>
      <c r="E394">
        <v>1.7414000000000001</v>
      </c>
      <c r="F394" t="str">
        <f>_xlfn.LET(_xlpm.raw,_xlfn.XLOOKUP(A394,SITE1!$C$4:$C$1034,SITE1!$E$4:$E$1034),_xlpm.cleanRaw,SUBSTITUTE(SUBSTITUTE(_xlpm.raw,"_PIN","."),"PIN","."),_xlpm.mainPart,MID(_xlpm.cleanRaw,2,FIND(".",_xlpm.cleanRaw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701121</v>
      </c>
      <c r="G394" t="str">
        <f>_xlfn.LET(_xlpm.raw,_xlfn.XLOOKUP(A394,SITE3!$C$4:$C$1034,SITE3!$E$4:$E$1034),_xlpm.cleanRaw,SUBSTITUTE(SUBSTITUTE(_xlpm.raw,"_PIN","."),"PIN","."),_xlpm.mainPart,MID(_xlpm.cleanRaw,2,FIND(".",_xlpm.cleanRaw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501121</v>
      </c>
      <c r="H394" t="str">
        <f>""</f>
        <v/>
      </c>
      <c r="I394" t="str">
        <f>""</f>
        <v/>
      </c>
      <c r="J394" t="str">
        <f t="shared" si="6"/>
        <v>Y4;GPP_I_12_GSPI1_MISO_NFC_CLKREQ;;8.9157;1.7414;701121;501121;;</v>
      </c>
    </row>
    <row r="395" spans="1:10">
      <c r="A395" t="s">
        <v>4101</v>
      </c>
      <c r="B395" t="str">
        <f>_xlfn.XLOOKUP(A395,SITE1!$V$4:$V$1034,SITE1!$U$4:$U$1034,"")</f>
        <v>XTAL_IN</v>
      </c>
      <c r="C395" t="str" cm="1">
        <f t="array" ref="C395">_xlfn.TEXTJOIN(",",TRUE,_xlfn.UNIQUE(TRANSPOSE(_xlfn.MAP(_xlfn.XLOOKUP(A395,SITE1!$C$4:$C$1034,SITE1!$F$4:$O$1034,""),_xlfn.LAMBDA(_xlpm.x,IF(_xlpm.x&lt;&gt;"",TRIM(CLEAN(LEFT(_xlpm.x,FIND(".",_xlpm.x &amp; ".")-1))),""))))))</f>
        <v>RA112,RA113,RA114</v>
      </c>
      <c r="D395">
        <v>8.6042999999999896</v>
      </c>
      <c r="E395">
        <v>2.3915999999999999</v>
      </c>
      <c r="F395" t="str">
        <f>_xlfn.LET(_xlpm.raw,_xlfn.XLOOKUP(A395,SITE1!$C$4:$C$1034,SITE1!$E$4:$E$1034),_xlpm.cleanRaw,SUBSTITUTE(SUBSTITUTE(_xlpm.raw,"_PIN","."),"PIN","."),_xlpm.mainPart,MID(_xlpm.cleanRaw,2,FIND(".",_xlpm.cleanRaw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607027</v>
      </c>
      <c r="G395" t="str">
        <f>_xlfn.LET(_xlpm.raw,_xlfn.XLOOKUP(A395,SITE3!$C$4:$C$1034,SITE3!$E$4:$E$1034),_xlpm.cleanRaw,SUBSTITUTE(SUBSTITUTE(_xlpm.raw,"_PIN","."),"PIN","."),_xlpm.mainPart,MID(_xlpm.cleanRaw,2,FIND(".",_xlpm.cleanRaw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807027</v>
      </c>
      <c r="H395" t="str">
        <f>""</f>
        <v/>
      </c>
      <c r="I395" t="str">
        <f>""</f>
        <v/>
      </c>
      <c r="J395" t="str">
        <f t="shared" si="6"/>
        <v>Y6;XTAL_IN;RA112,RA113,RA114;8.60429999999999;2.3916;607027;807027;;</v>
      </c>
    </row>
    <row r="396" spans="1:10">
      <c r="A396" t="s">
        <v>4111</v>
      </c>
      <c r="B396" t="str">
        <f>_xlfn.XLOOKUP(A396,SITE1!$V$4:$V$1034,SITE1!$U$4:$U$1034,"")</f>
        <v>XTAL_OUT</v>
      </c>
      <c r="C396" t="str" cm="1">
        <f t="array" ref="C396">_xlfn.TEXTJOIN(",",TRUE,_xlfn.UNIQUE(TRANSPOSE(_xlfn.MAP(_xlfn.XLOOKUP(A396,SITE1!$C$4:$C$1034,SITE1!$F$4:$O$1034,""),_xlfn.LAMBDA(_xlpm.x,IF(_xlpm.x&lt;&gt;"",TRIM(CLEAN(LEFT(_xlpm.x,FIND(".",_xlpm.x &amp; ".")-1))),""))))))</f>
        <v/>
      </c>
      <c r="D396">
        <v>8.7947999999999897</v>
      </c>
      <c r="E396">
        <v>3.08</v>
      </c>
      <c r="F396" t="str">
        <f>_xlfn.LET(_xlpm.raw,_xlfn.XLOOKUP(A396,SITE1!$C$4:$C$1034,SITE1!$E$4:$E$1034),_xlpm.cleanRaw,SUBSTITUTE(SUBSTITUTE(_xlpm.raw,"_PIN","."),"PIN","."),_xlpm.mainPart,MID(_xlpm.cleanRaw,2,FIND(".",_xlpm.cleanRaw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607025</v>
      </c>
      <c r="G396" t="str">
        <f>_xlfn.LET(_xlpm.raw,_xlfn.XLOOKUP(A396,SITE3!$C$4:$C$1034,SITE3!$E$4:$E$1034),_xlpm.cleanRaw,SUBSTITUTE(SUBSTITUTE(_xlpm.raw,"_PIN","."),"PIN","."),_xlpm.mainPart,MID(_xlpm.cleanRaw,2,FIND(".",_xlpm.cleanRaw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807025</v>
      </c>
      <c r="H396" t="str">
        <f>""</f>
        <v/>
      </c>
      <c r="I396" t="str">
        <f>""</f>
        <v/>
      </c>
      <c r="J396" t="str">
        <f t="shared" si="6"/>
        <v>Y7;XTAL_OUT;;8.79479999999999;3.08;607025;807025;;</v>
      </c>
    </row>
    <row r="397" spans="1:10">
      <c r="A397" t="s">
        <v>4081</v>
      </c>
      <c r="B397" t="str">
        <f>_xlfn.XLOOKUP(A397,SITE1!$V$4:$V$1034,SITE1!$U$4:$U$1034,"")</f>
        <v>VSS</v>
      </c>
      <c r="C397" t="str" cm="1">
        <f t="array" ref="C397">_xlfn.TEXTJOIN(",",TRUE,_xlfn.UNIQUE(TRANSPOSE(_xlfn.MAP(_xlfn.XLOOKUP(A397,SITE1!$C$4:$C$1034,SITE1!$F$4:$O$1034,""),_xlfn.LAMBDA(_xlpm.x,IF(_xlpm.x&lt;&gt;"",TRIM(CLEAN(LEFT(_xlpm.x,FIND(".",_xlpm.x &amp; ".")-1))),""))))))</f>
        <v/>
      </c>
      <c r="D397">
        <v>8.9852999999999899</v>
      </c>
      <c r="E397">
        <v>3.7683</v>
      </c>
      <c r="F397" t="str">
        <f>_xlfn.LET(_xlpm.raw,_xlfn.XLOOKUP(A397,SITE1!$C$4:$C$1034,SITE1!$E$4:$E$1034),_xlpm.cleanRaw,SUBSTITUTE(SUBSTITUTE(_xlpm.raw,"_PIN","."),"PIN","."),_xlpm.mainPart,MID(_xlpm.cleanRaw,2,FIND(".",_xlpm.cleanRaw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7" t="str">
        <f>_xlfn.LET(_xlpm.raw,_xlfn.XLOOKUP(A397,SITE3!$C$4:$C$1034,SITE3!$E$4:$E$1034),_xlpm.cleanRaw,SUBSTITUTE(SUBSTITUTE(_xlpm.raw,"_PIN","."),"PIN","."),_xlpm.mainPart,MID(_xlpm.cleanRaw,2,FIND(".",_xlpm.cleanRaw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7" t="str">
        <f>""</f>
        <v/>
      </c>
      <c r="I397" t="str">
        <f>""</f>
        <v/>
      </c>
      <c r="J397" t="str">
        <f t="shared" si="6"/>
        <v>Y9;VSS;;8.98529999999999;3.7683;;;;</v>
      </c>
    </row>
    <row r="398" spans="1:10">
      <c r="A398" t="s">
        <v>4076</v>
      </c>
      <c r="B398" t="str">
        <f>_xlfn.XLOOKUP(A398,SITE1!$V$4:$V$1034,SITE1!$U$4:$U$1034,"")</f>
        <v>VSS</v>
      </c>
      <c r="C398" t="str" cm="1">
        <f t="array" ref="C398">_xlfn.TEXTJOIN(",",TRUE,_xlfn.UNIQUE(TRANSPOSE(_xlfn.MAP(_xlfn.XLOOKUP(A398,SITE1!$C$4:$C$1034,SITE1!$F$4:$O$1034,""),_xlfn.LAMBDA(_xlpm.x,IF(_xlpm.x&lt;&gt;"",TRIM(CLEAN(LEFT(_xlpm.x,FIND(".",_xlpm.x &amp; ".")-1))),""))))))</f>
        <v/>
      </c>
      <c r="D398">
        <v>8.8454999999999995</v>
      </c>
      <c r="E398">
        <v>5.7642999999999898</v>
      </c>
      <c r="F398" t="str">
        <f>_xlfn.LET(_xlpm.raw,_xlfn.XLOOKUP(A398,SITE1!$C$4:$C$1034,SITE1!$E$4:$E$1034),_xlpm.cleanRaw,SUBSTITUTE(SUBSTITUTE(_xlpm.raw,"_PIN","."),"PIN","."),_xlpm.mainPart,MID(_xlpm.cleanRaw,2,FIND(".",_xlpm.cleanRaw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8" t="str">
        <f>_xlfn.LET(_xlpm.raw,_xlfn.XLOOKUP(A398,SITE3!$C$4:$C$1034,SITE3!$E$4:$E$1034),_xlpm.cleanRaw,SUBSTITUTE(SUBSTITUTE(_xlpm.raw,"_PIN","."),"PIN","."),_xlpm.mainPart,MID(_xlpm.cleanRaw,2,FIND(".",_xlpm.cleanRaw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8" t="str">
        <f>""</f>
        <v/>
      </c>
      <c r="I398" t="str">
        <f>""</f>
        <v/>
      </c>
      <c r="J398" t="str">
        <f t="shared" si="6"/>
        <v>Y13;VSS;;8.8455;5.76429999999999;;;;</v>
      </c>
    </row>
    <row r="399" spans="1:10">
      <c r="A399" t="s">
        <v>4088</v>
      </c>
      <c r="B399" t="str">
        <f>_xlfn.XLOOKUP(A399,SITE1!$V$4:$V$1034,SITE1!$U$4:$U$1034,"")</f>
        <v>XCKPLL_MON_N</v>
      </c>
      <c r="C399" t="str" cm="1">
        <f t="array" ref="C399">_xlfn.TEXTJOIN(",",TRUE,_xlfn.UNIQUE(TRANSPOSE(_xlfn.MAP(_xlfn.XLOOKUP(A399,SITE1!$C$4:$C$1034,SITE1!$F$4:$O$1034,""),_xlfn.LAMBDA(_xlpm.x,IF(_xlpm.x&lt;&gt;"",TRIM(CLEAN(LEFT(_xlpm.x,FIND(".",_xlpm.x &amp; ".")-1))),""))))))</f>
        <v>TPA603</v>
      </c>
      <c r="D399">
        <v>8.8454999999999995</v>
      </c>
      <c r="E399">
        <v>6.4882</v>
      </c>
      <c r="F399" t="str">
        <f>_xlfn.LET(_xlpm.raw,_xlfn.XLOOKUP(A399,SITE1!$C$4:$C$1034,SITE1!$E$4:$E$1034),_xlpm.cleanRaw,SUBSTITUTE(SUBSTITUTE(_xlpm.raw,"_PIN","."),"PIN","."),_xlpm.mainPart,MID(_xlpm.cleanRaw,2,FIND(".",_xlpm.cleanRaw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604018</v>
      </c>
      <c r="G399" t="str">
        <f>_xlfn.LET(_xlpm.raw,_xlfn.XLOOKUP(A399,SITE3!$C$4:$C$1034,SITE3!$E$4:$E$1034),_xlpm.cleanRaw,SUBSTITUTE(SUBSTITUTE(_xlpm.raw,"_PIN","."),"PIN","."),_xlpm.mainPart,MID(_xlpm.cleanRaw,2,FIND(".",_xlpm.cleanRaw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804018</v>
      </c>
      <c r="H399" t="str">
        <f>""</f>
        <v/>
      </c>
      <c r="I399" t="str">
        <f>""</f>
        <v/>
      </c>
      <c r="J399" t="str">
        <f t="shared" si="6"/>
        <v>Y14;XCKPLL_MON_N;TPA603;8.8455;6.4882;604018;804018;;</v>
      </c>
    </row>
    <row r="400" spans="1:10">
      <c r="A400" t="s">
        <v>4095</v>
      </c>
      <c r="B400" t="str">
        <f>_xlfn.XLOOKUP(A400,SITE1!$V$4:$V$1034,SITE1!$U$4:$U$1034,"")</f>
        <v>XCKPLL_MON_P</v>
      </c>
      <c r="C400" t="str" cm="1">
        <f t="array" ref="C400">_xlfn.TEXTJOIN(",",TRUE,_xlfn.UNIQUE(TRANSPOSE(_xlfn.MAP(_xlfn.XLOOKUP(A400,SITE1!$C$4:$C$1034,SITE1!$F$4:$O$1034,""),_xlfn.LAMBDA(_xlpm.x,IF(_xlpm.x&lt;&gt;"",TRIM(CLEAN(LEFT(_xlpm.x,FIND(".",_xlpm.x &amp; ".")-1))),""))))))</f>
        <v>TPA604</v>
      </c>
      <c r="D400">
        <v>8.8454999999999995</v>
      </c>
      <c r="E400">
        <v>7.2120999999999897</v>
      </c>
      <c r="F400" t="str">
        <f>_xlfn.LET(_xlpm.raw,_xlfn.XLOOKUP(A400,SITE1!$C$4:$C$1034,SITE1!$E$4:$E$1034),_xlpm.cleanRaw,SUBSTITUTE(SUBSTITUTE(_xlpm.raw,"_PIN","."),"PIN","."),_xlpm.mainPart,MID(_xlpm.cleanRaw,2,FIND(".",_xlpm.cleanRaw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604016</v>
      </c>
      <c r="G400" t="str">
        <f>_xlfn.LET(_xlpm.raw,_xlfn.XLOOKUP(A400,SITE3!$C$4:$C$1034,SITE3!$E$4:$E$1034),_xlpm.cleanRaw,SUBSTITUTE(SUBSTITUTE(_xlpm.raw,"_PIN","."),"PIN","."),_xlpm.mainPart,MID(_xlpm.cleanRaw,2,FIND(".",_xlpm.cleanRaw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804016</v>
      </c>
      <c r="H400" t="str">
        <f>""</f>
        <v/>
      </c>
      <c r="I400" t="str">
        <f>""</f>
        <v/>
      </c>
      <c r="J400" t="str">
        <f t="shared" si="6"/>
        <v>Y16;XCKPLL_MON_P;TPA604;8.8455;7.21209999999999;604016;804016;;</v>
      </c>
    </row>
    <row r="401" spans="1:10">
      <c r="A401" t="s">
        <v>626</v>
      </c>
      <c r="B401" t="str">
        <f>_xlfn.XLOOKUP(A401,SITE1!$V$4:$V$1034,SITE1!$U$4:$U$1034,"")</f>
        <v>EDM1</v>
      </c>
      <c r="C401" t="str" cm="1">
        <f t="array" ref="C401">_xlfn.TEXTJOIN(",",TRUE,_xlfn.UNIQUE(TRANSPOSE(_xlfn.MAP(_xlfn.XLOOKUP(A401,SITE1!$C$4:$C$1034,SITE1!$F$4:$O$1034,""),_xlfn.LAMBDA(_xlpm.x,IF(_xlpm.x&lt;&gt;"",TRIM(CLEAN(LEFT(_xlpm.x,FIND(".",_xlpm.x &amp; ".")-1))),""))))))</f>
        <v>RA524,TPA610,JA3</v>
      </c>
      <c r="D401">
        <v>8.8454999999999995</v>
      </c>
      <c r="E401">
        <v>7.9359999999999999</v>
      </c>
      <c r="F401" t="str">
        <f>_xlfn.LET(_xlpm.raw,_xlfn.XLOOKUP(A401,SITE1!$C$4:$C$1034,SITE1!$E$4:$E$1034),_xlpm.cleanRaw,SUBSTITUTE(SUBSTITUTE(_xlpm.raw,"_PIN","."),"PIN","."),_xlpm.mainPart,MID(_xlpm.cleanRaw,2,FIND(".",_xlpm.cleanRaw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605042</v>
      </c>
      <c r="G401" t="str">
        <f>_xlfn.LET(_xlpm.raw,_xlfn.XLOOKUP(A401,SITE3!$C$4:$C$1034,SITE3!$E$4:$E$1034),_xlpm.cleanRaw,SUBSTITUTE(SUBSTITUTE(_xlpm.raw,"_PIN","."),"PIN","."),_xlpm.mainPart,MID(_xlpm.cleanRaw,2,FIND(".",_xlpm.cleanRaw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805042</v>
      </c>
      <c r="H401" t="str">
        <f>""</f>
        <v/>
      </c>
      <c r="I401" t="str">
        <f>""</f>
        <v/>
      </c>
      <c r="J401" t="str">
        <f t="shared" si="6"/>
        <v>Y17;EDM1;RA524,TPA610,JA3;8.8455;7.936;605042;805042;;</v>
      </c>
    </row>
    <row r="402" spans="1:10">
      <c r="A402" t="s">
        <v>639</v>
      </c>
      <c r="B402" t="str">
        <f>_xlfn.XLOOKUP(A402,SITE1!$V$4:$V$1034,SITE1!$U$4:$U$1034,"")</f>
        <v>EDM2</v>
      </c>
      <c r="C402" t="str" cm="1">
        <f t="array" ref="C402">_xlfn.TEXTJOIN(",",TRUE,_xlfn.UNIQUE(TRANSPOSE(_xlfn.MAP(_xlfn.XLOOKUP(A402,SITE1!$C$4:$C$1034,SITE1!$F$4:$O$1034,""),_xlfn.LAMBDA(_xlpm.x,IF(_xlpm.x&lt;&gt;"",TRIM(CLEAN(LEFT(_xlpm.x,FIND(".",_xlpm.x &amp; ".")-1))),""))))))</f>
        <v>TPA609</v>
      </c>
      <c r="D402">
        <v>8.8454999999999995</v>
      </c>
      <c r="E402">
        <v>8.6599000000000004</v>
      </c>
      <c r="F402" t="str">
        <f>_xlfn.LET(_xlpm.raw,_xlfn.XLOOKUP(A402,SITE1!$C$4:$C$1034,SITE1!$E$4:$E$1034),_xlpm.cleanRaw,SUBSTITUTE(SUBSTITUTE(_xlpm.raw,"_PIN","."),"PIN","."),_xlpm.mainPart,MID(_xlpm.cleanRaw,2,FIND(".",_xlpm.cleanRaw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606086</v>
      </c>
      <c r="G402" t="str">
        <f>_xlfn.LET(_xlpm.raw,_xlfn.XLOOKUP(A402,SITE3!$C$4:$C$1034,SITE3!$E$4:$E$1034),_xlpm.cleanRaw,SUBSTITUTE(SUBSTITUTE(_xlpm.raw,"_PIN","."),"PIN","."),_xlpm.mainPart,MID(_xlpm.cleanRaw,2,FIND(".",_xlpm.cleanRaw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806086</v>
      </c>
      <c r="H402" t="str">
        <f>""</f>
        <v/>
      </c>
      <c r="I402" t="str">
        <f>""</f>
        <v/>
      </c>
      <c r="J402" t="str">
        <f t="shared" si="6"/>
        <v>Y19;EDM2;TPA609;8.8455;8.6599;606086;806086;;</v>
      </c>
    </row>
    <row r="403" spans="1:10">
      <c r="A403" t="s">
        <v>4077</v>
      </c>
      <c r="B403" t="str">
        <f>_xlfn.XLOOKUP(A403,SITE1!$V$4:$V$1034,SITE1!$U$4:$U$1034,"")</f>
        <v>VSS</v>
      </c>
      <c r="C403" t="str" cm="1">
        <f t="array" ref="C403">_xlfn.TEXTJOIN(",",TRUE,_xlfn.UNIQUE(TRANSPOSE(_xlfn.MAP(_xlfn.XLOOKUP(A403,SITE1!$C$4:$C$1034,SITE1!$F$4:$O$1034,""),_xlfn.LAMBDA(_xlpm.x,IF(_xlpm.x&lt;&gt;"",TRIM(CLEAN(LEFT(_xlpm.x,FIND(".",_xlpm.x &amp; ".")-1))),""))))))</f>
        <v/>
      </c>
      <c r="D403">
        <v>8.6646999999999998</v>
      </c>
      <c r="E403">
        <v>10.103899999999999</v>
      </c>
      <c r="F403" t="str">
        <f>_xlfn.LET(_xlpm.raw,_xlfn.XLOOKUP(A403,SITE1!$C$4:$C$1034,SITE1!$E$4:$E$1034),_xlpm.cleanRaw,SUBSTITUTE(SUBSTITUTE(_xlpm.raw,"_PIN","."),"PIN","."),_xlpm.mainPart,MID(_xlpm.cleanRaw,2,FIND(".",_xlpm.cleanRaw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3" t="str">
        <f>_xlfn.LET(_xlpm.raw,_xlfn.XLOOKUP(A403,SITE3!$C$4:$C$1034,SITE3!$E$4:$E$1034),_xlpm.cleanRaw,SUBSTITUTE(SUBSTITUTE(_xlpm.raw,"_PIN","."),"PIN","."),_xlpm.mainPart,MID(_xlpm.cleanRaw,2,FIND(".",_xlpm.cleanRaw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3" t="str">
        <f>""</f>
        <v/>
      </c>
      <c r="I403" t="str">
        <f>""</f>
        <v/>
      </c>
      <c r="J403" t="str">
        <f t="shared" si="6"/>
        <v>Y22;VSS;;8.6647;10.1039;;;;</v>
      </c>
    </row>
    <row r="404" spans="1:10">
      <c r="A404" t="s">
        <v>3678</v>
      </c>
      <c r="B404" t="str">
        <f>_xlfn.XLOOKUP(A404,SITE1!$V$4:$V$1034,SITE1!$U$4:$U$1034,"")</f>
        <v>VFSOURCE_0_1P8_EHV</v>
      </c>
      <c r="C404" t="str" cm="1">
        <f t="array" ref="C404">_xlfn.TEXTJOIN(",",TRUE,_xlfn.UNIQUE(TRANSPOSE(_xlfn.MAP(_xlfn.XLOOKUP(A404,SITE1!$C$4:$C$1034,SITE1!$F$4:$O$1034,""),_xlfn.LAMBDA(_xlpm.x,IF(_xlpm.x&lt;&gt;"",TRIM(CLEAN(LEFT(_xlpm.x,FIND(".",_xlpm.x &amp; ".")-1))),""))))))</f>
        <v/>
      </c>
      <c r="D404">
        <v>8.6646999999999998</v>
      </c>
      <c r="E404">
        <v>11.0946</v>
      </c>
      <c r="F404" t="str">
        <f>_xlfn.LET(_xlpm.raw,_xlfn.XLOOKUP(A404,SITE1!$C$4:$C$1034,SITE1!$E$4:$E$1034),_xlpm.cleanRaw,SUBSTITUTE(SUBSTITUTE(_xlpm.raw,"_PIN","."),"PIN","."),_xlpm.mainPart,MID(_xlpm.cleanRaw,2,FIND(".",_xlpm.cleanRaw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4" t="str">
        <f>_xlfn.LET(_xlpm.raw,_xlfn.XLOOKUP(A404,SITE3!$C$4:$C$1034,SITE3!$E$4:$E$1034),_xlpm.cleanRaw,SUBSTITUTE(SUBSTITUTE(_xlpm.raw,"_PIN","."),"PIN","."),_xlpm.mainPart,MID(_xlpm.cleanRaw,2,FIND(".",_xlpm.cleanRaw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4" t="str">
        <f>""</f>
        <v/>
      </c>
      <c r="I404" t="str">
        <f>""</f>
        <v/>
      </c>
      <c r="J404" t="str">
        <f t="shared" si="6"/>
        <v>Y24;VFSOURCE_0_1P8_EHV;;8.6647;11.0946;;;;</v>
      </c>
    </row>
    <row r="405" spans="1:10">
      <c r="A405" t="s">
        <v>3674</v>
      </c>
      <c r="B405" t="str">
        <f>_xlfn.XLOOKUP(A405,SITE1!$V$4:$V$1034,SITE1!$U$4:$U$1034,"")</f>
        <v>VDDWL_1_1P8_EHV</v>
      </c>
      <c r="C405" t="str" cm="1">
        <f t="array" ref="C405">_xlfn.TEXTJOIN(",",TRUE,_xlfn.UNIQUE(TRANSPOSE(_xlfn.MAP(_xlfn.XLOOKUP(A405,SITE1!$C$4:$C$1034,SITE1!$F$4:$O$1034,""),_xlfn.LAMBDA(_xlpm.x,IF(_xlpm.x&lt;&gt;"",TRIM(CLEAN(LEFT(_xlpm.x,FIND(".",_xlpm.x &amp; ".")-1))),""))))))</f>
        <v/>
      </c>
      <c r="D405">
        <v>8.6646999999999998</v>
      </c>
      <c r="E405">
        <v>12.0853</v>
      </c>
      <c r="F405" t="str">
        <f>_xlfn.LET(_xlpm.raw,_xlfn.XLOOKUP(A405,SITE1!$C$4:$C$1034,SITE1!$E$4:$E$1034),_xlpm.cleanRaw,SUBSTITUTE(SUBSTITUTE(_xlpm.raw,"_PIN","."),"PIN","."),_xlpm.mainPart,MID(_xlpm.cleanRaw,2,FIND(".",_xlpm.cleanRaw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5" t="str">
        <f>_xlfn.LET(_xlpm.raw,_xlfn.XLOOKUP(A405,SITE3!$C$4:$C$1034,SITE3!$E$4:$E$1034),_xlpm.cleanRaw,SUBSTITUTE(SUBSTITUTE(_xlpm.raw,"_PIN","."),"PIN","."),_xlpm.mainPart,MID(_xlpm.cleanRaw,2,FIND(".",_xlpm.cleanRaw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5" t="str">
        <f>""</f>
        <v/>
      </c>
      <c r="I405" t="str">
        <f>""</f>
        <v/>
      </c>
      <c r="J405" t="str">
        <f t="shared" si="6"/>
        <v>Y26;VDDWL_1_1P8_EHV;;8.6647;12.0853;;;;</v>
      </c>
    </row>
    <row r="406" spans="1:10">
      <c r="A406" t="s">
        <v>4078</v>
      </c>
      <c r="B406" t="str">
        <f>_xlfn.XLOOKUP(A406,SITE1!$V$4:$V$1034,SITE1!$U$4:$U$1034,"")</f>
        <v>VSS</v>
      </c>
      <c r="C406" t="str" cm="1">
        <f t="array" ref="C406">_xlfn.TEXTJOIN(",",TRUE,_xlfn.UNIQUE(TRANSPOSE(_xlfn.MAP(_xlfn.XLOOKUP(A406,SITE1!$C$4:$C$1034,SITE1!$F$4:$O$1034,""),_xlfn.LAMBDA(_xlpm.x,IF(_xlpm.x&lt;&gt;"",TRIM(CLEAN(LEFT(_xlpm.x,FIND(".",_xlpm.x &amp; ".")-1))),""))))))</f>
        <v/>
      </c>
      <c r="D406">
        <v>8.6646999999999998</v>
      </c>
      <c r="E406">
        <v>12.86</v>
      </c>
      <c r="F406" t="str">
        <f>_xlfn.LET(_xlpm.raw,_xlfn.XLOOKUP(A406,SITE1!$C$4:$C$1034,SITE1!$E$4:$E$1034),_xlpm.cleanRaw,SUBSTITUTE(SUBSTITUTE(_xlpm.raw,"_PIN","."),"PIN","."),_xlpm.mainPart,MID(_xlpm.cleanRaw,2,FIND(".",_xlpm.cleanRaw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6" t="str">
        <f>_xlfn.LET(_xlpm.raw,_xlfn.XLOOKUP(A406,SITE3!$C$4:$C$1034,SITE3!$E$4:$E$1034),_xlpm.cleanRaw,SUBSTITUTE(SUBSTITUTE(_xlpm.raw,"_PIN","."),"PIN","."),_xlpm.mainPart,MID(_xlpm.cleanRaw,2,FIND(".",_xlpm.cleanRaw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6" t="str">
        <f>""</f>
        <v/>
      </c>
      <c r="I406" t="str">
        <f>""</f>
        <v/>
      </c>
      <c r="J406" t="str">
        <f t="shared" si="6"/>
        <v>Y28;VSS;;8.6647;12.86;;;;</v>
      </c>
    </row>
    <row r="407" spans="1:10">
      <c r="A407" t="s">
        <v>3578</v>
      </c>
      <c r="B407" t="str">
        <f>_xlfn.XLOOKUP(A407,SITE1!$V$4:$V$1034,SITE1!$U$4:$U$1034,"")</f>
        <v>VCCMPHY_0P82</v>
      </c>
      <c r="C407" t="str" cm="1">
        <f t="array" ref="C407">_xlfn.TEXTJOIN(",",TRUE,_xlfn.UNIQUE(TRANSPOSE(_xlfn.MAP(_xlfn.XLOOKUP(A407,SITE1!$C$4:$C$1034,SITE1!$F$4:$O$1034,""),_xlfn.LAMBDA(_xlpm.x,IF(_xlpm.x&lt;&gt;"",TRIM(CLEAN(LEFT(_xlpm.x,FIND(".",_xlpm.x &amp; ".")-1))),""))))))</f>
        <v/>
      </c>
      <c r="D407">
        <v>8.6646999999999998</v>
      </c>
      <c r="E407">
        <v>14.0182</v>
      </c>
      <c r="F407" t="str">
        <f>_xlfn.LET(_xlpm.raw,_xlfn.XLOOKUP(A407,SITE1!$C$4:$C$1034,SITE1!$E$4:$E$1034),_xlpm.cleanRaw,SUBSTITUTE(SUBSTITUTE(_xlpm.raw,"_PIN","."),"PIN","."),_xlpm.mainPart,MID(_xlpm.cleanRaw,2,FIND(".",_xlpm.cleanRaw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7" t="str">
        <f>_xlfn.LET(_xlpm.raw,_xlfn.XLOOKUP(A407,SITE3!$C$4:$C$1034,SITE3!$E$4:$E$1034),_xlpm.cleanRaw,SUBSTITUTE(SUBSTITUTE(_xlpm.raw,"_PIN","."),"PIN","."),_xlpm.mainPart,MID(_xlpm.cleanRaw,2,FIND(".",_xlpm.cleanRaw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7" t="str">
        <f>""</f>
        <v/>
      </c>
      <c r="I407" t="str">
        <f>""</f>
        <v/>
      </c>
      <c r="J407" t="str">
        <f t="shared" si="6"/>
        <v>Y30;VCCMPHY_0P82;;8.6647;14.0182;;;;</v>
      </c>
    </row>
    <row r="408" spans="1:10">
      <c r="A408" t="s">
        <v>3579</v>
      </c>
      <c r="B408" t="str">
        <f>_xlfn.XLOOKUP(A408,SITE1!$V$4:$V$1034,SITE1!$U$4:$U$1034,"")</f>
        <v>VCCMPHY_0P82</v>
      </c>
      <c r="C408" t="str" cm="1">
        <f t="array" ref="C408">_xlfn.TEXTJOIN(",",TRUE,_xlfn.UNIQUE(TRANSPOSE(_xlfn.MAP(_xlfn.XLOOKUP(A408,SITE1!$C$4:$C$1034,SITE1!$F$4:$O$1034,""),_xlfn.LAMBDA(_xlpm.x,IF(_xlpm.x&lt;&gt;"",TRIM(CLEAN(LEFT(_xlpm.x,FIND(".",_xlpm.x &amp; ".")-1))),""))))))</f>
        <v/>
      </c>
      <c r="D408">
        <v>8.6646999999999998</v>
      </c>
      <c r="E408">
        <v>14.792899999999999</v>
      </c>
      <c r="F408" t="str">
        <f>_xlfn.LET(_xlpm.raw,_xlfn.XLOOKUP(A408,SITE1!$C$4:$C$1034,SITE1!$E$4:$E$1034),_xlpm.cleanRaw,SUBSTITUTE(SUBSTITUTE(_xlpm.raw,"_PIN","."),"PIN","."),_xlpm.mainPart,MID(_xlpm.cleanRaw,2,FIND(".",_xlpm.cleanRaw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8" t="str">
        <f>_xlfn.LET(_xlpm.raw,_xlfn.XLOOKUP(A408,SITE3!$C$4:$C$1034,SITE3!$E$4:$E$1034),_xlpm.cleanRaw,SUBSTITUTE(SUBSTITUTE(_xlpm.raw,"_PIN","."),"PIN","."),_xlpm.mainPart,MID(_xlpm.cleanRaw,2,FIND(".",_xlpm.cleanRaw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8" t="str">
        <f>""</f>
        <v/>
      </c>
      <c r="I408" t="str">
        <f>""</f>
        <v/>
      </c>
      <c r="J408" t="str">
        <f t="shared" si="6"/>
        <v>Y32;VCCMPHY_0P82;;8.6647;14.7929;;;;</v>
      </c>
    </row>
    <row r="409" spans="1:10">
      <c r="A409" t="s">
        <v>3580</v>
      </c>
      <c r="B409" t="str">
        <f>_xlfn.XLOOKUP(A409,SITE1!$V$4:$V$1034,SITE1!$U$4:$U$1034,"")</f>
        <v>VCCMPHY_0P82</v>
      </c>
      <c r="C409" t="str" cm="1">
        <f t="array" ref="C409">_xlfn.TEXTJOIN(",",TRUE,_xlfn.UNIQUE(TRANSPOSE(_xlfn.MAP(_xlfn.XLOOKUP(A409,SITE1!$C$4:$C$1034,SITE1!$F$4:$O$1034,""),_xlfn.LAMBDA(_xlpm.x,IF(_xlpm.x&lt;&gt;"",TRIM(CLEAN(LEFT(_xlpm.x,FIND(".",_xlpm.x &amp; ".")-1))),""))))))</f>
        <v/>
      </c>
      <c r="D409">
        <v>8.6646999999999998</v>
      </c>
      <c r="E409">
        <v>15.7836</v>
      </c>
      <c r="F409" t="str">
        <f>_xlfn.LET(_xlpm.raw,_xlfn.XLOOKUP(A409,SITE1!$C$4:$C$1034,SITE1!$E$4:$E$1034),_xlpm.cleanRaw,SUBSTITUTE(SUBSTITUTE(_xlpm.raw,"_PIN","."),"PIN","."),_xlpm.mainPart,MID(_xlpm.cleanRaw,2,FIND(".",_xlpm.cleanRaw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9" t="str">
        <f>_xlfn.LET(_xlpm.raw,_xlfn.XLOOKUP(A409,SITE3!$C$4:$C$1034,SITE3!$E$4:$E$1034),_xlpm.cleanRaw,SUBSTITUTE(SUBSTITUTE(_xlpm.raw,"_PIN","."),"PIN","."),_xlpm.mainPart,MID(_xlpm.cleanRaw,2,FIND(".",_xlpm.cleanRaw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9" t="str">
        <f>""</f>
        <v/>
      </c>
      <c r="I409" t="str">
        <f>""</f>
        <v/>
      </c>
      <c r="J409" t="str">
        <f t="shared" si="6"/>
        <v>Y34;VCCMPHY_0P82;;8.6647;15.7836;;;;</v>
      </c>
    </row>
    <row r="410" spans="1:10">
      <c r="A410" t="s">
        <v>3581</v>
      </c>
      <c r="B410" t="str">
        <f>_xlfn.XLOOKUP(A410,SITE1!$V$4:$V$1034,SITE1!$U$4:$U$1034,"")</f>
        <v>VCCMPHY_0P82</v>
      </c>
      <c r="C410" t="str" cm="1">
        <f t="array" ref="C410">_xlfn.TEXTJOIN(",",TRUE,_xlfn.UNIQUE(TRANSPOSE(_xlfn.MAP(_xlfn.XLOOKUP(A410,SITE1!$C$4:$C$1034,SITE1!$F$4:$O$1034,""),_xlfn.LAMBDA(_xlpm.x,IF(_xlpm.x&lt;&gt;"",TRIM(CLEAN(LEFT(_xlpm.x,FIND(".",_xlpm.x &amp; ".")-1))),""))))))</f>
        <v/>
      </c>
      <c r="D410">
        <v>8.6646999999999998</v>
      </c>
      <c r="E410">
        <v>16.7743</v>
      </c>
      <c r="F410" t="str">
        <f>_xlfn.LET(_xlpm.raw,_xlfn.XLOOKUP(A410,SITE1!$C$4:$C$1034,SITE1!$E$4:$E$1034),_xlpm.cleanRaw,SUBSTITUTE(SUBSTITUTE(_xlpm.raw,"_PIN","."),"PIN","."),_xlpm.mainPart,MID(_xlpm.cleanRaw,2,FIND(".",_xlpm.cleanRaw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0" t="str">
        <f>_xlfn.LET(_xlpm.raw,_xlfn.XLOOKUP(A410,SITE3!$C$4:$C$1034,SITE3!$E$4:$E$1034),_xlpm.cleanRaw,SUBSTITUTE(SUBSTITUTE(_xlpm.raw,"_PIN","."),"PIN","."),_xlpm.mainPart,MID(_xlpm.cleanRaw,2,FIND(".",_xlpm.cleanRaw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0" t="str">
        <f>""</f>
        <v/>
      </c>
      <c r="I410" t="str">
        <f>""</f>
        <v/>
      </c>
      <c r="J410" t="str">
        <f t="shared" si="6"/>
        <v>Y36;VCCMPHY_0P82;;8.6647;16.7743;;;;</v>
      </c>
    </row>
    <row r="411" spans="1:10">
      <c r="A411" t="s">
        <v>4079</v>
      </c>
      <c r="B411" t="str">
        <f>_xlfn.XLOOKUP(A411,SITE1!$V$4:$V$1034,SITE1!$U$4:$U$1034,"")</f>
        <v>VSS</v>
      </c>
      <c r="C411" t="str" cm="1">
        <f t="array" ref="C411">_xlfn.TEXTJOIN(",",TRUE,_xlfn.UNIQUE(TRANSPOSE(_xlfn.MAP(_xlfn.XLOOKUP(A411,SITE1!$C$4:$C$1034,SITE1!$F$4:$O$1034,""),_xlfn.LAMBDA(_xlpm.x,IF(_xlpm.x&lt;&gt;"",TRIM(CLEAN(LEFT(_xlpm.x,FIND(".",_xlpm.x &amp; ".")-1))),""))))))</f>
        <v/>
      </c>
      <c r="D411">
        <v>8.8454999999999995</v>
      </c>
      <c r="E411">
        <v>18.218299999999999</v>
      </c>
      <c r="F411" t="str">
        <f>_xlfn.LET(_xlpm.raw,_xlfn.XLOOKUP(A411,SITE1!$C$4:$C$1034,SITE1!$E$4:$E$1034),_xlpm.cleanRaw,SUBSTITUTE(SUBSTITUTE(_xlpm.raw,"_PIN","."),"PIN","."),_xlpm.mainPart,MID(_xlpm.cleanRaw,2,FIND(".",_xlpm.cleanRaw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1" t="str">
        <f>_xlfn.LET(_xlpm.raw,_xlfn.XLOOKUP(A411,SITE3!$C$4:$C$1034,SITE3!$E$4:$E$1034),_xlpm.cleanRaw,SUBSTITUTE(SUBSTITUTE(_xlpm.raw,"_PIN","."),"PIN","."),_xlpm.mainPart,MID(_xlpm.cleanRaw,2,FIND(".",_xlpm.cleanRaw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1" t="str">
        <f>""</f>
        <v/>
      </c>
      <c r="I411" t="str">
        <f>""</f>
        <v/>
      </c>
      <c r="J411" t="str">
        <f t="shared" si="6"/>
        <v>Y39;VSS;;8.8455;18.2183;;;;</v>
      </c>
    </row>
    <row r="412" spans="1:10">
      <c r="A412" t="s">
        <v>3598</v>
      </c>
      <c r="B412" t="str">
        <f>_xlfn.XLOOKUP(A412,SITE1!$V$4:$V$1034,SITE1!$U$4:$U$1034,"")</f>
        <v>VCCPGPPBC</v>
      </c>
      <c r="C412" t="str" cm="1">
        <f t="array" ref="C412">_xlfn.TEXTJOIN(",",TRUE,_xlfn.UNIQUE(TRANSPOSE(_xlfn.MAP(_xlfn.XLOOKUP(A412,SITE1!$C$4:$C$1034,SITE1!$F$4:$O$1034,""),_xlfn.LAMBDA(_xlpm.x,IF(_xlpm.x&lt;&gt;"",TRIM(CLEAN(LEFT(_xlpm.x,FIND(".",_xlpm.x &amp; ".")-1))),""))))))</f>
        <v/>
      </c>
      <c r="D412">
        <v>8.8454999999999995</v>
      </c>
      <c r="E412">
        <v>18.9422</v>
      </c>
      <c r="F412" t="str">
        <f>_xlfn.LET(_xlpm.raw,_xlfn.XLOOKUP(A412,SITE1!$C$4:$C$1034,SITE1!$E$4:$E$1034),_xlpm.cleanRaw,SUBSTITUTE(SUBSTITUTE(_xlpm.raw,"_PIN","."),"PIN","."),_xlpm.mainPart,MID(_xlpm.cleanRaw,2,FIND(".",_xlpm.cleanRaw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2" t="str">
        <f>_xlfn.LET(_xlpm.raw,_xlfn.XLOOKUP(A412,SITE3!$C$4:$C$1034,SITE3!$E$4:$E$1034),_xlpm.cleanRaw,SUBSTITUTE(SUBSTITUTE(_xlpm.raw,"_PIN","."),"PIN","."),_xlpm.mainPart,MID(_xlpm.cleanRaw,2,FIND(".",_xlpm.cleanRaw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2" t="str">
        <f>""</f>
        <v/>
      </c>
      <c r="I412" t="str">
        <f>""</f>
        <v/>
      </c>
      <c r="J412" t="str">
        <f t="shared" si="6"/>
        <v>Y41;VCCPGPPBC;;8.8455;18.9422;;;;</v>
      </c>
    </row>
    <row r="413" spans="1:10">
      <c r="A413" t="s">
        <v>4080</v>
      </c>
      <c r="B413" t="str">
        <f>_xlfn.XLOOKUP(A413,SITE1!$V$4:$V$1034,SITE1!$U$4:$U$1034,"")</f>
        <v>VSS</v>
      </c>
      <c r="C413" t="str" cm="1">
        <f t="array" ref="C413">_xlfn.TEXTJOIN(",",TRUE,_xlfn.UNIQUE(TRANSPOSE(_xlfn.MAP(_xlfn.XLOOKUP(A413,SITE1!$C$4:$C$1034,SITE1!$F$4:$O$1034,""),_xlfn.LAMBDA(_xlpm.x,IF(_xlpm.x&lt;&gt;"",TRIM(CLEAN(LEFT(_xlpm.x,FIND(".",_xlpm.x &amp; ".")-1))),""))))))</f>
        <v/>
      </c>
      <c r="D413">
        <v>8.8454999999999995</v>
      </c>
      <c r="E413">
        <v>19.6661</v>
      </c>
      <c r="F413" t="str">
        <f>_xlfn.LET(_xlpm.raw,_xlfn.XLOOKUP(A413,SITE1!$C$4:$C$1034,SITE1!$E$4:$E$1034),_xlpm.cleanRaw,SUBSTITUTE(SUBSTITUTE(_xlpm.raw,"_PIN","."),"PIN","."),_xlpm.mainPart,MID(_xlpm.cleanRaw,2,FIND(".",_xlpm.cleanRaw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3" t="str">
        <f>_xlfn.LET(_xlpm.raw,_xlfn.XLOOKUP(A413,SITE3!$C$4:$C$1034,SITE3!$E$4:$E$1034),_xlpm.cleanRaw,SUBSTITUTE(SUBSTITUTE(_xlpm.raw,"_PIN","."),"PIN","."),_xlpm.mainPart,MID(_xlpm.cleanRaw,2,FIND(".",_xlpm.cleanRaw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3" t="str">
        <f>""</f>
        <v/>
      </c>
      <c r="I413" t="str">
        <f>""</f>
        <v/>
      </c>
      <c r="J413" t="str">
        <f t="shared" si="6"/>
        <v>Y42;VSS;;8.8455;19.6661;;;;</v>
      </c>
    </row>
    <row r="414" spans="1:10">
      <c r="A414" t="s">
        <v>1033</v>
      </c>
      <c r="B414" t="str">
        <f>_xlfn.XLOOKUP(A414,SITE1!$V$4:$V$1034,SITE1!$U$4:$U$1034,"")</f>
        <v>GPP_C_8_UART0_RXD</v>
      </c>
      <c r="C414" t="str" cm="1">
        <f t="array" ref="C414">_xlfn.TEXTJOIN(",",TRUE,_xlfn.UNIQUE(TRANSPOSE(_xlfn.MAP(_xlfn.XLOOKUP(A414,SITE1!$C$4:$C$1034,SITE1!$F$4:$O$1034,""),_xlfn.LAMBDA(_xlpm.x,IF(_xlpm.x&lt;&gt;"",TRIM(CLEAN(LEFT(_xlpm.x,FIND(".",_xlpm.x &amp; ".")-1))),""))))))</f>
        <v/>
      </c>
      <c r="D414">
        <v>8.8454999999999995</v>
      </c>
      <c r="E414">
        <v>20.39</v>
      </c>
      <c r="F414" t="str">
        <f>_xlfn.LET(_xlpm.raw,_xlfn.XLOOKUP(A414,SITE1!$C$4:$C$1034,SITE1!$E$4:$E$1034),_xlpm.cleanRaw,SUBSTITUTE(SUBSTITUTE(_xlpm.raw,"_PIN","."),"PIN","."),_xlpm.mainPart,MID(_xlpm.cleanRaw,2,FIND(".",_xlpm.cleanRaw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705079</v>
      </c>
      <c r="G414" t="str">
        <f>_xlfn.LET(_xlpm.raw,_xlfn.XLOOKUP(A414,SITE3!$C$4:$C$1034,SITE3!$E$4:$E$1034),_xlpm.cleanRaw,SUBSTITUTE(SUBSTITUTE(_xlpm.raw,"_PIN","."),"PIN","."),_xlpm.mainPart,MID(_xlpm.cleanRaw,2,FIND(".",_xlpm.cleanRaw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505079</v>
      </c>
      <c r="H414" t="str">
        <f>""</f>
        <v/>
      </c>
      <c r="I414" t="str">
        <f>""</f>
        <v/>
      </c>
      <c r="J414" t="str">
        <f t="shared" si="6"/>
        <v>Y44;GPP_C_8_UART0_RXD;;8.8455;20.39;705079;505079;;</v>
      </c>
    </row>
    <row r="415" spans="1:10">
      <c r="A415" t="s">
        <v>1028</v>
      </c>
      <c r="B415" t="str">
        <f>_xlfn.XLOOKUP(A415,SITE1!$V$4:$V$1034,SITE1!$U$4:$U$1034,"")</f>
        <v>GPP_C_7_ISH_I2C2_SCL_I2C3_SCL</v>
      </c>
      <c r="C415" t="str" cm="1">
        <f t="array" ref="C415">_xlfn.TEXTJOIN(",",TRUE,_xlfn.UNIQUE(TRANSPOSE(_xlfn.MAP(_xlfn.XLOOKUP(A415,SITE1!$C$4:$C$1034,SITE1!$F$4:$O$1034,""),_xlfn.LAMBDA(_xlpm.x,IF(_xlpm.x&lt;&gt;"",TRIM(CLEAN(LEFT(_xlpm.x,FIND(".",_xlpm.x &amp; ".")-1))),""))))))</f>
        <v/>
      </c>
      <c r="D415">
        <v>8.8454999999999995</v>
      </c>
      <c r="E415">
        <v>21.113900000000001</v>
      </c>
      <c r="F415" t="str">
        <f>_xlfn.LET(_xlpm.raw,_xlfn.XLOOKUP(A415,SITE1!$C$4:$C$1034,SITE1!$E$4:$E$1034),_xlpm.cleanRaw,SUBSTITUTE(SUBSTITUTE(_xlpm.raw,"_PIN","."),"PIN","."),_xlpm.mainPart,MID(_xlpm.cleanRaw,2,FIND(".",_xlpm.cleanRaw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705055</v>
      </c>
      <c r="G415" t="str">
        <f>_xlfn.LET(_xlpm.raw,_xlfn.XLOOKUP(A415,SITE3!$C$4:$C$1034,SITE3!$E$4:$E$1034),_xlpm.cleanRaw,SUBSTITUTE(SUBSTITUTE(_xlpm.raw,"_PIN","."),"PIN","."),_xlpm.mainPart,MID(_xlpm.cleanRaw,2,FIND(".",_xlpm.cleanRaw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505055</v>
      </c>
      <c r="H415" t="str">
        <f>""</f>
        <v/>
      </c>
      <c r="I415" t="str">
        <f>""</f>
        <v/>
      </c>
      <c r="J415" t="str">
        <f t="shared" si="6"/>
        <v>Y45;GPP_C_7_ISH_I2C2_SCL_I2C3_SCL;;8.8455;21.1139;705055;505055;;</v>
      </c>
    </row>
    <row r="416" spans="1:10">
      <c r="A416" t="s">
        <v>930</v>
      </c>
      <c r="B416" t="str">
        <f>_xlfn.XLOOKUP(A416,SITE1!$V$4:$V$1034,SITE1!$U$4:$U$1034,"")</f>
        <v>GPP_C_10_UART0_RTSB</v>
      </c>
      <c r="C416" t="str" cm="1">
        <f t="array" ref="C416">_xlfn.TEXTJOIN(",",TRUE,_xlfn.UNIQUE(TRANSPOSE(_xlfn.MAP(_xlfn.XLOOKUP(A416,SITE1!$C$4:$C$1034,SITE1!$F$4:$O$1034,""),_xlfn.LAMBDA(_xlpm.x,IF(_xlpm.x&lt;&gt;"",TRIM(CLEAN(LEFT(_xlpm.x,FIND(".",_xlpm.x &amp; ".")-1))),""))))))</f>
        <v/>
      </c>
      <c r="D416">
        <v>8.9852999999999899</v>
      </c>
      <c r="E416">
        <v>23.1099</v>
      </c>
      <c r="F416" t="str">
        <f>_xlfn.LET(_xlpm.raw,_xlfn.XLOOKUP(A416,SITE1!$C$4:$C$1034,SITE1!$E$4:$E$1034),_xlpm.cleanRaw,SUBSTITUTE(SUBSTITUTE(_xlpm.raw,"_PIN","."),"PIN","."),_xlpm.mainPart,MID(_xlpm.cleanRaw,2,FIND(".",_xlpm.cleanRaw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706006</v>
      </c>
      <c r="G416" t="str">
        <f>_xlfn.LET(_xlpm.raw,_xlfn.XLOOKUP(A416,SITE3!$C$4:$C$1034,SITE3!$E$4:$E$1034),_xlpm.cleanRaw,SUBSTITUTE(SUBSTITUTE(_xlpm.raw,"_PIN","."),"PIN","."),_xlpm.mainPart,MID(_xlpm.cleanRaw,2,FIND(".",_xlpm.cleanRaw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506006</v>
      </c>
      <c r="H416" t="str">
        <f>""</f>
        <v/>
      </c>
      <c r="I416" t="str">
        <f>""</f>
        <v/>
      </c>
      <c r="J416" t="str">
        <f t="shared" si="6"/>
        <v>Y49;GPP_C_10_UART0_RTSB;;8.98529999999999;23.1099;706006;506006;;</v>
      </c>
    </row>
    <row r="417" spans="1:10">
      <c r="A417" t="s">
        <v>938</v>
      </c>
      <c r="B417" t="str">
        <f>_xlfn.XLOOKUP(A417,SITE1!$V$4:$V$1034,SITE1!$U$4:$U$1034,"")</f>
        <v>GPP_C_11_UART0_CTSB</v>
      </c>
      <c r="C417" t="str" cm="1">
        <f t="array" ref="C417">_xlfn.TEXTJOIN(",",TRUE,_xlfn.UNIQUE(TRANSPOSE(_xlfn.MAP(_xlfn.XLOOKUP(A417,SITE1!$C$4:$C$1034,SITE1!$F$4:$O$1034,""),_xlfn.LAMBDA(_xlpm.x,IF(_xlpm.x&lt;&gt;"",TRIM(CLEAN(LEFT(_xlpm.x,FIND(".",_xlpm.x &amp; ".")-1))),""))))))</f>
        <v/>
      </c>
      <c r="D417">
        <v>8.7947999999999897</v>
      </c>
      <c r="E417">
        <v>23.798200000000001</v>
      </c>
      <c r="F417" t="str">
        <f>_xlfn.LET(_xlpm.raw,_xlfn.XLOOKUP(A417,SITE1!$C$4:$C$1034,SITE1!$E$4:$E$1034),_xlpm.cleanRaw,SUBSTITUTE(SUBSTITUTE(_xlpm.raw,"_PIN","."),"PIN","."),_xlpm.mainPart,MID(_xlpm.cleanRaw,2,FIND(".",_xlpm.cleanRaw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705048</v>
      </c>
      <c r="G417" t="str">
        <f>_xlfn.LET(_xlpm.raw,_xlfn.XLOOKUP(A417,SITE3!$C$4:$C$1034,SITE3!$E$4:$E$1034),_xlpm.cleanRaw,SUBSTITUTE(SUBSTITUTE(_xlpm.raw,"_PIN","."),"PIN","."),_xlpm.mainPart,MID(_xlpm.cleanRaw,2,FIND(".",_xlpm.cleanRaw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505048</v>
      </c>
      <c r="H417" t="str">
        <f>""</f>
        <v/>
      </c>
      <c r="I417" t="str">
        <f>""</f>
        <v/>
      </c>
      <c r="J417" t="str">
        <f t="shared" si="6"/>
        <v>Y51;GPP_C_11_UART0_CTSB;;8.79479999999999;23.7982;705048;505048;;</v>
      </c>
    </row>
    <row r="418" spans="1:10">
      <c r="A418" t="s">
        <v>830</v>
      </c>
      <c r="B418" t="str">
        <f>_xlfn.XLOOKUP(A418,SITE1!$V$4:$V$1034,SITE1!$U$4:$U$1034,"")</f>
        <v>GPP_B_12</v>
      </c>
      <c r="C418" t="str" cm="1">
        <f t="array" ref="C418">_xlfn.TEXTJOIN(",",TRUE,_xlfn.UNIQUE(TRANSPOSE(_xlfn.MAP(_xlfn.XLOOKUP(A418,SITE1!$C$4:$C$1034,SITE1!$F$4:$O$1034,""),_xlfn.LAMBDA(_xlpm.x,IF(_xlpm.x&lt;&gt;"",TRIM(CLEAN(LEFT(_xlpm.x,FIND(".",_xlpm.x &amp; ".")-1))),""))))))</f>
        <v/>
      </c>
      <c r="D418">
        <v>8.6042999999999896</v>
      </c>
      <c r="E418">
        <v>24.486599999999999</v>
      </c>
      <c r="F418" t="str">
        <f>_xlfn.LET(_xlpm.raw,_xlfn.XLOOKUP(A418,SITE1!$C$4:$C$1034,SITE1!$E$4:$E$1034),_xlpm.cleanRaw,SUBSTITUTE(SUBSTITUTE(_xlpm.raw,"_PIN","."),"PIN","."),_xlpm.mainPart,MID(_xlpm.cleanRaw,2,FIND(".",_xlpm.cleanRaw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701099</v>
      </c>
      <c r="G418" t="str">
        <f>_xlfn.LET(_xlpm.raw,_xlfn.XLOOKUP(A418,SITE3!$C$4:$C$1034,SITE3!$E$4:$E$1034),_xlpm.cleanRaw,SUBSTITUTE(SUBSTITUTE(_xlpm.raw,"_PIN","."),"PIN","."),_xlpm.mainPart,MID(_xlpm.cleanRaw,2,FIND(".",_xlpm.cleanRaw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501099</v>
      </c>
      <c r="H418" t="str">
        <f>""</f>
        <v/>
      </c>
      <c r="I418" t="str">
        <f>""</f>
        <v/>
      </c>
      <c r="J418" t="str">
        <f t="shared" si="6"/>
        <v>Y52;GPP_B_12;;8.60429999999999;24.4866;701099;501099;;</v>
      </c>
    </row>
    <row r="419" spans="1:10">
      <c r="A419" t="s">
        <v>978</v>
      </c>
      <c r="B419" t="str">
        <f>_xlfn.XLOOKUP(A419,SITE1!$V$4:$V$1034,SITE1!$U$4:$U$1034,"")</f>
        <v>GPP_C_19_USB2_OCB_7_I2C5_SCL</v>
      </c>
      <c r="C419" t="str" cm="1">
        <f t="array" ref="C419">_xlfn.TEXTJOIN(",",TRUE,_xlfn.UNIQUE(TRANSPOSE(_xlfn.MAP(_xlfn.XLOOKUP(A419,SITE1!$C$4:$C$1034,SITE1!$F$4:$O$1034,""),_xlfn.LAMBDA(_xlpm.x,IF(_xlpm.x&lt;&gt;"",TRIM(CLEAN(LEFT(_xlpm.x,FIND(".",_xlpm.x &amp; ".")-1))),""))))))</f>
        <v/>
      </c>
      <c r="D419">
        <v>8.9156999999999993</v>
      </c>
      <c r="E419">
        <v>25.136800000000001</v>
      </c>
      <c r="F419" t="str">
        <f>_xlfn.LET(_xlpm.raw,_xlfn.XLOOKUP(A419,SITE1!$C$4:$C$1034,SITE1!$E$4:$E$1034),_xlpm.cleanRaw,SUBSTITUTE(SUBSTITUTE(_xlpm.raw,"_PIN","."),"PIN","."),_xlpm.mainPart,MID(_xlpm.cleanRaw,2,FIND(".",_xlpm.cleanRaw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705046</v>
      </c>
      <c r="G419" t="str">
        <f>_xlfn.LET(_xlpm.raw,_xlfn.XLOOKUP(A419,SITE3!$C$4:$C$1034,SITE3!$E$4:$E$1034),_xlpm.cleanRaw,SUBSTITUTE(SUBSTITUTE(_xlpm.raw,"_PIN","."),"PIN","."),_xlpm.mainPart,MID(_xlpm.cleanRaw,2,FIND(".",_xlpm.cleanRaw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505046</v>
      </c>
      <c r="H419" t="str">
        <f>""</f>
        <v/>
      </c>
      <c r="I419" t="str">
        <f>""</f>
        <v/>
      </c>
      <c r="J419" t="str">
        <f t="shared" si="6"/>
        <v>Y54;GPP_C_19_USB2_OCB_7_I2C5_SCL;;8.9157;25.1368;705046;505046;;</v>
      </c>
    </row>
    <row r="420" spans="1:10">
      <c r="A420" t="s">
        <v>973</v>
      </c>
      <c r="B420" t="str">
        <f>_xlfn.XLOOKUP(A420,SITE1!$V$4:$V$1034,SITE1!$U$4:$U$1034,"")</f>
        <v>GPP_C_18_USB2_OCB_6_I2C5_SDA</v>
      </c>
      <c r="C420" t="str" cm="1">
        <f t="array" ref="C420">_xlfn.TEXTJOIN(",",TRUE,_xlfn.UNIQUE(TRANSPOSE(_xlfn.MAP(_xlfn.XLOOKUP(A420,SITE1!$C$4:$C$1034,SITE1!$F$4:$O$1034,""),_xlfn.LAMBDA(_xlpm.x,IF(_xlpm.x&lt;&gt;"",TRIM(CLEAN(LEFT(_xlpm.x,FIND(".",_xlpm.x &amp; ".")-1))),""))))))</f>
        <v/>
      </c>
      <c r="D420">
        <v>8.8236999999999899</v>
      </c>
      <c r="E420">
        <v>25.657</v>
      </c>
      <c r="F420" t="str">
        <f>_xlfn.LET(_xlpm.raw,_xlfn.XLOOKUP(A420,SITE1!$C$4:$C$1034,SITE1!$E$4:$E$1034),_xlpm.cleanRaw,SUBSTITUTE(SUBSTITUTE(_xlpm.raw,"_PIN","."),"PIN","."),_xlpm.mainPart,MID(_xlpm.cleanRaw,2,FIND(".",_xlpm.cleanRaw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704120</v>
      </c>
      <c r="G420" t="str">
        <f>_xlfn.LET(_xlpm.raw,_xlfn.XLOOKUP(A420,SITE3!$C$4:$C$1034,SITE3!$E$4:$E$1034),_xlpm.cleanRaw,SUBSTITUTE(SUBSTITUTE(_xlpm.raw,"_PIN","."),"PIN","."),_xlpm.mainPart,MID(_xlpm.cleanRaw,2,FIND(".",_xlpm.cleanRaw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504120</v>
      </c>
      <c r="H420" t="str">
        <f>""</f>
        <v/>
      </c>
      <c r="I420" t="str">
        <f>""</f>
        <v/>
      </c>
      <c r="J420" t="str">
        <f t="shared" si="6"/>
        <v>Y55;GPP_C_18_USB2_OCB_6_I2C5_SDA;;8.82369999999999;25.657;704120;504120;;</v>
      </c>
    </row>
    <row r="421" spans="1:10">
      <c r="A421" t="s">
        <v>3695</v>
      </c>
      <c r="B421" t="str">
        <f>_xlfn.XLOOKUP(A421,SITE1!$V$4:$V$1034,SITE1!$U$4:$U$1034,"")</f>
        <v>VSS</v>
      </c>
      <c r="C421" t="str" cm="1">
        <f t="array" ref="C421">_xlfn.TEXTJOIN(",",TRUE,_xlfn.UNIQUE(TRANSPOSE(_xlfn.MAP(_xlfn.XLOOKUP(A421,SITE1!$C$4:$C$1034,SITE1!$F$4:$O$1034,""),_xlfn.LAMBDA(_xlpm.x,IF(_xlpm.x&lt;&gt;"",TRIM(CLEAN(LEFT(_xlpm.x,FIND(".",_xlpm.x &amp; ".")-1))),""))))))</f>
        <v/>
      </c>
      <c r="D421">
        <v>9.5122999999999998</v>
      </c>
      <c r="E421">
        <v>0</v>
      </c>
      <c r="F421" t="str">
        <f>_xlfn.LET(_xlpm.raw,_xlfn.XLOOKUP(A421,SITE1!$C$4:$C$1034,SITE1!$E$4:$E$1034),_xlpm.cleanRaw,SUBSTITUTE(SUBSTITUTE(_xlpm.raw,"_PIN","."),"PIN","."),_xlpm.mainPart,MID(_xlpm.cleanRaw,2,FIND(".",_xlpm.cleanRaw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1" t="str">
        <f>_xlfn.LET(_xlpm.raw,_xlfn.XLOOKUP(A421,SITE3!$C$4:$C$1034,SITE3!$E$4:$E$1034),_xlpm.cleanRaw,SUBSTITUTE(SUBSTITUTE(_xlpm.raw,"_PIN","."),"PIN","."),_xlpm.mainPart,MID(_xlpm.cleanRaw,2,FIND(".",_xlpm.cleanRaw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1" t="str">
        <f>""</f>
        <v/>
      </c>
      <c r="I421" t="str">
        <f>""</f>
        <v/>
      </c>
      <c r="J421" t="str">
        <f t="shared" si="6"/>
        <v>AA1;VSS;;9.5123;0;;;;</v>
      </c>
    </row>
    <row r="422" spans="1:10">
      <c r="A422" t="s">
        <v>1534</v>
      </c>
      <c r="B422" t="str">
        <f>_xlfn.XLOOKUP(A422,SITE1!$V$4:$V$1034,SITE1!$U$4:$U$1034,"")</f>
        <v>GPP_I_16_ISH_GP_11</v>
      </c>
      <c r="C422" t="str" cm="1">
        <f t="array" ref="C422">_xlfn.TEXTJOIN(",",TRUE,_xlfn.UNIQUE(TRANSPOSE(_xlfn.MAP(_xlfn.XLOOKUP(A422,SITE1!$C$4:$C$1034,SITE1!$F$4:$O$1034,""),_xlfn.LAMBDA(_xlpm.x,IF(_xlpm.x&lt;&gt;"",TRIM(CLEAN(LEFT(_xlpm.x,FIND(".",_xlpm.x &amp; ".")-1))),""))))))</f>
        <v/>
      </c>
      <c r="D422">
        <v>9.3189999999999902</v>
      </c>
      <c r="E422">
        <v>0.52369999999999906</v>
      </c>
      <c r="F422" t="str">
        <f>_xlfn.LET(_xlpm.raw,_xlfn.XLOOKUP(A422,SITE1!$C$4:$C$1034,SITE1!$E$4:$E$1034),_xlpm.cleanRaw,SUBSTITUTE(SUBSTITUTE(_xlpm.raw,"_PIN","."),"PIN","."),_xlpm.mainPart,MID(_xlpm.cleanRaw,2,FIND(".",_xlpm.cleanRaw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603094</v>
      </c>
      <c r="G422" t="str">
        <f>_xlfn.LET(_xlpm.raw,_xlfn.XLOOKUP(A422,SITE3!$C$4:$C$1034,SITE3!$E$4:$E$1034),_xlpm.cleanRaw,SUBSTITUTE(SUBSTITUTE(_xlpm.raw,"_PIN","."),"PIN","."),_xlpm.mainPart,MID(_xlpm.cleanRaw,2,FIND(".",_xlpm.cleanRaw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803094</v>
      </c>
      <c r="H422" t="str">
        <f>""</f>
        <v/>
      </c>
      <c r="I422" t="str">
        <f>""</f>
        <v/>
      </c>
      <c r="J422" t="str">
        <f t="shared" si="6"/>
        <v>AA2;GPP_I_16_ISH_GP_11;;9.31899999999999;0.523699999999999;603094;803094;;</v>
      </c>
    </row>
    <row r="423" spans="1:10">
      <c r="A423" t="s">
        <v>1524</v>
      </c>
      <c r="B423" t="str">
        <f>_xlfn.XLOOKUP(A423,SITE1!$V$4:$V$1034,SITE1!$U$4:$U$1034,"")</f>
        <v>GPP_I_14_ISH_I2C0_SDA_ISH_I3C0_SDA</v>
      </c>
      <c r="C423" t="str" cm="1">
        <f t="array" ref="C423">_xlfn.TEXTJOIN(",",TRUE,_xlfn.UNIQUE(TRANSPOSE(_xlfn.MAP(_xlfn.XLOOKUP(A423,SITE1!$C$4:$C$1034,SITE1!$F$4:$O$1034,""),_xlfn.LAMBDA(_xlpm.x,IF(_xlpm.x&lt;&gt;"",TRIM(CLEAN(LEFT(_xlpm.x,FIND(".",_xlpm.x &amp; ".")-1))),""))))))</f>
        <v/>
      </c>
      <c r="D423">
        <v>9.2888000000000002</v>
      </c>
      <c r="E423">
        <v>1.02609999999999</v>
      </c>
      <c r="F423" t="str">
        <f>_xlfn.LET(_xlpm.raw,_xlfn.XLOOKUP(A423,SITE1!$C$4:$C$1034,SITE1!$E$4:$E$1034),_xlpm.cleanRaw,SUBSTITUTE(SUBSTITUTE(_xlpm.raw,"_PIN","."),"PIN","."),_xlpm.mainPart,MID(_xlpm.cleanRaw,2,FIND(".",_xlpm.cleanRaw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606093</v>
      </c>
      <c r="G423" t="str">
        <f>_xlfn.LET(_xlpm.raw,_xlfn.XLOOKUP(A423,SITE3!$C$4:$C$1034,SITE3!$E$4:$E$1034),_xlpm.cleanRaw,SUBSTITUTE(SUBSTITUTE(_xlpm.raw,"_PIN","."),"PIN","."),_xlpm.mainPart,MID(_xlpm.cleanRaw,2,FIND(".",_xlpm.cleanRaw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806093</v>
      </c>
      <c r="H423" t="str">
        <f>""</f>
        <v/>
      </c>
      <c r="I423" t="str">
        <f>""</f>
        <v/>
      </c>
      <c r="J423" t="str">
        <f t="shared" si="6"/>
        <v>AA3;GPP_I_14_ISH_I2C0_SDA_ISH_I3C0_SDA;;9.2888;1.02609999999999;606093;806093;;</v>
      </c>
    </row>
    <row r="424" spans="1:10">
      <c r="A424" t="s">
        <v>1529</v>
      </c>
      <c r="B424" t="str">
        <f>_xlfn.XLOOKUP(A424,SITE1!$V$4:$V$1034,SITE1!$U$4:$U$1034,"")</f>
        <v>GPP_I_15_ISH_I2C0_SCL_ISH_I3C0_SCL</v>
      </c>
      <c r="C424" t="str" cm="1">
        <f t="array" ref="C424">_xlfn.TEXTJOIN(",",TRUE,_xlfn.UNIQUE(TRANSPOSE(_xlfn.MAP(_xlfn.XLOOKUP(A424,SITE1!$C$4:$C$1034,SITE1!$F$4:$O$1034,""),_xlfn.LAMBDA(_xlpm.x,IF(_xlpm.x&lt;&gt;"",TRIM(CLEAN(LEFT(_xlpm.x,FIND(".",_xlpm.x &amp; ".")-1))),""))))))</f>
        <v/>
      </c>
      <c r="D424">
        <v>9.3700999999999901</v>
      </c>
      <c r="E424">
        <v>1.5265</v>
      </c>
      <c r="F424" t="str">
        <f>_xlfn.LET(_xlpm.raw,_xlfn.XLOOKUP(A424,SITE1!$C$4:$C$1034,SITE1!$E$4:$E$1034),_xlpm.cleanRaw,SUBSTITUTE(SUBSTITUTE(_xlpm.raw,"_PIN","."),"PIN","."),_xlpm.mainPart,MID(_xlpm.cleanRaw,2,FIND(".",_xlpm.cleanRaw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604029</v>
      </c>
      <c r="G424" t="str">
        <f>_xlfn.LET(_xlpm.raw,_xlfn.XLOOKUP(A424,SITE3!$C$4:$C$1034,SITE3!$E$4:$E$1034),_xlpm.cleanRaw,SUBSTITUTE(SUBSTITUTE(_xlpm.raw,"_PIN","."),"PIN","."),_xlpm.mainPart,MID(_xlpm.cleanRaw,2,FIND(".",_xlpm.cleanRaw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804029</v>
      </c>
      <c r="H424" t="str">
        <f>""</f>
        <v/>
      </c>
      <c r="I424" t="str">
        <f>""</f>
        <v/>
      </c>
      <c r="J424" t="str">
        <f t="shared" si="6"/>
        <v>AA4;GPP_I_15_ISH_I2C0_SCL_ISH_I3C0_SCL;;9.37009999999999;1.5265;604029;804029;;</v>
      </c>
    </row>
    <row r="425" spans="1:10">
      <c r="A425" t="s">
        <v>1499</v>
      </c>
      <c r="B425" t="str">
        <f>_xlfn.XLOOKUP(A425,SITE1!$V$4:$V$1034,SITE1!$U$4:$U$1034,"")</f>
        <v>GPP_I_1_GSPI1_CS1B</v>
      </c>
      <c r="C425" t="str" cm="1">
        <f t="array" ref="C425">_xlfn.TEXTJOIN(",",TRUE,_xlfn.UNIQUE(TRANSPOSE(_xlfn.MAP(_xlfn.XLOOKUP(A425,SITE1!$C$4:$C$1034,SITE1!$F$4:$O$1034,""),_xlfn.LAMBDA(_xlpm.x,IF(_xlpm.x&lt;&gt;"",TRIM(CLEAN(LEFT(_xlpm.x,FIND(".",_xlpm.x &amp; ".")-1))),""))))))</f>
        <v/>
      </c>
      <c r="D425">
        <v>9.17579999999999</v>
      </c>
      <c r="E425">
        <v>4.4565999999999999</v>
      </c>
      <c r="F425" t="str">
        <f>_xlfn.LET(_xlpm.raw,_xlfn.XLOOKUP(A425,SITE1!$C$4:$C$1034,SITE1!$E$4:$E$1034),_xlpm.cleanRaw,SUBSTITUTE(SUBSTITUTE(_xlpm.raw,"_PIN","."),"PIN","."),_xlpm.mainPart,MID(_xlpm.cleanRaw,2,FIND(".",_xlpm.cleanRaw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701104</v>
      </c>
      <c r="G425" t="str">
        <f>_xlfn.LET(_xlpm.raw,_xlfn.XLOOKUP(A425,SITE3!$C$4:$C$1034,SITE3!$E$4:$E$1034),_xlpm.cleanRaw,SUBSTITUTE(SUBSTITUTE(_xlpm.raw,"_PIN","."),"PIN","."),_xlpm.mainPart,MID(_xlpm.cleanRaw,2,FIND(".",_xlpm.cleanRaw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501104</v>
      </c>
      <c r="H425" t="str">
        <f>""</f>
        <v/>
      </c>
      <c r="I425" t="str">
        <f>""</f>
        <v/>
      </c>
      <c r="J425" t="str">
        <f t="shared" si="6"/>
        <v>AA10;GPP_I_1_GSPI1_CS1B;;9.17579999999999;4.4566;701104;501104;;</v>
      </c>
    </row>
    <row r="426" spans="1:10">
      <c r="A426" t="s">
        <v>1494</v>
      </c>
      <c r="B426" t="str">
        <f>_xlfn.XLOOKUP(A426,SITE1!$V$4:$V$1034,SITE1!$U$4:$U$1034,"")</f>
        <v>GPP_I_0_GSPI0_CS1B</v>
      </c>
      <c r="C426" t="str" cm="1">
        <f t="array" ref="C426">_xlfn.TEXTJOIN(",",TRUE,_xlfn.UNIQUE(TRANSPOSE(_xlfn.MAP(_xlfn.XLOOKUP(A426,SITE1!$C$4:$C$1034,SITE1!$F$4:$O$1034,""),_xlfn.LAMBDA(_xlpm.x,IF(_xlpm.x&lt;&gt;"",TRIM(CLEAN(LEFT(_xlpm.x,FIND(".",_xlpm.x &amp; ".")-1))),""))))))</f>
        <v/>
      </c>
      <c r="D426">
        <v>9.17579999999999</v>
      </c>
      <c r="E426">
        <v>5.1677999999999997</v>
      </c>
      <c r="F426" t="str">
        <f>_xlfn.LET(_xlpm.raw,_xlfn.XLOOKUP(A426,SITE1!$C$4:$C$1034,SITE1!$E$4:$E$1034),_xlpm.cleanRaw,SUBSTITUTE(SUBSTITUTE(_xlpm.raw,"_PIN","."),"PIN","."),_xlpm.mainPart,MID(_xlpm.cleanRaw,2,FIND(".",_xlpm.cleanRaw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704099</v>
      </c>
      <c r="G426" t="str">
        <f>_xlfn.LET(_xlpm.raw,_xlfn.XLOOKUP(A426,SITE3!$C$4:$C$1034,SITE3!$E$4:$E$1034),_xlpm.cleanRaw,SUBSTITUTE(SUBSTITUTE(_xlpm.raw,"_PIN","."),"PIN","."),_xlpm.mainPart,MID(_xlpm.cleanRaw,2,FIND(".",_xlpm.cleanRaw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504099</v>
      </c>
      <c r="H426" t="str">
        <f>""</f>
        <v/>
      </c>
      <c r="I426" t="str">
        <f>""</f>
        <v/>
      </c>
      <c r="J426" t="str">
        <f t="shared" si="6"/>
        <v>AA12;GPP_I_0_GSPI0_CS1B;;9.17579999999999;5.1678;704099;504099;;</v>
      </c>
    </row>
    <row r="427" spans="1:10">
      <c r="A427" t="s">
        <v>3696</v>
      </c>
      <c r="B427" t="str">
        <f>_xlfn.XLOOKUP(A427,SITE1!$V$4:$V$1034,SITE1!$U$4:$U$1034,"")</f>
        <v>VSS</v>
      </c>
      <c r="C427" t="str" cm="1">
        <f t="array" ref="C427">_xlfn.TEXTJOIN(",",TRUE,_xlfn.UNIQUE(TRANSPOSE(_xlfn.MAP(_xlfn.XLOOKUP(A427,SITE1!$C$4:$C$1034,SITE1!$F$4:$O$1034,""),_xlfn.LAMBDA(_xlpm.x,IF(_xlpm.x&lt;&gt;"",TRIM(CLEAN(LEFT(_xlpm.x,FIND(".",_xlpm.x &amp; ".")-1))),""))))))</f>
        <v/>
      </c>
      <c r="D427">
        <v>9.17579999999999</v>
      </c>
      <c r="E427">
        <v>21.7104</v>
      </c>
      <c r="F427" t="str">
        <f>_xlfn.LET(_xlpm.raw,_xlfn.XLOOKUP(A427,SITE1!$C$4:$C$1034,SITE1!$E$4:$E$1034),_xlpm.cleanRaw,SUBSTITUTE(SUBSTITUTE(_xlpm.raw,"_PIN","."),"PIN","."),_xlpm.mainPart,MID(_xlpm.cleanRaw,2,FIND(".",_xlpm.cleanRaw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7" t="str">
        <f>_xlfn.LET(_xlpm.raw,_xlfn.XLOOKUP(A427,SITE3!$C$4:$C$1034,SITE3!$E$4:$E$1034),_xlpm.cleanRaw,SUBSTITUTE(SUBSTITUTE(_xlpm.raw,"_PIN","."),"PIN","."),_xlpm.mainPart,MID(_xlpm.cleanRaw,2,FIND(".",_xlpm.cleanRaw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7" t="str">
        <f>""</f>
        <v/>
      </c>
      <c r="I427" t="str">
        <f>""</f>
        <v/>
      </c>
      <c r="J427" t="str">
        <f t="shared" si="6"/>
        <v>AA46;VSS;;9.17579999999999;21.7104;;;;</v>
      </c>
    </row>
    <row r="428" spans="1:10">
      <c r="A428" t="s">
        <v>1038</v>
      </c>
      <c r="B428" t="str">
        <f>_xlfn.XLOOKUP(A428,SITE1!$V$4:$V$1034,SITE1!$U$4:$U$1034,"")</f>
        <v>GPP_C_9_UART0_TXD</v>
      </c>
      <c r="C428" t="str" cm="1">
        <f t="array" ref="C428">_xlfn.TEXTJOIN(",",TRUE,_xlfn.UNIQUE(TRANSPOSE(_xlfn.MAP(_xlfn.XLOOKUP(A428,SITE1!$C$4:$C$1034,SITE1!$F$4:$O$1034,""),_xlfn.LAMBDA(_xlpm.x,IF(_xlpm.x&lt;&gt;"",TRIM(CLEAN(LEFT(_xlpm.x,FIND(".",_xlpm.x &amp; ".")-1))),""))))))</f>
        <v/>
      </c>
      <c r="D428">
        <v>9.17579999999999</v>
      </c>
      <c r="E428">
        <v>22.421599999999899</v>
      </c>
      <c r="F428" t="str">
        <f>_xlfn.LET(_xlpm.raw,_xlfn.XLOOKUP(A428,SITE1!$C$4:$C$1034,SITE1!$E$4:$E$1034),_xlpm.cleanRaw,SUBSTITUTE(SUBSTITUTE(_xlpm.raw,"_PIN","."),"PIN","."),_xlpm.mainPart,MID(_xlpm.cleanRaw,2,FIND(".",_xlpm.cleanRaw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705057</v>
      </c>
      <c r="G428" t="str">
        <f>_xlfn.LET(_xlpm.raw,_xlfn.XLOOKUP(A428,SITE3!$C$4:$C$1034,SITE3!$E$4:$E$1034),_xlpm.cleanRaw,SUBSTITUTE(SUBSTITUTE(_xlpm.raw,"_PIN","."),"PIN","."),_xlpm.mainPart,MID(_xlpm.cleanRaw,2,FIND(".",_xlpm.cleanRaw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505057</v>
      </c>
      <c r="H428" t="str">
        <f>""</f>
        <v/>
      </c>
      <c r="I428" t="str">
        <f>""</f>
        <v/>
      </c>
      <c r="J428" t="str">
        <f t="shared" si="6"/>
        <v>AA48;GPP_C_9_UART0_TXD;;9.17579999999999;22.4215999999999;705057;505057;;</v>
      </c>
    </row>
    <row r="429" spans="1:10">
      <c r="A429" t="s">
        <v>958</v>
      </c>
      <c r="B429" t="str">
        <f>_xlfn.XLOOKUP(A429,SITE1!$V$4:$V$1034,SITE1!$U$4:$U$1034,"")</f>
        <v>GPP_C_15_UART1_CTSB_ISH_UART1_CTSB</v>
      </c>
      <c r="C429" t="str" cm="1">
        <f t="array" ref="C429">_xlfn.TEXTJOIN(",",TRUE,_xlfn.UNIQUE(TRANSPOSE(_xlfn.MAP(_xlfn.XLOOKUP(A429,SITE1!$C$4:$C$1034,SITE1!$F$4:$O$1034,""),_xlfn.LAMBDA(_xlpm.x,IF(_xlpm.x&lt;&gt;"",TRIM(CLEAN(LEFT(_xlpm.x,FIND(".",_xlpm.x &amp; ".")-1))),""))))))</f>
        <v/>
      </c>
      <c r="D429">
        <v>9.3700999999999901</v>
      </c>
      <c r="E429">
        <v>25.351700000000001</v>
      </c>
      <c r="F429" t="str">
        <f>_xlfn.LET(_xlpm.raw,_xlfn.XLOOKUP(A429,SITE1!$C$4:$C$1034,SITE1!$E$4:$E$1034),_xlpm.cleanRaw,SUBSTITUTE(SUBSTITUTE(_xlpm.raw,"_PIN","."),"PIN","."),_xlpm.mainPart,MID(_xlpm.cleanRaw,2,FIND(".",_xlpm.cleanRaw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705077</v>
      </c>
      <c r="G429" t="str">
        <f>_xlfn.LET(_xlpm.raw,_xlfn.XLOOKUP(A429,SITE3!$C$4:$C$1034,SITE3!$E$4:$E$1034),_xlpm.cleanRaw,SUBSTITUTE(SUBSTITUTE(_xlpm.raw,"_PIN","."),"PIN","."),_xlpm.mainPart,MID(_xlpm.cleanRaw,2,FIND(".",_xlpm.cleanRaw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505077</v>
      </c>
      <c r="H429" t="str">
        <f>""</f>
        <v/>
      </c>
      <c r="I429" t="str">
        <f>""</f>
        <v/>
      </c>
      <c r="J429" t="str">
        <f t="shared" si="6"/>
        <v>AA54;GPP_C_15_UART1_CTSB_ISH_UART1_CTSB;;9.37009999999999;25.3517;705077;505077;;</v>
      </c>
    </row>
    <row r="430" spans="1:10">
      <c r="A430" t="s">
        <v>968</v>
      </c>
      <c r="B430" t="str">
        <f>_xlfn.XLOOKUP(A430,SITE1!$V$4:$V$1034,SITE1!$U$4:$U$1034,"")</f>
        <v>GPP_C_17_USB2_OCB_5_I2C4_SCL</v>
      </c>
      <c r="C430" t="str" cm="1">
        <f t="array" ref="C430">_xlfn.TEXTJOIN(",",TRUE,_xlfn.UNIQUE(TRANSPOSE(_xlfn.MAP(_xlfn.XLOOKUP(A430,SITE1!$C$4:$C$1034,SITE1!$F$4:$O$1034,""),_xlfn.LAMBDA(_xlpm.x,IF(_xlpm.x&lt;&gt;"",TRIM(CLEAN(LEFT(_xlpm.x,FIND(".",_xlpm.x &amp; ".")-1))),""))))))</f>
        <v/>
      </c>
      <c r="D430">
        <v>9.2888000000000002</v>
      </c>
      <c r="E430">
        <v>25.8521</v>
      </c>
      <c r="F430" t="str">
        <f>_xlfn.LET(_xlpm.raw,_xlfn.XLOOKUP(A430,SITE1!$C$4:$C$1034,SITE1!$E$4:$E$1034),_xlpm.cleanRaw,SUBSTITUTE(SUBSTITUTE(_xlpm.raw,"_PIN","."),"PIN","."),_xlpm.mainPart,MID(_xlpm.cleanRaw,2,FIND(".",_xlpm.cleanRaw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703021</v>
      </c>
      <c r="G430" t="str">
        <f>_xlfn.LET(_xlpm.raw,_xlfn.XLOOKUP(A430,SITE3!$C$4:$C$1034,SITE3!$E$4:$E$1034),_xlpm.cleanRaw,SUBSTITUTE(SUBSTITUTE(_xlpm.raw,"_PIN","."),"PIN","."),_xlpm.mainPart,MID(_xlpm.cleanRaw,2,FIND(".",_xlpm.cleanRaw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503021</v>
      </c>
      <c r="H430" t="str">
        <f>""</f>
        <v/>
      </c>
      <c r="I430" t="str">
        <f>""</f>
        <v/>
      </c>
      <c r="J430" t="str">
        <f t="shared" si="6"/>
        <v>AA55;GPP_C_17_USB2_OCB_5_I2C4_SCL;;9.2888;25.8521;703021;503021;;</v>
      </c>
    </row>
    <row r="431" spans="1:10">
      <c r="A431" t="s">
        <v>963</v>
      </c>
      <c r="B431" t="str">
        <f>_xlfn.XLOOKUP(A431,SITE1!$V$4:$V$1034,SITE1!$U$4:$U$1034,"")</f>
        <v>GPP_C_16_USB2_OCB_4_I2C4_SDA</v>
      </c>
      <c r="C431" t="str" cm="1">
        <f t="array" ref="C431">_xlfn.TEXTJOIN(",",TRUE,_xlfn.UNIQUE(TRANSPOSE(_xlfn.MAP(_xlfn.XLOOKUP(A431,SITE1!$C$4:$C$1034,SITE1!$F$4:$O$1034,""),_xlfn.LAMBDA(_xlpm.x,IF(_xlpm.x&lt;&gt;"",TRIM(CLEAN(LEFT(_xlpm.x,FIND(".",_xlpm.x &amp; ".")-1))),""))))))</f>
        <v/>
      </c>
      <c r="D431">
        <v>9.3189999999999902</v>
      </c>
      <c r="E431">
        <v>26.354500000000002</v>
      </c>
      <c r="F431" t="str">
        <f>_xlfn.LET(_xlpm.raw,_xlfn.XLOOKUP(A431,SITE1!$C$4:$C$1034,SITE1!$E$4:$E$1034),_xlpm.cleanRaw,SUBSTITUTE(SUBSTITUTE(_xlpm.raw,"_PIN","."),"PIN","."),_xlpm.mainPart,MID(_xlpm.cleanRaw,2,FIND(".",_xlpm.cleanRaw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701113</v>
      </c>
      <c r="G431" t="str">
        <f>_xlfn.LET(_xlpm.raw,_xlfn.XLOOKUP(A431,SITE3!$C$4:$C$1034,SITE3!$E$4:$E$1034),_xlpm.cleanRaw,SUBSTITUTE(SUBSTITUTE(_xlpm.raw,"_PIN","."),"PIN","."),_xlpm.mainPart,MID(_xlpm.cleanRaw,2,FIND(".",_xlpm.cleanRaw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501113</v>
      </c>
      <c r="H431" t="str">
        <f>""</f>
        <v/>
      </c>
      <c r="I431" t="str">
        <f>""</f>
        <v/>
      </c>
      <c r="J431" t="str">
        <f t="shared" si="6"/>
        <v>AA56;GPP_C_16_USB2_OCB_4_I2C4_SDA;;9.31899999999999;26.3545;701113;501113;;</v>
      </c>
    </row>
    <row r="432" spans="1:10">
      <c r="A432" t="s">
        <v>3697</v>
      </c>
      <c r="B432" t="str">
        <f>_xlfn.XLOOKUP(A432,SITE1!$V$4:$V$1034,SITE1!$U$4:$U$1034,"")</f>
        <v>VSS</v>
      </c>
      <c r="C432" t="str" cm="1">
        <f t="array" ref="C432">_xlfn.TEXTJOIN(",",TRUE,_xlfn.UNIQUE(TRANSPOSE(_xlfn.MAP(_xlfn.XLOOKUP(A432,SITE1!$C$4:$C$1034,SITE1!$F$4:$O$1034,""),_xlfn.LAMBDA(_xlpm.x,IF(_xlpm.x&lt;&gt;"",TRIM(CLEAN(LEFT(_xlpm.x,FIND(".",_xlpm.x &amp; ".")-1))),""))))))</f>
        <v/>
      </c>
      <c r="D432">
        <v>9.5122999999999998</v>
      </c>
      <c r="E432">
        <v>26.8782</v>
      </c>
      <c r="F432" t="str">
        <f>_xlfn.LET(_xlpm.raw,_xlfn.XLOOKUP(A432,SITE1!$C$4:$C$1034,SITE1!$E$4:$E$1034),_xlpm.cleanRaw,SUBSTITUTE(SUBSTITUTE(_xlpm.raw,"_PIN","."),"PIN","."),_xlpm.mainPart,MID(_xlpm.cleanRaw,2,FIND(".",_xlpm.cleanRaw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2" t="str">
        <f>_xlfn.LET(_xlpm.raw,_xlfn.XLOOKUP(A432,SITE3!$C$4:$C$1034,SITE3!$E$4:$E$1034),_xlpm.cleanRaw,SUBSTITUTE(SUBSTITUTE(_xlpm.raw,"_PIN","."),"PIN","."),_xlpm.mainPart,MID(_xlpm.cleanRaw,2,FIND(".",_xlpm.cleanRaw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2" t="str">
        <f>""</f>
        <v/>
      </c>
      <c r="I432" t="str">
        <f>""</f>
        <v/>
      </c>
      <c r="J432" t="str">
        <f t="shared" si="6"/>
        <v>AA57;VSS;;9.5123;26.8782;;;;</v>
      </c>
    </row>
    <row r="433" spans="1:10">
      <c r="A433" t="s">
        <v>1823</v>
      </c>
      <c r="B433" t="str">
        <f>_xlfn.XLOOKUP(A433,SITE1!$V$4:$V$1034,SITE1!$U$4:$U$1034,"")</f>
        <v>JTAG_TDI</v>
      </c>
      <c r="C433" t="str" cm="1">
        <f t="array" ref="C433">_xlfn.TEXTJOIN(",",TRUE,_xlfn.UNIQUE(TRANSPOSE(_xlfn.MAP(_xlfn.XLOOKUP(A433,SITE1!$C$4:$C$1034,SITE1!$F$4:$O$1034,""),_xlfn.LAMBDA(_xlpm.x,IF(_xlpm.x&lt;&gt;"",TRIM(CLEAN(LEFT(_xlpm.x,FIND(".",_xlpm.x &amp; ".")-1))),""))))))</f>
        <v>RA517</v>
      </c>
      <c r="D433">
        <v>9.9971999999999994</v>
      </c>
      <c r="E433">
        <v>0.65259999999999896</v>
      </c>
      <c r="F433" t="str">
        <f>_xlfn.LET(_xlpm.raw,_xlfn.XLOOKUP(A433,SITE1!$C$4:$C$1034,SITE1!$E$4:$E$1034),_xlpm.cleanRaw,SUBSTITUTE(SUBSTITUTE(_xlpm.raw,"_PIN","."),"PIN","."),_xlpm.mainPart,MID(_xlpm.cleanRaw,2,FIND(".",_xlpm.cleanRaw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606085</v>
      </c>
      <c r="G433" t="str">
        <f>_xlfn.LET(_xlpm.raw,_xlfn.XLOOKUP(A433,SITE3!$C$4:$C$1034,SITE3!$E$4:$E$1034),_xlpm.cleanRaw,SUBSTITUTE(SUBSTITUTE(_xlpm.raw,"_PIN","."),"PIN","."),_xlpm.mainPart,MID(_xlpm.cleanRaw,2,FIND(".",_xlpm.cleanRaw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806085</v>
      </c>
      <c r="H433" t="str">
        <f>""</f>
        <v/>
      </c>
      <c r="I433" t="str">
        <f>""</f>
        <v/>
      </c>
      <c r="J433" t="str">
        <f t="shared" si="6"/>
        <v>AB2;JTAG_TDI;RA517;9.9972;0.652599999999999;606085;806085;;</v>
      </c>
    </row>
    <row r="434" spans="1:10">
      <c r="A434" t="s">
        <v>1830</v>
      </c>
      <c r="B434" t="str">
        <f>_xlfn.XLOOKUP(A434,SITE1!$V$4:$V$1034,SITE1!$U$4:$U$1034,"")</f>
        <v>JTAG_TDO</v>
      </c>
      <c r="C434" t="str" cm="1">
        <f t="array" ref="C434">_xlfn.TEXTJOIN(",",TRUE,_xlfn.UNIQUE(TRANSPOSE(_xlfn.MAP(_xlfn.XLOOKUP(A434,SITE1!$C$4:$C$1034,SITE1!$F$4:$O$1034,""),_xlfn.LAMBDA(_xlpm.x,IF(_xlpm.x&lt;&gt;"",TRIM(CLEAN(LEFT(_xlpm.x,FIND(".",_xlpm.x &amp; ".")-1))),""))))))</f>
        <v>RA518</v>
      </c>
      <c r="D434">
        <v>9.9971999999999994</v>
      </c>
      <c r="E434">
        <v>1.15339999999999</v>
      </c>
      <c r="F434" t="str">
        <f>_xlfn.LET(_xlpm.raw,_xlfn.XLOOKUP(A434,SITE1!$C$4:$C$1034,SITE1!$E$4:$E$1034),_xlpm.cleanRaw,SUBSTITUTE(SUBSTITUTE(_xlpm.raw,"_PIN","."),"PIN","."),_xlpm.mainPart,MID(_xlpm.cleanRaw,2,FIND(".",_xlpm.cleanRaw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606088</v>
      </c>
      <c r="G434" t="str">
        <f>_xlfn.LET(_xlpm.raw,_xlfn.XLOOKUP(A434,SITE3!$C$4:$C$1034,SITE3!$E$4:$E$1034),_xlpm.cleanRaw,SUBSTITUTE(SUBSTITUTE(_xlpm.raw,"_PIN","."),"PIN","."),_xlpm.mainPart,MID(_xlpm.cleanRaw,2,FIND(".",_xlpm.cleanRaw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806088</v>
      </c>
      <c r="H434" t="str">
        <f>""</f>
        <v/>
      </c>
      <c r="I434" t="str">
        <f>""</f>
        <v/>
      </c>
      <c r="J434" t="str">
        <f t="shared" si="6"/>
        <v>AB3;JTAG_TDO;RA518;9.9972;1.15339999999999;606088;806088;;</v>
      </c>
    </row>
    <row r="435" spans="1:10">
      <c r="A435" t="s">
        <v>341</v>
      </c>
      <c r="B435" t="str">
        <f>_xlfn.XLOOKUP(A435,SITE1!$V$4:$V$1034,SITE1!$U$4:$U$1034,"")</f>
        <v>CRASHLOG_TRIG_N</v>
      </c>
      <c r="C435" t="str" cm="1">
        <f t="array" ref="C435">_xlfn.TEXTJOIN(",",TRUE,_xlfn.UNIQUE(TRANSPOSE(_xlfn.MAP(_xlfn.XLOOKUP(A435,SITE1!$C$4:$C$1034,SITE1!$F$4:$O$1034,""),_xlfn.LAMBDA(_xlpm.x,IF(_xlpm.x&lt;&gt;"",TRIM(CLEAN(LEFT(_xlpm.x,FIND(".",_xlpm.x &amp; ".")-1))),""))))))</f>
        <v/>
      </c>
      <c r="D435">
        <v>9.5884999999999998</v>
      </c>
      <c r="E435">
        <v>1.9837</v>
      </c>
      <c r="F435" t="str">
        <f>_xlfn.LET(_xlpm.raw,_xlfn.XLOOKUP(A435,SITE1!$C$4:$C$1034,SITE1!$E$4:$E$1034),_xlpm.cleanRaw,SUBSTITUTE(SUBSTITUTE(_xlpm.raw,"_PIN","."),"PIN","."),_xlpm.mainPart,MID(_xlpm.cleanRaw,2,FIND(".",_xlpm.cleanRaw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701101</v>
      </c>
      <c r="G435" t="str">
        <f>_xlfn.LET(_xlpm.raw,_xlfn.XLOOKUP(A435,SITE3!$C$4:$C$1034,SITE3!$E$4:$E$1034),_xlpm.cleanRaw,SUBSTITUTE(SUBSTITUTE(_xlpm.raw,"_PIN","."),"PIN","."),_xlpm.mainPart,MID(_xlpm.cleanRaw,2,FIND(".",_xlpm.cleanRaw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501101</v>
      </c>
      <c r="H435" t="str">
        <f>""</f>
        <v/>
      </c>
      <c r="I435" t="str">
        <f>""</f>
        <v/>
      </c>
      <c r="J435" t="str">
        <f t="shared" si="6"/>
        <v>AB5;CRASHLOG_TRIG_N;;9.5885;1.9837;701101;501101;;</v>
      </c>
    </row>
    <row r="436" spans="1:10">
      <c r="A436" t="s">
        <v>3698</v>
      </c>
      <c r="B436" t="str">
        <f>_xlfn.XLOOKUP(A436,SITE1!$V$4:$V$1034,SITE1!$U$4:$U$1034,"")</f>
        <v>VSS</v>
      </c>
      <c r="C436" t="str" cm="1">
        <f t="array" ref="C436">_xlfn.TEXTJOIN(",",TRUE,_xlfn.UNIQUE(TRANSPOSE(_xlfn.MAP(_xlfn.XLOOKUP(A436,SITE1!$C$4:$C$1034,SITE1!$F$4:$O$1034,""),_xlfn.LAMBDA(_xlpm.x,IF(_xlpm.x&lt;&gt;"",TRIM(CLEAN(LEFT(_xlpm.x,FIND(".",_xlpm.x &amp; ".")-1))),""))))))</f>
        <v/>
      </c>
      <c r="D436">
        <v>9.8361999999999998</v>
      </c>
      <c r="E436">
        <v>5.7642999999999898</v>
      </c>
      <c r="F436" t="str">
        <f>_xlfn.LET(_xlpm.raw,_xlfn.XLOOKUP(A436,SITE1!$C$4:$C$1034,SITE1!$E$4:$E$1034),_xlpm.cleanRaw,SUBSTITUTE(SUBSTITUTE(_xlpm.raw,"_PIN","."),"PIN","."),_xlpm.mainPart,MID(_xlpm.cleanRaw,2,FIND(".",_xlpm.cleanRaw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6" t="str">
        <f>_xlfn.LET(_xlpm.raw,_xlfn.XLOOKUP(A436,SITE3!$C$4:$C$1034,SITE3!$E$4:$E$1034),_xlpm.cleanRaw,SUBSTITUTE(SUBSTITUTE(_xlpm.raw,"_PIN","."),"PIN","."),_xlpm.mainPart,MID(_xlpm.cleanRaw,2,FIND(".",_xlpm.cleanRaw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6" t="str">
        <f>""</f>
        <v/>
      </c>
      <c r="I436" t="str">
        <f>""</f>
        <v/>
      </c>
      <c r="J436" t="str">
        <f t="shared" si="6"/>
        <v>AB13;VSS;;9.8362;5.76429999999999;;;;</v>
      </c>
    </row>
    <row r="437" spans="1:10">
      <c r="A437" t="s">
        <v>3699</v>
      </c>
      <c r="B437" t="str">
        <f>_xlfn.XLOOKUP(A437,SITE1!$V$4:$V$1034,SITE1!$U$4:$U$1034,"")</f>
        <v>VSS</v>
      </c>
      <c r="C437" t="str" cm="1">
        <f t="array" ref="C437">_xlfn.TEXTJOIN(",",TRUE,_xlfn.UNIQUE(TRANSPOSE(_xlfn.MAP(_xlfn.XLOOKUP(A437,SITE1!$C$4:$C$1034,SITE1!$F$4:$O$1034,""),_xlfn.LAMBDA(_xlpm.x,IF(_xlpm.x&lt;&gt;"",TRIM(CLEAN(LEFT(_xlpm.x,FIND(".",_xlpm.x &amp; ".")-1))),""))))))</f>
        <v/>
      </c>
      <c r="D437">
        <v>9.8361999999999998</v>
      </c>
      <c r="E437">
        <v>6.4882</v>
      </c>
      <c r="F437" t="str">
        <f>_xlfn.LET(_xlpm.raw,_xlfn.XLOOKUP(A437,SITE1!$C$4:$C$1034,SITE1!$E$4:$E$1034),_xlpm.cleanRaw,SUBSTITUTE(SUBSTITUTE(_xlpm.raw,"_PIN","."),"PIN","."),_xlpm.mainPart,MID(_xlpm.cleanRaw,2,FIND(".",_xlpm.cleanRaw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7" t="str">
        <f>_xlfn.LET(_xlpm.raw,_xlfn.XLOOKUP(A437,SITE3!$C$4:$C$1034,SITE3!$E$4:$E$1034),_xlpm.cleanRaw,SUBSTITUTE(SUBSTITUTE(_xlpm.raw,"_PIN","."),"PIN","."),_xlpm.mainPart,MID(_xlpm.cleanRaw,2,FIND(".",_xlpm.cleanRaw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7" t="str">
        <f>""</f>
        <v/>
      </c>
      <c r="I437" t="str">
        <f>""</f>
        <v/>
      </c>
      <c r="J437" t="str">
        <f t="shared" si="6"/>
        <v>AB14;VSS;;9.8362;6.4882;;;;</v>
      </c>
    </row>
    <row r="438" spans="1:10">
      <c r="A438" t="s">
        <v>3700</v>
      </c>
      <c r="B438" t="str">
        <f>_xlfn.XLOOKUP(A438,SITE1!$V$4:$V$1034,SITE1!$U$4:$U$1034,"")</f>
        <v>VSS</v>
      </c>
      <c r="C438" t="str" cm="1">
        <f t="array" ref="C438">_xlfn.TEXTJOIN(",",TRUE,_xlfn.UNIQUE(TRANSPOSE(_xlfn.MAP(_xlfn.XLOOKUP(A438,SITE1!$C$4:$C$1034,SITE1!$F$4:$O$1034,""),_xlfn.LAMBDA(_xlpm.x,IF(_xlpm.x&lt;&gt;"",TRIM(CLEAN(LEFT(_xlpm.x,FIND(".",_xlpm.x &amp; ".")-1))),""))))))</f>
        <v/>
      </c>
      <c r="D438">
        <v>9.8361999999999998</v>
      </c>
      <c r="E438">
        <v>7.2120999999999897</v>
      </c>
      <c r="F438" t="str">
        <f>_xlfn.LET(_xlpm.raw,_xlfn.XLOOKUP(A438,SITE1!$C$4:$C$1034,SITE1!$E$4:$E$1034),_xlpm.cleanRaw,SUBSTITUTE(SUBSTITUTE(_xlpm.raw,"_PIN","."),"PIN","."),_xlpm.mainPart,MID(_xlpm.cleanRaw,2,FIND(".",_xlpm.cleanRaw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8" t="str">
        <f>_xlfn.LET(_xlpm.raw,_xlfn.XLOOKUP(A438,SITE3!$C$4:$C$1034,SITE3!$E$4:$E$1034),_xlpm.cleanRaw,SUBSTITUTE(SUBSTITUTE(_xlpm.raw,"_PIN","."),"PIN","."),_xlpm.mainPart,MID(_xlpm.cleanRaw,2,FIND(".",_xlpm.cleanRaw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8" t="str">
        <f>""</f>
        <v/>
      </c>
      <c r="I438" t="str">
        <f>""</f>
        <v/>
      </c>
      <c r="J438" t="str">
        <f t="shared" si="6"/>
        <v>AB16;VSS;;9.8362;7.21209999999999;;;;</v>
      </c>
    </row>
    <row r="439" spans="1:10">
      <c r="A439" t="s">
        <v>3557</v>
      </c>
      <c r="B439" t="str">
        <f>_xlfn.XLOOKUP(A439,SITE1!$V$4:$V$1034,SITE1!$U$4:$U$1034,"")</f>
        <v>VCCGPIO_JTAGCPU</v>
      </c>
      <c r="C439" t="str" cm="1">
        <f t="array" ref="C439">_xlfn.TEXTJOIN(",",TRUE,_xlfn.UNIQUE(TRANSPOSE(_xlfn.MAP(_xlfn.XLOOKUP(A439,SITE1!$C$4:$C$1034,SITE1!$F$4:$O$1034,""),_xlfn.LAMBDA(_xlpm.x,IF(_xlpm.x&lt;&gt;"",TRIM(CLEAN(LEFT(_xlpm.x,FIND(".",_xlpm.x &amp; ".")-1))),""))))))</f>
        <v/>
      </c>
      <c r="D439">
        <v>9.8361999999999998</v>
      </c>
      <c r="E439">
        <v>7.9359999999999999</v>
      </c>
      <c r="F439" t="str">
        <f>_xlfn.LET(_xlpm.raw,_xlfn.XLOOKUP(A439,SITE1!$C$4:$C$1034,SITE1!$E$4:$E$1034),_xlpm.cleanRaw,SUBSTITUTE(SUBSTITUTE(_xlpm.raw,"_PIN","."),"PIN","."),_xlpm.mainPart,MID(_xlpm.cleanRaw,2,FIND(".",_xlpm.cleanRaw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9" t="str">
        <f>_xlfn.LET(_xlpm.raw,_xlfn.XLOOKUP(A439,SITE3!$C$4:$C$1034,SITE3!$E$4:$E$1034),_xlpm.cleanRaw,SUBSTITUTE(SUBSTITUTE(_xlpm.raw,"_PIN","."),"PIN","."),_xlpm.mainPart,MID(_xlpm.cleanRaw,2,FIND(".",_xlpm.cleanRaw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9" t="str">
        <f>""</f>
        <v/>
      </c>
      <c r="I439" t="str">
        <f>""</f>
        <v/>
      </c>
      <c r="J439" t="str">
        <f t="shared" si="6"/>
        <v>AB17;VCCGPIO_JTAGCPU;;9.8362;7.936;;;;</v>
      </c>
    </row>
    <row r="440" spans="1:10">
      <c r="A440" t="s">
        <v>3701</v>
      </c>
      <c r="B440" t="str">
        <f>_xlfn.XLOOKUP(A440,SITE1!$V$4:$V$1034,SITE1!$U$4:$U$1034,"")</f>
        <v>VSS</v>
      </c>
      <c r="C440" t="str" cm="1">
        <f t="array" ref="C440">_xlfn.TEXTJOIN(",",TRUE,_xlfn.UNIQUE(TRANSPOSE(_xlfn.MAP(_xlfn.XLOOKUP(A440,SITE1!$C$4:$C$1034,SITE1!$F$4:$O$1034,""),_xlfn.LAMBDA(_xlpm.x,IF(_xlpm.x&lt;&gt;"",TRIM(CLEAN(LEFT(_xlpm.x,FIND(".",_xlpm.x &amp; ".")-1))),""))))))</f>
        <v/>
      </c>
      <c r="D440">
        <v>9.8361999999999998</v>
      </c>
      <c r="E440">
        <v>8.6599000000000004</v>
      </c>
      <c r="F440" t="str">
        <f>_xlfn.LET(_xlpm.raw,_xlfn.XLOOKUP(A440,SITE1!$C$4:$C$1034,SITE1!$E$4:$E$1034),_xlpm.cleanRaw,SUBSTITUTE(SUBSTITUTE(_xlpm.raw,"_PIN","."),"PIN","."),_xlpm.mainPart,MID(_xlpm.cleanRaw,2,FIND(".",_xlpm.cleanRaw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0" t="str">
        <f>_xlfn.LET(_xlpm.raw,_xlfn.XLOOKUP(A440,SITE3!$C$4:$C$1034,SITE3!$E$4:$E$1034),_xlpm.cleanRaw,SUBSTITUTE(SUBSTITUTE(_xlpm.raw,"_PIN","."),"PIN","."),_xlpm.mainPart,MID(_xlpm.cleanRaw,2,FIND(".",_xlpm.cleanRaw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0" t="str">
        <f>""</f>
        <v/>
      </c>
      <c r="I440" t="str">
        <f>""</f>
        <v/>
      </c>
      <c r="J440" t="str">
        <f t="shared" si="6"/>
        <v>AB19;VSS;;9.8362;8.6599;;;;</v>
      </c>
    </row>
    <row r="441" spans="1:10">
      <c r="A441" t="s">
        <v>3702</v>
      </c>
      <c r="B441" t="str">
        <f>_xlfn.XLOOKUP(A441,SITE1!$V$4:$V$1034,SITE1!$U$4:$U$1034,"")</f>
        <v>VSS</v>
      </c>
      <c r="C441" t="str" cm="1">
        <f t="array" ref="C441">_xlfn.TEXTJOIN(",",TRUE,_xlfn.UNIQUE(TRANSPOSE(_xlfn.MAP(_xlfn.XLOOKUP(A441,SITE1!$C$4:$C$1034,SITE1!$F$4:$O$1034,""),_xlfn.LAMBDA(_xlpm.x,IF(_xlpm.x&lt;&gt;"",TRIM(CLEAN(LEFT(_xlpm.x,FIND(".",_xlpm.x &amp; ".")-1))),""))))))</f>
        <v/>
      </c>
      <c r="D441">
        <v>9.6405999999999992</v>
      </c>
      <c r="E441">
        <v>9.5655999999999999</v>
      </c>
      <c r="F441" t="str">
        <f>_xlfn.LET(_xlpm.raw,_xlfn.XLOOKUP(A441,SITE1!$C$4:$C$1034,SITE1!$E$4:$E$1034),_xlpm.cleanRaw,SUBSTITUTE(SUBSTITUTE(_xlpm.raw,"_PIN","."),"PIN","."),_xlpm.mainPart,MID(_xlpm.cleanRaw,2,FIND(".",_xlpm.cleanRaw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1" t="str">
        <f>_xlfn.LET(_xlpm.raw,_xlfn.XLOOKUP(A441,SITE3!$C$4:$C$1034,SITE3!$E$4:$E$1034),_xlpm.cleanRaw,SUBSTITUTE(SUBSTITUTE(_xlpm.raw,"_PIN","."),"PIN","."),_xlpm.mainPart,MID(_xlpm.cleanRaw,2,FIND(".",_xlpm.cleanRaw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1" t="str">
        <f>""</f>
        <v/>
      </c>
      <c r="I441" t="str">
        <f>""</f>
        <v/>
      </c>
      <c r="J441" t="str">
        <f t="shared" si="6"/>
        <v>AB21;VSS;;9.6406;9.5656;;;;</v>
      </c>
    </row>
    <row r="442" spans="1:10">
      <c r="A442" t="s">
        <v>3703</v>
      </c>
      <c r="B442" t="str">
        <f>_xlfn.XLOOKUP(A442,SITE1!$V$4:$V$1034,SITE1!$U$4:$U$1034,"")</f>
        <v>VSS</v>
      </c>
      <c r="C442" t="str" cm="1">
        <f t="array" ref="C442">_xlfn.TEXTJOIN(",",TRUE,_xlfn.UNIQUE(TRANSPOSE(_xlfn.MAP(_xlfn.XLOOKUP(A442,SITE1!$C$4:$C$1034,SITE1!$F$4:$O$1034,""),_xlfn.LAMBDA(_xlpm.x,IF(_xlpm.x&lt;&gt;"",TRIM(CLEAN(LEFT(_xlpm.x,FIND(".",_xlpm.x &amp; ".")-1))),""))))))</f>
        <v/>
      </c>
      <c r="D442">
        <v>9.6405999999999992</v>
      </c>
      <c r="E442">
        <v>10.340299999999999</v>
      </c>
      <c r="F442" t="str">
        <f>_xlfn.LET(_xlpm.raw,_xlfn.XLOOKUP(A442,SITE1!$C$4:$C$1034,SITE1!$E$4:$E$1034),_xlpm.cleanRaw,SUBSTITUTE(SUBSTITUTE(_xlpm.raw,"_PIN","."),"PIN","."),_xlpm.mainPart,MID(_xlpm.cleanRaw,2,FIND(".",_xlpm.cleanRaw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2" t="str">
        <f>_xlfn.LET(_xlpm.raw,_xlfn.XLOOKUP(A442,SITE3!$C$4:$C$1034,SITE3!$E$4:$E$1034),_xlpm.cleanRaw,SUBSTITUTE(SUBSTITUTE(_xlpm.raw,"_PIN","."),"PIN","."),_xlpm.mainPart,MID(_xlpm.cleanRaw,2,FIND(".",_xlpm.cleanRaw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2" t="str">
        <f>""</f>
        <v/>
      </c>
      <c r="I442" t="str">
        <f>""</f>
        <v/>
      </c>
      <c r="J442" t="str">
        <f t="shared" si="6"/>
        <v>AB22;VSS;;9.6406;10.3403;;;;</v>
      </c>
    </row>
    <row r="443" spans="1:10">
      <c r="A443" t="s">
        <v>3704</v>
      </c>
      <c r="B443" t="str">
        <f>_xlfn.XLOOKUP(A443,SITE1!$V$4:$V$1034,SITE1!$U$4:$U$1034,"")</f>
        <v>VSS</v>
      </c>
      <c r="C443" t="str" cm="1">
        <f t="array" ref="C443">_xlfn.TEXTJOIN(",",TRUE,_xlfn.UNIQUE(TRANSPOSE(_xlfn.MAP(_xlfn.XLOOKUP(A443,SITE1!$C$4:$C$1034,SITE1!$F$4:$O$1034,""),_xlfn.LAMBDA(_xlpm.x,IF(_xlpm.x&lt;&gt;"",TRIM(CLEAN(LEFT(_xlpm.x,FIND(".",_xlpm.x &amp; ".")-1))),""))))))</f>
        <v/>
      </c>
      <c r="D443">
        <v>9.6405999999999992</v>
      </c>
      <c r="E443">
        <v>11.115</v>
      </c>
      <c r="F443" t="str">
        <f>_xlfn.LET(_xlpm.raw,_xlfn.XLOOKUP(A443,SITE1!$C$4:$C$1034,SITE1!$E$4:$E$1034),_xlpm.cleanRaw,SUBSTITUTE(SUBSTITUTE(_xlpm.raw,"_PIN","."),"PIN","."),_xlpm.mainPart,MID(_xlpm.cleanRaw,2,FIND(".",_xlpm.cleanRaw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3" t="str">
        <f>_xlfn.LET(_xlpm.raw,_xlfn.XLOOKUP(A443,SITE3!$C$4:$C$1034,SITE3!$E$4:$E$1034),_xlpm.cleanRaw,SUBSTITUTE(SUBSTITUTE(_xlpm.raw,"_PIN","."),"PIN","."),_xlpm.mainPart,MID(_xlpm.cleanRaw,2,FIND(".",_xlpm.cleanRaw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3" t="str">
        <f>""</f>
        <v/>
      </c>
      <c r="I443" t="str">
        <f>""</f>
        <v/>
      </c>
      <c r="J443" t="str">
        <f t="shared" si="6"/>
        <v>AB24;VSS;;9.6406;11.115;;;;</v>
      </c>
    </row>
    <row r="444" spans="1:10">
      <c r="A444" t="s">
        <v>3705</v>
      </c>
      <c r="B444" t="str">
        <f>_xlfn.XLOOKUP(A444,SITE1!$V$4:$V$1034,SITE1!$U$4:$U$1034,"")</f>
        <v>VSS</v>
      </c>
      <c r="C444" t="str" cm="1">
        <f t="array" ref="C444">_xlfn.TEXTJOIN(",",TRUE,_xlfn.UNIQUE(TRANSPOSE(_xlfn.MAP(_xlfn.XLOOKUP(A444,SITE1!$C$4:$C$1034,SITE1!$F$4:$O$1034,""),_xlfn.LAMBDA(_xlpm.x,IF(_xlpm.x&lt;&gt;"",TRIM(CLEAN(LEFT(_xlpm.x,FIND(".",_xlpm.x &amp; ".")-1))),""))))))</f>
        <v/>
      </c>
      <c r="D444">
        <v>9.6405999999999992</v>
      </c>
      <c r="E444">
        <v>11.889699999999999</v>
      </c>
      <c r="F444" t="str">
        <f>_xlfn.LET(_xlpm.raw,_xlfn.XLOOKUP(A444,SITE1!$C$4:$C$1034,SITE1!$E$4:$E$1034),_xlpm.cleanRaw,SUBSTITUTE(SUBSTITUTE(_xlpm.raw,"_PIN","."),"PIN","."),_xlpm.mainPart,MID(_xlpm.cleanRaw,2,FIND(".",_xlpm.cleanRaw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4" t="str">
        <f>_xlfn.LET(_xlpm.raw,_xlfn.XLOOKUP(A444,SITE3!$C$4:$C$1034,SITE3!$E$4:$E$1034),_xlpm.cleanRaw,SUBSTITUTE(SUBSTITUTE(_xlpm.raw,"_PIN","."),"PIN","."),_xlpm.mainPart,MID(_xlpm.cleanRaw,2,FIND(".",_xlpm.cleanRaw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4" t="str">
        <f>""</f>
        <v/>
      </c>
      <c r="I444" t="str">
        <f>""</f>
        <v/>
      </c>
      <c r="J444" t="str">
        <f t="shared" si="6"/>
        <v>AB26;VSS;;9.6406;11.8897;;;;</v>
      </c>
    </row>
    <row r="445" spans="1:10">
      <c r="A445" t="s">
        <v>3706</v>
      </c>
      <c r="B445" t="str">
        <f>_xlfn.XLOOKUP(A445,SITE1!$V$4:$V$1034,SITE1!$U$4:$U$1034,"")</f>
        <v>VSS</v>
      </c>
      <c r="C445" t="str" cm="1">
        <f t="array" ref="C445">_xlfn.TEXTJOIN(",",TRUE,_xlfn.UNIQUE(TRANSPOSE(_xlfn.MAP(_xlfn.XLOOKUP(A445,SITE1!$C$4:$C$1034,SITE1!$F$4:$O$1034,""),_xlfn.LAMBDA(_xlpm.x,IF(_xlpm.x&lt;&gt;"",TRIM(CLEAN(LEFT(_xlpm.x,FIND(".",_xlpm.x &amp; ".")-1))),""))))))</f>
        <v/>
      </c>
      <c r="D445">
        <v>9.6405999999999992</v>
      </c>
      <c r="E445">
        <v>12.664400000000001</v>
      </c>
      <c r="F445" t="str">
        <f>_xlfn.LET(_xlpm.raw,_xlfn.XLOOKUP(A445,SITE1!$C$4:$C$1034,SITE1!$E$4:$E$1034),_xlpm.cleanRaw,SUBSTITUTE(SUBSTITUTE(_xlpm.raw,"_PIN","."),"PIN","."),_xlpm.mainPart,MID(_xlpm.cleanRaw,2,FIND(".",_xlpm.cleanRaw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5" t="str">
        <f>_xlfn.LET(_xlpm.raw,_xlfn.XLOOKUP(A445,SITE3!$C$4:$C$1034,SITE3!$E$4:$E$1034),_xlpm.cleanRaw,SUBSTITUTE(SUBSTITUTE(_xlpm.raw,"_PIN","."),"PIN","."),_xlpm.mainPart,MID(_xlpm.cleanRaw,2,FIND(".",_xlpm.cleanRaw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5" t="str">
        <f>""</f>
        <v/>
      </c>
      <c r="I445" t="str">
        <f>""</f>
        <v/>
      </c>
      <c r="J445" t="str">
        <f t="shared" si="6"/>
        <v>AB27;VSS;;9.6406;12.6644;;;;</v>
      </c>
    </row>
    <row r="446" spans="1:10">
      <c r="A446" t="s">
        <v>3561</v>
      </c>
      <c r="B446" t="str">
        <f>_xlfn.XLOOKUP(A446,SITE1!$V$4:$V$1034,SITE1!$U$4:$U$1034,"")</f>
        <v>VCCMPHY_0P82</v>
      </c>
      <c r="C446" t="str" cm="1">
        <f t="array" ref="C446">_xlfn.TEXTJOIN(",",TRUE,_xlfn.UNIQUE(TRANSPOSE(_xlfn.MAP(_xlfn.XLOOKUP(A446,SITE1!$C$4:$C$1034,SITE1!$F$4:$O$1034,""),_xlfn.LAMBDA(_xlpm.x,IF(_xlpm.x&lt;&gt;"",TRIM(CLEAN(LEFT(_xlpm.x,FIND(".",_xlpm.x &amp; ".")-1))),""))))))</f>
        <v/>
      </c>
      <c r="D446">
        <v>9.6405999999999992</v>
      </c>
      <c r="E446">
        <v>13.4391</v>
      </c>
      <c r="F446" t="str">
        <f>_xlfn.LET(_xlpm.raw,_xlfn.XLOOKUP(A446,SITE1!$C$4:$C$1034,SITE1!$E$4:$E$1034),_xlpm.cleanRaw,SUBSTITUTE(SUBSTITUTE(_xlpm.raw,"_PIN","."),"PIN","."),_xlpm.mainPart,MID(_xlpm.cleanRaw,2,FIND(".",_xlpm.cleanRaw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6" t="str">
        <f>_xlfn.LET(_xlpm.raw,_xlfn.XLOOKUP(A446,SITE3!$C$4:$C$1034,SITE3!$E$4:$E$1034),_xlpm.cleanRaw,SUBSTITUTE(SUBSTITUTE(_xlpm.raw,"_PIN","."),"PIN","."),_xlpm.mainPart,MID(_xlpm.cleanRaw,2,FIND(".",_xlpm.cleanRaw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6" t="str">
        <f>""</f>
        <v/>
      </c>
      <c r="I446" t="str">
        <f>""</f>
        <v/>
      </c>
      <c r="J446" t="str">
        <f t="shared" si="6"/>
        <v>AB29;VCCMPHY_0P82;;9.6406;13.4391;;;;</v>
      </c>
    </row>
    <row r="447" spans="1:10">
      <c r="A447" t="s">
        <v>3564</v>
      </c>
      <c r="B447" t="str">
        <f>_xlfn.XLOOKUP(A447,SITE1!$V$4:$V$1034,SITE1!$U$4:$U$1034,"")</f>
        <v>VCCMPHY_0P82</v>
      </c>
      <c r="C447" t="str" cm="1">
        <f t="array" ref="C447">_xlfn.TEXTJOIN(",",TRUE,_xlfn.UNIQUE(TRANSPOSE(_xlfn.MAP(_xlfn.XLOOKUP(A447,SITE1!$C$4:$C$1034,SITE1!$F$4:$O$1034,""),_xlfn.LAMBDA(_xlpm.x,IF(_xlpm.x&lt;&gt;"",TRIM(CLEAN(LEFT(_xlpm.x,FIND(".",_xlpm.x &amp; ".")-1))),""))))))</f>
        <v/>
      </c>
      <c r="D447">
        <v>9.6405999999999992</v>
      </c>
      <c r="E447">
        <v>14.2137999999999</v>
      </c>
      <c r="F447" t="str">
        <f>_xlfn.LET(_xlpm.raw,_xlfn.XLOOKUP(A447,SITE1!$C$4:$C$1034,SITE1!$E$4:$E$1034),_xlpm.cleanRaw,SUBSTITUTE(SUBSTITUTE(_xlpm.raw,"_PIN","."),"PIN","."),_xlpm.mainPart,MID(_xlpm.cleanRaw,2,FIND(".",_xlpm.cleanRaw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7" t="str">
        <f>_xlfn.LET(_xlpm.raw,_xlfn.XLOOKUP(A447,SITE3!$C$4:$C$1034,SITE3!$E$4:$E$1034),_xlpm.cleanRaw,SUBSTITUTE(SUBSTITUTE(_xlpm.raw,"_PIN","."),"PIN","."),_xlpm.mainPart,MID(_xlpm.cleanRaw,2,FIND(".",_xlpm.cleanRaw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7" t="str">
        <f>""</f>
        <v/>
      </c>
      <c r="I447" t="str">
        <f>""</f>
        <v/>
      </c>
      <c r="J447" t="str">
        <f t="shared" si="6"/>
        <v>AB31;VCCMPHY_0P82;;9.6406;14.2137999999999;;;;</v>
      </c>
    </row>
    <row r="448" spans="1:10">
      <c r="A448" t="s">
        <v>3565</v>
      </c>
      <c r="B448" t="str">
        <f>_xlfn.XLOOKUP(A448,SITE1!$V$4:$V$1034,SITE1!$U$4:$U$1034,"")</f>
        <v>VCCMPHY_0P82</v>
      </c>
      <c r="C448" t="str" cm="1">
        <f t="array" ref="C448">_xlfn.TEXTJOIN(",",TRUE,_xlfn.UNIQUE(TRANSPOSE(_xlfn.MAP(_xlfn.XLOOKUP(A448,SITE1!$C$4:$C$1034,SITE1!$F$4:$O$1034,""),_xlfn.LAMBDA(_xlpm.x,IF(_xlpm.x&lt;&gt;"",TRIM(CLEAN(LEFT(_xlpm.x,FIND(".",_xlpm.x &amp; ".")-1))),""))))))</f>
        <v/>
      </c>
      <c r="D448">
        <v>9.6405999999999992</v>
      </c>
      <c r="E448">
        <v>14.9885</v>
      </c>
      <c r="F448" t="str">
        <f>_xlfn.LET(_xlpm.raw,_xlfn.XLOOKUP(A448,SITE1!$C$4:$C$1034,SITE1!$E$4:$E$1034),_xlpm.cleanRaw,SUBSTITUTE(SUBSTITUTE(_xlpm.raw,"_PIN","."),"PIN","."),_xlpm.mainPart,MID(_xlpm.cleanRaw,2,FIND(".",_xlpm.cleanRaw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8" t="str">
        <f>_xlfn.LET(_xlpm.raw,_xlfn.XLOOKUP(A448,SITE3!$C$4:$C$1034,SITE3!$E$4:$E$1034),_xlpm.cleanRaw,SUBSTITUTE(SUBSTITUTE(_xlpm.raw,"_PIN","."),"PIN","."),_xlpm.mainPart,MID(_xlpm.cleanRaw,2,FIND(".",_xlpm.cleanRaw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8" t="str">
        <f>""</f>
        <v/>
      </c>
      <c r="I448" t="str">
        <f>""</f>
        <v/>
      </c>
      <c r="J448" t="str">
        <f t="shared" si="6"/>
        <v>AB32;VCCMPHY_0P82;;9.6406;14.9885;;;;</v>
      </c>
    </row>
    <row r="449" spans="1:10">
      <c r="A449" t="s">
        <v>3566</v>
      </c>
      <c r="B449" t="str">
        <f>_xlfn.XLOOKUP(A449,SITE1!$V$4:$V$1034,SITE1!$U$4:$U$1034,"")</f>
        <v>VCCMPHY_0P82</v>
      </c>
      <c r="C449" t="str" cm="1">
        <f t="array" ref="C449">_xlfn.TEXTJOIN(",",TRUE,_xlfn.UNIQUE(TRANSPOSE(_xlfn.MAP(_xlfn.XLOOKUP(A449,SITE1!$C$4:$C$1034,SITE1!$F$4:$O$1034,""),_xlfn.LAMBDA(_xlpm.x,IF(_xlpm.x&lt;&gt;"",TRIM(CLEAN(LEFT(_xlpm.x,FIND(".",_xlpm.x &amp; ".")-1))),""))))))</f>
        <v/>
      </c>
      <c r="D449">
        <v>9.6405999999999992</v>
      </c>
      <c r="E449">
        <v>15.763199999999999</v>
      </c>
      <c r="F449" t="str">
        <f>_xlfn.LET(_xlpm.raw,_xlfn.XLOOKUP(A449,SITE1!$C$4:$C$1034,SITE1!$E$4:$E$1034),_xlpm.cleanRaw,SUBSTITUTE(SUBSTITUTE(_xlpm.raw,"_PIN","."),"PIN","."),_xlpm.mainPart,MID(_xlpm.cleanRaw,2,FIND(".",_xlpm.cleanRaw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9" t="str">
        <f>_xlfn.LET(_xlpm.raw,_xlfn.XLOOKUP(A449,SITE3!$C$4:$C$1034,SITE3!$E$4:$E$1034),_xlpm.cleanRaw,SUBSTITUTE(SUBSTITUTE(_xlpm.raw,"_PIN","."),"PIN","."),_xlpm.mainPart,MID(_xlpm.cleanRaw,2,FIND(".",_xlpm.cleanRaw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9" t="str">
        <f>""</f>
        <v/>
      </c>
      <c r="I449" t="str">
        <f>""</f>
        <v/>
      </c>
      <c r="J449" t="str">
        <f t="shared" si="6"/>
        <v>AB34;VCCMPHY_0P82;;9.6406;15.7632;;;;</v>
      </c>
    </row>
    <row r="450" spans="1:10">
      <c r="A450" t="s">
        <v>3567</v>
      </c>
      <c r="B450" t="str">
        <f>_xlfn.XLOOKUP(A450,SITE1!$V$4:$V$1034,SITE1!$U$4:$U$1034,"")</f>
        <v>VCCMPHY_0P82</v>
      </c>
      <c r="C450" t="str" cm="1">
        <f t="array" ref="C450">_xlfn.TEXTJOIN(",",TRUE,_xlfn.UNIQUE(TRANSPOSE(_xlfn.MAP(_xlfn.XLOOKUP(A450,SITE1!$C$4:$C$1034,SITE1!$F$4:$O$1034,""),_xlfn.LAMBDA(_xlpm.x,IF(_xlpm.x&lt;&gt;"",TRIM(CLEAN(LEFT(_xlpm.x,FIND(".",_xlpm.x &amp; ".")-1))),""))))))</f>
        <v/>
      </c>
      <c r="D450">
        <v>9.6405999999999992</v>
      </c>
      <c r="E450">
        <v>16.5379</v>
      </c>
      <c r="F450" t="str">
        <f>_xlfn.LET(_xlpm.raw,_xlfn.XLOOKUP(A450,SITE1!$C$4:$C$1034,SITE1!$E$4:$E$1034),_xlpm.cleanRaw,SUBSTITUTE(SUBSTITUTE(_xlpm.raw,"_PIN","."),"PIN","."),_xlpm.mainPart,MID(_xlpm.cleanRaw,2,FIND(".",_xlpm.cleanRaw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0" t="str">
        <f>_xlfn.LET(_xlpm.raw,_xlfn.XLOOKUP(A450,SITE3!$C$4:$C$1034,SITE3!$E$4:$E$1034),_xlpm.cleanRaw,SUBSTITUTE(SUBSTITUTE(_xlpm.raw,"_PIN","."),"PIN","."),_xlpm.mainPart,MID(_xlpm.cleanRaw,2,FIND(".",_xlpm.cleanRaw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0" t="str">
        <f>""</f>
        <v/>
      </c>
      <c r="I450" t="str">
        <f>""</f>
        <v/>
      </c>
      <c r="J450" t="str">
        <f t="shared" ref="J450:J513" si="7">A450&amp;";"&amp;B450&amp;";"&amp;C450&amp;";"&amp;D450&amp;";"&amp;E450&amp;";"&amp;F450&amp;";"&amp;G450&amp;";"&amp;H450&amp;";"&amp;I450</f>
        <v>AB36;VCCMPHY_0P82;;9.6406;16.5379;;;;</v>
      </c>
    </row>
    <row r="451" spans="1:10">
      <c r="A451" t="s">
        <v>3568</v>
      </c>
      <c r="B451" t="str">
        <f>_xlfn.XLOOKUP(A451,SITE1!$V$4:$V$1034,SITE1!$U$4:$U$1034,"")</f>
        <v>VCCMPHY_0P82</v>
      </c>
      <c r="C451" t="str" cm="1">
        <f t="array" ref="C451">_xlfn.TEXTJOIN(",",TRUE,_xlfn.UNIQUE(TRANSPOSE(_xlfn.MAP(_xlfn.XLOOKUP(A451,SITE1!$C$4:$C$1034,SITE1!$F$4:$O$1034,""),_xlfn.LAMBDA(_xlpm.x,IF(_xlpm.x&lt;&gt;"",TRIM(CLEAN(LEFT(_xlpm.x,FIND(".",_xlpm.x &amp; ".")-1))),""))))))</f>
        <v/>
      </c>
      <c r="D451">
        <v>9.6405999999999992</v>
      </c>
      <c r="E451">
        <v>17.3126</v>
      </c>
      <c r="F451" t="str">
        <f>_xlfn.LET(_xlpm.raw,_xlfn.XLOOKUP(A451,SITE1!$C$4:$C$1034,SITE1!$E$4:$E$1034),_xlpm.cleanRaw,SUBSTITUTE(SUBSTITUTE(_xlpm.raw,"_PIN","."),"PIN","."),_xlpm.mainPart,MID(_xlpm.cleanRaw,2,FIND(".",_xlpm.cleanRaw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1" t="str">
        <f>_xlfn.LET(_xlpm.raw,_xlfn.XLOOKUP(A451,SITE3!$C$4:$C$1034,SITE3!$E$4:$E$1034),_xlpm.cleanRaw,SUBSTITUTE(SUBSTITUTE(_xlpm.raw,"_PIN","."),"PIN","."),_xlpm.mainPart,MID(_xlpm.cleanRaw,2,FIND(".",_xlpm.cleanRaw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1" t="str">
        <f>""</f>
        <v/>
      </c>
      <c r="I451" t="str">
        <f>""</f>
        <v/>
      </c>
      <c r="J451" t="str">
        <f t="shared" si="7"/>
        <v>AB37;VCCMPHY_0P82;;9.6406;17.3126;;;;</v>
      </c>
    </row>
    <row r="452" spans="1:10">
      <c r="A452" t="s">
        <v>3707</v>
      </c>
      <c r="B452" t="str">
        <f>_xlfn.XLOOKUP(A452,SITE1!$V$4:$V$1034,SITE1!$U$4:$U$1034,"")</f>
        <v>VSS</v>
      </c>
      <c r="C452" t="str" cm="1">
        <f t="array" ref="C452">_xlfn.TEXTJOIN(",",TRUE,_xlfn.UNIQUE(TRANSPOSE(_xlfn.MAP(_xlfn.XLOOKUP(A452,SITE1!$C$4:$C$1034,SITE1!$F$4:$O$1034,""),_xlfn.LAMBDA(_xlpm.x,IF(_xlpm.x&lt;&gt;"",TRIM(CLEAN(LEFT(_xlpm.x,FIND(".",_xlpm.x &amp; ".")-1))),""))))))</f>
        <v/>
      </c>
      <c r="D452">
        <v>9.8361999999999998</v>
      </c>
      <c r="E452">
        <v>18.218299999999999</v>
      </c>
      <c r="F452" t="str">
        <f>_xlfn.LET(_xlpm.raw,_xlfn.XLOOKUP(A452,SITE1!$C$4:$C$1034,SITE1!$E$4:$E$1034),_xlpm.cleanRaw,SUBSTITUTE(SUBSTITUTE(_xlpm.raw,"_PIN","."),"PIN","."),_xlpm.mainPart,MID(_xlpm.cleanRaw,2,FIND(".",_xlpm.cleanRaw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2" t="str">
        <f>_xlfn.LET(_xlpm.raw,_xlfn.XLOOKUP(A452,SITE3!$C$4:$C$1034,SITE3!$E$4:$E$1034),_xlpm.cleanRaw,SUBSTITUTE(SUBSTITUTE(_xlpm.raw,"_PIN","."),"PIN","."),_xlpm.mainPart,MID(_xlpm.cleanRaw,2,FIND(".",_xlpm.cleanRaw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2" t="str">
        <f>""</f>
        <v/>
      </c>
      <c r="I452" t="str">
        <f>""</f>
        <v/>
      </c>
      <c r="J452" t="str">
        <f t="shared" si="7"/>
        <v>AB39;VSS;;9.8362;18.2183;;;;</v>
      </c>
    </row>
    <row r="453" spans="1:10">
      <c r="A453" t="s">
        <v>3708</v>
      </c>
      <c r="B453" t="str">
        <f>_xlfn.XLOOKUP(A453,SITE1!$V$4:$V$1034,SITE1!$U$4:$U$1034,"")</f>
        <v>VSS</v>
      </c>
      <c r="C453" t="str" cm="1">
        <f t="array" ref="C453">_xlfn.TEXTJOIN(",",TRUE,_xlfn.UNIQUE(TRANSPOSE(_xlfn.MAP(_xlfn.XLOOKUP(A453,SITE1!$C$4:$C$1034,SITE1!$F$4:$O$1034,""),_xlfn.LAMBDA(_xlpm.x,IF(_xlpm.x&lt;&gt;"",TRIM(CLEAN(LEFT(_xlpm.x,FIND(".",_xlpm.x &amp; ".")-1))),""))))))</f>
        <v/>
      </c>
      <c r="D453">
        <v>9.8361999999999998</v>
      </c>
      <c r="E453">
        <v>18.9422</v>
      </c>
      <c r="F453" t="str">
        <f>_xlfn.LET(_xlpm.raw,_xlfn.XLOOKUP(A453,SITE1!$C$4:$C$1034,SITE1!$E$4:$E$1034),_xlpm.cleanRaw,SUBSTITUTE(SUBSTITUTE(_xlpm.raw,"_PIN","."),"PIN","."),_xlpm.mainPart,MID(_xlpm.cleanRaw,2,FIND(".",_xlpm.cleanRaw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3" t="str">
        <f>_xlfn.LET(_xlpm.raw,_xlfn.XLOOKUP(A453,SITE3!$C$4:$C$1034,SITE3!$E$4:$E$1034),_xlpm.cleanRaw,SUBSTITUTE(SUBSTITUTE(_xlpm.raw,"_PIN","."),"PIN","."),_xlpm.mainPart,MID(_xlpm.cleanRaw,2,FIND(".",_xlpm.cleanRaw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3" t="str">
        <f>""</f>
        <v/>
      </c>
      <c r="I453" t="str">
        <f>""</f>
        <v/>
      </c>
      <c r="J453" t="str">
        <f t="shared" si="7"/>
        <v>AB41;VSS;;9.8362;18.9422;;;;</v>
      </c>
    </row>
    <row r="454" spans="1:10">
      <c r="A454" t="s">
        <v>1013</v>
      </c>
      <c r="B454" t="str">
        <f>_xlfn.XLOOKUP(A454,SITE1!$V$4:$V$1034,SITE1!$U$4:$U$1034,"")</f>
        <v>GPP_C_4_ISH_UART0_TXD_SML0BCLK_I2C2_SCL</v>
      </c>
      <c r="C454" t="str" cm="1">
        <f t="array" ref="C454">_xlfn.TEXTJOIN(",",TRUE,_xlfn.UNIQUE(TRANSPOSE(_xlfn.MAP(_xlfn.XLOOKUP(A454,SITE1!$C$4:$C$1034,SITE1!$F$4:$O$1034,""),_xlfn.LAMBDA(_xlpm.x,IF(_xlpm.x&lt;&gt;"",TRIM(CLEAN(LEFT(_xlpm.x,FIND(".",_xlpm.x &amp; ".")-1))),""))))))</f>
        <v/>
      </c>
      <c r="D454">
        <v>9.8361999999999998</v>
      </c>
      <c r="E454">
        <v>19.6661</v>
      </c>
      <c r="F454" t="str">
        <f>_xlfn.LET(_xlpm.raw,_xlfn.XLOOKUP(A454,SITE1!$C$4:$C$1034,SITE1!$E$4:$E$1034),_xlpm.cleanRaw,SUBSTITUTE(SUBSTITUTE(_xlpm.raw,"_PIN","."),"PIN","."),_xlpm.mainPart,MID(_xlpm.cleanRaw,2,FIND(".",_xlpm.cleanRaw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704117</v>
      </c>
      <c r="G454" t="str">
        <f>_xlfn.LET(_xlpm.raw,_xlfn.XLOOKUP(A454,SITE3!$C$4:$C$1034,SITE3!$E$4:$E$1034),_xlpm.cleanRaw,SUBSTITUTE(SUBSTITUTE(_xlpm.raw,"_PIN","."),"PIN","."),_xlpm.mainPart,MID(_xlpm.cleanRaw,2,FIND(".",_xlpm.cleanRaw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504117</v>
      </c>
      <c r="H454" t="str">
        <f>""</f>
        <v/>
      </c>
      <c r="I454" t="str">
        <f>""</f>
        <v/>
      </c>
      <c r="J454" t="str">
        <f t="shared" si="7"/>
        <v>AB42;GPP_C_4_ISH_UART0_TXD_SML0BCLK_I2C2_SCL;;9.8362;19.6661;704117;504117;;</v>
      </c>
    </row>
    <row r="455" spans="1:10">
      <c r="A455" t="s">
        <v>1008</v>
      </c>
      <c r="B455" t="str">
        <f>_xlfn.XLOOKUP(A455,SITE1!$V$4:$V$1034,SITE1!$U$4:$U$1034,"")</f>
        <v>GPP_C_3_ISH_UART0_RXD_SML0BDATA_I2C2_SDA</v>
      </c>
      <c r="C455" t="str" cm="1">
        <f t="array" ref="C455">_xlfn.TEXTJOIN(",",TRUE,_xlfn.UNIQUE(TRANSPOSE(_xlfn.MAP(_xlfn.XLOOKUP(A455,SITE1!$C$4:$C$1034,SITE1!$F$4:$O$1034,""),_xlfn.LAMBDA(_xlpm.x,IF(_xlpm.x&lt;&gt;"",TRIM(CLEAN(LEFT(_xlpm.x,FIND(".",_xlpm.x &amp; ".")-1))),""))))))</f>
        <v/>
      </c>
      <c r="D455">
        <v>9.8361999999999998</v>
      </c>
      <c r="E455">
        <v>20.39</v>
      </c>
      <c r="F455" t="str">
        <f>_xlfn.LET(_xlpm.raw,_xlfn.XLOOKUP(A455,SITE1!$C$4:$C$1034,SITE1!$E$4:$E$1034),_xlpm.cleanRaw,SUBSTITUTE(SUBSTITUTE(_xlpm.raw,"_PIN","."),"PIN","."),_xlpm.mainPart,MID(_xlpm.cleanRaw,2,FIND(".",_xlpm.cleanRaw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601039</v>
      </c>
      <c r="G455" t="str">
        <f>_xlfn.LET(_xlpm.raw,_xlfn.XLOOKUP(A455,SITE3!$C$4:$C$1034,SITE3!$E$4:$E$1034),_xlpm.cleanRaw,SUBSTITUTE(SUBSTITUTE(_xlpm.raw,"_PIN","."),"PIN","."),_xlpm.mainPart,MID(_xlpm.cleanRaw,2,FIND(".",_xlpm.cleanRaw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801039</v>
      </c>
      <c r="H455" t="str">
        <f>""</f>
        <v/>
      </c>
      <c r="I455" t="str">
        <f>""</f>
        <v/>
      </c>
      <c r="J455" t="str">
        <f t="shared" si="7"/>
        <v>AB44;GPP_C_3_ISH_UART0_RXD_SML0BDATA_I2C2_SDA;;9.8362;20.39;601039;801039;;</v>
      </c>
    </row>
    <row r="456" spans="1:10">
      <c r="A456" t="s">
        <v>1023</v>
      </c>
      <c r="B456" t="str">
        <f>_xlfn.XLOOKUP(A456,SITE1!$V$4:$V$1034,SITE1!$U$4:$U$1034,"")</f>
        <v>GPP_C_6_ISH_I2C2_SDA_I2C3_SDA</v>
      </c>
      <c r="C456" t="str" cm="1">
        <f t="array" ref="C456">_xlfn.TEXTJOIN(",",TRUE,_xlfn.UNIQUE(TRANSPOSE(_xlfn.MAP(_xlfn.XLOOKUP(A456,SITE1!$C$4:$C$1034,SITE1!$F$4:$O$1034,""),_xlfn.LAMBDA(_xlpm.x,IF(_xlpm.x&lt;&gt;"",TRIM(CLEAN(LEFT(_xlpm.x,FIND(".",_xlpm.x &amp; ".")-1))),""))))))</f>
        <v/>
      </c>
      <c r="D456">
        <v>9.8361999999999998</v>
      </c>
      <c r="E456">
        <v>21.113900000000001</v>
      </c>
      <c r="F456" t="str">
        <f>_xlfn.LET(_xlpm.raw,_xlfn.XLOOKUP(A456,SITE1!$C$4:$C$1034,SITE1!$E$4:$E$1034),_xlpm.cleanRaw,SUBSTITUTE(SUBSTITUTE(_xlpm.raw,"_PIN","."),"PIN","."),_xlpm.mainPart,MID(_xlpm.cleanRaw,2,FIND(".",_xlpm.cleanRaw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708072</v>
      </c>
      <c r="G456" t="str">
        <f>_xlfn.LET(_xlpm.raw,_xlfn.XLOOKUP(A456,SITE3!$C$4:$C$1034,SITE3!$E$4:$E$1034),_xlpm.cleanRaw,SUBSTITUTE(SUBSTITUTE(_xlpm.raw,"_PIN","."),"PIN","."),_xlpm.mainPart,MID(_xlpm.cleanRaw,2,FIND(".",_xlpm.cleanRaw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508072</v>
      </c>
      <c r="H456" t="str">
        <f>""</f>
        <v/>
      </c>
      <c r="I456" t="str">
        <f>""</f>
        <v/>
      </c>
      <c r="J456" t="str">
        <f t="shared" si="7"/>
        <v>AB45;GPP_C_6_ISH_I2C2_SDA_I2C3_SDA;;9.8362;21.1139;708072;508072;;</v>
      </c>
    </row>
    <row r="457" spans="1:10">
      <c r="A457" t="s">
        <v>953</v>
      </c>
      <c r="B457" t="str">
        <f>_xlfn.XLOOKUP(A457,SITE1!$V$4:$V$1034,SITE1!$U$4:$U$1034,"")</f>
        <v>GPP_C_14_UART1_RTSB_ISH_UART1_RTSB</v>
      </c>
      <c r="C457" t="str" cm="1">
        <f t="array" ref="C457">_xlfn.TEXTJOIN(",",TRUE,_xlfn.UNIQUE(TRANSPOSE(_xlfn.MAP(_xlfn.XLOOKUP(A457,SITE1!$C$4:$C$1034,SITE1!$F$4:$O$1034,""),_xlfn.LAMBDA(_xlpm.x,IF(_xlpm.x&lt;&gt;"",TRIM(CLEAN(LEFT(_xlpm.x,FIND(".",_xlpm.x &amp; ".")-1))),""))))))</f>
        <v/>
      </c>
      <c r="D457">
        <v>9.5884999999999998</v>
      </c>
      <c r="E457">
        <v>24.894500000000001</v>
      </c>
      <c r="F457" t="str">
        <f>_xlfn.LET(_xlpm.raw,_xlfn.XLOOKUP(A457,SITE1!$C$4:$C$1034,SITE1!$E$4:$E$1034),_xlpm.cleanRaw,SUBSTITUTE(SUBSTITUTE(_xlpm.raw,"_PIN","."),"PIN","."),_xlpm.mainPart,MID(_xlpm.cleanRaw,2,FIND(".",_xlpm.cleanRaw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701118</v>
      </c>
      <c r="G457" t="str">
        <f>_xlfn.LET(_xlpm.raw,_xlfn.XLOOKUP(A457,SITE3!$C$4:$C$1034,SITE3!$E$4:$E$1034),_xlpm.cleanRaw,SUBSTITUTE(SUBSTITUTE(_xlpm.raw,"_PIN","."),"PIN","."),_xlpm.mainPart,MID(_xlpm.cleanRaw,2,FIND(".",_xlpm.cleanRaw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501118</v>
      </c>
      <c r="H457" t="str">
        <f>""</f>
        <v/>
      </c>
      <c r="I457" t="str">
        <f>""</f>
        <v/>
      </c>
      <c r="J457" t="str">
        <f t="shared" si="7"/>
        <v>AB53;GPP_C_14_UART1_RTSB_ISH_UART1_RTSB;;9.5885;24.8945;701118;501118;;</v>
      </c>
    </row>
    <row r="458" spans="1:10">
      <c r="A458" t="s">
        <v>943</v>
      </c>
      <c r="B458" t="str">
        <f>_xlfn.XLOOKUP(A458,SITE1!$V$4:$V$1034,SITE1!$U$4:$U$1034,"")</f>
        <v>GPP_C_12_UART1_RXD_ISH_UART1_RXD</v>
      </c>
      <c r="C458" t="str" cm="1">
        <f t="array" ref="C458">_xlfn.TEXTJOIN(",",TRUE,_xlfn.UNIQUE(TRANSPOSE(_xlfn.MAP(_xlfn.XLOOKUP(A458,SITE1!$C$4:$C$1034,SITE1!$F$4:$O$1034,""),_xlfn.LAMBDA(_xlpm.x,IF(_xlpm.x&lt;&gt;"",TRIM(CLEAN(LEFT(_xlpm.x,FIND(".",_xlpm.x &amp; ".")-1))),""))))))</f>
        <v/>
      </c>
      <c r="D458">
        <v>9.9971999999999994</v>
      </c>
      <c r="E458">
        <v>25.724799999999998</v>
      </c>
      <c r="F458" t="str">
        <f>_xlfn.LET(_xlpm.raw,_xlfn.XLOOKUP(A458,SITE1!$C$4:$C$1034,SITE1!$E$4:$E$1034),_xlpm.cleanRaw,SUBSTITUTE(SUBSTITUTE(_xlpm.raw,"_PIN","."),"PIN","."),_xlpm.mainPart,MID(_xlpm.cleanRaw,2,FIND(".",_xlpm.cleanRaw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704125</v>
      </c>
      <c r="G458" t="str">
        <f>_xlfn.LET(_xlpm.raw,_xlfn.XLOOKUP(A458,SITE3!$C$4:$C$1034,SITE3!$E$4:$E$1034),_xlpm.cleanRaw,SUBSTITUTE(SUBSTITUTE(_xlpm.raw,"_PIN","."),"PIN","."),_xlpm.mainPart,MID(_xlpm.cleanRaw,2,FIND(".",_xlpm.cleanRaw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504125</v>
      </c>
      <c r="H458" t="str">
        <f>""</f>
        <v/>
      </c>
      <c r="I458" t="str">
        <f>""</f>
        <v/>
      </c>
      <c r="J458" t="str">
        <f t="shared" si="7"/>
        <v>AB55;GPP_C_12_UART1_RXD_ISH_UART1_RXD;;9.9972;25.7248;704125;504125;;</v>
      </c>
    </row>
    <row r="459" spans="1:10">
      <c r="A459" t="s">
        <v>948</v>
      </c>
      <c r="B459" t="str">
        <f>_xlfn.XLOOKUP(A459,SITE1!$V$4:$V$1034,SITE1!$U$4:$U$1034,"")</f>
        <v>GPP_C_13_UART1_TXD_ISH_UART1_TXD</v>
      </c>
      <c r="C459" t="str" cm="1">
        <f t="array" ref="C459">_xlfn.TEXTJOIN(",",TRUE,_xlfn.UNIQUE(TRANSPOSE(_xlfn.MAP(_xlfn.XLOOKUP(A459,SITE1!$C$4:$C$1034,SITE1!$F$4:$O$1034,""),_xlfn.LAMBDA(_xlpm.x,IF(_xlpm.x&lt;&gt;"",TRIM(CLEAN(LEFT(_xlpm.x,FIND(".",_xlpm.x &amp; ".")-1))),""))))))</f>
        <v/>
      </c>
      <c r="D459">
        <v>9.9971999999999994</v>
      </c>
      <c r="E459">
        <v>26.2256</v>
      </c>
      <c r="F459" t="str">
        <f>_xlfn.LET(_xlpm.raw,_xlfn.XLOOKUP(A459,SITE1!$C$4:$C$1034,SITE1!$E$4:$E$1034),_xlpm.cleanRaw,SUBSTITUTE(SUBSTITUTE(_xlpm.raw,"_PIN","."),"PIN","."),_xlpm.mainPart,MID(_xlpm.cleanRaw,2,FIND(".",_xlpm.cleanRaw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701110</v>
      </c>
      <c r="G459" t="str">
        <f>_xlfn.LET(_xlpm.raw,_xlfn.XLOOKUP(A459,SITE3!$C$4:$C$1034,SITE3!$E$4:$E$1034),_xlpm.cleanRaw,SUBSTITUTE(SUBSTITUTE(_xlpm.raw,"_PIN","."),"PIN","."),_xlpm.mainPart,MID(_xlpm.cleanRaw,2,FIND(".",_xlpm.cleanRaw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501110</v>
      </c>
      <c r="H459" t="str">
        <f>""</f>
        <v/>
      </c>
      <c r="I459" t="str">
        <f>""</f>
        <v/>
      </c>
      <c r="J459" t="str">
        <f t="shared" si="7"/>
        <v>AB56;GPP_C_13_UART1_TXD_ISH_UART1_TXD;;9.9972;26.2256;701110;501110;;</v>
      </c>
    </row>
    <row r="460" spans="1:10">
      <c r="A460" t="s">
        <v>3709</v>
      </c>
      <c r="B460" t="str">
        <f>_xlfn.XLOOKUP(A460,SITE1!$V$4:$V$1034,SITE1!$U$4:$U$1034,"")</f>
        <v>VSS</v>
      </c>
      <c r="C460" t="str" cm="1">
        <f t="array" ref="C460">_xlfn.TEXTJOIN(",",TRUE,_xlfn.UNIQUE(TRANSPOSE(_xlfn.MAP(_xlfn.XLOOKUP(A460,SITE1!$C$4:$C$1034,SITE1!$F$4:$O$1034,""),_xlfn.LAMBDA(_xlpm.x,IF(_xlpm.x&lt;&gt;"",TRIM(CLEAN(LEFT(_xlpm.x,FIND(".",_xlpm.x &amp; ".")-1))),""))))))</f>
        <v/>
      </c>
      <c r="D460">
        <v>10.4153</v>
      </c>
      <c r="E460">
        <v>9.5655999999999999</v>
      </c>
      <c r="F460" t="str">
        <f>_xlfn.LET(_xlpm.raw,_xlfn.XLOOKUP(A460,SITE1!$C$4:$C$1034,SITE1!$E$4:$E$1034),_xlpm.cleanRaw,SUBSTITUTE(SUBSTITUTE(_xlpm.raw,"_PIN","."),"PIN","."),_xlpm.mainPart,MID(_xlpm.cleanRaw,2,FIND(".",_xlpm.cleanRaw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0" t="str">
        <f>_xlfn.LET(_xlpm.raw,_xlfn.XLOOKUP(A460,SITE3!$C$4:$C$1034,SITE3!$E$4:$E$1034),_xlpm.cleanRaw,SUBSTITUTE(SUBSTITUTE(_xlpm.raw,"_PIN","."),"PIN","."),_xlpm.mainPart,MID(_xlpm.cleanRaw,2,FIND(".",_xlpm.cleanRaw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0" t="str">
        <f>""</f>
        <v/>
      </c>
      <c r="I460" t="str">
        <f>""</f>
        <v/>
      </c>
      <c r="J460" t="str">
        <f t="shared" si="7"/>
        <v>AC21;VSS;;10.4153;9.5656;;;;</v>
      </c>
    </row>
    <row r="461" spans="1:10">
      <c r="A461" t="s">
        <v>3710</v>
      </c>
      <c r="B461" t="str">
        <f>_xlfn.XLOOKUP(A461,SITE1!$V$4:$V$1034,SITE1!$U$4:$U$1034,"")</f>
        <v>VSS</v>
      </c>
      <c r="C461" t="str" cm="1">
        <f t="array" ref="C461">_xlfn.TEXTJOIN(",",TRUE,_xlfn.UNIQUE(TRANSPOSE(_xlfn.MAP(_xlfn.XLOOKUP(A461,SITE1!$C$4:$C$1034,SITE1!$F$4:$O$1034,""),_xlfn.LAMBDA(_xlpm.x,IF(_xlpm.x&lt;&gt;"",TRIM(CLEAN(LEFT(_xlpm.x,FIND(".",_xlpm.x &amp; ".")-1))),""))))))</f>
        <v/>
      </c>
      <c r="D461">
        <v>10.4153</v>
      </c>
      <c r="E461">
        <v>10.340299999999999</v>
      </c>
      <c r="F461" t="str">
        <f>_xlfn.LET(_xlpm.raw,_xlfn.XLOOKUP(A461,SITE1!$C$4:$C$1034,SITE1!$E$4:$E$1034),_xlpm.cleanRaw,SUBSTITUTE(SUBSTITUTE(_xlpm.raw,"_PIN","."),"PIN","."),_xlpm.mainPart,MID(_xlpm.cleanRaw,2,FIND(".",_xlpm.cleanRaw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1" t="str">
        <f>_xlfn.LET(_xlpm.raw,_xlfn.XLOOKUP(A461,SITE3!$C$4:$C$1034,SITE3!$E$4:$E$1034),_xlpm.cleanRaw,SUBSTITUTE(SUBSTITUTE(_xlpm.raw,"_PIN","."),"PIN","."),_xlpm.mainPart,MID(_xlpm.cleanRaw,2,FIND(".",_xlpm.cleanRaw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1" t="str">
        <f>""</f>
        <v/>
      </c>
      <c r="I461" t="str">
        <f>""</f>
        <v/>
      </c>
      <c r="J461" t="str">
        <f t="shared" si="7"/>
        <v>AC22;VSS;;10.4153;10.3403;;;;</v>
      </c>
    </row>
    <row r="462" spans="1:10">
      <c r="A462" t="s">
        <v>3711</v>
      </c>
      <c r="B462" t="str">
        <f>_xlfn.XLOOKUP(A462,SITE1!$V$4:$V$1034,SITE1!$U$4:$U$1034,"")</f>
        <v>VSS</v>
      </c>
      <c r="C462" t="str" cm="1">
        <f t="array" ref="C462">_xlfn.TEXTJOIN(",",TRUE,_xlfn.UNIQUE(TRANSPOSE(_xlfn.MAP(_xlfn.XLOOKUP(A462,SITE1!$C$4:$C$1034,SITE1!$F$4:$O$1034,""),_xlfn.LAMBDA(_xlpm.x,IF(_xlpm.x&lt;&gt;"",TRIM(CLEAN(LEFT(_xlpm.x,FIND(".",_xlpm.x &amp; ".")-1))),""))))))</f>
        <v/>
      </c>
      <c r="D462">
        <v>10.4153</v>
      </c>
      <c r="E462">
        <v>11.115</v>
      </c>
      <c r="F462" t="str">
        <f>_xlfn.LET(_xlpm.raw,_xlfn.XLOOKUP(A462,SITE1!$C$4:$C$1034,SITE1!$E$4:$E$1034),_xlpm.cleanRaw,SUBSTITUTE(SUBSTITUTE(_xlpm.raw,"_PIN","."),"PIN","."),_xlpm.mainPart,MID(_xlpm.cleanRaw,2,FIND(".",_xlpm.cleanRaw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2" t="str">
        <f>_xlfn.LET(_xlpm.raw,_xlfn.XLOOKUP(A462,SITE3!$C$4:$C$1034,SITE3!$E$4:$E$1034),_xlpm.cleanRaw,SUBSTITUTE(SUBSTITUTE(_xlpm.raw,"_PIN","."),"PIN","."),_xlpm.mainPart,MID(_xlpm.cleanRaw,2,FIND(".",_xlpm.cleanRaw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2" t="str">
        <f>""</f>
        <v/>
      </c>
      <c r="I462" t="str">
        <f>""</f>
        <v/>
      </c>
      <c r="J462" t="str">
        <f t="shared" si="7"/>
        <v>AC24;VSS;;10.4153;11.115;;;;</v>
      </c>
    </row>
    <row r="463" spans="1:10">
      <c r="A463" t="s">
        <v>3712</v>
      </c>
      <c r="B463" t="str">
        <f>_xlfn.XLOOKUP(A463,SITE1!$V$4:$V$1034,SITE1!$U$4:$U$1034,"")</f>
        <v>VSS</v>
      </c>
      <c r="C463" t="str" cm="1">
        <f t="array" ref="C463">_xlfn.TEXTJOIN(",",TRUE,_xlfn.UNIQUE(TRANSPOSE(_xlfn.MAP(_xlfn.XLOOKUP(A463,SITE1!$C$4:$C$1034,SITE1!$F$4:$O$1034,""),_xlfn.LAMBDA(_xlpm.x,IF(_xlpm.x&lt;&gt;"",TRIM(CLEAN(LEFT(_xlpm.x,FIND(".",_xlpm.x &amp; ".")-1))),""))))))</f>
        <v/>
      </c>
      <c r="D463">
        <v>10.4153</v>
      </c>
      <c r="E463">
        <v>11.889699999999999</v>
      </c>
      <c r="F463" t="str">
        <f>_xlfn.LET(_xlpm.raw,_xlfn.XLOOKUP(A463,SITE1!$C$4:$C$1034,SITE1!$E$4:$E$1034),_xlpm.cleanRaw,SUBSTITUTE(SUBSTITUTE(_xlpm.raw,"_PIN","."),"PIN","."),_xlpm.mainPart,MID(_xlpm.cleanRaw,2,FIND(".",_xlpm.cleanRaw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3" t="str">
        <f>_xlfn.LET(_xlpm.raw,_xlfn.XLOOKUP(A463,SITE3!$C$4:$C$1034,SITE3!$E$4:$E$1034),_xlpm.cleanRaw,SUBSTITUTE(SUBSTITUTE(_xlpm.raw,"_PIN","."),"PIN","."),_xlpm.mainPart,MID(_xlpm.cleanRaw,2,FIND(".",_xlpm.cleanRaw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3" t="str">
        <f>""</f>
        <v/>
      </c>
      <c r="I463" t="str">
        <f>""</f>
        <v/>
      </c>
      <c r="J463" t="str">
        <f t="shared" si="7"/>
        <v>AC26;VSS;;10.4153;11.8897;;;;</v>
      </c>
    </row>
    <row r="464" spans="1:10">
      <c r="A464" t="s">
        <v>3713</v>
      </c>
      <c r="B464" t="str">
        <f>_xlfn.XLOOKUP(A464,SITE1!$V$4:$V$1034,SITE1!$U$4:$U$1034,"")</f>
        <v>VSS</v>
      </c>
      <c r="C464" t="str" cm="1">
        <f t="array" ref="C464">_xlfn.TEXTJOIN(",",TRUE,_xlfn.UNIQUE(TRANSPOSE(_xlfn.MAP(_xlfn.XLOOKUP(A464,SITE1!$C$4:$C$1034,SITE1!$F$4:$O$1034,""),_xlfn.LAMBDA(_xlpm.x,IF(_xlpm.x&lt;&gt;"",TRIM(CLEAN(LEFT(_xlpm.x,FIND(".",_xlpm.x &amp; ".")-1))),""))))))</f>
        <v/>
      </c>
      <c r="D464">
        <v>10.4153</v>
      </c>
      <c r="E464">
        <v>12.664400000000001</v>
      </c>
      <c r="F464" t="str">
        <f>_xlfn.LET(_xlpm.raw,_xlfn.XLOOKUP(A464,SITE1!$C$4:$C$1034,SITE1!$E$4:$E$1034),_xlpm.cleanRaw,SUBSTITUTE(SUBSTITUTE(_xlpm.raw,"_PIN","."),"PIN","."),_xlpm.mainPart,MID(_xlpm.cleanRaw,2,FIND(".",_xlpm.cleanRaw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4" t="str">
        <f>_xlfn.LET(_xlpm.raw,_xlfn.XLOOKUP(A464,SITE3!$C$4:$C$1034,SITE3!$E$4:$E$1034),_xlpm.cleanRaw,SUBSTITUTE(SUBSTITUTE(_xlpm.raw,"_PIN","."),"PIN","."),_xlpm.mainPart,MID(_xlpm.cleanRaw,2,FIND(".",_xlpm.cleanRaw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4" t="str">
        <f>""</f>
        <v/>
      </c>
      <c r="I464" t="str">
        <f>""</f>
        <v/>
      </c>
      <c r="J464" t="str">
        <f t="shared" si="7"/>
        <v>AC27;VSS;;10.4153;12.6644;;;;</v>
      </c>
    </row>
    <row r="465" spans="1:10">
      <c r="A465" t="s">
        <v>3714</v>
      </c>
      <c r="B465" t="str">
        <f>_xlfn.XLOOKUP(A465,SITE1!$V$4:$V$1034,SITE1!$U$4:$U$1034,"")</f>
        <v>VSS</v>
      </c>
      <c r="C465" t="str" cm="1">
        <f t="array" ref="C465">_xlfn.TEXTJOIN(",",TRUE,_xlfn.UNIQUE(TRANSPOSE(_xlfn.MAP(_xlfn.XLOOKUP(A465,SITE1!$C$4:$C$1034,SITE1!$F$4:$O$1034,""),_xlfn.LAMBDA(_xlpm.x,IF(_xlpm.x&lt;&gt;"",TRIM(CLEAN(LEFT(_xlpm.x,FIND(".",_xlpm.x &amp; ".")-1))),""))))))</f>
        <v/>
      </c>
      <c r="D465">
        <v>10.4153</v>
      </c>
      <c r="E465">
        <v>13.4391</v>
      </c>
      <c r="F465" t="str">
        <f>_xlfn.LET(_xlpm.raw,_xlfn.XLOOKUP(A465,SITE1!$C$4:$C$1034,SITE1!$E$4:$E$1034),_xlpm.cleanRaw,SUBSTITUTE(SUBSTITUTE(_xlpm.raw,"_PIN","."),"PIN","."),_xlpm.mainPart,MID(_xlpm.cleanRaw,2,FIND(".",_xlpm.cleanRaw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5" t="str">
        <f>_xlfn.LET(_xlpm.raw,_xlfn.XLOOKUP(A465,SITE3!$C$4:$C$1034,SITE3!$E$4:$E$1034),_xlpm.cleanRaw,SUBSTITUTE(SUBSTITUTE(_xlpm.raw,"_PIN","."),"PIN","."),_xlpm.mainPart,MID(_xlpm.cleanRaw,2,FIND(".",_xlpm.cleanRaw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5" t="str">
        <f>""</f>
        <v/>
      </c>
      <c r="I465" t="str">
        <f>""</f>
        <v/>
      </c>
      <c r="J465" t="str">
        <f t="shared" si="7"/>
        <v>AC29;VSS;;10.4153;13.4391;;;;</v>
      </c>
    </row>
    <row r="466" spans="1:10">
      <c r="A466" t="s">
        <v>3715</v>
      </c>
      <c r="B466" t="str">
        <f>_xlfn.XLOOKUP(A466,SITE1!$V$4:$V$1034,SITE1!$U$4:$U$1034,"")</f>
        <v>VSS</v>
      </c>
      <c r="C466" t="str" cm="1">
        <f t="array" ref="C466">_xlfn.TEXTJOIN(",",TRUE,_xlfn.UNIQUE(TRANSPOSE(_xlfn.MAP(_xlfn.XLOOKUP(A466,SITE1!$C$4:$C$1034,SITE1!$F$4:$O$1034,""),_xlfn.LAMBDA(_xlpm.x,IF(_xlpm.x&lt;&gt;"",TRIM(CLEAN(LEFT(_xlpm.x,FIND(".",_xlpm.x &amp; ".")-1))),""))))))</f>
        <v/>
      </c>
      <c r="D466">
        <v>10.4153</v>
      </c>
      <c r="E466">
        <v>14.2137999999999</v>
      </c>
      <c r="F466" t="str">
        <f>_xlfn.LET(_xlpm.raw,_xlfn.XLOOKUP(A466,SITE1!$C$4:$C$1034,SITE1!$E$4:$E$1034),_xlpm.cleanRaw,SUBSTITUTE(SUBSTITUTE(_xlpm.raw,"_PIN","."),"PIN","."),_xlpm.mainPart,MID(_xlpm.cleanRaw,2,FIND(".",_xlpm.cleanRaw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6" t="str">
        <f>_xlfn.LET(_xlpm.raw,_xlfn.XLOOKUP(A466,SITE3!$C$4:$C$1034,SITE3!$E$4:$E$1034),_xlpm.cleanRaw,SUBSTITUTE(SUBSTITUTE(_xlpm.raw,"_PIN","."),"PIN","."),_xlpm.mainPart,MID(_xlpm.cleanRaw,2,FIND(".",_xlpm.cleanRaw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6" t="str">
        <f>""</f>
        <v/>
      </c>
      <c r="I466" t="str">
        <f>""</f>
        <v/>
      </c>
      <c r="J466" t="str">
        <f t="shared" si="7"/>
        <v>AC31;VSS;;10.4153;14.2137999999999;;;;</v>
      </c>
    </row>
    <row r="467" spans="1:10">
      <c r="A467" t="s">
        <v>3716</v>
      </c>
      <c r="B467" t="str">
        <f>_xlfn.XLOOKUP(A467,SITE1!$V$4:$V$1034,SITE1!$U$4:$U$1034,"")</f>
        <v>VSS</v>
      </c>
      <c r="C467" t="str" cm="1">
        <f t="array" ref="C467">_xlfn.TEXTJOIN(",",TRUE,_xlfn.UNIQUE(TRANSPOSE(_xlfn.MAP(_xlfn.XLOOKUP(A467,SITE1!$C$4:$C$1034,SITE1!$F$4:$O$1034,""),_xlfn.LAMBDA(_xlpm.x,IF(_xlpm.x&lt;&gt;"",TRIM(CLEAN(LEFT(_xlpm.x,FIND(".",_xlpm.x &amp; ".")-1))),""))))))</f>
        <v/>
      </c>
      <c r="D467">
        <v>10.4153</v>
      </c>
      <c r="E467">
        <v>14.9885</v>
      </c>
      <c r="F467" t="str">
        <f>_xlfn.LET(_xlpm.raw,_xlfn.XLOOKUP(A467,SITE1!$C$4:$C$1034,SITE1!$E$4:$E$1034),_xlpm.cleanRaw,SUBSTITUTE(SUBSTITUTE(_xlpm.raw,"_PIN","."),"PIN","."),_xlpm.mainPart,MID(_xlpm.cleanRaw,2,FIND(".",_xlpm.cleanRaw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7" t="str">
        <f>_xlfn.LET(_xlpm.raw,_xlfn.XLOOKUP(A467,SITE3!$C$4:$C$1034,SITE3!$E$4:$E$1034),_xlpm.cleanRaw,SUBSTITUTE(SUBSTITUTE(_xlpm.raw,"_PIN","."),"PIN","."),_xlpm.mainPart,MID(_xlpm.cleanRaw,2,FIND(".",_xlpm.cleanRaw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7" t="str">
        <f>""</f>
        <v/>
      </c>
      <c r="I467" t="str">
        <f>""</f>
        <v/>
      </c>
      <c r="J467" t="str">
        <f t="shared" si="7"/>
        <v>AC32;VSS;;10.4153;14.9885;;;;</v>
      </c>
    </row>
    <row r="468" spans="1:10">
      <c r="A468" t="s">
        <v>3717</v>
      </c>
      <c r="B468" t="str">
        <f>_xlfn.XLOOKUP(A468,SITE1!$V$4:$V$1034,SITE1!$U$4:$U$1034,"")</f>
        <v>VSS</v>
      </c>
      <c r="C468" t="str" cm="1">
        <f t="array" ref="C468">_xlfn.TEXTJOIN(",",TRUE,_xlfn.UNIQUE(TRANSPOSE(_xlfn.MAP(_xlfn.XLOOKUP(A468,SITE1!$C$4:$C$1034,SITE1!$F$4:$O$1034,""),_xlfn.LAMBDA(_xlpm.x,IF(_xlpm.x&lt;&gt;"",TRIM(CLEAN(LEFT(_xlpm.x,FIND(".",_xlpm.x &amp; ".")-1))),""))))))</f>
        <v/>
      </c>
      <c r="D468">
        <v>10.4153</v>
      </c>
      <c r="E468">
        <v>15.763199999999999</v>
      </c>
      <c r="F468" t="str">
        <f>_xlfn.LET(_xlpm.raw,_xlfn.XLOOKUP(A468,SITE1!$C$4:$C$1034,SITE1!$E$4:$E$1034),_xlpm.cleanRaw,SUBSTITUTE(SUBSTITUTE(_xlpm.raw,"_PIN","."),"PIN","."),_xlpm.mainPart,MID(_xlpm.cleanRaw,2,FIND(".",_xlpm.cleanRaw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8" t="str">
        <f>_xlfn.LET(_xlpm.raw,_xlfn.XLOOKUP(A468,SITE3!$C$4:$C$1034,SITE3!$E$4:$E$1034),_xlpm.cleanRaw,SUBSTITUTE(SUBSTITUTE(_xlpm.raw,"_PIN","."),"PIN","."),_xlpm.mainPart,MID(_xlpm.cleanRaw,2,FIND(".",_xlpm.cleanRaw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8" t="str">
        <f>""</f>
        <v/>
      </c>
      <c r="I468" t="str">
        <f>""</f>
        <v/>
      </c>
      <c r="J468" t="str">
        <f t="shared" si="7"/>
        <v>AC34;VSS;;10.4153;15.7632;;;;</v>
      </c>
    </row>
    <row r="469" spans="1:10">
      <c r="A469" t="s">
        <v>3718</v>
      </c>
      <c r="B469" t="str">
        <f>_xlfn.XLOOKUP(A469,SITE1!$V$4:$V$1034,SITE1!$U$4:$U$1034,"")</f>
        <v>VSS</v>
      </c>
      <c r="C469" t="str" cm="1">
        <f t="array" ref="C469">_xlfn.TEXTJOIN(",",TRUE,_xlfn.UNIQUE(TRANSPOSE(_xlfn.MAP(_xlfn.XLOOKUP(A469,SITE1!$C$4:$C$1034,SITE1!$F$4:$O$1034,""),_xlfn.LAMBDA(_xlpm.x,IF(_xlpm.x&lt;&gt;"",TRIM(CLEAN(LEFT(_xlpm.x,FIND(".",_xlpm.x &amp; ".")-1))),""))))))</f>
        <v/>
      </c>
      <c r="D469">
        <v>10.4153</v>
      </c>
      <c r="E469">
        <v>16.5379</v>
      </c>
      <c r="F469" t="str">
        <f>_xlfn.LET(_xlpm.raw,_xlfn.XLOOKUP(A469,SITE1!$C$4:$C$1034,SITE1!$E$4:$E$1034),_xlpm.cleanRaw,SUBSTITUTE(SUBSTITUTE(_xlpm.raw,"_PIN","."),"PIN","."),_xlpm.mainPart,MID(_xlpm.cleanRaw,2,FIND(".",_xlpm.cleanRaw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9" t="str">
        <f>_xlfn.LET(_xlpm.raw,_xlfn.XLOOKUP(A469,SITE3!$C$4:$C$1034,SITE3!$E$4:$E$1034),_xlpm.cleanRaw,SUBSTITUTE(SUBSTITUTE(_xlpm.raw,"_PIN","."),"PIN","."),_xlpm.mainPart,MID(_xlpm.cleanRaw,2,FIND(".",_xlpm.cleanRaw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9" t="str">
        <f>""</f>
        <v/>
      </c>
      <c r="I469" t="str">
        <f>""</f>
        <v/>
      </c>
      <c r="J469" t="str">
        <f t="shared" si="7"/>
        <v>AC36;VSS;;10.4153;16.5379;;;;</v>
      </c>
    </row>
    <row r="470" spans="1:10">
      <c r="A470" t="s">
        <v>3569</v>
      </c>
      <c r="B470" t="str">
        <f>_xlfn.XLOOKUP(A470,SITE1!$V$4:$V$1034,SITE1!$U$4:$U$1034,"")</f>
        <v>VCCMPHY_0P82</v>
      </c>
      <c r="C470" t="str" cm="1">
        <f t="array" ref="C470">_xlfn.TEXTJOIN(",",TRUE,_xlfn.UNIQUE(TRANSPOSE(_xlfn.MAP(_xlfn.XLOOKUP(A470,SITE1!$C$4:$C$1034,SITE1!$F$4:$O$1034,""),_xlfn.LAMBDA(_xlpm.x,IF(_xlpm.x&lt;&gt;"",TRIM(CLEAN(LEFT(_xlpm.x,FIND(".",_xlpm.x &amp; ".")-1))),""))))))</f>
        <v/>
      </c>
      <c r="D470">
        <v>10.4153</v>
      </c>
      <c r="E470">
        <v>17.3126</v>
      </c>
      <c r="F470" t="str">
        <f>_xlfn.LET(_xlpm.raw,_xlfn.XLOOKUP(A470,SITE1!$C$4:$C$1034,SITE1!$E$4:$E$1034),_xlpm.cleanRaw,SUBSTITUTE(SUBSTITUTE(_xlpm.raw,"_PIN","."),"PIN","."),_xlpm.mainPart,MID(_xlpm.cleanRaw,2,FIND(".",_xlpm.cleanRaw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0" t="str">
        <f>_xlfn.LET(_xlpm.raw,_xlfn.XLOOKUP(A470,SITE3!$C$4:$C$1034,SITE3!$E$4:$E$1034),_xlpm.cleanRaw,SUBSTITUTE(SUBSTITUTE(_xlpm.raw,"_PIN","."),"PIN","."),_xlpm.mainPart,MID(_xlpm.cleanRaw,2,FIND(".",_xlpm.cleanRaw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0" t="str">
        <f>""</f>
        <v/>
      </c>
      <c r="I470" t="str">
        <f>""</f>
        <v/>
      </c>
      <c r="J470" t="str">
        <f t="shared" si="7"/>
        <v>AC37;VCCMPHY_0P82;;10.4153;17.3126;;;;</v>
      </c>
    </row>
    <row r="471" spans="1:10">
      <c r="A471" t="s">
        <v>1814</v>
      </c>
      <c r="B471" t="str">
        <f>_xlfn.XLOOKUP(A471,SITE1!$V$4:$V$1034,SITE1!$U$4:$U$1034,"")</f>
        <v>JTAG_TCK</v>
      </c>
      <c r="C471" t="str" cm="1">
        <f t="array" ref="C471">_xlfn.TEXTJOIN(",",TRUE,_xlfn.UNIQUE(TRANSPOSE(_xlfn.MAP(_xlfn.XLOOKUP(A471,SITE1!$C$4:$C$1034,SITE1!$F$4:$O$1034,""),_xlfn.LAMBDA(_xlpm.x,IF(_xlpm.x&lt;&gt;"",TRIM(CLEAN(LEFT(_xlpm.x,FIND(".",_xlpm.x &amp; ".")-1))),""))))))</f>
        <v>RA516</v>
      </c>
      <c r="D471">
        <v>10.6579</v>
      </c>
      <c r="E471">
        <v>0.73659999999999903</v>
      </c>
      <c r="F471" t="str">
        <f>_xlfn.LET(_xlpm.raw,_xlfn.XLOOKUP(A471,SITE1!$C$4:$C$1034,SITE1!$E$4:$E$1034),_xlpm.cleanRaw,SUBSTITUTE(SUBSTITUTE(_xlpm.raw,"_PIN","."),"PIN","."),_xlpm.mainPart,MID(_xlpm.cleanRaw,2,FIND(".",_xlpm.cleanRaw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701100</v>
      </c>
      <c r="G471" t="str">
        <f>_xlfn.LET(_xlpm.raw,_xlfn.XLOOKUP(A471,SITE3!$C$4:$C$1034,SITE3!$E$4:$E$1034),_xlpm.cleanRaw,SUBSTITUTE(SUBSTITUTE(_xlpm.raw,"_PIN","."),"PIN","."),_xlpm.mainPart,MID(_xlpm.cleanRaw,2,FIND(".",_xlpm.cleanRaw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501100</v>
      </c>
      <c r="H471" t="str">
        <f>""</f>
        <v/>
      </c>
      <c r="I471" t="str">
        <f>""</f>
        <v/>
      </c>
      <c r="J471" t="str">
        <f t="shared" si="7"/>
        <v>AD2;JTAG_TCK;RA516;10.6579;0.736599999999999;701100;501100;;</v>
      </c>
    </row>
    <row r="472" spans="1:10">
      <c r="A472" t="s">
        <v>1837</v>
      </c>
      <c r="B472" t="str">
        <f>_xlfn.XLOOKUP(A472,SITE1!$V$4:$V$1034,SITE1!$U$4:$U$1034,"")</f>
        <v>JTAG_TMS</v>
      </c>
      <c r="C472" t="str" cm="1">
        <f t="array" ref="C472">_xlfn.TEXTJOIN(",",TRUE,_xlfn.UNIQUE(TRANSPOSE(_xlfn.MAP(_xlfn.XLOOKUP(A472,SITE1!$C$4:$C$1034,SITE1!$F$4:$O$1034,""),_xlfn.LAMBDA(_xlpm.x,IF(_xlpm.x&lt;&gt;"",TRIM(CLEAN(LEFT(_xlpm.x,FIND(".",_xlpm.x &amp; ".")-1))),""))))))</f>
        <v>RA519</v>
      </c>
      <c r="D472">
        <v>10.4978</v>
      </c>
      <c r="E472">
        <v>1.28009999999999</v>
      </c>
      <c r="F472" t="str">
        <f>_xlfn.LET(_xlpm.raw,_xlfn.XLOOKUP(A472,SITE1!$C$4:$C$1034,SITE1!$E$4:$E$1034),_xlpm.cleanRaw,SUBSTITUTE(SUBSTITUTE(_xlpm.raw,"_PIN","."),"PIN","."),_xlpm.mainPart,MID(_xlpm.cleanRaw,2,FIND(".",_xlpm.cleanRaw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605083</v>
      </c>
      <c r="G472" t="str">
        <f>_xlfn.LET(_xlpm.raw,_xlfn.XLOOKUP(A472,SITE3!$C$4:$C$1034,SITE3!$E$4:$E$1034),_xlpm.cleanRaw,SUBSTITUTE(SUBSTITUTE(_xlpm.raw,"_PIN","."),"PIN","."),_xlpm.mainPart,MID(_xlpm.cleanRaw,2,FIND(".",_xlpm.cleanRaw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805083</v>
      </c>
      <c r="H472" t="str">
        <f>""</f>
        <v/>
      </c>
      <c r="I472" t="str">
        <f>""</f>
        <v/>
      </c>
      <c r="J472" t="str">
        <f t="shared" si="7"/>
        <v>AD3;JTAG_TMS;RA519;10.4978;1.28009999999999;605083;805083;;</v>
      </c>
    </row>
    <row r="473" spans="1:10">
      <c r="A473" t="s">
        <v>3731</v>
      </c>
      <c r="B473" t="str">
        <f>_xlfn.XLOOKUP(A473,SITE1!$V$4:$V$1034,SITE1!$U$4:$U$1034,"")</f>
        <v>VSS</v>
      </c>
      <c r="C473" t="str" cm="1">
        <f t="array" ref="C473">_xlfn.TEXTJOIN(",",TRUE,_xlfn.UNIQUE(TRANSPOSE(_xlfn.MAP(_xlfn.XLOOKUP(A473,SITE1!$C$4:$C$1034,SITE1!$F$4:$O$1034,""),_xlfn.LAMBDA(_xlpm.x,IF(_xlpm.x&lt;&gt;"",TRIM(CLEAN(LEFT(_xlpm.x,FIND(".",_xlpm.x &amp; ".")-1))),""))))))</f>
        <v/>
      </c>
      <c r="D473">
        <v>10.6108999999999</v>
      </c>
      <c r="E473">
        <v>1.7795000000000001</v>
      </c>
      <c r="F473" t="str">
        <f>_xlfn.LET(_xlpm.raw,_xlfn.XLOOKUP(A473,SITE1!$C$4:$C$1034,SITE1!$E$4:$E$1034),_xlpm.cleanRaw,SUBSTITUTE(SUBSTITUTE(_xlpm.raw,"_PIN","."),"PIN","."),_xlpm.mainPart,MID(_xlpm.cleanRaw,2,FIND(".",_xlpm.cleanRaw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3" t="str">
        <f>_xlfn.LET(_xlpm.raw,_xlfn.XLOOKUP(A473,SITE3!$C$4:$C$1034,SITE3!$E$4:$E$1034),_xlpm.cleanRaw,SUBSTITUTE(SUBSTITUTE(_xlpm.raw,"_PIN","."),"PIN","."),_xlpm.mainPart,MID(_xlpm.cleanRaw,2,FIND(".",_xlpm.cleanRaw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3" t="str">
        <f>""</f>
        <v/>
      </c>
      <c r="I473" t="str">
        <f>""</f>
        <v/>
      </c>
      <c r="J473" t="str">
        <f t="shared" si="7"/>
        <v>AD5;VSS;;10.6108999999999;1.7795;;;;</v>
      </c>
    </row>
    <row r="474" spans="1:10">
      <c r="A474" t="s">
        <v>1554</v>
      </c>
      <c r="B474" t="str">
        <f>_xlfn.XLOOKUP(A474,SITE1!$V$4:$V$1034,SITE1!$U$4:$U$1034,"")</f>
        <v>GPP_I_5_I2C1_SCL</v>
      </c>
      <c r="C474" t="str" cm="1">
        <f t="array" ref="C474">_xlfn.TEXTJOIN(",",TRUE,_xlfn.UNIQUE(TRANSPOSE(_xlfn.MAP(_xlfn.XLOOKUP(A474,SITE1!$C$4:$C$1034,SITE1!$F$4:$O$1034,""),_xlfn.LAMBDA(_xlpm.x,IF(_xlpm.x&lt;&gt;"",TRIM(CLEAN(LEFT(_xlpm.x,FIND(".",_xlpm.x &amp; ".")-1))),""))))))</f>
        <v/>
      </c>
      <c r="D474">
        <v>10.6108999999999</v>
      </c>
      <c r="E474">
        <v>2.4144999999999999</v>
      </c>
      <c r="F474" t="str">
        <f>_xlfn.LET(_xlpm.raw,_xlfn.XLOOKUP(A474,SITE1!$C$4:$C$1034,SITE1!$E$4:$E$1034),_xlpm.cleanRaw,SUBSTITUTE(SUBSTITUTE(_xlpm.raw,"_PIN","."),"PIN","."),_xlpm.mainPart,MID(_xlpm.cleanRaw,2,FIND(".",_xlpm.cleanRaw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604017</v>
      </c>
      <c r="G474" t="str">
        <f>_xlfn.LET(_xlpm.raw,_xlfn.XLOOKUP(A474,SITE3!$C$4:$C$1034,SITE3!$E$4:$E$1034),_xlpm.cleanRaw,SUBSTITUTE(SUBSTITUTE(_xlpm.raw,"_PIN","."),"PIN","."),_xlpm.mainPart,MID(_xlpm.cleanRaw,2,FIND(".",_xlpm.cleanRaw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804017</v>
      </c>
      <c r="H474" t="str">
        <f>""</f>
        <v/>
      </c>
      <c r="I474" t="str">
        <f>""</f>
        <v/>
      </c>
      <c r="J474" t="str">
        <f t="shared" si="7"/>
        <v>AD6;GPP_I_5_I2C1_SCL;;10.6108999999999;2.4145;604017;804017;;</v>
      </c>
    </row>
    <row r="475" spans="1:10">
      <c r="A475" t="s">
        <v>1549</v>
      </c>
      <c r="B475" t="str">
        <f>_xlfn.XLOOKUP(A475,SITE1!$V$4:$V$1034,SITE1!$U$4:$U$1034,"")</f>
        <v>GPP_I_4_I2C1_SDA</v>
      </c>
      <c r="C475" t="str" cm="1">
        <f t="array" ref="C475">_xlfn.TEXTJOIN(",",TRUE,_xlfn.UNIQUE(TRANSPOSE(_xlfn.MAP(_xlfn.XLOOKUP(A475,SITE1!$C$4:$C$1034,SITE1!$F$4:$O$1034,""),_xlfn.LAMBDA(_xlpm.x,IF(_xlpm.x&lt;&gt;"",TRIM(CLEAN(LEFT(_xlpm.x,FIND(".",_xlpm.x &amp; ".")-1))),""))))))</f>
        <v/>
      </c>
      <c r="D475">
        <v>10.6108999999999</v>
      </c>
      <c r="E475">
        <v>3.1257000000000001</v>
      </c>
      <c r="F475" t="str">
        <f>_xlfn.LET(_xlpm.raw,_xlfn.XLOOKUP(A475,SITE1!$C$4:$C$1034,SITE1!$E$4:$E$1034),_xlpm.cleanRaw,SUBSTITUTE(SUBSTITUTE(_xlpm.raw,"_PIN","."),"PIN","."),_xlpm.mainPart,MID(_xlpm.cleanRaw,2,FIND(".",_xlpm.cleanRaw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603090</v>
      </c>
      <c r="G475" t="str">
        <f>_xlfn.LET(_xlpm.raw,_xlfn.XLOOKUP(A475,SITE3!$C$4:$C$1034,SITE3!$E$4:$E$1034),_xlpm.cleanRaw,SUBSTITUTE(SUBSTITUTE(_xlpm.raw,"_PIN","."),"PIN","."),_xlpm.mainPart,MID(_xlpm.cleanRaw,2,FIND(".",_xlpm.cleanRaw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803090</v>
      </c>
      <c r="H475" t="str">
        <f>""</f>
        <v/>
      </c>
      <c r="I475" t="str">
        <f>""</f>
        <v/>
      </c>
      <c r="J475" t="str">
        <f t="shared" si="7"/>
        <v>AD7;GPP_I_4_I2C1_SDA;;10.6108999999999;3.1257;603090;803090;;</v>
      </c>
    </row>
    <row r="476" spans="1:10">
      <c r="A476" t="s">
        <v>1539</v>
      </c>
      <c r="B476" t="str">
        <f>_xlfn.XLOOKUP(A476,SITE1!$V$4:$V$1034,SITE1!$U$4:$U$1034,"")</f>
        <v>GPP_I_2_I2C0_SDA_I3C0_SDA</v>
      </c>
      <c r="C476" t="str" cm="1">
        <f t="array" ref="C476">_xlfn.TEXTJOIN(",",TRUE,_xlfn.UNIQUE(TRANSPOSE(_xlfn.MAP(_xlfn.XLOOKUP(A476,SITE1!$C$4:$C$1034,SITE1!$F$4:$O$1034,""),_xlfn.LAMBDA(_xlpm.x,IF(_xlpm.x&lt;&gt;"",TRIM(CLEAN(LEFT(_xlpm.x,FIND(".",_xlpm.x &amp; ".")-1))),""))))))</f>
        <v/>
      </c>
      <c r="D476">
        <v>10.6108999999999</v>
      </c>
      <c r="E476">
        <v>3.8369</v>
      </c>
      <c r="F476" t="str">
        <f>_xlfn.LET(_xlpm.raw,_xlfn.XLOOKUP(A476,SITE1!$C$4:$C$1034,SITE1!$E$4:$E$1034),_xlpm.cleanRaw,SUBSTITUTE(SUBSTITUTE(_xlpm.raw,"_PIN","."),"PIN","."),_xlpm.mainPart,MID(_xlpm.cleanRaw,2,FIND(".",_xlpm.cleanRaw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701106</v>
      </c>
      <c r="G476" t="str">
        <f>_xlfn.LET(_xlpm.raw,_xlfn.XLOOKUP(A476,SITE3!$C$4:$C$1034,SITE3!$E$4:$E$1034),_xlpm.cleanRaw,SUBSTITUTE(SUBSTITUTE(_xlpm.raw,"_PIN","."),"PIN","."),_xlpm.mainPart,MID(_xlpm.cleanRaw,2,FIND(".",_xlpm.cleanRaw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501106</v>
      </c>
      <c r="H476" t="str">
        <f>""</f>
        <v/>
      </c>
      <c r="I476" t="str">
        <f>""</f>
        <v/>
      </c>
      <c r="J476" t="str">
        <f t="shared" si="7"/>
        <v>AD9;GPP_I_2_I2C0_SDA_I3C0_SDA;;10.6108999999999;3.8369;701106;501106;;</v>
      </c>
    </row>
    <row r="477" spans="1:10">
      <c r="A477" t="s">
        <v>1544</v>
      </c>
      <c r="B477" t="str">
        <f>_xlfn.XLOOKUP(A477,SITE1!$V$4:$V$1034,SITE1!$U$4:$U$1034,"")</f>
        <v>GPP_I_3_I2C0_SCL_I3C0_SCL</v>
      </c>
      <c r="C477" t="str" cm="1">
        <f t="array" ref="C477">_xlfn.TEXTJOIN(",",TRUE,_xlfn.UNIQUE(TRANSPOSE(_xlfn.MAP(_xlfn.XLOOKUP(A477,SITE1!$C$4:$C$1034,SITE1!$F$4:$O$1034,""),_xlfn.LAMBDA(_xlpm.x,IF(_xlpm.x&lt;&gt;"",TRIM(CLEAN(LEFT(_xlpm.x,FIND(".",_xlpm.x &amp; ".")-1))),""))))))</f>
        <v/>
      </c>
      <c r="D477">
        <v>10.6108999999999</v>
      </c>
      <c r="E477">
        <v>4.5480999999999998</v>
      </c>
      <c r="F477" t="str">
        <f>_xlfn.LET(_xlpm.raw,_xlfn.XLOOKUP(A477,SITE1!$C$4:$C$1034,SITE1!$E$4:$E$1034),_xlpm.cleanRaw,SUBSTITUTE(SUBSTITUTE(_xlpm.raw,"_PIN","."),"PIN","."),_xlpm.mainPart,MID(_xlpm.cleanRaw,2,FIND(".",_xlpm.cleanRaw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702082</v>
      </c>
      <c r="G477" t="str">
        <f>_xlfn.LET(_xlpm.raw,_xlfn.XLOOKUP(A477,SITE3!$C$4:$C$1034,SITE3!$E$4:$E$1034),_xlpm.cleanRaw,SUBSTITUTE(SUBSTITUTE(_xlpm.raw,"_PIN","."),"PIN","."),_xlpm.mainPart,MID(_xlpm.cleanRaw,2,FIND(".",_xlpm.cleanRaw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502082</v>
      </c>
      <c r="H477" t="str">
        <f>""</f>
        <v/>
      </c>
      <c r="I477" t="str">
        <f>""</f>
        <v/>
      </c>
      <c r="J477" t="str">
        <f t="shared" si="7"/>
        <v>AD10;GPP_I_3_I2C0_SCL_I3C0_SCL;;10.6108999999999;4.5481;702082;502082;;</v>
      </c>
    </row>
    <row r="478" spans="1:10">
      <c r="A478" t="s">
        <v>3719</v>
      </c>
      <c r="B478" t="str">
        <f>_xlfn.XLOOKUP(A478,SITE1!$V$4:$V$1034,SITE1!$U$4:$U$1034,"")</f>
        <v>VSS</v>
      </c>
      <c r="C478" t="str" cm="1">
        <f t="array" ref="C478">_xlfn.TEXTJOIN(",",TRUE,_xlfn.UNIQUE(TRANSPOSE(_xlfn.MAP(_xlfn.XLOOKUP(A478,SITE1!$C$4:$C$1034,SITE1!$F$4:$O$1034,""),_xlfn.LAMBDA(_xlpm.x,IF(_xlpm.x&lt;&gt;"",TRIM(CLEAN(LEFT(_xlpm.x,FIND(".",_xlpm.x &amp; ".")-1))),""))))))</f>
        <v/>
      </c>
      <c r="D478">
        <v>10.6108999999999</v>
      </c>
      <c r="E478">
        <v>5.2592999999999996</v>
      </c>
      <c r="F478" t="str">
        <f>_xlfn.LET(_xlpm.raw,_xlfn.XLOOKUP(A478,SITE1!$C$4:$C$1034,SITE1!$E$4:$E$1034),_xlpm.cleanRaw,SUBSTITUTE(SUBSTITUTE(_xlpm.raw,"_PIN","."),"PIN","."),_xlpm.mainPart,MID(_xlpm.cleanRaw,2,FIND(".",_xlpm.cleanRaw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8" t="str">
        <f>_xlfn.LET(_xlpm.raw,_xlfn.XLOOKUP(A478,SITE3!$C$4:$C$1034,SITE3!$E$4:$E$1034),_xlpm.cleanRaw,SUBSTITUTE(SUBSTITUTE(_xlpm.raw,"_PIN","."),"PIN","."),_xlpm.mainPart,MID(_xlpm.cleanRaw,2,FIND(".",_xlpm.cleanRaw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8" t="str">
        <f>""</f>
        <v/>
      </c>
      <c r="I478" t="str">
        <f>""</f>
        <v/>
      </c>
      <c r="J478" t="str">
        <f t="shared" si="7"/>
        <v>AD12;VSS;;10.6108999999999;5.2593;;;;</v>
      </c>
    </row>
    <row r="479" spans="1:10">
      <c r="A479" t="s">
        <v>3720</v>
      </c>
      <c r="B479" t="str">
        <f>_xlfn.XLOOKUP(A479,SITE1!$V$4:$V$1034,SITE1!$U$4:$U$1034,"")</f>
        <v>VSS</v>
      </c>
      <c r="C479" t="str" cm="1">
        <f t="array" ref="C479">_xlfn.TEXTJOIN(",",TRUE,_xlfn.UNIQUE(TRANSPOSE(_xlfn.MAP(_xlfn.XLOOKUP(A479,SITE1!$C$4:$C$1034,SITE1!$F$4:$O$1034,""),_xlfn.LAMBDA(_xlpm.x,IF(_xlpm.x&lt;&gt;"",TRIM(CLEAN(LEFT(_xlpm.x,FIND(".",_xlpm.x &amp; ".")-1))),""))))))</f>
        <v/>
      </c>
      <c r="D479">
        <v>10.6108999999999</v>
      </c>
      <c r="E479">
        <v>5.7642999999999898</v>
      </c>
      <c r="F479" t="str">
        <f>_xlfn.LET(_xlpm.raw,_xlfn.XLOOKUP(A479,SITE1!$C$4:$C$1034,SITE1!$E$4:$E$1034),_xlpm.cleanRaw,SUBSTITUTE(SUBSTITUTE(_xlpm.raw,"_PIN","."),"PIN","."),_xlpm.mainPart,MID(_xlpm.cleanRaw,2,FIND(".",_xlpm.cleanRaw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9" t="str">
        <f>_xlfn.LET(_xlpm.raw,_xlfn.XLOOKUP(A479,SITE3!$C$4:$C$1034,SITE3!$E$4:$E$1034),_xlpm.cleanRaw,SUBSTITUTE(SUBSTITUTE(_xlpm.raw,"_PIN","."),"PIN","."),_xlpm.mainPart,MID(_xlpm.cleanRaw,2,FIND(".",_xlpm.cleanRaw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9" t="str">
        <f>""</f>
        <v/>
      </c>
      <c r="I479" t="str">
        <f>""</f>
        <v/>
      </c>
      <c r="J479" t="str">
        <f t="shared" si="7"/>
        <v>AD13;VSS;;10.6108999999999;5.76429999999999;;;;</v>
      </c>
    </row>
    <row r="480" spans="1:10">
      <c r="A480" t="s">
        <v>3721</v>
      </c>
      <c r="B480" t="str">
        <f>_xlfn.XLOOKUP(A480,SITE1!$V$4:$V$1034,SITE1!$U$4:$U$1034,"")</f>
        <v>VSS</v>
      </c>
      <c r="C480" t="str" cm="1">
        <f t="array" ref="C480">_xlfn.TEXTJOIN(",",TRUE,_xlfn.UNIQUE(TRANSPOSE(_xlfn.MAP(_xlfn.XLOOKUP(A480,SITE1!$C$4:$C$1034,SITE1!$F$4:$O$1034,""),_xlfn.LAMBDA(_xlpm.x,IF(_xlpm.x&lt;&gt;"",TRIM(CLEAN(LEFT(_xlpm.x,FIND(".",_xlpm.x &amp; ".")-1))),""))))))</f>
        <v/>
      </c>
      <c r="D480">
        <v>10.6108999999999</v>
      </c>
      <c r="E480">
        <v>6.4882</v>
      </c>
      <c r="F480" t="str">
        <f>_xlfn.LET(_xlpm.raw,_xlfn.XLOOKUP(A480,SITE1!$C$4:$C$1034,SITE1!$E$4:$E$1034),_xlpm.cleanRaw,SUBSTITUTE(SUBSTITUTE(_xlpm.raw,"_PIN","."),"PIN","."),_xlpm.mainPart,MID(_xlpm.cleanRaw,2,FIND(".",_xlpm.cleanRaw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0" t="str">
        <f>_xlfn.LET(_xlpm.raw,_xlfn.XLOOKUP(A480,SITE3!$C$4:$C$1034,SITE3!$E$4:$E$1034),_xlpm.cleanRaw,SUBSTITUTE(SUBSTITUTE(_xlpm.raw,"_PIN","."),"PIN","."),_xlpm.mainPart,MID(_xlpm.cleanRaw,2,FIND(".",_xlpm.cleanRaw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0" t="str">
        <f>""</f>
        <v/>
      </c>
      <c r="I480" t="str">
        <f>""</f>
        <v/>
      </c>
      <c r="J480" t="str">
        <f t="shared" si="7"/>
        <v>AD14;VSS;;10.6108999999999;6.4882;;;;</v>
      </c>
    </row>
    <row r="481" spans="1:10">
      <c r="A481" t="s">
        <v>3722</v>
      </c>
      <c r="B481" t="str">
        <f>_xlfn.XLOOKUP(A481,SITE1!$V$4:$V$1034,SITE1!$U$4:$U$1034,"")</f>
        <v>VSS</v>
      </c>
      <c r="C481" t="str" cm="1">
        <f t="array" ref="C481">_xlfn.TEXTJOIN(",",TRUE,_xlfn.UNIQUE(TRANSPOSE(_xlfn.MAP(_xlfn.XLOOKUP(A481,SITE1!$C$4:$C$1034,SITE1!$F$4:$O$1034,""),_xlfn.LAMBDA(_xlpm.x,IF(_xlpm.x&lt;&gt;"",TRIM(CLEAN(LEFT(_xlpm.x,FIND(".",_xlpm.x &amp; ".")-1))),""))))))</f>
        <v/>
      </c>
      <c r="D481">
        <v>10.6108999999999</v>
      </c>
      <c r="E481">
        <v>7.2120999999999897</v>
      </c>
      <c r="F481" t="str">
        <f>_xlfn.LET(_xlpm.raw,_xlfn.XLOOKUP(A481,SITE1!$C$4:$C$1034,SITE1!$E$4:$E$1034),_xlpm.cleanRaw,SUBSTITUTE(SUBSTITUTE(_xlpm.raw,"_PIN","."),"PIN","."),_xlpm.mainPart,MID(_xlpm.cleanRaw,2,FIND(".",_xlpm.cleanRaw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1" t="str">
        <f>_xlfn.LET(_xlpm.raw,_xlfn.XLOOKUP(A481,SITE3!$C$4:$C$1034,SITE3!$E$4:$E$1034),_xlpm.cleanRaw,SUBSTITUTE(SUBSTITUTE(_xlpm.raw,"_PIN","."),"PIN","."),_xlpm.mainPart,MID(_xlpm.cleanRaw,2,FIND(".",_xlpm.cleanRaw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1" t="str">
        <f>""</f>
        <v/>
      </c>
      <c r="I481" t="str">
        <f>""</f>
        <v/>
      </c>
      <c r="J481" t="str">
        <f t="shared" si="7"/>
        <v>AD16;VSS;;10.6108999999999;7.21209999999999;;;;</v>
      </c>
    </row>
    <row r="482" spans="1:10">
      <c r="A482" t="s">
        <v>3723</v>
      </c>
      <c r="B482" t="str">
        <f>_xlfn.XLOOKUP(A482,SITE1!$V$4:$V$1034,SITE1!$U$4:$U$1034,"")</f>
        <v>VSS</v>
      </c>
      <c r="C482" t="str" cm="1">
        <f t="array" ref="C482">_xlfn.TEXTJOIN(",",TRUE,_xlfn.UNIQUE(TRANSPOSE(_xlfn.MAP(_xlfn.XLOOKUP(A482,SITE1!$C$4:$C$1034,SITE1!$F$4:$O$1034,""),_xlfn.LAMBDA(_xlpm.x,IF(_xlpm.x&lt;&gt;"",TRIM(CLEAN(LEFT(_xlpm.x,FIND(".",_xlpm.x &amp; ".")-1))),""))))))</f>
        <v/>
      </c>
      <c r="D482">
        <v>10.6108999999999</v>
      </c>
      <c r="E482">
        <v>7.9359999999999999</v>
      </c>
      <c r="F482" t="str">
        <f>_xlfn.LET(_xlpm.raw,_xlfn.XLOOKUP(A482,SITE1!$C$4:$C$1034,SITE1!$E$4:$E$1034),_xlpm.cleanRaw,SUBSTITUTE(SUBSTITUTE(_xlpm.raw,"_PIN","."),"PIN","."),_xlpm.mainPart,MID(_xlpm.cleanRaw,2,FIND(".",_xlpm.cleanRaw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2" t="str">
        <f>_xlfn.LET(_xlpm.raw,_xlfn.XLOOKUP(A482,SITE3!$C$4:$C$1034,SITE3!$E$4:$E$1034),_xlpm.cleanRaw,SUBSTITUTE(SUBSTITUTE(_xlpm.raw,"_PIN","."),"PIN","."),_xlpm.mainPart,MID(_xlpm.cleanRaw,2,FIND(".",_xlpm.cleanRaw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2" t="str">
        <f>""</f>
        <v/>
      </c>
      <c r="I482" t="str">
        <f>""</f>
        <v/>
      </c>
      <c r="J482" t="str">
        <f t="shared" si="7"/>
        <v>AD17;VSS;;10.6108999999999;7.936;;;;</v>
      </c>
    </row>
    <row r="483" spans="1:10">
      <c r="A483" t="s">
        <v>3724</v>
      </c>
      <c r="B483" t="str">
        <f>_xlfn.XLOOKUP(A483,SITE1!$V$4:$V$1034,SITE1!$U$4:$U$1034,"")</f>
        <v>VSS</v>
      </c>
      <c r="C483" t="str" cm="1">
        <f t="array" ref="C483">_xlfn.TEXTJOIN(",",TRUE,_xlfn.UNIQUE(TRANSPOSE(_xlfn.MAP(_xlfn.XLOOKUP(A483,SITE1!$C$4:$C$1034,SITE1!$F$4:$O$1034,""),_xlfn.LAMBDA(_xlpm.x,IF(_xlpm.x&lt;&gt;"",TRIM(CLEAN(LEFT(_xlpm.x,FIND(".",_xlpm.x &amp; ".")-1))),""))))))</f>
        <v/>
      </c>
      <c r="D483">
        <v>10.6108999999999</v>
      </c>
      <c r="E483">
        <v>8.6599000000000004</v>
      </c>
      <c r="F483" t="str">
        <f>_xlfn.LET(_xlpm.raw,_xlfn.XLOOKUP(A483,SITE1!$C$4:$C$1034,SITE1!$E$4:$E$1034),_xlpm.cleanRaw,SUBSTITUTE(SUBSTITUTE(_xlpm.raw,"_PIN","."),"PIN","."),_xlpm.mainPart,MID(_xlpm.cleanRaw,2,FIND(".",_xlpm.cleanRaw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3" t="str">
        <f>_xlfn.LET(_xlpm.raw,_xlfn.XLOOKUP(A483,SITE3!$C$4:$C$1034,SITE3!$E$4:$E$1034),_xlpm.cleanRaw,SUBSTITUTE(SUBSTITUTE(_xlpm.raw,"_PIN","."),"PIN","."),_xlpm.mainPart,MID(_xlpm.cleanRaw,2,FIND(".",_xlpm.cleanRaw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3" t="str">
        <f>""</f>
        <v/>
      </c>
      <c r="I483" t="str">
        <f>""</f>
        <v/>
      </c>
      <c r="J483" t="str">
        <f t="shared" si="7"/>
        <v>AD19;VSS;;10.6108999999999;8.6599;;;;</v>
      </c>
    </row>
    <row r="484" spans="1:10">
      <c r="A484" t="s">
        <v>3725</v>
      </c>
      <c r="B484" t="str">
        <f>_xlfn.XLOOKUP(A484,SITE1!$V$4:$V$1034,SITE1!$U$4:$U$1034,"")</f>
        <v>VSS</v>
      </c>
      <c r="C484" t="str" cm="1">
        <f t="array" ref="C484">_xlfn.TEXTJOIN(",",TRUE,_xlfn.UNIQUE(TRANSPOSE(_xlfn.MAP(_xlfn.XLOOKUP(A484,SITE1!$C$4:$C$1034,SITE1!$F$4:$O$1034,""),_xlfn.LAMBDA(_xlpm.x,IF(_xlpm.x&lt;&gt;"",TRIM(CLEAN(LEFT(_xlpm.x,FIND(".",_xlpm.x &amp; ".")-1))),""))))))</f>
        <v/>
      </c>
      <c r="D484">
        <v>10.6108999999999</v>
      </c>
      <c r="E484">
        <v>18.218299999999999</v>
      </c>
      <c r="F484" t="str">
        <f>_xlfn.LET(_xlpm.raw,_xlfn.XLOOKUP(A484,SITE1!$C$4:$C$1034,SITE1!$E$4:$E$1034),_xlpm.cleanRaw,SUBSTITUTE(SUBSTITUTE(_xlpm.raw,"_PIN","."),"PIN","."),_xlpm.mainPart,MID(_xlpm.cleanRaw,2,FIND(".",_xlpm.cleanRaw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4" t="str">
        <f>_xlfn.LET(_xlpm.raw,_xlfn.XLOOKUP(A484,SITE3!$C$4:$C$1034,SITE3!$E$4:$E$1034),_xlpm.cleanRaw,SUBSTITUTE(SUBSTITUTE(_xlpm.raw,"_PIN","."),"PIN","."),_xlpm.mainPart,MID(_xlpm.cleanRaw,2,FIND(".",_xlpm.cleanRaw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4" t="str">
        <f>""</f>
        <v/>
      </c>
      <c r="I484" t="str">
        <f>""</f>
        <v/>
      </c>
      <c r="J484" t="str">
        <f t="shared" si="7"/>
        <v>AD39;VSS;;10.6108999999999;18.2183;;;;</v>
      </c>
    </row>
    <row r="485" spans="1:10">
      <c r="A485" t="s">
        <v>3726</v>
      </c>
      <c r="B485" t="str">
        <f>_xlfn.XLOOKUP(A485,SITE1!$V$4:$V$1034,SITE1!$U$4:$U$1034,"")</f>
        <v>VSS</v>
      </c>
      <c r="C485" t="str" cm="1">
        <f t="array" ref="C485">_xlfn.TEXTJOIN(",",TRUE,_xlfn.UNIQUE(TRANSPOSE(_xlfn.MAP(_xlfn.XLOOKUP(A485,SITE1!$C$4:$C$1034,SITE1!$F$4:$O$1034,""),_xlfn.LAMBDA(_xlpm.x,IF(_xlpm.x&lt;&gt;"",TRIM(CLEAN(LEFT(_xlpm.x,FIND(".",_xlpm.x &amp; ".")-1))),""))))))</f>
        <v/>
      </c>
      <c r="D485">
        <v>10.6108999999999</v>
      </c>
      <c r="E485">
        <v>18.9422</v>
      </c>
      <c r="F485" t="str">
        <f>_xlfn.LET(_xlpm.raw,_xlfn.XLOOKUP(A485,SITE1!$C$4:$C$1034,SITE1!$E$4:$E$1034),_xlpm.cleanRaw,SUBSTITUTE(SUBSTITUTE(_xlpm.raw,"_PIN","."),"PIN","."),_xlpm.mainPart,MID(_xlpm.cleanRaw,2,FIND(".",_xlpm.cleanRaw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5" t="str">
        <f>_xlfn.LET(_xlpm.raw,_xlfn.XLOOKUP(A485,SITE3!$C$4:$C$1034,SITE3!$E$4:$E$1034),_xlpm.cleanRaw,SUBSTITUTE(SUBSTITUTE(_xlpm.raw,"_PIN","."),"PIN","."),_xlpm.mainPart,MID(_xlpm.cleanRaw,2,FIND(".",_xlpm.cleanRaw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5" t="str">
        <f>""</f>
        <v/>
      </c>
      <c r="I485" t="str">
        <f>""</f>
        <v/>
      </c>
      <c r="J485" t="str">
        <f t="shared" si="7"/>
        <v>AD41;VSS;;10.6108999999999;18.9422;;;;</v>
      </c>
    </row>
    <row r="486" spans="1:10">
      <c r="A486" t="s">
        <v>3727</v>
      </c>
      <c r="B486" t="str">
        <f>_xlfn.XLOOKUP(A486,SITE1!$V$4:$V$1034,SITE1!$U$4:$U$1034,"")</f>
        <v>VSS</v>
      </c>
      <c r="C486" t="str" cm="1">
        <f t="array" ref="C486">_xlfn.TEXTJOIN(",",TRUE,_xlfn.UNIQUE(TRANSPOSE(_xlfn.MAP(_xlfn.XLOOKUP(A486,SITE1!$C$4:$C$1034,SITE1!$F$4:$O$1034,""),_xlfn.LAMBDA(_xlpm.x,IF(_xlpm.x&lt;&gt;"",TRIM(CLEAN(LEFT(_xlpm.x,FIND(".",_xlpm.x &amp; ".")-1))),""))))))</f>
        <v/>
      </c>
      <c r="D486">
        <v>10.6108999999999</v>
      </c>
      <c r="E486">
        <v>19.6661</v>
      </c>
      <c r="F486" t="str">
        <f>_xlfn.LET(_xlpm.raw,_xlfn.XLOOKUP(A486,SITE1!$C$4:$C$1034,SITE1!$E$4:$E$1034),_xlpm.cleanRaw,SUBSTITUTE(SUBSTITUTE(_xlpm.raw,"_PIN","."),"PIN","."),_xlpm.mainPart,MID(_xlpm.cleanRaw,2,FIND(".",_xlpm.cleanRaw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6" t="str">
        <f>_xlfn.LET(_xlpm.raw,_xlfn.XLOOKUP(A486,SITE3!$C$4:$C$1034,SITE3!$E$4:$E$1034),_xlpm.cleanRaw,SUBSTITUTE(SUBSTITUTE(_xlpm.raw,"_PIN","."),"PIN","."),_xlpm.mainPart,MID(_xlpm.cleanRaw,2,FIND(".",_xlpm.cleanRaw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6" t="str">
        <f>""</f>
        <v/>
      </c>
      <c r="I486" t="str">
        <f>""</f>
        <v/>
      </c>
      <c r="J486" t="str">
        <f t="shared" si="7"/>
        <v>AD42;VSS;;10.6108999999999;19.6661;;;;</v>
      </c>
    </row>
    <row r="487" spans="1:10">
      <c r="A487" t="s">
        <v>3728</v>
      </c>
      <c r="B487" t="str">
        <f>_xlfn.XLOOKUP(A487,SITE1!$V$4:$V$1034,SITE1!$U$4:$U$1034,"")</f>
        <v>VSS</v>
      </c>
      <c r="C487" t="str" cm="1">
        <f t="array" ref="C487">_xlfn.TEXTJOIN(",",TRUE,_xlfn.UNIQUE(TRANSPOSE(_xlfn.MAP(_xlfn.XLOOKUP(A487,SITE1!$C$4:$C$1034,SITE1!$F$4:$O$1034,""),_xlfn.LAMBDA(_xlpm.x,IF(_xlpm.x&lt;&gt;"",TRIM(CLEAN(LEFT(_xlpm.x,FIND(".",_xlpm.x &amp; ".")-1))),""))))))</f>
        <v/>
      </c>
      <c r="D487">
        <v>10.6108999999999</v>
      </c>
      <c r="E487">
        <v>20.39</v>
      </c>
      <c r="F487" t="str">
        <f>_xlfn.LET(_xlpm.raw,_xlfn.XLOOKUP(A487,SITE1!$C$4:$C$1034,SITE1!$E$4:$E$1034),_xlpm.cleanRaw,SUBSTITUTE(SUBSTITUTE(_xlpm.raw,"_PIN","."),"PIN","."),_xlpm.mainPart,MID(_xlpm.cleanRaw,2,FIND(".",_xlpm.cleanRaw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7" t="str">
        <f>_xlfn.LET(_xlpm.raw,_xlfn.XLOOKUP(A487,SITE3!$C$4:$C$1034,SITE3!$E$4:$E$1034),_xlpm.cleanRaw,SUBSTITUTE(SUBSTITUTE(_xlpm.raw,"_PIN","."),"PIN","."),_xlpm.mainPart,MID(_xlpm.cleanRaw,2,FIND(".",_xlpm.cleanRaw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7" t="str">
        <f>""</f>
        <v/>
      </c>
      <c r="I487" t="str">
        <f>""</f>
        <v/>
      </c>
      <c r="J487" t="str">
        <f t="shared" si="7"/>
        <v>AD44;VSS;;10.6108999999999;20.39;;;;</v>
      </c>
    </row>
    <row r="488" spans="1:10">
      <c r="A488" t="s">
        <v>3729</v>
      </c>
      <c r="B488" t="str">
        <f>_xlfn.XLOOKUP(A488,SITE1!$V$4:$V$1034,SITE1!$U$4:$U$1034,"")</f>
        <v>VSS</v>
      </c>
      <c r="C488" t="str" cm="1">
        <f t="array" ref="C488">_xlfn.TEXTJOIN(",",TRUE,_xlfn.UNIQUE(TRANSPOSE(_xlfn.MAP(_xlfn.XLOOKUP(A488,SITE1!$C$4:$C$1034,SITE1!$F$4:$O$1034,""),_xlfn.LAMBDA(_xlpm.x,IF(_xlpm.x&lt;&gt;"",TRIM(CLEAN(LEFT(_xlpm.x,FIND(".",_xlpm.x &amp; ".")-1))),""))))))</f>
        <v/>
      </c>
      <c r="D488">
        <v>10.6108999999999</v>
      </c>
      <c r="E488">
        <v>21.113900000000001</v>
      </c>
      <c r="F488" t="str">
        <f>_xlfn.LET(_xlpm.raw,_xlfn.XLOOKUP(A488,SITE1!$C$4:$C$1034,SITE1!$E$4:$E$1034),_xlpm.cleanRaw,SUBSTITUTE(SUBSTITUTE(_xlpm.raw,"_PIN","."),"PIN","."),_xlpm.mainPart,MID(_xlpm.cleanRaw,2,FIND(".",_xlpm.cleanRaw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8" t="str">
        <f>_xlfn.LET(_xlpm.raw,_xlfn.XLOOKUP(A488,SITE3!$C$4:$C$1034,SITE3!$E$4:$E$1034),_xlpm.cleanRaw,SUBSTITUTE(SUBSTITUTE(_xlpm.raw,"_PIN","."),"PIN","."),_xlpm.mainPart,MID(_xlpm.cleanRaw,2,FIND(".",_xlpm.cleanRaw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8" t="str">
        <f>""</f>
        <v/>
      </c>
      <c r="I488" t="str">
        <f>""</f>
        <v/>
      </c>
      <c r="J488" t="str">
        <f t="shared" si="7"/>
        <v>AD45;VSS;;10.6108999999999;21.1139;;;;</v>
      </c>
    </row>
    <row r="489" spans="1:10">
      <c r="A489" t="s">
        <v>3730</v>
      </c>
      <c r="B489" t="str">
        <f>_xlfn.XLOOKUP(A489,SITE1!$V$4:$V$1034,SITE1!$U$4:$U$1034,"")</f>
        <v>VSS</v>
      </c>
      <c r="C489" t="str" cm="1">
        <f t="array" ref="C489">_xlfn.TEXTJOIN(",",TRUE,_xlfn.UNIQUE(TRANSPOSE(_xlfn.MAP(_xlfn.XLOOKUP(A489,SITE1!$C$4:$C$1034,SITE1!$F$4:$O$1034,""),_xlfn.LAMBDA(_xlpm.x,IF(_xlpm.x&lt;&gt;"",TRIM(CLEAN(LEFT(_xlpm.x,FIND(".",_xlpm.x &amp; ".")-1))),""))))))</f>
        <v/>
      </c>
      <c r="D489">
        <v>10.6108999999999</v>
      </c>
      <c r="E489">
        <v>21.6189</v>
      </c>
      <c r="F489" t="str">
        <f>_xlfn.LET(_xlpm.raw,_xlfn.XLOOKUP(A489,SITE1!$C$4:$C$1034,SITE1!$E$4:$E$1034),_xlpm.cleanRaw,SUBSTITUTE(SUBSTITUTE(_xlpm.raw,"_PIN","."),"PIN","."),_xlpm.mainPart,MID(_xlpm.cleanRaw,2,FIND(".",_xlpm.cleanRaw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9" t="str">
        <f>_xlfn.LET(_xlpm.raw,_xlfn.XLOOKUP(A489,SITE3!$C$4:$C$1034,SITE3!$E$4:$E$1034),_xlpm.cleanRaw,SUBSTITUTE(SUBSTITUTE(_xlpm.raw,"_PIN","."),"PIN","."),_xlpm.mainPart,MID(_xlpm.cleanRaw,2,FIND(".",_xlpm.cleanRaw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9" t="str">
        <f>""</f>
        <v/>
      </c>
      <c r="I489" t="str">
        <f>""</f>
        <v/>
      </c>
      <c r="J489" t="str">
        <f t="shared" si="7"/>
        <v>AD46;VSS;;10.6108999999999;21.6189;;;;</v>
      </c>
    </row>
    <row r="490" spans="1:10">
      <c r="A490" t="s">
        <v>988</v>
      </c>
      <c r="B490" t="str">
        <f>_xlfn.XLOOKUP(A490,SITE1!$V$4:$V$1034,SITE1!$U$4:$U$1034,"")</f>
        <v>GPP_C_20_UART2_RXD_CNV_MFUART0_RXD</v>
      </c>
      <c r="C490" t="str" cm="1">
        <f t="array" ref="C490">_xlfn.TEXTJOIN(",",TRUE,_xlfn.UNIQUE(TRANSPOSE(_xlfn.MAP(_xlfn.XLOOKUP(A490,SITE1!$C$4:$C$1034,SITE1!$F$4:$O$1034,""),_xlfn.LAMBDA(_xlpm.x,IF(_xlpm.x&lt;&gt;"",TRIM(CLEAN(LEFT(_xlpm.x,FIND(".",_xlpm.x &amp; ".")-1))),""))))))</f>
        <v/>
      </c>
      <c r="D490">
        <v>10.6108999999999</v>
      </c>
      <c r="E490">
        <v>22.330100000000002</v>
      </c>
      <c r="F490" t="str">
        <f>_xlfn.LET(_xlpm.raw,_xlfn.XLOOKUP(A490,SITE1!$C$4:$C$1034,SITE1!$E$4:$E$1034),_xlpm.cleanRaw,SUBSTITUTE(SUBSTITUTE(_xlpm.raw,"_PIN","."),"PIN","."),_xlpm.mainPart,MID(_xlpm.cleanRaw,2,FIND(".",_xlpm.cleanRaw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704102</v>
      </c>
      <c r="G490" t="str">
        <f>_xlfn.LET(_xlpm.raw,_xlfn.XLOOKUP(A490,SITE3!$C$4:$C$1034,SITE3!$E$4:$E$1034),_xlpm.cleanRaw,SUBSTITUTE(SUBSTITUTE(_xlpm.raw,"_PIN","."),"PIN","."),_xlpm.mainPart,MID(_xlpm.cleanRaw,2,FIND(".",_xlpm.cleanRaw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504102</v>
      </c>
      <c r="H490" t="str">
        <f>""</f>
        <v/>
      </c>
      <c r="I490" t="str">
        <f>""</f>
        <v/>
      </c>
      <c r="J490" t="str">
        <f t="shared" si="7"/>
        <v>AD48;GPP_C_20_UART2_RXD_CNV_MFUART0_RXD;;10.6108999999999;22.3301;704102;504102;;</v>
      </c>
    </row>
    <row r="491" spans="1:10">
      <c r="A491" t="s">
        <v>993</v>
      </c>
      <c r="B491" t="str">
        <f>_xlfn.XLOOKUP(A491,SITE1!$V$4:$V$1034,SITE1!$U$4:$U$1034,"")</f>
        <v>GPP_C_21_UART2_TXD_CNV_MFUART0_TXD</v>
      </c>
      <c r="C491" t="str" cm="1">
        <f t="array" ref="C491">_xlfn.TEXTJOIN(",",TRUE,_xlfn.UNIQUE(TRANSPOSE(_xlfn.MAP(_xlfn.XLOOKUP(A491,SITE1!$C$4:$C$1034,SITE1!$F$4:$O$1034,""),_xlfn.LAMBDA(_xlpm.x,IF(_xlpm.x&lt;&gt;"",TRIM(CLEAN(LEFT(_xlpm.x,FIND(".",_xlpm.x &amp; ".")-1))),""))))))</f>
        <v/>
      </c>
      <c r="D491">
        <v>10.6108999999999</v>
      </c>
      <c r="E491">
        <v>23.0413</v>
      </c>
      <c r="F491" t="str">
        <f>_xlfn.LET(_xlpm.raw,_xlfn.XLOOKUP(A491,SITE1!$C$4:$C$1034,SITE1!$E$4:$E$1034),_xlpm.cleanRaw,SUBSTITUTE(SUBSTITUTE(_xlpm.raw,"_PIN","."),"PIN","."),_xlpm.mainPart,MID(_xlpm.cleanRaw,2,FIND(".",_xlpm.cleanRaw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701125</v>
      </c>
      <c r="G491" t="str">
        <f>_xlfn.LET(_xlpm.raw,_xlfn.XLOOKUP(A491,SITE3!$C$4:$C$1034,SITE3!$E$4:$E$1034),_xlpm.cleanRaw,SUBSTITUTE(SUBSTITUTE(_xlpm.raw,"_PIN","."),"PIN","."),_xlpm.mainPart,MID(_xlpm.cleanRaw,2,FIND(".",_xlpm.cleanRaw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501125</v>
      </c>
      <c r="H491" t="str">
        <f>""</f>
        <v/>
      </c>
      <c r="I491" t="str">
        <f>""</f>
        <v/>
      </c>
      <c r="J491" t="str">
        <f t="shared" si="7"/>
        <v>AD49;GPP_C_21_UART2_TXD_CNV_MFUART0_TXD;;10.6108999999999;23.0413;701125;501125;;</v>
      </c>
    </row>
    <row r="492" spans="1:10">
      <c r="A492" t="s">
        <v>998</v>
      </c>
      <c r="B492" t="str">
        <f>_xlfn.XLOOKUP(A492,SITE1!$V$4:$V$1034,SITE1!$U$4:$U$1034,"")</f>
        <v>GPP_C_22_UART2_RTSB_CNV_MFUART0_RTS_B</v>
      </c>
      <c r="C492" t="str" cm="1">
        <f t="array" ref="C492">_xlfn.TEXTJOIN(",",TRUE,_xlfn.UNIQUE(TRANSPOSE(_xlfn.MAP(_xlfn.XLOOKUP(A492,SITE1!$C$4:$C$1034,SITE1!$F$4:$O$1034,""),_xlfn.LAMBDA(_xlpm.x,IF(_xlpm.x&lt;&gt;"",TRIM(CLEAN(LEFT(_xlpm.x,FIND(".",_xlpm.x &amp; ".")-1))),""))))))</f>
        <v/>
      </c>
      <c r="D492">
        <v>10.6108999999999</v>
      </c>
      <c r="E492">
        <v>23.752499999999898</v>
      </c>
      <c r="F492" t="str">
        <f>_xlfn.LET(_xlpm.raw,_xlfn.XLOOKUP(A492,SITE1!$C$4:$C$1034,SITE1!$E$4:$E$1034),_xlpm.cleanRaw,SUBSTITUTE(SUBSTITUTE(_xlpm.raw,"_PIN","."),"PIN","."),_xlpm.mainPart,MID(_xlpm.cleanRaw,2,FIND(".",_xlpm.cleanRaw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708070</v>
      </c>
      <c r="G492" t="str">
        <f>_xlfn.LET(_xlpm.raw,_xlfn.XLOOKUP(A492,SITE3!$C$4:$C$1034,SITE3!$E$4:$E$1034),_xlpm.cleanRaw,SUBSTITUTE(SUBSTITUTE(_xlpm.raw,"_PIN","."),"PIN","."),_xlpm.mainPart,MID(_xlpm.cleanRaw,2,FIND(".",_xlpm.cleanRaw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508070</v>
      </c>
      <c r="H492" t="str">
        <f>""</f>
        <v/>
      </c>
      <c r="I492" t="str">
        <f>""</f>
        <v/>
      </c>
      <c r="J492" t="str">
        <f t="shared" si="7"/>
        <v>AD51;GPP_C_22_UART2_RTSB_CNV_MFUART0_RTS_B;;10.6108999999999;23.7524999999999;708070;508070;;</v>
      </c>
    </row>
    <row r="493" spans="1:10">
      <c r="A493" t="s">
        <v>1003</v>
      </c>
      <c r="B493" t="str">
        <f>_xlfn.XLOOKUP(A493,SITE1!$V$4:$V$1034,SITE1!$U$4:$U$1034,"")</f>
        <v>GPP_C_23_UART2_CTSB_CNV_MFUART0_CTS_B</v>
      </c>
      <c r="C493" t="str" cm="1">
        <f t="array" ref="C493">_xlfn.TEXTJOIN(",",TRUE,_xlfn.UNIQUE(TRANSPOSE(_xlfn.MAP(_xlfn.XLOOKUP(A493,SITE1!$C$4:$C$1034,SITE1!$F$4:$O$1034,""),_xlfn.LAMBDA(_xlpm.x,IF(_xlpm.x&lt;&gt;"",TRIM(CLEAN(LEFT(_xlpm.x,FIND(".",_xlpm.x &amp; ".")-1))),""))))))</f>
        <v/>
      </c>
      <c r="D493">
        <v>10.6108999999999</v>
      </c>
      <c r="E493">
        <v>24.463699999999999</v>
      </c>
      <c r="F493" t="str">
        <f>_xlfn.LET(_xlpm.raw,_xlfn.XLOOKUP(A493,SITE1!$C$4:$C$1034,SITE1!$E$4:$E$1034),_xlpm.cleanRaw,SUBSTITUTE(SUBSTITUTE(_xlpm.raw,"_PIN","."),"PIN","."),_xlpm.mainPart,MID(_xlpm.cleanRaw,2,FIND(".",_xlpm.cleanRaw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707101</v>
      </c>
      <c r="G493" t="str">
        <f>_xlfn.LET(_xlpm.raw,_xlfn.XLOOKUP(A493,SITE3!$C$4:$C$1034,SITE3!$E$4:$E$1034),_xlpm.cleanRaw,SUBSTITUTE(SUBSTITUTE(_xlpm.raw,"_PIN","."),"PIN","."),_xlpm.mainPart,MID(_xlpm.cleanRaw,2,FIND(".",_xlpm.cleanRaw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507101</v>
      </c>
      <c r="H493" t="str">
        <f>""</f>
        <v/>
      </c>
      <c r="I493" t="str">
        <f>""</f>
        <v/>
      </c>
      <c r="J493" t="str">
        <f t="shared" si="7"/>
        <v>AD52;GPP_C_23_UART2_CTSB_CNV_MFUART0_CTS_B;;10.6108999999999;24.4637;707101;507101;;</v>
      </c>
    </row>
    <row r="494" spans="1:10">
      <c r="A494" t="s">
        <v>3732</v>
      </c>
      <c r="B494" t="str">
        <f>_xlfn.XLOOKUP(A494,SITE1!$V$4:$V$1034,SITE1!$U$4:$U$1034,"")</f>
        <v>VSS</v>
      </c>
      <c r="C494" t="str" cm="1">
        <f t="array" ref="C494">_xlfn.TEXTJOIN(",",TRUE,_xlfn.UNIQUE(TRANSPOSE(_xlfn.MAP(_xlfn.XLOOKUP(A494,SITE1!$C$4:$C$1034,SITE1!$F$4:$O$1034,""),_xlfn.LAMBDA(_xlpm.x,IF(_xlpm.x&lt;&gt;"",TRIM(CLEAN(LEFT(_xlpm.x,FIND(".",_xlpm.x &amp; ".")-1))),""))))))</f>
        <v/>
      </c>
      <c r="D494">
        <v>10.6108999999999</v>
      </c>
      <c r="E494">
        <v>25.098700000000001</v>
      </c>
      <c r="F494" t="str">
        <f>_xlfn.LET(_xlpm.raw,_xlfn.XLOOKUP(A494,SITE1!$C$4:$C$1034,SITE1!$E$4:$E$1034),_xlpm.cleanRaw,SUBSTITUTE(SUBSTITUTE(_xlpm.raw,"_PIN","."),"PIN","."),_xlpm.mainPart,MID(_xlpm.cleanRaw,2,FIND(".",_xlpm.cleanRaw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4" t="str">
        <f>_xlfn.LET(_xlpm.raw,_xlfn.XLOOKUP(A494,SITE3!$C$4:$C$1034,SITE3!$E$4:$E$1034),_xlpm.cleanRaw,SUBSTITUTE(SUBSTITUTE(_xlpm.raw,"_PIN","."),"PIN","."),_xlpm.mainPart,MID(_xlpm.cleanRaw,2,FIND(".",_xlpm.cleanRaw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4" t="str">
        <f>""</f>
        <v/>
      </c>
      <c r="I494" t="str">
        <f>""</f>
        <v/>
      </c>
      <c r="J494" t="str">
        <f t="shared" si="7"/>
        <v>AD53;VSS;;10.6108999999999;25.0987;;;;</v>
      </c>
    </row>
    <row r="495" spans="1:10">
      <c r="A495" t="s">
        <v>925</v>
      </c>
      <c r="B495" t="str">
        <f>_xlfn.XLOOKUP(A495,SITE1!$V$4:$V$1034,SITE1!$U$4:$U$1034,"")</f>
        <v>GPP_C_1_SMBDATA</v>
      </c>
      <c r="C495" t="str" cm="1">
        <f t="array" ref="C495">_xlfn.TEXTJOIN(",",TRUE,_xlfn.UNIQUE(TRANSPOSE(_xlfn.MAP(_xlfn.XLOOKUP(A495,SITE1!$C$4:$C$1034,SITE1!$F$4:$O$1034,""),_xlfn.LAMBDA(_xlpm.x,IF(_xlpm.x&lt;&gt;"",TRIM(CLEAN(LEFT(_xlpm.x,FIND(".",_xlpm.x &amp; ".")-1))),""))))))</f>
        <v/>
      </c>
      <c r="D495">
        <v>10.4978</v>
      </c>
      <c r="E495">
        <v>25.598099999999999</v>
      </c>
      <c r="F495" t="str">
        <f>_xlfn.LET(_xlpm.raw,_xlfn.XLOOKUP(A495,SITE1!$C$4:$C$1034,SITE1!$E$4:$E$1034),_xlpm.cleanRaw,SUBSTITUTE(SUBSTITUTE(_xlpm.raw,"_PIN","."),"PIN","."),_xlpm.mainPart,MID(_xlpm.cleanRaw,2,FIND(".",_xlpm.cleanRaw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703005</v>
      </c>
      <c r="G495" t="str">
        <f>_xlfn.LET(_xlpm.raw,_xlfn.XLOOKUP(A495,SITE3!$C$4:$C$1034,SITE3!$E$4:$E$1034),_xlpm.cleanRaw,SUBSTITUTE(SUBSTITUTE(_xlpm.raw,"_PIN","."),"PIN","."),_xlpm.mainPart,MID(_xlpm.cleanRaw,2,FIND(".",_xlpm.cleanRaw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503005</v>
      </c>
      <c r="H495" t="str">
        <f>""</f>
        <v/>
      </c>
      <c r="I495" t="str">
        <f>""</f>
        <v/>
      </c>
      <c r="J495" t="str">
        <f t="shared" si="7"/>
        <v>AD55;GPP_C_1_SMBDATA;;10.4978;25.5981;703005;503005;;</v>
      </c>
    </row>
    <row r="496" spans="1:10">
      <c r="A496" t="s">
        <v>983</v>
      </c>
      <c r="B496" t="str">
        <f>_xlfn.XLOOKUP(A496,SITE1!$V$4:$V$1034,SITE1!$U$4:$U$1034,"")</f>
        <v>GPP_C_2_SMBALERTB</v>
      </c>
      <c r="C496" t="str" cm="1">
        <f t="array" ref="C496">_xlfn.TEXTJOIN(",",TRUE,_xlfn.UNIQUE(TRANSPOSE(_xlfn.MAP(_xlfn.XLOOKUP(A496,SITE1!$C$4:$C$1034,SITE1!$F$4:$O$1034,""),_xlfn.LAMBDA(_xlpm.x,IF(_xlpm.x&lt;&gt;"",TRIM(CLEAN(LEFT(_xlpm.x,FIND(".",_xlpm.x &amp; ".")-1))),""))))))</f>
        <v/>
      </c>
      <c r="D496">
        <v>10.6579</v>
      </c>
      <c r="E496">
        <v>26.1416</v>
      </c>
      <c r="F496" t="str">
        <f>_xlfn.LET(_xlpm.raw,_xlfn.XLOOKUP(A496,SITE1!$C$4:$C$1034,SITE1!$E$4:$E$1034),_xlpm.cleanRaw,SUBSTITUTE(SUBSTITUTE(_xlpm.raw,"_PIN","."),"PIN","."),_xlpm.mainPart,MID(_xlpm.cleanRaw,2,FIND(".",_xlpm.cleanRaw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707096</v>
      </c>
      <c r="G496" t="str">
        <f>_xlfn.LET(_xlpm.raw,_xlfn.XLOOKUP(A496,SITE3!$C$4:$C$1034,SITE3!$E$4:$E$1034),_xlpm.cleanRaw,SUBSTITUTE(SUBSTITUTE(_xlpm.raw,"_PIN","."),"PIN","."),_xlpm.mainPart,MID(_xlpm.cleanRaw,2,FIND(".",_xlpm.cleanRaw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507096</v>
      </c>
      <c r="H496" t="str">
        <f>""</f>
        <v/>
      </c>
      <c r="I496" t="str">
        <f>""</f>
        <v/>
      </c>
      <c r="J496" t="str">
        <f t="shared" si="7"/>
        <v>AD56;GPP_C_2_SMBALERTB;;10.6579;26.1416;707096;507096;;</v>
      </c>
    </row>
    <row r="497" spans="1:10">
      <c r="A497" t="s">
        <v>3733</v>
      </c>
      <c r="B497" t="str">
        <f>_xlfn.XLOOKUP(A497,SITE1!$V$4:$V$1034,SITE1!$U$4:$U$1034,"")</f>
        <v>VSS</v>
      </c>
      <c r="C497" t="str" cm="1">
        <f t="array" ref="C497">_xlfn.TEXTJOIN(",",TRUE,_xlfn.UNIQUE(TRANSPOSE(_xlfn.MAP(_xlfn.XLOOKUP(A497,SITE1!$C$4:$C$1034,SITE1!$F$4:$O$1034,""),_xlfn.LAMBDA(_xlpm.x,IF(_xlpm.x&lt;&gt;"",TRIM(CLEAN(LEFT(_xlpm.x,FIND(".",_xlpm.x &amp; ".")-1))),""))))))</f>
        <v/>
      </c>
      <c r="D497">
        <v>11.19</v>
      </c>
      <c r="E497">
        <v>0</v>
      </c>
      <c r="F497" t="str">
        <f>_xlfn.LET(_xlpm.raw,_xlfn.XLOOKUP(A497,SITE1!$C$4:$C$1034,SITE1!$E$4:$E$1034),_xlpm.cleanRaw,SUBSTITUTE(SUBSTITUTE(_xlpm.raw,"_PIN","."),"PIN","."),_xlpm.mainPart,MID(_xlpm.cleanRaw,2,FIND(".",_xlpm.cleanRaw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7" t="str">
        <f>_xlfn.LET(_xlpm.raw,_xlfn.XLOOKUP(A497,SITE3!$C$4:$C$1034,SITE3!$E$4:$E$1034),_xlpm.cleanRaw,SUBSTITUTE(SUBSTITUTE(_xlpm.raw,"_PIN","."),"PIN","."),_xlpm.mainPart,MID(_xlpm.cleanRaw,2,FIND(".",_xlpm.cleanRaw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7" t="str">
        <f>""</f>
        <v/>
      </c>
      <c r="I497" t="str">
        <f>""</f>
        <v/>
      </c>
      <c r="J497" t="str">
        <f t="shared" si="7"/>
        <v>AE1;VSS;;11.19;0;;;;</v>
      </c>
    </row>
    <row r="498" spans="1:10">
      <c r="A498" t="s">
        <v>1844</v>
      </c>
      <c r="B498" t="str">
        <f>_xlfn.XLOOKUP(A498,SITE1!$V$4:$V$1034,SITE1!$U$4:$U$1034,"")</f>
        <v>JTAGX</v>
      </c>
      <c r="C498" t="str" cm="1">
        <f t="array" ref="C498">_xlfn.TEXTJOIN(",",TRUE,_xlfn.UNIQUE(TRANSPOSE(_xlfn.MAP(_xlfn.XLOOKUP(A498,SITE1!$C$4:$C$1034,SITE1!$F$4:$O$1034,""),_xlfn.LAMBDA(_xlpm.x,IF(_xlpm.x&lt;&gt;"",TRIM(CLEAN(LEFT(_xlpm.x,FIND(".",_xlpm.x &amp; ".")-1))),""))))))</f>
        <v>RA520</v>
      </c>
      <c r="D498">
        <v>11.19</v>
      </c>
      <c r="E498">
        <v>0.53339999999999999</v>
      </c>
      <c r="F498" t="str">
        <f>_xlfn.LET(_xlpm.raw,_xlfn.XLOOKUP(A498,SITE1!$C$4:$C$1034,SITE1!$E$4:$E$1034),_xlpm.cleanRaw,SUBSTITUTE(SUBSTITUTE(_xlpm.raw,"_PIN","."),"PIN","."),_xlpm.mainPart,MID(_xlpm.cleanRaw,2,FIND(".",_xlpm.cleanRaw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605041</v>
      </c>
      <c r="G498" t="str">
        <f>_xlfn.LET(_xlpm.raw,_xlfn.XLOOKUP(A498,SITE3!$C$4:$C$1034,SITE3!$E$4:$E$1034),_xlpm.cleanRaw,SUBSTITUTE(SUBSTITUTE(_xlpm.raw,"_PIN","."),"PIN","."),_xlpm.mainPart,MID(_xlpm.cleanRaw,2,FIND(".",_xlpm.cleanRaw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805041</v>
      </c>
      <c r="H498" t="str">
        <f>""</f>
        <v/>
      </c>
      <c r="I498" t="str">
        <f>""</f>
        <v/>
      </c>
      <c r="J498" t="str">
        <f t="shared" si="7"/>
        <v>AE2;JTAGX;RA520;11.19;0.5334;605041;805041;;</v>
      </c>
    </row>
    <row r="499" spans="1:10">
      <c r="A499" t="s">
        <v>661</v>
      </c>
      <c r="B499" t="str">
        <f>_xlfn.XLOOKUP(A499,SITE1!$V$4:$V$1034,SITE1!$U$4:$U$1034,"")</f>
        <v>FBRK_OUT_N</v>
      </c>
      <c r="C499" t="str" cm="1">
        <f t="array" ref="C499">_xlfn.TEXTJOIN(",",TRUE,_xlfn.UNIQUE(TRANSPOSE(_xlfn.MAP(_xlfn.XLOOKUP(A499,SITE1!$C$4:$C$1034,SITE1!$F$4:$O$1034,""),_xlfn.LAMBDA(_xlpm.x,IF(_xlpm.x&lt;&gt;"",TRIM(CLEAN(LEFT(_xlpm.x,FIND(".",_xlpm.x &amp; ".")-1))),""))))))</f>
        <v/>
      </c>
      <c r="D499">
        <v>11.19</v>
      </c>
      <c r="E499">
        <v>1.0413999999999899</v>
      </c>
      <c r="F499" t="str">
        <f>_xlfn.LET(_xlpm.raw,_xlfn.XLOOKUP(A499,SITE1!$C$4:$C$1034,SITE1!$E$4:$E$1034),_xlpm.cleanRaw,SUBSTITUTE(SUBSTITUTE(_xlpm.raw,"_PIN","."),"PIN","."),_xlpm.mainPart,MID(_xlpm.cleanRaw,2,FIND(".",_xlpm.cleanRaw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603096</v>
      </c>
      <c r="G499" t="str">
        <f>_xlfn.LET(_xlpm.raw,_xlfn.XLOOKUP(A499,SITE3!$C$4:$C$1034,SITE3!$E$4:$E$1034),_xlpm.cleanRaw,SUBSTITUTE(SUBSTITUTE(_xlpm.raw,"_PIN","."),"PIN","."),_xlpm.mainPart,MID(_xlpm.cleanRaw,2,FIND(".",_xlpm.cleanRaw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803096</v>
      </c>
      <c r="H499" t="str">
        <f>""</f>
        <v/>
      </c>
      <c r="I499" t="str">
        <f>""</f>
        <v/>
      </c>
      <c r="J499" t="str">
        <f t="shared" si="7"/>
        <v>AE3;FBRK_OUT_N;;11.19;1.04139999999999;603096;803096;;</v>
      </c>
    </row>
    <row r="500" spans="1:10">
      <c r="A500" t="s">
        <v>3749</v>
      </c>
      <c r="B500" t="str">
        <f>_xlfn.XLOOKUP(A500,SITE1!$V$4:$V$1034,SITE1!$U$4:$U$1034,"")</f>
        <v>VSS</v>
      </c>
      <c r="C500" t="str" cm="1">
        <f t="array" ref="C500">_xlfn.TEXTJOIN(",",TRUE,_xlfn.UNIQUE(TRANSPOSE(_xlfn.MAP(_xlfn.XLOOKUP(A500,SITE1!$C$4:$C$1034,SITE1!$F$4:$O$1034,""),_xlfn.LAMBDA(_xlpm.x,IF(_xlpm.x&lt;&gt;"",TRIM(CLEAN(LEFT(_xlpm.x,FIND(".",_xlpm.x &amp; ".")-1))),""))))))</f>
        <v/>
      </c>
      <c r="D500">
        <v>11.19</v>
      </c>
      <c r="E500">
        <v>1.7795000000000001</v>
      </c>
      <c r="F500" t="str">
        <f>_xlfn.LET(_xlpm.raw,_xlfn.XLOOKUP(A500,SITE1!$C$4:$C$1034,SITE1!$E$4:$E$1034),_xlpm.cleanRaw,SUBSTITUTE(SUBSTITUTE(_xlpm.raw,"_PIN","."),"PIN","."),_xlpm.mainPart,MID(_xlpm.cleanRaw,2,FIND(".",_xlpm.cleanRaw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0" t="str">
        <f>_xlfn.LET(_xlpm.raw,_xlfn.XLOOKUP(A500,SITE3!$C$4:$C$1034,SITE3!$E$4:$E$1034),_xlpm.cleanRaw,SUBSTITUTE(SUBSTITUTE(_xlpm.raw,"_PIN","."),"PIN","."),_xlpm.mainPart,MID(_xlpm.cleanRaw,2,FIND(".",_xlpm.cleanRaw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0" t="str">
        <f>""</f>
        <v/>
      </c>
      <c r="I500" t="str">
        <f>""</f>
        <v/>
      </c>
      <c r="J500" t="str">
        <f t="shared" si="7"/>
        <v>AE5;VSS;;11.19;1.7795;;;;</v>
      </c>
    </row>
    <row r="501" spans="1:10">
      <c r="A501" t="s">
        <v>3754</v>
      </c>
      <c r="B501" t="str">
        <f>_xlfn.XLOOKUP(A501,SITE1!$V$4:$V$1034,SITE1!$U$4:$U$1034,"")</f>
        <v>VSS</v>
      </c>
      <c r="C501" t="str" cm="1">
        <f t="array" ref="C501">_xlfn.TEXTJOIN(",",TRUE,_xlfn.UNIQUE(TRANSPOSE(_xlfn.MAP(_xlfn.XLOOKUP(A501,SITE1!$C$4:$C$1034,SITE1!$F$4:$O$1034,""),_xlfn.LAMBDA(_xlpm.x,IF(_xlpm.x&lt;&gt;"",TRIM(CLEAN(LEFT(_xlpm.x,FIND(".",_xlpm.x &amp; ".")-1))),""))))))</f>
        <v/>
      </c>
      <c r="D501">
        <v>11.19</v>
      </c>
      <c r="E501">
        <v>2.4144999999999999</v>
      </c>
      <c r="F501" t="str">
        <f>_xlfn.LET(_xlpm.raw,_xlfn.XLOOKUP(A501,SITE1!$C$4:$C$1034,SITE1!$E$4:$E$1034),_xlpm.cleanRaw,SUBSTITUTE(SUBSTITUTE(_xlpm.raw,"_PIN","."),"PIN","."),_xlpm.mainPart,MID(_xlpm.cleanRaw,2,FIND(".",_xlpm.cleanRaw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1" t="str">
        <f>_xlfn.LET(_xlpm.raw,_xlfn.XLOOKUP(A501,SITE3!$C$4:$C$1034,SITE3!$E$4:$E$1034),_xlpm.cleanRaw,SUBSTITUTE(SUBSTITUTE(_xlpm.raw,"_PIN","."),"PIN","."),_xlpm.mainPart,MID(_xlpm.cleanRaw,2,FIND(".",_xlpm.cleanRaw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1" t="str">
        <f>""</f>
        <v/>
      </c>
      <c r="I501" t="str">
        <f>""</f>
        <v/>
      </c>
      <c r="J501" t="str">
        <f t="shared" si="7"/>
        <v>AE6;VSS;;11.19;2.4145;;;;</v>
      </c>
    </row>
    <row r="502" spans="1:10">
      <c r="A502" t="s">
        <v>3755</v>
      </c>
      <c r="B502" t="str">
        <f>_xlfn.XLOOKUP(A502,SITE1!$V$4:$V$1034,SITE1!$U$4:$U$1034,"")</f>
        <v>VSS</v>
      </c>
      <c r="C502" t="str" cm="1">
        <f t="array" ref="C502">_xlfn.TEXTJOIN(",",TRUE,_xlfn.UNIQUE(TRANSPOSE(_xlfn.MAP(_xlfn.XLOOKUP(A502,SITE1!$C$4:$C$1034,SITE1!$F$4:$O$1034,""),_xlfn.LAMBDA(_xlpm.x,IF(_xlpm.x&lt;&gt;"",TRIM(CLEAN(LEFT(_xlpm.x,FIND(".",_xlpm.x &amp; ".")-1))),""))))))</f>
        <v/>
      </c>
      <c r="D502">
        <v>11.19</v>
      </c>
      <c r="E502">
        <v>3.1257000000000001</v>
      </c>
      <c r="F502" t="str">
        <f>_xlfn.LET(_xlpm.raw,_xlfn.XLOOKUP(A502,SITE1!$C$4:$C$1034,SITE1!$E$4:$E$1034),_xlpm.cleanRaw,SUBSTITUTE(SUBSTITUTE(_xlpm.raw,"_PIN","."),"PIN","."),_xlpm.mainPart,MID(_xlpm.cleanRaw,2,FIND(".",_xlpm.cleanRaw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2" t="str">
        <f>_xlfn.LET(_xlpm.raw,_xlfn.XLOOKUP(A502,SITE3!$C$4:$C$1034,SITE3!$E$4:$E$1034),_xlpm.cleanRaw,SUBSTITUTE(SUBSTITUTE(_xlpm.raw,"_PIN","."),"PIN","."),_xlpm.mainPart,MID(_xlpm.cleanRaw,2,FIND(".",_xlpm.cleanRaw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2" t="str">
        <f>""</f>
        <v/>
      </c>
      <c r="I502" t="str">
        <f>""</f>
        <v/>
      </c>
      <c r="J502" t="str">
        <f t="shared" si="7"/>
        <v>AE7;VSS;;11.19;3.1257;;;;</v>
      </c>
    </row>
    <row r="503" spans="1:10">
      <c r="A503" t="s">
        <v>3734</v>
      </c>
      <c r="B503" t="str">
        <f>_xlfn.XLOOKUP(A503,SITE1!$V$4:$V$1034,SITE1!$U$4:$U$1034,"")</f>
        <v>VSS</v>
      </c>
      <c r="C503" t="str" cm="1">
        <f t="array" ref="C503">_xlfn.TEXTJOIN(",",TRUE,_xlfn.UNIQUE(TRANSPOSE(_xlfn.MAP(_xlfn.XLOOKUP(A503,SITE1!$C$4:$C$1034,SITE1!$F$4:$O$1034,""),_xlfn.LAMBDA(_xlpm.x,IF(_xlpm.x&lt;&gt;"",TRIM(CLEAN(LEFT(_xlpm.x,FIND(".",_xlpm.x &amp; ".")-1))),""))))))</f>
        <v/>
      </c>
      <c r="D503">
        <v>11.19</v>
      </c>
      <c r="E503">
        <v>4.5480999999999998</v>
      </c>
      <c r="F503" t="str">
        <f>_xlfn.LET(_xlpm.raw,_xlfn.XLOOKUP(A503,SITE1!$C$4:$C$1034,SITE1!$E$4:$E$1034),_xlpm.cleanRaw,SUBSTITUTE(SUBSTITUTE(_xlpm.raw,"_PIN","."),"PIN","."),_xlpm.mainPart,MID(_xlpm.cleanRaw,2,FIND(".",_xlpm.cleanRaw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3" t="str">
        <f>_xlfn.LET(_xlpm.raw,_xlfn.XLOOKUP(A503,SITE3!$C$4:$C$1034,SITE3!$E$4:$E$1034),_xlpm.cleanRaw,SUBSTITUTE(SUBSTITUTE(_xlpm.raw,"_PIN","."),"PIN","."),_xlpm.mainPart,MID(_xlpm.cleanRaw,2,FIND(".",_xlpm.cleanRaw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3" t="str">
        <f>""</f>
        <v/>
      </c>
      <c r="I503" t="str">
        <f>""</f>
        <v/>
      </c>
      <c r="J503" t="str">
        <f t="shared" si="7"/>
        <v>AE10;VSS;;11.19;4.5481;;;;</v>
      </c>
    </row>
    <row r="504" spans="1:10">
      <c r="A504" t="s">
        <v>3735</v>
      </c>
      <c r="B504" t="str">
        <f>_xlfn.XLOOKUP(A504,SITE1!$V$4:$V$1034,SITE1!$U$4:$U$1034,"")</f>
        <v>VSS</v>
      </c>
      <c r="C504" t="str" cm="1">
        <f t="array" ref="C504">_xlfn.TEXTJOIN(",",TRUE,_xlfn.UNIQUE(TRANSPOSE(_xlfn.MAP(_xlfn.XLOOKUP(A504,SITE1!$C$4:$C$1034,SITE1!$F$4:$O$1034,""),_xlfn.LAMBDA(_xlpm.x,IF(_xlpm.x&lt;&gt;"",TRIM(CLEAN(LEFT(_xlpm.x,FIND(".",_xlpm.x &amp; ".")-1))),""))))))</f>
        <v/>
      </c>
      <c r="D504">
        <v>11.19</v>
      </c>
      <c r="E504">
        <v>5.2592999999999996</v>
      </c>
      <c r="F504" t="str">
        <f>_xlfn.LET(_xlpm.raw,_xlfn.XLOOKUP(A504,SITE1!$C$4:$C$1034,SITE1!$E$4:$E$1034),_xlpm.cleanRaw,SUBSTITUTE(SUBSTITUTE(_xlpm.raw,"_PIN","."),"PIN","."),_xlpm.mainPart,MID(_xlpm.cleanRaw,2,FIND(".",_xlpm.cleanRaw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4" t="str">
        <f>_xlfn.LET(_xlpm.raw,_xlfn.XLOOKUP(A504,SITE3!$C$4:$C$1034,SITE3!$E$4:$E$1034),_xlpm.cleanRaw,SUBSTITUTE(SUBSTITUTE(_xlpm.raw,"_PIN","."),"PIN","."),_xlpm.mainPart,MID(_xlpm.cleanRaw,2,FIND(".",_xlpm.cleanRaw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4" t="str">
        <f>""</f>
        <v/>
      </c>
      <c r="I504" t="str">
        <f>""</f>
        <v/>
      </c>
      <c r="J504" t="str">
        <f t="shared" si="7"/>
        <v>AE12;VSS;;11.19;5.2593;;;;</v>
      </c>
    </row>
    <row r="505" spans="1:10">
      <c r="A505" t="s">
        <v>3736</v>
      </c>
      <c r="B505" t="str">
        <f>_xlfn.XLOOKUP(A505,SITE1!$V$4:$V$1034,SITE1!$U$4:$U$1034,"")</f>
        <v>VSS</v>
      </c>
      <c r="C505" t="str" cm="1">
        <f t="array" ref="C505">_xlfn.TEXTJOIN(",",TRUE,_xlfn.UNIQUE(TRANSPOSE(_xlfn.MAP(_xlfn.XLOOKUP(A505,SITE1!$C$4:$C$1034,SITE1!$F$4:$O$1034,""),_xlfn.LAMBDA(_xlpm.x,IF(_xlpm.x&lt;&gt;"",TRIM(CLEAN(LEFT(_xlpm.x,FIND(".",_xlpm.x &amp; ".")-1))),""))))))</f>
        <v/>
      </c>
      <c r="D505">
        <v>11.19</v>
      </c>
      <c r="E505">
        <v>6.4882</v>
      </c>
      <c r="F505" t="str">
        <f>_xlfn.LET(_xlpm.raw,_xlfn.XLOOKUP(A505,SITE1!$C$4:$C$1034,SITE1!$E$4:$E$1034),_xlpm.cleanRaw,SUBSTITUTE(SUBSTITUTE(_xlpm.raw,"_PIN","."),"PIN","."),_xlpm.mainPart,MID(_xlpm.cleanRaw,2,FIND(".",_xlpm.cleanRaw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5" t="str">
        <f>_xlfn.LET(_xlpm.raw,_xlfn.XLOOKUP(A505,SITE3!$C$4:$C$1034,SITE3!$E$4:$E$1034),_xlpm.cleanRaw,SUBSTITUTE(SUBSTITUTE(_xlpm.raw,"_PIN","."),"PIN","."),_xlpm.mainPart,MID(_xlpm.cleanRaw,2,FIND(".",_xlpm.cleanRaw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5" t="str">
        <f>""</f>
        <v/>
      </c>
      <c r="I505" t="str">
        <f>""</f>
        <v/>
      </c>
      <c r="J505" t="str">
        <f t="shared" si="7"/>
        <v>AE14;VSS;;11.19;6.4882;;;;</v>
      </c>
    </row>
    <row r="506" spans="1:10">
      <c r="A506" t="s">
        <v>3737</v>
      </c>
      <c r="B506" t="str">
        <f>_xlfn.XLOOKUP(A506,SITE1!$V$4:$V$1034,SITE1!$U$4:$U$1034,"")</f>
        <v>VSS</v>
      </c>
      <c r="C506" t="str" cm="1">
        <f t="array" ref="C506">_xlfn.TEXTJOIN(",",TRUE,_xlfn.UNIQUE(TRANSPOSE(_xlfn.MAP(_xlfn.XLOOKUP(A506,SITE1!$C$4:$C$1034,SITE1!$F$4:$O$1034,""),_xlfn.LAMBDA(_xlpm.x,IF(_xlpm.x&lt;&gt;"",TRIM(CLEAN(LEFT(_xlpm.x,FIND(".",_xlpm.x &amp; ".")-1))),""))))))</f>
        <v/>
      </c>
      <c r="D506">
        <v>11.19</v>
      </c>
      <c r="E506">
        <v>7.2120999999999897</v>
      </c>
      <c r="F506" t="str">
        <f>_xlfn.LET(_xlpm.raw,_xlfn.XLOOKUP(A506,SITE1!$C$4:$C$1034,SITE1!$E$4:$E$1034),_xlpm.cleanRaw,SUBSTITUTE(SUBSTITUTE(_xlpm.raw,"_PIN","."),"PIN","."),_xlpm.mainPart,MID(_xlpm.cleanRaw,2,FIND(".",_xlpm.cleanRaw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6" t="str">
        <f>_xlfn.LET(_xlpm.raw,_xlfn.XLOOKUP(A506,SITE3!$C$4:$C$1034,SITE3!$E$4:$E$1034),_xlpm.cleanRaw,SUBSTITUTE(SUBSTITUTE(_xlpm.raw,"_PIN","."),"PIN","."),_xlpm.mainPart,MID(_xlpm.cleanRaw,2,FIND(".",_xlpm.cleanRaw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6" t="str">
        <f>""</f>
        <v/>
      </c>
      <c r="I506" t="str">
        <f>""</f>
        <v/>
      </c>
      <c r="J506" t="str">
        <f t="shared" si="7"/>
        <v>AE16;VSS;;11.19;7.21209999999999;;;;</v>
      </c>
    </row>
    <row r="507" spans="1:10">
      <c r="A507" t="s">
        <v>3738</v>
      </c>
      <c r="B507" t="str">
        <f>_xlfn.XLOOKUP(A507,SITE1!$V$4:$V$1034,SITE1!$U$4:$U$1034,"")</f>
        <v>VSS</v>
      </c>
      <c r="C507" t="str" cm="1">
        <f t="array" ref="C507">_xlfn.TEXTJOIN(",",TRUE,_xlfn.UNIQUE(TRANSPOSE(_xlfn.MAP(_xlfn.XLOOKUP(A507,SITE1!$C$4:$C$1034,SITE1!$F$4:$O$1034,""),_xlfn.LAMBDA(_xlpm.x,IF(_xlpm.x&lt;&gt;"",TRIM(CLEAN(LEFT(_xlpm.x,FIND(".",_xlpm.x &amp; ".")-1))),""))))))</f>
        <v/>
      </c>
      <c r="D507">
        <v>11.19</v>
      </c>
      <c r="E507">
        <v>7.9359999999999999</v>
      </c>
      <c r="F507" t="str">
        <f>_xlfn.LET(_xlpm.raw,_xlfn.XLOOKUP(A507,SITE1!$C$4:$C$1034,SITE1!$E$4:$E$1034),_xlpm.cleanRaw,SUBSTITUTE(SUBSTITUTE(_xlpm.raw,"_PIN","."),"PIN","."),_xlpm.mainPart,MID(_xlpm.cleanRaw,2,FIND(".",_xlpm.cleanRaw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7" t="str">
        <f>_xlfn.LET(_xlpm.raw,_xlfn.XLOOKUP(A507,SITE3!$C$4:$C$1034,SITE3!$E$4:$E$1034),_xlpm.cleanRaw,SUBSTITUTE(SUBSTITUTE(_xlpm.raw,"_PIN","."),"PIN","."),_xlpm.mainPart,MID(_xlpm.cleanRaw,2,FIND(".",_xlpm.cleanRaw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7" t="str">
        <f>""</f>
        <v/>
      </c>
      <c r="I507" t="str">
        <f>""</f>
        <v/>
      </c>
      <c r="J507" t="str">
        <f t="shared" si="7"/>
        <v>AE17;VSS;;11.19;7.936;;;;</v>
      </c>
    </row>
    <row r="508" spans="1:10">
      <c r="A508" t="s">
        <v>3739</v>
      </c>
      <c r="B508" t="str">
        <f>_xlfn.XLOOKUP(A508,SITE1!$V$4:$V$1034,SITE1!$U$4:$U$1034,"")</f>
        <v>VSS</v>
      </c>
      <c r="C508" t="str" cm="1">
        <f t="array" ref="C508">_xlfn.TEXTJOIN(",",TRUE,_xlfn.UNIQUE(TRANSPOSE(_xlfn.MAP(_xlfn.XLOOKUP(A508,SITE1!$C$4:$C$1034,SITE1!$F$4:$O$1034,""),_xlfn.LAMBDA(_xlpm.x,IF(_xlpm.x&lt;&gt;"",TRIM(CLEAN(LEFT(_xlpm.x,FIND(".",_xlpm.x &amp; ".")-1))),""))))))</f>
        <v/>
      </c>
      <c r="D508">
        <v>11.19</v>
      </c>
      <c r="E508">
        <v>8.6599000000000004</v>
      </c>
      <c r="F508" t="str">
        <f>_xlfn.LET(_xlpm.raw,_xlfn.XLOOKUP(A508,SITE1!$C$4:$C$1034,SITE1!$E$4:$E$1034),_xlpm.cleanRaw,SUBSTITUTE(SUBSTITUTE(_xlpm.raw,"_PIN","."),"PIN","."),_xlpm.mainPart,MID(_xlpm.cleanRaw,2,FIND(".",_xlpm.cleanRaw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8" t="str">
        <f>_xlfn.LET(_xlpm.raw,_xlfn.XLOOKUP(A508,SITE3!$C$4:$C$1034,SITE3!$E$4:$E$1034),_xlpm.cleanRaw,SUBSTITUTE(SUBSTITUTE(_xlpm.raw,"_PIN","."),"PIN","."),_xlpm.mainPart,MID(_xlpm.cleanRaw,2,FIND(".",_xlpm.cleanRaw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8" t="str">
        <f>""</f>
        <v/>
      </c>
      <c r="I508" t="str">
        <f>""</f>
        <v/>
      </c>
      <c r="J508" t="str">
        <f t="shared" si="7"/>
        <v>AE19;VSS;;11.19;8.6599;;;;</v>
      </c>
    </row>
    <row r="509" spans="1:10">
      <c r="A509" t="s">
        <v>3740</v>
      </c>
      <c r="B509" t="str">
        <f>_xlfn.XLOOKUP(A509,SITE1!$V$4:$V$1034,SITE1!$U$4:$U$1034,"")</f>
        <v>VSS</v>
      </c>
      <c r="C509" t="str" cm="1">
        <f t="array" ref="C509">_xlfn.TEXTJOIN(",",TRUE,_xlfn.UNIQUE(TRANSPOSE(_xlfn.MAP(_xlfn.XLOOKUP(A509,SITE1!$C$4:$C$1034,SITE1!$F$4:$O$1034,""),_xlfn.LAMBDA(_xlpm.x,IF(_xlpm.x&lt;&gt;"",TRIM(CLEAN(LEFT(_xlpm.x,FIND(".",_xlpm.x &amp; ".")-1))),""))))))</f>
        <v/>
      </c>
      <c r="D509">
        <v>11.19</v>
      </c>
      <c r="E509">
        <v>9.5655999999999999</v>
      </c>
      <c r="F509" t="str">
        <f>_xlfn.LET(_xlpm.raw,_xlfn.XLOOKUP(A509,SITE1!$C$4:$C$1034,SITE1!$E$4:$E$1034),_xlpm.cleanRaw,SUBSTITUTE(SUBSTITUTE(_xlpm.raw,"_PIN","."),"PIN","."),_xlpm.mainPart,MID(_xlpm.cleanRaw,2,FIND(".",_xlpm.cleanRaw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9" t="str">
        <f>_xlfn.LET(_xlpm.raw,_xlfn.XLOOKUP(A509,SITE3!$C$4:$C$1034,SITE3!$E$4:$E$1034),_xlpm.cleanRaw,SUBSTITUTE(SUBSTITUTE(_xlpm.raw,"_PIN","."),"PIN","."),_xlpm.mainPart,MID(_xlpm.cleanRaw,2,FIND(".",_xlpm.cleanRaw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9" t="str">
        <f>""</f>
        <v/>
      </c>
      <c r="I509" t="str">
        <f>""</f>
        <v/>
      </c>
      <c r="J509" t="str">
        <f t="shared" si="7"/>
        <v>AE21;VSS;;11.19;9.5656;;;;</v>
      </c>
    </row>
    <row r="510" spans="1:10">
      <c r="A510" t="s">
        <v>3741</v>
      </c>
      <c r="B510" t="str">
        <f>_xlfn.XLOOKUP(A510,SITE1!$V$4:$V$1034,SITE1!$U$4:$U$1034,"")</f>
        <v>VSS</v>
      </c>
      <c r="C510" t="str" cm="1">
        <f t="array" ref="C510">_xlfn.TEXTJOIN(",",TRUE,_xlfn.UNIQUE(TRANSPOSE(_xlfn.MAP(_xlfn.XLOOKUP(A510,SITE1!$C$4:$C$1034,SITE1!$F$4:$O$1034,""),_xlfn.LAMBDA(_xlpm.x,IF(_xlpm.x&lt;&gt;"",TRIM(CLEAN(LEFT(_xlpm.x,FIND(".",_xlpm.x &amp; ".")-1))),""))))))</f>
        <v/>
      </c>
      <c r="D510">
        <v>11.19</v>
      </c>
      <c r="E510">
        <v>10.340299999999999</v>
      </c>
      <c r="F510" t="str">
        <f>_xlfn.LET(_xlpm.raw,_xlfn.XLOOKUP(A510,SITE1!$C$4:$C$1034,SITE1!$E$4:$E$1034),_xlpm.cleanRaw,SUBSTITUTE(SUBSTITUTE(_xlpm.raw,"_PIN","."),"PIN","."),_xlpm.mainPart,MID(_xlpm.cleanRaw,2,FIND(".",_xlpm.cleanRaw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0" t="str">
        <f>_xlfn.LET(_xlpm.raw,_xlfn.XLOOKUP(A510,SITE3!$C$4:$C$1034,SITE3!$E$4:$E$1034),_xlpm.cleanRaw,SUBSTITUTE(SUBSTITUTE(_xlpm.raw,"_PIN","."),"PIN","."),_xlpm.mainPart,MID(_xlpm.cleanRaw,2,FIND(".",_xlpm.cleanRaw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0" t="str">
        <f>""</f>
        <v/>
      </c>
      <c r="I510" t="str">
        <f>""</f>
        <v/>
      </c>
      <c r="J510" t="str">
        <f t="shared" si="7"/>
        <v>AE22;VSS;;11.19;10.3403;;;;</v>
      </c>
    </row>
    <row r="511" spans="1:10">
      <c r="A511" t="s">
        <v>3549</v>
      </c>
      <c r="B511" t="str">
        <f>_xlfn.XLOOKUP(A511,SITE1!$V$4:$V$1034,SITE1!$U$4:$U$1034,"")</f>
        <v>VCCDUSB_0P82</v>
      </c>
      <c r="C511" t="str" cm="1">
        <f t="array" ref="C511">_xlfn.TEXTJOIN(",",TRUE,_xlfn.UNIQUE(TRANSPOSE(_xlfn.MAP(_xlfn.XLOOKUP(A511,SITE1!$C$4:$C$1034,SITE1!$F$4:$O$1034,""),_xlfn.LAMBDA(_xlpm.x,IF(_xlpm.x&lt;&gt;"",TRIM(CLEAN(LEFT(_xlpm.x,FIND(".",_xlpm.x &amp; ".")-1))),""))))))</f>
        <v/>
      </c>
      <c r="D511">
        <v>11.19</v>
      </c>
      <c r="E511">
        <v>11.115</v>
      </c>
      <c r="F511" t="str">
        <f>_xlfn.LET(_xlpm.raw,_xlfn.XLOOKUP(A511,SITE1!$C$4:$C$1034,SITE1!$E$4:$E$1034),_xlpm.cleanRaw,SUBSTITUTE(SUBSTITUTE(_xlpm.raw,"_PIN","."),"PIN","."),_xlpm.mainPart,MID(_xlpm.cleanRaw,2,FIND(".",_xlpm.cleanRaw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1" t="str">
        <f>_xlfn.LET(_xlpm.raw,_xlfn.XLOOKUP(A511,SITE3!$C$4:$C$1034,SITE3!$E$4:$E$1034),_xlpm.cleanRaw,SUBSTITUTE(SUBSTITUTE(_xlpm.raw,"_PIN","."),"PIN","."),_xlpm.mainPart,MID(_xlpm.cleanRaw,2,FIND(".",_xlpm.cleanRaw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1" t="str">
        <f>""</f>
        <v/>
      </c>
      <c r="I511" t="str">
        <f>""</f>
        <v/>
      </c>
      <c r="J511" t="str">
        <f t="shared" si="7"/>
        <v>AE24;VCCDUSB_0P82;;11.19;11.115;;;;</v>
      </c>
    </row>
    <row r="512" spans="1:10">
      <c r="A512" t="s">
        <v>3619</v>
      </c>
      <c r="B512" t="str">
        <f>_xlfn.XLOOKUP(A512,SITE1!$V$4:$V$1034,SITE1!$U$4:$U$1034,"")</f>
        <v>VCCPRIM_CORE</v>
      </c>
      <c r="C512" t="str" cm="1">
        <f t="array" ref="C512">_xlfn.TEXTJOIN(",",TRUE,_xlfn.UNIQUE(TRANSPOSE(_xlfn.MAP(_xlfn.XLOOKUP(A512,SITE1!$C$4:$C$1034,SITE1!$F$4:$O$1034,""),_xlfn.LAMBDA(_xlpm.x,IF(_xlpm.x&lt;&gt;"",TRIM(CLEAN(LEFT(_xlpm.x,FIND(".",_xlpm.x &amp; ".")-1))),""))))))</f>
        <v/>
      </c>
      <c r="D512">
        <v>11.19</v>
      </c>
      <c r="E512">
        <v>11.889699999999999</v>
      </c>
      <c r="F512" t="str">
        <f>_xlfn.LET(_xlpm.raw,_xlfn.XLOOKUP(A512,SITE1!$C$4:$C$1034,SITE1!$E$4:$E$1034),_xlpm.cleanRaw,SUBSTITUTE(SUBSTITUTE(_xlpm.raw,"_PIN","."),"PIN","."),_xlpm.mainPart,MID(_xlpm.cleanRaw,2,FIND(".",_xlpm.cleanRaw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2" t="str">
        <f>_xlfn.LET(_xlpm.raw,_xlfn.XLOOKUP(A512,SITE3!$C$4:$C$1034,SITE3!$E$4:$E$1034),_xlpm.cleanRaw,SUBSTITUTE(SUBSTITUTE(_xlpm.raw,"_PIN","."),"PIN","."),_xlpm.mainPart,MID(_xlpm.cleanRaw,2,FIND(".",_xlpm.cleanRaw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2" t="str">
        <f>""</f>
        <v/>
      </c>
      <c r="I512" t="str">
        <f>""</f>
        <v/>
      </c>
      <c r="J512" t="str">
        <f t="shared" si="7"/>
        <v>AE26;VCCPRIM_CORE;;11.19;11.8897;;;;</v>
      </c>
    </row>
    <row r="513" spans="1:10">
      <c r="A513" t="s">
        <v>3622</v>
      </c>
      <c r="B513" t="str">
        <f>_xlfn.XLOOKUP(A513,SITE1!$V$4:$V$1034,SITE1!$U$4:$U$1034,"")</f>
        <v>VCCPRIM_CORE</v>
      </c>
      <c r="C513" t="str" cm="1">
        <f t="array" ref="C513">_xlfn.TEXTJOIN(",",TRUE,_xlfn.UNIQUE(TRANSPOSE(_xlfn.MAP(_xlfn.XLOOKUP(A513,SITE1!$C$4:$C$1034,SITE1!$F$4:$O$1034,""),_xlfn.LAMBDA(_xlpm.x,IF(_xlpm.x&lt;&gt;"",TRIM(CLEAN(LEFT(_xlpm.x,FIND(".",_xlpm.x &amp; ".")-1))),""))))))</f>
        <v/>
      </c>
      <c r="D513">
        <v>11.19</v>
      </c>
      <c r="E513">
        <v>12.664400000000001</v>
      </c>
      <c r="F513" t="str">
        <f>_xlfn.LET(_xlpm.raw,_xlfn.XLOOKUP(A513,SITE1!$C$4:$C$1034,SITE1!$E$4:$E$1034),_xlpm.cleanRaw,SUBSTITUTE(SUBSTITUTE(_xlpm.raw,"_PIN","."),"PIN","."),_xlpm.mainPart,MID(_xlpm.cleanRaw,2,FIND(".",_xlpm.cleanRaw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3" t="str">
        <f>_xlfn.LET(_xlpm.raw,_xlfn.XLOOKUP(A513,SITE3!$C$4:$C$1034,SITE3!$E$4:$E$1034),_xlpm.cleanRaw,SUBSTITUTE(SUBSTITUTE(_xlpm.raw,"_PIN","."),"PIN","."),_xlpm.mainPart,MID(_xlpm.cleanRaw,2,FIND(".",_xlpm.cleanRaw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3" t="str">
        <f>""</f>
        <v/>
      </c>
      <c r="I513" t="str">
        <f>""</f>
        <v/>
      </c>
      <c r="J513" t="str">
        <f t="shared" si="7"/>
        <v>AE27;VCCPRIM_CORE;;11.19;12.6644;;;;</v>
      </c>
    </row>
    <row r="514" spans="1:10">
      <c r="A514" t="s">
        <v>3623</v>
      </c>
      <c r="B514" t="str">
        <f>_xlfn.XLOOKUP(A514,SITE1!$V$4:$V$1034,SITE1!$U$4:$U$1034,"")</f>
        <v>VCCPRIM_CORE</v>
      </c>
      <c r="C514" t="str" cm="1">
        <f t="array" ref="C514">_xlfn.TEXTJOIN(",",TRUE,_xlfn.UNIQUE(TRANSPOSE(_xlfn.MAP(_xlfn.XLOOKUP(A514,SITE1!$C$4:$C$1034,SITE1!$F$4:$O$1034,""),_xlfn.LAMBDA(_xlpm.x,IF(_xlpm.x&lt;&gt;"",TRIM(CLEAN(LEFT(_xlpm.x,FIND(".",_xlpm.x &amp; ".")-1))),""))))))</f>
        <v/>
      </c>
      <c r="D514">
        <v>11.19</v>
      </c>
      <c r="E514">
        <v>13.4391</v>
      </c>
      <c r="F514" t="str">
        <f>_xlfn.LET(_xlpm.raw,_xlfn.XLOOKUP(A514,SITE1!$C$4:$C$1034,SITE1!$E$4:$E$1034),_xlpm.cleanRaw,SUBSTITUTE(SUBSTITUTE(_xlpm.raw,"_PIN","."),"PIN","."),_xlpm.mainPart,MID(_xlpm.cleanRaw,2,FIND(".",_xlpm.cleanRaw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4" t="str">
        <f>_xlfn.LET(_xlpm.raw,_xlfn.XLOOKUP(A514,SITE3!$C$4:$C$1034,SITE3!$E$4:$E$1034),_xlpm.cleanRaw,SUBSTITUTE(SUBSTITUTE(_xlpm.raw,"_PIN","."),"PIN","."),_xlpm.mainPart,MID(_xlpm.cleanRaw,2,FIND(".",_xlpm.cleanRaw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4" t="str">
        <f>""</f>
        <v/>
      </c>
      <c r="I514" t="str">
        <f>""</f>
        <v/>
      </c>
      <c r="J514" t="str">
        <f t="shared" ref="J514:J577" si="8">A514&amp;";"&amp;B514&amp;";"&amp;C514&amp;";"&amp;D514&amp;";"&amp;E514&amp;";"&amp;F514&amp;";"&amp;G514&amp;";"&amp;H514&amp;";"&amp;I514</f>
        <v>AE29;VCCPRIM_CORE;;11.19;13.4391;;;;</v>
      </c>
    </row>
    <row r="515" spans="1:10">
      <c r="A515" t="s">
        <v>3624</v>
      </c>
      <c r="B515" t="str">
        <f>_xlfn.XLOOKUP(A515,SITE1!$V$4:$V$1034,SITE1!$U$4:$U$1034,"")</f>
        <v>VCCPRIM_CORE</v>
      </c>
      <c r="C515" t="str" cm="1">
        <f t="array" ref="C515">_xlfn.TEXTJOIN(",",TRUE,_xlfn.UNIQUE(TRANSPOSE(_xlfn.MAP(_xlfn.XLOOKUP(A515,SITE1!$C$4:$C$1034,SITE1!$F$4:$O$1034,""),_xlfn.LAMBDA(_xlpm.x,IF(_xlpm.x&lt;&gt;"",TRIM(CLEAN(LEFT(_xlpm.x,FIND(".",_xlpm.x &amp; ".")-1))),""))))))</f>
        <v/>
      </c>
      <c r="D515">
        <v>11.19</v>
      </c>
      <c r="E515">
        <v>14.2137999999999</v>
      </c>
      <c r="F515" t="str">
        <f>_xlfn.LET(_xlpm.raw,_xlfn.XLOOKUP(A515,SITE1!$C$4:$C$1034,SITE1!$E$4:$E$1034),_xlpm.cleanRaw,SUBSTITUTE(SUBSTITUTE(_xlpm.raw,"_PIN","."),"PIN","."),_xlpm.mainPart,MID(_xlpm.cleanRaw,2,FIND(".",_xlpm.cleanRaw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5" t="str">
        <f>_xlfn.LET(_xlpm.raw,_xlfn.XLOOKUP(A515,SITE3!$C$4:$C$1034,SITE3!$E$4:$E$1034),_xlpm.cleanRaw,SUBSTITUTE(SUBSTITUTE(_xlpm.raw,"_PIN","."),"PIN","."),_xlpm.mainPart,MID(_xlpm.cleanRaw,2,FIND(".",_xlpm.cleanRaw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5" t="str">
        <f>""</f>
        <v/>
      </c>
      <c r="I515" t="str">
        <f>""</f>
        <v/>
      </c>
      <c r="J515" t="str">
        <f t="shared" si="8"/>
        <v>AE31;VCCPRIM_CORE;;11.19;14.2137999999999;;;;</v>
      </c>
    </row>
    <row r="516" spans="1:10">
      <c r="A516" t="s">
        <v>3625</v>
      </c>
      <c r="B516" t="str">
        <f>_xlfn.XLOOKUP(A516,SITE1!$V$4:$V$1034,SITE1!$U$4:$U$1034,"")</f>
        <v>VCCPRIM_CORE</v>
      </c>
      <c r="C516" t="str" cm="1">
        <f t="array" ref="C516">_xlfn.TEXTJOIN(",",TRUE,_xlfn.UNIQUE(TRANSPOSE(_xlfn.MAP(_xlfn.XLOOKUP(A516,SITE1!$C$4:$C$1034,SITE1!$F$4:$O$1034,""),_xlfn.LAMBDA(_xlpm.x,IF(_xlpm.x&lt;&gt;"",TRIM(CLEAN(LEFT(_xlpm.x,FIND(".",_xlpm.x &amp; ".")-1))),""))))))</f>
        <v/>
      </c>
      <c r="D516">
        <v>11.19</v>
      </c>
      <c r="E516">
        <v>14.9885</v>
      </c>
      <c r="F516" t="str">
        <f>_xlfn.LET(_xlpm.raw,_xlfn.XLOOKUP(A516,SITE1!$C$4:$C$1034,SITE1!$E$4:$E$1034),_xlpm.cleanRaw,SUBSTITUTE(SUBSTITUTE(_xlpm.raw,"_PIN","."),"PIN","."),_xlpm.mainPart,MID(_xlpm.cleanRaw,2,FIND(".",_xlpm.cleanRaw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6" t="str">
        <f>_xlfn.LET(_xlpm.raw,_xlfn.XLOOKUP(A516,SITE3!$C$4:$C$1034,SITE3!$E$4:$E$1034),_xlpm.cleanRaw,SUBSTITUTE(SUBSTITUTE(_xlpm.raw,"_PIN","."),"PIN","."),_xlpm.mainPart,MID(_xlpm.cleanRaw,2,FIND(".",_xlpm.cleanRaw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6" t="str">
        <f>""</f>
        <v/>
      </c>
      <c r="I516" t="str">
        <f>""</f>
        <v/>
      </c>
      <c r="J516" t="str">
        <f t="shared" si="8"/>
        <v>AE32;VCCPRIM_CORE;;11.19;14.9885;;;;</v>
      </c>
    </row>
    <row r="517" spans="1:10">
      <c r="A517" t="s">
        <v>3626</v>
      </c>
      <c r="B517" t="str">
        <f>_xlfn.XLOOKUP(A517,SITE1!$V$4:$V$1034,SITE1!$U$4:$U$1034,"")</f>
        <v>VCCPRIM_CORE</v>
      </c>
      <c r="C517" t="str" cm="1">
        <f t="array" ref="C517">_xlfn.TEXTJOIN(",",TRUE,_xlfn.UNIQUE(TRANSPOSE(_xlfn.MAP(_xlfn.XLOOKUP(A517,SITE1!$C$4:$C$1034,SITE1!$F$4:$O$1034,""),_xlfn.LAMBDA(_xlpm.x,IF(_xlpm.x&lt;&gt;"",TRIM(CLEAN(LEFT(_xlpm.x,FIND(".",_xlpm.x &amp; ".")-1))),""))))))</f>
        <v/>
      </c>
      <c r="D517">
        <v>11.19</v>
      </c>
      <c r="E517">
        <v>15.763199999999999</v>
      </c>
      <c r="F517" t="str">
        <f>_xlfn.LET(_xlpm.raw,_xlfn.XLOOKUP(A517,SITE1!$C$4:$C$1034,SITE1!$E$4:$E$1034),_xlpm.cleanRaw,SUBSTITUTE(SUBSTITUTE(_xlpm.raw,"_PIN","."),"PIN","."),_xlpm.mainPart,MID(_xlpm.cleanRaw,2,FIND(".",_xlpm.cleanRaw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7" t="str">
        <f>_xlfn.LET(_xlpm.raw,_xlfn.XLOOKUP(A517,SITE3!$C$4:$C$1034,SITE3!$E$4:$E$1034),_xlpm.cleanRaw,SUBSTITUTE(SUBSTITUTE(_xlpm.raw,"_PIN","."),"PIN","."),_xlpm.mainPart,MID(_xlpm.cleanRaw,2,FIND(".",_xlpm.cleanRaw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7" t="str">
        <f>""</f>
        <v/>
      </c>
      <c r="I517" t="str">
        <f>""</f>
        <v/>
      </c>
      <c r="J517" t="str">
        <f t="shared" si="8"/>
        <v>AE34;VCCPRIM_CORE;;11.19;15.7632;;;;</v>
      </c>
    </row>
    <row r="518" spans="1:10">
      <c r="A518" t="s">
        <v>3742</v>
      </c>
      <c r="B518" t="str">
        <f>_xlfn.XLOOKUP(A518,SITE1!$V$4:$V$1034,SITE1!$U$4:$U$1034,"")</f>
        <v>VSS</v>
      </c>
      <c r="C518" t="str" cm="1">
        <f t="array" ref="C518">_xlfn.TEXTJOIN(",",TRUE,_xlfn.UNIQUE(TRANSPOSE(_xlfn.MAP(_xlfn.XLOOKUP(A518,SITE1!$C$4:$C$1034,SITE1!$F$4:$O$1034,""),_xlfn.LAMBDA(_xlpm.x,IF(_xlpm.x&lt;&gt;"",TRIM(CLEAN(LEFT(_xlpm.x,FIND(".",_xlpm.x &amp; ".")-1))),""))))))</f>
        <v/>
      </c>
      <c r="D518">
        <v>11.19</v>
      </c>
      <c r="E518">
        <v>16.5379</v>
      </c>
      <c r="F518" t="str">
        <f>_xlfn.LET(_xlpm.raw,_xlfn.XLOOKUP(A518,SITE1!$C$4:$C$1034,SITE1!$E$4:$E$1034),_xlpm.cleanRaw,SUBSTITUTE(SUBSTITUTE(_xlpm.raw,"_PIN","."),"PIN","."),_xlpm.mainPart,MID(_xlpm.cleanRaw,2,FIND(".",_xlpm.cleanRaw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8" t="str">
        <f>_xlfn.LET(_xlpm.raw,_xlfn.XLOOKUP(A518,SITE3!$C$4:$C$1034,SITE3!$E$4:$E$1034),_xlpm.cleanRaw,SUBSTITUTE(SUBSTITUTE(_xlpm.raw,"_PIN","."),"PIN","."),_xlpm.mainPart,MID(_xlpm.cleanRaw,2,FIND(".",_xlpm.cleanRaw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8" t="str">
        <f>""</f>
        <v/>
      </c>
      <c r="I518" t="str">
        <f>""</f>
        <v/>
      </c>
      <c r="J518" t="str">
        <f t="shared" si="8"/>
        <v>AE36;VSS;;11.19;16.5379;;;;</v>
      </c>
    </row>
    <row r="519" spans="1:10">
      <c r="A519" t="s">
        <v>3570</v>
      </c>
      <c r="B519" t="str">
        <f>_xlfn.XLOOKUP(A519,SITE1!$V$4:$V$1034,SITE1!$U$4:$U$1034,"")</f>
        <v>VCCMPHY_0P82</v>
      </c>
      <c r="C519" t="str" cm="1">
        <f t="array" ref="C519">_xlfn.TEXTJOIN(",",TRUE,_xlfn.UNIQUE(TRANSPOSE(_xlfn.MAP(_xlfn.XLOOKUP(A519,SITE1!$C$4:$C$1034,SITE1!$F$4:$O$1034,""),_xlfn.LAMBDA(_xlpm.x,IF(_xlpm.x&lt;&gt;"",TRIM(CLEAN(LEFT(_xlpm.x,FIND(".",_xlpm.x &amp; ".")-1))),""))))))</f>
        <v/>
      </c>
      <c r="D519">
        <v>11.19</v>
      </c>
      <c r="E519">
        <v>17.3126</v>
      </c>
      <c r="F519" t="str">
        <f>_xlfn.LET(_xlpm.raw,_xlfn.XLOOKUP(A519,SITE1!$C$4:$C$1034,SITE1!$E$4:$E$1034),_xlpm.cleanRaw,SUBSTITUTE(SUBSTITUTE(_xlpm.raw,"_PIN","."),"PIN","."),_xlpm.mainPart,MID(_xlpm.cleanRaw,2,FIND(".",_xlpm.cleanRaw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9" t="str">
        <f>_xlfn.LET(_xlpm.raw,_xlfn.XLOOKUP(A519,SITE3!$C$4:$C$1034,SITE3!$E$4:$E$1034),_xlpm.cleanRaw,SUBSTITUTE(SUBSTITUTE(_xlpm.raw,"_PIN","."),"PIN","."),_xlpm.mainPart,MID(_xlpm.cleanRaw,2,FIND(".",_xlpm.cleanRaw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9" t="str">
        <f>""</f>
        <v/>
      </c>
      <c r="I519" t="str">
        <f>""</f>
        <v/>
      </c>
      <c r="J519" t="str">
        <f t="shared" si="8"/>
        <v>AE37;VCCMPHY_0P82;;11.19;17.3126;;;;</v>
      </c>
    </row>
    <row r="520" spans="1:10">
      <c r="A520" t="s">
        <v>3743</v>
      </c>
      <c r="B520" t="str">
        <f>_xlfn.XLOOKUP(A520,SITE1!$V$4:$V$1034,SITE1!$U$4:$U$1034,"")</f>
        <v>VSS</v>
      </c>
      <c r="C520" t="str" cm="1">
        <f t="array" ref="C520">_xlfn.TEXTJOIN(",",TRUE,_xlfn.UNIQUE(TRANSPOSE(_xlfn.MAP(_xlfn.XLOOKUP(A520,SITE1!$C$4:$C$1034,SITE1!$F$4:$O$1034,""),_xlfn.LAMBDA(_xlpm.x,IF(_xlpm.x&lt;&gt;"",TRIM(CLEAN(LEFT(_xlpm.x,FIND(".",_xlpm.x &amp; ".")-1))),""))))))</f>
        <v/>
      </c>
      <c r="D520">
        <v>11.19</v>
      </c>
      <c r="E520">
        <v>18.218299999999999</v>
      </c>
      <c r="F520" t="str">
        <f>_xlfn.LET(_xlpm.raw,_xlfn.XLOOKUP(A520,SITE1!$C$4:$C$1034,SITE1!$E$4:$E$1034),_xlpm.cleanRaw,SUBSTITUTE(SUBSTITUTE(_xlpm.raw,"_PIN","."),"PIN","."),_xlpm.mainPart,MID(_xlpm.cleanRaw,2,FIND(".",_xlpm.cleanRaw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0" t="str">
        <f>_xlfn.LET(_xlpm.raw,_xlfn.XLOOKUP(A520,SITE3!$C$4:$C$1034,SITE3!$E$4:$E$1034),_xlpm.cleanRaw,SUBSTITUTE(SUBSTITUTE(_xlpm.raw,"_PIN","."),"PIN","."),_xlpm.mainPart,MID(_xlpm.cleanRaw,2,FIND(".",_xlpm.cleanRaw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0" t="str">
        <f>""</f>
        <v/>
      </c>
      <c r="I520" t="str">
        <f>""</f>
        <v/>
      </c>
      <c r="J520" t="str">
        <f t="shared" si="8"/>
        <v>AE39;VSS;;11.19;18.2183;;;;</v>
      </c>
    </row>
    <row r="521" spans="1:10">
      <c r="A521" t="s">
        <v>3744</v>
      </c>
      <c r="B521" t="str">
        <f>_xlfn.XLOOKUP(A521,SITE1!$V$4:$V$1034,SITE1!$U$4:$U$1034,"")</f>
        <v>VSS</v>
      </c>
      <c r="C521" t="str" cm="1">
        <f t="array" ref="C521">_xlfn.TEXTJOIN(",",TRUE,_xlfn.UNIQUE(TRANSPOSE(_xlfn.MAP(_xlfn.XLOOKUP(A521,SITE1!$C$4:$C$1034,SITE1!$F$4:$O$1034,""),_xlfn.LAMBDA(_xlpm.x,IF(_xlpm.x&lt;&gt;"",TRIM(CLEAN(LEFT(_xlpm.x,FIND(".",_xlpm.x &amp; ".")-1))),""))))))</f>
        <v/>
      </c>
      <c r="D521">
        <v>11.19</v>
      </c>
      <c r="E521">
        <v>18.9422</v>
      </c>
      <c r="F521" t="str">
        <f>_xlfn.LET(_xlpm.raw,_xlfn.XLOOKUP(A521,SITE1!$C$4:$C$1034,SITE1!$E$4:$E$1034),_xlpm.cleanRaw,SUBSTITUTE(SUBSTITUTE(_xlpm.raw,"_PIN","."),"PIN","."),_xlpm.mainPart,MID(_xlpm.cleanRaw,2,FIND(".",_xlpm.cleanRaw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1" t="str">
        <f>_xlfn.LET(_xlpm.raw,_xlfn.XLOOKUP(A521,SITE3!$C$4:$C$1034,SITE3!$E$4:$E$1034),_xlpm.cleanRaw,SUBSTITUTE(SUBSTITUTE(_xlpm.raw,"_PIN","."),"PIN","."),_xlpm.mainPart,MID(_xlpm.cleanRaw,2,FIND(".",_xlpm.cleanRaw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1" t="str">
        <f>""</f>
        <v/>
      </c>
      <c r="I521" t="str">
        <f>""</f>
        <v/>
      </c>
      <c r="J521" t="str">
        <f t="shared" si="8"/>
        <v>AE41;VSS;;11.19;18.9422;;;;</v>
      </c>
    </row>
    <row r="522" spans="1:10">
      <c r="A522" t="s">
        <v>3745</v>
      </c>
      <c r="B522" t="str">
        <f>_xlfn.XLOOKUP(A522,SITE1!$V$4:$V$1034,SITE1!$U$4:$U$1034,"")</f>
        <v>VSS</v>
      </c>
      <c r="C522" t="str" cm="1">
        <f t="array" ref="C522">_xlfn.TEXTJOIN(",",TRUE,_xlfn.UNIQUE(TRANSPOSE(_xlfn.MAP(_xlfn.XLOOKUP(A522,SITE1!$C$4:$C$1034,SITE1!$F$4:$O$1034,""),_xlfn.LAMBDA(_xlpm.x,IF(_xlpm.x&lt;&gt;"",TRIM(CLEAN(LEFT(_xlpm.x,FIND(".",_xlpm.x &amp; ".")-1))),""))))))</f>
        <v/>
      </c>
      <c r="D522">
        <v>11.19</v>
      </c>
      <c r="E522">
        <v>19.6661</v>
      </c>
      <c r="F522" t="str">
        <f>_xlfn.LET(_xlpm.raw,_xlfn.XLOOKUP(A522,SITE1!$C$4:$C$1034,SITE1!$E$4:$E$1034),_xlpm.cleanRaw,SUBSTITUTE(SUBSTITUTE(_xlpm.raw,"_PIN","."),"PIN","."),_xlpm.mainPart,MID(_xlpm.cleanRaw,2,FIND(".",_xlpm.cleanRaw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2" t="str">
        <f>_xlfn.LET(_xlpm.raw,_xlfn.XLOOKUP(A522,SITE3!$C$4:$C$1034,SITE3!$E$4:$E$1034),_xlpm.cleanRaw,SUBSTITUTE(SUBSTITUTE(_xlpm.raw,"_PIN","."),"PIN","."),_xlpm.mainPart,MID(_xlpm.cleanRaw,2,FIND(".",_xlpm.cleanRaw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2" t="str">
        <f>""</f>
        <v/>
      </c>
      <c r="I522" t="str">
        <f>""</f>
        <v/>
      </c>
      <c r="J522" t="str">
        <f t="shared" si="8"/>
        <v>AE42;VSS;;11.19;19.6661;;;;</v>
      </c>
    </row>
    <row r="523" spans="1:10">
      <c r="A523" t="s">
        <v>3746</v>
      </c>
      <c r="B523" t="str">
        <f>_xlfn.XLOOKUP(A523,SITE1!$V$4:$V$1034,SITE1!$U$4:$U$1034,"")</f>
        <v>VSS</v>
      </c>
      <c r="C523" t="str" cm="1">
        <f t="array" ref="C523">_xlfn.TEXTJOIN(",",TRUE,_xlfn.UNIQUE(TRANSPOSE(_xlfn.MAP(_xlfn.XLOOKUP(A523,SITE1!$C$4:$C$1034,SITE1!$F$4:$O$1034,""),_xlfn.LAMBDA(_xlpm.x,IF(_xlpm.x&lt;&gt;"",TRIM(CLEAN(LEFT(_xlpm.x,FIND(".",_xlpm.x &amp; ".")-1))),""))))))</f>
        <v/>
      </c>
      <c r="D523">
        <v>11.19</v>
      </c>
      <c r="E523">
        <v>20.39</v>
      </c>
      <c r="F523" t="str">
        <f>_xlfn.LET(_xlpm.raw,_xlfn.XLOOKUP(A523,SITE1!$C$4:$C$1034,SITE1!$E$4:$E$1034),_xlpm.cleanRaw,SUBSTITUTE(SUBSTITUTE(_xlpm.raw,"_PIN","."),"PIN","."),_xlpm.mainPart,MID(_xlpm.cleanRaw,2,FIND(".",_xlpm.cleanRaw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3" t="str">
        <f>_xlfn.LET(_xlpm.raw,_xlfn.XLOOKUP(A523,SITE3!$C$4:$C$1034,SITE3!$E$4:$E$1034),_xlpm.cleanRaw,SUBSTITUTE(SUBSTITUTE(_xlpm.raw,"_PIN","."),"PIN","."),_xlpm.mainPart,MID(_xlpm.cleanRaw,2,FIND(".",_xlpm.cleanRaw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3" t="str">
        <f>""</f>
        <v/>
      </c>
      <c r="I523" t="str">
        <f>""</f>
        <v/>
      </c>
      <c r="J523" t="str">
        <f t="shared" si="8"/>
        <v>AE44;VSS;;11.19;20.39;;;;</v>
      </c>
    </row>
    <row r="524" spans="1:10">
      <c r="A524" t="s">
        <v>3747</v>
      </c>
      <c r="B524" t="str">
        <f>_xlfn.XLOOKUP(A524,SITE1!$V$4:$V$1034,SITE1!$U$4:$U$1034,"")</f>
        <v>VSS</v>
      </c>
      <c r="C524" t="str" cm="1">
        <f t="array" ref="C524">_xlfn.TEXTJOIN(",",TRUE,_xlfn.UNIQUE(TRANSPOSE(_xlfn.MAP(_xlfn.XLOOKUP(A524,SITE1!$C$4:$C$1034,SITE1!$F$4:$O$1034,""),_xlfn.LAMBDA(_xlpm.x,IF(_xlpm.x&lt;&gt;"",TRIM(CLEAN(LEFT(_xlpm.x,FIND(".",_xlpm.x &amp; ".")-1))),""))))))</f>
        <v/>
      </c>
      <c r="D524">
        <v>11.19</v>
      </c>
      <c r="E524">
        <v>21.6189</v>
      </c>
      <c r="F524" t="str">
        <f>_xlfn.LET(_xlpm.raw,_xlfn.XLOOKUP(A524,SITE1!$C$4:$C$1034,SITE1!$E$4:$E$1034),_xlpm.cleanRaw,SUBSTITUTE(SUBSTITUTE(_xlpm.raw,"_PIN","."),"PIN","."),_xlpm.mainPart,MID(_xlpm.cleanRaw,2,FIND(".",_xlpm.cleanRaw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4" t="str">
        <f>_xlfn.LET(_xlpm.raw,_xlfn.XLOOKUP(A524,SITE3!$C$4:$C$1034,SITE3!$E$4:$E$1034),_xlpm.cleanRaw,SUBSTITUTE(SUBSTITUTE(_xlpm.raw,"_PIN","."),"PIN","."),_xlpm.mainPart,MID(_xlpm.cleanRaw,2,FIND(".",_xlpm.cleanRaw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4" t="str">
        <f>""</f>
        <v/>
      </c>
      <c r="I524" t="str">
        <f>""</f>
        <v/>
      </c>
      <c r="J524" t="str">
        <f t="shared" si="8"/>
        <v>AE46;VSS;;11.19;21.6189;;;;</v>
      </c>
    </row>
    <row r="525" spans="1:10">
      <c r="A525" t="s">
        <v>3748</v>
      </c>
      <c r="B525" t="str">
        <f>_xlfn.XLOOKUP(A525,SITE1!$V$4:$V$1034,SITE1!$U$4:$U$1034,"")</f>
        <v>VSS</v>
      </c>
      <c r="C525" t="str" cm="1">
        <f t="array" ref="C525">_xlfn.TEXTJOIN(",",TRUE,_xlfn.UNIQUE(TRANSPOSE(_xlfn.MAP(_xlfn.XLOOKUP(A525,SITE1!$C$4:$C$1034,SITE1!$F$4:$O$1034,""),_xlfn.LAMBDA(_xlpm.x,IF(_xlpm.x&lt;&gt;"",TRIM(CLEAN(LEFT(_xlpm.x,FIND(".",_xlpm.x &amp; ".")-1))),""))))))</f>
        <v/>
      </c>
      <c r="D525">
        <v>11.19</v>
      </c>
      <c r="E525">
        <v>22.330100000000002</v>
      </c>
      <c r="F525" t="str">
        <f>_xlfn.LET(_xlpm.raw,_xlfn.XLOOKUP(A525,SITE1!$C$4:$C$1034,SITE1!$E$4:$E$1034),_xlpm.cleanRaw,SUBSTITUTE(SUBSTITUTE(_xlpm.raw,"_PIN","."),"PIN","."),_xlpm.mainPart,MID(_xlpm.cleanRaw,2,FIND(".",_xlpm.cleanRaw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5" t="str">
        <f>_xlfn.LET(_xlpm.raw,_xlfn.XLOOKUP(A525,SITE3!$C$4:$C$1034,SITE3!$E$4:$E$1034),_xlpm.cleanRaw,SUBSTITUTE(SUBSTITUTE(_xlpm.raw,"_PIN","."),"PIN","."),_xlpm.mainPart,MID(_xlpm.cleanRaw,2,FIND(".",_xlpm.cleanRaw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5" t="str">
        <f>""</f>
        <v/>
      </c>
      <c r="I525" t="str">
        <f>""</f>
        <v/>
      </c>
      <c r="J525" t="str">
        <f t="shared" si="8"/>
        <v>AE48;VSS;;11.19;22.3301;;;;</v>
      </c>
    </row>
    <row r="526" spans="1:10">
      <c r="A526" t="s">
        <v>3750</v>
      </c>
      <c r="B526" t="str">
        <f>_xlfn.XLOOKUP(A526,SITE1!$V$4:$V$1034,SITE1!$U$4:$U$1034,"")</f>
        <v>VSS</v>
      </c>
      <c r="C526" t="str" cm="1">
        <f t="array" ref="C526">_xlfn.TEXTJOIN(",",TRUE,_xlfn.UNIQUE(TRANSPOSE(_xlfn.MAP(_xlfn.XLOOKUP(A526,SITE1!$C$4:$C$1034,SITE1!$F$4:$O$1034,""),_xlfn.LAMBDA(_xlpm.x,IF(_xlpm.x&lt;&gt;"",TRIM(CLEAN(LEFT(_xlpm.x,FIND(".",_xlpm.x &amp; ".")-1))),""))))))</f>
        <v/>
      </c>
      <c r="D526">
        <v>11.19</v>
      </c>
      <c r="E526">
        <v>23.752499999999898</v>
      </c>
      <c r="F526" t="str">
        <f>_xlfn.LET(_xlpm.raw,_xlfn.XLOOKUP(A526,SITE1!$C$4:$C$1034,SITE1!$E$4:$E$1034),_xlpm.cleanRaw,SUBSTITUTE(SUBSTITUTE(_xlpm.raw,"_PIN","."),"PIN","."),_xlpm.mainPart,MID(_xlpm.cleanRaw,2,FIND(".",_xlpm.cleanRaw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6" t="str">
        <f>_xlfn.LET(_xlpm.raw,_xlfn.XLOOKUP(A526,SITE3!$C$4:$C$1034,SITE3!$E$4:$E$1034),_xlpm.cleanRaw,SUBSTITUTE(SUBSTITUTE(_xlpm.raw,"_PIN","."),"PIN","."),_xlpm.mainPart,MID(_xlpm.cleanRaw,2,FIND(".",_xlpm.cleanRaw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6" t="str">
        <f>""</f>
        <v/>
      </c>
      <c r="I526" t="str">
        <f>""</f>
        <v/>
      </c>
      <c r="J526" t="str">
        <f t="shared" si="8"/>
        <v>AE51;VSS;;11.19;23.7524999999999;;;;</v>
      </c>
    </row>
    <row r="527" spans="1:10">
      <c r="A527" t="s">
        <v>3751</v>
      </c>
      <c r="B527" t="str">
        <f>_xlfn.XLOOKUP(A527,SITE1!$V$4:$V$1034,SITE1!$U$4:$U$1034,"")</f>
        <v>VSS</v>
      </c>
      <c r="C527" t="str" cm="1">
        <f t="array" ref="C527">_xlfn.TEXTJOIN(",",TRUE,_xlfn.UNIQUE(TRANSPOSE(_xlfn.MAP(_xlfn.XLOOKUP(A527,SITE1!$C$4:$C$1034,SITE1!$F$4:$O$1034,""),_xlfn.LAMBDA(_xlpm.x,IF(_xlpm.x&lt;&gt;"",TRIM(CLEAN(LEFT(_xlpm.x,FIND(".",_xlpm.x &amp; ".")-1))),""))))))</f>
        <v/>
      </c>
      <c r="D527">
        <v>11.19</v>
      </c>
      <c r="E527">
        <v>24.463699999999999</v>
      </c>
      <c r="F527" t="str">
        <f>_xlfn.LET(_xlpm.raw,_xlfn.XLOOKUP(A527,SITE1!$C$4:$C$1034,SITE1!$E$4:$E$1034),_xlpm.cleanRaw,SUBSTITUTE(SUBSTITUTE(_xlpm.raw,"_PIN","."),"PIN","."),_xlpm.mainPart,MID(_xlpm.cleanRaw,2,FIND(".",_xlpm.cleanRaw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7" t="str">
        <f>_xlfn.LET(_xlpm.raw,_xlfn.XLOOKUP(A527,SITE3!$C$4:$C$1034,SITE3!$E$4:$E$1034),_xlpm.cleanRaw,SUBSTITUTE(SUBSTITUTE(_xlpm.raw,"_PIN","."),"PIN","."),_xlpm.mainPart,MID(_xlpm.cleanRaw,2,FIND(".",_xlpm.cleanRaw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7" t="str">
        <f>""</f>
        <v/>
      </c>
      <c r="I527" t="str">
        <f>""</f>
        <v/>
      </c>
      <c r="J527" t="str">
        <f t="shared" si="8"/>
        <v>AE52;VSS;;11.19;24.4637;;;;</v>
      </c>
    </row>
    <row r="528" spans="1:10">
      <c r="A528" t="s">
        <v>3752</v>
      </c>
      <c r="B528" t="str">
        <f>_xlfn.XLOOKUP(A528,SITE1!$V$4:$V$1034,SITE1!$U$4:$U$1034,"")</f>
        <v>VSS</v>
      </c>
      <c r="C528" t="str" cm="1">
        <f t="array" ref="C528">_xlfn.TEXTJOIN(",",TRUE,_xlfn.UNIQUE(TRANSPOSE(_xlfn.MAP(_xlfn.XLOOKUP(A528,SITE1!$C$4:$C$1034,SITE1!$F$4:$O$1034,""),_xlfn.LAMBDA(_xlpm.x,IF(_xlpm.x&lt;&gt;"",TRIM(CLEAN(LEFT(_xlpm.x,FIND(".",_xlpm.x &amp; ".")-1))),""))))))</f>
        <v/>
      </c>
      <c r="D528">
        <v>11.19</v>
      </c>
      <c r="E528">
        <v>25.098700000000001</v>
      </c>
      <c r="F528" t="str">
        <f>_xlfn.LET(_xlpm.raw,_xlfn.XLOOKUP(A528,SITE1!$C$4:$C$1034,SITE1!$E$4:$E$1034),_xlpm.cleanRaw,SUBSTITUTE(SUBSTITUTE(_xlpm.raw,"_PIN","."),"PIN","."),_xlpm.mainPart,MID(_xlpm.cleanRaw,2,FIND(".",_xlpm.cleanRaw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8" t="str">
        <f>_xlfn.LET(_xlpm.raw,_xlfn.XLOOKUP(A528,SITE3!$C$4:$C$1034,SITE3!$E$4:$E$1034),_xlpm.cleanRaw,SUBSTITUTE(SUBSTITUTE(_xlpm.raw,"_PIN","."),"PIN","."),_xlpm.mainPart,MID(_xlpm.cleanRaw,2,FIND(".",_xlpm.cleanRaw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8" t="str">
        <f>""</f>
        <v/>
      </c>
      <c r="I528" t="str">
        <f>""</f>
        <v/>
      </c>
      <c r="J528" t="str">
        <f t="shared" si="8"/>
        <v>AE53;VSS;;11.19;25.0987;;;;</v>
      </c>
    </row>
    <row r="529" spans="1:10">
      <c r="A529" t="s">
        <v>1449</v>
      </c>
      <c r="B529" t="str">
        <f>_xlfn.XLOOKUP(A529,SITE1!$V$4:$V$1034,SITE1!$U$4:$U$1034,"")</f>
        <v>GPP_H_19_ISH_I2C1_SCL_NMIB</v>
      </c>
      <c r="C529" t="str" cm="1">
        <f t="array" ref="C529">_xlfn.TEXTJOIN(",",TRUE,_xlfn.UNIQUE(TRANSPOSE(_xlfn.MAP(_xlfn.XLOOKUP(A529,SITE1!$C$4:$C$1034,SITE1!$F$4:$O$1034,""),_xlfn.LAMBDA(_xlpm.x,IF(_xlpm.x&lt;&gt;"",TRIM(CLEAN(LEFT(_xlpm.x,FIND(".",_xlpm.x &amp; ".")-1))),""))))))</f>
        <v/>
      </c>
      <c r="D529">
        <v>11.19</v>
      </c>
      <c r="E529">
        <v>25.8368</v>
      </c>
      <c r="F529" t="str">
        <f>_xlfn.LET(_xlpm.raw,_xlfn.XLOOKUP(A529,SITE1!$C$4:$C$1034,SITE1!$E$4:$E$1034),_xlpm.cleanRaw,SUBSTITUTE(SUBSTITUTE(_xlpm.raw,"_PIN","."),"PIN","."),_xlpm.mainPart,MID(_xlpm.cleanRaw,2,FIND(".",_xlpm.cleanRaw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701108</v>
      </c>
      <c r="G529" t="str">
        <f>_xlfn.LET(_xlpm.raw,_xlfn.XLOOKUP(A529,SITE3!$C$4:$C$1034,SITE3!$E$4:$E$1034),_xlpm.cleanRaw,SUBSTITUTE(SUBSTITUTE(_xlpm.raw,"_PIN","."),"PIN","."),_xlpm.mainPart,MID(_xlpm.cleanRaw,2,FIND(".",_xlpm.cleanRaw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501108</v>
      </c>
      <c r="H529" t="str">
        <f>""</f>
        <v/>
      </c>
      <c r="I529" t="str">
        <f>""</f>
        <v/>
      </c>
      <c r="J529" t="str">
        <f t="shared" si="8"/>
        <v>AE55;GPP_H_19_ISH_I2C1_SCL_NMIB;;11.19;25.8368;701108;501108;;</v>
      </c>
    </row>
    <row r="530" spans="1:10">
      <c r="A530" t="s">
        <v>920</v>
      </c>
      <c r="B530" t="str">
        <f>_xlfn.XLOOKUP(A530,SITE1!$V$4:$V$1034,SITE1!$U$4:$U$1034,"")</f>
        <v>GPP_C_0_SMBCLK</v>
      </c>
      <c r="C530" t="str" cm="1">
        <f t="array" ref="C530">_xlfn.TEXTJOIN(",",TRUE,_xlfn.UNIQUE(TRANSPOSE(_xlfn.MAP(_xlfn.XLOOKUP(A530,SITE1!$C$4:$C$1034,SITE1!$F$4:$O$1034,""),_xlfn.LAMBDA(_xlpm.x,IF(_xlpm.x&lt;&gt;"",TRIM(CLEAN(LEFT(_xlpm.x,FIND(".",_xlpm.x &amp; ".")-1))),""))))))</f>
        <v/>
      </c>
      <c r="D530">
        <v>11.19</v>
      </c>
      <c r="E530">
        <v>26.344799999999999</v>
      </c>
      <c r="F530" t="str">
        <f>_xlfn.LET(_xlpm.raw,_xlfn.XLOOKUP(A530,SITE1!$C$4:$C$1034,SITE1!$E$4:$E$1034),_xlpm.cleanRaw,SUBSTITUTE(SUBSTITUTE(_xlpm.raw,"_PIN","."),"PIN","."),_xlpm.mainPart,MID(_xlpm.cleanRaw,2,FIND(".",_xlpm.cleanRaw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703006</v>
      </c>
      <c r="G530" t="str">
        <f>_xlfn.LET(_xlpm.raw,_xlfn.XLOOKUP(A530,SITE3!$C$4:$C$1034,SITE3!$E$4:$E$1034),_xlpm.cleanRaw,SUBSTITUTE(SUBSTITUTE(_xlpm.raw,"_PIN","."),"PIN","."),_xlpm.mainPart,MID(_xlpm.cleanRaw,2,FIND(".",_xlpm.cleanRaw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503006</v>
      </c>
      <c r="H530" t="str">
        <f>""</f>
        <v/>
      </c>
      <c r="I530" t="str">
        <f>""</f>
        <v/>
      </c>
      <c r="J530" t="str">
        <f t="shared" si="8"/>
        <v>AE56;GPP_C_0_SMBCLK;;11.19;26.3448;703006;503006;;</v>
      </c>
    </row>
    <row r="531" spans="1:10">
      <c r="A531" t="s">
        <v>3753</v>
      </c>
      <c r="B531" t="str">
        <f>_xlfn.XLOOKUP(A531,SITE1!$V$4:$V$1034,SITE1!$U$4:$U$1034,"")</f>
        <v>VSS</v>
      </c>
      <c r="C531" t="str" cm="1">
        <f t="array" ref="C531">_xlfn.TEXTJOIN(",",TRUE,_xlfn.UNIQUE(TRANSPOSE(_xlfn.MAP(_xlfn.XLOOKUP(A531,SITE1!$C$4:$C$1034,SITE1!$F$4:$O$1034,""),_xlfn.LAMBDA(_xlpm.x,IF(_xlpm.x&lt;&gt;"",TRIM(CLEAN(LEFT(_xlpm.x,FIND(".",_xlpm.x &amp; ".")-1))),""))))))</f>
        <v/>
      </c>
      <c r="D531">
        <v>11.19</v>
      </c>
      <c r="E531">
        <v>26.8782</v>
      </c>
      <c r="F531" t="str">
        <f>_xlfn.LET(_xlpm.raw,_xlfn.XLOOKUP(A531,SITE1!$C$4:$C$1034,SITE1!$E$4:$E$1034),_xlpm.cleanRaw,SUBSTITUTE(SUBSTITUTE(_xlpm.raw,"_PIN","."),"PIN","."),_xlpm.mainPart,MID(_xlpm.cleanRaw,2,FIND(".",_xlpm.cleanRaw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1" t="str">
        <f>_xlfn.LET(_xlpm.raw,_xlfn.XLOOKUP(A531,SITE3!$C$4:$C$1034,SITE3!$E$4:$E$1034),_xlpm.cleanRaw,SUBSTITUTE(SUBSTITUTE(_xlpm.raw,"_PIN","."),"PIN","."),_xlpm.mainPart,MID(_xlpm.cleanRaw,2,FIND(".",_xlpm.cleanRaw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1" t="str">
        <f>""</f>
        <v/>
      </c>
      <c r="I531" t="str">
        <f>""</f>
        <v/>
      </c>
      <c r="J531" t="str">
        <f t="shared" si="8"/>
        <v>AE57;VSS;;11.19;26.8782;;;;</v>
      </c>
    </row>
    <row r="532" spans="1:10">
      <c r="A532" t="s">
        <v>347</v>
      </c>
      <c r="B532" t="str">
        <f>_xlfn.XLOOKUP(A532,SITE1!$V$4:$V$1034,SITE1!$U$4:$U$1034,"")</f>
        <v>DBG_PMODE</v>
      </c>
      <c r="C532" t="str" cm="1">
        <f t="array" ref="C532">_xlfn.TEXTJOIN(",",TRUE,_xlfn.UNIQUE(TRANSPOSE(_xlfn.MAP(_xlfn.XLOOKUP(A532,SITE1!$C$4:$C$1034,SITE1!$F$4:$O$1034,""),_xlfn.LAMBDA(_xlpm.x,IF(_xlpm.x&lt;&gt;"",TRIM(CLEAN(LEFT(_xlpm.x,FIND(".",_xlpm.x &amp; ".")-1))),""))))))</f>
        <v/>
      </c>
      <c r="D532">
        <v>11.722099999999999</v>
      </c>
      <c r="E532">
        <v>0.73659999999999903</v>
      </c>
      <c r="F532" t="str">
        <f>_xlfn.LET(_xlpm.raw,_xlfn.XLOOKUP(A532,SITE1!$C$4:$C$1034,SITE1!$E$4:$E$1034),_xlpm.cleanRaw,SUBSTITUTE(SUBSTITUTE(_xlpm.raw,"_PIN","."),"PIN","."),_xlpm.mainPart,MID(_xlpm.cleanRaw,2,FIND(".",_xlpm.cleanRaw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606098</v>
      </c>
      <c r="G532" t="str">
        <f>_xlfn.LET(_xlpm.raw,_xlfn.XLOOKUP(A532,SITE3!$C$4:$C$1034,SITE3!$E$4:$E$1034),_xlpm.cleanRaw,SUBSTITUTE(SUBSTITUTE(_xlpm.raw,"_PIN","."),"PIN","."),_xlpm.mainPart,MID(_xlpm.cleanRaw,2,FIND(".",_xlpm.cleanRaw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806098</v>
      </c>
      <c r="H532" t="str">
        <f>""</f>
        <v/>
      </c>
      <c r="I532" t="str">
        <f>""</f>
        <v/>
      </c>
      <c r="J532" t="str">
        <f t="shared" si="8"/>
        <v>AF2;DBG_PMODE;;11.7221;0.736599999999999;606098;806098;;</v>
      </c>
    </row>
    <row r="533" spans="1:10">
      <c r="A533" t="s">
        <v>2936</v>
      </c>
      <c r="B533" t="str">
        <f>_xlfn.XLOOKUP(A533,SITE1!$V$4:$V$1034,SITE1!$U$4:$U$1034,"")</f>
        <v>TRIGGER_OUT</v>
      </c>
      <c r="C533" t="str" cm="1">
        <f t="array" ref="C533">_xlfn.TEXTJOIN(",",TRUE,_xlfn.UNIQUE(TRANSPOSE(_xlfn.MAP(_xlfn.XLOOKUP(A533,SITE1!$C$4:$C$1034,SITE1!$F$4:$O$1034,""),_xlfn.LAMBDA(_xlpm.x,IF(_xlpm.x&lt;&gt;"",TRIM(CLEAN(LEFT(_xlpm.x,FIND(".",_xlpm.x &amp; ".")-1))),""))))))</f>
        <v/>
      </c>
      <c r="D533">
        <v>11.882199999999999</v>
      </c>
      <c r="E533">
        <v>1.28009999999999</v>
      </c>
      <c r="F533" t="str">
        <f>_xlfn.LET(_xlpm.raw,_xlfn.XLOOKUP(A533,SITE1!$C$4:$C$1034,SITE1!$E$4:$E$1034),_xlpm.cleanRaw,SUBSTITUTE(SUBSTITUTE(_xlpm.raw,"_PIN","."),"PIN","."),_xlpm.mainPart,MID(_xlpm.cleanRaw,2,FIND(".",_xlpm.cleanRaw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606124</v>
      </c>
      <c r="G533" t="str">
        <f>_xlfn.LET(_xlpm.raw,_xlfn.XLOOKUP(A533,SITE3!$C$4:$C$1034,SITE3!$E$4:$E$1034),_xlpm.cleanRaw,SUBSTITUTE(SUBSTITUTE(_xlpm.raw,"_PIN","."),"PIN","."),_xlpm.mainPart,MID(_xlpm.cleanRaw,2,FIND(".",_xlpm.cleanRaw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806124</v>
      </c>
      <c r="H533" t="str">
        <f>""</f>
        <v/>
      </c>
      <c r="I533" t="str">
        <f>""</f>
        <v/>
      </c>
      <c r="J533" t="str">
        <f t="shared" si="8"/>
        <v>AF3;TRIGGER_OUT;;11.8822;1.28009999999999;606124;806124;;</v>
      </c>
    </row>
    <row r="534" spans="1:10">
      <c r="A534" t="s">
        <v>3768</v>
      </c>
      <c r="B534" t="str">
        <f>_xlfn.XLOOKUP(A534,SITE1!$V$4:$V$1034,SITE1!$U$4:$U$1034,"")</f>
        <v>VSS</v>
      </c>
      <c r="C534" t="str" cm="1">
        <f t="array" ref="C534">_xlfn.TEXTJOIN(",",TRUE,_xlfn.UNIQUE(TRANSPOSE(_xlfn.MAP(_xlfn.XLOOKUP(A534,SITE1!$C$4:$C$1034,SITE1!$F$4:$O$1034,""),_xlfn.LAMBDA(_xlpm.x,IF(_xlpm.x&lt;&gt;"",TRIM(CLEAN(LEFT(_xlpm.x,FIND(".",_xlpm.x &amp; ".")-1))),""))))))</f>
        <v/>
      </c>
      <c r="D534">
        <v>11.7691</v>
      </c>
      <c r="E534">
        <v>1.7795000000000001</v>
      </c>
      <c r="F534" t="str">
        <f>_xlfn.LET(_xlpm.raw,_xlfn.XLOOKUP(A534,SITE1!$C$4:$C$1034,SITE1!$E$4:$E$1034),_xlpm.cleanRaw,SUBSTITUTE(SUBSTITUTE(_xlpm.raw,"_PIN","."),"PIN","."),_xlpm.mainPart,MID(_xlpm.cleanRaw,2,FIND(".",_xlpm.cleanRaw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4" t="str">
        <f>_xlfn.LET(_xlpm.raw,_xlfn.XLOOKUP(A534,SITE3!$C$4:$C$1034,SITE3!$E$4:$E$1034),_xlpm.cleanRaw,SUBSTITUTE(SUBSTITUTE(_xlpm.raw,"_PIN","."),"PIN","."),_xlpm.mainPart,MID(_xlpm.cleanRaw,2,FIND(".",_xlpm.cleanRaw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4" t="str">
        <f>""</f>
        <v/>
      </c>
      <c r="I534" t="str">
        <f>""</f>
        <v/>
      </c>
      <c r="J534" t="str">
        <f t="shared" si="8"/>
        <v>AF5;VSS;;11.7691;1.7795;;;;</v>
      </c>
    </row>
    <row r="535" spans="1:10">
      <c r="A535" t="s">
        <v>2798</v>
      </c>
      <c r="B535" t="str">
        <f>_xlfn.XLOOKUP(A535,SITE1!$V$4:$V$1034,SITE1!$U$4:$U$1034,"")</f>
        <v>RSMRSTB</v>
      </c>
      <c r="C535" t="str" cm="1">
        <f t="array" ref="C535">_xlfn.TEXTJOIN(",",TRUE,_xlfn.UNIQUE(TRANSPOSE(_xlfn.MAP(_xlfn.XLOOKUP(A535,SITE1!$C$4:$C$1034,SITE1!$F$4:$O$1034,""),_xlfn.LAMBDA(_xlpm.x,IF(_xlpm.x&lt;&gt;"",TRIM(CLEAN(LEFT(_xlpm.x,FIND(".",_xlpm.x &amp; ".")-1))),""))))))</f>
        <v/>
      </c>
      <c r="D535">
        <v>11.7691</v>
      </c>
      <c r="E535">
        <v>2.4144999999999999</v>
      </c>
      <c r="F535" t="str">
        <f>_xlfn.LET(_xlpm.raw,_xlfn.XLOOKUP(A535,SITE1!$C$4:$C$1034,SITE1!$E$4:$E$1034),_xlpm.cleanRaw,SUBSTITUTE(SUBSTITUTE(_xlpm.raw,"_PIN","."),"PIN","."),_xlpm.mainPart,MID(_xlpm.cleanRaw,2,FIND(".",_xlpm.cleanRaw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604023</v>
      </c>
      <c r="G535" t="str">
        <f>_xlfn.LET(_xlpm.raw,_xlfn.XLOOKUP(A535,SITE3!$C$4:$C$1034,SITE3!$E$4:$E$1034),_xlpm.cleanRaw,SUBSTITUTE(SUBSTITUTE(_xlpm.raw,"_PIN","."),"PIN","."),_xlpm.mainPart,MID(_xlpm.cleanRaw,2,FIND(".",_xlpm.cleanRaw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804023</v>
      </c>
      <c r="H535" t="str">
        <f>""</f>
        <v/>
      </c>
      <c r="I535" t="str">
        <f>""</f>
        <v/>
      </c>
      <c r="J535" t="str">
        <f t="shared" si="8"/>
        <v>AF6;RSMRSTB;;11.7691;2.4145;604023;804023;;</v>
      </c>
    </row>
    <row r="536" spans="1:10">
      <c r="A536" t="s">
        <v>2782</v>
      </c>
      <c r="B536" t="str">
        <f>_xlfn.XLOOKUP(A536,SITE1!$V$4:$V$1034,SITE1!$U$4:$U$1034,"")</f>
        <v>PREQB</v>
      </c>
      <c r="C536" t="str" cm="1">
        <f t="array" ref="C536">_xlfn.TEXTJOIN(",",TRUE,_xlfn.UNIQUE(TRANSPOSE(_xlfn.MAP(_xlfn.XLOOKUP(A536,SITE1!$C$4:$C$1034,SITE1!$F$4:$O$1034,""),_xlfn.LAMBDA(_xlpm.x,IF(_xlpm.x&lt;&gt;"",TRIM(CLEAN(LEFT(_xlpm.x,FIND(".",_xlpm.x &amp; ".")-1))),""))))))</f>
        <v>RA522</v>
      </c>
      <c r="D536">
        <v>11.7691</v>
      </c>
      <c r="E536">
        <v>3.1257000000000001</v>
      </c>
      <c r="F536" t="str">
        <f>_xlfn.LET(_xlpm.raw,_xlfn.XLOOKUP(A536,SITE1!$C$4:$C$1034,SITE1!$E$4:$E$1034),_xlpm.cleanRaw,SUBSTITUTE(SUBSTITUTE(_xlpm.raw,"_PIN","."),"PIN","."),_xlpm.mainPart,MID(_xlpm.cleanRaw,2,FIND(".",_xlpm.cleanRaw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606128</v>
      </c>
      <c r="G536" t="str">
        <f>_xlfn.LET(_xlpm.raw,_xlfn.XLOOKUP(A536,SITE3!$C$4:$C$1034,SITE3!$E$4:$E$1034),_xlpm.cleanRaw,SUBSTITUTE(SUBSTITUTE(_xlpm.raw,"_PIN","."),"PIN","."),_xlpm.mainPart,MID(_xlpm.cleanRaw,2,FIND(".",_xlpm.cleanRaw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806128</v>
      </c>
      <c r="H536" t="str">
        <f>""</f>
        <v/>
      </c>
      <c r="I536" t="str">
        <f>""</f>
        <v/>
      </c>
      <c r="J536" t="str">
        <f t="shared" si="8"/>
        <v>AF7;PREQB;RA522;11.7691;3.1257;606128;806128;;</v>
      </c>
    </row>
    <row r="537" spans="1:10">
      <c r="A537" t="s">
        <v>2776</v>
      </c>
      <c r="B537" t="str">
        <f>_xlfn.XLOOKUP(A537,SITE1!$V$4:$V$1034,SITE1!$U$4:$U$1034,"")</f>
        <v>PRDYB</v>
      </c>
      <c r="C537" t="str" cm="1">
        <f t="array" ref="C537">_xlfn.TEXTJOIN(",",TRUE,_xlfn.UNIQUE(TRANSPOSE(_xlfn.MAP(_xlfn.XLOOKUP(A537,SITE1!$C$4:$C$1034,SITE1!$F$4:$O$1034,""),_xlfn.LAMBDA(_xlpm.x,IF(_xlpm.x&lt;&gt;"",TRIM(CLEAN(LEFT(_xlpm.x,FIND(".",_xlpm.x &amp; ".")-1))),""))))))</f>
        <v>RA521</v>
      </c>
      <c r="D537">
        <v>11.7691</v>
      </c>
      <c r="E537">
        <v>3.8369</v>
      </c>
      <c r="F537" t="str">
        <f>_xlfn.LET(_xlpm.raw,_xlfn.XLOOKUP(A537,SITE1!$C$4:$C$1034,SITE1!$E$4:$E$1034),_xlpm.cleanRaw,SUBSTITUTE(SUBSTITUTE(_xlpm.raw,"_PIN","."),"PIN","."),_xlpm.mainPart,MID(_xlpm.cleanRaw,2,FIND(".",_xlpm.cleanRaw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605084</v>
      </c>
      <c r="G537" t="str">
        <f>_xlfn.LET(_xlpm.raw,_xlfn.XLOOKUP(A537,SITE3!$C$4:$C$1034,SITE3!$E$4:$E$1034),_xlpm.cleanRaw,SUBSTITUTE(SUBSTITUTE(_xlpm.raw,"_PIN","."),"PIN","."),_xlpm.mainPart,MID(_xlpm.cleanRaw,2,FIND(".",_xlpm.cleanRaw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805084</v>
      </c>
      <c r="H537" t="str">
        <f>""</f>
        <v/>
      </c>
      <c r="I537" t="str">
        <f>""</f>
        <v/>
      </c>
      <c r="J537" t="str">
        <f t="shared" si="8"/>
        <v>AF9;PRDYB;RA521;11.7691;3.8369;605084;805084;;</v>
      </c>
    </row>
    <row r="538" spans="1:10">
      <c r="A538" t="s">
        <v>2890</v>
      </c>
      <c r="B538" t="str">
        <f>_xlfn.XLOOKUP(A538,SITE1!$V$4:$V$1034,SITE1!$U$4:$U$1034,"")</f>
        <v>SRTCRSTB</v>
      </c>
      <c r="C538" t="str" cm="1">
        <f t="array" ref="C538">_xlfn.TEXTJOIN(",",TRUE,_xlfn.UNIQUE(TRANSPOSE(_xlfn.MAP(_xlfn.XLOOKUP(A538,SITE1!$C$4:$C$1034,SITE1!$F$4:$O$1034,""),_xlfn.LAMBDA(_xlpm.x,IF(_xlpm.x&lt;&gt;"",TRIM(CLEAN(LEFT(_xlpm.x,FIND(".",_xlpm.x &amp; ".")-1))),""))))))</f>
        <v/>
      </c>
      <c r="D538">
        <v>11.7691</v>
      </c>
      <c r="E538">
        <v>4.5480999999999998</v>
      </c>
      <c r="F538" t="str">
        <f>_xlfn.LET(_xlpm.raw,_xlfn.XLOOKUP(A538,SITE1!$C$4:$C$1034,SITE1!$E$4:$E$1034),_xlpm.cleanRaw,SUBSTITUTE(SUBSTITUTE(_xlpm.raw,"_PIN","."),"PIN","."),_xlpm.mainPart,MID(_xlpm.cleanRaw,2,FIND(".",_xlpm.cleanRaw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602082</v>
      </c>
      <c r="G538" t="str">
        <f>_xlfn.LET(_xlpm.raw,_xlfn.XLOOKUP(A538,SITE3!$C$4:$C$1034,SITE3!$E$4:$E$1034),_xlpm.cleanRaw,SUBSTITUTE(SUBSTITUTE(_xlpm.raw,"_PIN","."),"PIN","."),_xlpm.mainPart,MID(_xlpm.cleanRaw,2,FIND(".",_xlpm.cleanRaw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802082</v>
      </c>
      <c r="H538" t="str">
        <f>""</f>
        <v/>
      </c>
      <c r="I538" t="str">
        <f>""</f>
        <v/>
      </c>
      <c r="J538" t="str">
        <f t="shared" si="8"/>
        <v>AF10;SRTCRSTB;;11.7691;4.5481;602082;802082;;</v>
      </c>
    </row>
    <row r="539" spans="1:10">
      <c r="A539" t="s">
        <v>3756</v>
      </c>
      <c r="B539" t="str">
        <f>_xlfn.XLOOKUP(A539,SITE1!$V$4:$V$1034,SITE1!$U$4:$U$1034,"")</f>
        <v>VSS</v>
      </c>
      <c r="C539" t="str" cm="1">
        <f t="array" ref="C539">_xlfn.TEXTJOIN(",",TRUE,_xlfn.UNIQUE(TRANSPOSE(_xlfn.MAP(_xlfn.XLOOKUP(A539,SITE1!$C$4:$C$1034,SITE1!$F$4:$O$1034,""),_xlfn.LAMBDA(_xlpm.x,IF(_xlpm.x&lt;&gt;"",TRIM(CLEAN(LEFT(_xlpm.x,FIND(".",_xlpm.x &amp; ".")-1))),""))))))</f>
        <v/>
      </c>
      <c r="D539">
        <v>11.7691</v>
      </c>
      <c r="E539">
        <v>5.2592999999999996</v>
      </c>
      <c r="F539" t="str">
        <f>_xlfn.LET(_xlpm.raw,_xlfn.XLOOKUP(A539,SITE1!$C$4:$C$1034,SITE1!$E$4:$E$1034),_xlpm.cleanRaw,SUBSTITUTE(SUBSTITUTE(_xlpm.raw,"_PIN","."),"PIN","."),_xlpm.mainPart,MID(_xlpm.cleanRaw,2,FIND(".",_xlpm.cleanRaw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9" t="str">
        <f>_xlfn.LET(_xlpm.raw,_xlfn.XLOOKUP(A539,SITE3!$C$4:$C$1034,SITE3!$E$4:$E$1034),_xlpm.cleanRaw,SUBSTITUTE(SUBSTITUTE(_xlpm.raw,"_PIN","."),"PIN","."),_xlpm.mainPart,MID(_xlpm.cleanRaw,2,FIND(".",_xlpm.cleanRaw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9" t="str">
        <f>""</f>
        <v/>
      </c>
      <c r="I539" t="str">
        <f>""</f>
        <v/>
      </c>
      <c r="J539" t="str">
        <f t="shared" si="8"/>
        <v>AF12;VSS;;11.7691;5.2593;;;;</v>
      </c>
    </row>
    <row r="540" spans="1:10">
      <c r="A540" t="s">
        <v>3757</v>
      </c>
      <c r="B540" t="str">
        <f>_xlfn.XLOOKUP(A540,SITE1!$V$4:$V$1034,SITE1!$U$4:$U$1034,"")</f>
        <v>VSS</v>
      </c>
      <c r="C540" t="str" cm="1">
        <f t="array" ref="C540">_xlfn.TEXTJOIN(",",TRUE,_xlfn.UNIQUE(TRANSPOSE(_xlfn.MAP(_xlfn.XLOOKUP(A540,SITE1!$C$4:$C$1034,SITE1!$F$4:$O$1034,""),_xlfn.LAMBDA(_xlpm.x,IF(_xlpm.x&lt;&gt;"",TRIM(CLEAN(LEFT(_xlpm.x,FIND(".",_xlpm.x &amp; ".")-1))),""))))))</f>
        <v/>
      </c>
      <c r="D540">
        <v>11.7691</v>
      </c>
      <c r="E540">
        <v>5.7642999999999898</v>
      </c>
      <c r="F540" t="str">
        <f>_xlfn.LET(_xlpm.raw,_xlfn.XLOOKUP(A540,SITE1!$C$4:$C$1034,SITE1!$E$4:$E$1034),_xlpm.cleanRaw,SUBSTITUTE(SUBSTITUTE(_xlpm.raw,"_PIN","."),"PIN","."),_xlpm.mainPart,MID(_xlpm.cleanRaw,2,FIND(".",_xlpm.cleanRaw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0" t="str">
        <f>_xlfn.LET(_xlpm.raw,_xlfn.XLOOKUP(A540,SITE3!$C$4:$C$1034,SITE3!$E$4:$E$1034),_xlpm.cleanRaw,SUBSTITUTE(SUBSTITUTE(_xlpm.raw,"_PIN","."),"PIN","."),_xlpm.mainPart,MID(_xlpm.cleanRaw,2,FIND(".",_xlpm.cleanRaw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0" t="str">
        <f>""</f>
        <v/>
      </c>
      <c r="I540" t="str">
        <f>""</f>
        <v/>
      </c>
      <c r="J540" t="str">
        <f t="shared" si="8"/>
        <v>AF13;VSS;;11.7691;5.76429999999999;;;;</v>
      </c>
    </row>
    <row r="541" spans="1:10">
      <c r="A541" t="s">
        <v>3758</v>
      </c>
      <c r="B541" t="str">
        <f>_xlfn.XLOOKUP(A541,SITE1!$V$4:$V$1034,SITE1!$U$4:$U$1034,"")</f>
        <v>VSS</v>
      </c>
      <c r="C541" t="str" cm="1">
        <f t="array" ref="C541">_xlfn.TEXTJOIN(",",TRUE,_xlfn.UNIQUE(TRANSPOSE(_xlfn.MAP(_xlfn.XLOOKUP(A541,SITE1!$C$4:$C$1034,SITE1!$F$4:$O$1034,""),_xlfn.LAMBDA(_xlpm.x,IF(_xlpm.x&lt;&gt;"",TRIM(CLEAN(LEFT(_xlpm.x,FIND(".",_xlpm.x &amp; ".")-1))),""))))))</f>
        <v/>
      </c>
      <c r="D541">
        <v>11.7691</v>
      </c>
      <c r="E541">
        <v>6.4882</v>
      </c>
      <c r="F541" t="str">
        <f>_xlfn.LET(_xlpm.raw,_xlfn.XLOOKUP(A541,SITE1!$C$4:$C$1034,SITE1!$E$4:$E$1034),_xlpm.cleanRaw,SUBSTITUTE(SUBSTITUTE(_xlpm.raw,"_PIN","."),"PIN","."),_xlpm.mainPart,MID(_xlpm.cleanRaw,2,FIND(".",_xlpm.cleanRaw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1" t="str">
        <f>_xlfn.LET(_xlpm.raw,_xlfn.XLOOKUP(A541,SITE3!$C$4:$C$1034,SITE3!$E$4:$E$1034),_xlpm.cleanRaw,SUBSTITUTE(SUBSTITUTE(_xlpm.raw,"_PIN","."),"PIN","."),_xlpm.mainPart,MID(_xlpm.cleanRaw,2,FIND(".",_xlpm.cleanRaw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1" t="str">
        <f>""</f>
        <v/>
      </c>
      <c r="I541" t="str">
        <f>""</f>
        <v/>
      </c>
      <c r="J541" t="str">
        <f t="shared" si="8"/>
        <v>AF14;VSS;;11.7691;6.4882;;;;</v>
      </c>
    </row>
    <row r="542" spans="1:10">
      <c r="A542" t="s">
        <v>3759</v>
      </c>
      <c r="B542" t="str">
        <f>_xlfn.XLOOKUP(A542,SITE1!$V$4:$V$1034,SITE1!$U$4:$U$1034,"")</f>
        <v>VSS</v>
      </c>
      <c r="C542" t="str" cm="1">
        <f t="array" ref="C542">_xlfn.TEXTJOIN(",",TRUE,_xlfn.UNIQUE(TRANSPOSE(_xlfn.MAP(_xlfn.XLOOKUP(A542,SITE1!$C$4:$C$1034,SITE1!$F$4:$O$1034,""),_xlfn.LAMBDA(_xlpm.x,IF(_xlpm.x&lt;&gt;"",TRIM(CLEAN(LEFT(_xlpm.x,FIND(".",_xlpm.x &amp; ".")-1))),""))))))</f>
        <v/>
      </c>
      <c r="D542">
        <v>11.7691</v>
      </c>
      <c r="E542">
        <v>7.2120999999999897</v>
      </c>
      <c r="F542" t="str">
        <f>_xlfn.LET(_xlpm.raw,_xlfn.XLOOKUP(A542,SITE1!$C$4:$C$1034,SITE1!$E$4:$E$1034),_xlpm.cleanRaw,SUBSTITUTE(SUBSTITUTE(_xlpm.raw,"_PIN","."),"PIN","."),_xlpm.mainPart,MID(_xlpm.cleanRaw,2,FIND(".",_xlpm.cleanRaw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2" t="str">
        <f>_xlfn.LET(_xlpm.raw,_xlfn.XLOOKUP(A542,SITE3!$C$4:$C$1034,SITE3!$E$4:$E$1034),_xlpm.cleanRaw,SUBSTITUTE(SUBSTITUTE(_xlpm.raw,"_PIN","."),"PIN","."),_xlpm.mainPart,MID(_xlpm.cleanRaw,2,FIND(".",_xlpm.cleanRaw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2" t="str">
        <f>""</f>
        <v/>
      </c>
      <c r="I542" t="str">
        <f>""</f>
        <v/>
      </c>
      <c r="J542" t="str">
        <f t="shared" si="8"/>
        <v>AF16;VSS;;11.7691;7.21209999999999;;;;</v>
      </c>
    </row>
    <row r="543" spans="1:10">
      <c r="A543" t="s">
        <v>3760</v>
      </c>
      <c r="B543" t="str">
        <f>_xlfn.XLOOKUP(A543,SITE1!$V$4:$V$1034,SITE1!$U$4:$U$1034,"")</f>
        <v>VSS</v>
      </c>
      <c r="C543" t="str" cm="1">
        <f t="array" ref="C543">_xlfn.TEXTJOIN(",",TRUE,_xlfn.UNIQUE(TRANSPOSE(_xlfn.MAP(_xlfn.XLOOKUP(A543,SITE1!$C$4:$C$1034,SITE1!$F$4:$O$1034,""),_xlfn.LAMBDA(_xlpm.x,IF(_xlpm.x&lt;&gt;"",TRIM(CLEAN(LEFT(_xlpm.x,FIND(".",_xlpm.x &amp; ".")-1))),""))))))</f>
        <v/>
      </c>
      <c r="D543">
        <v>11.7691</v>
      </c>
      <c r="E543">
        <v>7.9359999999999999</v>
      </c>
      <c r="F543" t="str">
        <f>_xlfn.LET(_xlpm.raw,_xlfn.XLOOKUP(A543,SITE1!$C$4:$C$1034,SITE1!$E$4:$E$1034),_xlpm.cleanRaw,SUBSTITUTE(SUBSTITUTE(_xlpm.raw,"_PIN","."),"PIN","."),_xlpm.mainPart,MID(_xlpm.cleanRaw,2,FIND(".",_xlpm.cleanRaw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3" t="str">
        <f>_xlfn.LET(_xlpm.raw,_xlfn.XLOOKUP(A543,SITE3!$C$4:$C$1034,SITE3!$E$4:$E$1034),_xlpm.cleanRaw,SUBSTITUTE(SUBSTITUTE(_xlpm.raw,"_PIN","."),"PIN","."),_xlpm.mainPart,MID(_xlpm.cleanRaw,2,FIND(".",_xlpm.cleanRaw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3" t="str">
        <f>""</f>
        <v/>
      </c>
      <c r="I543" t="str">
        <f>""</f>
        <v/>
      </c>
      <c r="J543" t="str">
        <f t="shared" si="8"/>
        <v>AF17;VSS;;11.7691;7.936;;;;</v>
      </c>
    </row>
    <row r="544" spans="1:10">
      <c r="A544" t="s">
        <v>3761</v>
      </c>
      <c r="B544" t="str">
        <f>_xlfn.XLOOKUP(A544,SITE1!$V$4:$V$1034,SITE1!$U$4:$U$1034,"")</f>
        <v>VSS</v>
      </c>
      <c r="C544" t="str" cm="1">
        <f t="array" ref="C544">_xlfn.TEXTJOIN(",",TRUE,_xlfn.UNIQUE(TRANSPOSE(_xlfn.MAP(_xlfn.XLOOKUP(A544,SITE1!$C$4:$C$1034,SITE1!$F$4:$O$1034,""),_xlfn.LAMBDA(_xlpm.x,IF(_xlpm.x&lt;&gt;"",TRIM(CLEAN(LEFT(_xlpm.x,FIND(".",_xlpm.x &amp; ".")-1))),""))))))</f>
        <v/>
      </c>
      <c r="D544">
        <v>11.7691</v>
      </c>
      <c r="E544">
        <v>8.6599000000000004</v>
      </c>
      <c r="F544" t="str">
        <f>_xlfn.LET(_xlpm.raw,_xlfn.XLOOKUP(A544,SITE1!$C$4:$C$1034,SITE1!$E$4:$E$1034),_xlpm.cleanRaw,SUBSTITUTE(SUBSTITUTE(_xlpm.raw,"_PIN","."),"PIN","."),_xlpm.mainPart,MID(_xlpm.cleanRaw,2,FIND(".",_xlpm.cleanRaw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4" t="str">
        <f>_xlfn.LET(_xlpm.raw,_xlfn.XLOOKUP(A544,SITE3!$C$4:$C$1034,SITE3!$E$4:$E$1034),_xlpm.cleanRaw,SUBSTITUTE(SUBSTITUTE(_xlpm.raw,"_PIN","."),"PIN","."),_xlpm.mainPart,MID(_xlpm.cleanRaw,2,FIND(".",_xlpm.cleanRaw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4" t="str">
        <f>""</f>
        <v/>
      </c>
      <c r="I544" t="str">
        <f>""</f>
        <v/>
      </c>
      <c r="J544" t="str">
        <f t="shared" si="8"/>
        <v>AF19;VSS;;11.7691;8.6599;;;;</v>
      </c>
    </row>
    <row r="545" spans="1:10">
      <c r="A545" t="s">
        <v>3762</v>
      </c>
      <c r="B545" t="str">
        <f>_xlfn.XLOOKUP(A545,SITE1!$V$4:$V$1034,SITE1!$U$4:$U$1034,"")</f>
        <v>VSS</v>
      </c>
      <c r="C545" t="str" cm="1">
        <f t="array" ref="C545">_xlfn.TEXTJOIN(",",TRUE,_xlfn.UNIQUE(TRANSPOSE(_xlfn.MAP(_xlfn.XLOOKUP(A545,SITE1!$C$4:$C$1034,SITE1!$F$4:$O$1034,""),_xlfn.LAMBDA(_xlpm.x,IF(_xlpm.x&lt;&gt;"",TRIM(CLEAN(LEFT(_xlpm.x,FIND(".",_xlpm.x &amp; ".")-1))),""))))))</f>
        <v/>
      </c>
      <c r="D545">
        <v>11.7691</v>
      </c>
      <c r="E545">
        <v>18.218299999999999</v>
      </c>
      <c r="F545" t="str">
        <f>_xlfn.LET(_xlpm.raw,_xlfn.XLOOKUP(A545,SITE1!$C$4:$C$1034,SITE1!$E$4:$E$1034),_xlpm.cleanRaw,SUBSTITUTE(SUBSTITUTE(_xlpm.raw,"_PIN","."),"PIN","."),_xlpm.mainPart,MID(_xlpm.cleanRaw,2,FIND(".",_xlpm.cleanRaw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5" t="str">
        <f>_xlfn.LET(_xlpm.raw,_xlfn.XLOOKUP(A545,SITE3!$C$4:$C$1034,SITE3!$E$4:$E$1034),_xlpm.cleanRaw,SUBSTITUTE(SUBSTITUTE(_xlpm.raw,"_PIN","."),"PIN","."),_xlpm.mainPart,MID(_xlpm.cleanRaw,2,FIND(".",_xlpm.cleanRaw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5" t="str">
        <f>""</f>
        <v/>
      </c>
      <c r="I545" t="str">
        <f>""</f>
        <v/>
      </c>
      <c r="J545" t="str">
        <f t="shared" si="8"/>
        <v>AF39;VSS;;11.7691;18.2183;;;;</v>
      </c>
    </row>
    <row r="546" spans="1:10">
      <c r="A546" t="s">
        <v>3763</v>
      </c>
      <c r="B546" t="str">
        <f>_xlfn.XLOOKUP(A546,SITE1!$V$4:$V$1034,SITE1!$U$4:$U$1034,"")</f>
        <v>VSS</v>
      </c>
      <c r="C546" t="str" cm="1">
        <f t="array" ref="C546">_xlfn.TEXTJOIN(",",TRUE,_xlfn.UNIQUE(TRANSPOSE(_xlfn.MAP(_xlfn.XLOOKUP(A546,SITE1!$C$4:$C$1034,SITE1!$F$4:$O$1034,""),_xlfn.LAMBDA(_xlpm.x,IF(_xlpm.x&lt;&gt;"",TRIM(CLEAN(LEFT(_xlpm.x,FIND(".",_xlpm.x &amp; ".")-1))),""))))))</f>
        <v/>
      </c>
      <c r="D546">
        <v>11.7691</v>
      </c>
      <c r="E546">
        <v>18.9422</v>
      </c>
      <c r="F546" t="str">
        <f>_xlfn.LET(_xlpm.raw,_xlfn.XLOOKUP(A546,SITE1!$C$4:$C$1034,SITE1!$E$4:$E$1034),_xlpm.cleanRaw,SUBSTITUTE(SUBSTITUTE(_xlpm.raw,"_PIN","."),"PIN","."),_xlpm.mainPart,MID(_xlpm.cleanRaw,2,FIND(".",_xlpm.cleanRaw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6" t="str">
        <f>_xlfn.LET(_xlpm.raw,_xlfn.XLOOKUP(A546,SITE3!$C$4:$C$1034,SITE3!$E$4:$E$1034),_xlpm.cleanRaw,SUBSTITUTE(SUBSTITUTE(_xlpm.raw,"_PIN","."),"PIN","."),_xlpm.mainPart,MID(_xlpm.cleanRaw,2,FIND(".",_xlpm.cleanRaw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6" t="str">
        <f>""</f>
        <v/>
      </c>
      <c r="I546" t="str">
        <f>""</f>
        <v/>
      </c>
      <c r="J546" t="str">
        <f t="shared" si="8"/>
        <v>AF41;VSS;;11.7691;18.9422;;;;</v>
      </c>
    </row>
    <row r="547" spans="1:10">
      <c r="A547" t="s">
        <v>3764</v>
      </c>
      <c r="B547" t="str">
        <f>_xlfn.XLOOKUP(A547,SITE1!$V$4:$V$1034,SITE1!$U$4:$U$1034,"")</f>
        <v>VSS</v>
      </c>
      <c r="C547" t="str" cm="1">
        <f t="array" ref="C547">_xlfn.TEXTJOIN(",",TRUE,_xlfn.UNIQUE(TRANSPOSE(_xlfn.MAP(_xlfn.XLOOKUP(A547,SITE1!$C$4:$C$1034,SITE1!$F$4:$O$1034,""),_xlfn.LAMBDA(_xlpm.x,IF(_xlpm.x&lt;&gt;"",TRIM(CLEAN(LEFT(_xlpm.x,FIND(".",_xlpm.x &amp; ".")-1))),""))))))</f>
        <v/>
      </c>
      <c r="D547">
        <v>11.7691</v>
      </c>
      <c r="E547">
        <v>19.6661</v>
      </c>
      <c r="F547" t="str">
        <f>_xlfn.LET(_xlpm.raw,_xlfn.XLOOKUP(A547,SITE1!$C$4:$C$1034,SITE1!$E$4:$E$1034),_xlpm.cleanRaw,SUBSTITUTE(SUBSTITUTE(_xlpm.raw,"_PIN","."),"PIN","."),_xlpm.mainPart,MID(_xlpm.cleanRaw,2,FIND(".",_xlpm.cleanRaw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7" t="str">
        <f>_xlfn.LET(_xlpm.raw,_xlfn.XLOOKUP(A547,SITE3!$C$4:$C$1034,SITE3!$E$4:$E$1034),_xlpm.cleanRaw,SUBSTITUTE(SUBSTITUTE(_xlpm.raw,"_PIN","."),"PIN","."),_xlpm.mainPart,MID(_xlpm.cleanRaw,2,FIND(".",_xlpm.cleanRaw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7" t="str">
        <f>""</f>
        <v/>
      </c>
      <c r="I547" t="str">
        <f>""</f>
        <v/>
      </c>
      <c r="J547" t="str">
        <f t="shared" si="8"/>
        <v>AF42;VSS;;11.7691;19.6661;;;;</v>
      </c>
    </row>
    <row r="548" spans="1:10">
      <c r="A548" t="s">
        <v>3765</v>
      </c>
      <c r="B548" t="str">
        <f>_xlfn.XLOOKUP(A548,SITE1!$V$4:$V$1034,SITE1!$U$4:$U$1034,"")</f>
        <v>VSS</v>
      </c>
      <c r="C548" t="str" cm="1">
        <f t="array" ref="C548">_xlfn.TEXTJOIN(",",TRUE,_xlfn.UNIQUE(TRANSPOSE(_xlfn.MAP(_xlfn.XLOOKUP(A548,SITE1!$C$4:$C$1034,SITE1!$F$4:$O$1034,""),_xlfn.LAMBDA(_xlpm.x,IF(_xlpm.x&lt;&gt;"",TRIM(CLEAN(LEFT(_xlpm.x,FIND(".",_xlpm.x &amp; ".")-1))),""))))))</f>
        <v/>
      </c>
      <c r="D548">
        <v>11.7691</v>
      </c>
      <c r="E548">
        <v>20.39</v>
      </c>
      <c r="F548" t="str">
        <f>_xlfn.LET(_xlpm.raw,_xlfn.XLOOKUP(A548,SITE1!$C$4:$C$1034,SITE1!$E$4:$E$1034),_xlpm.cleanRaw,SUBSTITUTE(SUBSTITUTE(_xlpm.raw,"_PIN","."),"PIN","."),_xlpm.mainPart,MID(_xlpm.cleanRaw,2,FIND(".",_xlpm.cleanRaw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8" t="str">
        <f>_xlfn.LET(_xlpm.raw,_xlfn.XLOOKUP(A548,SITE3!$C$4:$C$1034,SITE3!$E$4:$E$1034),_xlpm.cleanRaw,SUBSTITUTE(SUBSTITUTE(_xlpm.raw,"_PIN","."),"PIN","."),_xlpm.mainPart,MID(_xlpm.cleanRaw,2,FIND(".",_xlpm.cleanRaw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8" t="str">
        <f>""</f>
        <v/>
      </c>
      <c r="I548" t="str">
        <f>""</f>
        <v/>
      </c>
      <c r="J548" t="str">
        <f t="shared" si="8"/>
        <v>AF44;VSS;;11.7691;20.39;;;;</v>
      </c>
    </row>
    <row r="549" spans="1:10">
      <c r="A549" t="s">
        <v>3766</v>
      </c>
      <c r="B549" t="str">
        <f>_xlfn.XLOOKUP(A549,SITE1!$V$4:$V$1034,SITE1!$U$4:$U$1034,"")</f>
        <v>VSS</v>
      </c>
      <c r="C549" t="str" cm="1">
        <f t="array" ref="C549">_xlfn.TEXTJOIN(",",TRUE,_xlfn.UNIQUE(TRANSPOSE(_xlfn.MAP(_xlfn.XLOOKUP(A549,SITE1!$C$4:$C$1034,SITE1!$F$4:$O$1034,""),_xlfn.LAMBDA(_xlpm.x,IF(_xlpm.x&lt;&gt;"",TRIM(CLEAN(LEFT(_xlpm.x,FIND(".",_xlpm.x &amp; ".")-1))),""))))))</f>
        <v/>
      </c>
      <c r="D549">
        <v>11.7691</v>
      </c>
      <c r="E549">
        <v>21.113900000000001</v>
      </c>
      <c r="F549" t="str">
        <f>_xlfn.LET(_xlpm.raw,_xlfn.XLOOKUP(A549,SITE1!$C$4:$C$1034,SITE1!$E$4:$E$1034),_xlpm.cleanRaw,SUBSTITUTE(SUBSTITUTE(_xlpm.raw,"_PIN","."),"PIN","."),_xlpm.mainPart,MID(_xlpm.cleanRaw,2,FIND(".",_xlpm.cleanRaw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9" t="str">
        <f>_xlfn.LET(_xlpm.raw,_xlfn.XLOOKUP(A549,SITE3!$C$4:$C$1034,SITE3!$E$4:$E$1034),_xlpm.cleanRaw,SUBSTITUTE(SUBSTITUTE(_xlpm.raw,"_PIN","."),"PIN","."),_xlpm.mainPart,MID(_xlpm.cleanRaw,2,FIND(".",_xlpm.cleanRaw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9" t="str">
        <f>""</f>
        <v/>
      </c>
      <c r="I549" t="str">
        <f>""</f>
        <v/>
      </c>
      <c r="J549" t="str">
        <f t="shared" si="8"/>
        <v>AF45;VSS;;11.7691;21.1139;;;;</v>
      </c>
    </row>
    <row r="550" spans="1:10">
      <c r="A550" t="s">
        <v>3767</v>
      </c>
      <c r="B550" t="str">
        <f>_xlfn.XLOOKUP(A550,SITE1!$V$4:$V$1034,SITE1!$U$4:$U$1034,"")</f>
        <v>VSS</v>
      </c>
      <c r="C550" t="str" cm="1">
        <f t="array" ref="C550">_xlfn.TEXTJOIN(",",TRUE,_xlfn.UNIQUE(TRANSPOSE(_xlfn.MAP(_xlfn.XLOOKUP(A550,SITE1!$C$4:$C$1034,SITE1!$F$4:$O$1034,""),_xlfn.LAMBDA(_xlpm.x,IF(_xlpm.x&lt;&gt;"",TRIM(CLEAN(LEFT(_xlpm.x,FIND(".",_xlpm.x &amp; ".")-1))),""))))))</f>
        <v/>
      </c>
      <c r="D550">
        <v>11.7691</v>
      </c>
      <c r="E550">
        <v>21.6189</v>
      </c>
      <c r="F550" t="str">
        <f>_xlfn.LET(_xlpm.raw,_xlfn.XLOOKUP(A550,SITE1!$C$4:$C$1034,SITE1!$E$4:$E$1034),_xlpm.cleanRaw,SUBSTITUTE(SUBSTITUTE(_xlpm.raw,"_PIN","."),"PIN","."),_xlpm.mainPart,MID(_xlpm.cleanRaw,2,FIND(".",_xlpm.cleanRaw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50" t="str">
        <f>_xlfn.LET(_xlpm.raw,_xlfn.XLOOKUP(A550,SITE3!$C$4:$C$1034,SITE3!$E$4:$E$1034),_xlpm.cleanRaw,SUBSTITUTE(SUBSTITUTE(_xlpm.raw,"_PIN","."),"PIN","."),_xlpm.mainPart,MID(_xlpm.cleanRaw,2,FIND(".",_xlpm.cleanRaw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50" t="str">
        <f>""</f>
        <v/>
      </c>
      <c r="I550" t="str">
        <f>""</f>
        <v/>
      </c>
      <c r="J550" t="str">
        <f t="shared" si="8"/>
        <v>AF46;VSS;;11.7691;21.6189;;;;</v>
      </c>
    </row>
    <row r="551" spans="1:10">
      <c r="A551" t="s">
        <v>2899</v>
      </c>
      <c r="B551" t="str">
        <f>_xlfn.XLOOKUP(A551,SITE1!$V$4:$V$1034,SITE1!$U$4:$U$1034,"")</f>
        <v>SYS_RESETB</v>
      </c>
      <c r="C551" t="str" cm="1">
        <f t="array" ref="C551">_xlfn.TEXTJOIN(",",TRUE,_xlfn.UNIQUE(TRANSPOSE(_xlfn.MAP(_xlfn.XLOOKUP(A551,SITE1!$C$4:$C$1034,SITE1!$F$4:$O$1034,""),_xlfn.LAMBDA(_xlpm.x,IF(_xlpm.x&lt;&gt;"",TRIM(CLEAN(LEFT(_xlpm.x,FIND(".",_xlpm.x &amp; ".")-1))),""))))))</f>
        <v/>
      </c>
      <c r="D551">
        <v>11.7691</v>
      </c>
      <c r="E551">
        <v>22.330100000000002</v>
      </c>
      <c r="F551" t="str">
        <f>_xlfn.LET(_xlpm.raw,_xlfn.XLOOKUP(A551,SITE1!$C$4:$C$1034,SITE1!$E$4:$E$1034),_xlpm.cleanRaw,SUBSTITUTE(SUBSTITUTE(_xlpm.raw,"_PIN","."),"PIN","."),_xlpm.mainPart,MID(_xlpm.cleanRaw,2,FIND(".",_xlpm.cleanRaw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701098</v>
      </c>
      <c r="G551" t="str">
        <f>_xlfn.LET(_xlpm.raw,_xlfn.XLOOKUP(A551,SITE3!$C$4:$C$1034,SITE3!$E$4:$E$1034),_xlpm.cleanRaw,SUBSTITUTE(SUBSTITUTE(_xlpm.raw,"_PIN","."),"PIN","."),_xlpm.mainPart,MID(_xlpm.cleanRaw,2,FIND(".",_xlpm.cleanRaw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501098</v>
      </c>
      <c r="H551" t="str">
        <f>""</f>
        <v/>
      </c>
      <c r="I551" t="str">
        <f>""</f>
        <v/>
      </c>
      <c r="J551" t="str">
        <f t="shared" si="8"/>
        <v>AF48;SYS_RESETB;;11.7691;22.3301;701098;501098;;</v>
      </c>
    </row>
    <row r="552" spans="1:10">
      <c r="A552" t="s">
        <v>2885</v>
      </c>
      <c r="B552" t="str">
        <f>_xlfn.XLOOKUP(A552,SITE1!$V$4:$V$1034,SITE1!$U$4:$U$1034,"")</f>
        <v>SPI0_TPM_CSB</v>
      </c>
      <c r="C552" t="str" cm="1">
        <f t="array" ref="C552">_xlfn.TEXTJOIN(",",TRUE,_xlfn.UNIQUE(TRANSPOSE(_xlfn.MAP(_xlfn.XLOOKUP(A552,SITE1!$C$4:$C$1034,SITE1!$F$4:$O$1034,""),_xlfn.LAMBDA(_xlpm.x,IF(_xlpm.x&lt;&gt;"",TRIM(CLEAN(LEFT(_xlpm.x,FIND(".",_xlpm.x &amp; ".")-1))),""))))))</f>
        <v/>
      </c>
      <c r="D552">
        <v>11.7691</v>
      </c>
      <c r="E552">
        <v>23.0413</v>
      </c>
      <c r="F552" t="str">
        <f>_xlfn.LET(_xlpm.raw,_xlfn.XLOOKUP(A552,SITE1!$C$4:$C$1034,SITE1!$E$4:$E$1034),_xlpm.cleanRaw,SUBSTITUTE(SUBSTITUTE(_xlpm.raw,"_PIN","."),"PIN","."),_xlpm.mainPart,MID(_xlpm.cleanRaw,2,FIND(".",_xlpm.cleanRaw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708069</v>
      </c>
      <c r="G552" t="str">
        <f>_xlfn.LET(_xlpm.raw,_xlfn.XLOOKUP(A552,SITE3!$C$4:$C$1034,SITE3!$E$4:$E$1034),_xlpm.cleanRaw,SUBSTITUTE(SUBSTITUTE(_xlpm.raw,"_PIN","."),"PIN","."),_xlpm.mainPart,MID(_xlpm.cleanRaw,2,FIND(".",_xlpm.cleanRaw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508069</v>
      </c>
      <c r="H552" t="str">
        <f>""</f>
        <v/>
      </c>
      <c r="I552" t="str">
        <f>""</f>
        <v/>
      </c>
      <c r="J552" t="str">
        <f t="shared" si="8"/>
        <v>AF49;SPI0_TPM_CSB;;11.7691;23.0413;708069;508069;;</v>
      </c>
    </row>
    <row r="553" spans="1:10">
      <c r="A553" t="s">
        <v>2850</v>
      </c>
      <c r="B553" t="str">
        <f>_xlfn.XLOOKUP(A553,SITE1!$V$4:$V$1034,SITE1!$U$4:$U$1034,"")</f>
        <v>SPI0_CLK</v>
      </c>
      <c r="C553" t="str" cm="1">
        <f t="array" ref="C553">_xlfn.TEXTJOIN(",",TRUE,_xlfn.UNIQUE(TRANSPOSE(_xlfn.MAP(_xlfn.XLOOKUP(A553,SITE1!$C$4:$C$1034,SITE1!$F$4:$O$1034,""),_xlfn.LAMBDA(_xlpm.x,IF(_xlpm.x&lt;&gt;"",TRIM(CLEAN(LEFT(_xlpm.x,FIND(".",_xlpm.x &amp; ".")-1))),""))))))</f>
        <v/>
      </c>
      <c r="D553">
        <v>11.7691</v>
      </c>
      <c r="E553">
        <v>23.752499999999898</v>
      </c>
      <c r="F553" t="str">
        <f>_xlfn.LET(_xlpm.raw,_xlfn.XLOOKUP(A553,SITE1!$C$4:$C$1034,SITE1!$E$4:$E$1034),_xlpm.cleanRaw,SUBSTITUTE(SUBSTITUTE(_xlpm.raw,"_PIN","."),"PIN","."),_xlpm.mainPart,MID(_xlpm.cleanRaw,2,FIND(".",_xlpm.cleanRaw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708067</v>
      </c>
      <c r="G553" t="str">
        <f>_xlfn.LET(_xlpm.raw,_xlfn.XLOOKUP(A553,SITE3!$C$4:$C$1034,SITE3!$E$4:$E$1034),_xlpm.cleanRaw,SUBSTITUTE(SUBSTITUTE(_xlpm.raw,"_PIN","."),"PIN","."),_xlpm.mainPart,MID(_xlpm.cleanRaw,2,FIND(".",_xlpm.cleanRaw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508067</v>
      </c>
      <c r="H553" t="str">
        <f>""</f>
        <v/>
      </c>
      <c r="I553" t="str">
        <f>""</f>
        <v/>
      </c>
      <c r="J553" t="str">
        <f t="shared" si="8"/>
        <v>AF51;SPI0_CLK;;11.7691;23.7524999999999;708067;508067;;</v>
      </c>
    </row>
    <row r="554" spans="1:10">
      <c r="A554" t="s">
        <v>2855</v>
      </c>
      <c r="B554" t="str">
        <f>_xlfn.XLOOKUP(A554,SITE1!$V$4:$V$1034,SITE1!$U$4:$U$1034,"")</f>
        <v>SPI0_FLASH_0_CSB</v>
      </c>
      <c r="C554" t="str" cm="1">
        <f t="array" ref="C554">_xlfn.TEXTJOIN(",",TRUE,_xlfn.UNIQUE(TRANSPOSE(_xlfn.MAP(_xlfn.XLOOKUP(A554,SITE1!$C$4:$C$1034,SITE1!$F$4:$O$1034,""),_xlfn.LAMBDA(_xlpm.x,IF(_xlpm.x&lt;&gt;"",TRIM(CLEAN(LEFT(_xlpm.x,FIND(".",_xlpm.x &amp; ".")-1))),""))))))</f>
        <v/>
      </c>
      <c r="D554">
        <v>11.7691</v>
      </c>
      <c r="E554">
        <v>24.463699999999999</v>
      </c>
      <c r="F554" t="str">
        <f>_xlfn.LET(_xlpm.raw,_xlfn.XLOOKUP(A554,SITE1!$C$4:$C$1034,SITE1!$E$4:$E$1034),_xlpm.cleanRaw,SUBSTITUTE(SUBSTITUTE(_xlpm.raw,"_PIN","."),"PIN","."),_xlpm.mainPart,MID(_xlpm.cleanRaw,2,FIND(".",_xlpm.cleanRaw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707094</v>
      </c>
      <c r="G554" t="str">
        <f>_xlfn.LET(_xlpm.raw,_xlfn.XLOOKUP(A554,SITE3!$C$4:$C$1034,SITE3!$E$4:$E$1034),_xlpm.cleanRaw,SUBSTITUTE(SUBSTITUTE(_xlpm.raw,"_PIN","."),"PIN","."),_xlpm.mainPart,MID(_xlpm.cleanRaw,2,FIND(".",_xlpm.cleanRaw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507094</v>
      </c>
      <c r="H554" t="str">
        <f>""</f>
        <v/>
      </c>
      <c r="I554" t="str">
        <f>""</f>
        <v/>
      </c>
      <c r="J554" t="str">
        <f t="shared" si="8"/>
        <v>AF52;SPI0_FLASH_0_CSB;;11.7691;24.4637;707094;507094;;</v>
      </c>
    </row>
    <row r="555" spans="1:10">
      <c r="A555" t="s">
        <v>3769</v>
      </c>
      <c r="B555" t="str">
        <f>_xlfn.XLOOKUP(A555,SITE1!$V$4:$V$1034,SITE1!$U$4:$U$1034,"")</f>
        <v>VSS</v>
      </c>
      <c r="C555" t="str" cm="1">
        <f t="array" ref="C555">_xlfn.TEXTJOIN(",",TRUE,_xlfn.UNIQUE(TRANSPOSE(_xlfn.MAP(_xlfn.XLOOKUP(A555,SITE1!$C$4:$C$1034,SITE1!$F$4:$O$1034,""),_xlfn.LAMBDA(_xlpm.x,IF(_xlpm.x&lt;&gt;"",TRIM(CLEAN(LEFT(_xlpm.x,FIND(".",_xlpm.x &amp; ".")-1))),""))))))</f>
        <v/>
      </c>
      <c r="D555">
        <v>11.7691</v>
      </c>
      <c r="E555">
        <v>25.098700000000001</v>
      </c>
      <c r="F555" t="str">
        <f>_xlfn.LET(_xlpm.raw,_xlfn.XLOOKUP(A555,SITE1!$C$4:$C$1034,SITE1!$E$4:$E$1034),_xlpm.cleanRaw,SUBSTITUTE(SUBSTITUTE(_xlpm.raw,"_PIN","."),"PIN","."),_xlpm.mainPart,MID(_xlpm.cleanRaw,2,FIND(".",_xlpm.cleanRaw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55" t="str">
        <f>_xlfn.LET(_xlpm.raw,_xlfn.XLOOKUP(A555,SITE3!$C$4:$C$1034,SITE3!$E$4:$E$1034),_xlpm.cleanRaw,SUBSTITUTE(SUBSTITUTE(_xlpm.raw,"_PIN","."),"PIN","."),_xlpm.mainPart,MID(_xlpm.cleanRaw,2,FIND(".",_xlpm.cleanRaw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55" t="str">
        <f>""</f>
        <v/>
      </c>
      <c r="I555" t="str">
        <f>""</f>
        <v/>
      </c>
      <c r="J555" t="str">
        <f t="shared" si="8"/>
        <v>AF53;VSS;;11.7691;25.0987;;;;</v>
      </c>
    </row>
    <row r="556" spans="1:10">
      <c r="A556" t="s">
        <v>1439</v>
      </c>
      <c r="B556" t="str">
        <f>_xlfn.XLOOKUP(A556,SITE1!$V$4:$V$1034,SITE1!$U$4:$U$1034,"")</f>
        <v>GPP_H_17_SML4ALERTB</v>
      </c>
      <c r="C556" t="str" cm="1">
        <f t="array" ref="C556">_xlfn.TEXTJOIN(",",TRUE,_xlfn.UNIQUE(TRANSPOSE(_xlfn.MAP(_xlfn.XLOOKUP(A556,SITE1!$C$4:$C$1034,SITE1!$F$4:$O$1034,""),_xlfn.LAMBDA(_xlpm.x,IF(_xlpm.x&lt;&gt;"",TRIM(CLEAN(LEFT(_xlpm.x,FIND(".",_xlpm.x &amp; ".")-1))),""))))))</f>
        <v/>
      </c>
      <c r="D556">
        <v>11.882199999999999</v>
      </c>
      <c r="E556">
        <v>25.598099999999999</v>
      </c>
      <c r="F556" t="str">
        <f>_xlfn.LET(_xlpm.raw,_xlfn.XLOOKUP(A556,SITE1!$C$4:$C$1034,SITE1!$E$4:$E$1034),_xlpm.cleanRaw,SUBSTITUTE(SUBSTITUTE(_xlpm.raw,"_PIN","."),"PIN","."),_xlpm.mainPart,MID(_xlpm.cleanRaw,2,FIND(".",_xlpm.cleanRaw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703024</v>
      </c>
      <c r="G556" t="str">
        <f>_xlfn.LET(_xlpm.raw,_xlfn.XLOOKUP(A556,SITE3!$C$4:$C$1034,SITE3!$E$4:$E$1034),_xlpm.cleanRaw,SUBSTITUTE(SUBSTITUTE(_xlpm.raw,"_PIN","."),"PIN","."),_xlpm.mainPart,MID(_xlpm.cleanRaw,2,FIND(".",_xlpm.cleanRaw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503024</v>
      </c>
      <c r="H556" t="str">
        <f>""</f>
        <v/>
      </c>
      <c r="I556" t="str">
        <f>""</f>
        <v/>
      </c>
      <c r="J556" t="str">
        <f t="shared" si="8"/>
        <v>AF55;GPP_H_17_SML4ALERTB;;11.8822;25.5981;703024;503024;;</v>
      </c>
    </row>
    <row r="557" spans="1:10">
      <c r="A557" t="s">
        <v>1444</v>
      </c>
      <c r="B557" t="str">
        <f>_xlfn.XLOOKUP(A557,SITE1!$V$4:$V$1034,SITE1!$U$4:$U$1034,"")</f>
        <v>GPP_H_18_ISH_I2C1_SDA_SMIB</v>
      </c>
      <c r="C557" t="str" cm="1">
        <f t="array" ref="C557">_xlfn.TEXTJOIN(",",TRUE,_xlfn.UNIQUE(TRANSPOSE(_xlfn.MAP(_xlfn.XLOOKUP(A557,SITE1!$C$4:$C$1034,SITE1!$F$4:$O$1034,""),_xlfn.LAMBDA(_xlpm.x,IF(_xlpm.x&lt;&gt;"",TRIM(CLEAN(LEFT(_xlpm.x,FIND(".",_xlpm.x &amp; ".")-1))),""))))))</f>
        <v/>
      </c>
      <c r="D557">
        <v>11.722099999999999</v>
      </c>
      <c r="E557">
        <v>26.1416</v>
      </c>
      <c r="F557" t="str">
        <f>_xlfn.LET(_xlpm.raw,_xlfn.XLOOKUP(A557,SITE1!$C$4:$C$1034,SITE1!$E$4:$E$1034),_xlpm.cleanRaw,SUBSTITUTE(SUBSTITUTE(_xlpm.raw,"_PIN","."),"PIN","."),_xlpm.mainPart,MID(_xlpm.cleanRaw,2,FIND(".",_xlpm.cleanRaw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701093</v>
      </c>
      <c r="G557" t="str">
        <f>_xlfn.LET(_xlpm.raw,_xlfn.XLOOKUP(A557,SITE3!$C$4:$C$1034,SITE3!$E$4:$E$1034),_xlpm.cleanRaw,SUBSTITUTE(SUBSTITUTE(_xlpm.raw,"_PIN","."),"PIN","."),_xlpm.mainPart,MID(_xlpm.cleanRaw,2,FIND(".",_xlpm.cleanRaw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501093</v>
      </c>
      <c r="H557" t="str">
        <f>""</f>
        <v/>
      </c>
      <c r="I557" t="str">
        <f>""</f>
        <v/>
      </c>
      <c r="J557" t="str">
        <f t="shared" si="8"/>
        <v>AF56;GPP_H_18_ISH_I2C1_SDA_SMIB;;11.7221;26.1416;701093;501093;;</v>
      </c>
    </row>
    <row r="558" spans="1:10">
      <c r="A558" t="s">
        <v>3656</v>
      </c>
      <c r="B558" t="str">
        <f>_xlfn.XLOOKUP(A558,SITE1!$V$4:$V$1034,SITE1!$U$4:$U$1034,"")</f>
        <v>VCCPUSB_1P8</v>
      </c>
      <c r="C558" t="str" cm="1">
        <f t="array" ref="C558">_xlfn.TEXTJOIN(",",TRUE,_xlfn.UNIQUE(TRANSPOSE(_xlfn.MAP(_xlfn.XLOOKUP(A558,SITE1!$C$4:$C$1034,SITE1!$F$4:$O$1034,""),_xlfn.LAMBDA(_xlpm.x,IF(_xlpm.x&lt;&gt;"",TRIM(CLEAN(LEFT(_xlpm.x,FIND(".",_xlpm.x &amp; ".")-1))),""))))))</f>
        <v/>
      </c>
      <c r="D558">
        <v>11.964699999999899</v>
      </c>
      <c r="E558">
        <v>9.5655999999999999</v>
      </c>
      <c r="F558" t="str">
        <f>_xlfn.LET(_xlpm.raw,_xlfn.XLOOKUP(A558,SITE1!$C$4:$C$1034,SITE1!$E$4:$E$1034),_xlpm.cleanRaw,SUBSTITUTE(SUBSTITUTE(_xlpm.raw,"_PIN","."),"PIN","."),_xlpm.mainPart,MID(_xlpm.cleanRaw,2,FIND(".",_xlpm.cleanRaw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58" t="str">
        <f>_xlfn.LET(_xlpm.raw,_xlfn.XLOOKUP(A558,SITE3!$C$4:$C$1034,SITE3!$E$4:$E$1034),_xlpm.cleanRaw,SUBSTITUTE(SUBSTITUTE(_xlpm.raw,"_PIN","."),"PIN","."),_xlpm.mainPart,MID(_xlpm.cleanRaw,2,FIND(".",_xlpm.cleanRaw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58" t="str">
        <f>""</f>
        <v/>
      </c>
      <c r="I558" t="str">
        <f>""</f>
        <v/>
      </c>
      <c r="J558" t="str">
        <f t="shared" si="8"/>
        <v>AG21;VCCPUSB_1P8;;11.9646999999999;9.5656;;;;</v>
      </c>
    </row>
    <row r="559" spans="1:10">
      <c r="A559" t="s">
        <v>3770</v>
      </c>
      <c r="B559" t="str">
        <f>_xlfn.XLOOKUP(A559,SITE1!$V$4:$V$1034,SITE1!$U$4:$U$1034,"")</f>
        <v>VSS</v>
      </c>
      <c r="C559" t="str" cm="1">
        <f t="array" ref="C559">_xlfn.TEXTJOIN(",",TRUE,_xlfn.UNIQUE(TRANSPOSE(_xlfn.MAP(_xlfn.XLOOKUP(A559,SITE1!$C$4:$C$1034,SITE1!$F$4:$O$1034,""),_xlfn.LAMBDA(_xlpm.x,IF(_xlpm.x&lt;&gt;"",TRIM(CLEAN(LEFT(_xlpm.x,FIND(".",_xlpm.x &amp; ".")-1))),""))))))</f>
        <v/>
      </c>
      <c r="D559">
        <v>11.964699999999899</v>
      </c>
      <c r="E559">
        <v>10.340299999999999</v>
      </c>
      <c r="F559" t="str">
        <f>_xlfn.LET(_xlpm.raw,_xlfn.XLOOKUP(A559,SITE1!$C$4:$C$1034,SITE1!$E$4:$E$1034),_xlpm.cleanRaw,SUBSTITUTE(SUBSTITUTE(_xlpm.raw,"_PIN","."),"PIN","."),_xlpm.mainPart,MID(_xlpm.cleanRaw,2,FIND(".",_xlpm.cleanRaw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59" t="str">
        <f>_xlfn.LET(_xlpm.raw,_xlfn.XLOOKUP(A559,SITE3!$C$4:$C$1034,SITE3!$E$4:$E$1034),_xlpm.cleanRaw,SUBSTITUTE(SUBSTITUTE(_xlpm.raw,"_PIN","."),"PIN","."),_xlpm.mainPart,MID(_xlpm.cleanRaw,2,FIND(".",_xlpm.cleanRaw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59" t="str">
        <f>""</f>
        <v/>
      </c>
      <c r="I559" t="str">
        <f>""</f>
        <v/>
      </c>
      <c r="J559" t="str">
        <f t="shared" si="8"/>
        <v>AG22;VSS;;11.9646999999999;10.3403;;;;</v>
      </c>
    </row>
    <row r="560" spans="1:10">
      <c r="A560" t="s">
        <v>3771</v>
      </c>
      <c r="B560" t="str">
        <f>_xlfn.XLOOKUP(A560,SITE1!$V$4:$V$1034,SITE1!$U$4:$U$1034,"")</f>
        <v>VSS</v>
      </c>
      <c r="C560" t="str" cm="1">
        <f t="array" ref="C560">_xlfn.TEXTJOIN(",",TRUE,_xlfn.UNIQUE(TRANSPOSE(_xlfn.MAP(_xlfn.XLOOKUP(A560,SITE1!$C$4:$C$1034,SITE1!$F$4:$O$1034,""),_xlfn.LAMBDA(_xlpm.x,IF(_xlpm.x&lt;&gt;"",TRIM(CLEAN(LEFT(_xlpm.x,FIND(".",_xlpm.x &amp; ".")-1))),""))))))</f>
        <v/>
      </c>
      <c r="D560">
        <v>11.964699999999899</v>
      </c>
      <c r="E560">
        <v>11.115</v>
      </c>
      <c r="F560" t="str">
        <f>_xlfn.LET(_xlpm.raw,_xlfn.XLOOKUP(A560,SITE1!$C$4:$C$1034,SITE1!$E$4:$E$1034),_xlpm.cleanRaw,SUBSTITUTE(SUBSTITUTE(_xlpm.raw,"_PIN","."),"PIN","."),_xlpm.mainPart,MID(_xlpm.cleanRaw,2,FIND(".",_xlpm.cleanRaw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0" t="str">
        <f>_xlfn.LET(_xlpm.raw,_xlfn.XLOOKUP(A560,SITE3!$C$4:$C$1034,SITE3!$E$4:$E$1034),_xlpm.cleanRaw,SUBSTITUTE(SUBSTITUTE(_xlpm.raw,"_PIN","."),"PIN","."),_xlpm.mainPart,MID(_xlpm.cleanRaw,2,FIND(".",_xlpm.cleanRaw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0" t="str">
        <f>""</f>
        <v/>
      </c>
      <c r="I560" t="str">
        <f>""</f>
        <v/>
      </c>
      <c r="J560" t="str">
        <f t="shared" si="8"/>
        <v>AG24;VSS;;11.9646999999999;11.115;;;;</v>
      </c>
    </row>
    <row r="561" spans="1:10">
      <c r="A561" t="s">
        <v>3627</v>
      </c>
      <c r="B561" t="str">
        <f>_xlfn.XLOOKUP(A561,SITE1!$V$4:$V$1034,SITE1!$U$4:$U$1034,"")</f>
        <v>VCCPRIM_CORE</v>
      </c>
      <c r="C561" t="str" cm="1">
        <f t="array" ref="C561">_xlfn.TEXTJOIN(",",TRUE,_xlfn.UNIQUE(TRANSPOSE(_xlfn.MAP(_xlfn.XLOOKUP(A561,SITE1!$C$4:$C$1034,SITE1!$F$4:$O$1034,""),_xlfn.LAMBDA(_xlpm.x,IF(_xlpm.x&lt;&gt;"",TRIM(CLEAN(LEFT(_xlpm.x,FIND(".",_xlpm.x &amp; ".")-1))),""))))))</f>
        <v/>
      </c>
      <c r="D561">
        <v>11.964699999999899</v>
      </c>
      <c r="E561">
        <v>11.889699999999999</v>
      </c>
      <c r="F561" t="str">
        <f>_xlfn.LET(_xlpm.raw,_xlfn.XLOOKUP(A561,SITE1!$C$4:$C$1034,SITE1!$E$4:$E$1034),_xlpm.cleanRaw,SUBSTITUTE(SUBSTITUTE(_xlpm.raw,"_PIN","."),"PIN","."),_xlpm.mainPart,MID(_xlpm.cleanRaw,2,FIND(".",_xlpm.cleanRaw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1" t="str">
        <f>_xlfn.LET(_xlpm.raw,_xlfn.XLOOKUP(A561,SITE3!$C$4:$C$1034,SITE3!$E$4:$E$1034),_xlpm.cleanRaw,SUBSTITUTE(SUBSTITUTE(_xlpm.raw,"_PIN","."),"PIN","."),_xlpm.mainPart,MID(_xlpm.cleanRaw,2,FIND(".",_xlpm.cleanRaw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1" t="str">
        <f>""</f>
        <v/>
      </c>
      <c r="I561" t="str">
        <f>""</f>
        <v/>
      </c>
      <c r="J561" t="str">
        <f t="shared" si="8"/>
        <v>AG26;VCCPRIM_CORE;;11.9646999999999;11.8897;;;;</v>
      </c>
    </row>
    <row r="562" spans="1:10">
      <c r="A562" t="s">
        <v>3628</v>
      </c>
      <c r="B562" t="str">
        <f>_xlfn.XLOOKUP(A562,SITE1!$V$4:$V$1034,SITE1!$U$4:$U$1034,"")</f>
        <v>VCCPRIM_CORE</v>
      </c>
      <c r="C562" t="str" cm="1">
        <f t="array" ref="C562">_xlfn.TEXTJOIN(",",TRUE,_xlfn.UNIQUE(TRANSPOSE(_xlfn.MAP(_xlfn.XLOOKUP(A562,SITE1!$C$4:$C$1034,SITE1!$F$4:$O$1034,""),_xlfn.LAMBDA(_xlpm.x,IF(_xlpm.x&lt;&gt;"",TRIM(CLEAN(LEFT(_xlpm.x,FIND(".",_xlpm.x &amp; ".")-1))),""))))))</f>
        <v/>
      </c>
      <c r="D562">
        <v>11.964699999999899</v>
      </c>
      <c r="E562">
        <v>12.664400000000001</v>
      </c>
      <c r="F562" t="str">
        <f>_xlfn.LET(_xlpm.raw,_xlfn.XLOOKUP(A562,SITE1!$C$4:$C$1034,SITE1!$E$4:$E$1034),_xlpm.cleanRaw,SUBSTITUTE(SUBSTITUTE(_xlpm.raw,"_PIN","."),"PIN","."),_xlpm.mainPart,MID(_xlpm.cleanRaw,2,FIND(".",_xlpm.cleanRaw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2" t="str">
        <f>_xlfn.LET(_xlpm.raw,_xlfn.XLOOKUP(A562,SITE3!$C$4:$C$1034,SITE3!$E$4:$E$1034),_xlpm.cleanRaw,SUBSTITUTE(SUBSTITUTE(_xlpm.raw,"_PIN","."),"PIN","."),_xlpm.mainPart,MID(_xlpm.cleanRaw,2,FIND(".",_xlpm.cleanRaw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2" t="str">
        <f>""</f>
        <v/>
      </c>
      <c r="I562" t="str">
        <f>""</f>
        <v/>
      </c>
      <c r="J562" t="str">
        <f t="shared" si="8"/>
        <v>AG27;VCCPRIM_CORE;;11.9646999999999;12.6644;;;;</v>
      </c>
    </row>
    <row r="563" spans="1:10">
      <c r="A563" t="s">
        <v>3629</v>
      </c>
      <c r="B563" t="str">
        <f>_xlfn.XLOOKUP(A563,SITE1!$V$4:$V$1034,SITE1!$U$4:$U$1034,"")</f>
        <v>VCCPRIM_CORE</v>
      </c>
      <c r="C563" t="str" cm="1">
        <f t="array" ref="C563">_xlfn.TEXTJOIN(",",TRUE,_xlfn.UNIQUE(TRANSPOSE(_xlfn.MAP(_xlfn.XLOOKUP(A563,SITE1!$C$4:$C$1034,SITE1!$F$4:$O$1034,""),_xlfn.LAMBDA(_xlpm.x,IF(_xlpm.x&lt;&gt;"",TRIM(CLEAN(LEFT(_xlpm.x,FIND(".",_xlpm.x &amp; ".")-1))),""))))))</f>
        <v/>
      </c>
      <c r="D563">
        <v>11.964699999999899</v>
      </c>
      <c r="E563">
        <v>13.4391</v>
      </c>
      <c r="F563" t="str">
        <f>_xlfn.LET(_xlpm.raw,_xlfn.XLOOKUP(A563,SITE1!$C$4:$C$1034,SITE1!$E$4:$E$1034),_xlpm.cleanRaw,SUBSTITUTE(SUBSTITUTE(_xlpm.raw,"_PIN","."),"PIN","."),_xlpm.mainPart,MID(_xlpm.cleanRaw,2,FIND(".",_xlpm.cleanRaw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3" t="str">
        <f>_xlfn.LET(_xlpm.raw,_xlfn.XLOOKUP(A563,SITE3!$C$4:$C$1034,SITE3!$E$4:$E$1034),_xlpm.cleanRaw,SUBSTITUTE(SUBSTITUTE(_xlpm.raw,"_PIN","."),"PIN","."),_xlpm.mainPart,MID(_xlpm.cleanRaw,2,FIND(".",_xlpm.cleanRaw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3" t="str">
        <f>""</f>
        <v/>
      </c>
      <c r="I563" t="str">
        <f>""</f>
        <v/>
      </c>
      <c r="J563" t="str">
        <f t="shared" si="8"/>
        <v>AG29;VCCPRIM_CORE;;11.9646999999999;13.4391;;;;</v>
      </c>
    </row>
    <row r="564" spans="1:10">
      <c r="A564" t="s">
        <v>3630</v>
      </c>
      <c r="B564" t="str">
        <f>_xlfn.XLOOKUP(A564,SITE1!$V$4:$V$1034,SITE1!$U$4:$U$1034,"")</f>
        <v>VCCPRIM_CORE</v>
      </c>
      <c r="C564" t="str" cm="1">
        <f t="array" ref="C564">_xlfn.TEXTJOIN(",",TRUE,_xlfn.UNIQUE(TRANSPOSE(_xlfn.MAP(_xlfn.XLOOKUP(A564,SITE1!$C$4:$C$1034,SITE1!$F$4:$O$1034,""),_xlfn.LAMBDA(_xlpm.x,IF(_xlpm.x&lt;&gt;"",TRIM(CLEAN(LEFT(_xlpm.x,FIND(".",_xlpm.x &amp; ".")-1))),""))))))</f>
        <v/>
      </c>
      <c r="D564">
        <v>11.964699999999899</v>
      </c>
      <c r="E564">
        <v>14.2137999999999</v>
      </c>
      <c r="F564" t="str">
        <f>_xlfn.LET(_xlpm.raw,_xlfn.XLOOKUP(A564,SITE1!$C$4:$C$1034,SITE1!$E$4:$E$1034),_xlpm.cleanRaw,SUBSTITUTE(SUBSTITUTE(_xlpm.raw,"_PIN","."),"PIN","."),_xlpm.mainPart,MID(_xlpm.cleanRaw,2,FIND(".",_xlpm.cleanRaw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4" t="str">
        <f>_xlfn.LET(_xlpm.raw,_xlfn.XLOOKUP(A564,SITE3!$C$4:$C$1034,SITE3!$E$4:$E$1034),_xlpm.cleanRaw,SUBSTITUTE(SUBSTITUTE(_xlpm.raw,"_PIN","."),"PIN","."),_xlpm.mainPart,MID(_xlpm.cleanRaw,2,FIND(".",_xlpm.cleanRaw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4" t="str">
        <f>""</f>
        <v/>
      </c>
      <c r="I564" t="str">
        <f>""</f>
        <v/>
      </c>
      <c r="J564" t="str">
        <f t="shared" si="8"/>
        <v>AG31;VCCPRIM_CORE;;11.9646999999999;14.2137999999999;;;;</v>
      </c>
    </row>
    <row r="565" spans="1:10">
      <c r="A565" t="s">
        <v>3631</v>
      </c>
      <c r="B565" t="str">
        <f>_xlfn.XLOOKUP(A565,SITE1!$V$4:$V$1034,SITE1!$U$4:$U$1034,"")</f>
        <v>VCCPRIM_CORE</v>
      </c>
      <c r="C565" t="str" cm="1">
        <f t="array" ref="C565">_xlfn.TEXTJOIN(",",TRUE,_xlfn.UNIQUE(TRANSPOSE(_xlfn.MAP(_xlfn.XLOOKUP(A565,SITE1!$C$4:$C$1034,SITE1!$F$4:$O$1034,""),_xlfn.LAMBDA(_xlpm.x,IF(_xlpm.x&lt;&gt;"",TRIM(CLEAN(LEFT(_xlpm.x,FIND(".",_xlpm.x &amp; ".")-1))),""))))))</f>
        <v/>
      </c>
      <c r="D565">
        <v>11.964699999999899</v>
      </c>
      <c r="E565">
        <v>14.9885</v>
      </c>
      <c r="F565" t="str">
        <f>_xlfn.LET(_xlpm.raw,_xlfn.XLOOKUP(A565,SITE1!$C$4:$C$1034,SITE1!$E$4:$E$1034),_xlpm.cleanRaw,SUBSTITUTE(SUBSTITUTE(_xlpm.raw,"_PIN","."),"PIN","."),_xlpm.mainPart,MID(_xlpm.cleanRaw,2,FIND(".",_xlpm.cleanRaw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5" t="str">
        <f>_xlfn.LET(_xlpm.raw,_xlfn.XLOOKUP(A565,SITE3!$C$4:$C$1034,SITE3!$E$4:$E$1034),_xlpm.cleanRaw,SUBSTITUTE(SUBSTITUTE(_xlpm.raw,"_PIN","."),"PIN","."),_xlpm.mainPart,MID(_xlpm.cleanRaw,2,FIND(".",_xlpm.cleanRaw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5" t="str">
        <f>""</f>
        <v/>
      </c>
      <c r="I565" t="str">
        <f>""</f>
        <v/>
      </c>
      <c r="J565" t="str">
        <f t="shared" si="8"/>
        <v>AG32;VCCPRIM_CORE;;11.9646999999999;14.9885;;;;</v>
      </c>
    </row>
    <row r="566" spans="1:10">
      <c r="A566" t="s">
        <v>3632</v>
      </c>
      <c r="B566" t="str">
        <f>_xlfn.XLOOKUP(A566,SITE1!$V$4:$V$1034,SITE1!$U$4:$U$1034,"")</f>
        <v>VCCPRIM_CORE</v>
      </c>
      <c r="C566" t="str" cm="1">
        <f t="array" ref="C566">_xlfn.TEXTJOIN(",",TRUE,_xlfn.UNIQUE(TRANSPOSE(_xlfn.MAP(_xlfn.XLOOKUP(A566,SITE1!$C$4:$C$1034,SITE1!$F$4:$O$1034,""),_xlfn.LAMBDA(_xlpm.x,IF(_xlpm.x&lt;&gt;"",TRIM(CLEAN(LEFT(_xlpm.x,FIND(".",_xlpm.x &amp; ".")-1))),""))))))</f>
        <v/>
      </c>
      <c r="D566">
        <v>11.964699999999899</v>
      </c>
      <c r="E566">
        <v>15.763199999999999</v>
      </c>
      <c r="F566" t="str">
        <f>_xlfn.LET(_xlpm.raw,_xlfn.XLOOKUP(A566,SITE1!$C$4:$C$1034,SITE1!$E$4:$E$1034),_xlpm.cleanRaw,SUBSTITUTE(SUBSTITUTE(_xlpm.raw,"_PIN","."),"PIN","."),_xlpm.mainPart,MID(_xlpm.cleanRaw,2,FIND(".",_xlpm.cleanRaw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6" t="str">
        <f>_xlfn.LET(_xlpm.raw,_xlfn.XLOOKUP(A566,SITE3!$C$4:$C$1034,SITE3!$E$4:$E$1034),_xlpm.cleanRaw,SUBSTITUTE(SUBSTITUTE(_xlpm.raw,"_PIN","."),"PIN","."),_xlpm.mainPart,MID(_xlpm.cleanRaw,2,FIND(".",_xlpm.cleanRaw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6" t="str">
        <f>""</f>
        <v/>
      </c>
      <c r="I566" t="str">
        <f>""</f>
        <v/>
      </c>
      <c r="J566" t="str">
        <f t="shared" si="8"/>
        <v>AG34;VCCPRIM_CORE;;11.9646999999999;15.7632;;;;</v>
      </c>
    </row>
    <row r="567" spans="1:10">
      <c r="A567" t="s">
        <v>3772</v>
      </c>
      <c r="B567" t="str">
        <f>_xlfn.XLOOKUP(A567,SITE1!$V$4:$V$1034,SITE1!$U$4:$U$1034,"")</f>
        <v>VSS</v>
      </c>
      <c r="C567" t="str" cm="1">
        <f t="array" ref="C567">_xlfn.TEXTJOIN(",",TRUE,_xlfn.UNIQUE(TRANSPOSE(_xlfn.MAP(_xlfn.XLOOKUP(A567,SITE1!$C$4:$C$1034,SITE1!$F$4:$O$1034,""),_xlfn.LAMBDA(_xlpm.x,IF(_xlpm.x&lt;&gt;"",TRIM(CLEAN(LEFT(_xlpm.x,FIND(".",_xlpm.x &amp; ".")-1))),""))))))</f>
        <v/>
      </c>
      <c r="D567">
        <v>11.964699999999899</v>
      </c>
      <c r="E567">
        <v>16.5379</v>
      </c>
      <c r="F567" t="str">
        <f>_xlfn.LET(_xlpm.raw,_xlfn.XLOOKUP(A567,SITE1!$C$4:$C$1034,SITE1!$E$4:$E$1034),_xlpm.cleanRaw,SUBSTITUTE(SUBSTITUTE(_xlpm.raw,"_PIN","."),"PIN","."),_xlpm.mainPart,MID(_xlpm.cleanRaw,2,FIND(".",_xlpm.cleanRaw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7" t="str">
        <f>_xlfn.LET(_xlpm.raw,_xlfn.XLOOKUP(A567,SITE3!$C$4:$C$1034,SITE3!$E$4:$E$1034),_xlpm.cleanRaw,SUBSTITUTE(SUBSTITUTE(_xlpm.raw,"_PIN","."),"PIN","."),_xlpm.mainPart,MID(_xlpm.cleanRaw,2,FIND(".",_xlpm.cleanRaw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7" t="str">
        <f>""</f>
        <v/>
      </c>
      <c r="I567" t="str">
        <f>""</f>
        <v/>
      </c>
      <c r="J567" t="str">
        <f t="shared" si="8"/>
        <v>AG36;VSS;;11.9646999999999;16.5379;;;;</v>
      </c>
    </row>
    <row r="568" spans="1:10">
      <c r="A568" t="s">
        <v>3571</v>
      </c>
      <c r="B568" t="str">
        <f>_xlfn.XLOOKUP(A568,SITE1!$V$4:$V$1034,SITE1!$U$4:$U$1034,"")</f>
        <v>VCCMPHY_0P82</v>
      </c>
      <c r="C568" t="str" cm="1">
        <f t="array" ref="C568">_xlfn.TEXTJOIN(",",TRUE,_xlfn.UNIQUE(TRANSPOSE(_xlfn.MAP(_xlfn.XLOOKUP(A568,SITE1!$C$4:$C$1034,SITE1!$F$4:$O$1034,""),_xlfn.LAMBDA(_xlpm.x,IF(_xlpm.x&lt;&gt;"",TRIM(CLEAN(LEFT(_xlpm.x,FIND(".",_xlpm.x &amp; ".")-1))),""))))))</f>
        <v/>
      </c>
      <c r="D568">
        <v>11.964699999999899</v>
      </c>
      <c r="E568">
        <v>17.3126</v>
      </c>
      <c r="F568" t="str">
        <f>_xlfn.LET(_xlpm.raw,_xlfn.XLOOKUP(A568,SITE1!$C$4:$C$1034,SITE1!$E$4:$E$1034),_xlpm.cleanRaw,SUBSTITUTE(SUBSTITUTE(_xlpm.raw,"_PIN","."),"PIN","."),_xlpm.mainPart,MID(_xlpm.cleanRaw,2,FIND(".",_xlpm.cleanRaw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8" t="str">
        <f>_xlfn.LET(_xlpm.raw,_xlfn.XLOOKUP(A568,SITE3!$C$4:$C$1034,SITE3!$E$4:$E$1034),_xlpm.cleanRaw,SUBSTITUTE(SUBSTITUTE(_xlpm.raw,"_PIN","."),"PIN","."),_xlpm.mainPart,MID(_xlpm.cleanRaw,2,FIND(".",_xlpm.cleanRaw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8" t="str">
        <f>""</f>
        <v/>
      </c>
      <c r="I568" t="str">
        <f>""</f>
        <v/>
      </c>
      <c r="J568" t="str">
        <f t="shared" si="8"/>
        <v>AG37;VCCMPHY_0P82;;11.9646999999999;17.3126;;;;</v>
      </c>
    </row>
    <row r="569" spans="1:10">
      <c r="A569" t="s">
        <v>335</v>
      </c>
      <c r="B569" t="str">
        <f>_xlfn.XLOOKUP(A569,SITE1!$V$4:$V$1034,SITE1!$U$4:$U$1034,"")</f>
        <v>CPUPWRGD</v>
      </c>
      <c r="C569" t="str" cm="1">
        <f t="array" ref="C569">_xlfn.TEXTJOIN(",",TRUE,_xlfn.UNIQUE(TRANSPOSE(_xlfn.MAP(_xlfn.XLOOKUP(A569,SITE1!$C$4:$C$1034,SITE1!$F$4:$O$1034,""),_xlfn.LAMBDA(_xlpm.x,IF(_xlpm.x&lt;&gt;"",TRIM(CLEAN(LEFT(_xlpm.x,FIND(".",_xlpm.x &amp; ".")-1))),""))))))</f>
        <v/>
      </c>
      <c r="D569">
        <v>12.3828</v>
      </c>
      <c r="E569">
        <v>0.65259999999999896</v>
      </c>
      <c r="F569" t="str">
        <f>_xlfn.LET(_xlpm.raw,_xlfn.XLOOKUP(A569,SITE1!$C$4:$C$1034,SITE1!$E$4:$E$1034),_xlpm.cleanRaw,SUBSTITUTE(SUBSTITUTE(_xlpm.raw,"_PIN","."),"PIN","."),_xlpm.mainPart,MID(_xlpm.cleanRaw,2,FIND(".",_xlpm.cleanRaw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608066</v>
      </c>
      <c r="G569" t="str">
        <f>_xlfn.LET(_xlpm.raw,_xlfn.XLOOKUP(A569,SITE3!$C$4:$C$1034,SITE3!$E$4:$E$1034),_xlpm.cleanRaw,SUBSTITUTE(SUBSTITUTE(_xlpm.raw,"_PIN","."),"PIN","."),_xlpm.mainPart,MID(_xlpm.cleanRaw,2,FIND(".",_xlpm.cleanRaw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808066</v>
      </c>
      <c r="H569" t="str">
        <f>""</f>
        <v/>
      </c>
      <c r="I569" t="str">
        <f>""</f>
        <v/>
      </c>
      <c r="J569" t="str">
        <f t="shared" si="8"/>
        <v>AH2;CPUPWRGD;;12.3828;0.652599999999999;608066;808066;;</v>
      </c>
    </row>
    <row r="570" spans="1:10">
      <c r="A570" t="s">
        <v>2930</v>
      </c>
      <c r="B570" t="str">
        <f>_xlfn.XLOOKUP(A570,SITE1!$V$4:$V$1034,SITE1!$U$4:$U$1034,"")</f>
        <v>TRIGGER_IN</v>
      </c>
      <c r="C570" t="str" cm="1">
        <f t="array" ref="C570">_xlfn.TEXTJOIN(",",TRUE,_xlfn.UNIQUE(TRANSPOSE(_xlfn.MAP(_xlfn.XLOOKUP(A570,SITE1!$C$4:$C$1034,SITE1!$F$4:$O$1034,""),_xlfn.LAMBDA(_xlpm.x,IF(_xlpm.x&lt;&gt;"",TRIM(CLEAN(LEFT(_xlpm.x,FIND(".",_xlpm.x &amp; ".")-1))),""))))))</f>
        <v/>
      </c>
      <c r="D570">
        <v>12.3828</v>
      </c>
      <c r="E570">
        <v>1.15339999999999</v>
      </c>
      <c r="F570" t="str">
        <f>_xlfn.LET(_xlpm.raw,_xlfn.XLOOKUP(A570,SITE1!$C$4:$C$1034,SITE1!$E$4:$E$1034),_xlpm.cleanRaw,SUBSTITUTE(SUBSTITUTE(_xlpm.raw,"_PIN","."),"PIN","."),_xlpm.mainPart,MID(_xlpm.cleanRaw,2,FIND(".",_xlpm.cleanRaw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606096</v>
      </c>
      <c r="G570" t="str">
        <f>_xlfn.LET(_xlpm.raw,_xlfn.XLOOKUP(A570,SITE3!$C$4:$C$1034,SITE3!$E$4:$E$1034),_xlpm.cleanRaw,SUBSTITUTE(SUBSTITUTE(_xlpm.raw,"_PIN","."),"PIN","."),_xlpm.mainPart,MID(_xlpm.cleanRaw,2,FIND(".",_xlpm.cleanRaw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806096</v>
      </c>
      <c r="H570" t="str">
        <f>""</f>
        <v/>
      </c>
      <c r="I570" t="str">
        <f>""</f>
        <v/>
      </c>
      <c r="J570" t="str">
        <f t="shared" si="8"/>
        <v>AH3;TRIGGER_IN;;12.3828;1.15339999999999;606096;806096;;</v>
      </c>
    </row>
    <row r="571" spans="1:10">
      <c r="A571" t="s">
        <v>621</v>
      </c>
      <c r="B571" t="str">
        <f>_xlfn.XLOOKUP(A571,SITE1!$V$4:$V$1034,SITE1!$U$4:$U$1034,"")</f>
        <v>DSW_PWROK</v>
      </c>
      <c r="C571" t="str" cm="1">
        <f t="array" ref="C571">_xlfn.TEXTJOIN(",",TRUE,_xlfn.UNIQUE(TRANSPOSE(_xlfn.MAP(_xlfn.XLOOKUP(A571,SITE1!$C$4:$C$1034,SITE1!$F$4:$O$1034,""),_xlfn.LAMBDA(_xlpm.x,IF(_xlpm.x&lt;&gt;"",TRIM(CLEAN(LEFT(_xlpm.x,FIND(".",_xlpm.x &amp; ".")-1))),""))))))</f>
        <v/>
      </c>
      <c r="D571">
        <v>12.791499999999999</v>
      </c>
      <c r="E571">
        <v>1.9837</v>
      </c>
      <c r="F571" t="str">
        <f>_xlfn.LET(_xlpm.raw,_xlfn.XLOOKUP(A571,SITE1!$C$4:$C$1034,SITE1!$E$4:$E$1034),_xlpm.cleanRaw,SUBSTITUTE(SUBSTITUTE(_xlpm.raw,"_PIN","."),"PIN","."),_xlpm.mainPart,MID(_xlpm.cleanRaw,2,FIND(".",_xlpm.cleanRaw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701103</v>
      </c>
      <c r="G571" t="str">
        <f>_xlfn.LET(_xlpm.raw,_xlfn.XLOOKUP(A571,SITE3!$C$4:$C$1034,SITE3!$E$4:$E$1034),_xlpm.cleanRaw,SUBSTITUTE(SUBSTITUTE(_xlpm.raw,"_PIN","."),"PIN","."),_xlpm.mainPart,MID(_xlpm.cleanRaw,2,FIND(".",_xlpm.cleanRaw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501103</v>
      </c>
      <c r="H571" t="str">
        <f>""</f>
        <v/>
      </c>
      <c r="I571" t="str">
        <f>""</f>
        <v/>
      </c>
      <c r="J571" t="str">
        <f t="shared" si="8"/>
        <v>AH5;DSW_PWROK;;12.7915;1.9837;701103;501103;;</v>
      </c>
    </row>
    <row r="572" spans="1:10">
      <c r="A572" t="s">
        <v>1882</v>
      </c>
      <c r="B572" t="str">
        <f>_xlfn.XLOOKUP(A572,SITE1!$V$4:$V$1034,SITE1!$U$4:$U$1034,"")</f>
        <v>PCH_PWROK</v>
      </c>
      <c r="C572" t="str" cm="1">
        <f t="array" ref="C572">_xlfn.TEXTJOIN(",",TRUE,_xlfn.UNIQUE(TRANSPOSE(_xlfn.MAP(_xlfn.XLOOKUP(A572,SITE1!$C$4:$C$1034,SITE1!$F$4:$O$1034,""),_xlfn.LAMBDA(_xlpm.x,IF(_xlpm.x&lt;&gt;"",TRIM(CLEAN(LEFT(_xlpm.x,FIND(".",_xlpm.x &amp; ".")-1))),""))))))</f>
        <v/>
      </c>
      <c r="D572">
        <v>12.543799999999999</v>
      </c>
      <c r="E572">
        <v>5.7642999999999898</v>
      </c>
      <c r="F572" t="str">
        <f>_xlfn.LET(_xlpm.raw,_xlfn.XLOOKUP(A572,SITE1!$C$4:$C$1034,SITE1!$E$4:$E$1034),_xlpm.cleanRaw,SUBSTITUTE(SUBSTITUTE(_xlpm.raw,"_PIN","."),"PIN","."),_xlpm.mainPart,MID(_xlpm.cleanRaw,2,FIND(".",_xlpm.cleanRaw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703020</v>
      </c>
      <c r="G572" t="str">
        <f>_xlfn.LET(_xlpm.raw,_xlfn.XLOOKUP(A572,SITE3!$C$4:$C$1034,SITE3!$E$4:$E$1034),_xlpm.cleanRaw,SUBSTITUTE(SUBSTITUTE(_xlpm.raw,"_PIN","."),"PIN","."),_xlpm.mainPart,MID(_xlpm.cleanRaw,2,FIND(".",_xlpm.cleanRaw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503020</v>
      </c>
      <c r="H572" t="str">
        <f>""</f>
        <v/>
      </c>
      <c r="I572" t="str">
        <f>""</f>
        <v/>
      </c>
      <c r="J572" t="str">
        <f t="shared" si="8"/>
        <v>AH13;PCH_PWROK;;12.5438;5.76429999999999;703020;503020;;</v>
      </c>
    </row>
    <row r="573" spans="1:10">
      <c r="A573" t="s">
        <v>1809</v>
      </c>
      <c r="B573" t="str">
        <f>_xlfn.XLOOKUP(A573,SITE1!$V$4:$V$1034,SITE1!$U$4:$U$1034,"")</f>
        <v>INTRUDERB</v>
      </c>
      <c r="C573" t="str" cm="1">
        <f t="array" ref="C573">_xlfn.TEXTJOIN(",",TRUE,_xlfn.UNIQUE(TRANSPOSE(_xlfn.MAP(_xlfn.XLOOKUP(A573,SITE1!$C$4:$C$1034,SITE1!$F$4:$O$1034,""),_xlfn.LAMBDA(_xlpm.x,IF(_xlpm.x&lt;&gt;"",TRIM(CLEAN(LEFT(_xlpm.x,FIND(".",_xlpm.x &amp; ".")-1))),""))))))</f>
        <v/>
      </c>
      <c r="D573">
        <v>12.543799999999999</v>
      </c>
      <c r="E573">
        <v>6.4882</v>
      </c>
      <c r="F573" t="str">
        <f>_xlfn.LET(_xlpm.raw,_xlfn.XLOOKUP(A573,SITE1!$C$4:$C$1034,SITE1!$E$4:$E$1034),_xlpm.cleanRaw,SUBSTITUTE(SUBSTITUTE(_xlpm.raw,"_PIN","."),"PIN","."),_xlpm.mainPart,MID(_xlpm.cleanRaw,2,FIND(".",_xlpm.cleanRaw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609106</v>
      </c>
      <c r="G573" t="str">
        <f>_xlfn.LET(_xlpm.raw,_xlfn.XLOOKUP(A573,SITE3!$C$4:$C$1034,SITE3!$E$4:$E$1034),_xlpm.cleanRaw,SUBSTITUTE(SUBSTITUTE(_xlpm.raw,"_PIN","."),"PIN","."),_xlpm.mainPart,MID(_xlpm.cleanRaw,2,FIND(".",_xlpm.cleanRaw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809106</v>
      </c>
      <c r="H573" t="str">
        <f>""</f>
        <v/>
      </c>
      <c r="I573" t="str">
        <f>""</f>
        <v/>
      </c>
      <c r="J573" t="str">
        <f t="shared" si="8"/>
        <v>AH14;INTRUDERB;;12.5438;6.4882;609106;809106;;</v>
      </c>
    </row>
    <row r="574" spans="1:10">
      <c r="A574" t="s">
        <v>3773</v>
      </c>
      <c r="B574" t="str">
        <f>_xlfn.XLOOKUP(A574,SITE1!$V$4:$V$1034,SITE1!$U$4:$U$1034,"")</f>
        <v>VSS</v>
      </c>
      <c r="C574" t="str" cm="1">
        <f t="array" ref="C574">_xlfn.TEXTJOIN(",",TRUE,_xlfn.UNIQUE(TRANSPOSE(_xlfn.MAP(_xlfn.XLOOKUP(A574,SITE1!$C$4:$C$1034,SITE1!$F$4:$O$1034,""),_xlfn.LAMBDA(_xlpm.x,IF(_xlpm.x&lt;&gt;"",TRIM(CLEAN(LEFT(_xlpm.x,FIND(".",_xlpm.x &amp; ".")-1))),""))))))</f>
        <v/>
      </c>
      <c r="D574">
        <v>12.543799999999999</v>
      </c>
      <c r="E574">
        <v>7.2120999999999897</v>
      </c>
      <c r="F574" t="str">
        <f>_xlfn.LET(_xlpm.raw,_xlfn.XLOOKUP(A574,SITE1!$C$4:$C$1034,SITE1!$E$4:$E$1034),_xlpm.cleanRaw,SUBSTITUTE(SUBSTITUTE(_xlpm.raw,"_PIN","."),"PIN","."),_xlpm.mainPart,MID(_xlpm.cleanRaw,2,FIND(".",_xlpm.cleanRaw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4" t="str">
        <f>_xlfn.LET(_xlpm.raw,_xlfn.XLOOKUP(A574,SITE3!$C$4:$C$1034,SITE3!$E$4:$E$1034),_xlpm.cleanRaw,SUBSTITUTE(SUBSTITUTE(_xlpm.raw,"_PIN","."),"PIN","."),_xlpm.mainPart,MID(_xlpm.cleanRaw,2,FIND(".",_xlpm.cleanRaw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4" t="str">
        <f>""</f>
        <v/>
      </c>
      <c r="I574" t="str">
        <f>""</f>
        <v/>
      </c>
      <c r="J574" t="str">
        <f t="shared" si="8"/>
        <v>AH16;VSS;;12.5438;7.21209999999999;;;;</v>
      </c>
    </row>
    <row r="575" spans="1:10">
      <c r="A575" t="s">
        <v>3774</v>
      </c>
      <c r="B575" t="str">
        <f>_xlfn.XLOOKUP(A575,SITE1!$V$4:$V$1034,SITE1!$U$4:$U$1034,"")</f>
        <v>VSS</v>
      </c>
      <c r="C575" t="str" cm="1">
        <f t="array" ref="C575">_xlfn.TEXTJOIN(",",TRUE,_xlfn.UNIQUE(TRANSPOSE(_xlfn.MAP(_xlfn.XLOOKUP(A575,SITE1!$C$4:$C$1034,SITE1!$F$4:$O$1034,""),_xlfn.LAMBDA(_xlpm.x,IF(_xlpm.x&lt;&gt;"",TRIM(CLEAN(LEFT(_xlpm.x,FIND(".",_xlpm.x &amp; ".")-1))),""))))))</f>
        <v/>
      </c>
      <c r="D575">
        <v>12.543799999999999</v>
      </c>
      <c r="E575">
        <v>7.9359999999999999</v>
      </c>
      <c r="F575" t="str">
        <f>_xlfn.LET(_xlpm.raw,_xlfn.XLOOKUP(A575,SITE1!$C$4:$C$1034,SITE1!$E$4:$E$1034),_xlpm.cleanRaw,SUBSTITUTE(SUBSTITUTE(_xlpm.raw,"_PIN","."),"PIN","."),_xlpm.mainPart,MID(_xlpm.cleanRaw,2,FIND(".",_xlpm.cleanRaw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5" t="str">
        <f>_xlfn.LET(_xlpm.raw,_xlfn.XLOOKUP(A575,SITE3!$C$4:$C$1034,SITE3!$E$4:$E$1034),_xlpm.cleanRaw,SUBSTITUTE(SUBSTITUTE(_xlpm.raw,"_PIN","."),"PIN","."),_xlpm.mainPart,MID(_xlpm.cleanRaw,2,FIND(".",_xlpm.cleanRaw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5" t="str">
        <f>""</f>
        <v/>
      </c>
      <c r="I575" t="str">
        <f>""</f>
        <v/>
      </c>
      <c r="J575" t="str">
        <f t="shared" si="8"/>
        <v>AH17;VSS;;12.5438;7.936;;;;</v>
      </c>
    </row>
    <row r="576" spans="1:10">
      <c r="A576" t="s">
        <v>3775</v>
      </c>
      <c r="B576" t="str">
        <f>_xlfn.XLOOKUP(A576,SITE1!$V$4:$V$1034,SITE1!$U$4:$U$1034,"")</f>
        <v>VSS</v>
      </c>
      <c r="C576" t="str" cm="1">
        <f t="array" ref="C576">_xlfn.TEXTJOIN(",",TRUE,_xlfn.UNIQUE(TRANSPOSE(_xlfn.MAP(_xlfn.XLOOKUP(A576,SITE1!$C$4:$C$1034,SITE1!$F$4:$O$1034,""),_xlfn.LAMBDA(_xlpm.x,IF(_xlpm.x&lt;&gt;"",TRIM(CLEAN(LEFT(_xlpm.x,FIND(".",_xlpm.x &amp; ".")-1))),""))))))</f>
        <v/>
      </c>
      <c r="D576">
        <v>12.543799999999999</v>
      </c>
      <c r="E576">
        <v>8.6599000000000004</v>
      </c>
      <c r="F576" t="str">
        <f>_xlfn.LET(_xlpm.raw,_xlfn.XLOOKUP(A576,SITE1!$C$4:$C$1034,SITE1!$E$4:$E$1034),_xlpm.cleanRaw,SUBSTITUTE(SUBSTITUTE(_xlpm.raw,"_PIN","."),"PIN","."),_xlpm.mainPart,MID(_xlpm.cleanRaw,2,FIND(".",_xlpm.cleanRaw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6" t="str">
        <f>_xlfn.LET(_xlpm.raw,_xlfn.XLOOKUP(A576,SITE3!$C$4:$C$1034,SITE3!$E$4:$E$1034),_xlpm.cleanRaw,SUBSTITUTE(SUBSTITUTE(_xlpm.raw,"_PIN","."),"PIN","."),_xlpm.mainPart,MID(_xlpm.cleanRaw,2,FIND(".",_xlpm.cleanRaw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6" t="str">
        <f>""</f>
        <v/>
      </c>
      <c r="I576" t="str">
        <f>""</f>
        <v/>
      </c>
      <c r="J576" t="str">
        <f t="shared" si="8"/>
        <v>AH19;VSS;;12.5438;8.6599;;;;</v>
      </c>
    </row>
    <row r="577" spans="1:10">
      <c r="A577" t="s">
        <v>3634</v>
      </c>
      <c r="B577" t="str">
        <f>_xlfn.XLOOKUP(A577,SITE1!$V$4:$V$1034,SITE1!$U$4:$U$1034,"")</f>
        <v>VCCPRIM_DSW_0P82</v>
      </c>
      <c r="C577" t="str" cm="1">
        <f t="array" ref="C577">_xlfn.TEXTJOIN(",",TRUE,_xlfn.UNIQUE(TRANSPOSE(_xlfn.MAP(_xlfn.XLOOKUP(A577,SITE1!$C$4:$C$1034,SITE1!$F$4:$O$1034,""),_xlfn.LAMBDA(_xlpm.x,IF(_xlpm.x&lt;&gt;"",TRIM(CLEAN(LEFT(_xlpm.x,FIND(".",_xlpm.x &amp; ".")-1))),""))))))</f>
        <v/>
      </c>
      <c r="D577">
        <v>12.7394</v>
      </c>
      <c r="E577">
        <v>9.5655999999999999</v>
      </c>
      <c r="F577" t="str">
        <f>_xlfn.LET(_xlpm.raw,_xlfn.XLOOKUP(A577,SITE1!$C$4:$C$1034,SITE1!$E$4:$E$1034),_xlpm.cleanRaw,SUBSTITUTE(SUBSTITUTE(_xlpm.raw,"_PIN","."),"PIN","."),_xlpm.mainPart,MID(_xlpm.cleanRaw,2,FIND(".",_xlpm.cleanRaw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7" t="str">
        <f>_xlfn.LET(_xlpm.raw,_xlfn.XLOOKUP(A577,SITE3!$C$4:$C$1034,SITE3!$E$4:$E$1034),_xlpm.cleanRaw,SUBSTITUTE(SUBSTITUTE(_xlpm.raw,"_PIN","."),"PIN","."),_xlpm.mainPart,MID(_xlpm.cleanRaw,2,FIND(".",_xlpm.cleanRaw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7" t="str">
        <f>""</f>
        <v/>
      </c>
      <c r="I577" t="str">
        <f>""</f>
        <v/>
      </c>
      <c r="J577" t="str">
        <f t="shared" si="8"/>
        <v>AH21;VCCPRIM_DSW_0P82;;12.7394;9.5656;;;;</v>
      </c>
    </row>
    <row r="578" spans="1:10">
      <c r="A578" t="s">
        <v>3492</v>
      </c>
      <c r="B578" t="str">
        <f>_xlfn.XLOOKUP(A578,SITE1!$V$4:$V$1034,SITE1!$U$4:$U$1034,"")</f>
        <v>VCCA_CNV_0P82</v>
      </c>
      <c r="C578" t="str" cm="1">
        <f t="array" ref="C578">_xlfn.TEXTJOIN(",",TRUE,_xlfn.UNIQUE(TRANSPOSE(_xlfn.MAP(_xlfn.XLOOKUP(A578,SITE1!$C$4:$C$1034,SITE1!$F$4:$O$1034,""),_xlfn.LAMBDA(_xlpm.x,IF(_xlpm.x&lt;&gt;"",TRIM(CLEAN(LEFT(_xlpm.x,FIND(".",_xlpm.x &amp; ".")-1))),""))))))</f>
        <v/>
      </c>
      <c r="D578">
        <v>12.7394</v>
      </c>
      <c r="E578">
        <v>10.340299999999999</v>
      </c>
      <c r="F578" t="str">
        <f>_xlfn.LET(_xlpm.raw,_xlfn.XLOOKUP(A578,SITE1!$C$4:$C$1034,SITE1!$E$4:$E$1034),_xlpm.cleanRaw,SUBSTITUTE(SUBSTITUTE(_xlpm.raw,"_PIN","."),"PIN","."),_xlpm.mainPart,MID(_xlpm.cleanRaw,2,FIND(".",_xlpm.cleanRaw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8" t="str">
        <f>_xlfn.LET(_xlpm.raw,_xlfn.XLOOKUP(A578,SITE3!$C$4:$C$1034,SITE3!$E$4:$E$1034),_xlpm.cleanRaw,SUBSTITUTE(SUBSTITUTE(_xlpm.raw,"_PIN","."),"PIN","."),_xlpm.mainPart,MID(_xlpm.cleanRaw,2,FIND(".",_xlpm.cleanRaw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8" t="str">
        <f>""</f>
        <v/>
      </c>
      <c r="I578" t="str">
        <f>""</f>
        <v/>
      </c>
      <c r="J578" t="str">
        <f t="shared" ref="J578:J641" si="9">A578&amp;";"&amp;B578&amp;";"&amp;C578&amp;";"&amp;D578&amp;";"&amp;E578&amp;";"&amp;F578&amp;";"&amp;G578&amp;";"&amp;H578&amp;";"&amp;I578</f>
        <v>AH22;VCCA_CNV_0P82;;12.7394;10.3403;;;;</v>
      </c>
    </row>
    <row r="579" spans="1:10">
      <c r="A579" t="s">
        <v>3504</v>
      </c>
      <c r="B579" t="str">
        <f>_xlfn.XLOOKUP(A579,SITE1!$V$4:$V$1034,SITE1!$U$4:$U$1034,"")</f>
        <v>VCCA_MPHYPLL_1P8</v>
      </c>
      <c r="C579" t="str" cm="1">
        <f t="array" ref="C579">_xlfn.TEXTJOIN(",",TRUE,_xlfn.UNIQUE(TRANSPOSE(_xlfn.MAP(_xlfn.XLOOKUP(A579,SITE1!$C$4:$C$1034,SITE1!$F$4:$O$1034,""),_xlfn.LAMBDA(_xlpm.x,IF(_xlpm.x&lt;&gt;"",TRIM(CLEAN(LEFT(_xlpm.x,FIND(".",_xlpm.x &amp; ".")-1))),""))))))</f>
        <v/>
      </c>
      <c r="D579">
        <v>12.7394</v>
      </c>
      <c r="E579">
        <v>11.115</v>
      </c>
      <c r="F579" t="str">
        <f>_xlfn.LET(_xlpm.raw,_xlfn.XLOOKUP(A579,SITE1!$C$4:$C$1034,SITE1!$E$4:$E$1034),_xlpm.cleanRaw,SUBSTITUTE(SUBSTITUTE(_xlpm.raw,"_PIN","."),"PIN","."),_xlpm.mainPart,MID(_xlpm.cleanRaw,2,FIND(".",_xlpm.cleanRaw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9" t="str">
        <f>_xlfn.LET(_xlpm.raw,_xlfn.XLOOKUP(A579,SITE3!$C$4:$C$1034,SITE3!$E$4:$E$1034),_xlpm.cleanRaw,SUBSTITUTE(SUBSTITUTE(_xlpm.raw,"_PIN","."),"PIN","."),_xlpm.mainPart,MID(_xlpm.cleanRaw,2,FIND(".",_xlpm.cleanRaw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9" t="str">
        <f>""</f>
        <v/>
      </c>
      <c r="I579" t="str">
        <f>""</f>
        <v/>
      </c>
      <c r="J579" t="str">
        <f t="shared" si="9"/>
        <v>AH24;VCCA_MPHYPLL_1P8;;12.7394;11.115;;;;</v>
      </c>
    </row>
    <row r="580" spans="1:10">
      <c r="A580" t="s">
        <v>3776</v>
      </c>
      <c r="B580" t="str">
        <f>_xlfn.XLOOKUP(A580,SITE1!$V$4:$V$1034,SITE1!$U$4:$U$1034,"")</f>
        <v>VSS</v>
      </c>
      <c r="C580" t="str" cm="1">
        <f t="array" ref="C580">_xlfn.TEXTJOIN(",",TRUE,_xlfn.UNIQUE(TRANSPOSE(_xlfn.MAP(_xlfn.XLOOKUP(A580,SITE1!$C$4:$C$1034,SITE1!$F$4:$O$1034,""),_xlfn.LAMBDA(_xlpm.x,IF(_xlpm.x&lt;&gt;"",TRIM(CLEAN(LEFT(_xlpm.x,FIND(".",_xlpm.x &amp; ".")-1))),""))))))</f>
        <v/>
      </c>
      <c r="D580">
        <v>12.7394</v>
      </c>
      <c r="E580">
        <v>11.889699999999999</v>
      </c>
      <c r="F580" t="str">
        <f>_xlfn.LET(_xlpm.raw,_xlfn.XLOOKUP(A580,SITE1!$C$4:$C$1034,SITE1!$E$4:$E$1034),_xlpm.cleanRaw,SUBSTITUTE(SUBSTITUTE(_xlpm.raw,"_PIN","."),"PIN","."),_xlpm.mainPart,MID(_xlpm.cleanRaw,2,FIND(".",_xlpm.cleanRaw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0" t="str">
        <f>_xlfn.LET(_xlpm.raw,_xlfn.XLOOKUP(A580,SITE3!$C$4:$C$1034,SITE3!$E$4:$E$1034),_xlpm.cleanRaw,SUBSTITUTE(SUBSTITUTE(_xlpm.raw,"_PIN","."),"PIN","."),_xlpm.mainPart,MID(_xlpm.cleanRaw,2,FIND(".",_xlpm.cleanRaw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0" t="str">
        <f>""</f>
        <v/>
      </c>
      <c r="I580" t="str">
        <f>""</f>
        <v/>
      </c>
      <c r="J580" t="str">
        <f t="shared" si="9"/>
        <v>AH26;VSS;;12.7394;11.8897;;;;</v>
      </c>
    </row>
    <row r="581" spans="1:10">
      <c r="A581" t="s">
        <v>3777</v>
      </c>
      <c r="B581" t="str">
        <f>_xlfn.XLOOKUP(A581,SITE1!$V$4:$V$1034,SITE1!$U$4:$U$1034,"")</f>
        <v>VSS</v>
      </c>
      <c r="C581" t="str" cm="1">
        <f t="array" ref="C581">_xlfn.TEXTJOIN(",",TRUE,_xlfn.UNIQUE(TRANSPOSE(_xlfn.MAP(_xlfn.XLOOKUP(A581,SITE1!$C$4:$C$1034,SITE1!$F$4:$O$1034,""),_xlfn.LAMBDA(_xlpm.x,IF(_xlpm.x&lt;&gt;"",TRIM(CLEAN(LEFT(_xlpm.x,FIND(".",_xlpm.x &amp; ".")-1))),""))))))</f>
        <v/>
      </c>
      <c r="D581">
        <v>12.7394</v>
      </c>
      <c r="E581">
        <v>12.664400000000001</v>
      </c>
      <c r="F581" t="str">
        <f>_xlfn.LET(_xlpm.raw,_xlfn.XLOOKUP(A581,SITE1!$C$4:$C$1034,SITE1!$E$4:$E$1034),_xlpm.cleanRaw,SUBSTITUTE(SUBSTITUTE(_xlpm.raw,"_PIN","."),"PIN","."),_xlpm.mainPart,MID(_xlpm.cleanRaw,2,FIND(".",_xlpm.cleanRaw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1" t="str">
        <f>_xlfn.LET(_xlpm.raw,_xlfn.XLOOKUP(A581,SITE3!$C$4:$C$1034,SITE3!$E$4:$E$1034),_xlpm.cleanRaw,SUBSTITUTE(SUBSTITUTE(_xlpm.raw,"_PIN","."),"PIN","."),_xlpm.mainPart,MID(_xlpm.cleanRaw,2,FIND(".",_xlpm.cleanRaw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1" t="str">
        <f>""</f>
        <v/>
      </c>
      <c r="I581" t="str">
        <f>""</f>
        <v/>
      </c>
      <c r="J581" t="str">
        <f t="shared" si="9"/>
        <v>AH27;VSS;;12.7394;12.6644;;;;</v>
      </c>
    </row>
    <row r="582" spans="1:10">
      <c r="A582" t="s">
        <v>3778</v>
      </c>
      <c r="B582" t="str">
        <f>_xlfn.XLOOKUP(A582,SITE1!$V$4:$V$1034,SITE1!$U$4:$U$1034,"")</f>
        <v>VSS</v>
      </c>
      <c r="C582" t="str" cm="1">
        <f t="array" ref="C582">_xlfn.TEXTJOIN(",",TRUE,_xlfn.UNIQUE(TRANSPOSE(_xlfn.MAP(_xlfn.XLOOKUP(A582,SITE1!$C$4:$C$1034,SITE1!$F$4:$O$1034,""),_xlfn.LAMBDA(_xlpm.x,IF(_xlpm.x&lt;&gt;"",TRIM(CLEAN(LEFT(_xlpm.x,FIND(".",_xlpm.x &amp; ".")-1))),""))))))</f>
        <v/>
      </c>
      <c r="D582">
        <v>12.7394</v>
      </c>
      <c r="E582">
        <v>13.4391</v>
      </c>
      <c r="F582" t="str">
        <f>_xlfn.LET(_xlpm.raw,_xlfn.XLOOKUP(A582,SITE1!$C$4:$C$1034,SITE1!$E$4:$E$1034),_xlpm.cleanRaw,SUBSTITUTE(SUBSTITUTE(_xlpm.raw,"_PIN","."),"PIN","."),_xlpm.mainPart,MID(_xlpm.cleanRaw,2,FIND(".",_xlpm.cleanRaw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2" t="str">
        <f>_xlfn.LET(_xlpm.raw,_xlfn.XLOOKUP(A582,SITE3!$C$4:$C$1034,SITE3!$E$4:$E$1034),_xlpm.cleanRaw,SUBSTITUTE(SUBSTITUTE(_xlpm.raw,"_PIN","."),"PIN","."),_xlpm.mainPart,MID(_xlpm.cleanRaw,2,FIND(".",_xlpm.cleanRaw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2" t="str">
        <f>""</f>
        <v/>
      </c>
      <c r="I582" t="str">
        <f>""</f>
        <v/>
      </c>
      <c r="J582" t="str">
        <f t="shared" si="9"/>
        <v>AH29;VSS;;12.7394;13.4391;;;;</v>
      </c>
    </row>
    <row r="583" spans="1:10">
      <c r="A583" t="s">
        <v>3779</v>
      </c>
      <c r="B583" t="str">
        <f>_xlfn.XLOOKUP(A583,SITE1!$V$4:$V$1034,SITE1!$U$4:$U$1034,"")</f>
        <v>VSS</v>
      </c>
      <c r="C583" t="str" cm="1">
        <f t="array" ref="C583">_xlfn.TEXTJOIN(",",TRUE,_xlfn.UNIQUE(TRANSPOSE(_xlfn.MAP(_xlfn.XLOOKUP(A583,SITE1!$C$4:$C$1034,SITE1!$F$4:$O$1034,""),_xlfn.LAMBDA(_xlpm.x,IF(_xlpm.x&lt;&gt;"",TRIM(CLEAN(LEFT(_xlpm.x,FIND(".",_xlpm.x &amp; ".")-1))),""))))))</f>
        <v/>
      </c>
      <c r="D583">
        <v>12.7394</v>
      </c>
      <c r="E583">
        <v>14.2137999999999</v>
      </c>
      <c r="F583" t="str">
        <f>_xlfn.LET(_xlpm.raw,_xlfn.XLOOKUP(A583,SITE1!$C$4:$C$1034,SITE1!$E$4:$E$1034),_xlpm.cleanRaw,SUBSTITUTE(SUBSTITUTE(_xlpm.raw,"_PIN","."),"PIN","."),_xlpm.mainPart,MID(_xlpm.cleanRaw,2,FIND(".",_xlpm.cleanRaw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3" t="str">
        <f>_xlfn.LET(_xlpm.raw,_xlfn.XLOOKUP(A583,SITE3!$C$4:$C$1034,SITE3!$E$4:$E$1034),_xlpm.cleanRaw,SUBSTITUTE(SUBSTITUTE(_xlpm.raw,"_PIN","."),"PIN","."),_xlpm.mainPart,MID(_xlpm.cleanRaw,2,FIND(".",_xlpm.cleanRaw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3" t="str">
        <f>""</f>
        <v/>
      </c>
      <c r="I583" t="str">
        <f>""</f>
        <v/>
      </c>
      <c r="J583" t="str">
        <f t="shared" si="9"/>
        <v>AH31;VSS;;12.7394;14.2137999999999;;;;</v>
      </c>
    </row>
    <row r="584" spans="1:10">
      <c r="A584" t="s">
        <v>3780</v>
      </c>
      <c r="B584" t="str">
        <f>_xlfn.XLOOKUP(A584,SITE1!$V$4:$V$1034,SITE1!$U$4:$U$1034,"")</f>
        <v>VSS</v>
      </c>
      <c r="C584" t="str" cm="1">
        <f t="array" ref="C584">_xlfn.TEXTJOIN(",",TRUE,_xlfn.UNIQUE(TRANSPOSE(_xlfn.MAP(_xlfn.XLOOKUP(A584,SITE1!$C$4:$C$1034,SITE1!$F$4:$O$1034,""),_xlfn.LAMBDA(_xlpm.x,IF(_xlpm.x&lt;&gt;"",TRIM(CLEAN(LEFT(_xlpm.x,FIND(".",_xlpm.x &amp; ".")-1))),""))))))</f>
        <v/>
      </c>
      <c r="D584">
        <v>12.7394</v>
      </c>
      <c r="E584">
        <v>14.9885</v>
      </c>
      <c r="F584" t="str">
        <f>_xlfn.LET(_xlpm.raw,_xlfn.XLOOKUP(A584,SITE1!$C$4:$C$1034,SITE1!$E$4:$E$1034),_xlpm.cleanRaw,SUBSTITUTE(SUBSTITUTE(_xlpm.raw,"_PIN","."),"PIN","."),_xlpm.mainPart,MID(_xlpm.cleanRaw,2,FIND(".",_xlpm.cleanRaw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4" t="str">
        <f>_xlfn.LET(_xlpm.raw,_xlfn.XLOOKUP(A584,SITE3!$C$4:$C$1034,SITE3!$E$4:$E$1034),_xlpm.cleanRaw,SUBSTITUTE(SUBSTITUTE(_xlpm.raw,"_PIN","."),"PIN","."),_xlpm.mainPart,MID(_xlpm.cleanRaw,2,FIND(".",_xlpm.cleanRaw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4" t="str">
        <f>""</f>
        <v/>
      </c>
      <c r="I584" t="str">
        <f>""</f>
        <v/>
      </c>
      <c r="J584" t="str">
        <f t="shared" si="9"/>
        <v>AH32;VSS;;12.7394;14.9885;;;;</v>
      </c>
    </row>
    <row r="585" spans="1:10">
      <c r="A585" t="s">
        <v>3781</v>
      </c>
      <c r="B585" t="str">
        <f>_xlfn.XLOOKUP(A585,SITE1!$V$4:$V$1034,SITE1!$U$4:$U$1034,"")</f>
        <v>VSS</v>
      </c>
      <c r="C585" t="str" cm="1">
        <f t="array" ref="C585">_xlfn.TEXTJOIN(",",TRUE,_xlfn.UNIQUE(TRANSPOSE(_xlfn.MAP(_xlfn.XLOOKUP(A585,SITE1!$C$4:$C$1034,SITE1!$F$4:$O$1034,""),_xlfn.LAMBDA(_xlpm.x,IF(_xlpm.x&lt;&gt;"",TRIM(CLEAN(LEFT(_xlpm.x,FIND(".",_xlpm.x &amp; ".")-1))),""))))))</f>
        <v/>
      </c>
      <c r="D585">
        <v>12.7394</v>
      </c>
      <c r="E585">
        <v>15.763199999999999</v>
      </c>
      <c r="F585" t="str">
        <f>_xlfn.LET(_xlpm.raw,_xlfn.XLOOKUP(A585,SITE1!$C$4:$C$1034,SITE1!$E$4:$E$1034),_xlpm.cleanRaw,SUBSTITUTE(SUBSTITUTE(_xlpm.raw,"_PIN","."),"PIN","."),_xlpm.mainPart,MID(_xlpm.cleanRaw,2,FIND(".",_xlpm.cleanRaw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5" t="str">
        <f>_xlfn.LET(_xlpm.raw,_xlfn.XLOOKUP(A585,SITE3!$C$4:$C$1034,SITE3!$E$4:$E$1034),_xlpm.cleanRaw,SUBSTITUTE(SUBSTITUTE(_xlpm.raw,"_PIN","."),"PIN","."),_xlpm.mainPart,MID(_xlpm.cleanRaw,2,FIND(".",_xlpm.cleanRaw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5" t="str">
        <f>""</f>
        <v/>
      </c>
      <c r="I585" t="str">
        <f>""</f>
        <v/>
      </c>
      <c r="J585" t="str">
        <f t="shared" si="9"/>
        <v>AH34;VSS;;12.7394;15.7632;;;;</v>
      </c>
    </row>
    <row r="586" spans="1:10">
      <c r="A586" t="s">
        <v>3782</v>
      </c>
      <c r="B586" t="str">
        <f>_xlfn.XLOOKUP(A586,SITE1!$V$4:$V$1034,SITE1!$U$4:$U$1034,"")</f>
        <v>VSS</v>
      </c>
      <c r="C586" t="str" cm="1">
        <f t="array" ref="C586">_xlfn.TEXTJOIN(",",TRUE,_xlfn.UNIQUE(TRANSPOSE(_xlfn.MAP(_xlfn.XLOOKUP(A586,SITE1!$C$4:$C$1034,SITE1!$F$4:$O$1034,""),_xlfn.LAMBDA(_xlpm.x,IF(_xlpm.x&lt;&gt;"",TRIM(CLEAN(LEFT(_xlpm.x,FIND(".",_xlpm.x &amp; ".")-1))),""))))))</f>
        <v/>
      </c>
      <c r="D586">
        <v>12.7394</v>
      </c>
      <c r="E586">
        <v>16.5379</v>
      </c>
      <c r="F586" t="str">
        <f>_xlfn.LET(_xlpm.raw,_xlfn.XLOOKUP(A586,SITE1!$C$4:$C$1034,SITE1!$E$4:$E$1034),_xlpm.cleanRaw,SUBSTITUTE(SUBSTITUTE(_xlpm.raw,"_PIN","."),"PIN","."),_xlpm.mainPart,MID(_xlpm.cleanRaw,2,FIND(".",_xlpm.cleanRaw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6" t="str">
        <f>_xlfn.LET(_xlpm.raw,_xlfn.XLOOKUP(A586,SITE3!$C$4:$C$1034,SITE3!$E$4:$E$1034),_xlpm.cleanRaw,SUBSTITUTE(SUBSTITUTE(_xlpm.raw,"_PIN","."),"PIN","."),_xlpm.mainPart,MID(_xlpm.cleanRaw,2,FIND(".",_xlpm.cleanRaw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6" t="str">
        <f>""</f>
        <v/>
      </c>
      <c r="I586" t="str">
        <f>""</f>
        <v/>
      </c>
      <c r="J586" t="str">
        <f t="shared" si="9"/>
        <v>AH36;VSS;;12.7394;16.5379;;;;</v>
      </c>
    </row>
    <row r="587" spans="1:10">
      <c r="A587" t="s">
        <v>3572</v>
      </c>
      <c r="B587" t="str">
        <f>_xlfn.XLOOKUP(A587,SITE1!$V$4:$V$1034,SITE1!$U$4:$U$1034,"")</f>
        <v>VCCMPHY_0P82</v>
      </c>
      <c r="C587" t="str" cm="1">
        <f t="array" ref="C587">_xlfn.TEXTJOIN(",",TRUE,_xlfn.UNIQUE(TRANSPOSE(_xlfn.MAP(_xlfn.XLOOKUP(A587,SITE1!$C$4:$C$1034,SITE1!$F$4:$O$1034,""),_xlfn.LAMBDA(_xlpm.x,IF(_xlpm.x&lt;&gt;"",TRIM(CLEAN(LEFT(_xlpm.x,FIND(".",_xlpm.x &amp; ".")-1))),""))))))</f>
        <v/>
      </c>
      <c r="D587">
        <v>12.7394</v>
      </c>
      <c r="E587">
        <v>17.3126</v>
      </c>
      <c r="F587" t="str">
        <f>_xlfn.LET(_xlpm.raw,_xlfn.XLOOKUP(A587,SITE1!$C$4:$C$1034,SITE1!$E$4:$E$1034),_xlpm.cleanRaw,SUBSTITUTE(SUBSTITUTE(_xlpm.raw,"_PIN","."),"PIN","."),_xlpm.mainPart,MID(_xlpm.cleanRaw,2,FIND(".",_xlpm.cleanRaw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7" t="str">
        <f>_xlfn.LET(_xlpm.raw,_xlfn.XLOOKUP(A587,SITE3!$C$4:$C$1034,SITE3!$E$4:$E$1034),_xlpm.cleanRaw,SUBSTITUTE(SUBSTITUTE(_xlpm.raw,"_PIN","."),"PIN","."),_xlpm.mainPart,MID(_xlpm.cleanRaw,2,FIND(".",_xlpm.cleanRaw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7" t="str">
        <f>""</f>
        <v/>
      </c>
      <c r="I587" t="str">
        <f>""</f>
        <v/>
      </c>
      <c r="J587" t="str">
        <f t="shared" si="9"/>
        <v>AH37;VCCMPHY_0P82;;12.7394;17.3126;;;;</v>
      </c>
    </row>
    <row r="588" spans="1:10">
      <c r="A588" t="s">
        <v>3553</v>
      </c>
      <c r="B588" t="str">
        <f>_xlfn.XLOOKUP(A588,SITE1!$V$4:$V$1034,SITE1!$U$4:$U$1034,"")</f>
        <v>VCCFUSE_0P82</v>
      </c>
      <c r="C588" t="str" cm="1">
        <f t="array" ref="C588">_xlfn.TEXTJOIN(",",TRUE,_xlfn.UNIQUE(TRANSPOSE(_xlfn.MAP(_xlfn.XLOOKUP(A588,SITE1!$C$4:$C$1034,SITE1!$F$4:$O$1034,""),_xlfn.LAMBDA(_xlpm.x,IF(_xlpm.x&lt;&gt;"",TRIM(CLEAN(LEFT(_xlpm.x,FIND(".",_xlpm.x &amp; ".")-1))),""))))))</f>
        <v/>
      </c>
      <c r="D588">
        <v>12.543799999999999</v>
      </c>
      <c r="E588">
        <v>18.218299999999999</v>
      </c>
      <c r="F588" t="str">
        <f>_xlfn.LET(_xlpm.raw,_xlfn.XLOOKUP(A588,SITE1!$C$4:$C$1034,SITE1!$E$4:$E$1034),_xlpm.cleanRaw,SUBSTITUTE(SUBSTITUTE(_xlpm.raw,"_PIN","."),"PIN","."),_xlpm.mainPart,MID(_xlpm.cleanRaw,2,FIND(".",_xlpm.cleanRaw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8" t="str">
        <f>_xlfn.LET(_xlpm.raw,_xlfn.XLOOKUP(A588,SITE3!$C$4:$C$1034,SITE3!$E$4:$E$1034),_xlpm.cleanRaw,SUBSTITUTE(SUBSTITUTE(_xlpm.raw,"_PIN","."),"PIN","."),_xlpm.mainPart,MID(_xlpm.cleanRaw,2,FIND(".",_xlpm.cleanRaw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8" t="str">
        <f>""</f>
        <v/>
      </c>
      <c r="I588" t="str">
        <f>""</f>
        <v/>
      </c>
      <c r="J588" t="str">
        <f t="shared" si="9"/>
        <v>AH39;VCCFUSE_0P82;;12.5438;18.2183;;;;</v>
      </c>
    </row>
    <row r="589" spans="1:10">
      <c r="A589" t="s">
        <v>3783</v>
      </c>
      <c r="B589" t="str">
        <f>_xlfn.XLOOKUP(A589,SITE1!$V$4:$V$1034,SITE1!$U$4:$U$1034,"")</f>
        <v>VSS</v>
      </c>
      <c r="C589" t="str" cm="1">
        <f t="array" ref="C589">_xlfn.TEXTJOIN(",",TRUE,_xlfn.UNIQUE(TRANSPOSE(_xlfn.MAP(_xlfn.XLOOKUP(A589,SITE1!$C$4:$C$1034,SITE1!$F$4:$O$1034,""),_xlfn.LAMBDA(_xlpm.x,IF(_xlpm.x&lt;&gt;"",TRIM(CLEAN(LEFT(_xlpm.x,FIND(".",_xlpm.x &amp; ".")-1))),""))))))</f>
        <v/>
      </c>
      <c r="D589">
        <v>12.543799999999999</v>
      </c>
      <c r="E589">
        <v>18.9422</v>
      </c>
      <c r="F589" t="str">
        <f>_xlfn.LET(_xlpm.raw,_xlfn.XLOOKUP(A589,SITE1!$C$4:$C$1034,SITE1!$E$4:$E$1034),_xlpm.cleanRaw,SUBSTITUTE(SUBSTITUTE(_xlpm.raw,"_PIN","."),"PIN","."),_xlpm.mainPart,MID(_xlpm.cleanRaw,2,FIND(".",_xlpm.cleanRaw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9" t="str">
        <f>_xlfn.LET(_xlpm.raw,_xlfn.XLOOKUP(A589,SITE3!$C$4:$C$1034,SITE3!$E$4:$E$1034),_xlpm.cleanRaw,SUBSTITUTE(SUBSTITUTE(_xlpm.raw,"_PIN","."),"PIN","."),_xlpm.mainPart,MID(_xlpm.cleanRaw,2,FIND(".",_xlpm.cleanRaw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9" t="str">
        <f>""</f>
        <v/>
      </c>
      <c r="I589" t="str">
        <f>""</f>
        <v/>
      </c>
      <c r="J589" t="str">
        <f t="shared" si="9"/>
        <v>AH41;VSS;;12.5438;18.9422;;;;</v>
      </c>
    </row>
    <row r="590" spans="1:10">
      <c r="A590" t="s">
        <v>3652</v>
      </c>
      <c r="B590" t="str">
        <f>_xlfn.XLOOKUP(A590,SITE1!$V$4:$V$1034,SITE1!$U$4:$U$1034,"")</f>
        <v>VCCPSPI</v>
      </c>
      <c r="C590" t="str" cm="1">
        <f t="array" ref="C590">_xlfn.TEXTJOIN(",",TRUE,_xlfn.UNIQUE(TRANSPOSE(_xlfn.MAP(_xlfn.XLOOKUP(A590,SITE1!$C$4:$C$1034,SITE1!$F$4:$O$1034,""),_xlfn.LAMBDA(_xlpm.x,IF(_xlpm.x&lt;&gt;"",TRIM(CLEAN(LEFT(_xlpm.x,FIND(".",_xlpm.x &amp; ".")-1))),""))))))</f>
        <v/>
      </c>
      <c r="D590">
        <v>12.543799999999999</v>
      </c>
      <c r="E590">
        <v>19.6661</v>
      </c>
      <c r="F590" t="str">
        <f>_xlfn.LET(_xlpm.raw,_xlfn.XLOOKUP(A590,SITE1!$C$4:$C$1034,SITE1!$E$4:$E$1034),_xlpm.cleanRaw,SUBSTITUTE(SUBSTITUTE(_xlpm.raw,"_PIN","."),"PIN","."),_xlpm.mainPart,MID(_xlpm.cleanRaw,2,FIND(".",_xlpm.cleanRaw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0" t="str">
        <f>_xlfn.LET(_xlpm.raw,_xlfn.XLOOKUP(A590,SITE3!$C$4:$C$1034,SITE3!$E$4:$E$1034),_xlpm.cleanRaw,SUBSTITUTE(SUBSTITUTE(_xlpm.raw,"_PIN","."),"PIN","."),_xlpm.mainPart,MID(_xlpm.cleanRaw,2,FIND(".",_xlpm.cleanRaw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0" t="str">
        <f>""</f>
        <v/>
      </c>
      <c r="I590" t="str">
        <f>""</f>
        <v/>
      </c>
      <c r="J590" t="str">
        <f t="shared" si="9"/>
        <v>AH42;VCCPSPI;;12.5438;19.6661;;;;</v>
      </c>
    </row>
    <row r="591" spans="1:10">
      <c r="A591" t="s">
        <v>2860</v>
      </c>
      <c r="B591" t="str">
        <f>_xlfn.XLOOKUP(A591,SITE1!$V$4:$V$1034,SITE1!$U$4:$U$1034,"")</f>
        <v>SPI0_FLASH_1_CSB</v>
      </c>
      <c r="C591" t="str" cm="1">
        <f t="array" ref="C591">_xlfn.TEXTJOIN(",",TRUE,_xlfn.UNIQUE(TRANSPOSE(_xlfn.MAP(_xlfn.XLOOKUP(A591,SITE1!$C$4:$C$1034,SITE1!$F$4:$O$1034,""),_xlfn.LAMBDA(_xlpm.x,IF(_xlpm.x&lt;&gt;"",TRIM(CLEAN(LEFT(_xlpm.x,FIND(".",_xlpm.x &amp; ".")-1))),""))))))</f>
        <v/>
      </c>
      <c r="D591">
        <v>12.543799999999999</v>
      </c>
      <c r="E591">
        <v>20.39</v>
      </c>
      <c r="F591" t="str">
        <f>_xlfn.LET(_xlpm.raw,_xlfn.XLOOKUP(A591,SITE1!$C$4:$C$1034,SITE1!$E$4:$E$1034),_xlpm.cleanRaw,SUBSTITUTE(SUBSTITUTE(_xlpm.raw,"_PIN","."),"PIN","."),_xlpm.mainPart,MID(_xlpm.cleanRaw,2,FIND(".",_xlpm.cleanRaw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704122</v>
      </c>
      <c r="G591" t="str">
        <f>_xlfn.LET(_xlpm.raw,_xlfn.XLOOKUP(A591,SITE3!$C$4:$C$1034,SITE3!$E$4:$E$1034),_xlpm.cleanRaw,SUBSTITUTE(SUBSTITUTE(_xlpm.raw,"_PIN","."),"PIN","."),_xlpm.mainPart,MID(_xlpm.cleanRaw,2,FIND(".",_xlpm.cleanRaw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504122</v>
      </c>
      <c r="H591" t="str">
        <f>""</f>
        <v/>
      </c>
      <c r="I591" t="str">
        <f>""</f>
        <v/>
      </c>
      <c r="J591" t="str">
        <f t="shared" si="9"/>
        <v>AH44;SPI0_FLASH_1_CSB;;12.5438;20.39;704122;504122;;</v>
      </c>
    </row>
    <row r="592" spans="1:10">
      <c r="A592" t="s">
        <v>1869</v>
      </c>
      <c r="B592" t="str">
        <f>_xlfn.XLOOKUP(A592,SITE1!$V$4:$V$1034,SITE1!$U$4:$U$1034,"")</f>
        <v>MLK_RSTB</v>
      </c>
      <c r="C592" t="str" cm="1">
        <f t="array" ref="C592">_xlfn.TEXTJOIN(",",TRUE,_xlfn.UNIQUE(TRANSPOSE(_xlfn.MAP(_xlfn.XLOOKUP(A592,SITE1!$C$4:$C$1034,SITE1!$F$4:$O$1034,""),_xlfn.LAMBDA(_xlpm.x,IF(_xlpm.x&lt;&gt;"",TRIM(CLEAN(LEFT(_xlpm.x,FIND(".",_xlpm.x &amp; ".")-1))),""))))))</f>
        <v/>
      </c>
      <c r="D592">
        <v>12.543799999999999</v>
      </c>
      <c r="E592">
        <v>21.113900000000001</v>
      </c>
      <c r="F592" t="str">
        <f>_xlfn.LET(_xlpm.raw,_xlfn.XLOOKUP(A592,SITE1!$C$4:$C$1034,SITE1!$E$4:$E$1034),_xlpm.cleanRaw,SUBSTITUTE(SUBSTITUTE(_xlpm.raw,"_PIN","."),"PIN","."),_xlpm.mainPart,MID(_xlpm.cleanRaw,2,FIND(".",_xlpm.cleanRaw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607038</v>
      </c>
      <c r="G592" t="str">
        <f>_xlfn.LET(_xlpm.raw,_xlfn.XLOOKUP(A592,SITE3!$C$4:$C$1034,SITE3!$E$4:$E$1034),_xlpm.cleanRaw,SUBSTITUTE(SUBSTITUTE(_xlpm.raw,"_PIN","."),"PIN","."),_xlpm.mainPart,MID(_xlpm.cleanRaw,2,FIND(".",_xlpm.cleanRaw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807038</v>
      </c>
      <c r="H592" t="str">
        <f>""</f>
        <v/>
      </c>
      <c r="I592" t="str">
        <f>""</f>
        <v/>
      </c>
      <c r="J592" t="str">
        <f t="shared" si="9"/>
        <v>AH45;MLK_RSTB;;12.5438;21.1139;607038;807038;;</v>
      </c>
    </row>
    <row r="593" spans="1:10">
      <c r="A593" t="s">
        <v>1424</v>
      </c>
      <c r="B593" t="str">
        <f>_xlfn.XLOOKUP(A593,SITE1!$V$4:$V$1034,SITE1!$U$4:$U$1034,"")</f>
        <v>GPP_H_14_SML3ALERTB</v>
      </c>
      <c r="C593" t="str" cm="1">
        <f t="array" ref="C593">_xlfn.TEXTJOIN(",",TRUE,_xlfn.UNIQUE(TRANSPOSE(_xlfn.MAP(_xlfn.XLOOKUP(A593,SITE1!$C$4:$C$1034,SITE1!$F$4:$O$1034,""),_xlfn.LAMBDA(_xlpm.x,IF(_xlpm.x&lt;&gt;"",TRIM(CLEAN(LEFT(_xlpm.x,FIND(".",_xlpm.x &amp; ".")-1))),""))))))</f>
        <v/>
      </c>
      <c r="D593">
        <v>12.791499999999999</v>
      </c>
      <c r="E593">
        <v>24.894500000000001</v>
      </c>
      <c r="F593" t="str">
        <f>_xlfn.LET(_xlpm.raw,_xlfn.XLOOKUP(A593,SITE1!$C$4:$C$1034,SITE1!$E$4:$E$1034),_xlpm.cleanRaw,SUBSTITUTE(SUBSTITUTE(_xlpm.raw,"_PIN","."),"PIN","."),_xlpm.mainPart,MID(_xlpm.cleanRaw,2,FIND(".",_xlpm.cleanRaw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701097</v>
      </c>
      <c r="G593" t="str">
        <f>_xlfn.LET(_xlpm.raw,_xlfn.XLOOKUP(A593,SITE3!$C$4:$C$1034,SITE3!$E$4:$E$1034),_xlpm.cleanRaw,SUBSTITUTE(SUBSTITUTE(_xlpm.raw,"_PIN","."),"PIN","."),_xlpm.mainPart,MID(_xlpm.cleanRaw,2,FIND(".",_xlpm.cleanRaw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501097</v>
      </c>
      <c r="H593" t="str">
        <f>""</f>
        <v/>
      </c>
      <c r="I593" t="str">
        <f>""</f>
        <v/>
      </c>
      <c r="J593" t="str">
        <f t="shared" si="9"/>
        <v>AH53;GPP_H_14_SML3ALERTB;;12.7915;24.8945;701097;501097;;</v>
      </c>
    </row>
    <row r="594" spans="1:10">
      <c r="A594" t="s">
        <v>1434</v>
      </c>
      <c r="B594" t="str">
        <f>_xlfn.XLOOKUP(A594,SITE1!$V$4:$V$1034,SITE1!$U$4:$U$1034,"")</f>
        <v>GPP_H_16_SML4DATA</v>
      </c>
      <c r="C594" t="str" cm="1">
        <f t="array" ref="C594">_xlfn.TEXTJOIN(",",TRUE,_xlfn.UNIQUE(TRANSPOSE(_xlfn.MAP(_xlfn.XLOOKUP(A594,SITE1!$C$4:$C$1034,SITE1!$F$4:$O$1034,""),_xlfn.LAMBDA(_xlpm.x,IF(_xlpm.x&lt;&gt;"",TRIM(CLEAN(LEFT(_xlpm.x,FIND(".",_xlpm.x &amp; ".")-1))),""))))))</f>
        <v/>
      </c>
      <c r="D594">
        <v>12.3828</v>
      </c>
      <c r="E594">
        <v>25.724799999999998</v>
      </c>
      <c r="F594" t="str">
        <f>_xlfn.LET(_xlpm.raw,_xlfn.XLOOKUP(A594,SITE1!$C$4:$C$1034,SITE1!$E$4:$E$1034),_xlpm.cleanRaw,SUBSTITUTE(SUBSTITUTE(_xlpm.raw,"_PIN","."),"PIN","."),_xlpm.mainPart,MID(_xlpm.cleanRaw,2,FIND(".",_xlpm.cleanRaw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702077</v>
      </c>
      <c r="G594" t="str">
        <f>_xlfn.LET(_xlpm.raw,_xlfn.XLOOKUP(A594,SITE3!$C$4:$C$1034,SITE3!$E$4:$E$1034),_xlpm.cleanRaw,SUBSTITUTE(SUBSTITUTE(_xlpm.raw,"_PIN","."),"PIN","."),_xlpm.mainPart,MID(_xlpm.cleanRaw,2,FIND(".",_xlpm.cleanRaw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502077</v>
      </c>
      <c r="H594" t="str">
        <f>""</f>
        <v/>
      </c>
      <c r="I594" t="str">
        <f>""</f>
        <v/>
      </c>
      <c r="J594" t="str">
        <f t="shared" si="9"/>
        <v>AH55;GPP_H_16_SML4DATA;;12.3828;25.7248;702077;502077;;</v>
      </c>
    </row>
    <row r="595" spans="1:10">
      <c r="A595" t="s">
        <v>1429</v>
      </c>
      <c r="B595" t="str">
        <f>_xlfn.XLOOKUP(A595,SITE1!$V$4:$V$1034,SITE1!$U$4:$U$1034,"")</f>
        <v>GPP_H_15_SML4CLK</v>
      </c>
      <c r="C595" t="str" cm="1">
        <f t="array" ref="C595">_xlfn.TEXTJOIN(",",TRUE,_xlfn.UNIQUE(TRANSPOSE(_xlfn.MAP(_xlfn.XLOOKUP(A595,SITE1!$C$4:$C$1034,SITE1!$F$4:$O$1034,""),_xlfn.LAMBDA(_xlpm.x,IF(_xlpm.x&lt;&gt;"",TRIM(CLEAN(LEFT(_xlpm.x,FIND(".",_xlpm.x &amp; ".")-1))),""))))))</f>
        <v/>
      </c>
      <c r="D595">
        <v>12.3828</v>
      </c>
      <c r="E595">
        <v>26.2256</v>
      </c>
      <c r="F595" t="str">
        <f>_xlfn.LET(_xlpm.raw,_xlfn.XLOOKUP(A595,SITE1!$C$4:$C$1034,SITE1!$E$4:$E$1034),_xlpm.cleanRaw,SUBSTITUTE(SUBSTITUTE(_xlpm.raw,"_PIN","."),"PIN","."),_xlpm.mainPart,MID(_xlpm.cleanRaw,2,FIND(".",_xlpm.cleanRaw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701091</v>
      </c>
      <c r="G595" t="str">
        <f>_xlfn.LET(_xlpm.raw,_xlfn.XLOOKUP(A595,SITE3!$C$4:$C$1034,SITE3!$E$4:$E$1034),_xlpm.cleanRaw,SUBSTITUTE(SUBSTITUTE(_xlpm.raw,"_PIN","."),"PIN","."),_xlpm.mainPart,MID(_xlpm.cleanRaw,2,FIND(".",_xlpm.cleanRaw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501091</v>
      </c>
      <c r="H595" t="str">
        <f>""</f>
        <v/>
      </c>
      <c r="I595" t="str">
        <f>""</f>
        <v/>
      </c>
      <c r="J595" t="str">
        <f t="shared" si="9"/>
        <v>AH56;GPP_H_15_SML4CLK;;12.3828;26.2256;701091;501091;;</v>
      </c>
    </row>
    <row r="596" spans="1:10">
      <c r="A596" t="s">
        <v>3784</v>
      </c>
      <c r="B596" t="str">
        <f>_xlfn.XLOOKUP(A596,SITE1!$V$4:$V$1034,SITE1!$U$4:$U$1034,"")</f>
        <v>VSS</v>
      </c>
      <c r="C596" t="str" cm="1">
        <f t="array" ref="C596">_xlfn.TEXTJOIN(",",TRUE,_xlfn.UNIQUE(TRANSPOSE(_xlfn.MAP(_xlfn.XLOOKUP(A596,SITE1!$C$4:$C$1034,SITE1!$F$4:$O$1034,""),_xlfn.LAMBDA(_xlpm.x,IF(_xlpm.x&lt;&gt;"",TRIM(CLEAN(LEFT(_xlpm.x,FIND(".",_xlpm.x &amp; ".")-1))),""))))))</f>
        <v/>
      </c>
      <c r="D596">
        <v>12.867699999999999</v>
      </c>
      <c r="E596">
        <v>0</v>
      </c>
      <c r="F596" t="str">
        <f>_xlfn.LET(_xlpm.raw,_xlfn.XLOOKUP(A596,SITE1!$C$4:$C$1034,SITE1!$E$4:$E$1034),_xlpm.cleanRaw,SUBSTITUTE(SUBSTITUTE(_xlpm.raw,"_PIN","."),"PIN","."),_xlpm.mainPart,MID(_xlpm.cleanRaw,2,FIND(".",_xlpm.cleanRaw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6" t="str">
        <f>_xlfn.LET(_xlpm.raw,_xlfn.XLOOKUP(A596,SITE3!$C$4:$C$1034,SITE3!$E$4:$E$1034),_xlpm.cleanRaw,SUBSTITUTE(SUBSTITUTE(_xlpm.raw,"_PIN","."),"PIN","."),_xlpm.mainPart,MID(_xlpm.cleanRaw,2,FIND(".",_xlpm.cleanRaw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6" t="str">
        <f>""</f>
        <v/>
      </c>
      <c r="I596" t="str">
        <f>""</f>
        <v/>
      </c>
      <c r="J596" t="str">
        <f t="shared" si="9"/>
        <v>AJ1;VSS;;12.8677;0;;;;</v>
      </c>
    </row>
    <row r="597" spans="1:10">
      <c r="A597" t="s">
        <v>2836</v>
      </c>
      <c r="B597" t="str">
        <f>_xlfn.XLOOKUP(A597,SITE1!$V$4:$V$1034,SITE1!$U$4:$U$1034,"")</f>
        <v>SLP_LANB</v>
      </c>
      <c r="C597" t="str" cm="1">
        <f t="array" ref="C597">_xlfn.TEXTJOIN(",",TRUE,_xlfn.UNIQUE(TRANSPOSE(_xlfn.MAP(_xlfn.XLOOKUP(A597,SITE1!$C$4:$C$1034,SITE1!$F$4:$O$1034,""),_xlfn.LAMBDA(_xlpm.x,IF(_xlpm.x&lt;&gt;"",TRIM(CLEAN(LEFT(_xlpm.x,FIND(".",_xlpm.x &amp; ".")-1))),""))))))</f>
        <v/>
      </c>
      <c r="D597">
        <v>13.061</v>
      </c>
      <c r="E597">
        <v>0.52369999999999906</v>
      </c>
      <c r="F597" t="str">
        <f>_xlfn.LET(_xlpm.raw,_xlfn.XLOOKUP(A597,SITE1!$C$4:$C$1034,SITE1!$E$4:$E$1034),_xlpm.cleanRaw,SUBSTITUTE(SUBSTITUTE(_xlpm.raw,"_PIN","."),"PIN","."),_xlpm.mainPart,MID(_xlpm.cleanRaw,2,FIND(".",_xlpm.cleanRaw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603089</v>
      </c>
      <c r="G597" t="str">
        <f>_xlfn.LET(_xlpm.raw,_xlfn.XLOOKUP(A597,SITE3!$C$4:$C$1034,SITE3!$E$4:$E$1034),_xlpm.cleanRaw,SUBSTITUTE(SUBSTITUTE(_xlpm.raw,"_PIN","."),"PIN","."),_xlpm.mainPart,MID(_xlpm.cleanRaw,2,FIND(".",_xlpm.cleanRaw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803089</v>
      </c>
      <c r="H597" t="str">
        <f>""</f>
        <v/>
      </c>
      <c r="I597" t="str">
        <f>""</f>
        <v/>
      </c>
      <c r="J597" t="str">
        <f t="shared" si="9"/>
        <v>AJ2;SLP_LANB;;13.061;0.523699999999999;603089;803089;;</v>
      </c>
    </row>
    <row r="598" spans="1:10">
      <c r="A598" t="s">
        <v>703</v>
      </c>
      <c r="B598" t="str">
        <f>_xlfn.XLOOKUP(A598,SITE1!$V$4:$V$1034,SITE1!$U$4:$U$1034,"")</f>
        <v>GPD_3_PWRBTNB</v>
      </c>
      <c r="C598" t="str" cm="1">
        <f t="array" ref="C598">_xlfn.TEXTJOIN(",",TRUE,_xlfn.UNIQUE(TRANSPOSE(_xlfn.MAP(_xlfn.XLOOKUP(A598,SITE1!$C$4:$C$1034,SITE1!$F$4:$O$1034,""),_xlfn.LAMBDA(_xlpm.x,IF(_xlpm.x&lt;&gt;"",TRIM(CLEAN(LEFT(_xlpm.x,FIND(".",_xlpm.x &amp; ".")-1))),""))))))</f>
        <v/>
      </c>
      <c r="D598">
        <v>13.091199999999899</v>
      </c>
      <c r="E598">
        <v>1.02609999999999</v>
      </c>
      <c r="F598" t="str">
        <f>_xlfn.LET(_xlpm.raw,_xlfn.XLOOKUP(A598,SITE1!$C$4:$C$1034,SITE1!$E$4:$E$1034),_xlpm.cleanRaw,SUBSTITUTE(SUBSTITUTE(_xlpm.raw,"_PIN","."),"PIN","."),_xlpm.mainPart,MID(_xlpm.cleanRaw,2,FIND(".",_xlpm.cleanRaw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604024</v>
      </c>
      <c r="G598" t="str">
        <f>_xlfn.LET(_xlpm.raw,_xlfn.XLOOKUP(A598,SITE3!$C$4:$C$1034,SITE3!$E$4:$E$1034),_xlpm.cleanRaw,SUBSTITUTE(SUBSTITUTE(_xlpm.raw,"_PIN","."),"PIN","."),_xlpm.mainPart,MID(_xlpm.cleanRaw,2,FIND(".",_xlpm.cleanRaw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804024</v>
      </c>
      <c r="H598" t="str">
        <f>""</f>
        <v/>
      </c>
      <c r="I598" t="str">
        <f>""</f>
        <v/>
      </c>
      <c r="J598" t="str">
        <f t="shared" si="9"/>
        <v>AJ3;GPD_3_PWRBTNB;;13.0911999999999;1.02609999999999;604024;804024;;</v>
      </c>
    </row>
    <row r="599" spans="1:10">
      <c r="A599" t="s">
        <v>2841</v>
      </c>
      <c r="B599" t="str">
        <f>_xlfn.XLOOKUP(A599,SITE1!$V$4:$V$1034,SITE1!$U$4:$U$1034,"")</f>
        <v>SLP_SUSB</v>
      </c>
      <c r="C599" t="str" cm="1">
        <f t="array" ref="C599">_xlfn.TEXTJOIN(",",TRUE,_xlfn.UNIQUE(TRANSPOSE(_xlfn.MAP(_xlfn.XLOOKUP(A599,SITE1!$C$4:$C$1034,SITE1!$F$4:$O$1034,""),_xlfn.LAMBDA(_xlpm.x,IF(_xlpm.x&lt;&gt;"",TRIM(CLEAN(LEFT(_xlpm.x,FIND(".",_xlpm.x &amp; ".")-1))),""))))))</f>
        <v/>
      </c>
      <c r="D599">
        <v>13.0099</v>
      </c>
      <c r="E599">
        <v>1.5265</v>
      </c>
      <c r="F599" t="str">
        <f>_xlfn.LET(_xlpm.raw,_xlfn.XLOOKUP(A599,SITE1!$C$4:$C$1034,SITE1!$E$4:$E$1034),_xlpm.cleanRaw,SUBSTITUTE(SUBSTITUTE(_xlpm.raw,"_PIN","."),"PIN","."),_xlpm.mainPart,MID(_xlpm.cleanRaw,2,FIND(".",_xlpm.cleanRaw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703012</v>
      </c>
      <c r="G599" t="str">
        <f>_xlfn.LET(_xlpm.raw,_xlfn.XLOOKUP(A599,SITE3!$C$4:$C$1034,SITE3!$E$4:$E$1034),_xlpm.cleanRaw,SUBSTITUTE(SUBSTITUTE(_xlpm.raw,"_PIN","."),"PIN","."),_xlpm.mainPart,MID(_xlpm.cleanRaw,2,FIND(".",_xlpm.cleanRaw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503012</v>
      </c>
      <c r="H599" t="str">
        <f>""</f>
        <v/>
      </c>
      <c r="I599" t="str">
        <f>""</f>
        <v/>
      </c>
      <c r="J599" t="str">
        <f t="shared" si="9"/>
        <v>AJ4;SLP_SUSB;;13.0099;1.5265;703012;503012;;</v>
      </c>
    </row>
    <row r="600" spans="1:10">
      <c r="A600" t="s">
        <v>714</v>
      </c>
      <c r="B600" t="str">
        <f>_xlfn.XLOOKUP(A600,SITE1!$V$4:$V$1034,SITE1!$U$4:$U$1034,"")</f>
        <v>GPD_5_SLP_S4B</v>
      </c>
      <c r="C600" t="str" cm="1">
        <f t="array" ref="C600">_xlfn.TEXTJOIN(",",TRUE,_xlfn.UNIQUE(TRANSPOSE(_xlfn.MAP(_xlfn.XLOOKUP(A600,SITE1!$C$4:$C$1034,SITE1!$F$4:$O$1034,""),_xlfn.LAMBDA(_xlpm.x,IF(_xlpm.x&lt;&gt;"",TRIM(CLEAN(LEFT(_xlpm.x,FIND(".",_xlpm.x &amp; ".")-1))),""))))))</f>
        <v/>
      </c>
      <c r="D600">
        <v>13.2042</v>
      </c>
      <c r="E600">
        <v>4.4565999999999999</v>
      </c>
      <c r="F600" t="str">
        <f>_xlfn.LET(_xlpm.raw,_xlfn.XLOOKUP(A600,SITE1!$C$4:$C$1034,SITE1!$E$4:$E$1034),_xlpm.cleanRaw,SUBSTITUTE(SUBSTITUTE(_xlpm.raw,"_PIN","."),"PIN","."),_xlpm.mainPart,MID(_xlpm.cleanRaw,2,FIND(".",_xlpm.cleanRaw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602063</v>
      </c>
      <c r="G600" t="str">
        <f>_xlfn.LET(_xlpm.raw,_xlfn.XLOOKUP(A600,SITE3!$C$4:$C$1034,SITE3!$E$4:$E$1034),_xlpm.cleanRaw,SUBSTITUTE(SUBSTITUTE(_xlpm.raw,"_PIN","."),"PIN","."),_xlpm.mainPart,MID(_xlpm.cleanRaw,2,FIND(".",_xlpm.cleanRaw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802063</v>
      </c>
      <c r="H600" t="str">
        <f>""</f>
        <v/>
      </c>
      <c r="I600" t="str">
        <f>""</f>
        <v/>
      </c>
      <c r="J600" t="str">
        <f t="shared" si="9"/>
        <v>AJ10;GPD_5_SLP_S4B;;13.2042;4.4566;602063;802063;;</v>
      </c>
    </row>
    <row r="601" spans="1:10">
      <c r="A601" t="s">
        <v>3785</v>
      </c>
      <c r="B601" t="str">
        <f>_xlfn.XLOOKUP(A601,SITE1!$V$4:$V$1034,SITE1!$U$4:$U$1034,"")</f>
        <v>VSS</v>
      </c>
      <c r="C601" t="str" cm="1">
        <f t="array" ref="C601">_xlfn.TEXTJOIN(",",TRUE,_xlfn.UNIQUE(TRANSPOSE(_xlfn.MAP(_xlfn.XLOOKUP(A601,SITE1!$C$4:$C$1034,SITE1!$F$4:$O$1034,""),_xlfn.LAMBDA(_xlpm.x,IF(_xlpm.x&lt;&gt;"",TRIM(CLEAN(LEFT(_xlpm.x,FIND(".",_xlpm.x &amp; ".")-1))),""))))))</f>
        <v/>
      </c>
      <c r="D601">
        <v>13.2042</v>
      </c>
      <c r="E601">
        <v>5.1677999999999997</v>
      </c>
      <c r="F601" t="str">
        <f>_xlfn.LET(_xlpm.raw,_xlfn.XLOOKUP(A601,SITE1!$C$4:$C$1034,SITE1!$E$4:$E$1034),_xlpm.cleanRaw,SUBSTITUTE(SUBSTITUTE(_xlpm.raw,"_PIN","."),"PIN","."),_xlpm.mainPart,MID(_xlpm.cleanRaw,2,FIND(".",_xlpm.cleanRaw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1" t="str">
        <f>_xlfn.LET(_xlpm.raw,_xlfn.XLOOKUP(A601,SITE3!$C$4:$C$1034,SITE3!$E$4:$E$1034),_xlpm.cleanRaw,SUBSTITUTE(SUBSTITUTE(_xlpm.raw,"_PIN","."),"PIN","."),_xlpm.mainPart,MID(_xlpm.cleanRaw,2,FIND(".",_xlpm.cleanRaw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1" t="str">
        <f>""</f>
        <v/>
      </c>
      <c r="I601" t="str">
        <f>""</f>
        <v/>
      </c>
      <c r="J601" t="str">
        <f t="shared" si="9"/>
        <v>AJ12;VSS;;13.2042;5.1678;;;;</v>
      </c>
    </row>
    <row r="602" spans="1:10">
      <c r="A602" t="s">
        <v>3786</v>
      </c>
      <c r="B602" t="str">
        <f>_xlfn.XLOOKUP(A602,SITE1!$V$4:$V$1034,SITE1!$U$4:$U$1034,"")</f>
        <v>VSS</v>
      </c>
      <c r="C602" t="str" cm="1">
        <f t="array" ref="C602">_xlfn.TEXTJOIN(",",TRUE,_xlfn.UNIQUE(TRANSPOSE(_xlfn.MAP(_xlfn.XLOOKUP(A602,SITE1!$C$4:$C$1034,SITE1!$F$4:$O$1034,""),_xlfn.LAMBDA(_xlpm.x,IF(_xlpm.x&lt;&gt;"",TRIM(CLEAN(LEFT(_xlpm.x,FIND(".",_xlpm.x &amp; ".")-1))),""))))))</f>
        <v/>
      </c>
      <c r="D602">
        <v>13.2042</v>
      </c>
      <c r="E602">
        <v>21.7104</v>
      </c>
      <c r="F602" t="str">
        <f>_xlfn.LET(_xlpm.raw,_xlfn.XLOOKUP(A602,SITE1!$C$4:$C$1034,SITE1!$E$4:$E$1034),_xlpm.cleanRaw,SUBSTITUTE(SUBSTITUTE(_xlpm.raw,"_PIN","."),"PIN","."),_xlpm.mainPart,MID(_xlpm.cleanRaw,2,FIND(".",_xlpm.cleanRaw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2" t="str">
        <f>_xlfn.LET(_xlpm.raw,_xlfn.XLOOKUP(A602,SITE3!$C$4:$C$1034,SITE3!$E$4:$E$1034),_xlpm.cleanRaw,SUBSTITUTE(SUBSTITUTE(_xlpm.raw,"_PIN","."),"PIN","."),_xlpm.mainPart,MID(_xlpm.cleanRaw,2,FIND(".",_xlpm.cleanRaw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2" t="str">
        <f>""</f>
        <v/>
      </c>
      <c r="I602" t="str">
        <f>""</f>
        <v/>
      </c>
      <c r="J602" t="str">
        <f t="shared" si="9"/>
        <v>AJ46;VSS;;13.2042;21.7104;;;;</v>
      </c>
    </row>
    <row r="603" spans="1:10">
      <c r="A603" t="s">
        <v>2870</v>
      </c>
      <c r="B603" t="str">
        <f>_xlfn.XLOOKUP(A603,SITE1!$V$4:$V$1034,SITE1!$U$4:$U$1034,"")</f>
        <v>SPI0_IO_3</v>
      </c>
      <c r="C603" t="str" cm="1">
        <f t="array" ref="C603">_xlfn.TEXTJOIN(",",TRUE,_xlfn.UNIQUE(TRANSPOSE(_xlfn.MAP(_xlfn.XLOOKUP(A603,SITE1!$C$4:$C$1034,SITE1!$F$4:$O$1034,""),_xlfn.LAMBDA(_xlpm.x,IF(_xlpm.x&lt;&gt;"",TRIM(CLEAN(LEFT(_xlpm.x,FIND(".",_xlpm.x &amp; ".")-1))),""))))))</f>
        <v/>
      </c>
      <c r="D603">
        <v>13.2042</v>
      </c>
      <c r="E603">
        <v>22.421599999999899</v>
      </c>
      <c r="F603" t="str">
        <f>_xlfn.LET(_xlpm.raw,_xlfn.XLOOKUP(A603,SITE1!$C$4:$C$1034,SITE1!$E$4:$E$1034),_xlpm.cleanRaw,SUBSTITUTE(SUBSTITUTE(_xlpm.raw,"_PIN","."),"PIN","."),_xlpm.mainPart,MID(_xlpm.cleanRaw,2,FIND(".",_xlpm.cleanRaw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703023</v>
      </c>
      <c r="G603" t="str">
        <f>_xlfn.LET(_xlpm.raw,_xlfn.XLOOKUP(A603,SITE3!$C$4:$C$1034,SITE3!$E$4:$E$1034),_xlpm.cleanRaw,SUBSTITUTE(SUBSTITUTE(_xlpm.raw,"_PIN","."),"PIN","."),_xlpm.mainPart,MID(_xlpm.cleanRaw,2,FIND(".",_xlpm.cleanRaw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503023</v>
      </c>
      <c r="H603" t="str">
        <f>""</f>
        <v/>
      </c>
      <c r="I603" t="str">
        <f>""</f>
        <v/>
      </c>
      <c r="J603" t="str">
        <f t="shared" si="9"/>
        <v>AJ48;SPI0_IO_3;;13.2042;22.4215999999999;703023;503023;;</v>
      </c>
    </row>
    <row r="604" spans="1:10">
      <c r="A604" t="s">
        <v>1419</v>
      </c>
      <c r="B604" t="str">
        <f>_xlfn.XLOOKUP(A604,SITE1!$V$4:$V$1034,SITE1!$U$4:$U$1034,"")</f>
        <v>GPP_H_13_SML3DATA</v>
      </c>
      <c r="C604" t="str" cm="1">
        <f t="array" ref="C604">_xlfn.TEXTJOIN(",",TRUE,_xlfn.UNIQUE(TRANSPOSE(_xlfn.MAP(_xlfn.XLOOKUP(A604,SITE1!$C$4:$C$1034,SITE1!$F$4:$O$1034,""),_xlfn.LAMBDA(_xlpm.x,IF(_xlpm.x&lt;&gt;"",TRIM(CLEAN(LEFT(_xlpm.x,FIND(".",_xlpm.x &amp; ".")-1))),""))))))</f>
        <v/>
      </c>
      <c r="D604">
        <v>13.0099</v>
      </c>
      <c r="E604">
        <v>25.351700000000001</v>
      </c>
      <c r="F604" t="str">
        <f>_xlfn.LET(_xlpm.raw,_xlfn.XLOOKUP(A604,SITE1!$C$4:$C$1034,SITE1!$E$4:$E$1034),_xlpm.cleanRaw,SUBSTITUTE(SUBSTITUTE(_xlpm.raw,"_PIN","."),"PIN","."),_xlpm.mainPart,MID(_xlpm.cleanRaw,2,FIND(".",_xlpm.cleanRaw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704090</v>
      </c>
      <c r="G604" t="str">
        <f>_xlfn.LET(_xlpm.raw,_xlfn.XLOOKUP(A604,SITE3!$C$4:$C$1034,SITE3!$E$4:$E$1034),_xlpm.cleanRaw,SUBSTITUTE(SUBSTITUTE(_xlpm.raw,"_PIN","."),"PIN","."),_xlpm.mainPart,MID(_xlpm.cleanRaw,2,FIND(".",_xlpm.cleanRaw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504090</v>
      </c>
      <c r="H604" t="str">
        <f>""</f>
        <v/>
      </c>
      <c r="I604" t="str">
        <f>""</f>
        <v/>
      </c>
      <c r="J604" t="str">
        <f t="shared" si="9"/>
        <v>AJ54;GPP_H_13_SML3DATA;;13.0099;25.3517;704090;504090;;</v>
      </c>
    </row>
    <row r="605" spans="1:10">
      <c r="A605" t="s">
        <v>1409</v>
      </c>
      <c r="B605" t="str">
        <f>_xlfn.XLOOKUP(A605,SITE1!$V$4:$V$1034,SITE1!$U$4:$U$1034,"")</f>
        <v>GPP_H_11_SML2ALERTB</v>
      </c>
      <c r="C605" t="str" cm="1">
        <f t="array" ref="C605">_xlfn.TEXTJOIN(",",TRUE,_xlfn.UNIQUE(TRANSPOSE(_xlfn.MAP(_xlfn.XLOOKUP(A605,SITE1!$C$4:$C$1034,SITE1!$F$4:$O$1034,""),_xlfn.LAMBDA(_xlpm.x,IF(_xlpm.x&lt;&gt;"",TRIM(CLEAN(LEFT(_xlpm.x,FIND(".",_xlpm.x &amp; ".")-1))),""))))))</f>
        <v/>
      </c>
      <c r="D605">
        <v>13.091199999999899</v>
      </c>
      <c r="E605">
        <v>25.8521</v>
      </c>
      <c r="F605" t="str">
        <f>_xlfn.LET(_xlpm.raw,_xlfn.XLOOKUP(A605,SITE1!$C$4:$C$1034,SITE1!$E$4:$E$1034),_xlpm.cleanRaw,SUBSTITUTE(SUBSTITUTE(_xlpm.raw,"_PIN","."),"PIN","."),_xlpm.mainPart,MID(_xlpm.cleanRaw,2,FIND(".",_xlpm.cleanRaw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701107</v>
      </c>
      <c r="G605" t="str">
        <f>_xlfn.LET(_xlpm.raw,_xlfn.XLOOKUP(A605,SITE3!$C$4:$C$1034,SITE3!$E$4:$E$1034),_xlpm.cleanRaw,SUBSTITUTE(SUBSTITUTE(_xlpm.raw,"_PIN","."),"PIN","."),_xlpm.mainPart,MID(_xlpm.cleanRaw,2,FIND(".",_xlpm.cleanRaw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501107</v>
      </c>
      <c r="H605" t="str">
        <f>""</f>
        <v/>
      </c>
      <c r="I605" t="str">
        <f>""</f>
        <v/>
      </c>
      <c r="J605" t="str">
        <f t="shared" si="9"/>
        <v>AJ55;GPP_H_11_SML2ALERTB;;13.0911999999999;25.8521;701107;501107;;</v>
      </c>
    </row>
    <row r="606" spans="1:10">
      <c r="A606" t="s">
        <v>1414</v>
      </c>
      <c r="B606" t="str">
        <f>_xlfn.XLOOKUP(A606,SITE1!$V$4:$V$1034,SITE1!$U$4:$U$1034,"")</f>
        <v>GPP_H_12_SML3CLK</v>
      </c>
      <c r="C606" t="str" cm="1">
        <f t="array" ref="C606">_xlfn.TEXTJOIN(",",TRUE,_xlfn.UNIQUE(TRANSPOSE(_xlfn.MAP(_xlfn.XLOOKUP(A606,SITE1!$C$4:$C$1034,SITE1!$F$4:$O$1034,""),_xlfn.LAMBDA(_xlpm.x,IF(_xlpm.x&lt;&gt;"",TRIM(CLEAN(LEFT(_xlpm.x,FIND(".",_xlpm.x &amp; ".")-1))),""))))))</f>
        <v/>
      </c>
      <c r="D606">
        <v>13.061</v>
      </c>
      <c r="E606">
        <v>26.354500000000002</v>
      </c>
      <c r="F606" t="str">
        <f>_xlfn.LET(_xlpm.raw,_xlfn.XLOOKUP(A606,SITE1!$C$4:$C$1034,SITE1!$E$4:$E$1034),_xlpm.cleanRaw,SUBSTITUTE(SUBSTITUTE(_xlpm.raw,"_PIN","."),"PIN","."),_xlpm.mainPart,MID(_xlpm.cleanRaw,2,FIND(".",_xlpm.cleanRaw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601034</v>
      </c>
      <c r="G606" t="str">
        <f>_xlfn.LET(_xlpm.raw,_xlfn.XLOOKUP(A606,SITE3!$C$4:$C$1034,SITE3!$E$4:$E$1034),_xlpm.cleanRaw,SUBSTITUTE(SUBSTITUTE(_xlpm.raw,"_PIN","."),"PIN","."),_xlpm.mainPart,MID(_xlpm.cleanRaw,2,FIND(".",_xlpm.cleanRaw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801034</v>
      </c>
      <c r="H606" t="str">
        <f>""</f>
        <v/>
      </c>
      <c r="I606" t="str">
        <f>""</f>
        <v/>
      </c>
      <c r="J606" t="str">
        <f t="shared" si="9"/>
        <v>AJ56;GPP_H_12_SML3CLK;;13.061;26.3545;601034;801034;;</v>
      </c>
    </row>
    <row r="607" spans="1:10">
      <c r="A607" t="s">
        <v>3787</v>
      </c>
      <c r="B607" t="str">
        <f>_xlfn.XLOOKUP(A607,SITE1!$V$4:$V$1034,SITE1!$U$4:$U$1034,"")</f>
        <v>VSS</v>
      </c>
      <c r="C607" t="str" cm="1">
        <f t="array" ref="C607">_xlfn.TEXTJOIN(",",TRUE,_xlfn.UNIQUE(TRANSPOSE(_xlfn.MAP(_xlfn.XLOOKUP(A607,SITE1!$C$4:$C$1034,SITE1!$F$4:$O$1034,""),_xlfn.LAMBDA(_xlpm.x,IF(_xlpm.x&lt;&gt;"",TRIM(CLEAN(LEFT(_xlpm.x,FIND(".",_xlpm.x &amp; ".")-1))),""))))))</f>
        <v/>
      </c>
      <c r="D607">
        <v>12.867699999999999</v>
      </c>
      <c r="E607">
        <v>26.8782</v>
      </c>
      <c r="F607" t="str">
        <f>_xlfn.LET(_xlpm.raw,_xlfn.XLOOKUP(A607,SITE1!$C$4:$C$1034,SITE1!$E$4:$E$1034),_xlpm.cleanRaw,SUBSTITUTE(SUBSTITUTE(_xlpm.raw,"_PIN","."),"PIN","."),_xlpm.mainPart,MID(_xlpm.cleanRaw,2,FIND(".",_xlpm.cleanRaw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7" t="str">
        <f>_xlfn.LET(_xlpm.raw,_xlfn.XLOOKUP(A607,SITE3!$C$4:$C$1034,SITE3!$E$4:$E$1034),_xlpm.cleanRaw,SUBSTITUTE(SUBSTITUTE(_xlpm.raw,"_PIN","."),"PIN","."),_xlpm.mainPart,MID(_xlpm.cleanRaw,2,FIND(".",_xlpm.cleanRaw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7" t="str">
        <f>""</f>
        <v/>
      </c>
      <c r="I607" t="str">
        <f>""</f>
        <v/>
      </c>
      <c r="J607" t="str">
        <f t="shared" si="9"/>
        <v>AJ57;VSS;;12.8677;26.8782;;;;</v>
      </c>
    </row>
    <row r="608" spans="1:10">
      <c r="A608" t="s">
        <v>724</v>
      </c>
      <c r="B608" t="str">
        <f>_xlfn.XLOOKUP(A608,SITE1!$V$4:$V$1034,SITE1!$U$4:$U$1034,"")</f>
        <v>GPD_7</v>
      </c>
      <c r="C608" t="str" cm="1">
        <f t="array" ref="C608">_xlfn.TEXTJOIN(",",TRUE,_xlfn.UNIQUE(TRANSPOSE(_xlfn.MAP(_xlfn.XLOOKUP(A608,SITE1!$C$4:$C$1034,SITE1!$F$4:$O$1034,""),_xlfn.LAMBDA(_xlpm.x,IF(_xlpm.x&lt;&gt;"",TRIM(CLEAN(LEFT(_xlpm.x,FIND(".",_xlpm.x &amp; ".")-1))),""))))))</f>
        <v/>
      </c>
      <c r="D608">
        <v>13.5563</v>
      </c>
      <c r="E608">
        <v>1.2211999999999901</v>
      </c>
      <c r="F608" t="str">
        <f>_xlfn.LET(_xlpm.raw,_xlfn.XLOOKUP(A608,SITE1!$C$4:$C$1034,SITE1!$E$4:$E$1034),_xlpm.cleanRaw,SUBSTITUTE(SUBSTITUTE(_xlpm.raw,"_PIN","."),"PIN","."),_xlpm.mainPart,MID(_xlpm.cleanRaw,2,FIND(".",_xlpm.cleanRaw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603087</v>
      </c>
      <c r="G608" t="str">
        <f>_xlfn.LET(_xlpm.raw,_xlfn.XLOOKUP(A608,SITE3!$C$4:$C$1034,SITE3!$E$4:$E$1034),_xlpm.cleanRaw,SUBSTITUTE(SUBSTITUTE(_xlpm.raw,"_PIN","."),"PIN","."),_xlpm.mainPart,MID(_xlpm.cleanRaw,2,FIND(".",_xlpm.cleanRaw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803087</v>
      </c>
      <c r="H608" t="str">
        <f>""</f>
        <v/>
      </c>
      <c r="I608" t="str">
        <f>""</f>
        <v/>
      </c>
      <c r="J608" t="str">
        <f t="shared" si="9"/>
        <v>AK3;GPD_7;;13.5563;1.22119999999999;603087;803087;;</v>
      </c>
    </row>
    <row r="609" spans="1:10">
      <c r="A609" t="s">
        <v>729</v>
      </c>
      <c r="B609" t="str">
        <f>_xlfn.XLOOKUP(A609,SITE1!$V$4:$V$1034,SITE1!$U$4:$U$1034,"")</f>
        <v>GPD_8_SUSCLK</v>
      </c>
      <c r="C609" t="str" cm="1">
        <f t="array" ref="C609">_xlfn.TEXTJOIN(",",TRUE,_xlfn.UNIQUE(TRANSPOSE(_xlfn.MAP(_xlfn.XLOOKUP(A609,SITE1!$C$4:$C$1034,SITE1!$F$4:$O$1034,""),_xlfn.LAMBDA(_xlpm.x,IF(_xlpm.x&lt;&gt;"",TRIM(CLEAN(LEFT(_xlpm.x,FIND(".",_xlpm.x &amp; ".")-1))),""))))))</f>
        <v/>
      </c>
      <c r="D609">
        <v>13.4643</v>
      </c>
      <c r="E609">
        <v>1.7414000000000001</v>
      </c>
      <c r="F609" t="str">
        <f>_xlfn.LET(_xlpm.raw,_xlfn.XLOOKUP(A609,SITE1!$C$4:$C$1034,SITE1!$E$4:$E$1034),_xlpm.cleanRaw,SUBSTITUTE(SUBSTITUTE(_xlpm.raw,"_PIN","."),"PIN","."),_xlpm.mainPart,MID(_xlpm.cleanRaw,2,FIND(".",_xlpm.cleanRaw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603092</v>
      </c>
      <c r="G609" t="str">
        <f>_xlfn.LET(_xlpm.raw,_xlfn.XLOOKUP(A609,SITE3!$C$4:$C$1034,SITE3!$E$4:$E$1034),_xlpm.cleanRaw,SUBSTITUTE(SUBSTITUTE(_xlpm.raw,"_PIN","."),"PIN","."),_xlpm.mainPart,MID(_xlpm.cleanRaw,2,FIND(".",_xlpm.cleanRaw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803092</v>
      </c>
      <c r="H609" t="str">
        <f>""</f>
        <v/>
      </c>
      <c r="I609" t="str">
        <f>""</f>
        <v/>
      </c>
      <c r="J609" t="str">
        <f t="shared" si="9"/>
        <v>AK4;GPD_8_SUSCLK;;13.4643;1.7414;603092;803092;;</v>
      </c>
    </row>
    <row r="610" spans="1:10">
      <c r="A610" t="s">
        <v>698</v>
      </c>
      <c r="B610" t="str">
        <f>_xlfn.XLOOKUP(A610,SITE1!$V$4:$V$1034,SITE1!$U$4:$U$1034,"")</f>
        <v>GPD_2_LAN_WAKEB</v>
      </c>
      <c r="C610" t="str" cm="1">
        <f t="array" ref="C610">_xlfn.TEXTJOIN(",",TRUE,_xlfn.UNIQUE(TRANSPOSE(_xlfn.MAP(_xlfn.XLOOKUP(A610,SITE1!$C$4:$C$1034,SITE1!$F$4:$O$1034,""),_xlfn.LAMBDA(_xlpm.x,IF(_xlpm.x&lt;&gt;"",TRIM(CLEAN(LEFT(_xlpm.x,FIND(".",_xlpm.x &amp; ".")-1))),""))))))</f>
        <v/>
      </c>
      <c r="D610">
        <v>13.775700000000001</v>
      </c>
      <c r="E610">
        <v>2.3915999999999999</v>
      </c>
      <c r="F610" t="str">
        <f>_xlfn.LET(_xlpm.raw,_xlfn.XLOOKUP(A610,SITE1!$C$4:$C$1034,SITE1!$E$4:$E$1034),_xlpm.cleanRaw,SUBSTITUTE(SUBSTITUTE(_xlpm.raw,"_PIN","."),"PIN","."),_xlpm.mainPart,MID(_xlpm.cleanRaw,2,FIND(".",_xlpm.cleanRaw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703014</v>
      </c>
      <c r="G610" t="str">
        <f>_xlfn.LET(_xlpm.raw,_xlfn.XLOOKUP(A610,SITE3!$C$4:$C$1034,SITE3!$E$4:$E$1034),_xlpm.cleanRaw,SUBSTITUTE(SUBSTITUTE(_xlpm.raw,"_PIN","."),"PIN","."),_xlpm.mainPart,MID(_xlpm.cleanRaw,2,FIND(".",_xlpm.cleanRaw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503014</v>
      </c>
      <c r="H610" t="str">
        <f>""</f>
        <v/>
      </c>
      <c r="I610" t="str">
        <f>""</f>
        <v/>
      </c>
      <c r="J610" t="str">
        <f t="shared" si="9"/>
        <v>AK6;GPD_2_LAN_WAKEB;;13.7757;2.3916;703014;503014;;</v>
      </c>
    </row>
    <row r="611" spans="1:10">
      <c r="A611" t="s">
        <v>682</v>
      </c>
      <c r="B611" t="str">
        <f>_xlfn.XLOOKUP(A611,SITE1!$V$4:$V$1034,SITE1!$U$4:$U$1034,"")</f>
        <v>GPD_10_SLP_S5B</v>
      </c>
      <c r="C611" t="str" cm="1">
        <f t="array" ref="C611">_xlfn.TEXTJOIN(",",TRUE,_xlfn.UNIQUE(TRANSPOSE(_xlfn.MAP(_xlfn.XLOOKUP(A611,SITE1!$C$4:$C$1034,SITE1!$F$4:$O$1034,""),_xlfn.LAMBDA(_xlpm.x,IF(_xlpm.x&lt;&gt;"",TRIM(CLEAN(LEFT(_xlpm.x,FIND(".",_xlpm.x &amp; ".")-1))),""))))))</f>
        <v/>
      </c>
      <c r="D611">
        <v>13.5852</v>
      </c>
      <c r="E611">
        <v>3.08</v>
      </c>
      <c r="F611" t="str">
        <f>_xlfn.LET(_xlpm.raw,_xlfn.XLOOKUP(A611,SITE1!$C$4:$C$1034,SITE1!$E$4:$E$1034),_xlpm.cleanRaw,SUBSTITUTE(SUBSTITUTE(_xlpm.raw,"_PIN","."),"PIN","."),_xlpm.mainPart,MID(_xlpm.cleanRaw,2,FIND(".",_xlpm.cleanRaw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703013</v>
      </c>
      <c r="G611" t="str">
        <f>_xlfn.LET(_xlpm.raw,_xlfn.XLOOKUP(A611,SITE3!$C$4:$C$1034,SITE3!$E$4:$E$1034),_xlpm.cleanRaw,SUBSTITUTE(SUBSTITUTE(_xlpm.raw,"_PIN","."),"PIN","."),_xlpm.mainPart,MID(_xlpm.cleanRaw,2,FIND(".",_xlpm.cleanRaw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503013</v>
      </c>
      <c r="H611" t="str">
        <f>""</f>
        <v/>
      </c>
      <c r="I611" t="str">
        <f>""</f>
        <v/>
      </c>
      <c r="J611" t="str">
        <f t="shared" si="9"/>
        <v>AK7;GPD_10_SLP_S5B;;13.5852;3.08;703013;503013;;</v>
      </c>
    </row>
    <row r="612" spans="1:10">
      <c r="A612" t="s">
        <v>693</v>
      </c>
      <c r="B612" t="str">
        <f>_xlfn.XLOOKUP(A612,SITE1!$V$4:$V$1034,SITE1!$U$4:$U$1034,"")</f>
        <v>GPD_12</v>
      </c>
      <c r="C612" t="str" cm="1">
        <f t="array" ref="C612">_xlfn.TEXTJOIN(",",TRUE,_xlfn.UNIQUE(TRANSPOSE(_xlfn.MAP(_xlfn.XLOOKUP(A612,SITE1!$C$4:$C$1034,SITE1!$F$4:$O$1034,""),_xlfn.LAMBDA(_xlpm.x,IF(_xlpm.x&lt;&gt;"",TRIM(CLEAN(LEFT(_xlpm.x,FIND(".",_xlpm.x &amp; ".")-1))),""))))))</f>
        <v/>
      </c>
      <c r="D612">
        <v>13.3947</v>
      </c>
      <c r="E612">
        <v>3.7683</v>
      </c>
      <c r="F612" t="str">
        <f>_xlfn.LET(_xlpm.raw,_xlfn.XLOOKUP(A612,SITE1!$C$4:$C$1034,SITE1!$E$4:$E$1034),_xlpm.cleanRaw,SUBSTITUTE(SUBSTITUTE(_xlpm.raw,"_PIN","."),"PIN","."),_xlpm.mainPart,MID(_xlpm.cleanRaw,2,FIND(".",_xlpm.cleanRaw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701105</v>
      </c>
      <c r="G612" t="str">
        <f>_xlfn.LET(_xlpm.raw,_xlfn.XLOOKUP(A612,SITE3!$C$4:$C$1034,SITE3!$E$4:$E$1034),_xlpm.cleanRaw,SUBSTITUTE(SUBSTITUTE(_xlpm.raw,"_PIN","."),"PIN","."),_xlpm.mainPart,MID(_xlpm.cleanRaw,2,FIND(".",_xlpm.cleanRaw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501105</v>
      </c>
      <c r="H612" t="str">
        <f>""</f>
        <v/>
      </c>
      <c r="I612" t="str">
        <f>""</f>
        <v/>
      </c>
      <c r="J612" t="str">
        <f t="shared" si="9"/>
        <v>AK9;GPD_12;;13.3947;3.7683;701105;501105;;</v>
      </c>
    </row>
    <row r="613" spans="1:10">
      <c r="A613" t="s">
        <v>329</v>
      </c>
      <c r="B613" t="str">
        <f>_xlfn.XLOOKUP(A613,SITE1!$V$4:$V$1034,SITE1!$U$4:$U$1034,"")</f>
        <v>CPU_TRSTB</v>
      </c>
      <c r="C613" t="str" cm="1">
        <f t="array" ref="C613">_xlfn.TEXTJOIN(",",TRUE,_xlfn.UNIQUE(TRANSPOSE(_xlfn.MAP(_xlfn.XLOOKUP(A613,SITE1!$C$4:$C$1034,SITE1!$F$4:$O$1034,""),_xlfn.LAMBDA(_xlpm.x,IF(_xlpm.x&lt;&gt;"",TRIM(CLEAN(LEFT(_xlpm.x,FIND(".",_xlpm.x &amp; ".")-1))),""))))))</f>
        <v/>
      </c>
      <c r="D613">
        <v>13.5345</v>
      </c>
      <c r="E613">
        <v>5.7642999999999898</v>
      </c>
      <c r="F613" t="str">
        <f>_xlfn.LET(_xlpm.raw,_xlfn.XLOOKUP(A613,SITE1!$C$4:$C$1034,SITE1!$E$4:$E$1034),_xlpm.cleanRaw,SUBSTITUTE(SUBSTITUTE(_xlpm.raw,"_PIN","."),"PIN","."),_xlpm.mainPart,MID(_xlpm.cleanRaw,2,FIND(".",_xlpm.cleanRaw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702070</v>
      </c>
      <c r="G613" t="str">
        <f>_xlfn.LET(_xlpm.raw,_xlfn.XLOOKUP(A613,SITE3!$C$4:$C$1034,SITE3!$E$4:$E$1034),_xlpm.cleanRaw,SUBSTITUTE(SUBSTITUTE(_xlpm.raw,"_PIN","."),"PIN","."),_xlpm.mainPart,MID(_xlpm.cleanRaw,2,FIND(".",_xlpm.cleanRaw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502070</v>
      </c>
      <c r="H613" t="str">
        <f>""</f>
        <v/>
      </c>
      <c r="I613" t="str">
        <f>""</f>
        <v/>
      </c>
      <c r="J613" t="str">
        <f t="shared" si="9"/>
        <v>AK13;CPU_TRSTB;;13.5345;5.76429999999999;702070;502070;;</v>
      </c>
    </row>
    <row r="614" spans="1:10">
      <c r="A614" t="s">
        <v>4083</v>
      </c>
      <c r="B614" t="str">
        <f>_xlfn.XLOOKUP(A614,SITE1!$V$4:$V$1034,SITE1!$U$4:$U$1034,"")</f>
        <v>WAKEB</v>
      </c>
      <c r="C614" t="str" cm="1">
        <f t="array" ref="C614">_xlfn.TEXTJOIN(",",TRUE,_xlfn.UNIQUE(TRANSPOSE(_xlfn.MAP(_xlfn.XLOOKUP(A614,SITE1!$C$4:$C$1034,SITE1!$F$4:$O$1034,""),_xlfn.LAMBDA(_xlpm.x,IF(_xlpm.x&lt;&gt;"",TRIM(CLEAN(LEFT(_xlpm.x,FIND(".",_xlpm.x &amp; ".")-1))),""))))))</f>
        <v/>
      </c>
      <c r="D614">
        <v>13.5345</v>
      </c>
      <c r="E614">
        <v>6.4882</v>
      </c>
      <c r="F614" t="str">
        <f>_xlfn.LET(_xlpm.raw,_xlfn.XLOOKUP(A614,SITE1!$C$4:$C$1034,SITE1!$E$4:$E$1034),_xlpm.cleanRaw,SUBSTITUTE(SUBSTITUTE(_xlpm.raw,"_PIN","."),"PIN","."),_xlpm.mainPart,MID(_xlpm.cleanRaw,2,FIND(".",_xlpm.cleanRaw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606101</v>
      </c>
      <c r="G614" t="str">
        <f>_xlfn.LET(_xlpm.raw,_xlfn.XLOOKUP(A614,SITE3!$C$4:$C$1034,SITE3!$E$4:$E$1034),_xlpm.cleanRaw,SUBSTITUTE(SUBSTITUTE(_xlpm.raw,"_PIN","."),"PIN","."),_xlpm.mainPart,MID(_xlpm.cleanRaw,2,FIND(".",_xlpm.cleanRaw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806101</v>
      </c>
      <c r="H614" t="str">
        <f>""</f>
        <v/>
      </c>
      <c r="I614" t="str">
        <f>""</f>
        <v/>
      </c>
      <c r="J614" t="str">
        <f t="shared" si="9"/>
        <v>AK14;WAKEB;;13.5345;6.4882;606101;806101;;</v>
      </c>
    </row>
    <row r="615" spans="1:10">
      <c r="A615" t="s">
        <v>3788</v>
      </c>
      <c r="B615" t="str">
        <f>_xlfn.XLOOKUP(A615,SITE1!$V$4:$V$1034,SITE1!$U$4:$U$1034,"")</f>
        <v>VSS</v>
      </c>
      <c r="C615" t="str" cm="1">
        <f t="array" ref="C615">_xlfn.TEXTJOIN(",",TRUE,_xlfn.UNIQUE(TRANSPOSE(_xlfn.MAP(_xlfn.XLOOKUP(A615,SITE1!$C$4:$C$1034,SITE1!$F$4:$O$1034,""),_xlfn.LAMBDA(_xlpm.x,IF(_xlpm.x&lt;&gt;"",TRIM(CLEAN(LEFT(_xlpm.x,FIND(".",_xlpm.x &amp; ".")-1))),""))))))</f>
        <v/>
      </c>
      <c r="D615">
        <v>13.5345</v>
      </c>
      <c r="E615">
        <v>7.2120999999999897</v>
      </c>
      <c r="F615" t="str">
        <f>_xlfn.LET(_xlpm.raw,_xlfn.XLOOKUP(A615,SITE1!$C$4:$C$1034,SITE1!$E$4:$E$1034),_xlpm.cleanRaw,SUBSTITUTE(SUBSTITUTE(_xlpm.raw,"_PIN","."),"PIN","."),_xlpm.mainPart,MID(_xlpm.cleanRaw,2,FIND(".",_xlpm.cleanRaw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5" t="str">
        <f>_xlfn.LET(_xlpm.raw,_xlfn.XLOOKUP(A615,SITE3!$C$4:$C$1034,SITE3!$E$4:$E$1034),_xlpm.cleanRaw,SUBSTITUTE(SUBSTITUTE(_xlpm.raw,"_PIN","."),"PIN","."),_xlpm.mainPart,MID(_xlpm.cleanRaw,2,FIND(".",_xlpm.cleanRaw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5" t="str">
        <f>""</f>
        <v/>
      </c>
      <c r="I615" t="str">
        <f>""</f>
        <v/>
      </c>
      <c r="J615" t="str">
        <f t="shared" si="9"/>
        <v>AK16;VSS;;13.5345;7.21209999999999;;;;</v>
      </c>
    </row>
    <row r="616" spans="1:10">
      <c r="A616" t="s">
        <v>3488</v>
      </c>
      <c r="B616" t="str">
        <f>_xlfn.XLOOKUP(A616,SITE1!$V$4:$V$1034,SITE1!$U$4:$U$1034,"")</f>
        <v>VCCA_CLKPLL_1P8</v>
      </c>
      <c r="C616" t="str" cm="1">
        <f t="array" ref="C616">_xlfn.TEXTJOIN(",",TRUE,_xlfn.UNIQUE(TRANSPOSE(_xlfn.MAP(_xlfn.XLOOKUP(A616,SITE1!$C$4:$C$1034,SITE1!$F$4:$O$1034,""),_xlfn.LAMBDA(_xlpm.x,IF(_xlpm.x&lt;&gt;"",TRIM(CLEAN(LEFT(_xlpm.x,FIND(".",_xlpm.x &amp; ".")-1))),""))))))</f>
        <v/>
      </c>
      <c r="D616">
        <v>13.5345</v>
      </c>
      <c r="E616">
        <v>7.9359999999999999</v>
      </c>
      <c r="F616" t="str">
        <f>_xlfn.LET(_xlpm.raw,_xlfn.XLOOKUP(A616,SITE1!$C$4:$C$1034,SITE1!$E$4:$E$1034),_xlpm.cleanRaw,SUBSTITUTE(SUBSTITUTE(_xlpm.raw,"_PIN","."),"PIN","."),_xlpm.mainPart,MID(_xlpm.cleanRaw,2,FIND(".",_xlpm.cleanRaw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6" t="str">
        <f>_xlfn.LET(_xlpm.raw,_xlfn.XLOOKUP(A616,SITE3!$C$4:$C$1034,SITE3!$E$4:$E$1034),_xlpm.cleanRaw,SUBSTITUTE(SUBSTITUTE(_xlpm.raw,"_PIN","."),"PIN","."),_xlpm.mainPart,MID(_xlpm.cleanRaw,2,FIND(".",_xlpm.cleanRaw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6" t="str">
        <f>""</f>
        <v/>
      </c>
      <c r="I616" t="str">
        <f>""</f>
        <v/>
      </c>
      <c r="J616" t="str">
        <f t="shared" si="9"/>
        <v>AK17;VCCA_CLKPLL_1P8;;13.5345;7.936;;;;</v>
      </c>
    </row>
    <row r="617" spans="1:10">
      <c r="A617" t="s">
        <v>3496</v>
      </c>
      <c r="B617" t="str">
        <f>_xlfn.XLOOKUP(A617,SITE1!$V$4:$V$1034,SITE1!$U$4:$U$1034,"")</f>
        <v>VCCA_CNVI_PLL_1P8</v>
      </c>
      <c r="C617" t="str" cm="1">
        <f t="array" ref="C617">_xlfn.TEXTJOIN(",",TRUE,_xlfn.UNIQUE(TRANSPOSE(_xlfn.MAP(_xlfn.XLOOKUP(A617,SITE1!$C$4:$C$1034,SITE1!$F$4:$O$1034,""),_xlfn.LAMBDA(_xlpm.x,IF(_xlpm.x&lt;&gt;"",TRIM(CLEAN(LEFT(_xlpm.x,FIND(".",_xlpm.x &amp; ".")-1))),""))))))</f>
        <v/>
      </c>
      <c r="D617">
        <v>13.5345</v>
      </c>
      <c r="E617">
        <v>8.6599000000000004</v>
      </c>
      <c r="F617" t="str">
        <f>_xlfn.LET(_xlpm.raw,_xlfn.XLOOKUP(A617,SITE1!$C$4:$C$1034,SITE1!$E$4:$E$1034),_xlpm.cleanRaw,SUBSTITUTE(SUBSTITUTE(_xlpm.raw,"_PIN","."),"PIN","."),_xlpm.mainPart,MID(_xlpm.cleanRaw,2,FIND(".",_xlpm.cleanRaw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7" t="str">
        <f>_xlfn.LET(_xlpm.raw,_xlfn.XLOOKUP(A617,SITE3!$C$4:$C$1034,SITE3!$E$4:$E$1034),_xlpm.cleanRaw,SUBSTITUTE(SUBSTITUTE(_xlpm.raw,"_PIN","."),"PIN","."),_xlpm.mainPart,MID(_xlpm.cleanRaw,2,FIND(".",_xlpm.cleanRaw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7" t="str">
        <f>""</f>
        <v/>
      </c>
      <c r="I617" t="str">
        <f>""</f>
        <v/>
      </c>
      <c r="J617" t="str">
        <f t="shared" si="9"/>
        <v>AK19;VCCA_CNVI_PLL_1P8;;13.5345;8.6599;;;;</v>
      </c>
    </row>
    <row r="618" spans="1:10">
      <c r="A618" t="s">
        <v>3507</v>
      </c>
      <c r="B618" t="str">
        <f>_xlfn.XLOOKUP(A618,SITE1!$V$4:$V$1034,SITE1!$U$4:$U$1034,"")</f>
        <v>VCCA_MPHYPLL_1P8</v>
      </c>
      <c r="C618" t="str" cm="1">
        <f t="array" ref="C618">_xlfn.TEXTJOIN(",",TRUE,_xlfn.UNIQUE(TRANSPOSE(_xlfn.MAP(_xlfn.XLOOKUP(A618,SITE1!$C$4:$C$1034,SITE1!$F$4:$O$1034,""),_xlfn.LAMBDA(_xlpm.x,IF(_xlpm.x&lt;&gt;"",TRIM(CLEAN(LEFT(_xlpm.x,FIND(".",_xlpm.x &amp; ".")-1))),""))))))</f>
        <v/>
      </c>
      <c r="D618">
        <v>13.715299999999999</v>
      </c>
      <c r="E618">
        <v>10.103899999999999</v>
      </c>
      <c r="F618" t="str">
        <f>_xlfn.LET(_xlpm.raw,_xlfn.XLOOKUP(A618,SITE1!$C$4:$C$1034,SITE1!$E$4:$E$1034),_xlpm.cleanRaw,SUBSTITUTE(SUBSTITUTE(_xlpm.raw,"_PIN","."),"PIN","."),_xlpm.mainPart,MID(_xlpm.cleanRaw,2,FIND(".",_xlpm.cleanRaw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8" t="str">
        <f>_xlfn.LET(_xlpm.raw,_xlfn.XLOOKUP(A618,SITE3!$C$4:$C$1034,SITE3!$E$4:$E$1034),_xlpm.cleanRaw,SUBSTITUTE(SUBSTITUTE(_xlpm.raw,"_PIN","."),"PIN","."),_xlpm.mainPart,MID(_xlpm.cleanRaw,2,FIND(".",_xlpm.cleanRaw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8" t="str">
        <f>""</f>
        <v/>
      </c>
      <c r="I618" t="str">
        <f>""</f>
        <v/>
      </c>
      <c r="J618" t="str">
        <f t="shared" si="9"/>
        <v>AK22;VCCA_MPHYPLL_1P8;;13.7153;10.1039;;;;</v>
      </c>
    </row>
    <row r="619" spans="1:10">
      <c r="A619" t="s">
        <v>3508</v>
      </c>
      <c r="B619" t="str">
        <f>_xlfn.XLOOKUP(A619,SITE1!$V$4:$V$1034,SITE1!$U$4:$U$1034,"")</f>
        <v>VCCA_MPHYPLL_1P8</v>
      </c>
      <c r="C619" t="str" cm="1">
        <f t="array" ref="C619">_xlfn.TEXTJOIN(",",TRUE,_xlfn.UNIQUE(TRANSPOSE(_xlfn.MAP(_xlfn.XLOOKUP(A619,SITE1!$C$4:$C$1034,SITE1!$F$4:$O$1034,""),_xlfn.LAMBDA(_xlpm.x,IF(_xlpm.x&lt;&gt;"",TRIM(CLEAN(LEFT(_xlpm.x,FIND(".",_xlpm.x &amp; ".")-1))),""))))))</f>
        <v/>
      </c>
      <c r="D619">
        <v>13.715299999999999</v>
      </c>
      <c r="E619">
        <v>11.0946</v>
      </c>
      <c r="F619" t="str">
        <f>_xlfn.LET(_xlpm.raw,_xlfn.XLOOKUP(A619,SITE1!$C$4:$C$1034,SITE1!$E$4:$E$1034),_xlpm.cleanRaw,SUBSTITUTE(SUBSTITUTE(_xlpm.raw,"_PIN","."),"PIN","."),_xlpm.mainPart,MID(_xlpm.cleanRaw,2,FIND(".",_xlpm.cleanRaw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9" t="str">
        <f>_xlfn.LET(_xlpm.raw,_xlfn.XLOOKUP(A619,SITE3!$C$4:$C$1034,SITE3!$E$4:$E$1034),_xlpm.cleanRaw,SUBSTITUTE(SUBSTITUTE(_xlpm.raw,"_PIN","."),"PIN","."),_xlpm.mainPart,MID(_xlpm.cleanRaw,2,FIND(".",_xlpm.cleanRaw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9" t="str">
        <f>""</f>
        <v/>
      </c>
      <c r="I619" t="str">
        <f>""</f>
        <v/>
      </c>
      <c r="J619" t="str">
        <f t="shared" si="9"/>
        <v>AK24;VCCA_MPHYPLL_1P8;;13.7153;11.0946;;;;</v>
      </c>
    </row>
    <row r="620" spans="1:10">
      <c r="A620" t="s">
        <v>3614</v>
      </c>
      <c r="B620" t="str">
        <f>_xlfn.XLOOKUP(A620,SITE1!$V$4:$V$1034,SITE1!$U$4:$U$1034,"")</f>
        <v>VCCPRIM_1P8</v>
      </c>
      <c r="C620" t="str" cm="1">
        <f t="array" ref="C620">_xlfn.TEXTJOIN(",",TRUE,_xlfn.UNIQUE(TRANSPOSE(_xlfn.MAP(_xlfn.XLOOKUP(A620,SITE1!$C$4:$C$1034,SITE1!$F$4:$O$1034,""),_xlfn.LAMBDA(_xlpm.x,IF(_xlpm.x&lt;&gt;"",TRIM(CLEAN(LEFT(_xlpm.x,FIND(".",_xlpm.x &amp; ".")-1))),""))))))</f>
        <v/>
      </c>
      <c r="D620">
        <v>13.715299999999999</v>
      </c>
      <c r="E620">
        <v>12.0853</v>
      </c>
      <c r="F620" t="str">
        <f>_xlfn.LET(_xlpm.raw,_xlfn.XLOOKUP(A620,SITE1!$C$4:$C$1034,SITE1!$E$4:$E$1034),_xlpm.cleanRaw,SUBSTITUTE(SUBSTITUTE(_xlpm.raw,"_PIN","."),"PIN","."),_xlpm.mainPart,MID(_xlpm.cleanRaw,2,FIND(".",_xlpm.cleanRaw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0" t="str">
        <f>_xlfn.LET(_xlpm.raw,_xlfn.XLOOKUP(A620,SITE3!$C$4:$C$1034,SITE3!$E$4:$E$1034),_xlpm.cleanRaw,SUBSTITUTE(SUBSTITUTE(_xlpm.raw,"_PIN","."),"PIN","."),_xlpm.mainPart,MID(_xlpm.cleanRaw,2,FIND(".",_xlpm.cleanRaw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0" t="str">
        <f>""</f>
        <v/>
      </c>
      <c r="I620" t="str">
        <f>""</f>
        <v/>
      </c>
      <c r="J620" t="str">
        <f t="shared" si="9"/>
        <v>AK26;VCCPRIM_1P8;;13.7153;12.0853;;;;</v>
      </c>
    </row>
    <row r="621" spans="1:10">
      <c r="A621" t="s">
        <v>3617</v>
      </c>
      <c r="B621" t="str">
        <f>_xlfn.XLOOKUP(A621,SITE1!$V$4:$V$1034,SITE1!$U$4:$U$1034,"")</f>
        <v>VCCPRIM_1P8</v>
      </c>
      <c r="C621" t="str" cm="1">
        <f t="array" ref="C621">_xlfn.TEXTJOIN(",",TRUE,_xlfn.UNIQUE(TRANSPOSE(_xlfn.MAP(_xlfn.XLOOKUP(A621,SITE1!$C$4:$C$1034,SITE1!$F$4:$O$1034,""),_xlfn.LAMBDA(_xlpm.x,IF(_xlpm.x&lt;&gt;"",TRIM(CLEAN(LEFT(_xlpm.x,FIND(".",_xlpm.x &amp; ".")-1))),""))))))</f>
        <v/>
      </c>
      <c r="D621">
        <v>13.715299999999999</v>
      </c>
      <c r="E621">
        <v>12.86</v>
      </c>
      <c r="F621" t="str">
        <f>_xlfn.LET(_xlpm.raw,_xlfn.XLOOKUP(A621,SITE1!$C$4:$C$1034,SITE1!$E$4:$E$1034),_xlpm.cleanRaw,SUBSTITUTE(SUBSTITUTE(_xlpm.raw,"_PIN","."),"PIN","."),_xlpm.mainPart,MID(_xlpm.cleanRaw,2,FIND(".",_xlpm.cleanRaw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1" t="str">
        <f>_xlfn.LET(_xlpm.raw,_xlfn.XLOOKUP(A621,SITE3!$C$4:$C$1034,SITE3!$E$4:$E$1034),_xlpm.cleanRaw,SUBSTITUTE(SUBSTITUTE(_xlpm.raw,"_PIN","."),"PIN","."),_xlpm.mainPart,MID(_xlpm.cleanRaw,2,FIND(".",_xlpm.cleanRaw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1" t="str">
        <f>""</f>
        <v/>
      </c>
      <c r="I621" t="str">
        <f>""</f>
        <v/>
      </c>
      <c r="J621" t="str">
        <f t="shared" si="9"/>
        <v>AK28;VCCPRIM_1P8;;13.7153;12.86;;;;</v>
      </c>
    </row>
    <row r="622" spans="1:10">
      <c r="A622" t="s">
        <v>3573</v>
      </c>
      <c r="B622" t="str">
        <f>_xlfn.XLOOKUP(A622,SITE1!$V$4:$V$1034,SITE1!$U$4:$U$1034,"")</f>
        <v>VCCMPHY_0P82</v>
      </c>
      <c r="C622" t="str" cm="1">
        <f t="array" ref="C622">_xlfn.TEXTJOIN(",",TRUE,_xlfn.UNIQUE(TRANSPOSE(_xlfn.MAP(_xlfn.XLOOKUP(A622,SITE1!$C$4:$C$1034,SITE1!$F$4:$O$1034,""),_xlfn.LAMBDA(_xlpm.x,IF(_xlpm.x&lt;&gt;"",TRIM(CLEAN(LEFT(_xlpm.x,FIND(".",_xlpm.x &amp; ".")-1))),""))))))</f>
        <v/>
      </c>
      <c r="D622">
        <v>13.715299999999999</v>
      </c>
      <c r="E622">
        <v>14.0182</v>
      </c>
      <c r="F622" t="str">
        <f>_xlfn.LET(_xlpm.raw,_xlfn.XLOOKUP(A622,SITE1!$C$4:$C$1034,SITE1!$E$4:$E$1034),_xlpm.cleanRaw,SUBSTITUTE(SUBSTITUTE(_xlpm.raw,"_PIN","."),"PIN","."),_xlpm.mainPart,MID(_xlpm.cleanRaw,2,FIND(".",_xlpm.cleanRaw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2" t="str">
        <f>_xlfn.LET(_xlpm.raw,_xlfn.XLOOKUP(A622,SITE3!$C$4:$C$1034,SITE3!$E$4:$E$1034),_xlpm.cleanRaw,SUBSTITUTE(SUBSTITUTE(_xlpm.raw,"_PIN","."),"PIN","."),_xlpm.mainPart,MID(_xlpm.cleanRaw,2,FIND(".",_xlpm.cleanRaw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2" t="str">
        <f>""</f>
        <v/>
      </c>
      <c r="I622" t="str">
        <f>""</f>
        <v/>
      </c>
      <c r="J622" t="str">
        <f t="shared" si="9"/>
        <v>AK30;VCCMPHY_0P82;;13.7153;14.0182;;;;</v>
      </c>
    </row>
    <row r="623" spans="1:10">
      <c r="A623" t="s">
        <v>3574</v>
      </c>
      <c r="B623" t="str">
        <f>_xlfn.XLOOKUP(A623,SITE1!$V$4:$V$1034,SITE1!$U$4:$U$1034,"")</f>
        <v>VCCMPHY_0P82</v>
      </c>
      <c r="C623" t="str" cm="1">
        <f t="array" ref="C623">_xlfn.TEXTJOIN(",",TRUE,_xlfn.UNIQUE(TRANSPOSE(_xlfn.MAP(_xlfn.XLOOKUP(A623,SITE1!$C$4:$C$1034,SITE1!$F$4:$O$1034,""),_xlfn.LAMBDA(_xlpm.x,IF(_xlpm.x&lt;&gt;"",TRIM(CLEAN(LEFT(_xlpm.x,FIND(".",_xlpm.x &amp; ".")-1))),""))))))</f>
        <v/>
      </c>
      <c r="D623">
        <v>13.715299999999999</v>
      </c>
      <c r="E623">
        <v>14.792899999999999</v>
      </c>
      <c r="F623" t="str">
        <f>_xlfn.LET(_xlpm.raw,_xlfn.XLOOKUP(A623,SITE1!$C$4:$C$1034,SITE1!$E$4:$E$1034),_xlpm.cleanRaw,SUBSTITUTE(SUBSTITUTE(_xlpm.raw,"_PIN","."),"PIN","."),_xlpm.mainPart,MID(_xlpm.cleanRaw,2,FIND(".",_xlpm.cleanRaw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3" t="str">
        <f>_xlfn.LET(_xlpm.raw,_xlfn.XLOOKUP(A623,SITE3!$C$4:$C$1034,SITE3!$E$4:$E$1034),_xlpm.cleanRaw,SUBSTITUTE(SUBSTITUTE(_xlpm.raw,"_PIN","."),"PIN","."),_xlpm.mainPart,MID(_xlpm.cleanRaw,2,FIND(".",_xlpm.cleanRaw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3" t="str">
        <f>""</f>
        <v/>
      </c>
      <c r="I623" t="str">
        <f>""</f>
        <v/>
      </c>
      <c r="J623" t="str">
        <f t="shared" si="9"/>
        <v>AK32;VCCMPHY_0P82;;13.7153;14.7929;;;;</v>
      </c>
    </row>
    <row r="624" spans="1:10">
      <c r="A624" t="s">
        <v>3575</v>
      </c>
      <c r="B624" t="str">
        <f>_xlfn.XLOOKUP(A624,SITE1!$V$4:$V$1034,SITE1!$U$4:$U$1034,"")</f>
        <v>VCCMPHY_0P82</v>
      </c>
      <c r="C624" t="str" cm="1">
        <f t="array" ref="C624">_xlfn.TEXTJOIN(",",TRUE,_xlfn.UNIQUE(TRANSPOSE(_xlfn.MAP(_xlfn.XLOOKUP(A624,SITE1!$C$4:$C$1034,SITE1!$F$4:$O$1034,""),_xlfn.LAMBDA(_xlpm.x,IF(_xlpm.x&lt;&gt;"",TRIM(CLEAN(LEFT(_xlpm.x,FIND(".",_xlpm.x &amp; ".")-1))),""))))))</f>
        <v/>
      </c>
      <c r="D624">
        <v>13.715299999999999</v>
      </c>
      <c r="E624">
        <v>15.7836</v>
      </c>
      <c r="F624" t="str">
        <f>_xlfn.LET(_xlpm.raw,_xlfn.XLOOKUP(A624,SITE1!$C$4:$C$1034,SITE1!$E$4:$E$1034),_xlpm.cleanRaw,SUBSTITUTE(SUBSTITUTE(_xlpm.raw,"_PIN","."),"PIN","."),_xlpm.mainPart,MID(_xlpm.cleanRaw,2,FIND(".",_xlpm.cleanRaw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4" t="str">
        <f>_xlfn.LET(_xlpm.raw,_xlfn.XLOOKUP(A624,SITE3!$C$4:$C$1034,SITE3!$E$4:$E$1034),_xlpm.cleanRaw,SUBSTITUTE(SUBSTITUTE(_xlpm.raw,"_PIN","."),"PIN","."),_xlpm.mainPart,MID(_xlpm.cleanRaw,2,FIND(".",_xlpm.cleanRaw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4" t="str">
        <f>""</f>
        <v/>
      </c>
      <c r="I624" t="str">
        <f>""</f>
        <v/>
      </c>
      <c r="J624" t="str">
        <f t="shared" si="9"/>
        <v>AK34;VCCMPHY_0P82;;13.7153;15.7836;;;;</v>
      </c>
    </row>
    <row r="625" spans="1:10">
      <c r="A625" t="s">
        <v>3576</v>
      </c>
      <c r="B625" t="str">
        <f>_xlfn.XLOOKUP(A625,SITE1!$V$4:$V$1034,SITE1!$U$4:$U$1034,"")</f>
        <v>VCCMPHY_0P82</v>
      </c>
      <c r="C625" t="str" cm="1">
        <f t="array" ref="C625">_xlfn.TEXTJOIN(",",TRUE,_xlfn.UNIQUE(TRANSPOSE(_xlfn.MAP(_xlfn.XLOOKUP(A625,SITE1!$C$4:$C$1034,SITE1!$F$4:$O$1034,""),_xlfn.LAMBDA(_xlpm.x,IF(_xlpm.x&lt;&gt;"",TRIM(CLEAN(LEFT(_xlpm.x,FIND(".",_xlpm.x &amp; ".")-1))),""))))))</f>
        <v/>
      </c>
      <c r="D625">
        <v>13.715299999999999</v>
      </c>
      <c r="E625">
        <v>16.7743</v>
      </c>
      <c r="F625" t="str">
        <f>_xlfn.LET(_xlpm.raw,_xlfn.XLOOKUP(A625,SITE1!$C$4:$C$1034,SITE1!$E$4:$E$1034),_xlpm.cleanRaw,SUBSTITUTE(SUBSTITUTE(_xlpm.raw,"_PIN","."),"PIN","."),_xlpm.mainPart,MID(_xlpm.cleanRaw,2,FIND(".",_xlpm.cleanRaw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5" t="str">
        <f>_xlfn.LET(_xlpm.raw,_xlfn.XLOOKUP(A625,SITE3!$C$4:$C$1034,SITE3!$E$4:$E$1034),_xlpm.cleanRaw,SUBSTITUTE(SUBSTITUTE(_xlpm.raw,"_PIN","."),"PIN","."),_xlpm.mainPart,MID(_xlpm.cleanRaw,2,FIND(".",_xlpm.cleanRaw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5" t="str">
        <f>""</f>
        <v/>
      </c>
      <c r="I625" t="str">
        <f>""</f>
        <v/>
      </c>
      <c r="J625" t="str">
        <f t="shared" si="9"/>
        <v>AK36;VCCMPHY_0P82;;13.7153;16.7743;;;;</v>
      </c>
    </row>
    <row r="626" spans="1:10">
      <c r="A626" t="s">
        <v>3789</v>
      </c>
      <c r="B626" t="str">
        <f>_xlfn.XLOOKUP(A626,SITE1!$V$4:$V$1034,SITE1!$U$4:$U$1034,"")</f>
        <v>VSS</v>
      </c>
      <c r="C626" t="str" cm="1">
        <f t="array" ref="C626">_xlfn.TEXTJOIN(",",TRUE,_xlfn.UNIQUE(TRANSPOSE(_xlfn.MAP(_xlfn.XLOOKUP(A626,SITE1!$C$4:$C$1034,SITE1!$F$4:$O$1034,""),_xlfn.LAMBDA(_xlpm.x,IF(_xlpm.x&lt;&gt;"",TRIM(CLEAN(LEFT(_xlpm.x,FIND(".",_xlpm.x &amp; ".")-1))),""))))))</f>
        <v/>
      </c>
      <c r="D626">
        <v>13.5345</v>
      </c>
      <c r="E626">
        <v>18.218299999999999</v>
      </c>
      <c r="F626" t="str">
        <f>_xlfn.LET(_xlpm.raw,_xlfn.XLOOKUP(A626,SITE1!$C$4:$C$1034,SITE1!$E$4:$E$1034),_xlpm.cleanRaw,SUBSTITUTE(SUBSTITUTE(_xlpm.raw,"_PIN","."),"PIN","."),_xlpm.mainPart,MID(_xlpm.cleanRaw,2,FIND(".",_xlpm.cleanRaw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6" t="str">
        <f>_xlfn.LET(_xlpm.raw,_xlfn.XLOOKUP(A626,SITE3!$C$4:$C$1034,SITE3!$E$4:$E$1034),_xlpm.cleanRaw,SUBSTITUTE(SUBSTITUTE(_xlpm.raw,"_PIN","."),"PIN","."),_xlpm.mainPart,MID(_xlpm.cleanRaw,2,FIND(".",_xlpm.cleanRaw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6" t="str">
        <f>""</f>
        <v/>
      </c>
      <c r="I626" t="str">
        <f>""</f>
        <v/>
      </c>
      <c r="J626" t="str">
        <f t="shared" si="9"/>
        <v>AK39;VSS;;13.5345;18.2183;;;;</v>
      </c>
    </row>
    <row r="627" spans="1:10">
      <c r="A627" t="s">
        <v>3790</v>
      </c>
      <c r="B627" t="str">
        <f>_xlfn.XLOOKUP(A627,SITE1!$V$4:$V$1034,SITE1!$U$4:$U$1034,"")</f>
        <v>VSS</v>
      </c>
      <c r="C627" t="str" cm="1">
        <f t="array" ref="C627">_xlfn.TEXTJOIN(",",TRUE,_xlfn.UNIQUE(TRANSPOSE(_xlfn.MAP(_xlfn.XLOOKUP(A627,SITE1!$C$4:$C$1034,SITE1!$F$4:$O$1034,""),_xlfn.LAMBDA(_xlpm.x,IF(_xlpm.x&lt;&gt;"",TRIM(CLEAN(LEFT(_xlpm.x,FIND(".",_xlpm.x &amp; ".")-1))),""))))))</f>
        <v/>
      </c>
      <c r="D627">
        <v>13.5345</v>
      </c>
      <c r="E627">
        <v>18.9422</v>
      </c>
      <c r="F627" t="str">
        <f>_xlfn.LET(_xlpm.raw,_xlfn.XLOOKUP(A627,SITE1!$C$4:$C$1034,SITE1!$E$4:$E$1034),_xlpm.cleanRaw,SUBSTITUTE(SUBSTITUTE(_xlpm.raw,"_PIN","."),"PIN","."),_xlpm.mainPart,MID(_xlpm.cleanRaw,2,FIND(".",_xlpm.cleanRaw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7" t="str">
        <f>_xlfn.LET(_xlpm.raw,_xlfn.XLOOKUP(A627,SITE3!$C$4:$C$1034,SITE3!$E$4:$E$1034),_xlpm.cleanRaw,SUBSTITUTE(SUBSTITUTE(_xlpm.raw,"_PIN","."),"PIN","."),_xlpm.mainPart,MID(_xlpm.cleanRaw,2,FIND(".",_xlpm.cleanRaw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7" t="str">
        <f>""</f>
        <v/>
      </c>
      <c r="I627" t="str">
        <f>""</f>
        <v/>
      </c>
      <c r="J627" t="str">
        <f t="shared" si="9"/>
        <v>AK41;VSS;;13.5345;18.9422;;;;</v>
      </c>
    </row>
    <row r="628" spans="1:10">
      <c r="A628" t="s">
        <v>3791</v>
      </c>
      <c r="B628" t="str">
        <f>_xlfn.XLOOKUP(A628,SITE1!$V$4:$V$1034,SITE1!$U$4:$U$1034,"")</f>
        <v>VSS</v>
      </c>
      <c r="C628" t="str" cm="1">
        <f t="array" ref="C628">_xlfn.TEXTJOIN(",",TRUE,_xlfn.UNIQUE(TRANSPOSE(_xlfn.MAP(_xlfn.XLOOKUP(A628,SITE1!$C$4:$C$1034,SITE1!$F$4:$O$1034,""),_xlfn.LAMBDA(_xlpm.x,IF(_xlpm.x&lt;&gt;"",TRIM(CLEAN(LEFT(_xlpm.x,FIND(".",_xlpm.x &amp; ".")-1))),""))))))</f>
        <v/>
      </c>
      <c r="D628">
        <v>13.5345</v>
      </c>
      <c r="E628">
        <v>19.6661</v>
      </c>
      <c r="F628" t="str">
        <f>_xlfn.LET(_xlpm.raw,_xlfn.XLOOKUP(A628,SITE1!$C$4:$C$1034,SITE1!$E$4:$E$1034),_xlpm.cleanRaw,SUBSTITUTE(SUBSTITUTE(_xlpm.raw,"_PIN","."),"PIN","."),_xlpm.mainPart,MID(_xlpm.cleanRaw,2,FIND(".",_xlpm.cleanRaw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8" t="str">
        <f>_xlfn.LET(_xlpm.raw,_xlfn.XLOOKUP(A628,SITE3!$C$4:$C$1034,SITE3!$E$4:$E$1034),_xlpm.cleanRaw,SUBSTITUTE(SUBSTITUTE(_xlpm.raw,"_PIN","."),"PIN","."),_xlpm.mainPart,MID(_xlpm.cleanRaw,2,FIND(".",_xlpm.cleanRaw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8" t="str">
        <f>""</f>
        <v/>
      </c>
      <c r="I628" t="str">
        <f>""</f>
        <v/>
      </c>
      <c r="J628" t="str">
        <f t="shared" si="9"/>
        <v>AK42;VSS;;13.5345;19.6661;;;;</v>
      </c>
    </row>
    <row r="629" spans="1:10">
      <c r="A629" t="s">
        <v>2875</v>
      </c>
      <c r="B629" t="str">
        <f>_xlfn.XLOOKUP(A629,SITE1!$V$4:$V$1034,SITE1!$U$4:$U$1034,"")</f>
        <v>SPI0_MISO_IO_1</v>
      </c>
      <c r="C629" t="str" cm="1">
        <f t="array" ref="C629">_xlfn.TEXTJOIN(",",TRUE,_xlfn.UNIQUE(TRANSPOSE(_xlfn.MAP(_xlfn.XLOOKUP(A629,SITE1!$C$4:$C$1034,SITE1!$F$4:$O$1034,""),_xlfn.LAMBDA(_xlpm.x,IF(_xlpm.x&lt;&gt;"",TRIM(CLEAN(LEFT(_xlpm.x,FIND(".",_xlpm.x &amp; ".")-1))),""))))))</f>
        <v/>
      </c>
      <c r="D629">
        <v>13.5345</v>
      </c>
      <c r="E629">
        <v>20.39</v>
      </c>
      <c r="F629" t="str">
        <f>_xlfn.LET(_xlpm.raw,_xlfn.XLOOKUP(A629,SITE1!$C$4:$C$1034,SITE1!$E$4:$E$1034),_xlpm.cleanRaw,SUBSTITUTE(SUBSTITUTE(_xlpm.raw,"_PIN","."),"PIN","."),_xlpm.mainPart,MID(_xlpm.cleanRaw,2,FIND(".",_xlpm.cleanRaw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603101</v>
      </c>
      <c r="G629" t="str">
        <f>_xlfn.LET(_xlpm.raw,_xlfn.XLOOKUP(A629,SITE3!$C$4:$C$1034,SITE3!$E$4:$E$1034),_xlpm.cleanRaw,SUBSTITUTE(SUBSTITUTE(_xlpm.raw,"_PIN","."),"PIN","."),_xlpm.mainPart,MID(_xlpm.cleanRaw,2,FIND(".",_xlpm.cleanRaw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803101</v>
      </c>
      <c r="H629" t="str">
        <f>""</f>
        <v/>
      </c>
      <c r="I629" t="str">
        <f>""</f>
        <v/>
      </c>
      <c r="J629" t="str">
        <f t="shared" si="9"/>
        <v>AK44;SPI0_MISO_IO_1;;13.5345;20.39;603101;803101;;</v>
      </c>
    </row>
    <row r="630" spans="1:10">
      <c r="A630" t="s">
        <v>2880</v>
      </c>
      <c r="B630" t="str">
        <f>_xlfn.XLOOKUP(A630,SITE1!$V$4:$V$1034,SITE1!$U$4:$U$1034,"")</f>
        <v>SPI0_MOSI_IO_0</v>
      </c>
      <c r="C630" t="str" cm="1">
        <f t="array" ref="C630">_xlfn.TEXTJOIN(",",TRUE,_xlfn.UNIQUE(TRANSPOSE(_xlfn.MAP(_xlfn.XLOOKUP(A630,SITE1!$C$4:$C$1034,SITE1!$F$4:$O$1034,""),_xlfn.LAMBDA(_xlpm.x,IF(_xlpm.x&lt;&gt;"",TRIM(CLEAN(LEFT(_xlpm.x,FIND(".",_xlpm.x &amp; ".")-1))),""))))))</f>
        <v/>
      </c>
      <c r="D630">
        <v>13.5345</v>
      </c>
      <c r="E630">
        <v>21.113900000000001</v>
      </c>
      <c r="F630" t="str">
        <f>_xlfn.LET(_xlpm.raw,_xlfn.XLOOKUP(A630,SITE1!$C$4:$C$1034,SITE1!$E$4:$E$1034),_xlpm.cleanRaw,SUBSTITUTE(SUBSTITUTE(_xlpm.raw,"_PIN","."),"PIN","."),_xlpm.mainPart,MID(_xlpm.cleanRaw,2,FIND(".",_xlpm.cleanRaw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701127</v>
      </c>
      <c r="G630" t="str">
        <f>_xlfn.LET(_xlpm.raw,_xlfn.XLOOKUP(A630,SITE3!$C$4:$C$1034,SITE3!$E$4:$E$1034),_xlpm.cleanRaw,SUBSTITUTE(SUBSTITUTE(_xlpm.raw,"_PIN","."),"PIN","."),_xlpm.mainPart,MID(_xlpm.cleanRaw,2,FIND(".",_xlpm.cleanRaw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501127</v>
      </c>
      <c r="H630" t="str">
        <f>""</f>
        <v/>
      </c>
      <c r="I630" t="str">
        <f>""</f>
        <v/>
      </c>
      <c r="J630" t="str">
        <f t="shared" si="9"/>
        <v>AK45;SPI0_MOSI_IO_0;;13.5345;21.1139;701127;501127;;</v>
      </c>
    </row>
    <row r="631" spans="1:10">
      <c r="A631" t="s">
        <v>2865</v>
      </c>
      <c r="B631" t="str">
        <f>_xlfn.XLOOKUP(A631,SITE1!$V$4:$V$1034,SITE1!$U$4:$U$1034,"")</f>
        <v>SPI0_IO_2</v>
      </c>
      <c r="C631" t="str" cm="1">
        <f t="array" ref="C631">_xlfn.TEXTJOIN(",",TRUE,_xlfn.UNIQUE(TRANSPOSE(_xlfn.MAP(_xlfn.XLOOKUP(A631,SITE1!$C$4:$C$1034,SITE1!$F$4:$O$1034,""),_xlfn.LAMBDA(_xlpm.x,IF(_xlpm.x&lt;&gt;"",TRIM(CLEAN(LEFT(_xlpm.x,FIND(".",_xlpm.x &amp; ".")-1))),""))))))</f>
        <v/>
      </c>
      <c r="D631">
        <v>13.3947</v>
      </c>
      <c r="E631">
        <v>23.1099</v>
      </c>
      <c r="F631" t="str">
        <f>_xlfn.LET(_xlpm.raw,_xlfn.XLOOKUP(A631,SITE1!$C$4:$C$1034,SITE1!$E$4:$E$1034),_xlpm.cleanRaw,SUBSTITUTE(SUBSTITUTE(_xlpm.raw,"_PIN","."),"PIN","."),_xlpm.mainPart,MID(_xlpm.cleanRaw,2,FIND(".",_xlpm.cleanRaw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708049</v>
      </c>
      <c r="G631" t="str">
        <f>_xlfn.LET(_xlpm.raw,_xlfn.XLOOKUP(A631,SITE3!$C$4:$C$1034,SITE3!$E$4:$E$1034),_xlpm.cleanRaw,SUBSTITUTE(SUBSTITUTE(_xlpm.raw,"_PIN","."),"PIN","."),_xlpm.mainPart,MID(_xlpm.cleanRaw,2,FIND(".",_xlpm.cleanRaw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508049</v>
      </c>
      <c r="H631" t="str">
        <f>""</f>
        <v/>
      </c>
      <c r="I631" t="str">
        <f>""</f>
        <v/>
      </c>
      <c r="J631" t="str">
        <f t="shared" si="9"/>
        <v>AK49;SPI0_IO_2;;13.3947;23.1099;708049;508049;;</v>
      </c>
    </row>
    <row r="632" spans="1:10">
      <c r="A632" t="s">
        <v>1454</v>
      </c>
      <c r="B632" t="str">
        <f>_xlfn.XLOOKUP(A632,SITE1!$V$4:$V$1034,SITE1!$U$4:$U$1034,"")</f>
        <v>GPP_H_2_SRCCLKREQB_9</v>
      </c>
      <c r="C632" t="str" cm="1">
        <f t="array" ref="C632">_xlfn.TEXTJOIN(",",TRUE,_xlfn.UNIQUE(TRANSPOSE(_xlfn.MAP(_xlfn.XLOOKUP(A632,SITE1!$C$4:$C$1034,SITE1!$F$4:$O$1034,""),_xlfn.LAMBDA(_xlpm.x,IF(_xlpm.x&lt;&gt;"",TRIM(CLEAN(LEFT(_xlpm.x,FIND(".",_xlpm.x &amp; ".")-1))),""))))))</f>
        <v/>
      </c>
      <c r="D632">
        <v>13.5852</v>
      </c>
      <c r="E632">
        <v>23.798200000000001</v>
      </c>
      <c r="F632" t="str">
        <f>_xlfn.LET(_xlpm.raw,_xlfn.XLOOKUP(A632,SITE1!$C$4:$C$1034,SITE1!$E$4:$E$1034),_xlpm.cleanRaw,SUBSTITUTE(SUBSTITUTE(_xlpm.raw,"_PIN","."),"PIN","."),_xlpm.mainPart,MID(_xlpm.cleanRaw,2,FIND(".",_xlpm.cleanRaw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704100</v>
      </c>
      <c r="G632" t="str">
        <f>_xlfn.LET(_xlpm.raw,_xlfn.XLOOKUP(A632,SITE3!$C$4:$C$1034,SITE3!$E$4:$E$1034),_xlpm.cleanRaw,SUBSTITUTE(SUBSTITUTE(_xlpm.raw,"_PIN","."),"PIN","."),_xlpm.mainPart,MID(_xlpm.cleanRaw,2,FIND(".",_xlpm.cleanRaw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504100</v>
      </c>
      <c r="H632" t="str">
        <f>""</f>
        <v/>
      </c>
      <c r="I632" t="str">
        <f>""</f>
        <v/>
      </c>
      <c r="J632" t="str">
        <f t="shared" si="9"/>
        <v>AK51;GPP_H_2_SRCCLKREQB_9;;13.5852;23.7982;704100;504100;;</v>
      </c>
    </row>
    <row r="633" spans="1:10">
      <c r="A633" t="s">
        <v>1459</v>
      </c>
      <c r="B633" t="str">
        <f>_xlfn.XLOOKUP(A633,SITE1!$V$4:$V$1034,SITE1!$U$4:$U$1034,"")</f>
        <v>GPP_H_3_SRCCLKREQB_10</v>
      </c>
      <c r="C633" t="str" cm="1">
        <f t="array" ref="C633">_xlfn.TEXTJOIN(",",TRUE,_xlfn.UNIQUE(TRANSPOSE(_xlfn.MAP(_xlfn.XLOOKUP(A633,SITE1!$C$4:$C$1034,SITE1!$F$4:$O$1034,""),_xlfn.LAMBDA(_xlpm.x,IF(_xlpm.x&lt;&gt;"",TRIM(CLEAN(LEFT(_xlpm.x,FIND(".",_xlpm.x &amp; ".")-1))),""))))))</f>
        <v/>
      </c>
      <c r="D633">
        <v>13.775700000000001</v>
      </c>
      <c r="E633">
        <v>24.486599999999999</v>
      </c>
      <c r="F633" t="str">
        <f>_xlfn.LET(_xlpm.raw,_xlfn.XLOOKUP(A633,SITE1!$C$4:$C$1034,SITE1!$E$4:$E$1034),_xlpm.cleanRaw,SUBSTITUTE(SUBSTITUTE(_xlpm.raw,"_PIN","."),"PIN","."),_xlpm.mainPart,MID(_xlpm.cleanRaw,2,FIND(".",_xlpm.cleanRaw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701095</v>
      </c>
      <c r="G633" t="str">
        <f>_xlfn.LET(_xlpm.raw,_xlfn.XLOOKUP(A633,SITE3!$C$4:$C$1034,SITE3!$E$4:$E$1034),_xlpm.cleanRaw,SUBSTITUTE(SUBSTITUTE(_xlpm.raw,"_PIN","."),"PIN","."),_xlpm.mainPart,MID(_xlpm.cleanRaw,2,FIND(".",_xlpm.cleanRaw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501095</v>
      </c>
      <c r="H633" t="str">
        <f>""</f>
        <v/>
      </c>
      <c r="I633" t="str">
        <f>""</f>
        <v/>
      </c>
      <c r="J633" t="str">
        <f t="shared" si="9"/>
        <v>AK52;GPP_H_3_SRCCLKREQB_10;;13.7757;24.4866;701095;501095;;</v>
      </c>
    </row>
    <row r="634" spans="1:10">
      <c r="A634" t="s">
        <v>1404</v>
      </c>
      <c r="B634" t="str">
        <f>_xlfn.XLOOKUP(A634,SITE1!$V$4:$V$1034,SITE1!$U$4:$U$1034,"")</f>
        <v>GPP_H_10_SML2DATA</v>
      </c>
      <c r="C634" t="str" cm="1">
        <f t="array" ref="C634">_xlfn.TEXTJOIN(",",TRUE,_xlfn.UNIQUE(TRANSPOSE(_xlfn.MAP(_xlfn.XLOOKUP(A634,SITE1!$C$4:$C$1034,SITE1!$F$4:$O$1034,""),_xlfn.LAMBDA(_xlpm.x,IF(_xlpm.x&lt;&gt;"",TRIM(CLEAN(LEFT(_xlpm.x,FIND(".",_xlpm.x &amp; ".")-1))),""))))))</f>
        <v/>
      </c>
      <c r="D634">
        <v>13.4643</v>
      </c>
      <c r="E634">
        <v>25.136800000000001</v>
      </c>
      <c r="F634" t="str">
        <f>_xlfn.LET(_xlpm.raw,_xlfn.XLOOKUP(A634,SITE1!$C$4:$C$1034,SITE1!$E$4:$E$1034),_xlpm.cleanRaw,SUBSTITUTE(SUBSTITUTE(_xlpm.raw,"_PIN","."),"PIN","."),_xlpm.mainPart,MID(_xlpm.cleanRaw,2,FIND(".",_xlpm.cleanRaw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703035</v>
      </c>
      <c r="G634" t="str">
        <f>_xlfn.LET(_xlpm.raw,_xlfn.XLOOKUP(A634,SITE3!$C$4:$C$1034,SITE3!$E$4:$E$1034),_xlpm.cleanRaw,SUBSTITUTE(SUBSTITUTE(_xlpm.raw,"_PIN","."),"PIN","."),_xlpm.mainPart,MID(_xlpm.cleanRaw,2,FIND(".",_xlpm.cleanRaw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503035</v>
      </c>
      <c r="H634" t="str">
        <f>""</f>
        <v/>
      </c>
      <c r="I634" t="str">
        <f>""</f>
        <v/>
      </c>
      <c r="J634" t="str">
        <f t="shared" si="9"/>
        <v>AK54;GPP_H_10_SML2DATA;;13.4643;25.1368;703035;503035;;</v>
      </c>
    </row>
    <row r="635" spans="1:10">
      <c r="A635" t="s">
        <v>1489</v>
      </c>
      <c r="B635" t="str">
        <f>_xlfn.XLOOKUP(A635,SITE1!$V$4:$V$1034,SITE1!$U$4:$U$1034,"")</f>
        <v>GPP_H_9_SML2CLK</v>
      </c>
      <c r="C635" t="str" cm="1">
        <f t="array" ref="C635">_xlfn.TEXTJOIN(",",TRUE,_xlfn.UNIQUE(TRANSPOSE(_xlfn.MAP(_xlfn.XLOOKUP(A635,SITE1!$C$4:$C$1034,SITE1!$F$4:$O$1034,""),_xlfn.LAMBDA(_xlpm.x,IF(_xlpm.x&lt;&gt;"",TRIM(CLEAN(LEFT(_xlpm.x,FIND(".",_xlpm.x &amp; ".")-1))),""))))))</f>
        <v/>
      </c>
      <c r="D635">
        <v>13.5563</v>
      </c>
      <c r="E635">
        <v>25.657</v>
      </c>
      <c r="F635" t="str">
        <f>_xlfn.LET(_xlpm.raw,_xlfn.XLOOKUP(A635,SITE1!$C$4:$C$1034,SITE1!$E$4:$E$1034),_xlpm.cleanRaw,SUBSTITUTE(SUBSTITUTE(_xlpm.raw,"_PIN","."),"PIN","."),_xlpm.mainPart,MID(_xlpm.cleanRaw,2,FIND(".",_xlpm.cleanRaw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702049</v>
      </c>
      <c r="G635" t="str">
        <f>_xlfn.LET(_xlpm.raw,_xlfn.XLOOKUP(A635,SITE3!$C$4:$C$1034,SITE3!$E$4:$E$1034),_xlpm.cleanRaw,SUBSTITUTE(SUBSTITUTE(_xlpm.raw,"_PIN","."),"PIN","."),_xlpm.mainPart,MID(_xlpm.cleanRaw,2,FIND(".",_xlpm.cleanRaw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502049</v>
      </c>
      <c r="H635" t="str">
        <f>""</f>
        <v/>
      </c>
      <c r="I635" t="str">
        <f>""</f>
        <v/>
      </c>
      <c r="J635" t="str">
        <f t="shared" si="9"/>
        <v>AK55;GPP_H_9_SML2CLK;;13.5563;25.657;702049;502049;;</v>
      </c>
    </row>
    <row r="636" spans="1:10">
      <c r="A636" t="s">
        <v>735</v>
      </c>
      <c r="B636" t="str">
        <f>_xlfn.XLOOKUP(A636,SITE1!$V$4:$V$1034,SITE1!$U$4:$U$1034,"")</f>
        <v>GPD_9_SLP_WLANB</v>
      </c>
      <c r="C636" t="str" cm="1">
        <f t="array" ref="C636">_xlfn.TEXTJOIN(",",TRUE,_xlfn.UNIQUE(TRANSPOSE(_xlfn.MAP(_xlfn.XLOOKUP(A636,SITE1!$C$4:$C$1034,SITE1!$F$4:$O$1034,""),_xlfn.LAMBDA(_xlpm.x,IF(_xlpm.x&lt;&gt;"",TRIM(CLEAN(LEFT(_xlpm.x,FIND(".",_xlpm.x &amp; ".")-1))),""))))))</f>
        <v/>
      </c>
      <c r="D636">
        <v>13.9192</v>
      </c>
      <c r="E636">
        <v>0.73659999999999903</v>
      </c>
      <c r="F636" t="str">
        <f>_xlfn.LET(_xlpm.raw,_xlfn.XLOOKUP(A636,SITE1!$C$4:$C$1034,SITE1!$E$4:$E$1034),_xlpm.cleanRaw,SUBSTITUTE(SUBSTITUTE(_xlpm.raw,"_PIN","."),"PIN","."),_xlpm.mainPart,MID(_xlpm.cleanRaw,2,FIND(".",_xlpm.cleanRaw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606117</v>
      </c>
      <c r="G636" t="str">
        <f>_xlfn.LET(_xlpm.raw,_xlfn.XLOOKUP(A636,SITE3!$C$4:$C$1034,SITE3!$E$4:$E$1034),_xlpm.cleanRaw,SUBSTITUTE(SUBSTITUTE(_xlpm.raw,"_PIN","."),"PIN","."),_xlpm.mainPart,MID(_xlpm.cleanRaw,2,FIND(".",_xlpm.cleanRaw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806117</v>
      </c>
      <c r="H636" t="str">
        <f>""</f>
        <v/>
      </c>
      <c r="I636" t="str">
        <f>""</f>
        <v/>
      </c>
      <c r="J636" t="str">
        <f t="shared" si="9"/>
        <v>AL2;GPD_9_SLP_WLANB;;13.9192;0.736599999999999;606117;806117;;</v>
      </c>
    </row>
    <row r="637" spans="1:10">
      <c r="A637" t="s">
        <v>2760</v>
      </c>
      <c r="B637" t="str">
        <f>_xlfn.XLOOKUP(A637,SITE1!$V$4:$V$1034,SITE1!$U$4:$U$1034,"")</f>
        <v>PM_SPARE0</v>
      </c>
      <c r="C637" t="str" cm="1">
        <f t="array" ref="C637">_xlfn.TEXTJOIN(",",TRUE,_xlfn.UNIQUE(TRANSPOSE(_xlfn.MAP(_xlfn.XLOOKUP(A637,SITE1!$C$4:$C$1034,SITE1!$F$4:$O$1034,""),_xlfn.LAMBDA(_xlpm.x,IF(_xlpm.x&lt;&gt;"",TRIM(CLEAN(LEFT(_xlpm.x,FIND(".",_xlpm.x &amp; ".")-1))),""))))))</f>
        <v/>
      </c>
      <c r="D637">
        <v>14.072899999999899</v>
      </c>
      <c r="E637">
        <v>1.28009999999999</v>
      </c>
      <c r="F637" t="str">
        <f>_xlfn.LET(_xlpm.raw,_xlfn.XLOOKUP(A637,SITE1!$C$4:$C$1034,SITE1!$E$4:$E$1034),_xlpm.cleanRaw,SUBSTITUTE(SUBSTITUTE(_xlpm.raw,"_PIN","."),"PIN","."),_xlpm.mainPart,MID(_xlpm.cleanRaw,2,FIND(".",_xlpm.cleanRaw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606099</v>
      </c>
      <c r="G637" t="str">
        <f>_xlfn.LET(_xlpm.raw,_xlfn.XLOOKUP(A637,SITE3!$C$4:$C$1034,SITE3!$E$4:$E$1034),_xlpm.cleanRaw,SUBSTITUTE(SUBSTITUTE(_xlpm.raw,"_PIN","."),"PIN","."),_xlpm.mainPart,MID(_xlpm.cleanRaw,2,FIND(".",_xlpm.cleanRaw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806099</v>
      </c>
      <c r="H637" t="str">
        <f>""</f>
        <v/>
      </c>
      <c r="I637" t="str">
        <f>""</f>
        <v/>
      </c>
      <c r="J637" t="str">
        <f t="shared" si="9"/>
        <v>AL3;PM_SPARE0;;14.0728999999999;1.28009999999999;606099;806099;;</v>
      </c>
    </row>
    <row r="638" spans="1:10">
      <c r="A638" t="s">
        <v>3795</v>
      </c>
      <c r="B638" t="str">
        <f>_xlfn.XLOOKUP(A638,SITE1!$V$4:$V$1034,SITE1!$U$4:$U$1034,"")</f>
        <v>VSS</v>
      </c>
      <c r="C638" t="str" cm="1">
        <f t="array" ref="C638">_xlfn.TEXTJOIN(",",TRUE,_xlfn.UNIQUE(TRANSPOSE(_xlfn.MAP(_xlfn.XLOOKUP(A638,SITE1!$C$4:$C$1034,SITE1!$F$4:$O$1034,""),_xlfn.LAMBDA(_xlpm.x,IF(_xlpm.x&lt;&gt;"",TRIM(CLEAN(LEFT(_xlpm.x,FIND(".",_xlpm.x &amp; ".")-1))),""))))))</f>
        <v/>
      </c>
      <c r="D638">
        <v>13.966199999999899</v>
      </c>
      <c r="E638">
        <v>1.7795000000000001</v>
      </c>
      <c r="F638" t="str">
        <f>_xlfn.LET(_xlpm.raw,_xlfn.XLOOKUP(A638,SITE1!$C$4:$C$1034,SITE1!$E$4:$E$1034),_xlpm.cleanRaw,SUBSTITUTE(SUBSTITUTE(_xlpm.raw,"_PIN","."),"PIN","."),_xlpm.mainPart,MID(_xlpm.cleanRaw,2,FIND(".",_xlpm.cleanRaw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8" t="str">
        <f>_xlfn.LET(_xlpm.raw,_xlfn.XLOOKUP(A638,SITE3!$C$4:$C$1034,SITE3!$E$4:$E$1034),_xlpm.cleanRaw,SUBSTITUTE(SUBSTITUTE(_xlpm.raw,"_PIN","."),"PIN","."),_xlpm.mainPart,MID(_xlpm.cleanRaw,2,FIND(".",_xlpm.cleanRaw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8" t="str">
        <f>""</f>
        <v/>
      </c>
      <c r="I638" t="str">
        <f>""</f>
        <v/>
      </c>
      <c r="J638" t="str">
        <f t="shared" si="9"/>
        <v>AL5;VSS;;13.9661999999999;1.7795;;;;</v>
      </c>
    </row>
    <row r="639" spans="1:10">
      <c r="A639" t="s">
        <v>3792</v>
      </c>
      <c r="B639" t="str">
        <f>_xlfn.XLOOKUP(A639,SITE1!$V$4:$V$1034,SITE1!$U$4:$U$1034,"")</f>
        <v>VSS</v>
      </c>
      <c r="C639" t="str" cm="1">
        <f t="array" ref="C639">_xlfn.TEXTJOIN(",",TRUE,_xlfn.UNIQUE(TRANSPOSE(_xlfn.MAP(_xlfn.XLOOKUP(A639,SITE1!$C$4:$C$1034,SITE1!$F$4:$O$1034,""),_xlfn.LAMBDA(_xlpm.x,IF(_xlpm.x&lt;&gt;"",TRIM(CLEAN(LEFT(_xlpm.x,FIND(".",_xlpm.x &amp; ".")-1))),""))))))</f>
        <v/>
      </c>
      <c r="D639">
        <v>14.165699999999999</v>
      </c>
      <c r="E639">
        <v>9.5418000000000003</v>
      </c>
      <c r="F639" t="str">
        <f>_xlfn.LET(_xlpm.raw,_xlfn.XLOOKUP(A639,SITE1!$C$4:$C$1034,SITE1!$E$4:$E$1034),_xlpm.cleanRaw,SUBSTITUTE(SUBSTITUTE(_xlpm.raw,"_PIN","."),"PIN","."),_xlpm.mainPart,MID(_xlpm.cleanRaw,2,FIND(".",_xlpm.cleanRaw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9" t="str">
        <f>_xlfn.LET(_xlpm.raw,_xlfn.XLOOKUP(A639,SITE3!$C$4:$C$1034,SITE3!$E$4:$E$1034),_xlpm.cleanRaw,SUBSTITUTE(SUBSTITUTE(_xlpm.raw,"_PIN","."),"PIN","."),_xlpm.mainPart,MID(_xlpm.cleanRaw,2,FIND(".",_xlpm.cleanRaw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9" t="str">
        <f>""</f>
        <v/>
      </c>
      <c r="I639" t="str">
        <f>""</f>
        <v/>
      </c>
      <c r="J639" t="str">
        <f t="shared" si="9"/>
        <v>AL21;VSS;;14.1657;9.5418;;;;</v>
      </c>
    </row>
    <row r="640" spans="1:10">
      <c r="A640" t="s">
        <v>3793</v>
      </c>
      <c r="B640" t="str">
        <f>_xlfn.XLOOKUP(A640,SITE1!$V$4:$V$1034,SITE1!$U$4:$U$1034,"")</f>
        <v>VSS</v>
      </c>
      <c r="C640" t="str" cm="1">
        <f t="array" ref="C640">_xlfn.TEXTJOIN(",",TRUE,_xlfn.UNIQUE(TRANSPOSE(_xlfn.MAP(_xlfn.XLOOKUP(A640,SITE1!$C$4:$C$1034,SITE1!$F$4:$O$1034,""),_xlfn.LAMBDA(_xlpm.x,IF(_xlpm.x&lt;&gt;"",TRIM(CLEAN(LEFT(_xlpm.x,FIND(".",_xlpm.x &amp; ".")-1))),""))))))</f>
        <v/>
      </c>
      <c r="D640">
        <v>14.077299999999999</v>
      </c>
      <c r="E640">
        <v>13.4391</v>
      </c>
      <c r="F640" t="str">
        <f>_xlfn.LET(_xlpm.raw,_xlfn.XLOOKUP(A640,SITE1!$C$4:$C$1034,SITE1!$E$4:$E$1034),_xlpm.cleanRaw,SUBSTITUTE(SUBSTITUTE(_xlpm.raw,"_PIN","."),"PIN","."),_xlpm.mainPart,MID(_xlpm.cleanRaw,2,FIND(".",_xlpm.cleanRaw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0" t="str">
        <f>_xlfn.LET(_xlpm.raw,_xlfn.XLOOKUP(A640,SITE3!$C$4:$C$1034,SITE3!$E$4:$E$1034),_xlpm.cleanRaw,SUBSTITUTE(SUBSTITUTE(_xlpm.raw,"_PIN","."),"PIN","."),_xlpm.mainPart,MID(_xlpm.cleanRaw,2,FIND(".",_xlpm.cleanRaw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0" t="str">
        <f>""</f>
        <v/>
      </c>
      <c r="I640" t="str">
        <f>""</f>
        <v/>
      </c>
      <c r="J640" t="str">
        <f t="shared" si="9"/>
        <v>AL29;VSS;;14.0773;13.4391;;;;</v>
      </c>
    </row>
    <row r="641" spans="1:10">
      <c r="A641" t="s">
        <v>3794</v>
      </c>
      <c r="B641" t="str">
        <f>_xlfn.XLOOKUP(A641,SITE1!$V$4:$V$1034,SITE1!$U$4:$U$1034,"")</f>
        <v>VSS</v>
      </c>
      <c r="C641" t="str" cm="1">
        <f t="array" ref="C641">_xlfn.TEXTJOIN(",",TRUE,_xlfn.UNIQUE(TRANSPOSE(_xlfn.MAP(_xlfn.XLOOKUP(A641,SITE1!$C$4:$C$1034,SITE1!$F$4:$O$1034,""),_xlfn.LAMBDA(_xlpm.x,IF(_xlpm.x&lt;&gt;"",TRIM(CLEAN(LEFT(_xlpm.x,FIND(".",_xlpm.x &amp; ".")-1))),""))))))</f>
        <v/>
      </c>
      <c r="D641">
        <v>14.165699999999999</v>
      </c>
      <c r="E641">
        <v>17.336400000000001</v>
      </c>
      <c r="F641" t="str">
        <f>_xlfn.LET(_xlpm.raw,_xlfn.XLOOKUP(A641,SITE1!$C$4:$C$1034,SITE1!$E$4:$E$1034),_xlpm.cleanRaw,SUBSTITUTE(SUBSTITUTE(_xlpm.raw,"_PIN","."),"PIN","."),_xlpm.mainPart,MID(_xlpm.cleanRaw,2,FIND(".",_xlpm.cleanRaw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1" t="str">
        <f>_xlfn.LET(_xlpm.raw,_xlfn.XLOOKUP(A641,SITE3!$C$4:$C$1034,SITE3!$E$4:$E$1034),_xlpm.cleanRaw,SUBSTITUTE(SUBSTITUTE(_xlpm.raw,"_PIN","."),"PIN","."),_xlpm.mainPart,MID(_xlpm.cleanRaw,2,FIND(".",_xlpm.cleanRaw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1" t="str">
        <f>""</f>
        <v/>
      </c>
      <c r="I641" t="str">
        <f>""</f>
        <v/>
      </c>
      <c r="J641" t="str">
        <f t="shared" si="9"/>
        <v>AL37;VSS;;14.1657;17.3364;;;;</v>
      </c>
    </row>
    <row r="642" spans="1:10">
      <c r="A642" t="s">
        <v>3796</v>
      </c>
      <c r="B642" t="str">
        <f>_xlfn.XLOOKUP(A642,SITE1!$V$4:$V$1034,SITE1!$U$4:$U$1034,"")</f>
        <v>VSS</v>
      </c>
      <c r="C642" t="str" cm="1">
        <f t="array" ref="C642">_xlfn.TEXTJOIN(",",TRUE,_xlfn.UNIQUE(TRANSPOSE(_xlfn.MAP(_xlfn.XLOOKUP(A642,SITE1!$C$4:$C$1034,SITE1!$F$4:$O$1034,""),_xlfn.LAMBDA(_xlpm.x,IF(_xlpm.x&lt;&gt;"",TRIM(CLEAN(LEFT(_xlpm.x,FIND(".",_xlpm.x &amp; ".")-1))),""))))))</f>
        <v/>
      </c>
      <c r="D642">
        <v>13.966199999999899</v>
      </c>
      <c r="E642">
        <v>25.098700000000001</v>
      </c>
      <c r="F642" t="str">
        <f>_xlfn.LET(_xlpm.raw,_xlfn.XLOOKUP(A642,SITE1!$C$4:$C$1034,SITE1!$E$4:$E$1034),_xlpm.cleanRaw,SUBSTITUTE(SUBSTITUTE(_xlpm.raw,"_PIN","."),"PIN","."),_xlpm.mainPart,MID(_xlpm.cleanRaw,2,FIND(".",_xlpm.cleanRaw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2" t="str">
        <f>_xlfn.LET(_xlpm.raw,_xlfn.XLOOKUP(A642,SITE3!$C$4:$C$1034,SITE3!$E$4:$E$1034),_xlpm.cleanRaw,SUBSTITUTE(SUBSTITUTE(_xlpm.raw,"_PIN","."),"PIN","."),_xlpm.mainPart,MID(_xlpm.cleanRaw,2,FIND(".",_xlpm.cleanRaw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2" t="str">
        <f>""</f>
        <v/>
      </c>
      <c r="I642" t="str">
        <f>""</f>
        <v/>
      </c>
      <c r="J642" t="str">
        <f t="shared" ref="J642:J705" si="10">A642&amp;";"&amp;B642&amp;";"&amp;C642&amp;";"&amp;D642&amp;";"&amp;E642&amp;";"&amp;F642&amp;";"&amp;G642&amp;";"&amp;H642&amp;";"&amp;I642</f>
        <v>AL53;VSS;;13.9661999999999;25.0987;;;;</v>
      </c>
    </row>
    <row r="643" spans="1:10">
      <c r="A643" t="s">
        <v>1479</v>
      </c>
      <c r="B643" t="str">
        <f>_xlfn.XLOOKUP(A643,SITE1!$V$4:$V$1034,SITE1!$U$4:$U$1034,"")</f>
        <v>GPP_H_7_USB2_OCB_2_GMII_MDC_1</v>
      </c>
      <c r="C643" t="str" cm="1">
        <f t="array" ref="C643">_xlfn.TEXTJOIN(",",TRUE,_xlfn.UNIQUE(TRANSPOSE(_xlfn.MAP(_xlfn.XLOOKUP(A643,SITE1!$C$4:$C$1034,SITE1!$F$4:$O$1034,""),_xlfn.LAMBDA(_xlpm.x,IF(_xlpm.x&lt;&gt;"",TRIM(CLEAN(LEFT(_xlpm.x,FIND(".",_xlpm.x &amp; ".")-1))),""))))))</f>
        <v/>
      </c>
      <c r="D643">
        <v>14.072899999999899</v>
      </c>
      <c r="E643">
        <v>25.598099999999999</v>
      </c>
      <c r="F643" t="str">
        <f>_xlfn.LET(_xlpm.raw,_xlfn.XLOOKUP(A643,SITE1!$C$4:$C$1034,SITE1!$E$4:$E$1034),_xlpm.cleanRaw,SUBSTITUTE(SUBSTITUTE(_xlpm.raw,"_PIN","."),"PIN","."),_xlpm.mainPart,MID(_xlpm.cleanRaw,2,FIND(".",_xlpm.cleanRaw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703032</v>
      </c>
      <c r="G643" t="str">
        <f>_xlfn.LET(_xlpm.raw,_xlfn.XLOOKUP(A643,SITE3!$C$4:$C$1034,SITE3!$E$4:$E$1034),_xlpm.cleanRaw,SUBSTITUTE(SUBSTITUTE(_xlpm.raw,"_PIN","."),"PIN","."),_xlpm.mainPart,MID(_xlpm.cleanRaw,2,FIND(".",_xlpm.cleanRaw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503032</v>
      </c>
      <c r="H643" t="str">
        <f>""</f>
        <v/>
      </c>
      <c r="I643" t="str">
        <f>""</f>
        <v/>
      </c>
      <c r="J643" t="str">
        <f t="shared" si="10"/>
        <v>AL55;GPP_H_7_USB2_OCB_2_GMII_MDC_1;;14.0728999999999;25.5981;703032;503032;;</v>
      </c>
    </row>
    <row r="644" spans="1:10">
      <c r="A644" t="s">
        <v>1484</v>
      </c>
      <c r="B644" t="str">
        <f>_xlfn.XLOOKUP(A644,SITE1!$V$4:$V$1034,SITE1!$U$4:$U$1034,"")</f>
        <v>GPP_H_8_USB2_OCB_3_GMII_MDIO_1</v>
      </c>
      <c r="C644" t="str" cm="1">
        <f t="array" ref="C644">_xlfn.TEXTJOIN(",",TRUE,_xlfn.UNIQUE(TRANSPOSE(_xlfn.MAP(_xlfn.XLOOKUP(A644,SITE1!$C$4:$C$1034,SITE1!$F$4:$O$1034,""),_xlfn.LAMBDA(_xlpm.x,IF(_xlpm.x&lt;&gt;"",TRIM(CLEAN(LEFT(_xlpm.x,FIND(".",_xlpm.x &amp; ".")-1))),""))))))</f>
        <v/>
      </c>
      <c r="D644">
        <v>13.9192</v>
      </c>
      <c r="E644">
        <v>26.1416</v>
      </c>
      <c r="F644" t="str">
        <f>_xlfn.LET(_xlpm.raw,_xlfn.XLOOKUP(A644,SITE1!$C$4:$C$1034,SITE1!$E$4:$E$1034),_xlpm.cleanRaw,SUBSTITUTE(SUBSTITUTE(_xlpm.raw,"_PIN","."),"PIN","."),_xlpm.mainPart,MID(_xlpm.cleanRaw,2,FIND(".",_xlpm.cleanRaw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601026</v>
      </c>
      <c r="G644" t="str">
        <f>_xlfn.LET(_xlpm.raw,_xlfn.XLOOKUP(A644,SITE3!$C$4:$C$1034,SITE3!$E$4:$E$1034),_xlpm.cleanRaw,SUBSTITUTE(SUBSTITUTE(_xlpm.raw,"_PIN","."),"PIN","."),_xlpm.mainPart,MID(_xlpm.cleanRaw,2,FIND(".",_xlpm.cleanRaw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801026</v>
      </c>
      <c r="H644" t="str">
        <f>""</f>
        <v/>
      </c>
      <c r="I644" t="str">
        <f>""</f>
        <v/>
      </c>
      <c r="J644" t="str">
        <f t="shared" si="10"/>
        <v>AL56;GPP_H_8_USB2_OCB_3_GMII_MDIO_1;;13.9192;26.1416;601026;801026;;</v>
      </c>
    </row>
    <row r="645" spans="1:10">
      <c r="A645" t="s">
        <v>1859</v>
      </c>
      <c r="B645" t="str">
        <f>_xlfn.XLOOKUP(A645,SITE1!$V$4:$V$1034,SITE1!$U$4:$U$1034,"")</f>
        <v>MLK_CLK</v>
      </c>
      <c r="C645" t="str" cm="1">
        <f t="array" ref="C645">_xlfn.TEXTJOIN(",",TRUE,_xlfn.UNIQUE(TRANSPOSE(_xlfn.MAP(_xlfn.XLOOKUP(A645,SITE1!$C$4:$C$1034,SITE1!$F$4:$O$1034,""),_xlfn.LAMBDA(_xlpm.x,IF(_xlpm.x&lt;&gt;"",TRIM(CLEAN(LEFT(_xlpm.x,FIND(".",_xlpm.x &amp; ".")-1))),""))))))</f>
        <v/>
      </c>
      <c r="D645">
        <v>14.579899999999901</v>
      </c>
      <c r="E645">
        <v>0.65259999999999896</v>
      </c>
      <c r="F645" t="str">
        <f>_xlfn.LET(_xlpm.raw,_xlfn.XLOOKUP(A645,SITE1!$C$4:$C$1034,SITE1!$E$4:$E$1034),_xlpm.cleanRaw,SUBSTITUTE(SUBSTITUTE(_xlpm.raw,"_PIN","."),"PIN","."),_xlpm.mainPart,MID(_xlpm.cleanRaw,2,FIND(".",_xlpm.cleanRaw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607010</v>
      </c>
      <c r="G645" t="str">
        <f>_xlfn.LET(_xlpm.raw,_xlfn.XLOOKUP(A645,SITE3!$C$4:$C$1034,SITE3!$E$4:$E$1034),_xlpm.cleanRaw,SUBSTITUTE(SUBSTITUTE(_xlpm.raw,"_PIN","."),"PIN","."),_xlpm.mainPart,MID(_xlpm.cleanRaw,2,FIND(".",_xlpm.cleanRaw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807010</v>
      </c>
      <c r="H645" t="str">
        <f>""</f>
        <v/>
      </c>
      <c r="I645" t="str">
        <f>""</f>
        <v/>
      </c>
      <c r="J645" t="str">
        <f t="shared" si="10"/>
        <v>AM2;MLK_CLK;;14.5798999999999;0.652599999999999;607010;807010;;</v>
      </c>
    </row>
    <row r="646" spans="1:10">
      <c r="A646" t="s">
        <v>2765</v>
      </c>
      <c r="B646" t="str">
        <f>_xlfn.XLOOKUP(A646,SITE1!$V$4:$V$1034,SITE1!$U$4:$U$1034,"")</f>
        <v>PM_SPARE1</v>
      </c>
      <c r="C646" t="str" cm="1">
        <f t="array" ref="C646">_xlfn.TEXTJOIN(",",TRUE,_xlfn.UNIQUE(TRANSPOSE(_xlfn.MAP(_xlfn.XLOOKUP(A646,SITE1!$C$4:$C$1034,SITE1!$F$4:$O$1034,""),_xlfn.LAMBDA(_xlpm.x,IF(_xlpm.x&lt;&gt;"",TRIM(CLEAN(LEFT(_xlpm.x,FIND(".",_xlpm.x &amp; ".")-1))),""))))))</f>
        <v/>
      </c>
      <c r="D646">
        <v>14.579899999999901</v>
      </c>
      <c r="E646">
        <v>1.15339999999999</v>
      </c>
      <c r="F646" t="str">
        <f>_xlfn.LET(_xlpm.raw,_xlfn.XLOOKUP(A646,SITE1!$C$4:$C$1034,SITE1!$E$4:$E$1034),_xlpm.cleanRaw,SUBSTITUTE(SUBSTITUTE(_xlpm.raw,"_PIN","."),"PIN","."),_xlpm.mainPart,MID(_xlpm.cleanRaw,2,FIND(".",_xlpm.cleanRaw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603088</v>
      </c>
      <c r="G646" t="str">
        <f>_xlfn.LET(_xlpm.raw,_xlfn.XLOOKUP(A646,SITE3!$C$4:$C$1034,SITE3!$E$4:$E$1034),_xlpm.cleanRaw,SUBSTITUTE(SUBSTITUTE(_xlpm.raw,"_PIN","."),"PIN","."),_xlpm.mainPart,MID(_xlpm.cleanRaw,2,FIND(".",_xlpm.cleanRaw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803088</v>
      </c>
      <c r="H646" t="str">
        <f>""</f>
        <v/>
      </c>
      <c r="I646" t="str">
        <f>""</f>
        <v/>
      </c>
      <c r="J646" t="str">
        <f t="shared" si="10"/>
        <v>AM3;PM_SPARE1;;14.5798999999999;1.15339999999999;603088;803088;;</v>
      </c>
    </row>
    <row r="647" spans="1:10">
      <c r="A647" t="s">
        <v>688</v>
      </c>
      <c r="B647" t="str">
        <f>_xlfn.XLOOKUP(A647,SITE1!$V$4:$V$1034,SITE1!$U$4:$U$1034,"")</f>
        <v>GPD_11_LANPHYPC</v>
      </c>
      <c r="C647" t="str" cm="1">
        <f t="array" ref="C647">_xlfn.TEXTJOIN(",",TRUE,_xlfn.UNIQUE(TRANSPOSE(_xlfn.MAP(_xlfn.XLOOKUP(A647,SITE1!$C$4:$C$1034,SITE1!$F$4:$O$1034,""),_xlfn.LAMBDA(_xlpm.x,IF(_xlpm.x&lt;&gt;"",TRIM(CLEAN(LEFT(_xlpm.x,FIND(".",_xlpm.x &amp; ".")-1))),""))))))</f>
        <v/>
      </c>
      <c r="D647">
        <v>14.684999999999899</v>
      </c>
      <c r="E647">
        <v>3.7734000000000001</v>
      </c>
      <c r="F647" t="str">
        <f>_xlfn.LET(_xlpm.raw,_xlfn.XLOOKUP(A647,SITE1!$C$4:$C$1034,SITE1!$E$4:$E$1034),_xlpm.cleanRaw,SUBSTITUTE(SUBSTITUTE(_xlpm.raw,"_PIN","."),"PIN","."),_xlpm.mainPart,MID(_xlpm.cleanRaw,2,FIND(".",_xlpm.cleanRaw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703015</v>
      </c>
      <c r="G647" t="str">
        <f>_xlfn.LET(_xlpm.raw,_xlfn.XLOOKUP(A647,SITE3!$C$4:$C$1034,SITE3!$E$4:$E$1034),_xlpm.cleanRaw,SUBSTITUTE(SUBSTITUTE(_xlpm.raw,"_PIN","."),"PIN","."),_xlpm.mainPart,MID(_xlpm.cleanRaw,2,FIND(".",_xlpm.cleanRaw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503015</v>
      </c>
      <c r="H647" t="str">
        <f>""</f>
        <v/>
      </c>
      <c r="I647" t="str">
        <f>""</f>
        <v/>
      </c>
      <c r="J647" t="str">
        <f t="shared" si="10"/>
        <v>AM9;GPD_11_LANPHYPC;;14.6849999999999;3.7734;703015;503015;;</v>
      </c>
    </row>
    <row r="648" spans="1:10">
      <c r="A648" t="s">
        <v>677</v>
      </c>
      <c r="B648" t="str">
        <f>_xlfn.XLOOKUP(A648,SITE1!$V$4:$V$1034,SITE1!$U$4:$U$1034,"")</f>
        <v>GPD_1_ACPRESENT</v>
      </c>
      <c r="C648" t="str" cm="1">
        <f t="array" ref="C648">_xlfn.TEXTJOIN(",",TRUE,_xlfn.UNIQUE(TRANSPOSE(_xlfn.MAP(_xlfn.XLOOKUP(A648,SITE1!$C$4:$C$1034,SITE1!$F$4:$O$1034,""),_xlfn.LAMBDA(_xlpm.x,IF(_xlpm.x&lt;&gt;"",TRIM(CLEAN(LEFT(_xlpm.x,FIND(".",_xlpm.x &amp; ".")-1))),""))))))</f>
        <v/>
      </c>
      <c r="D648">
        <v>14.448799999999901</v>
      </c>
      <c r="E648">
        <v>4.4555999999999996</v>
      </c>
      <c r="F648" t="str">
        <f>_xlfn.LET(_xlpm.raw,_xlfn.XLOOKUP(A648,SITE1!$C$4:$C$1034,SITE1!$E$4:$E$1034),_xlpm.cleanRaw,SUBSTITUTE(SUBSTITUTE(_xlpm.raw,"_PIN","."),"PIN","."),_xlpm.mainPart,MID(_xlpm.cleanRaw,2,FIND(".",_xlpm.cleanRaw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602065</v>
      </c>
      <c r="G648" t="str">
        <f>_xlfn.LET(_xlpm.raw,_xlfn.XLOOKUP(A648,SITE3!$C$4:$C$1034,SITE3!$E$4:$E$1034),_xlpm.cleanRaw,SUBSTITUTE(SUBSTITUTE(_xlpm.raw,"_PIN","."),"PIN","."),_xlpm.mainPart,MID(_xlpm.cleanRaw,2,FIND(".",_xlpm.cleanRaw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802065</v>
      </c>
      <c r="H648" t="str">
        <f>""</f>
        <v/>
      </c>
      <c r="I648" t="str">
        <f>""</f>
        <v/>
      </c>
      <c r="J648" t="str">
        <f t="shared" si="10"/>
        <v>AM10;GPD_1_ACPRESENT;;14.4487999999999;4.4556;602065;802065;;</v>
      </c>
    </row>
    <row r="649" spans="1:10">
      <c r="A649" t="s">
        <v>3797</v>
      </c>
      <c r="B649" t="str">
        <f>_xlfn.XLOOKUP(A649,SITE1!$V$4:$V$1034,SITE1!$U$4:$U$1034,"")</f>
        <v>VSS</v>
      </c>
      <c r="C649" t="str" cm="1">
        <f t="array" ref="C649">_xlfn.TEXTJOIN(",",TRUE,_xlfn.UNIQUE(TRANSPOSE(_xlfn.MAP(_xlfn.XLOOKUP(A649,SITE1!$C$4:$C$1034,SITE1!$F$4:$O$1034,""),_xlfn.LAMBDA(_xlpm.x,IF(_xlpm.x&lt;&gt;"",TRIM(CLEAN(LEFT(_xlpm.x,FIND(".",_xlpm.x &amp; ".")-1))),""))))))</f>
        <v/>
      </c>
      <c r="D649">
        <v>14.448799999999901</v>
      </c>
      <c r="E649">
        <v>5.1668000000000003</v>
      </c>
      <c r="F649" t="str">
        <f>_xlfn.LET(_xlpm.raw,_xlfn.XLOOKUP(A649,SITE1!$C$4:$C$1034,SITE1!$E$4:$E$1034),_xlpm.cleanRaw,SUBSTITUTE(SUBSTITUTE(_xlpm.raw,"_PIN","."),"PIN","."),_xlpm.mainPart,MID(_xlpm.cleanRaw,2,FIND(".",_xlpm.cleanRaw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9" t="str">
        <f>_xlfn.LET(_xlpm.raw,_xlfn.XLOOKUP(A649,SITE3!$C$4:$C$1034,SITE3!$E$4:$E$1034),_xlpm.cleanRaw,SUBSTITUTE(SUBSTITUTE(_xlpm.raw,"_PIN","."),"PIN","."),_xlpm.mainPart,MID(_xlpm.cleanRaw,2,FIND(".",_xlpm.cleanRaw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9" t="str">
        <f>""</f>
        <v/>
      </c>
      <c r="I649" t="str">
        <f>""</f>
        <v/>
      </c>
      <c r="J649" t="str">
        <f t="shared" si="10"/>
        <v>AM12;VSS;;14.4487999999999;5.1668;;;;</v>
      </c>
    </row>
    <row r="650" spans="1:10">
      <c r="A650" t="s">
        <v>672</v>
      </c>
      <c r="B650" t="str">
        <f>_xlfn.XLOOKUP(A650,SITE1!$V$4:$V$1034,SITE1!$U$4:$U$1034,"")</f>
        <v>GPD_0_BATLOWB</v>
      </c>
      <c r="C650" t="str" cm="1">
        <f t="array" ref="C650">_xlfn.TEXTJOIN(",",TRUE,_xlfn.UNIQUE(TRANSPOSE(_xlfn.MAP(_xlfn.XLOOKUP(A650,SITE1!$C$4:$C$1034,SITE1!$F$4:$O$1034,""),_xlfn.LAMBDA(_xlpm.x,IF(_xlpm.x&lt;&gt;"",TRIM(CLEAN(LEFT(_xlpm.x,FIND(".",_xlpm.x &amp; ".")-1))),""))))))</f>
        <v/>
      </c>
      <c r="D650">
        <v>14.5252</v>
      </c>
      <c r="E650">
        <v>5.7642999999999898</v>
      </c>
      <c r="F650" t="str">
        <f>_xlfn.LET(_xlpm.raw,_xlfn.XLOOKUP(A650,SITE1!$C$4:$C$1034,SITE1!$E$4:$E$1034),_xlpm.cleanRaw,SUBSTITUTE(SUBSTITUTE(_xlpm.raw,"_PIN","."),"PIN","."),_xlpm.mainPart,MID(_xlpm.cleanRaw,2,FIND(".",_xlpm.cleanRaw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701122</v>
      </c>
      <c r="G650" t="str">
        <f>_xlfn.LET(_xlpm.raw,_xlfn.XLOOKUP(A650,SITE3!$C$4:$C$1034,SITE3!$E$4:$E$1034),_xlpm.cleanRaw,SUBSTITUTE(SUBSTITUTE(_xlpm.raw,"_PIN","."),"PIN","."),_xlpm.mainPart,MID(_xlpm.cleanRaw,2,FIND(".",_xlpm.cleanRaw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501122</v>
      </c>
      <c r="H650" t="str">
        <f>""</f>
        <v/>
      </c>
      <c r="I650" t="str">
        <f>""</f>
        <v/>
      </c>
      <c r="J650" t="str">
        <f t="shared" si="10"/>
        <v>AM13;GPD_0_BATLOWB;;14.5252;5.76429999999999;701122;501122;;</v>
      </c>
    </row>
    <row r="651" spans="1:10">
      <c r="A651" t="s">
        <v>709</v>
      </c>
      <c r="B651" t="str">
        <f>_xlfn.XLOOKUP(A651,SITE1!$V$4:$V$1034,SITE1!$U$4:$U$1034,"")</f>
        <v>GPD_4_SLP_S3B</v>
      </c>
      <c r="C651" t="str" cm="1">
        <f t="array" ref="C651">_xlfn.TEXTJOIN(",",TRUE,_xlfn.UNIQUE(TRANSPOSE(_xlfn.MAP(_xlfn.XLOOKUP(A651,SITE1!$C$4:$C$1034,SITE1!$F$4:$O$1034,""),_xlfn.LAMBDA(_xlpm.x,IF(_xlpm.x&lt;&gt;"",TRIM(CLEAN(LEFT(_xlpm.x,FIND(".",_xlpm.x &amp; ".")-1))),""))))))</f>
        <v/>
      </c>
      <c r="D651">
        <v>14.5252</v>
      </c>
      <c r="E651">
        <v>6.4882</v>
      </c>
      <c r="F651" t="str">
        <f>_xlfn.LET(_xlpm.raw,_xlfn.XLOOKUP(A651,SITE1!$C$4:$C$1034,SITE1!$E$4:$E$1034),_xlpm.cleanRaw,SUBSTITUTE(SUBSTITUTE(_xlpm.raw,"_PIN","."),"PIN","."),_xlpm.mainPart,MID(_xlpm.cleanRaw,2,FIND(".",_xlpm.cleanRaw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703026</v>
      </c>
      <c r="G651" t="str">
        <f>_xlfn.LET(_xlpm.raw,_xlfn.XLOOKUP(A651,SITE3!$C$4:$C$1034,SITE3!$E$4:$E$1034),_xlpm.cleanRaw,SUBSTITUTE(SUBSTITUTE(_xlpm.raw,"_PIN","."),"PIN","."),_xlpm.mainPart,MID(_xlpm.cleanRaw,2,FIND(".",_xlpm.cleanRaw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503026</v>
      </c>
      <c r="H651" t="str">
        <f>""</f>
        <v/>
      </c>
      <c r="I651" t="str">
        <f>""</f>
        <v/>
      </c>
      <c r="J651" t="str">
        <f t="shared" si="10"/>
        <v>AM14;GPD_4_SLP_S3B;;14.5252;6.4882;703026;503026;;</v>
      </c>
    </row>
    <row r="652" spans="1:10">
      <c r="A652" t="s">
        <v>3798</v>
      </c>
      <c r="B652" t="str">
        <f>_xlfn.XLOOKUP(A652,SITE1!$V$4:$V$1034,SITE1!$U$4:$U$1034,"")</f>
        <v>VSS</v>
      </c>
      <c r="C652" t="str" cm="1">
        <f t="array" ref="C652">_xlfn.TEXTJOIN(",",TRUE,_xlfn.UNIQUE(TRANSPOSE(_xlfn.MAP(_xlfn.XLOOKUP(A652,SITE1!$C$4:$C$1034,SITE1!$F$4:$O$1034,""),_xlfn.LAMBDA(_xlpm.x,IF(_xlpm.x&lt;&gt;"",TRIM(CLEAN(LEFT(_xlpm.x,FIND(".",_xlpm.x &amp; ".")-1))),""))))))</f>
        <v/>
      </c>
      <c r="D652">
        <v>14.5252</v>
      </c>
      <c r="E652">
        <v>7.2120999999999897</v>
      </c>
      <c r="F652" t="str">
        <f>_xlfn.LET(_xlpm.raw,_xlfn.XLOOKUP(A652,SITE1!$C$4:$C$1034,SITE1!$E$4:$E$1034),_xlpm.cleanRaw,SUBSTITUTE(SUBSTITUTE(_xlpm.raw,"_PIN","."),"PIN","."),_xlpm.mainPart,MID(_xlpm.cleanRaw,2,FIND(".",_xlpm.cleanRaw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2" t="str">
        <f>_xlfn.LET(_xlpm.raw,_xlfn.XLOOKUP(A652,SITE3!$C$4:$C$1034,SITE3!$E$4:$E$1034),_xlpm.cleanRaw,SUBSTITUTE(SUBSTITUTE(_xlpm.raw,"_PIN","."),"PIN","."),_xlpm.mainPart,MID(_xlpm.cleanRaw,2,FIND(".",_xlpm.cleanRaw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2" t="str">
        <f>""</f>
        <v/>
      </c>
      <c r="I652" t="str">
        <f>""</f>
        <v/>
      </c>
      <c r="J652" t="str">
        <f t="shared" si="10"/>
        <v>AM16;VSS;;14.5252;7.21209999999999;;;;</v>
      </c>
    </row>
    <row r="653" spans="1:10">
      <c r="A653" t="s">
        <v>3530</v>
      </c>
      <c r="B653" t="str">
        <f>_xlfn.XLOOKUP(A653,SITE1!$V$4:$V$1034,SITE1!$U$4:$U$1034,"")</f>
        <v>VCCA_XTAL_1P8</v>
      </c>
      <c r="C653" t="str" cm="1">
        <f t="array" ref="C653">_xlfn.TEXTJOIN(",",TRUE,_xlfn.UNIQUE(TRANSPOSE(_xlfn.MAP(_xlfn.XLOOKUP(A653,SITE1!$C$4:$C$1034,SITE1!$F$4:$O$1034,""),_xlfn.LAMBDA(_xlpm.x,IF(_xlpm.x&lt;&gt;"",TRIM(CLEAN(LEFT(_xlpm.x,FIND(".",_xlpm.x &amp; ".")-1))),""))))))</f>
        <v/>
      </c>
      <c r="D653">
        <v>14.5252</v>
      </c>
      <c r="E653">
        <v>7.9359999999999999</v>
      </c>
      <c r="F653" t="str">
        <f>_xlfn.LET(_xlpm.raw,_xlfn.XLOOKUP(A653,SITE1!$C$4:$C$1034,SITE1!$E$4:$E$1034),_xlpm.cleanRaw,SUBSTITUTE(SUBSTITUTE(_xlpm.raw,"_PIN","."),"PIN","."),_xlpm.mainPart,MID(_xlpm.cleanRaw,2,FIND(".",_xlpm.cleanRaw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3" t="str">
        <f>_xlfn.LET(_xlpm.raw,_xlfn.XLOOKUP(A653,SITE3!$C$4:$C$1034,SITE3!$E$4:$E$1034),_xlpm.cleanRaw,SUBSTITUTE(SUBSTITUTE(_xlpm.raw,"_PIN","."),"PIN","."),_xlpm.mainPart,MID(_xlpm.cleanRaw,2,FIND(".",_xlpm.cleanRaw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3" t="str">
        <f>""</f>
        <v/>
      </c>
      <c r="I653" t="str">
        <f>""</f>
        <v/>
      </c>
      <c r="J653" t="str">
        <f t="shared" si="10"/>
        <v>AM17;VCCA_XTAL_1P8;;14.5252;7.936;;;;</v>
      </c>
    </row>
    <row r="654" spans="1:10">
      <c r="A654" t="s">
        <v>3514</v>
      </c>
      <c r="B654" t="str">
        <f>_xlfn.XLOOKUP(A654,SITE1!$V$4:$V$1034,SITE1!$U$4:$U$1034,"")</f>
        <v>VCCA_REFPLL_1P8</v>
      </c>
      <c r="C654" t="str" cm="1">
        <f t="array" ref="C654">_xlfn.TEXTJOIN(",",TRUE,_xlfn.UNIQUE(TRANSPOSE(_xlfn.MAP(_xlfn.XLOOKUP(A654,SITE1!$C$4:$C$1034,SITE1!$F$4:$O$1034,""),_xlfn.LAMBDA(_xlpm.x,IF(_xlpm.x&lt;&gt;"",TRIM(CLEAN(LEFT(_xlpm.x,FIND(".",_xlpm.x &amp; ".")-1))),""))))))</f>
        <v/>
      </c>
      <c r="D654">
        <v>14.5252</v>
      </c>
      <c r="E654">
        <v>8.6599000000000004</v>
      </c>
      <c r="F654" t="str">
        <f>_xlfn.LET(_xlpm.raw,_xlfn.XLOOKUP(A654,SITE1!$C$4:$C$1034,SITE1!$E$4:$E$1034),_xlpm.cleanRaw,SUBSTITUTE(SUBSTITUTE(_xlpm.raw,"_PIN","."),"PIN","."),_xlpm.mainPart,MID(_xlpm.cleanRaw,2,FIND(".",_xlpm.cleanRaw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4" t="str">
        <f>_xlfn.LET(_xlpm.raw,_xlfn.XLOOKUP(A654,SITE3!$C$4:$C$1034,SITE3!$E$4:$E$1034),_xlpm.cleanRaw,SUBSTITUTE(SUBSTITUTE(_xlpm.raw,"_PIN","."),"PIN","."),_xlpm.mainPart,MID(_xlpm.cleanRaw,2,FIND(".",_xlpm.cleanRaw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4" t="str">
        <f>""</f>
        <v/>
      </c>
      <c r="I654" t="str">
        <f>""</f>
        <v/>
      </c>
      <c r="J654" t="str">
        <f t="shared" si="10"/>
        <v>AM19;VCCA_REFPLL_1P8;;14.5252;8.6599;;;;</v>
      </c>
    </row>
    <row r="655" spans="1:10">
      <c r="A655" t="s">
        <v>3799</v>
      </c>
      <c r="B655" t="str">
        <f>_xlfn.XLOOKUP(A655,SITE1!$V$4:$V$1034,SITE1!$U$4:$U$1034,"")</f>
        <v>VSS</v>
      </c>
      <c r="C655" t="str" cm="1">
        <f t="array" ref="C655">_xlfn.TEXTJOIN(",",TRUE,_xlfn.UNIQUE(TRANSPOSE(_xlfn.MAP(_xlfn.XLOOKUP(A655,SITE1!$C$4:$C$1034,SITE1!$F$4:$O$1034,""),_xlfn.LAMBDA(_xlpm.x,IF(_xlpm.x&lt;&gt;"",TRIM(CLEAN(LEFT(_xlpm.x,FIND(".",_xlpm.x &amp; ".")-1))),""))))))</f>
        <v/>
      </c>
      <c r="D655">
        <v>14.695799999999901</v>
      </c>
      <c r="E655">
        <v>9.4964999999999993</v>
      </c>
      <c r="F655" t="str">
        <f>_xlfn.LET(_xlpm.raw,_xlfn.XLOOKUP(A655,SITE1!$C$4:$C$1034,SITE1!$E$4:$E$1034),_xlpm.cleanRaw,SUBSTITUTE(SUBSTITUTE(_xlpm.raw,"_PIN","."),"PIN","."),_xlpm.mainPart,MID(_xlpm.cleanRaw,2,FIND(".",_xlpm.cleanRaw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5" t="str">
        <f>_xlfn.LET(_xlpm.raw,_xlfn.XLOOKUP(A655,SITE3!$C$4:$C$1034,SITE3!$E$4:$E$1034),_xlpm.cleanRaw,SUBSTITUTE(SUBSTITUTE(_xlpm.raw,"_PIN","."),"PIN","."),_xlpm.mainPart,MID(_xlpm.cleanRaw,2,FIND(".",_xlpm.cleanRaw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5" t="str">
        <f>""</f>
        <v/>
      </c>
      <c r="I655" t="str">
        <f>""</f>
        <v/>
      </c>
      <c r="J655" t="str">
        <f t="shared" si="10"/>
        <v>AM21;VSS;;14.6957999999999;9.4965;;;;</v>
      </c>
    </row>
    <row r="656" spans="1:10">
      <c r="A656" t="s">
        <v>3800</v>
      </c>
      <c r="B656" t="str">
        <f>_xlfn.XLOOKUP(A656,SITE1!$V$4:$V$1034,SITE1!$U$4:$U$1034,"")</f>
        <v>VSS</v>
      </c>
      <c r="C656" t="str" cm="1">
        <f t="array" ref="C656">_xlfn.TEXTJOIN(",",TRUE,_xlfn.UNIQUE(TRANSPOSE(_xlfn.MAP(_xlfn.XLOOKUP(A656,SITE1!$C$4:$C$1034,SITE1!$F$4:$O$1034,""),_xlfn.LAMBDA(_xlpm.x,IF(_xlpm.x&lt;&gt;"",TRIM(CLEAN(LEFT(_xlpm.x,FIND(".",_xlpm.x &amp; ".")-1))),""))))))</f>
        <v/>
      </c>
      <c r="D656">
        <v>14.4392</v>
      </c>
      <c r="E656">
        <v>10.103899999999999</v>
      </c>
      <c r="F656" t="str">
        <f>_xlfn.LET(_xlpm.raw,_xlfn.XLOOKUP(A656,SITE1!$C$4:$C$1034,SITE1!$E$4:$E$1034),_xlpm.cleanRaw,SUBSTITUTE(SUBSTITUTE(_xlpm.raw,"_PIN","."),"PIN","."),_xlpm.mainPart,MID(_xlpm.cleanRaw,2,FIND(".",_xlpm.cleanRaw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6" t="str">
        <f>_xlfn.LET(_xlpm.raw,_xlfn.XLOOKUP(A656,SITE3!$C$4:$C$1034,SITE3!$E$4:$E$1034),_xlpm.cleanRaw,SUBSTITUTE(SUBSTITUTE(_xlpm.raw,"_PIN","."),"PIN","."),_xlpm.mainPart,MID(_xlpm.cleanRaw,2,FIND(".",_xlpm.cleanRaw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6" t="str">
        <f>""</f>
        <v/>
      </c>
      <c r="I656" t="str">
        <f>""</f>
        <v/>
      </c>
      <c r="J656" t="str">
        <f t="shared" si="10"/>
        <v>AM22;VSS;;14.4392;10.1039;;;;</v>
      </c>
    </row>
    <row r="657" spans="1:10">
      <c r="A657" t="s">
        <v>3801</v>
      </c>
      <c r="B657" t="str">
        <f>_xlfn.XLOOKUP(A657,SITE1!$V$4:$V$1034,SITE1!$U$4:$U$1034,"")</f>
        <v>VSS</v>
      </c>
      <c r="C657" t="str" cm="1">
        <f t="array" ref="C657">_xlfn.TEXTJOIN(",",TRUE,_xlfn.UNIQUE(TRANSPOSE(_xlfn.MAP(_xlfn.XLOOKUP(A657,SITE1!$C$4:$C$1034,SITE1!$F$4:$O$1034,""),_xlfn.LAMBDA(_xlpm.x,IF(_xlpm.x&lt;&gt;"",TRIM(CLEAN(LEFT(_xlpm.x,FIND(".",_xlpm.x &amp; ".")-1))),""))))))</f>
        <v/>
      </c>
      <c r="D657">
        <v>14.4392</v>
      </c>
      <c r="E657">
        <v>11.0946</v>
      </c>
      <c r="F657" t="str">
        <f>_xlfn.LET(_xlpm.raw,_xlfn.XLOOKUP(A657,SITE1!$C$4:$C$1034,SITE1!$E$4:$E$1034),_xlpm.cleanRaw,SUBSTITUTE(SUBSTITUTE(_xlpm.raw,"_PIN","."),"PIN","."),_xlpm.mainPart,MID(_xlpm.cleanRaw,2,FIND(".",_xlpm.cleanRaw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7" t="str">
        <f>_xlfn.LET(_xlpm.raw,_xlfn.XLOOKUP(A657,SITE3!$C$4:$C$1034,SITE3!$E$4:$E$1034),_xlpm.cleanRaw,SUBSTITUTE(SUBSTITUTE(_xlpm.raw,"_PIN","."),"PIN","."),_xlpm.mainPart,MID(_xlpm.cleanRaw,2,FIND(".",_xlpm.cleanRaw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7" t="str">
        <f>""</f>
        <v/>
      </c>
      <c r="I657" t="str">
        <f>""</f>
        <v/>
      </c>
      <c r="J657" t="str">
        <f t="shared" si="10"/>
        <v>AM24;VSS;;14.4392;11.0946;;;;</v>
      </c>
    </row>
    <row r="658" spans="1:10">
      <c r="A658" t="s">
        <v>3590</v>
      </c>
      <c r="B658" t="str">
        <f>_xlfn.XLOOKUP(A658,SITE1!$V$4:$V$1034,SITE1!$U$4:$U$1034,"")</f>
        <v>VCCPFUSE_1P8</v>
      </c>
      <c r="C658" t="str" cm="1">
        <f t="array" ref="C658">_xlfn.TEXTJOIN(",",TRUE,_xlfn.UNIQUE(TRANSPOSE(_xlfn.MAP(_xlfn.XLOOKUP(A658,SITE1!$C$4:$C$1034,SITE1!$F$4:$O$1034,""),_xlfn.LAMBDA(_xlpm.x,IF(_xlpm.x&lt;&gt;"",TRIM(CLEAN(LEFT(_xlpm.x,FIND(".",_xlpm.x &amp; ".")-1))),""))))))</f>
        <v/>
      </c>
      <c r="D658">
        <v>14.4392</v>
      </c>
      <c r="E658">
        <v>12.0853</v>
      </c>
      <c r="F658" t="str">
        <f>_xlfn.LET(_xlpm.raw,_xlfn.XLOOKUP(A658,SITE1!$C$4:$C$1034,SITE1!$E$4:$E$1034),_xlpm.cleanRaw,SUBSTITUTE(SUBSTITUTE(_xlpm.raw,"_PIN","."),"PIN","."),_xlpm.mainPart,MID(_xlpm.cleanRaw,2,FIND(".",_xlpm.cleanRaw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8" t="str">
        <f>_xlfn.LET(_xlpm.raw,_xlfn.XLOOKUP(A658,SITE3!$C$4:$C$1034,SITE3!$E$4:$E$1034),_xlpm.cleanRaw,SUBSTITUTE(SUBSTITUTE(_xlpm.raw,"_PIN","."),"PIN","."),_xlpm.mainPart,MID(_xlpm.cleanRaw,2,FIND(".",_xlpm.cleanRaw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8" t="str">
        <f>""</f>
        <v/>
      </c>
      <c r="I658" t="str">
        <f>""</f>
        <v/>
      </c>
      <c r="J658" t="str">
        <f t="shared" si="10"/>
        <v>AM26;VCCPFUSE_1P8;;14.4392;12.0853;;;;</v>
      </c>
    </row>
    <row r="659" spans="1:10">
      <c r="A659" t="s">
        <v>3802</v>
      </c>
      <c r="B659" t="str">
        <f>_xlfn.XLOOKUP(A659,SITE1!$V$4:$V$1034,SITE1!$U$4:$U$1034,"")</f>
        <v>VSS</v>
      </c>
      <c r="C659" t="str" cm="1">
        <f t="array" ref="C659">_xlfn.TEXTJOIN(",",TRUE,_xlfn.UNIQUE(TRANSPOSE(_xlfn.MAP(_xlfn.XLOOKUP(A659,SITE1!$C$4:$C$1034,SITE1!$F$4:$O$1034,""),_xlfn.LAMBDA(_xlpm.x,IF(_xlpm.x&lt;&gt;"",TRIM(CLEAN(LEFT(_xlpm.x,FIND(".",_xlpm.x &amp; ".")-1))),""))))))</f>
        <v/>
      </c>
      <c r="D659">
        <v>14.4392</v>
      </c>
      <c r="E659">
        <v>12.86</v>
      </c>
      <c r="F659" t="str">
        <f>_xlfn.LET(_xlpm.raw,_xlfn.XLOOKUP(A659,SITE1!$C$4:$C$1034,SITE1!$E$4:$E$1034),_xlpm.cleanRaw,SUBSTITUTE(SUBSTITUTE(_xlpm.raw,"_PIN","."),"PIN","."),_xlpm.mainPart,MID(_xlpm.cleanRaw,2,FIND(".",_xlpm.cleanRaw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9" t="str">
        <f>_xlfn.LET(_xlpm.raw,_xlfn.XLOOKUP(A659,SITE3!$C$4:$C$1034,SITE3!$E$4:$E$1034),_xlpm.cleanRaw,SUBSTITUTE(SUBSTITUTE(_xlpm.raw,"_PIN","."),"PIN","."),_xlpm.mainPart,MID(_xlpm.cleanRaw,2,FIND(".",_xlpm.cleanRaw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9" t="str">
        <f>""</f>
        <v/>
      </c>
      <c r="I659" t="str">
        <f>""</f>
        <v/>
      </c>
      <c r="J659" t="str">
        <f t="shared" si="10"/>
        <v>AM28;VSS;;14.4392;12.86;;;;</v>
      </c>
    </row>
    <row r="660" spans="1:10">
      <c r="A660" t="s">
        <v>3803</v>
      </c>
      <c r="B660" t="str">
        <f>_xlfn.XLOOKUP(A660,SITE1!$V$4:$V$1034,SITE1!$U$4:$U$1034,"")</f>
        <v>VSS</v>
      </c>
      <c r="C660" t="str" cm="1">
        <f t="array" ref="C660">_xlfn.TEXTJOIN(",",TRUE,_xlfn.UNIQUE(TRANSPOSE(_xlfn.MAP(_xlfn.XLOOKUP(A660,SITE1!$C$4:$C$1034,SITE1!$F$4:$O$1034,""),_xlfn.LAMBDA(_xlpm.x,IF(_xlpm.x&lt;&gt;"",TRIM(CLEAN(LEFT(_xlpm.x,FIND(".",_xlpm.x &amp; ".")-1))),""))))))</f>
        <v/>
      </c>
      <c r="D660">
        <v>14.4392</v>
      </c>
      <c r="E660">
        <v>14.0182</v>
      </c>
      <c r="F660" t="str">
        <f>_xlfn.LET(_xlpm.raw,_xlfn.XLOOKUP(A660,SITE1!$C$4:$C$1034,SITE1!$E$4:$E$1034),_xlpm.cleanRaw,SUBSTITUTE(SUBSTITUTE(_xlpm.raw,"_PIN","."),"PIN","."),_xlpm.mainPart,MID(_xlpm.cleanRaw,2,FIND(".",_xlpm.cleanRaw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0" t="str">
        <f>_xlfn.LET(_xlpm.raw,_xlfn.XLOOKUP(A660,SITE3!$C$4:$C$1034,SITE3!$E$4:$E$1034),_xlpm.cleanRaw,SUBSTITUTE(SUBSTITUTE(_xlpm.raw,"_PIN","."),"PIN","."),_xlpm.mainPart,MID(_xlpm.cleanRaw,2,FIND(".",_xlpm.cleanRaw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0" t="str">
        <f>""</f>
        <v/>
      </c>
      <c r="I660" t="str">
        <f>""</f>
        <v/>
      </c>
      <c r="J660" t="str">
        <f t="shared" si="10"/>
        <v>AM30;VSS;;14.4392;14.0182;;;;</v>
      </c>
    </row>
    <row r="661" spans="1:10">
      <c r="A661" t="s">
        <v>3804</v>
      </c>
      <c r="B661" t="str">
        <f>_xlfn.XLOOKUP(A661,SITE1!$V$4:$V$1034,SITE1!$U$4:$U$1034,"")</f>
        <v>VSS</v>
      </c>
      <c r="C661" t="str" cm="1">
        <f t="array" ref="C661">_xlfn.TEXTJOIN(",",TRUE,_xlfn.UNIQUE(TRANSPOSE(_xlfn.MAP(_xlfn.XLOOKUP(A661,SITE1!$C$4:$C$1034,SITE1!$F$4:$O$1034,""),_xlfn.LAMBDA(_xlpm.x,IF(_xlpm.x&lt;&gt;"",TRIM(CLEAN(LEFT(_xlpm.x,FIND(".",_xlpm.x &amp; ".")-1))),""))))))</f>
        <v/>
      </c>
      <c r="D661">
        <v>14.4392</v>
      </c>
      <c r="E661">
        <v>14.792899999999999</v>
      </c>
      <c r="F661" t="str">
        <f>_xlfn.LET(_xlpm.raw,_xlfn.XLOOKUP(A661,SITE1!$C$4:$C$1034,SITE1!$E$4:$E$1034),_xlpm.cleanRaw,SUBSTITUTE(SUBSTITUTE(_xlpm.raw,"_PIN","."),"PIN","."),_xlpm.mainPart,MID(_xlpm.cleanRaw,2,FIND(".",_xlpm.cleanRaw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1" t="str">
        <f>_xlfn.LET(_xlpm.raw,_xlfn.XLOOKUP(A661,SITE3!$C$4:$C$1034,SITE3!$E$4:$E$1034),_xlpm.cleanRaw,SUBSTITUTE(SUBSTITUTE(_xlpm.raw,"_PIN","."),"PIN","."),_xlpm.mainPart,MID(_xlpm.cleanRaw,2,FIND(".",_xlpm.cleanRaw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1" t="str">
        <f>""</f>
        <v/>
      </c>
      <c r="I661" t="str">
        <f>""</f>
        <v/>
      </c>
      <c r="J661" t="str">
        <f t="shared" si="10"/>
        <v>AM32;VSS;;14.4392;14.7929;;;;</v>
      </c>
    </row>
    <row r="662" spans="1:10">
      <c r="A662" t="s">
        <v>3805</v>
      </c>
      <c r="B662" t="str">
        <f>_xlfn.XLOOKUP(A662,SITE1!$V$4:$V$1034,SITE1!$U$4:$U$1034,"")</f>
        <v>VSS</v>
      </c>
      <c r="C662" t="str" cm="1">
        <f t="array" ref="C662">_xlfn.TEXTJOIN(",",TRUE,_xlfn.UNIQUE(TRANSPOSE(_xlfn.MAP(_xlfn.XLOOKUP(A662,SITE1!$C$4:$C$1034,SITE1!$F$4:$O$1034,""),_xlfn.LAMBDA(_xlpm.x,IF(_xlpm.x&lt;&gt;"",TRIM(CLEAN(LEFT(_xlpm.x,FIND(".",_xlpm.x &amp; ".")-1))),""))))))</f>
        <v/>
      </c>
      <c r="D662">
        <v>14.4392</v>
      </c>
      <c r="E662">
        <v>15.7836</v>
      </c>
      <c r="F662" t="str">
        <f>_xlfn.LET(_xlpm.raw,_xlfn.XLOOKUP(A662,SITE1!$C$4:$C$1034,SITE1!$E$4:$E$1034),_xlpm.cleanRaw,SUBSTITUTE(SUBSTITUTE(_xlpm.raw,"_PIN","."),"PIN","."),_xlpm.mainPart,MID(_xlpm.cleanRaw,2,FIND(".",_xlpm.cleanRaw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2" t="str">
        <f>_xlfn.LET(_xlpm.raw,_xlfn.XLOOKUP(A662,SITE3!$C$4:$C$1034,SITE3!$E$4:$E$1034),_xlpm.cleanRaw,SUBSTITUTE(SUBSTITUTE(_xlpm.raw,"_PIN","."),"PIN","."),_xlpm.mainPart,MID(_xlpm.cleanRaw,2,FIND(".",_xlpm.cleanRaw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2" t="str">
        <f>""</f>
        <v/>
      </c>
      <c r="I662" t="str">
        <f>""</f>
        <v/>
      </c>
      <c r="J662" t="str">
        <f t="shared" si="10"/>
        <v>AM34;VSS;;14.4392;15.7836;;;;</v>
      </c>
    </row>
    <row r="663" spans="1:10">
      <c r="A663" t="s">
        <v>3806</v>
      </c>
      <c r="B663" t="str">
        <f>_xlfn.XLOOKUP(A663,SITE1!$V$4:$V$1034,SITE1!$U$4:$U$1034,"")</f>
        <v>VSS</v>
      </c>
      <c r="C663" t="str" cm="1">
        <f t="array" ref="C663">_xlfn.TEXTJOIN(",",TRUE,_xlfn.UNIQUE(TRANSPOSE(_xlfn.MAP(_xlfn.XLOOKUP(A663,SITE1!$C$4:$C$1034,SITE1!$F$4:$O$1034,""),_xlfn.LAMBDA(_xlpm.x,IF(_xlpm.x&lt;&gt;"",TRIM(CLEAN(LEFT(_xlpm.x,FIND(".",_xlpm.x &amp; ".")-1))),""))))))</f>
        <v/>
      </c>
      <c r="D663">
        <v>14.4392</v>
      </c>
      <c r="E663">
        <v>16.7743</v>
      </c>
      <c r="F663" t="str">
        <f>_xlfn.LET(_xlpm.raw,_xlfn.XLOOKUP(A663,SITE1!$C$4:$C$1034,SITE1!$E$4:$E$1034),_xlpm.cleanRaw,SUBSTITUTE(SUBSTITUTE(_xlpm.raw,"_PIN","."),"PIN","."),_xlpm.mainPart,MID(_xlpm.cleanRaw,2,FIND(".",_xlpm.cleanRaw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3" t="str">
        <f>_xlfn.LET(_xlpm.raw,_xlfn.XLOOKUP(A663,SITE3!$C$4:$C$1034,SITE3!$E$4:$E$1034),_xlpm.cleanRaw,SUBSTITUTE(SUBSTITUTE(_xlpm.raw,"_PIN","."),"PIN","."),_xlpm.mainPart,MID(_xlpm.cleanRaw,2,FIND(".",_xlpm.cleanRaw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3" t="str">
        <f>""</f>
        <v/>
      </c>
      <c r="I663" t="str">
        <f>""</f>
        <v/>
      </c>
      <c r="J663" t="str">
        <f t="shared" si="10"/>
        <v>AM36;VSS;;14.4392;16.7743;;;;</v>
      </c>
    </row>
    <row r="664" spans="1:10">
      <c r="A664" t="s">
        <v>3807</v>
      </c>
      <c r="B664" t="str">
        <f>_xlfn.XLOOKUP(A664,SITE1!$V$4:$V$1034,SITE1!$U$4:$U$1034,"")</f>
        <v>VSS</v>
      </c>
      <c r="C664" t="str" cm="1">
        <f t="array" ref="C664">_xlfn.TEXTJOIN(",",TRUE,_xlfn.UNIQUE(TRANSPOSE(_xlfn.MAP(_xlfn.XLOOKUP(A664,SITE1!$C$4:$C$1034,SITE1!$F$4:$O$1034,""),_xlfn.LAMBDA(_xlpm.x,IF(_xlpm.x&lt;&gt;"",TRIM(CLEAN(LEFT(_xlpm.x,FIND(".",_xlpm.x &amp; ".")-1))),""))))))</f>
        <v/>
      </c>
      <c r="D664">
        <v>14.5252</v>
      </c>
      <c r="E664">
        <v>18.218299999999999</v>
      </c>
      <c r="F664" t="str">
        <f>_xlfn.LET(_xlpm.raw,_xlfn.XLOOKUP(A664,SITE1!$C$4:$C$1034,SITE1!$E$4:$E$1034),_xlpm.cleanRaw,SUBSTITUTE(SUBSTITUTE(_xlpm.raw,"_PIN","."),"PIN","."),_xlpm.mainPart,MID(_xlpm.cleanRaw,2,FIND(".",_xlpm.cleanRaw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4" t="str">
        <f>_xlfn.LET(_xlpm.raw,_xlfn.XLOOKUP(A664,SITE3!$C$4:$C$1034,SITE3!$E$4:$E$1034),_xlpm.cleanRaw,SUBSTITUTE(SUBSTITUTE(_xlpm.raw,"_PIN","."),"PIN","."),_xlpm.mainPart,MID(_xlpm.cleanRaw,2,FIND(".",_xlpm.cleanRaw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4" t="str">
        <f>""</f>
        <v/>
      </c>
      <c r="I664" t="str">
        <f>""</f>
        <v/>
      </c>
      <c r="J664" t="str">
        <f t="shared" si="10"/>
        <v>AM39;VSS;;14.5252;18.2183;;;;</v>
      </c>
    </row>
    <row r="665" spans="1:10">
      <c r="A665" t="s">
        <v>3808</v>
      </c>
      <c r="B665" t="str">
        <f>_xlfn.XLOOKUP(A665,SITE1!$V$4:$V$1034,SITE1!$U$4:$U$1034,"")</f>
        <v>VSS</v>
      </c>
      <c r="C665" t="str" cm="1">
        <f t="array" ref="C665">_xlfn.TEXTJOIN(",",TRUE,_xlfn.UNIQUE(TRANSPOSE(_xlfn.MAP(_xlfn.XLOOKUP(A665,SITE1!$C$4:$C$1034,SITE1!$F$4:$O$1034,""),_xlfn.LAMBDA(_xlpm.x,IF(_xlpm.x&lt;&gt;"",TRIM(CLEAN(LEFT(_xlpm.x,FIND(".",_xlpm.x &amp; ".")-1))),""))))))</f>
        <v/>
      </c>
      <c r="D665">
        <v>14.5252</v>
      </c>
      <c r="E665">
        <v>18.9422</v>
      </c>
      <c r="F665" t="str">
        <f>_xlfn.LET(_xlpm.raw,_xlfn.XLOOKUP(A665,SITE1!$C$4:$C$1034,SITE1!$E$4:$E$1034),_xlpm.cleanRaw,SUBSTITUTE(SUBSTITUTE(_xlpm.raw,"_PIN","."),"PIN","."),_xlpm.mainPart,MID(_xlpm.cleanRaw,2,FIND(".",_xlpm.cleanRaw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5" t="str">
        <f>_xlfn.LET(_xlpm.raw,_xlfn.XLOOKUP(A665,SITE3!$C$4:$C$1034,SITE3!$E$4:$E$1034),_xlpm.cleanRaw,SUBSTITUTE(SUBSTITUTE(_xlpm.raw,"_PIN","."),"PIN","."),_xlpm.mainPart,MID(_xlpm.cleanRaw,2,FIND(".",_xlpm.cleanRaw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5" t="str">
        <f>""</f>
        <v/>
      </c>
      <c r="I665" t="str">
        <f>""</f>
        <v/>
      </c>
      <c r="J665" t="str">
        <f t="shared" si="10"/>
        <v>AM41;VSS;;14.5252;18.9422;;;;</v>
      </c>
    </row>
    <row r="666" spans="1:10">
      <c r="A666" t="s">
        <v>3606</v>
      </c>
      <c r="B666" t="str">
        <f>_xlfn.XLOOKUP(A666,SITE1!$V$4:$V$1034,SITE1!$U$4:$U$1034,"")</f>
        <v>VCCPGPPEFHK</v>
      </c>
      <c r="C666" t="str" cm="1">
        <f t="array" ref="C666">_xlfn.TEXTJOIN(",",TRUE,_xlfn.UNIQUE(TRANSPOSE(_xlfn.MAP(_xlfn.XLOOKUP(A666,SITE1!$C$4:$C$1034,SITE1!$F$4:$O$1034,""),_xlfn.LAMBDA(_xlpm.x,IF(_xlpm.x&lt;&gt;"",TRIM(CLEAN(LEFT(_xlpm.x,FIND(".",_xlpm.x &amp; ".")-1))),""))))))</f>
        <v/>
      </c>
      <c r="D666">
        <v>14.5252</v>
      </c>
      <c r="E666">
        <v>19.6661</v>
      </c>
      <c r="F666" t="str">
        <f>_xlfn.LET(_xlpm.raw,_xlfn.XLOOKUP(A666,SITE1!$C$4:$C$1034,SITE1!$E$4:$E$1034),_xlpm.cleanRaw,SUBSTITUTE(SUBSTITUTE(_xlpm.raw,"_PIN","."),"PIN","."),_xlpm.mainPart,MID(_xlpm.cleanRaw,2,FIND(".",_xlpm.cleanRaw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6" t="str">
        <f>_xlfn.LET(_xlpm.raw,_xlfn.XLOOKUP(A666,SITE3!$C$4:$C$1034,SITE3!$E$4:$E$1034),_xlpm.cleanRaw,SUBSTITUTE(SUBSTITUTE(_xlpm.raw,"_PIN","."),"PIN","."),_xlpm.mainPart,MID(_xlpm.cleanRaw,2,FIND(".",_xlpm.cleanRaw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6" t="str">
        <f>""</f>
        <v/>
      </c>
      <c r="I666" t="str">
        <f>""</f>
        <v/>
      </c>
      <c r="J666" t="str">
        <f t="shared" si="10"/>
        <v>AM42;VCCPGPPEFHK;;14.5252;19.6661;;;;</v>
      </c>
    </row>
    <row r="667" spans="1:10">
      <c r="A667" t="s">
        <v>1464</v>
      </c>
      <c r="B667" t="str">
        <f>_xlfn.XLOOKUP(A667,SITE1!$V$4:$V$1034,SITE1!$U$4:$U$1034,"")</f>
        <v>GPP_H_4_SRCCLKREQB_11</v>
      </c>
      <c r="C667" t="str" cm="1">
        <f t="array" ref="C667">_xlfn.TEXTJOIN(",",TRUE,_xlfn.UNIQUE(TRANSPOSE(_xlfn.MAP(_xlfn.XLOOKUP(A667,SITE1!$C$4:$C$1034,SITE1!$F$4:$O$1034,""),_xlfn.LAMBDA(_xlpm.x,IF(_xlpm.x&lt;&gt;"",TRIM(CLEAN(LEFT(_xlpm.x,FIND(".",_xlpm.x &amp; ".")-1))),""))))))</f>
        <v/>
      </c>
      <c r="D667">
        <v>14.5252</v>
      </c>
      <c r="E667">
        <v>20.39</v>
      </c>
      <c r="F667" t="str">
        <f>_xlfn.LET(_xlpm.raw,_xlfn.XLOOKUP(A667,SITE1!$C$4:$C$1034,SITE1!$E$4:$E$1034),_xlpm.cleanRaw,SUBSTITUTE(SUBSTITUTE(_xlpm.raw,"_PIN","."),"PIN","."),_xlpm.mainPart,MID(_xlpm.cleanRaw,2,FIND(".",_xlpm.cleanRaw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602042</v>
      </c>
      <c r="G667" t="str">
        <f>_xlfn.LET(_xlpm.raw,_xlfn.XLOOKUP(A667,SITE3!$C$4:$C$1034,SITE3!$E$4:$E$1034),_xlpm.cleanRaw,SUBSTITUTE(SUBSTITUTE(_xlpm.raw,"_PIN","."),"PIN","."),_xlpm.mainPart,MID(_xlpm.cleanRaw,2,FIND(".",_xlpm.cleanRaw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802042</v>
      </c>
      <c r="H667" t="str">
        <f>""</f>
        <v/>
      </c>
      <c r="I667" t="str">
        <f>""</f>
        <v/>
      </c>
      <c r="J667" t="str">
        <f t="shared" si="10"/>
        <v>AM44;GPP_H_4_SRCCLKREQB_11;;14.5252;20.39;602042;802042;;</v>
      </c>
    </row>
    <row r="668" spans="1:10">
      <c r="A668" t="s">
        <v>1399</v>
      </c>
      <c r="B668" t="str">
        <f>_xlfn.XLOOKUP(A668,SITE1!$V$4:$V$1034,SITE1!$U$4:$U$1034,"")</f>
        <v>GPP_H_1_SRCCLKREQB_8</v>
      </c>
      <c r="C668" t="str" cm="1">
        <f t="array" ref="C668">_xlfn.TEXTJOIN(",",TRUE,_xlfn.UNIQUE(TRANSPOSE(_xlfn.MAP(_xlfn.XLOOKUP(A668,SITE1!$C$4:$C$1034,SITE1!$F$4:$O$1034,""),_xlfn.LAMBDA(_xlpm.x,IF(_xlpm.x&lt;&gt;"",TRIM(CLEAN(LEFT(_xlpm.x,FIND(".",_xlpm.x &amp; ".")-1))),""))))))</f>
        <v/>
      </c>
      <c r="D668">
        <v>14.5252</v>
      </c>
      <c r="E668">
        <v>21.113900000000001</v>
      </c>
      <c r="F668" t="str">
        <f>_xlfn.LET(_xlpm.raw,_xlfn.XLOOKUP(A668,SITE1!$C$4:$C$1034,SITE1!$E$4:$E$1034),_xlpm.cleanRaw,SUBSTITUTE(SUBSTITUTE(_xlpm.raw,"_PIN","."),"PIN","."),_xlpm.mainPart,MID(_xlpm.cleanRaw,2,FIND(".",_xlpm.cleanRaw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601010</v>
      </c>
      <c r="G668" t="str">
        <f>_xlfn.LET(_xlpm.raw,_xlfn.XLOOKUP(A668,SITE3!$C$4:$C$1034,SITE3!$E$4:$E$1034),_xlpm.cleanRaw,SUBSTITUTE(SUBSTITUTE(_xlpm.raw,"_PIN","."),"PIN","."),_xlpm.mainPart,MID(_xlpm.cleanRaw,2,FIND(".",_xlpm.cleanRaw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801010</v>
      </c>
      <c r="H668" t="str">
        <f>""</f>
        <v/>
      </c>
      <c r="I668" t="str">
        <f>""</f>
        <v/>
      </c>
      <c r="J668" t="str">
        <f t="shared" si="10"/>
        <v>AM45;GPP_H_1_SRCCLKREQB_8;;14.5252;21.1139;601010;801010;;</v>
      </c>
    </row>
    <row r="669" spans="1:10">
      <c r="A669" t="s">
        <v>1364</v>
      </c>
      <c r="B669" t="str">
        <f>_xlfn.XLOOKUP(A669,SITE1!$V$4:$V$1034,SITE1!$U$4:$U$1034,"")</f>
        <v>GPP_F_4_SATAXPCIE_7_SATAGP_7</v>
      </c>
      <c r="C669" t="str" cm="1">
        <f t="array" ref="C669">_xlfn.TEXTJOIN(",",TRUE,_xlfn.UNIQUE(TRANSPOSE(_xlfn.MAP(_xlfn.XLOOKUP(A669,SITE1!$C$4:$C$1034,SITE1!$F$4:$O$1034,""),_xlfn.LAMBDA(_xlpm.x,IF(_xlpm.x&lt;&gt;"",TRIM(CLEAN(LEFT(_xlpm.x,FIND(".",_xlpm.x &amp; ".")-1))),""))))))</f>
        <v/>
      </c>
      <c r="D669">
        <v>14.448799999999901</v>
      </c>
      <c r="E669">
        <v>21.711399999999902</v>
      </c>
      <c r="F669" t="str">
        <f>_xlfn.LET(_xlpm.raw,_xlfn.XLOOKUP(A669,SITE1!$C$4:$C$1034,SITE1!$E$4:$E$1034),_xlpm.cleanRaw,SUBSTITUTE(SUBSTITUTE(_xlpm.raw,"_PIN","."),"PIN","."),_xlpm.mainPart,MID(_xlpm.cleanRaw,2,FIND(".",_xlpm.cleanRaw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603115</v>
      </c>
      <c r="G669" t="str">
        <f>_xlfn.LET(_xlpm.raw,_xlfn.XLOOKUP(A669,SITE3!$C$4:$C$1034,SITE3!$E$4:$E$1034),_xlpm.cleanRaw,SUBSTITUTE(SUBSTITUTE(_xlpm.raw,"_PIN","."),"PIN","."),_xlpm.mainPart,MID(_xlpm.cleanRaw,2,FIND(".",_xlpm.cleanRaw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803115</v>
      </c>
      <c r="H669" t="str">
        <f>""</f>
        <v/>
      </c>
      <c r="I669" t="str">
        <f>""</f>
        <v/>
      </c>
      <c r="J669" t="str">
        <f t="shared" si="10"/>
        <v>AM46;GPP_F_4_SATAXPCIE_7_SATAGP_7;;14.4487999999999;21.7113999999999;603115;803115;;</v>
      </c>
    </row>
    <row r="670" spans="1:10">
      <c r="A670" t="s">
        <v>1394</v>
      </c>
      <c r="B670" t="str">
        <f>_xlfn.XLOOKUP(A670,SITE1!$V$4:$V$1034,SITE1!$U$4:$U$1034,"")</f>
        <v>GPP_H_0</v>
      </c>
      <c r="C670" t="str" cm="1">
        <f t="array" ref="C670">_xlfn.TEXTJOIN(",",TRUE,_xlfn.UNIQUE(TRANSPOSE(_xlfn.MAP(_xlfn.XLOOKUP(A670,SITE1!$C$4:$C$1034,SITE1!$F$4:$O$1034,""),_xlfn.LAMBDA(_xlpm.x,IF(_xlpm.x&lt;&gt;"",TRIM(CLEAN(LEFT(_xlpm.x,FIND(".",_xlpm.x &amp; ".")-1))),""))))))</f>
        <v/>
      </c>
      <c r="D670">
        <v>14.448799999999901</v>
      </c>
      <c r="E670">
        <v>22.422599999999999</v>
      </c>
      <c r="F670" t="str">
        <f>_xlfn.LET(_xlpm.raw,_xlfn.XLOOKUP(A670,SITE1!$C$4:$C$1034,SITE1!$E$4:$E$1034),_xlpm.cleanRaw,SUBSTITUTE(SUBSTITUTE(_xlpm.raw,"_PIN","."),"PIN","."),_xlpm.mainPart,MID(_xlpm.cleanRaw,2,FIND(".",_xlpm.cleanRaw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703031</v>
      </c>
      <c r="G670" t="str">
        <f>_xlfn.LET(_xlpm.raw,_xlfn.XLOOKUP(A670,SITE3!$C$4:$C$1034,SITE3!$E$4:$E$1034),_xlpm.cleanRaw,SUBSTITUTE(SUBSTITUTE(_xlpm.raw,"_PIN","."),"PIN","."),_xlpm.mainPart,MID(_xlpm.cleanRaw,2,FIND(".",_xlpm.cleanRaw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503031</v>
      </c>
      <c r="H670" t="str">
        <f>""</f>
        <v/>
      </c>
      <c r="I670" t="str">
        <f>""</f>
        <v/>
      </c>
      <c r="J670" t="str">
        <f t="shared" si="10"/>
        <v>AM48;GPP_H_0;;14.4487999999999;22.4226;703031;503031;;</v>
      </c>
    </row>
    <row r="671" spans="1:10">
      <c r="A671" t="s">
        <v>1369</v>
      </c>
      <c r="B671" t="str">
        <f>_xlfn.XLOOKUP(A671,SITE1!$V$4:$V$1034,SITE1!$U$4:$U$1034,"")</f>
        <v>GPP_F_5_SATA_DEVSLP_3</v>
      </c>
      <c r="C671" t="str" cm="1">
        <f t="array" ref="C671">_xlfn.TEXTJOIN(",",TRUE,_xlfn.UNIQUE(TRANSPOSE(_xlfn.MAP(_xlfn.XLOOKUP(A671,SITE1!$C$4:$C$1034,SITE1!$F$4:$O$1034,""),_xlfn.LAMBDA(_xlpm.x,IF(_xlpm.x&lt;&gt;"",TRIM(CLEAN(LEFT(_xlpm.x,FIND(".",_xlpm.x &amp; ".")-1))),""))))))</f>
        <v/>
      </c>
      <c r="D671">
        <v>14.684999999999899</v>
      </c>
      <c r="E671">
        <v>23.104799999999901</v>
      </c>
      <c r="F671" t="str">
        <f>_xlfn.LET(_xlpm.raw,_xlfn.XLOOKUP(A671,SITE1!$C$4:$C$1034,SITE1!$E$4:$E$1034),_xlpm.cleanRaw,SUBSTITUTE(SUBSTITUTE(_xlpm.raw,"_PIN","."),"PIN","."),_xlpm.mainPart,MID(_xlpm.cleanRaw,2,FIND(".",_xlpm.cleanRaw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701089</v>
      </c>
      <c r="G671" t="str">
        <f>_xlfn.LET(_xlpm.raw,_xlfn.XLOOKUP(A671,SITE3!$C$4:$C$1034,SITE3!$E$4:$E$1034),_xlpm.cleanRaw,SUBSTITUTE(SUBSTITUTE(_xlpm.raw,"_PIN","."),"PIN","."),_xlpm.mainPart,MID(_xlpm.cleanRaw,2,FIND(".",_xlpm.cleanRaw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501089</v>
      </c>
      <c r="H671" t="str">
        <f>""</f>
        <v/>
      </c>
      <c r="I671" t="str">
        <f>""</f>
        <v/>
      </c>
      <c r="J671" t="str">
        <f t="shared" si="10"/>
        <v>AM49;GPP_F_5_SATA_DEVSLP_3;;14.6849999999999;23.1047999999999;701089;501089;;</v>
      </c>
    </row>
    <row r="672" spans="1:10">
      <c r="A672" t="s">
        <v>1474</v>
      </c>
      <c r="B672" t="str">
        <f>_xlfn.XLOOKUP(A672,SITE1!$V$4:$V$1034,SITE1!$U$4:$U$1034,"")</f>
        <v>GPP_H_6_USB2_OCB_1</v>
      </c>
      <c r="C672" t="str" cm="1">
        <f t="array" ref="C672">_xlfn.TEXTJOIN(",",TRUE,_xlfn.UNIQUE(TRANSPOSE(_xlfn.MAP(_xlfn.XLOOKUP(A672,SITE1!$C$4:$C$1034,SITE1!$F$4:$O$1034,""),_xlfn.LAMBDA(_xlpm.x,IF(_xlpm.x&lt;&gt;"",TRIM(CLEAN(LEFT(_xlpm.x,FIND(".",_xlpm.x &amp; ".")-1))),""))))))</f>
        <v/>
      </c>
      <c r="D672">
        <v>14.579899999999901</v>
      </c>
      <c r="E672">
        <v>25.724799999999998</v>
      </c>
      <c r="F672" t="str">
        <f>_xlfn.LET(_xlpm.raw,_xlfn.XLOOKUP(A672,SITE1!$C$4:$C$1034,SITE1!$E$4:$E$1034),_xlpm.cleanRaw,SUBSTITUTE(SUBSTITUTE(_xlpm.raw,"_PIN","."),"PIN","."),_xlpm.mainPart,MID(_xlpm.cleanRaw,2,FIND(".",_xlpm.cleanRaw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702058</v>
      </c>
      <c r="G672" t="str">
        <f>_xlfn.LET(_xlpm.raw,_xlfn.XLOOKUP(A672,SITE3!$C$4:$C$1034,SITE3!$E$4:$E$1034),_xlpm.cleanRaw,SUBSTITUTE(SUBSTITUTE(_xlpm.raw,"_PIN","."),"PIN","."),_xlpm.mainPart,MID(_xlpm.cleanRaw,2,FIND(".",_xlpm.cleanRaw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502058</v>
      </c>
      <c r="H672" t="str">
        <f>""</f>
        <v/>
      </c>
      <c r="I672" t="str">
        <f>""</f>
        <v/>
      </c>
      <c r="J672" t="str">
        <f t="shared" si="10"/>
        <v>AM55;GPP_H_6_USB2_OCB_1;;14.5798999999999;25.7248;702058;502058;;</v>
      </c>
    </row>
    <row r="673" spans="1:10">
      <c r="A673" t="s">
        <v>1469</v>
      </c>
      <c r="B673" t="str">
        <f>_xlfn.XLOOKUP(A673,SITE1!$V$4:$V$1034,SITE1!$U$4:$U$1034,"")</f>
        <v>GPP_H_5_USB2_OCB_0</v>
      </c>
      <c r="C673" t="str" cm="1">
        <f t="array" ref="C673">_xlfn.TEXTJOIN(",",TRUE,_xlfn.UNIQUE(TRANSPOSE(_xlfn.MAP(_xlfn.XLOOKUP(A673,SITE1!$C$4:$C$1034,SITE1!$F$4:$O$1034,""),_xlfn.LAMBDA(_xlpm.x,IF(_xlpm.x&lt;&gt;"",TRIM(CLEAN(LEFT(_xlpm.x,FIND(".",_xlpm.x &amp; ".")-1))),""))))))</f>
        <v/>
      </c>
      <c r="D673">
        <v>14.579899999999901</v>
      </c>
      <c r="E673">
        <v>26.2256</v>
      </c>
      <c r="F673" t="str">
        <f>_xlfn.LET(_xlpm.raw,_xlfn.XLOOKUP(A673,SITE1!$C$4:$C$1034,SITE1!$E$4:$E$1034),_xlpm.cleanRaw,SUBSTITUTE(SUBSTITUTE(_xlpm.raw,"_PIN","."),"PIN","."),_xlpm.mainPart,MID(_xlpm.cleanRaw,2,FIND(".",_xlpm.cleanRaw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706024</v>
      </c>
      <c r="G673" t="str">
        <f>_xlfn.LET(_xlpm.raw,_xlfn.XLOOKUP(A673,SITE3!$C$4:$C$1034,SITE3!$E$4:$E$1034),_xlpm.cleanRaw,SUBSTITUTE(SUBSTITUTE(_xlpm.raw,"_PIN","."),"PIN","."),_xlpm.mainPart,MID(_xlpm.cleanRaw,2,FIND(".",_xlpm.cleanRaw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506024</v>
      </c>
      <c r="H673" t="str">
        <f>""</f>
        <v/>
      </c>
      <c r="I673" t="str">
        <f>""</f>
        <v/>
      </c>
      <c r="J673" t="str">
        <f t="shared" si="10"/>
        <v>AM56;GPP_H_5_USB2_OCB_0;;14.5798999999999;26.2256;706024;506024;;</v>
      </c>
    </row>
    <row r="674" spans="1:10">
      <c r="A674" t="s">
        <v>3809</v>
      </c>
      <c r="B674" t="str">
        <f>_xlfn.XLOOKUP(A674,SITE1!$V$4:$V$1034,SITE1!$U$4:$U$1034,"")</f>
        <v>VSS</v>
      </c>
      <c r="C674" t="str" cm="1">
        <f t="array" ref="C674">_xlfn.TEXTJOIN(",",TRUE,_xlfn.UNIQUE(TRANSPOSE(_xlfn.MAP(_xlfn.XLOOKUP(A674,SITE1!$C$4:$C$1034,SITE1!$F$4:$O$1034,""),_xlfn.LAMBDA(_xlpm.x,IF(_xlpm.x&lt;&gt;"",TRIM(CLEAN(LEFT(_xlpm.x,FIND(".",_xlpm.x &amp; ".")-1))),""))))))</f>
        <v/>
      </c>
      <c r="D674">
        <v>15.0648</v>
      </c>
      <c r="E674">
        <v>0</v>
      </c>
      <c r="F674" t="str">
        <f>_xlfn.LET(_xlpm.raw,_xlfn.XLOOKUP(A674,SITE1!$C$4:$C$1034,SITE1!$E$4:$E$1034),_xlpm.cleanRaw,SUBSTITUTE(SUBSTITUTE(_xlpm.raw,"_PIN","."),"PIN","."),_xlpm.mainPart,MID(_xlpm.cleanRaw,2,FIND(".",_xlpm.cleanRaw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4" t="str">
        <f>_xlfn.LET(_xlpm.raw,_xlfn.XLOOKUP(A674,SITE3!$C$4:$C$1034,SITE3!$E$4:$E$1034),_xlpm.cleanRaw,SUBSTITUTE(SUBSTITUTE(_xlpm.raw,"_PIN","."),"PIN","."),_xlpm.mainPart,MID(_xlpm.cleanRaw,2,FIND(".",_xlpm.cleanRaw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4" t="str">
        <f>""</f>
        <v/>
      </c>
      <c r="I674" t="str">
        <f>""</f>
        <v/>
      </c>
      <c r="J674" t="str">
        <f t="shared" si="10"/>
        <v>AN1;VSS;;15.0648;0;;;;</v>
      </c>
    </row>
    <row r="675" spans="1:10">
      <c r="A675" t="s">
        <v>2793</v>
      </c>
      <c r="B675" t="str">
        <f>_xlfn.XLOOKUP(A675,SITE1!$V$4:$V$1034,SITE1!$U$4:$U$1034,"")</f>
        <v>RESET_SYNCB</v>
      </c>
      <c r="C675" t="str" cm="1">
        <f t="array" ref="C675">_xlfn.TEXTJOIN(",",TRUE,_xlfn.UNIQUE(TRANSPOSE(_xlfn.MAP(_xlfn.XLOOKUP(A675,SITE1!$C$4:$C$1034,SITE1!$F$4:$O$1034,""),_xlfn.LAMBDA(_xlpm.x,IF(_xlpm.x&lt;&gt;"",TRIM(CLEAN(LEFT(_xlpm.x,FIND(".",_xlpm.x &amp; ".")-1))),""))))))</f>
        <v/>
      </c>
      <c r="D675">
        <v>15.207000000000001</v>
      </c>
      <c r="E675">
        <v>1.5265</v>
      </c>
      <c r="F675" t="str">
        <f>_xlfn.LET(_xlpm.raw,_xlfn.XLOOKUP(A675,SITE1!$C$4:$C$1034,SITE1!$E$4:$E$1034),_xlpm.cleanRaw,SUBSTITUTE(SUBSTITUTE(_xlpm.raw,"_PIN","."),"PIN","."),_xlpm.mainPart,MID(_xlpm.cleanRaw,2,FIND(".",_xlpm.cleanRaw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603091</v>
      </c>
      <c r="G675" t="str">
        <f>_xlfn.LET(_xlpm.raw,_xlfn.XLOOKUP(A675,SITE3!$C$4:$C$1034,SITE3!$E$4:$E$1034),_xlpm.cleanRaw,SUBSTITUTE(SUBSTITUTE(_xlpm.raw,"_PIN","."),"PIN","."),_xlpm.mainPart,MID(_xlpm.cleanRaw,2,FIND(".",_xlpm.cleanRaw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803091</v>
      </c>
      <c r="H675" t="str">
        <f>""</f>
        <v/>
      </c>
      <c r="I675" t="str">
        <f>""</f>
        <v/>
      </c>
      <c r="J675" t="str">
        <f t="shared" si="10"/>
        <v>AN4;RESET_SYNCB;;15.207;1.5265;603091;803091;;</v>
      </c>
    </row>
    <row r="676" spans="1:10">
      <c r="A676" t="s">
        <v>1864</v>
      </c>
      <c r="B676" t="str">
        <f>_xlfn.XLOOKUP(A676,SITE1!$V$4:$V$1034,SITE1!$U$4:$U$1034,"")</f>
        <v>MLK_DATA</v>
      </c>
      <c r="C676" t="str" cm="1">
        <f t="array" ref="C676">_xlfn.TEXTJOIN(",",TRUE,_xlfn.UNIQUE(TRANSPOSE(_xlfn.MAP(_xlfn.XLOOKUP(A676,SITE1!$C$4:$C$1034,SITE1!$F$4:$O$1034,""),_xlfn.LAMBDA(_xlpm.x,IF(_xlpm.x&lt;&gt;"",TRIM(CLEAN(LEFT(_xlpm.x,FIND(".",_xlpm.x &amp; ".")-1))),""))))))</f>
        <v/>
      </c>
      <c r="D676">
        <v>14.9886</v>
      </c>
      <c r="E676">
        <v>1.9837</v>
      </c>
      <c r="F676" t="str">
        <f>_xlfn.LET(_xlpm.raw,_xlfn.XLOOKUP(A676,SITE1!$C$4:$C$1034,SITE1!$E$4:$E$1034),_xlpm.cleanRaw,SUBSTITUTE(SUBSTITUTE(_xlpm.raw,"_PIN","."),"PIN","."),_xlpm.mainPart,MID(_xlpm.cleanRaw,2,FIND(".",_xlpm.cleanRaw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607023</v>
      </c>
      <c r="G676" t="str">
        <f>_xlfn.LET(_xlpm.raw,_xlfn.XLOOKUP(A676,SITE3!$C$4:$C$1034,SITE3!$E$4:$E$1034),_xlpm.cleanRaw,SUBSTITUTE(SUBSTITUTE(_xlpm.raw,"_PIN","."),"PIN","."),_xlpm.mainPart,MID(_xlpm.cleanRaw,2,FIND(".",_xlpm.cleanRaw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807023</v>
      </c>
      <c r="H676" t="str">
        <f>""</f>
        <v/>
      </c>
      <c r="I676" t="str">
        <f>""</f>
        <v/>
      </c>
      <c r="J676" t="str">
        <f t="shared" si="10"/>
        <v>AN5;MLK_DATA;;14.9886;1.9837;607023;807023;;</v>
      </c>
    </row>
    <row r="677" spans="1:10">
      <c r="A677" t="s">
        <v>719</v>
      </c>
      <c r="B677" t="str">
        <f>_xlfn.XLOOKUP(A677,SITE1!$V$4:$V$1034,SITE1!$U$4:$U$1034,"")</f>
        <v>GPD_6_SLP_AB</v>
      </c>
      <c r="C677" t="str" cm="1">
        <f t="array" ref="C677">_xlfn.TEXTJOIN(",",TRUE,_xlfn.UNIQUE(TRANSPOSE(_xlfn.MAP(_xlfn.XLOOKUP(A677,SITE1!$C$4:$C$1034,SITE1!$F$4:$O$1034,""),_xlfn.LAMBDA(_xlpm.x,IF(_xlpm.x&lt;&gt;"",TRIM(CLEAN(LEFT(_xlpm.x,FIND(".",_xlpm.x &amp; ".")-1))),""))))))</f>
        <v/>
      </c>
      <c r="D677">
        <v>15.032999999999999</v>
      </c>
      <c r="E677">
        <v>3.1227999999999998</v>
      </c>
      <c r="F677" t="str">
        <f>_xlfn.LET(_xlpm.raw,_xlfn.XLOOKUP(A677,SITE1!$C$4:$C$1034,SITE1!$E$4:$E$1034),_xlpm.cleanRaw,SUBSTITUTE(SUBSTITUTE(_xlpm.raw,"_PIN","."),"PIN","."),_xlpm.mainPart,MID(_xlpm.cleanRaw,2,FIND(".",_xlpm.cleanRaw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703011</v>
      </c>
      <c r="G677" t="str">
        <f>_xlfn.LET(_xlpm.raw,_xlfn.XLOOKUP(A677,SITE3!$C$4:$C$1034,SITE3!$E$4:$E$1034),_xlpm.cleanRaw,SUBSTITUTE(SUBSTITUTE(_xlpm.raw,"_PIN","."),"PIN","."),_xlpm.mainPart,MID(_xlpm.cleanRaw,2,FIND(".",_xlpm.cleanRaw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503011</v>
      </c>
      <c r="H677" t="str">
        <f>""</f>
        <v/>
      </c>
      <c r="I677" t="str">
        <f>""</f>
        <v/>
      </c>
      <c r="J677" t="str">
        <f t="shared" si="10"/>
        <v>AN7;GPD_6_SLP_AB;;15.033;3.1228;703011;503011;;</v>
      </c>
    </row>
    <row r="678" spans="1:10">
      <c r="A678" t="s">
        <v>3810</v>
      </c>
      <c r="B678" t="str">
        <f>_xlfn.XLOOKUP(A678,SITE1!$V$4:$V$1034,SITE1!$U$4:$U$1034,"")</f>
        <v>VSS</v>
      </c>
      <c r="C678" t="str" cm="1">
        <f t="array" ref="C678">_xlfn.TEXTJOIN(",",TRUE,_xlfn.UNIQUE(TRANSPOSE(_xlfn.MAP(_xlfn.XLOOKUP(A678,SITE1!$C$4:$C$1034,SITE1!$F$4:$O$1034,""),_xlfn.LAMBDA(_xlpm.x,IF(_xlpm.x&lt;&gt;"",TRIM(CLEAN(LEFT(_xlpm.x,FIND(".",_xlpm.x &amp; ".")-1))),""))))))</f>
        <v/>
      </c>
      <c r="D678">
        <v>14.887499999999999</v>
      </c>
      <c r="E678">
        <v>8.2943999999999996</v>
      </c>
      <c r="F678" t="str">
        <f>_xlfn.LET(_xlpm.raw,_xlfn.XLOOKUP(A678,SITE1!$C$4:$C$1034,SITE1!$E$4:$E$1034),_xlpm.cleanRaw,SUBSTITUTE(SUBSTITUTE(_xlpm.raw,"_PIN","."),"PIN","."),_xlpm.mainPart,MID(_xlpm.cleanRaw,2,FIND(".",_xlpm.cleanRaw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8" t="str">
        <f>_xlfn.LET(_xlpm.raw,_xlfn.XLOOKUP(A678,SITE3!$C$4:$C$1034,SITE3!$E$4:$E$1034),_xlpm.cleanRaw,SUBSTITUTE(SUBSTITUTE(_xlpm.raw,"_PIN","."),"PIN","."),_xlpm.mainPart,MID(_xlpm.cleanRaw,2,FIND(".",_xlpm.cleanRaw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8" t="str">
        <f>""</f>
        <v/>
      </c>
      <c r="I678" t="str">
        <f>""</f>
        <v/>
      </c>
      <c r="J678" t="str">
        <f t="shared" si="10"/>
        <v>AN18;VSS;;14.8875;8.2944;;;;</v>
      </c>
    </row>
    <row r="679" spans="1:10">
      <c r="A679" t="s">
        <v>3811</v>
      </c>
      <c r="B679" t="str">
        <f>_xlfn.XLOOKUP(A679,SITE1!$V$4:$V$1034,SITE1!$U$4:$U$1034,"")</f>
        <v>VSS</v>
      </c>
      <c r="C679" t="str" cm="1">
        <f t="array" ref="C679">_xlfn.TEXTJOIN(",",TRUE,_xlfn.UNIQUE(TRANSPOSE(_xlfn.MAP(_xlfn.XLOOKUP(A679,SITE1!$C$4:$C$1034,SITE1!$F$4:$O$1034,""),_xlfn.LAMBDA(_xlpm.x,IF(_xlpm.x&lt;&gt;"",TRIM(CLEAN(LEFT(_xlpm.x,FIND(".",_xlpm.x &amp; ".")-1))),""))))))</f>
        <v/>
      </c>
      <c r="D679">
        <v>14.944799999999899</v>
      </c>
      <c r="E679">
        <v>8.9873999999999992</v>
      </c>
      <c r="F679" t="str">
        <f>_xlfn.LET(_xlpm.raw,_xlfn.XLOOKUP(A679,SITE1!$C$4:$C$1034,SITE1!$E$4:$E$1034),_xlpm.cleanRaw,SUBSTITUTE(SUBSTITUTE(_xlpm.raw,"_PIN","."),"PIN","."),_xlpm.mainPart,MID(_xlpm.cleanRaw,2,FIND(".",_xlpm.cleanRaw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9" t="str">
        <f>_xlfn.LET(_xlpm.raw,_xlfn.XLOOKUP(A679,SITE3!$C$4:$C$1034,SITE3!$E$4:$E$1034),_xlpm.cleanRaw,SUBSTITUTE(SUBSTITUTE(_xlpm.raw,"_PIN","."),"PIN","."),_xlpm.mainPart,MID(_xlpm.cleanRaw,2,FIND(".",_xlpm.cleanRaw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9" t="str">
        <f>""</f>
        <v/>
      </c>
      <c r="I679" t="str">
        <f>""</f>
        <v/>
      </c>
      <c r="J679" t="str">
        <f t="shared" si="10"/>
        <v>AN20;VSS;;14.9447999999999;8.9874;;;;</v>
      </c>
    </row>
    <row r="680" spans="1:10">
      <c r="A680" t="s">
        <v>1274</v>
      </c>
      <c r="B680" t="str">
        <f>_xlfn.XLOOKUP(A680,SITE1!$V$4:$V$1034,SITE1!$U$4:$U$1034,"")</f>
        <v>GPP_F_0_SATAXPCIE_3_SATAGP_3</v>
      </c>
      <c r="C680" t="str" cm="1">
        <f t="array" ref="C680">_xlfn.TEXTJOIN(",",TRUE,_xlfn.UNIQUE(TRANSPOSE(_xlfn.MAP(_xlfn.XLOOKUP(A680,SITE1!$C$4:$C$1034,SITE1!$F$4:$O$1034,""),_xlfn.LAMBDA(_xlpm.x,IF(_xlpm.x&lt;&gt;"",TRIM(CLEAN(LEFT(_xlpm.x,FIND(".",_xlpm.x &amp; ".")-1))),""))))))</f>
        <v/>
      </c>
      <c r="D680">
        <v>15.032999999999999</v>
      </c>
      <c r="E680">
        <v>23.755400000000002</v>
      </c>
      <c r="F680" t="str">
        <f>_xlfn.LET(_xlpm.raw,_xlfn.XLOOKUP(A680,SITE1!$C$4:$C$1034,SITE1!$E$4:$E$1034),_xlpm.cleanRaw,SUBSTITUTE(SUBSTITUTE(_xlpm.raw,"_PIN","."),"PIN","."),_xlpm.mainPart,MID(_xlpm.cleanRaw,2,FIND(".",_xlpm.cleanRaw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708055</v>
      </c>
      <c r="G680" t="str">
        <f>_xlfn.LET(_xlpm.raw,_xlfn.XLOOKUP(A680,SITE3!$C$4:$C$1034,SITE3!$E$4:$E$1034),_xlpm.cleanRaw,SUBSTITUTE(SUBSTITUTE(_xlpm.raw,"_PIN","."),"PIN","."),_xlpm.mainPart,MID(_xlpm.cleanRaw,2,FIND(".",_xlpm.cleanRaw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508055</v>
      </c>
      <c r="H680" t="str">
        <f>""</f>
        <v/>
      </c>
      <c r="I680" t="str">
        <f>""</f>
        <v/>
      </c>
      <c r="J680" t="str">
        <f t="shared" si="10"/>
        <v>AN51;GPP_F_0_SATAXPCIE_3_SATAGP_3;;15.033;23.7554;708055;508055;;</v>
      </c>
    </row>
    <row r="681" spans="1:10">
      <c r="A681" t="s">
        <v>1354</v>
      </c>
      <c r="B681" t="str">
        <f>_xlfn.XLOOKUP(A681,SITE1!$V$4:$V$1034,SITE1!$U$4:$U$1034,"")</f>
        <v>GPP_F_23_IEH_NONFATAL_ERR1B</v>
      </c>
      <c r="C681" t="str" cm="1">
        <f t="array" ref="C681">_xlfn.TEXTJOIN(",",TRUE,_xlfn.UNIQUE(TRANSPOSE(_xlfn.MAP(_xlfn.XLOOKUP(A681,SITE1!$C$4:$C$1034,SITE1!$F$4:$O$1034,""),_xlfn.LAMBDA(_xlpm.x,IF(_xlpm.x&lt;&gt;"",TRIM(CLEAN(LEFT(_xlpm.x,FIND(".",_xlpm.x &amp; ".")-1))),""))))))</f>
        <v/>
      </c>
      <c r="D681">
        <v>14.9886</v>
      </c>
      <c r="E681">
        <v>24.894500000000001</v>
      </c>
      <c r="F681" t="str">
        <f>_xlfn.LET(_xlpm.raw,_xlfn.XLOOKUP(A681,SITE1!$C$4:$C$1034,SITE1!$E$4:$E$1034),_xlpm.cleanRaw,SUBSTITUTE(SUBSTITUTE(_xlpm.raw,"_PIN","."),"PIN","."),_xlpm.mainPart,MID(_xlpm.cleanRaw,2,FIND(".",_xlpm.cleanRaw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708052</v>
      </c>
      <c r="G681" t="str">
        <f>_xlfn.LET(_xlpm.raw,_xlfn.XLOOKUP(A681,SITE3!$C$4:$C$1034,SITE3!$E$4:$E$1034),_xlpm.cleanRaw,SUBSTITUTE(SUBSTITUTE(_xlpm.raw,"_PIN","."),"PIN","."),_xlpm.mainPart,MID(_xlpm.cleanRaw,2,FIND(".",_xlpm.cleanRaw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508052</v>
      </c>
      <c r="H681" t="str">
        <f>""</f>
        <v/>
      </c>
      <c r="I681" t="str">
        <f>""</f>
        <v/>
      </c>
      <c r="J681" t="str">
        <f t="shared" si="10"/>
        <v>AN53;GPP_F_23_IEH_NONFATAL_ERR1B;;14.9886;24.8945;708052;508052;;</v>
      </c>
    </row>
    <row r="682" spans="1:10">
      <c r="A682" t="s">
        <v>1344</v>
      </c>
      <c r="B682" t="str">
        <f>_xlfn.XLOOKUP(A682,SITE1!$V$4:$V$1034,SITE1!$U$4:$U$1034,"")</f>
        <v>GPP_F_21_GMII_MDIO_0</v>
      </c>
      <c r="C682" t="str" cm="1">
        <f t="array" ref="C682">_xlfn.TEXTJOIN(",",TRUE,_xlfn.UNIQUE(TRANSPOSE(_xlfn.MAP(_xlfn.XLOOKUP(A682,SITE1!$C$4:$C$1034,SITE1!$F$4:$O$1034,""),_xlfn.LAMBDA(_xlpm.x,IF(_xlpm.x&lt;&gt;"",TRIM(CLEAN(LEFT(_xlpm.x,FIND(".",_xlpm.x &amp; ".")-1))),""))))))</f>
        <v/>
      </c>
      <c r="D682">
        <v>15.207000000000001</v>
      </c>
      <c r="E682">
        <v>25.351700000000001</v>
      </c>
      <c r="F682" t="str">
        <f>_xlfn.LET(_xlpm.raw,_xlfn.XLOOKUP(A682,SITE1!$C$4:$C$1034,SITE1!$E$4:$E$1034),_xlpm.cleanRaw,SUBSTITUTE(SUBSTITUTE(_xlpm.raw,"_PIN","."),"PIN","."),_xlpm.mainPart,MID(_xlpm.cleanRaw,2,FIND(".",_xlpm.cleanRaw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701094</v>
      </c>
      <c r="G682" t="str">
        <f>_xlfn.LET(_xlpm.raw,_xlfn.XLOOKUP(A682,SITE3!$C$4:$C$1034,SITE3!$E$4:$E$1034),_xlpm.cleanRaw,SUBSTITUTE(SUBSTITUTE(_xlpm.raw,"_PIN","."),"PIN","."),_xlpm.mainPart,MID(_xlpm.cleanRaw,2,FIND(".",_xlpm.cleanRaw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501094</v>
      </c>
      <c r="H682" t="str">
        <f>""</f>
        <v/>
      </c>
      <c r="I682" t="str">
        <f>""</f>
        <v/>
      </c>
      <c r="J682" t="str">
        <f t="shared" si="10"/>
        <v>AN54;GPP_F_21_GMII_MDIO_0;;15.207;25.3517;701094;501094;;</v>
      </c>
    </row>
    <row r="683" spans="1:10">
      <c r="A683" t="s">
        <v>3812</v>
      </c>
      <c r="B683" t="str">
        <f>_xlfn.XLOOKUP(A683,SITE1!$V$4:$V$1034,SITE1!$U$4:$U$1034,"")</f>
        <v>VSS</v>
      </c>
      <c r="C683" t="str" cm="1">
        <f t="array" ref="C683">_xlfn.TEXTJOIN(",",TRUE,_xlfn.UNIQUE(TRANSPOSE(_xlfn.MAP(_xlfn.XLOOKUP(A683,SITE1!$C$4:$C$1034,SITE1!$F$4:$O$1034,""),_xlfn.LAMBDA(_xlpm.x,IF(_xlpm.x&lt;&gt;"",TRIM(CLEAN(LEFT(_xlpm.x,FIND(".",_xlpm.x &amp; ".")-1))),""))))))</f>
        <v/>
      </c>
      <c r="D683">
        <v>15.0648</v>
      </c>
      <c r="E683">
        <v>26.8782</v>
      </c>
      <c r="F683" t="str">
        <f>_xlfn.LET(_xlpm.raw,_xlfn.XLOOKUP(A683,SITE1!$C$4:$C$1034,SITE1!$E$4:$E$1034),_xlpm.cleanRaw,SUBSTITUTE(SUBSTITUTE(_xlpm.raw,"_PIN","."),"PIN","."),_xlpm.mainPart,MID(_xlpm.cleanRaw,2,FIND(".",_xlpm.cleanRaw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3" t="str">
        <f>_xlfn.LET(_xlpm.raw,_xlfn.XLOOKUP(A683,SITE3!$C$4:$C$1034,SITE3!$E$4:$E$1034),_xlpm.cleanRaw,SUBSTITUTE(SUBSTITUTE(_xlpm.raw,"_PIN","."),"PIN","."),_xlpm.mainPart,MID(_xlpm.cleanRaw,2,FIND(".",_xlpm.cleanRaw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3" t="str">
        <f>""</f>
        <v/>
      </c>
      <c r="I683" t="str">
        <f>""</f>
        <v/>
      </c>
      <c r="J683" t="str">
        <f t="shared" si="10"/>
        <v>AN57;VSS;;15.0648;26.8782;;;;</v>
      </c>
    </row>
    <row r="684" spans="1:10">
      <c r="A684" t="s">
        <v>1589</v>
      </c>
      <c r="B684" t="str">
        <f>_xlfn.XLOOKUP(A684,SITE1!$V$4:$V$1034,SITE1!$U$4:$U$1034,"")</f>
        <v>GPP_J_10_BPKI3C_SCL</v>
      </c>
      <c r="C684" t="str" cm="1">
        <f t="array" ref="C684">_xlfn.TEXTJOIN(",",TRUE,_xlfn.UNIQUE(TRANSPOSE(_xlfn.MAP(_xlfn.XLOOKUP(A684,SITE1!$C$4:$C$1034,SITE1!$F$4:$O$1034,""),_xlfn.LAMBDA(_xlpm.x,IF(_xlpm.x&lt;&gt;"",TRIM(CLEAN(LEFT(_xlpm.x,FIND(".",_xlpm.x &amp; ".")-1))),""))))))</f>
        <v/>
      </c>
      <c r="D684">
        <v>15.258099999999899</v>
      </c>
      <c r="E684">
        <v>0.52369999999999906</v>
      </c>
      <c r="F684" t="str">
        <f>_xlfn.LET(_xlpm.raw,_xlfn.XLOOKUP(A684,SITE1!$C$4:$C$1034,SITE1!$E$4:$E$1034),_xlpm.cleanRaw,SUBSTITUTE(SUBSTITUTE(_xlpm.raw,"_PIN","."),"PIN","."),_xlpm.mainPart,MID(_xlpm.cleanRaw,2,FIND(".",_xlpm.cleanRaw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606115</v>
      </c>
      <c r="G684" t="str">
        <f>_xlfn.LET(_xlpm.raw,_xlfn.XLOOKUP(A684,SITE3!$C$4:$C$1034,SITE3!$E$4:$E$1034),_xlpm.cleanRaw,SUBSTITUTE(SUBSTITUTE(_xlpm.raw,"_PIN","."),"PIN","."),_xlpm.mainPart,MID(_xlpm.cleanRaw,2,FIND(".",_xlpm.cleanRaw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806115</v>
      </c>
      <c r="H684" t="str">
        <f>""</f>
        <v/>
      </c>
      <c r="I684" t="str">
        <f>""</f>
        <v/>
      </c>
      <c r="J684" t="str">
        <f t="shared" si="10"/>
        <v>AP2;GPP_J_10_BPKI3C_SCL;;15.2580999999999;0.523699999999999;606115;806115;;</v>
      </c>
    </row>
    <row r="685" spans="1:10">
      <c r="A685" t="s">
        <v>1624</v>
      </c>
      <c r="B685" t="str">
        <f>_xlfn.XLOOKUP(A685,SITE1!$V$4:$V$1034,SITE1!$U$4:$U$1034,"")</f>
        <v>GPP_J_2_CNV_BRI_RSP_UART0_RXD</v>
      </c>
      <c r="C685" t="str" cm="1">
        <f t="array" ref="C685">_xlfn.TEXTJOIN(",",TRUE,_xlfn.UNIQUE(TRANSPOSE(_xlfn.MAP(_xlfn.XLOOKUP(A685,SITE1!$C$4:$C$1034,SITE1!$F$4:$O$1034,""),_xlfn.LAMBDA(_xlpm.x,IF(_xlpm.x&lt;&gt;"",TRIM(CLEAN(LEFT(_xlpm.x,FIND(".",_xlpm.x &amp; ".")-1))),""))))))</f>
        <v/>
      </c>
      <c r="D685">
        <v>15.2883</v>
      </c>
      <c r="E685">
        <v>1.02609999999999</v>
      </c>
      <c r="F685" t="str">
        <f>_xlfn.LET(_xlpm.raw,_xlfn.XLOOKUP(A685,SITE1!$C$4:$C$1034,SITE1!$E$4:$E$1034),_xlpm.cleanRaw,SUBSTITUTE(SUBSTITUTE(_xlpm.raw,"_PIN","."),"PIN","."),_xlpm.mainPart,MID(_xlpm.cleanRaw,2,FIND(".",_xlpm.cleanRaw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606097</v>
      </c>
      <c r="G685" t="str">
        <f>_xlfn.LET(_xlpm.raw,_xlfn.XLOOKUP(A685,SITE3!$C$4:$C$1034,SITE3!$E$4:$E$1034),_xlpm.cleanRaw,SUBSTITUTE(SUBSTITUTE(_xlpm.raw,"_PIN","."),"PIN","."),_xlpm.mainPart,MID(_xlpm.cleanRaw,2,FIND(".",_xlpm.cleanRaw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806097</v>
      </c>
      <c r="H685" t="str">
        <f>""</f>
        <v/>
      </c>
      <c r="I685" t="str">
        <f>""</f>
        <v/>
      </c>
      <c r="J685" t="str">
        <f t="shared" si="10"/>
        <v>AP3;GPP_J_2_CNV_BRI_RSP_UART0_RXD;;15.2883;1.02609999999999;606097;806097;;</v>
      </c>
    </row>
    <row r="686" spans="1:10">
      <c r="A686" t="s">
        <v>1594</v>
      </c>
      <c r="B686" t="str">
        <f>_xlfn.XLOOKUP(A686,SITE1!$V$4:$V$1034,SITE1!$U$4:$U$1034,"")</f>
        <v>GPP_J_11_DAM</v>
      </c>
      <c r="C686" t="str" cm="1">
        <f t="array" ref="C686">_xlfn.TEXTJOIN(",",TRUE,_xlfn.UNIQUE(TRANSPOSE(_xlfn.MAP(_xlfn.XLOOKUP(A686,SITE1!$C$4:$C$1034,SITE1!$F$4:$O$1034,""),_xlfn.LAMBDA(_xlpm.x,IF(_xlpm.x&lt;&gt;"",TRIM(CLEAN(LEFT(_xlpm.x,FIND(".",_xlpm.x &amp; ".")-1))),""))))))</f>
        <v/>
      </c>
      <c r="D686">
        <v>15.6614</v>
      </c>
      <c r="E686">
        <v>1.7414000000000001</v>
      </c>
      <c r="F686" t="str">
        <f>_xlfn.LET(_xlpm.raw,_xlfn.XLOOKUP(A686,SITE1!$C$4:$C$1034,SITE1!$E$4:$E$1034),_xlpm.cleanRaw,SUBSTITUTE(SUBSTITUTE(_xlpm.raw,"_PIN","."),"PIN","."),_xlpm.mainPart,MID(_xlpm.cleanRaw,2,FIND(".",_xlpm.cleanRaw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603105</v>
      </c>
      <c r="G686" t="str">
        <f>_xlfn.LET(_xlpm.raw,_xlfn.XLOOKUP(A686,SITE3!$C$4:$C$1034,SITE3!$E$4:$E$1034),_xlpm.cleanRaw,SUBSTITUTE(SUBSTITUTE(_xlpm.raw,"_PIN","."),"PIN","."),_xlpm.mainPart,MID(_xlpm.cleanRaw,2,FIND(".",_xlpm.cleanRaw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803105</v>
      </c>
      <c r="H686" t="str">
        <f>""</f>
        <v/>
      </c>
      <c r="I686" t="str">
        <f>""</f>
        <v/>
      </c>
      <c r="J686" t="str">
        <f t="shared" si="10"/>
        <v>AP4;GPP_J_11_DAM;;15.6614;1.7414;603105;803105;;</v>
      </c>
    </row>
    <row r="687" spans="1:10">
      <c r="A687" t="s">
        <v>1659</v>
      </c>
      <c r="B687" t="str">
        <f>_xlfn.XLOOKUP(A687,SITE1!$V$4:$V$1034,SITE1!$U$4:$U$1034,"")</f>
        <v>GPP_J_9_BPKI3C_SDA</v>
      </c>
      <c r="C687" t="str" cm="1">
        <f t="array" ref="C687">_xlfn.TEXTJOIN(",",TRUE,_xlfn.UNIQUE(TRANSPOSE(_xlfn.MAP(_xlfn.XLOOKUP(A687,SITE1!$C$4:$C$1034,SITE1!$F$4:$O$1034,""),_xlfn.LAMBDA(_xlpm.x,IF(_xlpm.x&lt;&gt;"",TRIM(CLEAN(LEFT(_xlpm.x,FIND(".",_xlpm.x &amp; ".")-1))),""))))))</f>
        <v/>
      </c>
      <c r="D687">
        <v>15.414</v>
      </c>
      <c r="E687">
        <v>2.4931999999999999</v>
      </c>
      <c r="F687" t="str">
        <f>_xlfn.LET(_xlpm.raw,_xlfn.XLOOKUP(A687,SITE1!$C$4:$C$1034,SITE1!$E$4:$E$1034),_xlpm.cleanRaw,SUBSTITUTE(SUBSTITUTE(_xlpm.raw,"_PIN","."),"PIN","."),_xlpm.mainPart,MID(_xlpm.cleanRaw,2,FIND(".",_xlpm.cleanRaw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602044</v>
      </c>
      <c r="G687" t="str">
        <f>_xlfn.LET(_xlpm.raw,_xlfn.XLOOKUP(A687,SITE3!$C$4:$C$1034,SITE3!$E$4:$E$1034),_xlpm.cleanRaw,SUBSTITUTE(SUBSTITUTE(_xlpm.raw,"_PIN","."),"PIN","."),_xlpm.mainPart,MID(_xlpm.cleanRaw,2,FIND(".",_xlpm.cleanRaw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802044</v>
      </c>
      <c r="H687" t="str">
        <f>""</f>
        <v/>
      </c>
      <c r="I687" t="str">
        <f>""</f>
        <v/>
      </c>
      <c r="J687" t="str">
        <f t="shared" si="10"/>
        <v>AP6;GPP_J_9_BPKI3C_SDA;;15.414;2.4932;602044;802044;;</v>
      </c>
    </row>
    <row r="688" spans="1:10">
      <c r="A688" t="s">
        <v>1639</v>
      </c>
      <c r="B688" t="str">
        <f>_xlfn.XLOOKUP(A688,SITE1!$V$4:$V$1034,SITE1!$U$4:$U$1034,"")</f>
        <v>GPP_J_5_CNV_MFUART2_RXD</v>
      </c>
      <c r="C688" t="str" cm="1">
        <f t="array" ref="C688">_xlfn.TEXTJOIN(",",TRUE,_xlfn.UNIQUE(TRANSPOSE(_xlfn.MAP(_xlfn.XLOOKUP(A688,SITE1!$C$4:$C$1034,SITE1!$F$4:$O$1034,""),_xlfn.LAMBDA(_xlpm.x,IF(_xlpm.x&lt;&gt;"",TRIM(CLEAN(LEFT(_xlpm.x,FIND(".",_xlpm.x &amp; ".")-1))),""))))))</f>
        <v/>
      </c>
      <c r="D688">
        <v>15.515899999999901</v>
      </c>
      <c r="E688">
        <v>5.7642999999999898</v>
      </c>
      <c r="F688" t="str">
        <f>_xlfn.LET(_xlpm.raw,_xlfn.XLOOKUP(A688,SITE1!$C$4:$C$1034,SITE1!$E$4:$E$1034),_xlpm.cleanRaw,SUBSTITUTE(SUBSTITUTE(_xlpm.raw,"_PIN","."),"PIN","."),_xlpm.mainPart,MID(_xlpm.cleanRaw,2,FIND(".",_xlpm.cleanRaw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701109</v>
      </c>
      <c r="G688" t="str">
        <f>_xlfn.LET(_xlpm.raw,_xlfn.XLOOKUP(A688,SITE3!$C$4:$C$1034,SITE3!$E$4:$E$1034),_xlpm.cleanRaw,SUBSTITUTE(SUBSTITUTE(_xlpm.raw,"_PIN","."),"PIN","."),_xlpm.mainPart,MID(_xlpm.cleanRaw,2,FIND(".",_xlpm.cleanRaw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501109</v>
      </c>
      <c r="H688" t="str">
        <f>""</f>
        <v/>
      </c>
      <c r="I688" t="str">
        <f>""</f>
        <v/>
      </c>
      <c r="J688" t="str">
        <f t="shared" si="10"/>
        <v>AP13;GPP_J_5_CNV_MFUART2_RXD;;15.5158999999999;5.76429999999999;701109;501109;;</v>
      </c>
    </row>
    <row r="689" spans="1:10">
      <c r="A689" t="s">
        <v>1634</v>
      </c>
      <c r="B689" t="str">
        <f>_xlfn.XLOOKUP(A689,SITE1!$V$4:$V$1034,SITE1!$U$4:$U$1034,"")</f>
        <v>GPP_J_4_CNV_RGI_RSP_UART0_CTSB</v>
      </c>
      <c r="C689" t="str" cm="1">
        <f t="array" ref="C689">_xlfn.TEXTJOIN(",",TRUE,_xlfn.UNIQUE(TRANSPOSE(_xlfn.MAP(_xlfn.XLOOKUP(A689,SITE1!$C$4:$C$1034,SITE1!$F$4:$O$1034,""),_xlfn.LAMBDA(_xlpm.x,IF(_xlpm.x&lt;&gt;"",TRIM(CLEAN(LEFT(_xlpm.x,FIND(".",_xlpm.x &amp; ".")-1))),""))))))</f>
        <v/>
      </c>
      <c r="D689">
        <v>15.515899999999901</v>
      </c>
      <c r="E689">
        <v>6.4882</v>
      </c>
      <c r="F689" t="str">
        <f>_xlfn.LET(_xlpm.raw,_xlfn.XLOOKUP(A689,SITE1!$C$4:$C$1034,SITE1!$E$4:$E$1034),_xlpm.cleanRaw,SUBSTITUTE(SUBSTITUTE(_xlpm.raw,"_PIN","."),"PIN","."),_xlpm.mainPart,MID(_xlpm.cleanRaw,2,FIND(".",_xlpm.cleanRaw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604026</v>
      </c>
      <c r="G689" t="str">
        <f>_xlfn.LET(_xlpm.raw,_xlfn.XLOOKUP(A689,SITE3!$C$4:$C$1034,SITE3!$E$4:$E$1034),_xlpm.cleanRaw,SUBSTITUTE(SUBSTITUTE(_xlpm.raw,"_PIN","."),"PIN","."),_xlpm.mainPart,MID(_xlpm.cleanRaw,2,FIND(".",_xlpm.cleanRaw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804026</v>
      </c>
      <c r="H689" t="str">
        <f>""</f>
        <v/>
      </c>
      <c r="I689" t="str">
        <f>""</f>
        <v/>
      </c>
      <c r="J689" t="str">
        <f t="shared" si="10"/>
        <v>AP14;GPP_J_4_CNV_RGI_RSP_UART0_CTSB;;15.5158999999999;6.4882;604026;804026;;</v>
      </c>
    </row>
    <row r="690" spans="1:10">
      <c r="A690" t="s">
        <v>3813</v>
      </c>
      <c r="B690" t="str">
        <f>_xlfn.XLOOKUP(A690,SITE1!$V$4:$V$1034,SITE1!$U$4:$U$1034,"")</f>
        <v>VSS</v>
      </c>
      <c r="C690" t="str" cm="1">
        <f t="array" ref="C690">_xlfn.TEXTJOIN(",",TRUE,_xlfn.UNIQUE(TRANSPOSE(_xlfn.MAP(_xlfn.XLOOKUP(A690,SITE1!$C$4:$C$1034,SITE1!$F$4:$O$1034,""),_xlfn.LAMBDA(_xlpm.x,IF(_xlpm.x&lt;&gt;"",TRIM(CLEAN(LEFT(_xlpm.x,FIND(".",_xlpm.x &amp; ".")-1))),""))))))</f>
        <v/>
      </c>
      <c r="D690">
        <v>15.515899999999901</v>
      </c>
      <c r="E690">
        <v>7.2120999999999897</v>
      </c>
      <c r="F690" t="str">
        <f>_xlfn.LET(_xlpm.raw,_xlfn.XLOOKUP(A690,SITE1!$C$4:$C$1034,SITE1!$E$4:$E$1034),_xlpm.cleanRaw,SUBSTITUTE(SUBSTITUTE(_xlpm.raw,"_PIN","."),"PIN","."),_xlpm.mainPart,MID(_xlpm.cleanRaw,2,FIND(".",_xlpm.cleanRaw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0" t="str">
        <f>_xlfn.LET(_xlpm.raw,_xlfn.XLOOKUP(A690,SITE3!$C$4:$C$1034,SITE3!$E$4:$E$1034),_xlpm.cleanRaw,SUBSTITUTE(SUBSTITUTE(_xlpm.raw,"_PIN","."),"PIN","."),_xlpm.mainPart,MID(_xlpm.cleanRaw,2,FIND(".",_xlpm.cleanRaw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0" t="str">
        <f>""</f>
        <v/>
      </c>
      <c r="I690" t="str">
        <f>""</f>
        <v/>
      </c>
      <c r="J690" t="str">
        <f t="shared" si="10"/>
        <v>AP16;VSS;;15.5158999999999;7.21209999999999;;;;</v>
      </c>
    </row>
    <row r="691" spans="1:10">
      <c r="A691" t="s">
        <v>3814</v>
      </c>
      <c r="B691" t="str">
        <f>_xlfn.XLOOKUP(A691,SITE1!$V$4:$V$1034,SITE1!$U$4:$U$1034,"")</f>
        <v>VSS</v>
      </c>
      <c r="C691" t="str" cm="1">
        <f t="array" ref="C691">_xlfn.TEXTJOIN(",",TRUE,_xlfn.UNIQUE(TRANSPOSE(_xlfn.MAP(_xlfn.XLOOKUP(A691,SITE1!$C$4:$C$1034,SITE1!$F$4:$O$1034,""),_xlfn.LAMBDA(_xlpm.x,IF(_xlpm.x&lt;&gt;"",TRIM(CLEAN(LEFT(_xlpm.x,FIND(".",_xlpm.x &amp; ".")-1))),""))))))</f>
        <v/>
      </c>
      <c r="D691">
        <v>15.3414</v>
      </c>
      <c r="E691">
        <v>8.5272000000000006</v>
      </c>
      <c r="F691" t="str">
        <f>_xlfn.LET(_xlpm.raw,_xlfn.XLOOKUP(A691,SITE1!$C$4:$C$1034,SITE1!$E$4:$E$1034),_xlpm.cleanRaw,SUBSTITUTE(SUBSTITUTE(_xlpm.raw,"_PIN","."),"PIN","."),_xlpm.mainPart,MID(_xlpm.cleanRaw,2,FIND(".",_xlpm.cleanRaw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1" t="str">
        <f>_xlfn.LET(_xlpm.raw,_xlfn.XLOOKUP(A691,SITE3!$C$4:$C$1034,SITE3!$E$4:$E$1034),_xlpm.cleanRaw,SUBSTITUTE(SUBSTITUTE(_xlpm.raw,"_PIN","."),"PIN","."),_xlpm.mainPart,MID(_xlpm.cleanRaw,2,FIND(".",_xlpm.cleanRaw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1" t="str">
        <f>""</f>
        <v/>
      </c>
      <c r="I691" t="str">
        <f>""</f>
        <v/>
      </c>
      <c r="J691" t="str">
        <f t="shared" si="10"/>
        <v>AP19;VSS;;15.3414;8.5272;;;;</v>
      </c>
    </row>
    <row r="692" spans="1:10">
      <c r="A692" t="s">
        <v>3815</v>
      </c>
      <c r="B692" t="str">
        <f>_xlfn.XLOOKUP(A692,SITE1!$V$4:$V$1034,SITE1!$U$4:$U$1034,"")</f>
        <v>VSS</v>
      </c>
      <c r="C692" t="str" cm="1">
        <f t="array" ref="C692">_xlfn.TEXTJOIN(",",TRUE,_xlfn.UNIQUE(TRANSPOSE(_xlfn.MAP(_xlfn.XLOOKUP(A692,SITE1!$C$4:$C$1034,SITE1!$F$4:$O$1034,""),_xlfn.LAMBDA(_xlpm.x,IF(_xlpm.x&lt;&gt;"",TRIM(CLEAN(LEFT(_xlpm.x,FIND(".",_xlpm.x &amp; ".")-1))),""))))))</f>
        <v/>
      </c>
      <c r="D692">
        <v>15.3414</v>
      </c>
      <c r="E692">
        <v>9.8844999999999992</v>
      </c>
      <c r="F692" t="str">
        <f>_xlfn.LET(_xlpm.raw,_xlfn.XLOOKUP(A692,SITE1!$C$4:$C$1034,SITE1!$E$4:$E$1034),_xlpm.cleanRaw,SUBSTITUTE(SUBSTITUTE(_xlpm.raw,"_PIN","."),"PIN","."),_xlpm.mainPart,MID(_xlpm.cleanRaw,2,FIND(".",_xlpm.cleanRaw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2" t="str">
        <f>_xlfn.LET(_xlpm.raw,_xlfn.XLOOKUP(A692,SITE3!$C$4:$C$1034,SITE3!$E$4:$E$1034),_xlpm.cleanRaw,SUBSTITUTE(SUBSTITUTE(_xlpm.raw,"_PIN","."),"PIN","."),_xlpm.mainPart,MID(_xlpm.cleanRaw,2,FIND(".",_xlpm.cleanRaw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2" t="str">
        <f>""</f>
        <v/>
      </c>
      <c r="I692" t="str">
        <f>""</f>
        <v/>
      </c>
      <c r="J692" t="str">
        <f t="shared" si="10"/>
        <v>AP22;VSS;;15.3414;9.8845;;;;</v>
      </c>
    </row>
    <row r="693" spans="1:10">
      <c r="A693" t="s">
        <v>2941</v>
      </c>
      <c r="B693" t="str">
        <f>_xlfn.XLOOKUP(A693,SITE1!$V$4:$V$1034,SITE1!$U$4:$U$1034,"")</f>
        <v>TSN_EXTREFCLKN</v>
      </c>
      <c r="C693" t="str" cm="1">
        <f t="array" ref="C693">_xlfn.TEXTJOIN(",",TRUE,_xlfn.UNIQUE(TRANSPOSE(_xlfn.MAP(_xlfn.XLOOKUP(A693,SITE1!$C$4:$C$1034,SITE1!$F$4:$O$1034,""),_xlfn.LAMBDA(_xlpm.x,IF(_xlpm.x&lt;&gt;"",TRIM(CLEAN(LEFT(_xlpm.x,FIND(".",_xlpm.x &amp; ".")-1))),""))))))</f>
        <v>TPA605</v>
      </c>
      <c r="D693">
        <v>15.3414</v>
      </c>
      <c r="E693">
        <v>11.2562</v>
      </c>
      <c r="F693" t="str">
        <f>_xlfn.LET(_xlpm.raw,_xlfn.XLOOKUP(A693,SITE1!$C$4:$C$1034,SITE1!$E$4:$E$1034),_xlpm.cleanRaw,SUBSTITUTE(SUBSTITUTE(_xlpm.raw,"_PIN","."),"PIN","."),_xlpm.mainPart,MID(_xlpm.cleanRaw,2,FIND(".",_xlpm.cleanRaw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701086</v>
      </c>
      <c r="G693" t="str">
        <f>_xlfn.LET(_xlpm.raw,_xlfn.XLOOKUP(A693,SITE3!$C$4:$C$1034,SITE3!$E$4:$E$1034),_xlpm.cleanRaw,SUBSTITUTE(SUBSTITUTE(_xlpm.raw,"_PIN","."),"PIN","."),_xlpm.mainPart,MID(_xlpm.cleanRaw,2,FIND(".",_xlpm.cleanRaw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501086</v>
      </c>
      <c r="H693" t="str">
        <f>""</f>
        <v/>
      </c>
      <c r="I693" t="str">
        <f>""</f>
        <v/>
      </c>
      <c r="J693" t="str">
        <f t="shared" si="10"/>
        <v>AP24;TSN_EXTREFCLKN;TPA605;15.3414;11.2562;701086;501086;;</v>
      </c>
    </row>
    <row r="694" spans="1:10">
      <c r="A694" t="s">
        <v>3816</v>
      </c>
      <c r="B694" t="str">
        <f>_xlfn.XLOOKUP(A694,SITE1!$V$4:$V$1034,SITE1!$U$4:$U$1034,"")</f>
        <v>VSS</v>
      </c>
      <c r="C694" t="str" cm="1">
        <f t="array" ref="C694">_xlfn.TEXTJOIN(",",TRUE,_xlfn.UNIQUE(TRANSPOSE(_xlfn.MAP(_xlfn.XLOOKUP(A694,SITE1!$C$4:$C$1034,SITE1!$F$4:$O$1034,""),_xlfn.LAMBDA(_xlpm.x,IF(_xlpm.x&lt;&gt;"",TRIM(CLEAN(LEFT(_xlpm.x,FIND(".",_xlpm.x &amp; ".")-1))),""))))))</f>
        <v/>
      </c>
      <c r="D694">
        <v>15.3414</v>
      </c>
      <c r="E694">
        <v>12.6135</v>
      </c>
      <c r="F694" t="str">
        <f>_xlfn.LET(_xlpm.raw,_xlfn.XLOOKUP(A694,SITE1!$C$4:$C$1034,SITE1!$E$4:$E$1034),_xlpm.cleanRaw,SUBSTITUTE(SUBSTITUTE(_xlpm.raw,"_PIN","."),"PIN","."),_xlpm.mainPart,MID(_xlpm.cleanRaw,2,FIND(".",_xlpm.cleanRaw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4" t="str">
        <f>_xlfn.LET(_xlpm.raw,_xlfn.XLOOKUP(A694,SITE3!$C$4:$C$1034,SITE3!$E$4:$E$1034),_xlpm.cleanRaw,SUBSTITUTE(SUBSTITUTE(_xlpm.raw,"_PIN","."),"PIN","."),_xlpm.mainPart,MID(_xlpm.cleanRaw,2,FIND(".",_xlpm.cleanRaw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4" t="str">
        <f>""</f>
        <v/>
      </c>
      <c r="I694" t="str">
        <f>""</f>
        <v/>
      </c>
      <c r="J694" t="str">
        <f t="shared" si="10"/>
        <v>AP27;VSS;;15.3414;12.6135;;;;</v>
      </c>
    </row>
    <row r="695" spans="1:10">
      <c r="A695" t="s">
        <v>2738</v>
      </c>
      <c r="B695" t="str">
        <f>_xlfn.XLOOKUP(A695,SITE1!$V$4:$V$1034,SITE1!$U$4:$U$1034,"")</f>
        <v>PCIE_EXTREFCLKN</v>
      </c>
      <c r="C695" t="str" cm="1">
        <f t="array" ref="C695">_xlfn.TEXTJOIN(",",TRUE,_xlfn.UNIQUE(TRANSPOSE(_xlfn.MAP(_xlfn.XLOOKUP(A695,SITE1!$C$4:$C$1034,SITE1!$F$4:$O$1034,""),_xlfn.LAMBDA(_xlpm.x,IF(_xlpm.x&lt;&gt;"",TRIM(CLEAN(LEFT(_xlpm.x,FIND(".",_xlpm.x &amp; ".")-1))),""))))))</f>
        <v>TPA602</v>
      </c>
      <c r="D695">
        <v>15.3414</v>
      </c>
      <c r="E695">
        <v>13.985199999999899</v>
      </c>
      <c r="F695" t="str">
        <f>_xlfn.LET(_xlpm.raw,_xlfn.XLOOKUP(A695,SITE1!$C$4:$C$1034,SITE1!$E$4:$E$1034),_xlpm.cleanRaw,SUBSTITUTE(SUBSTITUTE(_xlpm.raw,"_PIN","."),"PIN","."),_xlpm.mainPart,MID(_xlpm.cleanRaw,2,FIND(".",_xlpm.cleanRaw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701090</v>
      </c>
      <c r="G695" t="str">
        <f>_xlfn.LET(_xlpm.raw,_xlfn.XLOOKUP(A695,SITE3!$C$4:$C$1034,SITE3!$E$4:$E$1034),_xlpm.cleanRaw,SUBSTITUTE(SUBSTITUTE(_xlpm.raw,"_PIN","."),"PIN","."),_xlpm.mainPart,MID(_xlpm.cleanRaw,2,FIND(".",_xlpm.cleanRaw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501090</v>
      </c>
      <c r="H695" t="str">
        <f>""</f>
        <v/>
      </c>
      <c r="I695" t="str">
        <f>""</f>
        <v/>
      </c>
      <c r="J695" t="str">
        <f t="shared" si="10"/>
        <v>AP30;PCIE_EXTREFCLKN;TPA602;15.3414;13.9851999999999;701090;501090;;</v>
      </c>
    </row>
    <row r="696" spans="1:10">
      <c r="A696" t="s">
        <v>3817</v>
      </c>
      <c r="B696" t="str">
        <f>_xlfn.XLOOKUP(A696,SITE1!$V$4:$V$1034,SITE1!$U$4:$U$1034,"")</f>
        <v>VSS</v>
      </c>
      <c r="C696" t="str" cm="1">
        <f t="array" ref="C696">_xlfn.TEXTJOIN(",",TRUE,_xlfn.UNIQUE(TRANSPOSE(_xlfn.MAP(_xlfn.XLOOKUP(A696,SITE1!$C$4:$C$1034,SITE1!$F$4:$O$1034,""),_xlfn.LAMBDA(_xlpm.x,IF(_xlpm.x&lt;&gt;"",TRIM(CLEAN(LEFT(_xlpm.x,FIND(".",_xlpm.x &amp; ".")-1))),""))))))</f>
        <v/>
      </c>
      <c r="D696">
        <v>15.3414</v>
      </c>
      <c r="E696">
        <v>15.342499999999999</v>
      </c>
      <c r="F696" t="str">
        <f>_xlfn.LET(_xlpm.raw,_xlfn.XLOOKUP(A696,SITE1!$C$4:$C$1034,SITE1!$E$4:$E$1034),_xlpm.cleanRaw,SUBSTITUTE(SUBSTITUTE(_xlpm.raw,"_PIN","."),"PIN","."),_xlpm.mainPart,MID(_xlpm.cleanRaw,2,FIND(".",_xlpm.cleanRaw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6" t="str">
        <f>_xlfn.LET(_xlpm.raw,_xlfn.XLOOKUP(A696,SITE3!$C$4:$C$1034,SITE3!$E$4:$E$1034),_xlpm.cleanRaw,SUBSTITUTE(SUBSTITUTE(_xlpm.raw,"_PIN","."),"PIN","."),_xlpm.mainPart,MID(_xlpm.cleanRaw,2,FIND(".",_xlpm.cleanRaw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6" t="str">
        <f>""</f>
        <v/>
      </c>
      <c r="I696" t="str">
        <f>""</f>
        <v/>
      </c>
      <c r="J696" t="str">
        <f t="shared" si="10"/>
        <v>AP33;VSS;;15.3414;15.3425;;;;</v>
      </c>
    </row>
    <row r="697" spans="1:10">
      <c r="A697" t="s">
        <v>1874</v>
      </c>
      <c r="B697" t="str">
        <f>_xlfn.XLOOKUP(A697,SITE1!$V$4:$V$1034,SITE1!$U$4:$U$1034,"")</f>
        <v>OTP0_VPP</v>
      </c>
      <c r="C697" t="str" cm="1">
        <f t="array" ref="C697">_xlfn.TEXTJOIN(",",TRUE,_xlfn.UNIQUE(TRANSPOSE(_xlfn.MAP(_xlfn.XLOOKUP(A697,SITE1!$C$4:$C$1034,SITE1!$F$4:$O$1034,""),_xlfn.LAMBDA(_xlpm.x,IF(_xlpm.x&lt;&gt;"",TRIM(CLEAN(LEFT(_xlpm.x,FIND(".",_xlpm.x &amp; ".")-1))),""))))))</f>
        <v/>
      </c>
      <c r="D697">
        <v>15.3414</v>
      </c>
      <c r="E697">
        <v>16.714199999999899</v>
      </c>
      <c r="F697" t="str">
        <f>_xlfn.LET(_xlpm.raw,_xlfn.XLOOKUP(A697,SITE1!$C$4:$C$1034,SITE1!$E$4:$E$1034),_xlpm.cleanRaw,SUBSTITUTE(SUBSTITUTE(_xlpm.raw,"_PIN","."),"PIN","."),_xlpm.mainPart,MID(_xlpm.cleanRaw,2,FIND(".",_xlpm.cleanRaw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7" t="str">
        <f>_xlfn.LET(_xlpm.raw,_xlfn.XLOOKUP(A697,SITE3!$C$4:$C$1034,SITE3!$E$4:$E$1034),_xlpm.cleanRaw,SUBSTITUTE(SUBSTITUTE(_xlpm.raw,"_PIN","."),"PIN","."),_xlpm.mainPart,MID(_xlpm.cleanRaw,2,FIND(".",_xlpm.cleanRaw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7" t="str">
        <f>""</f>
        <v/>
      </c>
      <c r="I697" t="str">
        <f>""</f>
        <v/>
      </c>
      <c r="J697" t="str">
        <f t="shared" si="10"/>
        <v>AP36;OTP0_VPP;;15.3414;16.7141999999999;;;;</v>
      </c>
    </row>
    <row r="698" spans="1:10">
      <c r="A698" t="s">
        <v>3818</v>
      </c>
      <c r="B698" t="str">
        <f>_xlfn.XLOOKUP(A698,SITE1!$V$4:$V$1034,SITE1!$U$4:$U$1034,"")</f>
        <v>VSS</v>
      </c>
      <c r="C698" t="str" cm="1">
        <f t="array" ref="C698">_xlfn.TEXTJOIN(",",TRUE,_xlfn.UNIQUE(TRANSPOSE(_xlfn.MAP(_xlfn.XLOOKUP(A698,SITE1!$C$4:$C$1034,SITE1!$F$4:$O$1034,""),_xlfn.LAMBDA(_xlpm.x,IF(_xlpm.x&lt;&gt;"",TRIM(CLEAN(LEFT(_xlpm.x,FIND(".",_xlpm.x &amp; ".")-1))),""))))))</f>
        <v/>
      </c>
      <c r="D698">
        <v>15.3414</v>
      </c>
      <c r="E698">
        <v>18.0715</v>
      </c>
      <c r="F698" t="str">
        <f>_xlfn.LET(_xlpm.raw,_xlfn.XLOOKUP(A698,SITE1!$C$4:$C$1034,SITE1!$E$4:$E$1034),_xlpm.cleanRaw,SUBSTITUTE(SUBSTITUTE(_xlpm.raw,"_PIN","."),"PIN","."),_xlpm.mainPart,MID(_xlpm.cleanRaw,2,FIND(".",_xlpm.cleanRaw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8" t="str">
        <f>_xlfn.LET(_xlpm.raw,_xlfn.XLOOKUP(A698,SITE3!$C$4:$C$1034,SITE3!$E$4:$E$1034),_xlpm.cleanRaw,SUBSTITUTE(SUBSTITUTE(_xlpm.raw,"_PIN","."),"PIN","."),_xlpm.mainPart,MID(_xlpm.cleanRaw,2,FIND(".",_xlpm.cleanRaw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8" t="str">
        <f>""</f>
        <v/>
      </c>
      <c r="I698" t="str">
        <f>""</f>
        <v/>
      </c>
      <c r="J698" t="str">
        <f t="shared" si="10"/>
        <v>AP39;VSS;;15.3414;18.0715;;;;</v>
      </c>
    </row>
    <row r="699" spans="1:10">
      <c r="A699" t="s">
        <v>3819</v>
      </c>
      <c r="B699" t="str">
        <f>_xlfn.XLOOKUP(A699,SITE1!$V$4:$V$1034,SITE1!$U$4:$U$1034,"")</f>
        <v>VSS</v>
      </c>
      <c r="C699" t="str" cm="1">
        <f t="array" ref="C699">_xlfn.TEXTJOIN(",",TRUE,_xlfn.UNIQUE(TRANSPOSE(_xlfn.MAP(_xlfn.XLOOKUP(A699,SITE1!$C$4:$C$1034,SITE1!$F$4:$O$1034,""),_xlfn.LAMBDA(_xlpm.x,IF(_xlpm.x&lt;&gt;"",TRIM(CLEAN(LEFT(_xlpm.x,FIND(".",_xlpm.x &amp; ".")-1))),""))))))</f>
        <v/>
      </c>
      <c r="D699">
        <v>15.3414</v>
      </c>
      <c r="E699">
        <v>19.443200000000001</v>
      </c>
      <c r="F699" t="str">
        <f>_xlfn.LET(_xlpm.raw,_xlfn.XLOOKUP(A699,SITE1!$C$4:$C$1034,SITE1!$E$4:$E$1034),_xlpm.cleanRaw,SUBSTITUTE(SUBSTITUTE(_xlpm.raw,"_PIN","."),"PIN","."),_xlpm.mainPart,MID(_xlpm.cleanRaw,2,FIND(".",_xlpm.cleanRaw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9" t="str">
        <f>_xlfn.LET(_xlpm.raw,_xlfn.XLOOKUP(A699,SITE3!$C$4:$C$1034,SITE3!$E$4:$E$1034),_xlpm.cleanRaw,SUBSTITUTE(SUBSTITUTE(_xlpm.raw,"_PIN","."),"PIN","."),_xlpm.mainPart,MID(_xlpm.cleanRaw,2,FIND(".",_xlpm.cleanRaw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9" t="str">
        <f>""</f>
        <v/>
      </c>
      <c r="I699" t="str">
        <f>""</f>
        <v/>
      </c>
      <c r="J699" t="str">
        <f t="shared" si="10"/>
        <v>AP42;VSS;;15.3414;19.4432;;;;</v>
      </c>
    </row>
    <row r="700" spans="1:10">
      <c r="A700" t="s">
        <v>3820</v>
      </c>
      <c r="B700" t="str">
        <f>_xlfn.XLOOKUP(A700,SITE1!$V$4:$V$1034,SITE1!$U$4:$U$1034,"")</f>
        <v>VSS</v>
      </c>
      <c r="C700" t="str" cm="1">
        <f t="array" ref="C700">_xlfn.TEXTJOIN(",",TRUE,_xlfn.UNIQUE(TRANSPOSE(_xlfn.MAP(_xlfn.XLOOKUP(A700,SITE1!$C$4:$C$1034,SITE1!$F$4:$O$1034,""),_xlfn.LAMBDA(_xlpm.x,IF(_xlpm.x&lt;&gt;"",TRIM(CLEAN(LEFT(_xlpm.x,FIND(".",_xlpm.x &amp; ".")-1))),""))))))</f>
        <v/>
      </c>
      <c r="D700">
        <v>15.515899999999901</v>
      </c>
      <c r="E700">
        <v>20.39</v>
      </c>
      <c r="F700" t="str">
        <f>_xlfn.LET(_xlpm.raw,_xlfn.XLOOKUP(A700,SITE1!$C$4:$C$1034,SITE1!$E$4:$E$1034),_xlpm.cleanRaw,SUBSTITUTE(SUBSTITUTE(_xlpm.raw,"_PIN","."),"PIN","."),_xlpm.mainPart,MID(_xlpm.cleanRaw,2,FIND(".",_xlpm.cleanRaw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0" t="str">
        <f>_xlfn.LET(_xlpm.raw,_xlfn.XLOOKUP(A700,SITE3!$C$4:$C$1034,SITE3!$E$4:$E$1034),_xlpm.cleanRaw,SUBSTITUTE(SUBSTITUTE(_xlpm.raw,"_PIN","."),"PIN","."),_xlpm.mainPart,MID(_xlpm.cleanRaw,2,FIND(".",_xlpm.cleanRaw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0" t="str">
        <f>""</f>
        <v/>
      </c>
      <c r="I700" t="str">
        <f>""</f>
        <v/>
      </c>
      <c r="J700" t="str">
        <f t="shared" si="10"/>
        <v>AP44;VSS;;15.5158999999999;20.39;;;;</v>
      </c>
    </row>
    <row r="701" spans="1:10">
      <c r="A701" t="s">
        <v>1349</v>
      </c>
      <c r="B701" t="str">
        <f>_xlfn.XLOOKUP(A701,SITE1!$V$4:$V$1034,SITE1!$U$4:$U$1034,"")</f>
        <v>GPP_F_22_IEH_CORR_ERR0B</v>
      </c>
      <c r="C701" t="str" cm="1">
        <f t="array" ref="C701">_xlfn.TEXTJOIN(",",TRUE,_xlfn.UNIQUE(TRANSPOSE(_xlfn.MAP(_xlfn.XLOOKUP(A701,SITE1!$C$4:$C$1034,SITE1!$F$4:$O$1034,""),_xlfn.LAMBDA(_xlpm.x,IF(_xlpm.x&lt;&gt;"",TRIM(CLEAN(LEFT(_xlpm.x,FIND(".",_xlpm.x &amp; ".")-1))),""))))))</f>
        <v/>
      </c>
      <c r="D701">
        <v>15.515899999999901</v>
      </c>
      <c r="E701">
        <v>21.113900000000001</v>
      </c>
      <c r="F701" t="str">
        <f>_xlfn.LET(_xlpm.raw,_xlfn.XLOOKUP(A701,SITE1!$C$4:$C$1034,SITE1!$E$4:$E$1034),_xlpm.cleanRaw,SUBSTITUTE(SUBSTITUTE(_xlpm.raw,"_PIN","."),"PIN","."),_xlpm.mainPart,MID(_xlpm.cleanRaw,2,FIND(".",_xlpm.cleanRaw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603117</v>
      </c>
      <c r="G701" t="str">
        <f>_xlfn.LET(_xlpm.raw,_xlfn.XLOOKUP(A701,SITE3!$C$4:$C$1034,SITE3!$E$4:$E$1034),_xlpm.cleanRaw,SUBSTITUTE(SUBSTITUTE(_xlpm.raw,"_PIN","."),"PIN","."),_xlpm.mainPart,MID(_xlpm.cleanRaw,2,FIND(".",_xlpm.cleanRaw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803117</v>
      </c>
      <c r="H701" t="str">
        <f>""</f>
        <v/>
      </c>
      <c r="I701" t="str">
        <f>""</f>
        <v/>
      </c>
      <c r="J701" t="str">
        <f t="shared" si="10"/>
        <v>AP45;GPP_F_22_IEH_CORR_ERR0B;;15.5158999999999;21.1139;603117;803117;;</v>
      </c>
    </row>
    <row r="702" spans="1:10">
      <c r="A702" t="s">
        <v>1284</v>
      </c>
      <c r="B702" t="str">
        <f>_xlfn.XLOOKUP(A702,SITE1!$V$4:$V$1034,SITE1!$U$4:$U$1034,"")</f>
        <v>GPP_F_10_SATA_SCLOCK_DIR_ESPI_NMI</v>
      </c>
      <c r="C702" t="str" cm="1">
        <f t="array" ref="C702">_xlfn.TEXTJOIN(",",TRUE,_xlfn.UNIQUE(TRANSPOSE(_xlfn.MAP(_xlfn.XLOOKUP(A702,SITE1!$C$4:$C$1034,SITE1!$F$4:$O$1034,""),_xlfn.LAMBDA(_xlpm.x,IF(_xlpm.x&lt;&gt;"",TRIM(CLEAN(LEFT(_xlpm.x,FIND(".",_xlpm.x &amp; ".")-1))),""))))))</f>
        <v/>
      </c>
      <c r="D702">
        <v>15.414</v>
      </c>
      <c r="E702">
        <v>24.384999999999899</v>
      </c>
      <c r="F702" t="str">
        <f>_xlfn.LET(_xlpm.raw,_xlfn.XLOOKUP(A702,SITE1!$C$4:$C$1034,SITE1!$E$4:$E$1034),_xlpm.cleanRaw,SUBSTITUTE(SUBSTITUTE(_xlpm.raw,"_PIN","."),"PIN","."),_xlpm.mainPart,MID(_xlpm.cleanRaw,2,FIND(".",_xlpm.cleanRaw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703009</v>
      </c>
      <c r="G702" t="str">
        <f>_xlfn.LET(_xlpm.raw,_xlfn.XLOOKUP(A702,SITE3!$C$4:$C$1034,SITE3!$E$4:$E$1034),_xlpm.cleanRaw,SUBSTITUTE(SUBSTITUTE(_xlpm.raw,"_PIN","."),"PIN","."),_xlpm.mainPart,MID(_xlpm.cleanRaw,2,FIND(".",_xlpm.cleanRaw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503009</v>
      </c>
      <c r="H702" t="str">
        <f>""</f>
        <v/>
      </c>
      <c r="I702" t="str">
        <f>""</f>
        <v/>
      </c>
      <c r="J702" t="str">
        <f t="shared" si="10"/>
        <v>AP52;GPP_F_10_SATA_SCLOCK_DIR_ESPI_NMI;;15.414;24.3849999999999;703009;503009;;</v>
      </c>
    </row>
    <row r="703" spans="1:10">
      <c r="A703" t="s">
        <v>1314</v>
      </c>
      <c r="B703" t="str">
        <f>_xlfn.XLOOKUP(A703,SITE1!$V$4:$V$1034,SITE1!$U$4:$U$1034,"")</f>
        <v>GPP_F_16</v>
      </c>
      <c r="C703" t="str" cm="1">
        <f t="array" ref="C703">_xlfn.TEXTJOIN(",",TRUE,_xlfn.UNIQUE(TRANSPOSE(_xlfn.MAP(_xlfn.XLOOKUP(A703,SITE1!$C$4:$C$1034,SITE1!$F$4:$O$1034,""),_xlfn.LAMBDA(_xlpm.x,IF(_xlpm.x&lt;&gt;"",TRIM(CLEAN(LEFT(_xlpm.x,FIND(".",_xlpm.x &amp; ".")-1))),""))))))</f>
        <v/>
      </c>
      <c r="D703">
        <v>15.6614</v>
      </c>
      <c r="E703">
        <v>25.136800000000001</v>
      </c>
      <c r="F703" t="str">
        <f>_xlfn.LET(_xlpm.raw,_xlfn.XLOOKUP(A703,SITE1!$C$4:$C$1034,SITE1!$E$4:$E$1034),_xlpm.cleanRaw,SUBSTITUTE(SUBSTITUTE(_xlpm.raw,"_PIN","."),"PIN","."),_xlpm.mainPart,MID(_xlpm.cleanRaw,2,FIND(".",_xlpm.cleanRaw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703037</v>
      </c>
      <c r="G703" t="str">
        <f>_xlfn.LET(_xlpm.raw,_xlfn.XLOOKUP(A703,SITE3!$C$4:$C$1034,SITE3!$E$4:$E$1034),_xlpm.cleanRaw,SUBSTITUTE(SUBSTITUTE(_xlpm.raw,"_PIN","."),"PIN","."),_xlpm.mainPart,MID(_xlpm.cleanRaw,2,FIND(".",_xlpm.cleanRaw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503037</v>
      </c>
      <c r="H703" t="str">
        <f>""</f>
        <v/>
      </c>
      <c r="I703" t="str">
        <f>""</f>
        <v/>
      </c>
      <c r="J703" t="str">
        <f t="shared" si="10"/>
        <v>AP54;GPP_F_16;;15.6614;25.1368;703037;503037;;</v>
      </c>
    </row>
    <row r="704" spans="1:10">
      <c r="A704" t="s">
        <v>1279</v>
      </c>
      <c r="B704" t="str">
        <f>_xlfn.XLOOKUP(A704,SITE1!$V$4:$V$1034,SITE1!$U$4:$U$1034,"")</f>
        <v>GPP_F_1_SATAXPCIE_4_SATAGP_4</v>
      </c>
      <c r="C704" t="str" cm="1">
        <f t="array" ref="C704">_xlfn.TEXTJOIN(",",TRUE,_xlfn.UNIQUE(TRANSPOSE(_xlfn.MAP(_xlfn.XLOOKUP(A704,SITE1!$C$4:$C$1034,SITE1!$F$4:$O$1034,""),_xlfn.LAMBDA(_xlpm.x,IF(_xlpm.x&lt;&gt;"",TRIM(CLEAN(LEFT(_xlpm.x,FIND(".",_xlpm.x &amp; ".")-1))),""))))))</f>
        <v/>
      </c>
      <c r="D704">
        <v>15.2883</v>
      </c>
      <c r="E704">
        <v>25.8521</v>
      </c>
      <c r="F704" t="str">
        <f>_xlfn.LET(_xlpm.raw,_xlfn.XLOOKUP(A704,SITE1!$C$4:$C$1034,SITE1!$E$4:$E$1034),_xlpm.cleanRaw,SUBSTITUTE(SUBSTITUTE(_xlpm.raw,"_PIN","."),"PIN","."),_xlpm.mainPart,MID(_xlpm.cleanRaw,2,FIND(".",_xlpm.cleanRaw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707124</v>
      </c>
      <c r="G704" t="str">
        <f>_xlfn.LET(_xlpm.raw,_xlfn.XLOOKUP(A704,SITE3!$C$4:$C$1034,SITE3!$E$4:$E$1034),_xlpm.cleanRaw,SUBSTITUTE(SUBSTITUTE(_xlpm.raw,"_PIN","."),"PIN","."),_xlpm.mainPart,MID(_xlpm.cleanRaw,2,FIND(".",_xlpm.cleanRaw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507124</v>
      </c>
      <c r="H704" t="str">
        <f>""</f>
        <v/>
      </c>
      <c r="I704" t="str">
        <f>""</f>
        <v/>
      </c>
      <c r="J704" t="str">
        <f t="shared" si="10"/>
        <v>AP55;GPP_F_1_SATAXPCIE_4_SATAGP_4;;15.2883;25.8521;707124;507124;;</v>
      </c>
    </row>
    <row r="705" spans="1:10">
      <c r="A705" t="s">
        <v>1319</v>
      </c>
      <c r="B705" t="str">
        <f>_xlfn.XLOOKUP(A705,SITE1!$V$4:$V$1034,SITE1!$U$4:$U$1034,"")</f>
        <v>GPP_F_17</v>
      </c>
      <c r="C705" t="str" cm="1">
        <f t="array" ref="C705">_xlfn.TEXTJOIN(",",TRUE,_xlfn.UNIQUE(TRANSPOSE(_xlfn.MAP(_xlfn.XLOOKUP(A705,SITE1!$C$4:$C$1034,SITE1!$F$4:$O$1034,""),_xlfn.LAMBDA(_xlpm.x,IF(_xlpm.x&lt;&gt;"",TRIM(CLEAN(LEFT(_xlpm.x,FIND(".",_xlpm.x &amp; ".")-1))),""))))))</f>
        <v/>
      </c>
      <c r="D705">
        <v>15.258099999999899</v>
      </c>
      <c r="E705">
        <v>26.354500000000002</v>
      </c>
      <c r="F705" t="str">
        <f>_xlfn.LET(_xlpm.raw,_xlfn.XLOOKUP(A705,SITE1!$C$4:$C$1034,SITE1!$E$4:$E$1034),_xlpm.cleanRaw,SUBSTITUTE(SUBSTITUTE(_xlpm.raw,"_PIN","."),"PIN","."),_xlpm.mainPart,MID(_xlpm.cleanRaw,2,FIND(".",_xlpm.cleanRaw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601024</v>
      </c>
      <c r="G705" t="str">
        <f>_xlfn.LET(_xlpm.raw,_xlfn.XLOOKUP(A705,SITE3!$C$4:$C$1034,SITE3!$E$4:$E$1034),_xlpm.cleanRaw,SUBSTITUTE(SUBSTITUTE(_xlpm.raw,"_PIN","."),"PIN","."),_xlpm.mainPart,MID(_xlpm.cleanRaw,2,FIND(".",_xlpm.cleanRaw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801024</v>
      </c>
      <c r="H705" t="str">
        <f>""</f>
        <v/>
      </c>
      <c r="I705" t="str">
        <f>""</f>
        <v/>
      </c>
      <c r="J705" t="str">
        <f t="shared" si="10"/>
        <v>AP56;GPP_F_17;;15.2580999999999;26.3545;601024;801024;;</v>
      </c>
    </row>
    <row r="706" spans="1:10">
      <c r="A706" t="s">
        <v>1654</v>
      </c>
      <c r="B706" t="str">
        <f>_xlfn.XLOOKUP(A706,SITE1!$V$4:$V$1034,SITE1!$U$4:$U$1034,"")</f>
        <v>GPP_J_8_RTCCLKOUT</v>
      </c>
      <c r="C706" t="str" cm="1">
        <f t="array" ref="C706">_xlfn.TEXTJOIN(",",TRUE,_xlfn.UNIQUE(TRANSPOSE(_xlfn.MAP(_xlfn.XLOOKUP(A706,SITE1!$C$4:$C$1034,SITE1!$F$4:$O$1034,""),_xlfn.LAMBDA(_xlpm.x,IF(_xlpm.x&lt;&gt;"",TRIM(CLEAN(LEFT(_xlpm.x,FIND(".",_xlpm.x &amp; ".")-1))),""))))))</f>
        <v/>
      </c>
      <c r="D706">
        <v>16.116299999999999</v>
      </c>
      <c r="E706">
        <v>0.73659999999999903</v>
      </c>
      <c r="F706" t="str">
        <f>_xlfn.LET(_xlpm.raw,_xlfn.XLOOKUP(A706,SITE1!$C$4:$C$1034,SITE1!$E$4:$E$1034),_xlpm.cleanRaw,SUBSTITUTE(SUBSTITUTE(_xlpm.raw,"_PIN","."),"PIN","."),_xlpm.mainPart,MID(_xlpm.cleanRaw,2,FIND(".",_xlpm.cleanRaw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606118</v>
      </c>
      <c r="G706" t="str">
        <f>_xlfn.LET(_xlpm.raw,_xlfn.XLOOKUP(A706,SITE3!$C$4:$C$1034,SITE3!$E$4:$E$1034),_xlpm.cleanRaw,SUBSTITUTE(SUBSTITUTE(_xlpm.raw,"_PIN","."),"PIN","."),_xlpm.mainPart,MID(_xlpm.cleanRaw,2,FIND(".",_xlpm.cleanRaw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806118</v>
      </c>
      <c r="H706" t="str">
        <f>""</f>
        <v/>
      </c>
      <c r="I706" t="str">
        <f>""</f>
        <v/>
      </c>
      <c r="J706" t="str">
        <f t="shared" ref="J706:J769" si="11">A706&amp;";"&amp;B706&amp;";"&amp;C706&amp;";"&amp;D706&amp;";"&amp;E706&amp;";"&amp;F706&amp;";"&amp;G706&amp;";"&amp;H706&amp;";"&amp;I706</f>
        <v>AR2;GPP_J_8_RTCCLKOUT;;16.1163;0.736599999999999;606118;806118;;</v>
      </c>
    </row>
    <row r="707" spans="1:10">
      <c r="A707" t="s">
        <v>1644</v>
      </c>
      <c r="B707" t="str">
        <f>_xlfn.XLOOKUP(A707,SITE1!$V$4:$V$1034,SITE1!$U$4:$U$1034,"")</f>
        <v>GPP_J_6_CNV_MFUART2_TXD</v>
      </c>
      <c r="C707" t="str" cm="1">
        <f t="array" ref="C707">_xlfn.TEXTJOIN(",",TRUE,_xlfn.UNIQUE(TRANSPOSE(_xlfn.MAP(_xlfn.XLOOKUP(A707,SITE1!$C$4:$C$1034,SITE1!$F$4:$O$1034,""),_xlfn.LAMBDA(_xlpm.x,IF(_xlpm.x&lt;&gt;"",TRIM(CLEAN(LEFT(_xlpm.x,FIND(".",_xlpm.x &amp; ".")-1))),""))))))</f>
        <v/>
      </c>
      <c r="D707">
        <v>15.753399999999999</v>
      </c>
      <c r="E707">
        <v>1.2211999999999901</v>
      </c>
      <c r="F707" t="str">
        <f>_xlfn.LET(_xlpm.raw,_xlfn.XLOOKUP(A707,SITE1!$C$4:$C$1034,SITE1!$E$4:$E$1034),_xlpm.cleanRaw,SUBSTITUTE(SUBSTITUTE(_xlpm.raw,"_PIN","."),"PIN","."),_xlpm.mainPart,MID(_xlpm.cleanRaw,2,FIND(".",_xlpm.cleanRaw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606126</v>
      </c>
      <c r="G707" t="str">
        <f>_xlfn.LET(_xlpm.raw,_xlfn.XLOOKUP(A707,SITE3!$C$4:$C$1034,SITE3!$E$4:$E$1034),_xlpm.cleanRaw,SUBSTITUTE(SUBSTITUTE(_xlpm.raw,"_PIN","."),"PIN","."),_xlpm.mainPart,MID(_xlpm.cleanRaw,2,FIND(".",_xlpm.cleanRaw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806126</v>
      </c>
      <c r="H707" t="str">
        <f>""</f>
        <v/>
      </c>
      <c r="I707" t="str">
        <f>""</f>
        <v/>
      </c>
      <c r="J707" t="str">
        <f t="shared" si="11"/>
        <v>AR3;GPP_J_6_CNV_MFUART2_TXD;;15.7534;1.22119999999999;606126;806126;;</v>
      </c>
    </row>
    <row r="708" spans="1:10">
      <c r="A708" t="s">
        <v>3823</v>
      </c>
      <c r="B708" t="str">
        <f>_xlfn.XLOOKUP(A708,SITE1!$V$4:$V$1034,SITE1!$U$4:$U$1034,"")</f>
        <v>VSS</v>
      </c>
      <c r="C708" t="str" cm="1">
        <f t="array" ref="C708">_xlfn.TEXTJOIN(",",TRUE,_xlfn.UNIQUE(TRANSPOSE(_xlfn.MAP(_xlfn.XLOOKUP(A708,SITE1!$C$4:$C$1034,SITE1!$F$4:$O$1034,""),_xlfn.LAMBDA(_xlpm.x,IF(_xlpm.x&lt;&gt;"",TRIM(CLEAN(LEFT(_xlpm.x,FIND(".",_xlpm.x &amp; ".")-1))),""))))))</f>
        <v/>
      </c>
      <c r="D708">
        <v>16.1633</v>
      </c>
      <c r="E708">
        <v>1.7795000000000001</v>
      </c>
      <c r="F708" t="str">
        <f>_xlfn.LET(_xlpm.raw,_xlfn.XLOOKUP(A708,SITE1!$C$4:$C$1034,SITE1!$E$4:$E$1034),_xlpm.cleanRaw,SUBSTITUTE(SUBSTITUTE(_xlpm.raw,"_PIN","."),"PIN","."),_xlpm.mainPart,MID(_xlpm.cleanRaw,2,FIND(".",_xlpm.cleanRaw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8" t="str">
        <f>_xlfn.LET(_xlpm.raw,_xlfn.XLOOKUP(A708,SITE3!$C$4:$C$1034,SITE3!$E$4:$E$1034),_xlpm.cleanRaw,SUBSTITUTE(SUBSTITUTE(_xlpm.raw,"_PIN","."),"PIN","."),_xlpm.mainPart,MID(_xlpm.cleanRaw,2,FIND(".",_xlpm.cleanRaw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8" t="str">
        <f>""</f>
        <v/>
      </c>
      <c r="I708" t="str">
        <f>""</f>
        <v/>
      </c>
      <c r="J708" t="str">
        <f t="shared" si="11"/>
        <v>AR5;VSS;;16.1633;1.7795;;;;</v>
      </c>
    </row>
    <row r="709" spans="1:10">
      <c r="A709" t="s">
        <v>1609</v>
      </c>
      <c r="B709" t="str">
        <f>_xlfn.XLOOKUP(A709,SITE1!$V$4:$V$1034,SITE1!$U$4:$U$1034,"")</f>
        <v>GPP_J_14_HDACPU_BCLK</v>
      </c>
      <c r="C709" t="str" cm="1">
        <f t="array" ref="C709">_xlfn.TEXTJOIN(",",TRUE,_xlfn.UNIQUE(TRANSPOSE(_xlfn.MAP(_xlfn.XLOOKUP(A709,SITE1!$C$4:$C$1034,SITE1!$F$4:$O$1034,""),_xlfn.LAMBDA(_xlpm.x,IF(_xlpm.x&lt;&gt;"",TRIM(CLEAN(LEFT(_xlpm.x,FIND(".",_xlpm.x &amp; ".")-1))),""))))))</f>
        <v/>
      </c>
      <c r="D709">
        <v>16.0871</v>
      </c>
      <c r="E709">
        <v>4.4555999999999996</v>
      </c>
      <c r="F709" t="str">
        <f>_xlfn.LET(_xlpm.raw,_xlfn.XLOOKUP(A709,SITE1!$C$4:$C$1034,SITE1!$E$4:$E$1034),_xlpm.cleanRaw,SUBSTITUTE(SUBSTITUTE(_xlpm.raw,"_PIN","."),"PIN","."),_xlpm.mainPart,MID(_xlpm.cleanRaw,2,FIND(".",_xlpm.cleanRaw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702072</v>
      </c>
      <c r="G709" t="str">
        <f>_xlfn.LET(_xlpm.raw,_xlfn.XLOOKUP(A709,SITE3!$C$4:$C$1034,SITE3!$E$4:$E$1034),_xlpm.cleanRaw,SUBSTITUTE(SUBSTITUTE(_xlpm.raw,"_PIN","."),"PIN","."),_xlpm.mainPart,MID(_xlpm.cleanRaw,2,FIND(".",_xlpm.cleanRaw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502072</v>
      </c>
      <c r="H709" t="str">
        <f>""</f>
        <v/>
      </c>
      <c r="I709" t="str">
        <f>""</f>
        <v/>
      </c>
      <c r="J709" t="str">
        <f t="shared" si="11"/>
        <v>AR10;GPP_J_14_HDACPU_BCLK;;16.0871;4.4556;702072;502072;;</v>
      </c>
    </row>
    <row r="710" spans="1:10">
      <c r="A710" t="s">
        <v>3821</v>
      </c>
      <c r="B710" t="str">
        <f>_xlfn.XLOOKUP(A710,SITE1!$V$4:$V$1034,SITE1!$U$4:$U$1034,"")</f>
        <v>VSS</v>
      </c>
      <c r="C710" t="str" cm="1">
        <f t="array" ref="C710">_xlfn.TEXTJOIN(",",TRUE,_xlfn.UNIQUE(TRANSPOSE(_xlfn.MAP(_xlfn.XLOOKUP(A710,SITE1!$C$4:$C$1034,SITE1!$F$4:$O$1034,""),_xlfn.LAMBDA(_xlpm.x,IF(_xlpm.x&lt;&gt;"",TRIM(CLEAN(LEFT(_xlpm.x,FIND(".",_xlpm.x &amp; ".")-1))),""))))))</f>
        <v/>
      </c>
      <c r="D710">
        <v>16.0871</v>
      </c>
      <c r="E710">
        <v>5.1668000000000003</v>
      </c>
      <c r="F710" t="str">
        <f>_xlfn.LET(_xlpm.raw,_xlfn.XLOOKUP(A710,SITE1!$C$4:$C$1034,SITE1!$E$4:$E$1034),_xlpm.cleanRaw,SUBSTITUTE(SUBSTITUTE(_xlpm.raw,"_PIN","."),"PIN","."),_xlpm.mainPart,MID(_xlpm.cleanRaw,2,FIND(".",_xlpm.cleanRaw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10" t="str">
        <f>_xlfn.LET(_xlpm.raw,_xlfn.XLOOKUP(A710,SITE3!$C$4:$C$1034,SITE3!$E$4:$E$1034),_xlpm.cleanRaw,SUBSTITUTE(SUBSTITUTE(_xlpm.raw,"_PIN","."),"PIN","."),_xlpm.mainPart,MID(_xlpm.cleanRaw,2,FIND(".",_xlpm.cleanRaw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10" t="str">
        <f>""</f>
        <v/>
      </c>
      <c r="I710" t="str">
        <f>""</f>
        <v/>
      </c>
      <c r="J710" t="str">
        <f t="shared" si="11"/>
        <v>AR12;VSS;;16.0871;5.1668;;;;</v>
      </c>
    </row>
    <row r="711" spans="1:10">
      <c r="A711" t="s">
        <v>2281</v>
      </c>
      <c r="B711" t="str">
        <f>_xlfn.XLOOKUP(A711,SITE1!$V$4:$V$1034,SITE1!$U$4:$U$1034,"")</f>
        <v>PCIE_2_RXN</v>
      </c>
      <c r="C711" t="str" cm="1">
        <f t="array" ref="C711">_xlfn.TEXTJOIN(",",TRUE,_xlfn.UNIQUE(TRANSPOSE(_xlfn.MAP(_xlfn.XLOOKUP(A711,SITE1!$C$4:$C$1034,SITE1!$F$4:$O$1034,""),_xlfn.LAMBDA(_xlpm.x,IF(_xlpm.x&lt;&gt;"",TRIM(CLEAN(LEFT(_xlpm.x,FIND(".",_xlpm.x &amp; ".")-1))),""))))))</f>
        <v>CA224,LA248</v>
      </c>
      <c r="D711">
        <v>16.052599999999899</v>
      </c>
      <c r="E711">
        <v>8.5272000000000006</v>
      </c>
      <c r="F711" t="str">
        <f>_xlfn.LET(_xlpm.raw,_xlfn.XLOOKUP(A711,SITE1!$C$4:$C$1034,SITE1!$E$4:$E$1034),_xlpm.cleanRaw,SUBSTITUTE(SUBSTITUTE(_xlpm.raw,"_PIN","."),"PIN","."),_xlpm.mainPart,MID(_xlpm.cleanRaw,2,FIND(".",_xlpm.cleanRaw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604036</v>
      </c>
      <c r="G711" t="str">
        <f>_xlfn.LET(_xlpm.raw,_xlfn.XLOOKUP(A711,SITE3!$C$4:$C$1034,SITE3!$E$4:$E$1034),_xlpm.cleanRaw,SUBSTITUTE(SUBSTITUTE(_xlpm.raw,"_PIN","."),"PIN","."),_xlpm.mainPart,MID(_xlpm.cleanRaw,2,FIND(".",_xlpm.cleanRaw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804036</v>
      </c>
      <c r="H711" t="str">
        <f>""</f>
        <v/>
      </c>
      <c r="I711" t="str">
        <f>""</f>
        <v/>
      </c>
      <c r="J711" t="str">
        <f t="shared" si="11"/>
        <v>AR19;PCIE_2_RXN;CA224,LA248;16.0525999999999;8.5272;604036;804036;;</v>
      </c>
    </row>
    <row r="712" spans="1:10">
      <c r="A712" t="s">
        <v>2527</v>
      </c>
      <c r="B712" t="str">
        <f>_xlfn.XLOOKUP(A712,SITE1!$V$4:$V$1034,SITE1!$U$4:$U$1034,"")</f>
        <v>PCIE_4_RXN</v>
      </c>
      <c r="C712" t="str" cm="1">
        <f t="array" ref="C712">_xlfn.TEXTJOIN(",",TRUE,_xlfn.UNIQUE(TRANSPOSE(_xlfn.MAP(_xlfn.XLOOKUP(A712,SITE1!$C$4:$C$1034,SITE1!$F$4:$O$1034,""),_xlfn.LAMBDA(_xlpm.x,IF(_xlpm.x&lt;&gt;"",TRIM(CLEAN(LEFT(_xlpm.x,FIND(".",_xlpm.x &amp; ".")-1))),""))))))</f>
        <v>CA228,LA256</v>
      </c>
      <c r="D712">
        <v>16.052599999999899</v>
      </c>
      <c r="E712">
        <v>9.8844999999999992</v>
      </c>
      <c r="F712" t="str">
        <f>_xlfn.LET(_xlpm.raw,_xlfn.XLOOKUP(A712,SITE1!$C$4:$C$1034,SITE1!$E$4:$E$1034),_xlpm.cleanRaw,SUBSTITUTE(SUBSTITUTE(_xlpm.raw,"_PIN","."),"PIN","."),_xlpm.mainPart,MID(_xlpm.cleanRaw,2,FIND(".",_xlpm.cleanRaw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702060</v>
      </c>
      <c r="G712" t="str">
        <f>_xlfn.LET(_xlpm.raw,_xlfn.XLOOKUP(A712,SITE3!$C$4:$C$1034,SITE3!$E$4:$E$1034),_xlpm.cleanRaw,SUBSTITUTE(SUBSTITUTE(_xlpm.raw,"_PIN","."),"PIN","."),_xlpm.mainPart,MID(_xlpm.cleanRaw,2,FIND(".",_xlpm.cleanRaw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502060</v>
      </c>
      <c r="H712" t="str">
        <f>""</f>
        <v/>
      </c>
      <c r="I712" t="str">
        <f>""</f>
        <v/>
      </c>
      <c r="J712" t="str">
        <f t="shared" si="11"/>
        <v>AR22;PCIE_4_RXN;CA228,LA256;16.0525999999999;9.8845;702060;502060;;</v>
      </c>
    </row>
    <row r="713" spans="1:10">
      <c r="A713" t="s">
        <v>2948</v>
      </c>
      <c r="B713" t="str">
        <f>_xlfn.XLOOKUP(A713,SITE1!$V$4:$V$1034,SITE1!$U$4:$U$1034,"")</f>
        <v>TSN_EXTREFCLKP</v>
      </c>
      <c r="C713" t="str" cm="1">
        <f t="array" ref="C713">_xlfn.TEXTJOIN(",",TRUE,_xlfn.UNIQUE(TRANSPOSE(_xlfn.MAP(_xlfn.XLOOKUP(A713,SITE1!$C$4:$C$1034,SITE1!$F$4:$O$1034,""),_xlfn.LAMBDA(_xlpm.x,IF(_xlpm.x&lt;&gt;"",TRIM(CLEAN(LEFT(_xlpm.x,FIND(".",_xlpm.x &amp; ".")-1))),""))))))</f>
        <v>TPA606</v>
      </c>
      <c r="D713">
        <v>16.052599999999899</v>
      </c>
      <c r="E713">
        <v>11.2562</v>
      </c>
      <c r="F713" t="str">
        <f>_xlfn.LET(_xlpm.raw,_xlfn.XLOOKUP(A713,SITE1!$C$4:$C$1034,SITE1!$E$4:$E$1034),_xlpm.cleanRaw,SUBSTITUTE(SUBSTITUTE(_xlpm.raw,"_PIN","."),"PIN","."),_xlpm.mainPart,MID(_xlpm.cleanRaw,2,FIND(".",_xlpm.cleanRaw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701088</v>
      </c>
      <c r="G713" t="str">
        <f>_xlfn.LET(_xlpm.raw,_xlfn.XLOOKUP(A713,SITE3!$C$4:$C$1034,SITE3!$E$4:$E$1034),_xlpm.cleanRaw,SUBSTITUTE(SUBSTITUTE(_xlpm.raw,"_PIN","."),"PIN","."),_xlpm.mainPart,MID(_xlpm.cleanRaw,2,FIND(".",_xlpm.cleanRaw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501088</v>
      </c>
      <c r="H713" t="str">
        <f>""</f>
        <v/>
      </c>
      <c r="I713" t="str">
        <f>""</f>
        <v/>
      </c>
      <c r="J713" t="str">
        <f t="shared" si="11"/>
        <v>AR24;TSN_EXTREFCLKP;TPA606;16.0525999999999;11.2562;701088;501088;;</v>
      </c>
    </row>
    <row r="714" spans="1:10">
      <c r="A714" t="s">
        <v>2668</v>
      </c>
      <c r="B714" t="str">
        <f>_xlfn.XLOOKUP(A714,SITE1!$V$4:$V$1034,SITE1!$U$4:$U$1034,"")</f>
        <v>PCIE_8_RXN</v>
      </c>
      <c r="C714" t="str" cm="1">
        <f t="array" ref="C714">_xlfn.TEXTJOIN(",",TRUE,_xlfn.UNIQUE(TRANSPOSE(_xlfn.MAP(_xlfn.XLOOKUP(A714,SITE1!$C$4:$C$1034,SITE1!$F$4:$O$1034,""),_xlfn.LAMBDA(_xlpm.x,IF(_xlpm.x&lt;&gt;"",TRIM(CLEAN(LEFT(_xlpm.x,FIND(".",_xlpm.x &amp; ".")-1))),""))))))</f>
        <v>CA236,LA272</v>
      </c>
      <c r="D714">
        <v>16.052599999999899</v>
      </c>
      <c r="E714">
        <v>12.6135</v>
      </c>
      <c r="F714" t="str">
        <f>_xlfn.LET(_xlpm.raw,_xlfn.XLOOKUP(A714,SITE1!$C$4:$C$1034,SITE1!$E$4:$E$1034),_xlpm.cleanRaw,SUBSTITUTE(SUBSTITUTE(_xlpm.raw,"_PIN","."),"PIN","."),_xlpm.mainPart,MID(_xlpm.cleanRaw,2,FIND(".",_xlpm.cleanRaw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603095</v>
      </c>
      <c r="G714" t="str">
        <f>_xlfn.LET(_xlpm.raw,_xlfn.XLOOKUP(A714,SITE3!$C$4:$C$1034,SITE3!$E$4:$E$1034),_xlpm.cleanRaw,SUBSTITUTE(SUBSTITUTE(_xlpm.raw,"_PIN","."),"PIN","."),_xlpm.mainPart,MID(_xlpm.cleanRaw,2,FIND(".",_xlpm.cleanRaw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803095</v>
      </c>
      <c r="H714" t="str">
        <f>""</f>
        <v/>
      </c>
      <c r="I714" t="str">
        <f>""</f>
        <v/>
      </c>
      <c r="J714" t="str">
        <f t="shared" si="11"/>
        <v>AR27;PCIE_8_RXN;CA236,LA272;16.0525999999999;12.6135;603095;803095;;</v>
      </c>
    </row>
    <row r="715" spans="1:10">
      <c r="A715" t="s">
        <v>2746</v>
      </c>
      <c r="B715" t="str">
        <f>_xlfn.XLOOKUP(A715,SITE1!$V$4:$V$1034,SITE1!$U$4:$U$1034,"")</f>
        <v>PCIE_EXTREFCLKP</v>
      </c>
      <c r="C715" t="str" cm="1">
        <f t="array" ref="C715">_xlfn.TEXTJOIN(",",TRUE,_xlfn.UNIQUE(TRANSPOSE(_xlfn.MAP(_xlfn.XLOOKUP(A715,SITE1!$C$4:$C$1034,SITE1!$F$4:$O$1034,""),_xlfn.LAMBDA(_xlpm.x,IF(_xlpm.x&lt;&gt;"",TRIM(CLEAN(LEFT(_xlpm.x,FIND(".",_xlpm.x &amp; ".")-1))),""))))))</f>
        <v>TPA601</v>
      </c>
      <c r="D715">
        <v>16.052599999999899</v>
      </c>
      <c r="E715">
        <v>13.985199999999899</v>
      </c>
      <c r="F715" t="str">
        <f>_xlfn.LET(_xlpm.raw,_xlfn.XLOOKUP(A715,SITE1!$C$4:$C$1034,SITE1!$E$4:$E$1034),_xlpm.cleanRaw,SUBSTITUTE(SUBSTITUTE(_xlpm.raw,"_PIN","."),"PIN","."),_xlpm.mainPart,MID(_xlpm.cleanRaw,2,FIND(".",_xlpm.cleanRaw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701092</v>
      </c>
      <c r="G715" t="str">
        <f>_xlfn.LET(_xlpm.raw,_xlfn.XLOOKUP(A715,SITE3!$C$4:$C$1034,SITE3!$E$4:$E$1034),_xlpm.cleanRaw,SUBSTITUTE(SUBSTITUTE(_xlpm.raw,"_PIN","."),"PIN","."),_xlpm.mainPart,MID(_xlpm.cleanRaw,2,FIND(".",_xlpm.cleanRaw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501092</v>
      </c>
      <c r="H715" t="str">
        <f>""</f>
        <v/>
      </c>
      <c r="I715" t="str">
        <f>""</f>
        <v/>
      </c>
      <c r="J715" t="str">
        <f t="shared" si="11"/>
        <v>AR30;PCIE_EXTREFCLKP;TPA601;16.0525999999999;13.9851999999999;701092;501092;;</v>
      </c>
    </row>
    <row r="716" spans="1:10">
      <c r="A716" t="s">
        <v>1997</v>
      </c>
      <c r="B716" t="str">
        <f>_xlfn.XLOOKUP(A716,SITE1!$V$4:$V$1034,SITE1!$U$4:$U$1034,"")</f>
        <v>PCIE_12_RXN</v>
      </c>
      <c r="C716" t="str" cm="1">
        <f t="array" ref="C716">_xlfn.TEXTJOIN(",",TRUE,_xlfn.UNIQUE(TRANSPOSE(_xlfn.MAP(_xlfn.XLOOKUP(A716,SITE1!$C$4:$C$1034,SITE1!$F$4:$O$1034,""),_xlfn.LAMBDA(_xlpm.x,IF(_xlpm.x&lt;&gt;"",TRIM(CLEAN(LEFT(_xlpm.x,FIND(".",_xlpm.x &amp; ".")-1))),""))))))</f>
        <v>CA244,LA288</v>
      </c>
      <c r="D716">
        <v>16.052599999999899</v>
      </c>
      <c r="E716">
        <v>15.342499999999999</v>
      </c>
      <c r="F716" t="str">
        <f>_xlfn.LET(_xlpm.raw,_xlfn.XLOOKUP(A716,SITE1!$C$4:$C$1034,SITE1!$E$4:$E$1034),_xlpm.cleanRaw,SUBSTITUTE(SUBSTITUTE(_xlpm.raw,"_PIN","."),"PIN","."),_xlpm.mainPart,MID(_xlpm.cleanRaw,2,FIND(".",_xlpm.cleanRaw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706019</v>
      </c>
      <c r="G716" t="str">
        <f>_xlfn.LET(_xlpm.raw,_xlfn.XLOOKUP(A716,SITE3!$C$4:$C$1034,SITE3!$E$4:$E$1034),_xlpm.cleanRaw,SUBSTITUTE(SUBSTITUTE(_xlpm.raw,"_PIN","."),"PIN","."),_xlpm.mainPart,MID(_xlpm.cleanRaw,2,FIND(".",_xlpm.cleanRaw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506019</v>
      </c>
      <c r="H716" t="str">
        <f>""</f>
        <v/>
      </c>
      <c r="I716" t="str">
        <f>""</f>
        <v/>
      </c>
      <c r="J716" t="str">
        <f t="shared" si="11"/>
        <v>AR33;PCIE_12_RXN;CA244,LA288;16.0525999999999;15.3425;706019;506019;;</v>
      </c>
    </row>
    <row r="717" spans="1:10">
      <c r="A717" t="s">
        <v>1878</v>
      </c>
      <c r="B717" t="str">
        <f>_xlfn.XLOOKUP(A717,SITE1!$V$4:$V$1034,SITE1!$U$4:$U$1034,"")</f>
        <v>OTP1_VPP</v>
      </c>
      <c r="C717" t="str" cm="1">
        <f t="array" ref="C717">_xlfn.TEXTJOIN(",",TRUE,_xlfn.UNIQUE(TRANSPOSE(_xlfn.MAP(_xlfn.XLOOKUP(A717,SITE1!$C$4:$C$1034,SITE1!$F$4:$O$1034,""),_xlfn.LAMBDA(_xlpm.x,IF(_xlpm.x&lt;&gt;"",TRIM(CLEAN(LEFT(_xlpm.x,FIND(".",_xlpm.x &amp; ".")-1))),""))))))</f>
        <v/>
      </c>
      <c r="D717">
        <v>16.052599999999899</v>
      </c>
      <c r="E717">
        <v>16.714199999999899</v>
      </c>
      <c r="F717" t="str">
        <f>_xlfn.LET(_xlpm.raw,_xlfn.XLOOKUP(A717,SITE1!$C$4:$C$1034,SITE1!$E$4:$E$1034),_xlpm.cleanRaw,SUBSTITUTE(SUBSTITUTE(_xlpm.raw,"_PIN","."),"PIN","."),_xlpm.mainPart,MID(_xlpm.cleanRaw,2,FIND(".",_xlpm.cleanRaw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17" t="str">
        <f>_xlfn.LET(_xlpm.raw,_xlfn.XLOOKUP(A717,SITE3!$C$4:$C$1034,SITE3!$E$4:$E$1034),_xlpm.cleanRaw,SUBSTITUTE(SUBSTITUTE(_xlpm.raw,"_PIN","."),"PIN","."),_xlpm.mainPart,MID(_xlpm.cleanRaw,2,FIND(".",_xlpm.cleanRaw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17" t="str">
        <f>""</f>
        <v/>
      </c>
      <c r="I717" t="str">
        <f>""</f>
        <v/>
      </c>
      <c r="J717" t="str">
        <f t="shared" si="11"/>
        <v>AR36;OTP1_VPP;;16.0525999999999;16.7141999999999;;;;</v>
      </c>
    </row>
    <row r="718" spans="1:10">
      <c r="A718" t="s">
        <v>2139</v>
      </c>
      <c r="B718" t="str">
        <f>_xlfn.XLOOKUP(A718,SITE1!$V$4:$V$1034,SITE1!$U$4:$U$1034,"")</f>
        <v>PCIE_16_SATA_3_RXN</v>
      </c>
      <c r="C718" t="str" cm="1">
        <f t="array" ref="C718">_xlfn.TEXTJOIN(",",TRUE,_xlfn.UNIQUE(TRANSPOSE(_xlfn.MAP(_xlfn.XLOOKUP(A718,SITE1!$C$4:$C$1034,SITE1!$F$4:$O$1034,""),_xlfn.LAMBDA(_xlpm.x,IF(_xlpm.x&lt;&gt;"",TRIM(CLEAN(LEFT(_xlpm.x,FIND(".",_xlpm.x &amp; ".")-1))),""))))))</f>
        <v>CA252,LA304</v>
      </c>
      <c r="D718">
        <v>16.052599999999899</v>
      </c>
      <c r="E718">
        <v>18.0715</v>
      </c>
      <c r="F718" t="str">
        <f>_xlfn.LET(_xlpm.raw,_xlfn.XLOOKUP(A718,SITE1!$C$4:$C$1034,SITE1!$E$4:$E$1034),_xlpm.cleanRaw,SUBSTITUTE(SUBSTITUTE(_xlpm.raw,"_PIN","."),"PIN","."),_xlpm.mainPart,MID(_xlpm.cleanRaw,2,FIND(".",_xlpm.cleanRaw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705082</v>
      </c>
      <c r="G718" t="str">
        <f>_xlfn.LET(_xlpm.raw,_xlfn.XLOOKUP(A718,SITE3!$C$4:$C$1034,SITE3!$E$4:$E$1034),_xlpm.cleanRaw,SUBSTITUTE(SUBSTITUTE(_xlpm.raw,"_PIN","."),"PIN","."),_xlpm.mainPart,MID(_xlpm.cleanRaw,2,FIND(".",_xlpm.cleanRaw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505082</v>
      </c>
      <c r="H718" t="str">
        <f>""</f>
        <v/>
      </c>
      <c r="I718" t="str">
        <f>""</f>
        <v/>
      </c>
      <c r="J718" t="str">
        <f t="shared" si="11"/>
        <v>AR39;PCIE_16_SATA_3_RXN;CA252,LA304;16.0525999999999;18.0715;705082;505082;;</v>
      </c>
    </row>
    <row r="719" spans="1:10">
      <c r="A719" t="s">
        <v>3660</v>
      </c>
      <c r="B719" t="str">
        <f>_xlfn.XLOOKUP(A719,SITE1!$V$4:$V$1034,SITE1!$U$4:$U$1034,"")</f>
        <v>VCCPUSB_3P3</v>
      </c>
      <c r="C719" t="str" cm="1">
        <f t="array" ref="C719">_xlfn.TEXTJOIN(",",TRUE,_xlfn.UNIQUE(TRANSPOSE(_xlfn.MAP(_xlfn.XLOOKUP(A719,SITE1!$C$4:$C$1034,SITE1!$F$4:$O$1034,""),_xlfn.LAMBDA(_xlpm.x,IF(_xlpm.x&lt;&gt;"",TRIM(CLEAN(LEFT(_xlpm.x,FIND(".",_xlpm.x &amp; ".")-1))),""))))))</f>
        <v/>
      </c>
      <c r="D719">
        <v>16.052599999999899</v>
      </c>
      <c r="E719">
        <v>19.443200000000001</v>
      </c>
      <c r="F719" t="str">
        <f>_xlfn.LET(_xlpm.raw,_xlfn.XLOOKUP(A719,SITE1!$C$4:$C$1034,SITE1!$E$4:$E$1034),_xlpm.cleanRaw,SUBSTITUTE(SUBSTITUTE(_xlpm.raw,"_PIN","."),"PIN","."),_xlpm.mainPart,MID(_xlpm.cleanRaw,2,FIND(".",_xlpm.cleanRaw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19" t="str">
        <f>_xlfn.LET(_xlpm.raw,_xlfn.XLOOKUP(A719,SITE3!$C$4:$C$1034,SITE3!$E$4:$E$1034),_xlpm.cleanRaw,SUBSTITUTE(SUBSTITUTE(_xlpm.raw,"_PIN","."),"PIN","."),_xlpm.mainPart,MID(_xlpm.cleanRaw,2,FIND(".",_xlpm.cleanRaw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19" t="str">
        <f>""</f>
        <v/>
      </c>
      <c r="I719" t="str">
        <f>""</f>
        <v/>
      </c>
      <c r="J719" t="str">
        <f t="shared" si="11"/>
        <v>AR42;VCCPUSB_3P3;;16.0525999999999;19.4432;;;;</v>
      </c>
    </row>
    <row r="720" spans="1:10">
      <c r="A720" t="s">
        <v>2317</v>
      </c>
      <c r="B720" t="str">
        <f>_xlfn.XLOOKUP(A720,SITE1!$V$4:$V$1034,SITE1!$U$4:$U$1034,"")</f>
        <v>PCIE_20_SATA_7_RXN</v>
      </c>
      <c r="C720" t="str" cm="1">
        <f t="array" ref="C720">_xlfn.TEXTJOIN(",",TRUE,_xlfn.UNIQUE(TRANSPOSE(_xlfn.MAP(_xlfn.XLOOKUP(A720,SITE1!$C$4:$C$1034,SITE1!$F$4:$O$1034,""),_xlfn.LAMBDA(_xlpm.x,IF(_xlpm.x&lt;&gt;"",TRIM(CLEAN(LEFT(_xlpm.x,FIND(".",_xlpm.x &amp; ".")-1))),""))))))</f>
        <v>CA260,LA320</v>
      </c>
      <c r="D720">
        <v>16.052599999999899</v>
      </c>
      <c r="E720">
        <v>20.8005</v>
      </c>
      <c r="F720" t="str">
        <f>_xlfn.LET(_xlpm.raw,_xlfn.XLOOKUP(A720,SITE1!$C$4:$C$1034,SITE1!$E$4:$E$1034),_xlpm.cleanRaw,SUBSTITUTE(SUBSTITUTE(_xlpm.raw,"_PIN","."),"PIN","."),_xlpm.mainPart,MID(_xlpm.cleanRaw,2,FIND(".",_xlpm.cleanRaw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705059</v>
      </c>
      <c r="G720" t="str">
        <f>_xlfn.LET(_xlpm.raw,_xlfn.XLOOKUP(A720,SITE3!$C$4:$C$1034,SITE3!$E$4:$E$1034),_xlpm.cleanRaw,SUBSTITUTE(SUBSTITUTE(_xlpm.raw,"_PIN","."),"PIN","."),_xlpm.mainPart,MID(_xlpm.cleanRaw,2,FIND(".",_xlpm.cleanRaw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505059</v>
      </c>
      <c r="H720" t="str">
        <f>""</f>
        <v/>
      </c>
      <c r="I720" t="str">
        <f>""</f>
        <v/>
      </c>
      <c r="J720" t="str">
        <f t="shared" si="11"/>
        <v>AR44;PCIE_20_SATA_7_RXN;CA260,LA320;16.0525999999999;20.8005;705059;505059;;</v>
      </c>
    </row>
    <row r="721" spans="1:10">
      <c r="A721" t="s">
        <v>3822</v>
      </c>
      <c r="B721" t="str">
        <f>_xlfn.XLOOKUP(A721,SITE1!$V$4:$V$1034,SITE1!$U$4:$U$1034,"")</f>
        <v>VSS</v>
      </c>
      <c r="C721" t="str" cm="1">
        <f t="array" ref="C721">_xlfn.TEXTJOIN(",",TRUE,_xlfn.UNIQUE(TRANSPOSE(_xlfn.MAP(_xlfn.XLOOKUP(A721,SITE1!$C$4:$C$1034,SITE1!$F$4:$O$1034,""),_xlfn.LAMBDA(_xlpm.x,IF(_xlpm.x&lt;&gt;"",TRIM(CLEAN(LEFT(_xlpm.x,FIND(".",_xlpm.x &amp; ".")-1))),""))))))</f>
        <v/>
      </c>
      <c r="D721">
        <v>16.0871</v>
      </c>
      <c r="E721">
        <v>21.711399999999902</v>
      </c>
      <c r="F721" t="str">
        <f>_xlfn.LET(_xlpm.raw,_xlfn.XLOOKUP(A721,SITE1!$C$4:$C$1034,SITE1!$E$4:$E$1034),_xlpm.cleanRaw,SUBSTITUTE(SUBSTITUTE(_xlpm.raw,"_PIN","."),"PIN","."),_xlpm.mainPart,MID(_xlpm.cleanRaw,2,FIND(".",_xlpm.cleanRaw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1" t="str">
        <f>_xlfn.LET(_xlpm.raw,_xlfn.XLOOKUP(A721,SITE3!$C$4:$C$1034,SITE3!$E$4:$E$1034),_xlpm.cleanRaw,SUBSTITUTE(SUBSTITUTE(_xlpm.raw,"_PIN","."),"PIN","."),_xlpm.mainPart,MID(_xlpm.cleanRaw,2,FIND(".",_xlpm.cleanRaw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1" t="str">
        <f>""</f>
        <v/>
      </c>
      <c r="I721" t="str">
        <f>""</f>
        <v/>
      </c>
      <c r="J721" t="str">
        <f t="shared" si="11"/>
        <v>AR46;VSS;;16.0871;21.7113999999999;;;;</v>
      </c>
    </row>
    <row r="722" spans="1:10">
      <c r="A722" t="s">
        <v>1359</v>
      </c>
      <c r="B722" t="str">
        <f>_xlfn.XLOOKUP(A722,SITE1!$V$4:$V$1034,SITE1!$U$4:$U$1034,"")</f>
        <v>GPP_F_3_SATAXPCIE_6_SATAGP_6</v>
      </c>
      <c r="C722" t="str" cm="1">
        <f t="array" ref="C722">_xlfn.TEXTJOIN(",",TRUE,_xlfn.UNIQUE(TRANSPOSE(_xlfn.MAP(_xlfn.XLOOKUP(A722,SITE1!$C$4:$C$1034,SITE1!$F$4:$O$1034,""),_xlfn.LAMBDA(_xlpm.x,IF(_xlpm.x&lt;&gt;"",TRIM(CLEAN(LEFT(_xlpm.x,FIND(".",_xlpm.x &amp; ".")-1))),""))))))</f>
        <v/>
      </c>
      <c r="D722">
        <v>16.0871</v>
      </c>
      <c r="E722">
        <v>22.422599999999999</v>
      </c>
      <c r="F722" t="str">
        <f>_xlfn.LET(_xlpm.raw,_xlfn.XLOOKUP(A722,SITE1!$C$4:$C$1034,SITE1!$E$4:$E$1034),_xlpm.cleanRaw,SUBSTITUTE(SUBSTITUTE(_xlpm.raw,"_PIN","."),"PIN","."),_xlpm.mainPart,MID(_xlpm.cleanRaw,2,FIND(".",_xlpm.cleanRaw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603116</v>
      </c>
      <c r="G722" t="str">
        <f>_xlfn.LET(_xlpm.raw,_xlfn.XLOOKUP(A722,SITE3!$C$4:$C$1034,SITE3!$E$4:$E$1034),_xlpm.cleanRaw,SUBSTITUTE(SUBSTITUTE(_xlpm.raw,"_PIN","."),"PIN","."),_xlpm.mainPart,MID(_xlpm.cleanRaw,2,FIND(".",_xlpm.cleanRaw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803116</v>
      </c>
      <c r="H722" t="str">
        <f>""</f>
        <v/>
      </c>
      <c r="I722" t="str">
        <f>""</f>
        <v/>
      </c>
      <c r="J722" t="str">
        <f t="shared" si="11"/>
        <v>AR48;GPP_F_3_SATAXPCIE_6_SATAGP_6;;16.0871;22.4226;603116;803116;;</v>
      </c>
    </row>
    <row r="723" spans="1:10">
      <c r="A723" t="s">
        <v>3824</v>
      </c>
      <c r="B723" t="str">
        <f>_xlfn.XLOOKUP(A723,SITE1!$V$4:$V$1034,SITE1!$U$4:$U$1034,"")</f>
        <v>VSS</v>
      </c>
      <c r="C723" t="str" cm="1">
        <f t="array" ref="C723">_xlfn.TEXTJOIN(",",TRUE,_xlfn.UNIQUE(TRANSPOSE(_xlfn.MAP(_xlfn.XLOOKUP(A723,SITE1!$C$4:$C$1034,SITE1!$F$4:$O$1034,""),_xlfn.LAMBDA(_xlpm.x,IF(_xlpm.x&lt;&gt;"",TRIM(CLEAN(LEFT(_xlpm.x,FIND(".",_xlpm.x &amp; ".")-1))),""))))))</f>
        <v/>
      </c>
      <c r="D723">
        <v>16.1633</v>
      </c>
      <c r="E723">
        <v>25.098700000000001</v>
      </c>
      <c r="F723" t="str">
        <f>_xlfn.LET(_xlpm.raw,_xlfn.XLOOKUP(A723,SITE1!$C$4:$C$1034,SITE1!$E$4:$E$1034),_xlpm.cleanRaw,SUBSTITUTE(SUBSTITUTE(_xlpm.raw,"_PIN","."),"PIN","."),_xlpm.mainPart,MID(_xlpm.cleanRaw,2,FIND(".",_xlpm.cleanRaw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3" t="str">
        <f>_xlfn.LET(_xlpm.raw,_xlfn.XLOOKUP(A723,SITE3!$C$4:$C$1034,SITE3!$E$4:$E$1034),_xlpm.cleanRaw,SUBSTITUTE(SUBSTITUTE(_xlpm.raw,"_PIN","."),"PIN","."),_xlpm.mainPart,MID(_xlpm.cleanRaw,2,FIND(".",_xlpm.cleanRaw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3" t="str">
        <f>""</f>
        <v/>
      </c>
      <c r="I723" t="str">
        <f>""</f>
        <v/>
      </c>
      <c r="J723" t="str">
        <f t="shared" si="11"/>
        <v>AR53;VSS;;16.1633;25.0987;;;;</v>
      </c>
    </row>
    <row r="724" spans="1:10">
      <c r="A724" t="s">
        <v>1384</v>
      </c>
      <c r="B724" t="str">
        <f>_xlfn.XLOOKUP(A724,SITE1!$V$4:$V$1034,SITE1!$U$4:$U$1034,"")</f>
        <v>GPP_F_8_SATA_DEVSLP_6</v>
      </c>
      <c r="C724" t="str" cm="1">
        <f t="array" ref="C724">_xlfn.TEXTJOIN(",",TRUE,_xlfn.UNIQUE(TRANSPOSE(_xlfn.MAP(_xlfn.XLOOKUP(A724,SITE1!$C$4:$C$1034,SITE1!$F$4:$O$1034,""),_xlfn.LAMBDA(_xlpm.x,IF(_xlpm.x&lt;&gt;"",TRIM(CLEAN(LEFT(_xlpm.x,FIND(".",_xlpm.x &amp; ".")-1))),""))))))</f>
        <v/>
      </c>
      <c r="D724">
        <v>15.753399999999999</v>
      </c>
      <c r="E724">
        <v>25.657</v>
      </c>
      <c r="F724" t="str">
        <f>_xlfn.LET(_xlpm.raw,_xlfn.XLOOKUP(A724,SITE1!$C$4:$C$1034,SITE1!$E$4:$E$1034),_xlpm.cleanRaw,SUBSTITUTE(SUBSTITUTE(_xlpm.raw,"_PIN","."),"PIN","."),_xlpm.mainPart,MID(_xlpm.cleanRaw,2,FIND(".",_xlpm.cleanRaw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706035</v>
      </c>
      <c r="G724" t="str">
        <f>_xlfn.LET(_xlpm.raw,_xlfn.XLOOKUP(A724,SITE3!$C$4:$C$1034,SITE3!$E$4:$E$1034),_xlpm.cleanRaw,SUBSTITUTE(SUBSTITUTE(_xlpm.raw,"_PIN","."),"PIN","."),_xlpm.mainPart,MID(_xlpm.cleanRaw,2,FIND(".",_xlpm.cleanRaw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506035</v>
      </c>
      <c r="H724" t="str">
        <f>""</f>
        <v/>
      </c>
      <c r="I724" t="str">
        <f>""</f>
        <v/>
      </c>
      <c r="J724" t="str">
        <f t="shared" si="11"/>
        <v>AR55;GPP_F_8_SATA_DEVSLP_6;;15.7534;25.657;706035;506035;;</v>
      </c>
    </row>
    <row r="725" spans="1:10">
      <c r="A725" t="s">
        <v>1379</v>
      </c>
      <c r="B725" t="str">
        <f>_xlfn.XLOOKUP(A725,SITE1!$V$4:$V$1034,SITE1!$U$4:$U$1034,"")</f>
        <v>GPP_F_7_SATA_DEVSLP_5</v>
      </c>
      <c r="C725" t="str" cm="1">
        <f t="array" ref="C725">_xlfn.TEXTJOIN(",",TRUE,_xlfn.UNIQUE(TRANSPOSE(_xlfn.MAP(_xlfn.XLOOKUP(A725,SITE1!$C$4:$C$1034,SITE1!$F$4:$O$1034,""),_xlfn.LAMBDA(_xlpm.x,IF(_xlpm.x&lt;&gt;"",TRIM(CLEAN(LEFT(_xlpm.x,FIND(".",_xlpm.x &amp; ".")-1))),""))))))</f>
        <v/>
      </c>
      <c r="D725">
        <v>16.116299999999999</v>
      </c>
      <c r="E725">
        <v>26.1416</v>
      </c>
      <c r="F725" t="str">
        <f>_xlfn.LET(_xlpm.raw,_xlfn.XLOOKUP(A725,SITE1!$C$4:$C$1034,SITE1!$E$4:$E$1034),_xlpm.cleanRaw,SUBSTITUTE(SUBSTITUTE(_xlpm.raw,"_PIN","."),"PIN","."),_xlpm.mainPart,MID(_xlpm.cleanRaw,2,FIND(".",_xlpm.cleanRaw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702056</v>
      </c>
      <c r="G725" t="str">
        <f>_xlfn.LET(_xlpm.raw,_xlfn.XLOOKUP(A725,SITE3!$C$4:$C$1034,SITE3!$E$4:$E$1034),_xlpm.cleanRaw,SUBSTITUTE(SUBSTITUTE(_xlpm.raw,"_PIN","."),"PIN","."),_xlpm.mainPart,MID(_xlpm.cleanRaw,2,FIND(".",_xlpm.cleanRaw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502056</v>
      </c>
      <c r="H725" t="str">
        <f>""</f>
        <v/>
      </c>
      <c r="I725" t="str">
        <f>""</f>
        <v/>
      </c>
      <c r="J725" t="str">
        <f t="shared" si="11"/>
        <v>AR56;GPP_F_7_SATA_DEVSLP_5;;16.1163;26.1416;702056;502056;;</v>
      </c>
    </row>
    <row r="726" spans="1:10">
      <c r="A726" t="s">
        <v>1584</v>
      </c>
      <c r="B726" t="str">
        <f>_xlfn.XLOOKUP(A726,SITE1!$V$4:$V$1034,SITE1!$U$4:$U$1034,"")</f>
        <v>GPP_J_1_CNV_BRI_DT_UART0_RTSB</v>
      </c>
      <c r="C726" t="str" cm="1">
        <f t="array" ref="C726">_xlfn.TEXTJOIN(",",TRUE,_xlfn.UNIQUE(TRANSPOSE(_xlfn.MAP(_xlfn.XLOOKUP(A726,SITE1!$C$4:$C$1034,SITE1!$F$4:$O$1034,""),_xlfn.LAMBDA(_xlpm.x,IF(_xlpm.x&lt;&gt;"",TRIM(CLEAN(LEFT(_xlpm.x,FIND(".",_xlpm.x &amp; ".")-1))),""))))))</f>
        <v/>
      </c>
      <c r="D726">
        <v>16.27</v>
      </c>
      <c r="E726">
        <v>1.28009999999999</v>
      </c>
      <c r="F726" t="str">
        <f>_xlfn.LET(_xlpm.raw,_xlfn.XLOOKUP(A726,SITE1!$C$4:$C$1034,SITE1!$E$4:$E$1034),_xlpm.cleanRaw,SUBSTITUTE(SUBSTITUTE(_xlpm.raw,"_PIN","."),"PIN","."),_xlpm.mainPart,MID(_xlpm.cleanRaw,2,FIND(".",_xlpm.cleanRaw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605046</v>
      </c>
      <c r="G726" t="str">
        <f>_xlfn.LET(_xlpm.raw,_xlfn.XLOOKUP(A726,SITE3!$C$4:$C$1034,SITE3!$E$4:$E$1034),_xlpm.cleanRaw,SUBSTITUTE(SUBSTITUTE(_xlpm.raw,"_PIN","."),"PIN","."),_xlpm.mainPart,MID(_xlpm.cleanRaw,2,FIND(".",_xlpm.cleanRaw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805046</v>
      </c>
      <c r="H726" t="str">
        <f>""</f>
        <v/>
      </c>
      <c r="I726" t="str">
        <f>""</f>
        <v/>
      </c>
      <c r="J726" t="str">
        <f t="shared" si="11"/>
        <v>AT3;GPP_J_1_CNV_BRI_DT_UART0_RTSB;;16.27;1.28009999999999;605046;805046;;</v>
      </c>
    </row>
    <row r="727" spans="1:10">
      <c r="A727" t="s">
        <v>1604</v>
      </c>
      <c r="B727" t="str">
        <f>_xlfn.XLOOKUP(A727,SITE1!$V$4:$V$1034,SITE1!$U$4:$U$1034,"")</f>
        <v>GPP_J_13_HDACPU_SDO</v>
      </c>
      <c r="C727" t="str" cm="1">
        <f t="array" ref="C727">_xlfn.TEXTJOIN(",",TRUE,_xlfn.UNIQUE(TRANSPOSE(_xlfn.MAP(_xlfn.XLOOKUP(A727,SITE1!$C$4:$C$1034,SITE1!$F$4:$O$1034,""),_xlfn.LAMBDA(_xlpm.x,IF(_xlpm.x&lt;&gt;"",TRIM(CLEAN(LEFT(_xlpm.x,FIND(".",_xlpm.x &amp; ".")-1))),""))))))</f>
        <v/>
      </c>
      <c r="D727">
        <v>16.3233</v>
      </c>
      <c r="E727">
        <v>3.7734000000000001</v>
      </c>
      <c r="F727" t="str">
        <f>_xlfn.LET(_xlpm.raw,_xlfn.XLOOKUP(A727,SITE1!$C$4:$C$1034,SITE1!$E$4:$E$1034),_xlpm.cleanRaw,SUBSTITUTE(SUBSTITUTE(_xlpm.raw,"_PIN","."),"PIN","."),_xlpm.mainPart,MID(_xlpm.cleanRaw,2,FIND(".",_xlpm.cleanRaw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602046</v>
      </c>
      <c r="G727" t="str">
        <f>_xlfn.LET(_xlpm.raw,_xlfn.XLOOKUP(A727,SITE3!$C$4:$C$1034,SITE3!$E$4:$E$1034),_xlpm.cleanRaw,SUBSTITUTE(SUBSTITUTE(_xlpm.raw,"_PIN","."),"PIN","."),_xlpm.mainPart,MID(_xlpm.cleanRaw,2,FIND(".",_xlpm.cleanRaw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802046</v>
      </c>
      <c r="H727" t="str">
        <f>""</f>
        <v/>
      </c>
      <c r="I727" t="str">
        <f>""</f>
        <v/>
      </c>
      <c r="J727" t="str">
        <f t="shared" si="11"/>
        <v>AT9;GPP_J_13_HDACPU_SDO;;16.3233;3.7734;602046;802046;;</v>
      </c>
    </row>
    <row r="728" spans="1:10">
      <c r="A728" t="s">
        <v>1619</v>
      </c>
      <c r="B728" t="str">
        <f>_xlfn.XLOOKUP(A728,SITE1!$V$4:$V$1034,SITE1!$U$4:$U$1034,"")</f>
        <v>GPP_J_16_GLB_RST_WARN_B</v>
      </c>
      <c r="C728" t="str" cm="1">
        <f t="array" ref="C728">_xlfn.TEXTJOIN(",",TRUE,_xlfn.UNIQUE(TRANSPOSE(_xlfn.MAP(_xlfn.XLOOKUP(A728,SITE1!$C$4:$C$1034,SITE1!$F$4:$O$1034,""),_xlfn.LAMBDA(_xlpm.x,IF(_xlpm.x&lt;&gt;"",TRIM(CLEAN(LEFT(_xlpm.x,FIND(".",_xlpm.x &amp; ".")-1))),""))))))</f>
        <v/>
      </c>
      <c r="D728">
        <v>16.506599999999999</v>
      </c>
      <c r="E728">
        <v>5.7642999999999898</v>
      </c>
      <c r="F728" t="str">
        <f>_xlfn.LET(_xlpm.raw,_xlfn.XLOOKUP(A728,SITE1!$C$4:$C$1034,SITE1!$E$4:$E$1034),_xlpm.cleanRaw,SUBSTITUTE(SUBSTITUTE(_xlpm.raw,"_PIN","."),"PIN","."),_xlpm.mainPart,MID(_xlpm.cleanRaw,2,FIND(".",_xlpm.cleanRaw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602054</v>
      </c>
      <c r="G728" t="str">
        <f>_xlfn.LET(_xlpm.raw,_xlfn.XLOOKUP(A728,SITE3!$C$4:$C$1034,SITE3!$E$4:$E$1034),_xlpm.cleanRaw,SUBSTITUTE(SUBSTITUTE(_xlpm.raw,"_PIN","."),"PIN","."),_xlpm.mainPart,MID(_xlpm.cleanRaw,2,FIND(".",_xlpm.cleanRaw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802054</v>
      </c>
      <c r="H728" t="str">
        <f>""</f>
        <v/>
      </c>
      <c r="I728" t="str">
        <f>""</f>
        <v/>
      </c>
      <c r="J728" t="str">
        <f t="shared" si="11"/>
        <v>AT13;GPP_J_16_GLB_RST_WARN_B;;16.5066;5.76429999999999;602054;802054;;</v>
      </c>
    </row>
    <row r="729" spans="1:10">
      <c r="A729" t="s">
        <v>1614</v>
      </c>
      <c r="B729" t="str">
        <f>_xlfn.XLOOKUP(A729,SITE1!$V$4:$V$1034,SITE1!$U$4:$U$1034,"")</f>
        <v>GPP_J_15_AUX_PWRGD</v>
      </c>
      <c r="C729" t="str" cm="1">
        <f t="array" ref="C729">_xlfn.TEXTJOIN(",",TRUE,_xlfn.UNIQUE(TRANSPOSE(_xlfn.MAP(_xlfn.XLOOKUP(A729,SITE1!$C$4:$C$1034,SITE1!$F$4:$O$1034,""),_xlfn.LAMBDA(_xlpm.x,IF(_xlpm.x&lt;&gt;"",TRIM(CLEAN(LEFT(_xlpm.x,FIND(".",_xlpm.x &amp; ".")-1))),""))))))</f>
        <v/>
      </c>
      <c r="D729">
        <v>16.506599999999999</v>
      </c>
      <c r="E729">
        <v>6.4882</v>
      </c>
      <c r="F729" t="str">
        <f>_xlfn.LET(_xlpm.raw,_xlfn.XLOOKUP(A729,SITE1!$C$4:$C$1034,SITE1!$E$4:$E$1034),_xlpm.cleanRaw,SUBSTITUTE(SUBSTITUTE(_xlpm.raw,"_PIN","."),"PIN","."),_xlpm.mainPart,MID(_xlpm.cleanRaw,2,FIND(".",_xlpm.cleanRaw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601017</v>
      </c>
      <c r="G729" t="str">
        <f>_xlfn.LET(_xlpm.raw,_xlfn.XLOOKUP(A729,SITE3!$C$4:$C$1034,SITE3!$E$4:$E$1034),_xlpm.cleanRaw,SUBSTITUTE(SUBSTITUTE(_xlpm.raw,"_PIN","."),"PIN","."),_xlpm.mainPart,MID(_xlpm.cleanRaw,2,FIND(".",_xlpm.cleanRaw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801017</v>
      </c>
      <c r="H729" t="str">
        <f>""</f>
        <v/>
      </c>
      <c r="I729" t="str">
        <f>""</f>
        <v/>
      </c>
      <c r="J729" t="str">
        <f t="shared" si="11"/>
        <v>AT14;GPP_J_15_AUX_PWRGD;;16.5066;6.4882;601017;801017;;</v>
      </c>
    </row>
    <row r="730" spans="1:10">
      <c r="A730" t="s">
        <v>3825</v>
      </c>
      <c r="B730" t="str">
        <f>_xlfn.XLOOKUP(A730,SITE1!$V$4:$V$1034,SITE1!$U$4:$U$1034,"")</f>
        <v>VSS</v>
      </c>
      <c r="C730" t="str" cm="1">
        <f t="array" ref="C730">_xlfn.TEXTJOIN(",",TRUE,_xlfn.UNIQUE(TRANSPOSE(_xlfn.MAP(_xlfn.XLOOKUP(A730,SITE1!$C$4:$C$1034,SITE1!$F$4:$O$1034,""),_xlfn.LAMBDA(_xlpm.x,IF(_xlpm.x&lt;&gt;"",TRIM(CLEAN(LEFT(_xlpm.x,FIND(".",_xlpm.x &amp; ".")-1))),""))))))</f>
        <v/>
      </c>
      <c r="D730">
        <v>16.506599999999999</v>
      </c>
      <c r="E730">
        <v>7.2120999999999897</v>
      </c>
      <c r="F730" t="str">
        <f>_xlfn.LET(_xlpm.raw,_xlfn.XLOOKUP(A730,SITE1!$C$4:$C$1034,SITE1!$E$4:$E$1034),_xlpm.cleanRaw,SUBSTITUTE(SUBSTITUTE(_xlpm.raw,"_PIN","."),"PIN","."),_xlpm.mainPart,MID(_xlpm.cleanRaw,2,FIND(".",_xlpm.cleanRaw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0" t="str">
        <f>_xlfn.LET(_xlpm.raw,_xlfn.XLOOKUP(A730,SITE3!$C$4:$C$1034,SITE3!$E$4:$E$1034),_xlpm.cleanRaw,SUBSTITUTE(SUBSTITUTE(_xlpm.raw,"_PIN","."),"PIN","."),_xlpm.mainPart,MID(_xlpm.cleanRaw,2,FIND(".",_xlpm.cleanRaw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0" t="str">
        <f>""</f>
        <v/>
      </c>
      <c r="I730" t="str">
        <f>""</f>
        <v/>
      </c>
      <c r="J730" t="str">
        <f t="shared" si="11"/>
        <v>AT16;VSS;;16.5066;7.21209999999999;;;;</v>
      </c>
    </row>
    <row r="731" spans="1:10">
      <c r="A731" t="s">
        <v>1324</v>
      </c>
      <c r="B731" t="str">
        <f>_xlfn.XLOOKUP(A731,SITE1!$V$4:$V$1034,SITE1!$U$4:$U$1034,"")</f>
        <v>GPP_F_18</v>
      </c>
      <c r="C731" t="str" cm="1">
        <f t="array" ref="C731">_xlfn.TEXTJOIN(",",TRUE,_xlfn.UNIQUE(TRANSPOSE(_xlfn.MAP(_xlfn.XLOOKUP(A731,SITE1!$C$4:$C$1034,SITE1!$F$4:$O$1034,""),_xlfn.LAMBDA(_xlpm.x,IF(_xlpm.x&lt;&gt;"",TRIM(CLEAN(LEFT(_xlpm.x,FIND(".",_xlpm.x &amp; ".")-1))),""))))))</f>
        <v/>
      </c>
      <c r="D731">
        <v>16.3233</v>
      </c>
      <c r="E731">
        <v>23.104799999999901</v>
      </c>
      <c r="F731" t="str">
        <f>_xlfn.LET(_xlpm.raw,_xlfn.XLOOKUP(A731,SITE1!$C$4:$C$1034,SITE1!$E$4:$E$1034),_xlpm.cleanRaw,SUBSTITUTE(SUBSTITUTE(_xlpm.raw,"_PIN","."),"PIN","."),_xlpm.mainPart,MID(_xlpm.cleanRaw,2,FIND(".",_xlpm.cleanRaw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702069</v>
      </c>
      <c r="G731" t="str">
        <f>_xlfn.LET(_xlpm.raw,_xlfn.XLOOKUP(A731,SITE3!$C$4:$C$1034,SITE3!$E$4:$E$1034),_xlpm.cleanRaw,SUBSTITUTE(SUBSTITUTE(_xlpm.raw,"_PIN","."),"PIN","."),_xlpm.mainPart,MID(_xlpm.cleanRaw,2,FIND(".",_xlpm.cleanRaw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502069</v>
      </c>
      <c r="H731" t="str">
        <f>""</f>
        <v/>
      </c>
      <c r="I731" t="str">
        <f>""</f>
        <v/>
      </c>
      <c r="J731" t="str">
        <f t="shared" si="11"/>
        <v>AT49;GPP_F_18;;16.3233;23.1047999999999;702069;502069;;</v>
      </c>
    </row>
    <row r="732" spans="1:10">
      <c r="A732" t="s">
        <v>1334</v>
      </c>
      <c r="B732" t="str">
        <f>_xlfn.XLOOKUP(A732,SITE1!$V$4:$V$1034,SITE1!$U$4:$U$1034,"")</f>
        <v>GPP_F_2_SATAXPCIE_5_SATAGP_5</v>
      </c>
      <c r="C732" t="str" cm="1">
        <f t="array" ref="C732">_xlfn.TEXTJOIN(",",TRUE,_xlfn.UNIQUE(TRANSPOSE(_xlfn.MAP(_xlfn.XLOOKUP(A732,SITE1!$C$4:$C$1034,SITE1!$F$4:$O$1034,""),_xlfn.LAMBDA(_xlpm.x,IF(_xlpm.x&lt;&gt;"",TRIM(CLEAN(LEFT(_xlpm.x,FIND(".",_xlpm.x &amp; ".")-1))),""))))))</f>
        <v/>
      </c>
      <c r="D732">
        <v>16.27</v>
      </c>
      <c r="E732">
        <v>25.598099999999999</v>
      </c>
      <c r="F732" t="str">
        <f>_xlfn.LET(_xlpm.raw,_xlfn.XLOOKUP(A732,SITE1!$C$4:$C$1034,SITE1!$E$4:$E$1034),_xlpm.cleanRaw,SUBSTITUTE(SUBSTITUTE(_xlpm.raw,"_PIN","."),"PIN","."),_xlpm.mainPart,MID(_xlpm.cleanRaw,2,FIND(".",_xlpm.cleanRaw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707122</v>
      </c>
      <c r="G732" t="str">
        <f>_xlfn.LET(_xlpm.raw,_xlfn.XLOOKUP(A732,SITE3!$C$4:$C$1034,SITE3!$E$4:$E$1034),_xlpm.cleanRaw,SUBSTITUTE(SUBSTITUTE(_xlpm.raw,"_PIN","."),"PIN","."),_xlpm.mainPart,MID(_xlpm.cleanRaw,2,FIND(".",_xlpm.cleanRaw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507122</v>
      </c>
      <c r="H732" t="str">
        <f>""</f>
        <v/>
      </c>
      <c r="I732" t="str">
        <f>""</f>
        <v/>
      </c>
      <c r="J732" t="str">
        <f t="shared" si="11"/>
        <v>AT55;GPP_F_2_SATAXPCIE_5_SATAGP_5;;16.27;25.5981;707122;507122;;</v>
      </c>
    </row>
    <row r="733" spans="1:10">
      <c r="A733" t="s">
        <v>1579</v>
      </c>
      <c r="B733" t="str">
        <f>_xlfn.XLOOKUP(A733,SITE1!$V$4:$V$1034,SITE1!$U$4:$U$1034,"")</f>
        <v>GPP_J_0_CNV_PA_BLANKING</v>
      </c>
      <c r="C733" t="str" cm="1">
        <f t="array" ref="C733">_xlfn.TEXTJOIN(",",TRUE,_xlfn.UNIQUE(TRANSPOSE(_xlfn.MAP(_xlfn.XLOOKUP(A733,SITE1!$C$4:$C$1034,SITE1!$F$4:$O$1034,""),_xlfn.LAMBDA(_xlpm.x,IF(_xlpm.x&lt;&gt;"",TRIM(CLEAN(LEFT(_xlpm.x,FIND(".",_xlpm.x &amp; ".")-1))),""))))))</f>
        <v/>
      </c>
      <c r="D733">
        <v>16.777000000000001</v>
      </c>
      <c r="E733">
        <v>0.65259999999999896</v>
      </c>
      <c r="F733" t="str">
        <f>_xlfn.LET(_xlpm.raw,_xlfn.XLOOKUP(A733,SITE1!$C$4:$C$1034,SITE1!$E$4:$E$1034),_xlpm.cleanRaw,SUBSTITUTE(SUBSTITUTE(_xlpm.raw,"_PIN","."),"PIN","."),_xlpm.mainPart,MID(_xlpm.cleanRaw,2,FIND(".",_xlpm.cleanRaw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606116</v>
      </c>
      <c r="G733" t="str">
        <f>_xlfn.LET(_xlpm.raw,_xlfn.XLOOKUP(A733,SITE3!$C$4:$C$1034,SITE3!$E$4:$E$1034),_xlpm.cleanRaw,SUBSTITUTE(SUBSTITUTE(_xlpm.raw,"_PIN","."),"PIN","."),_xlpm.mainPart,MID(_xlpm.cleanRaw,2,FIND(".",_xlpm.cleanRaw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806116</v>
      </c>
      <c r="H733" t="str">
        <f>""</f>
        <v/>
      </c>
      <c r="I733" t="str">
        <f>""</f>
        <v/>
      </c>
      <c r="J733" t="str">
        <f t="shared" si="11"/>
        <v>AU2;GPP_J_0_CNV_PA_BLANKING;;16.777;0.652599999999999;606116;806116;;</v>
      </c>
    </row>
    <row r="734" spans="1:10">
      <c r="A734" t="s">
        <v>1629</v>
      </c>
      <c r="B734" t="str">
        <f>_xlfn.XLOOKUP(A734,SITE1!$V$4:$V$1034,SITE1!$U$4:$U$1034,"")</f>
        <v>GPP_J_3_CNV_RGI_DT_UART0_TXD</v>
      </c>
      <c r="C734" t="str" cm="1">
        <f t="array" ref="C734">_xlfn.TEXTJOIN(",",TRUE,_xlfn.UNIQUE(TRANSPOSE(_xlfn.MAP(_xlfn.XLOOKUP(A734,SITE1!$C$4:$C$1034,SITE1!$F$4:$O$1034,""),_xlfn.LAMBDA(_xlpm.x,IF(_xlpm.x&lt;&gt;"",TRIM(CLEAN(LEFT(_xlpm.x,FIND(".",_xlpm.x &amp; ".")-1))),""))))))</f>
        <v/>
      </c>
      <c r="D734">
        <v>16.777000000000001</v>
      </c>
      <c r="E734">
        <v>1.15339999999999</v>
      </c>
      <c r="F734" t="str">
        <f>_xlfn.LET(_xlpm.raw,_xlfn.XLOOKUP(A734,SITE1!$C$4:$C$1034,SITE1!$E$4:$E$1034),_xlpm.cleanRaw,SUBSTITUTE(SUBSTITUTE(_xlpm.raw,"_PIN","."),"PIN","."),_xlpm.mainPart,MID(_xlpm.cleanRaw,2,FIND(".",_xlpm.cleanRaw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603119</v>
      </c>
      <c r="G734" t="str">
        <f>_xlfn.LET(_xlpm.raw,_xlfn.XLOOKUP(A734,SITE3!$C$4:$C$1034,SITE3!$E$4:$E$1034),_xlpm.cleanRaw,SUBSTITUTE(SUBSTITUTE(_xlpm.raw,"_PIN","."),"PIN","."),_xlpm.mainPart,MID(_xlpm.cleanRaw,2,FIND(".",_xlpm.cleanRaw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803119</v>
      </c>
      <c r="H734" t="str">
        <f>""</f>
        <v/>
      </c>
      <c r="I734" t="str">
        <f>""</f>
        <v/>
      </c>
      <c r="J734" t="str">
        <f t="shared" si="11"/>
        <v>AU3;GPP_J_3_CNV_RGI_DT_UART0_TXD;;16.777;1.15339999999999;603119;803119;;</v>
      </c>
    </row>
    <row r="735" spans="1:10">
      <c r="A735" t="s">
        <v>3832</v>
      </c>
      <c r="B735" t="str">
        <f>_xlfn.XLOOKUP(A735,SITE1!$V$4:$V$1034,SITE1!$U$4:$U$1034,"")</f>
        <v>VSS</v>
      </c>
      <c r="C735" t="str" cm="1">
        <f t="array" ref="C735">_xlfn.TEXTJOIN(",",TRUE,_xlfn.UNIQUE(TRANSPOSE(_xlfn.MAP(_xlfn.XLOOKUP(A735,SITE1!$C$4:$C$1034,SITE1!$F$4:$O$1034,""),_xlfn.LAMBDA(_xlpm.x,IF(_xlpm.x&lt;&gt;"",TRIM(CLEAN(LEFT(_xlpm.x,FIND(".",_xlpm.x &amp; ".")-1))),""))))))</f>
        <v/>
      </c>
      <c r="D735">
        <v>17.0443</v>
      </c>
      <c r="E735">
        <v>2.4931999999999999</v>
      </c>
      <c r="F735" t="str">
        <f>_xlfn.LET(_xlpm.raw,_xlfn.XLOOKUP(A735,SITE1!$C$4:$C$1034,SITE1!$E$4:$E$1034),_xlpm.cleanRaw,SUBSTITUTE(SUBSTITUTE(_xlpm.raw,"_PIN","."),"PIN","."),_xlpm.mainPart,MID(_xlpm.cleanRaw,2,FIND(".",_xlpm.cleanRaw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5" t="str">
        <f>_xlfn.LET(_xlpm.raw,_xlfn.XLOOKUP(A735,SITE3!$C$4:$C$1034,SITE3!$E$4:$E$1034),_xlpm.cleanRaw,SUBSTITUTE(SUBSTITUTE(_xlpm.raw,"_PIN","."),"PIN","."),_xlpm.mainPart,MID(_xlpm.cleanRaw,2,FIND(".",_xlpm.cleanRaw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5" t="str">
        <f>""</f>
        <v/>
      </c>
      <c r="I735" t="str">
        <f>""</f>
        <v/>
      </c>
      <c r="J735" t="str">
        <f t="shared" si="11"/>
        <v>AU6;VSS;;17.0443;2.4932;;;;</v>
      </c>
    </row>
    <row r="736" spans="1:10">
      <c r="A736" t="s">
        <v>1599</v>
      </c>
      <c r="B736" t="str">
        <f>_xlfn.XLOOKUP(A736,SITE1!$V$4:$V$1034,SITE1!$U$4:$U$1034,"")</f>
        <v>GPP_J_12_HDACPU_SDI</v>
      </c>
      <c r="C736" t="str" cm="1">
        <f t="array" ref="C736">_xlfn.TEXTJOIN(",",TRUE,_xlfn.UNIQUE(TRANSPOSE(_xlfn.MAP(_xlfn.XLOOKUP(A736,SITE1!$C$4:$C$1034,SITE1!$F$4:$O$1034,""),_xlfn.LAMBDA(_xlpm.x,IF(_xlpm.x&lt;&gt;"",TRIM(CLEAN(LEFT(_xlpm.x,FIND(".",_xlpm.x &amp; ".")-1))),""))))))</f>
        <v/>
      </c>
      <c r="D736">
        <v>16.711300000000001</v>
      </c>
      <c r="E736">
        <v>3.1497999999999902</v>
      </c>
      <c r="F736" t="str">
        <f>_xlfn.LET(_xlpm.raw,_xlfn.XLOOKUP(A736,SITE1!$C$4:$C$1034,SITE1!$E$4:$E$1034),_xlpm.cleanRaw,SUBSTITUTE(SUBSTITUTE(_xlpm.raw,"_PIN","."),"PIN","."),_xlpm.mainPart,MID(_xlpm.cleanRaw,2,FIND(".",_xlpm.cleanRaw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701120</v>
      </c>
      <c r="G736" t="str">
        <f>_xlfn.LET(_xlpm.raw,_xlfn.XLOOKUP(A736,SITE3!$C$4:$C$1034,SITE3!$E$4:$E$1034),_xlpm.cleanRaw,SUBSTITUTE(SUBSTITUTE(_xlpm.raw,"_PIN","."),"PIN","."),_xlpm.mainPart,MID(_xlpm.cleanRaw,2,FIND(".",_xlpm.cleanRaw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501120</v>
      </c>
      <c r="H736" t="str">
        <f>""</f>
        <v/>
      </c>
      <c r="I736" t="str">
        <f>""</f>
        <v/>
      </c>
      <c r="J736" t="str">
        <f t="shared" si="11"/>
        <v>AU7;GPP_J_12_HDACPU_SDI;;16.7113;3.14979999999999;701120;501120;;</v>
      </c>
    </row>
    <row r="737" spans="1:10">
      <c r="A737" t="s">
        <v>3826</v>
      </c>
      <c r="B737" t="str">
        <f>_xlfn.XLOOKUP(A737,SITE1!$V$4:$V$1034,SITE1!$U$4:$U$1034,"")</f>
        <v>VSS</v>
      </c>
      <c r="C737" t="str" cm="1">
        <f t="array" ref="C737">_xlfn.TEXTJOIN(",",TRUE,_xlfn.UNIQUE(TRANSPOSE(_xlfn.MAP(_xlfn.XLOOKUP(A737,SITE1!$C$4:$C$1034,SITE1!$F$4:$O$1034,""),_xlfn.LAMBDA(_xlpm.x,IF(_xlpm.x&lt;&gt;"",TRIM(CLEAN(LEFT(_xlpm.x,FIND(".",_xlpm.x &amp; ".")-1))),""))))))</f>
        <v/>
      </c>
      <c r="D737">
        <v>17.064299999999999</v>
      </c>
      <c r="E737">
        <v>5.6861999999999897</v>
      </c>
      <c r="F737" t="str">
        <f>_xlfn.LET(_xlpm.raw,_xlfn.XLOOKUP(A737,SITE1!$C$4:$C$1034,SITE1!$E$4:$E$1034),_xlpm.cleanRaw,SUBSTITUTE(SUBSTITUTE(_xlpm.raw,"_PIN","."),"PIN","."),_xlpm.mainPart,MID(_xlpm.cleanRaw,2,FIND(".",_xlpm.cleanRaw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7" t="str">
        <f>_xlfn.LET(_xlpm.raw,_xlfn.XLOOKUP(A737,SITE3!$C$4:$C$1034,SITE3!$E$4:$E$1034),_xlpm.cleanRaw,SUBSTITUTE(SUBSTITUTE(_xlpm.raw,"_PIN","."),"PIN","."),_xlpm.mainPart,MID(_xlpm.cleanRaw,2,FIND(".",_xlpm.cleanRaw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7" t="str">
        <f>""</f>
        <v/>
      </c>
      <c r="I737" t="str">
        <f>""</f>
        <v/>
      </c>
      <c r="J737" t="str">
        <f t="shared" si="11"/>
        <v>AU13;VSS;;17.0643;5.68619999999999;;;;</v>
      </c>
    </row>
    <row r="738" spans="1:10">
      <c r="A738" t="s">
        <v>3827</v>
      </c>
      <c r="B738" t="str">
        <f>_xlfn.XLOOKUP(A738,SITE1!$V$4:$V$1034,SITE1!$U$4:$U$1034,"")</f>
        <v>VSS</v>
      </c>
      <c r="C738" t="str" cm="1">
        <f t="array" ref="C738">_xlfn.TEXTJOIN(",",TRUE,_xlfn.UNIQUE(TRANSPOSE(_xlfn.MAP(_xlfn.XLOOKUP(A738,SITE1!$C$4:$C$1034,SITE1!$F$4:$O$1034,""),_xlfn.LAMBDA(_xlpm.x,IF(_xlpm.x&lt;&gt;"",TRIM(CLEAN(LEFT(_xlpm.x,FIND(".",_xlpm.x &amp; ".")-1))),""))))))</f>
        <v/>
      </c>
      <c r="D738">
        <v>17.050799999999999</v>
      </c>
      <c r="E738">
        <v>6.5594999999999999</v>
      </c>
      <c r="F738" t="str">
        <f>_xlfn.LET(_xlpm.raw,_xlfn.XLOOKUP(A738,SITE1!$C$4:$C$1034,SITE1!$E$4:$E$1034),_xlpm.cleanRaw,SUBSTITUTE(SUBSTITUTE(_xlpm.raw,"_PIN","."),"PIN","."),_xlpm.mainPart,MID(_xlpm.cleanRaw,2,FIND(".",_xlpm.cleanRaw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8" t="str">
        <f>_xlfn.LET(_xlpm.raw,_xlfn.XLOOKUP(A738,SITE3!$C$4:$C$1034,SITE3!$E$4:$E$1034),_xlpm.cleanRaw,SUBSTITUTE(SUBSTITUTE(_xlpm.raw,"_PIN","."),"PIN","."),_xlpm.mainPart,MID(_xlpm.cleanRaw,2,FIND(".",_xlpm.cleanRaw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8" t="str">
        <f>""</f>
        <v/>
      </c>
      <c r="I738" t="str">
        <f>""</f>
        <v/>
      </c>
      <c r="J738" t="str">
        <f t="shared" si="11"/>
        <v>AU15;VSS;;17.0508;6.5595;;;;</v>
      </c>
    </row>
    <row r="739" spans="1:10">
      <c r="A739" t="s">
        <v>3602</v>
      </c>
      <c r="B739" t="str">
        <f>_xlfn.XLOOKUP(A739,SITE1!$V$4:$V$1034,SITE1!$U$4:$U$1034,"")</f>
        <v>VCCPGPPDR</v>
      </c>
      <c r="C739" t="str" cm="1">
        <f t="array" ref="C739">_xlfn.TEXTJOIN(",",TRUE,_xlfn.UNIQUE(TRANSPOSE(_xlfn.MAP(_xlfn.XLOOKUP(A739,SITE1!$C$4:$C$1034,SITE1!$F$4:$O$1034,""),_xlfn.LAMBDA(_xlpm.x,IF(_xlpm.x&lt;&gt;"",TRIM(CLEAN(LEFT(_xlpm.x,FIND(".",_xlpm.x &amp; ".")-1))),""))))))</f>
        <v/>
      </c>
      <c r="D739">
        <v>17.1111</v>
      </c>
      <c r="E739">
        <v>7.5920999999999896</v>
      </c>
      <c r="F739" t="str">
        <f>_xlfn.LET(_xlpm.raw,_xlfn.XLOOKUP(A739,SITE1!$C$4:$C$1034,SITE1!$E$4:$E$1034),_xlpm.cleanRaw,SUBSTITUTE(SUBSTITUTE(_xlpm.raw,"_PIN","."),"PIN","."),_xlpm.mainPart,MID(_xlpm.cleanRaw,2,FIND(".",_xlpm.cleanRaw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9" t="str">
        <f>_xlfn.LET(_xlpm.raw,_xlfn.XLOOKUP(A739,SITE3!$C$4:$C$1034,SITE3!$E$4:$E$1034),_xlpm.cleanRaw,SUBSTITUTE(SUBSTITUTE(_xlpm.raw,"_PIN","."),"PIN","."),_xlpm.mainPart,MID(_xlpm.cleanRaw,2,FIND(".",_xlpm.cleanRaw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9" t="str">
        <f>""</f>
        <v/>
      </c>
      <c r="I739" t="str">
        <f>""</f>
        <v/>
      </c>
      <c r="J739" t="str">
        <f t="shared" si="11"/>
        <v>AU17;VCCPGPPDR;;17.1111;7.59209999999999;;;;</v>
      </c>
    </row>
    <row r="740" spans="1:10">
      <c r="A740" t="s">
        <v>2291</v>
      </c>
      <c r="B740" t="str">
        <f>_xlfn.XLOOKUP(A740,SITE1!$V$4:$V$1034,SITE1!$U$4:$U$1034,"")</f>
        <v>PCIE_2_RXP</v>
      </c>
      <c r="C740" t="str" cm="1">
        <f t="array" ref="C740">_xlfn.TEXTJOIN(",",TRUE,_xlfn.UNIQUE(TRANSPOSE(_xlfn.MAP(_xlfn.XLOOKUP(A740,SITE1!$C$4:$C$1034,SITE1!$F$4:$O$1034,""),_xlfn.LAMBDA(_xlpm.x,IF(_xlpm.x&lt;&gt;"",TRIM(CLEAN(LEFT(_xlpm.x,FIND(".",_xlpm.x &amp; ".")-1))),""))))))</f>
        <v>CA223,LA246</v>
      </c>
      <c r="D740">
        <v>16.7638</v>
      </c>
      <c r="E740">
        <v>8.5272000000000006</v>
      </c>
      <c r="F740" t="str">
        <f>_xlfn.LET(_xlpm.raw,_xlfn.XLOOKUP(A740,SITE1!$C$4:$C$1034,SITE1!$E$4:$E$1034),_xlpm.cleanRaw,SUBSTITUTE(SUBSTITUTE(_xlpm.raw,"_PIN","."),"PIN","."),_xlpm.mainPart,MID(_xlpm.cleanRaw,2,FIND(".",_xlpm.cleanRaw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604034</v>
      </c>
      <c r="G740" t="str">
        <f>_xlfn.LET(_xlpm.raw,_xlfn.XLOOKUP(A740,SITE3!$C$4:$C$1034,SITE3!$E$4:$E$1034),_xlpm.cleanRaw,SUBSTITUTE(SUBSTITUTE(_xlpm.raw,"_PIN","."),"PIN","."),_xlpm.mainPart,MID(_xlpm.cleanRaw,2,FIND(".",_xlpm.cleanRaw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804034</v>
      </c>
      <c r="H740" t="str">
        <f>""</f>
        <v/>
      </c>
      <c r="I740" t="str">
        <f>""</f>
        <v/>
      </c>
      <c r="J740" t="str">
        <f t="shared" si="11"/>
        <v>AU19;PCIE_2_RXP;CA223,LA246;16.7638;8.5272;604034;804034;;</v>
      </c>
    </row>
    <row r="741" spans="1:10">
      <c r="A741" t="s">
        <v>2537</v>
      </c>
      <c r="B741" t="str">
        <f>_xlfn.XLOOKUP(A741,SITE1!$V$4:$V$1034,SITE1!$U$4:$U$1034,"")</f>
        <v>PCIE_4_RXP</v>
      </c>
      <c r="C741" t="str" cm="1">
        <f t="array" ref="C741">_xlfn.TEXTJOIN(",",TRUE,_xlfn.UNIQUE(TRANSPOSE(_xlfn.MAP(_xlfn.XLOOKUP(A741,SITE1!$C$4:$C$1034,SITE1!$F$4:$O$1034,""),_xlfn.LAMBDA(_xlpm.x,IF(_xlpm.x&lt;&gt;"",TRIM(CLEAN(LEFT(_xlpm.x,FIND(".",_xlpm.x &amp; ".")-1))),""))))))</f>
        <v>CA227,LA254</v>
      </c>
      <c r="D741">
        <v>16.7638</v>
      </c>
      <c r="E741">
        <v>9.8844999999999992</v>
      </c>
      <c r="F741" t="str">
        <f>_xlfn.LET(_xlpm.raw,_xlfn.XLOOKUP(A741,SITE1!$C$4:$C$1034,SITE1!$E$4:$E$1034),_xlpm.cleanRaw,SUBSTITUTE(SUBSTITUTE(_xlpm.raw,"_PIN","."),"PIN","."),_xlpm.mainPart,MID(_xlpm.cleanRaw,2,FIND(".",_xlpm.cleanRaw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702062</v>
      </c>
      <c r="G741" t="str">
        <f>_xlfn.LET(_xlpm.raw,_xlfn.XLOOKUP(A741,SITE3!$C$4:$C$1034,SITE3!$E$4:$E$1034),_xlpm.cleanRaw,SUBSTITUTE(SUBSTITUTE(_xlpm.raw,"_PIN","."),"PIN","."),_xlpm.mainPart,MID(_xlpm.cleanRaw,2,FIND(".",_xlpm.cleanRaw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502062</v>
      </c>
      <c r="H741" t="str">
        <f>""</f>
        <v/>
      </c>
      <c r="I741" t="str">
        <f>""</f>
        <v/>
      </c>
      <c r="J741" t="str">
        <f t="shared" si="11"/>
        <v>AU22;PCIE_4_RXP;CA227,LA254;16.7638;9.8845;702062;502062;;</v>
      </c>
    </row>
    <row r="742" spans="1:10">
      <c r="A742" t="s">
        <v>3828</v>
      </c>
      <c r="B742" t="str">
        <f>_xlfn.XLOOKUP(A742,SITE1!$V$4:$V$1034,SITE1!$U$4:$U$1034,"")</f>
        <v>VSS</v>
      </c>
      <c r="C742" t="str" cm="1">
        <f t="array" ref="C742">_xlfn.TEXTJOIN(",",TRUE,_xlfn.UNIQUE(TRANSPOSE(_xlfn.MAP(_xlfn.XLOOKUP(A742,SITE1!$C$4:$C$1034,SITE1!$F$4:$O$1034,""),_xlfn.LAMBDA(_xlpm.x,IF(_xlpm.x&lt;&gt;"",TRIM(CLEAN(LEFT(_xlpm.x,FIND(".",_xlpm.x &amp; ".")-1))),""))))))</f>
        <v/>
      </c>
      <c r="D742">
        <v>16.7638</v>
      </c>
      <c r="E742">
        <v>11.2562</v>
      </c>
      <c r="F742" t="str">
        <f>_xlfn.LET(_xlpm.raw,_xlfn.XLOOKUP(A742,SITE1!$C$4:$C$1034,SITE1!$E$4:$E$1034),_xlpm.cleanRaw,SUBSTITUTE(SUBSTITUTE(_xlpm.raw,"_PIN","."),"PIN","."),_xlpm.mainPart,MID(_xlpm.cleanRaw,2,FIND(".",_xlpm.cleanRaw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42" t="str">
        <f>_xlfn.LET(_xlpm.raw,_xlfn.XLOOKUP(A742,SITE3!$C$4:$C$1034,SITE3!$E$4:$E$1034),_xlpm.cleanRaw,SUBSTITUTE(SUBSTITUTE(_xlpm.raw,"_PIN","."),"PIN","."),_xlpm.mainPart,MID(_xlpm.cleanRaw,2,FIND(".",_xlpm.cleanRaw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42" t="str">
        <f>""</f>
        <v/>
      </c>
      <c r="I742" t="str">
        <f>""</f>
        <v/>
      </c>
      <c r="J742" t="str">
        <f t="shared" si="11"/>
        <v>AU24;VSS;;16.7638;11.2562;;;;</v>
      </c>
    </row>
    <row r="743" spans="1:10">
      <c r="A743" t="s">
        <v>2678</v>
      </c>
      <c r="B743" t="str">
        <f>_xlfn.XLOOKUP(A743,SITE1!$V$4:$V$1034,SITE1!$U$4:$U$1034,"")</f>
        <v>PCIE_8_RXP</v>
      </c>
      <c r="C743" t="str" cm="1">
        <f t="array" ref="C743">_xlfn.TEXTJOIN(",",TRUE,_xlfn.UNIQUE(TRANSPOSE(_xlfn.MAP(_xlfn.XLOOKUP(A743,SITE1!$C$4:$C$1034,SITE1!$F$4:$O$1034,""),_xlfn.LAMBDA(_xlpm.x,IF(_xlpm.x&lt;&gt;"",TRIM(CLEAN(LEFT(_xlpm.x,FIND(".",_xlpm.x &amp; ".")-1))),""))))))</f>
        <v>CA235,LA270</v>
      </c>
      <c r="D743">
        <v>16.7638</v>
      </c>
      <c r="E743">
        <v>12.6135</v>
      </c>
      <c r="F743" t="str">
        <f>_xlfn.LET(_xlpm.raw,_xlfn.XLOOKUP(A743,SITE1!$C$4:$C$1034,SITE1!$E$4:$E$1034),_xlpm.cleanRaw,SUBSTITUTE(SUBSTITUTE(_xlpm.raw,"_PIN","."),"PIN","."),_xlpm.mainPart,MID(_xlpm.cleanRaw,2,FIND(".",_xlpm.cleanRaw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603093</v>
      </c>
      <c r="G743" t="str">
        <f>_xlfn.LET(_xlpm.raw,_xlfn.XLOOKUP(A743,SITE3!$C$4:$C$1034,SITE3!$E$4:$E$1034),_xlpm.cleanRaw,SUBSTITUTE(SUBSTITUTE(_xlpm.raw,"_PIN","."),"PIN","."),_xlpm.mainPart,MID(_xlpm.cleanRaw,2,FIND(".",_xlpm.cleanRaw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803093</v>
      </c>
      <c r="H743" t="str">
        <f>""</f>
        <v/>
      </c>
      <c r="I743" t="str">
        <f>""</f>
        <v/>
      </c>
      <c r="J743" t="str">
        <f t="shared" si="11"/>
        <v>AU27;PCIE_8_RXP;CA235,LA270;16.7638;12.6135;603093;803093;;</v>
      </c>
    </row>
    <row r="744" spans="1:10">
      <c r="A744" t="s">
        <v>3829</v>
      </c>
      <c r="B744" t="str">
        <f>_xlfn.XLOOKUP(A744,SITE1!$V$4:$V$1034,SITE1!$U$4:$U$1034,"")</f>
        <v>VSS</v>
      </c>
      <c r="C744" t="str" cm="1">
        <f t="array" ref="C744">_xlfn.TEXTJOIN(",",TRUE,_xlfn.UNIQUE(TRANSPOSE(_xlfn.MAP(_xlfn.XLOOKUP(A744,SITE1!$C$4:$C$1034,SITE1!$F$4:$O$1034,""),_xlfn.LAMBDA(_xlpm.x,IF(_xlpm.x&lt;&gt;"",TRIM(CLEAN(LEFT(_xlpm.x,FIND(".",_xlpm.x &amp; ".")-1))),""))))))</f>
        <v/>
      </c>
      <c r="D744">
        <v>16.7638</v>
      </c>
      <c r="E744">
        <v>13.985199999999899</v>
      </c>
      <c r="F744" t="str">
        <f>_xlfn.LET(_xlpm.raw,_xlfn.XLOOKUP(A744,SITE1!$C$4:$C$1034,SITE1!$E$4:$E$1034),_xlpm.cleanRaw,SUBSTITUTE(SUBSTITUTE(_xlpm.raw,"_PIN","."),"PIN","."),_xlpm.mainPart,MID(_xlpm.cleanRaw,2,FIND(".",_xlpm.cleanRaw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44" t="str">
        <f>_xlfn.LET(_xlpm.raw,_xlfn.XLOOKUP(A744,SITE3!$C$4:$C$1034,SITE3!$E$4:$E$1034),_xlpm.cleanRaw,SUBSTITUTE(SUBSTITUTE(_xlpm.raw,"_PIN","."),"PIN","."),_xlpm.mainPart,MID(_xlpm.cleanRaw,2,FIND(".",_xlpm.cleanRaw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44" t="str">
        <f>""</f>
        <v/>
      </c>
      <c r="I744" t="str">
        <f>""</f>
        <v/>
      </c>
      <c r="J744" t="str">
        <f t="shared" si="11"/>
        <v>AU30;VSS;;16.7638;13.9851999999999;;;;</v>
      </c>
    </row>
    <row r="745" spans="1:10">
      <c r="A745" t="s">
        <v>2008</v>
      </c>
      <c r="B745" t="str">
        <f>_xlfn.XLOOKUP(A745,SITE1!$V$4:$V$1034,SITE1!$U$4:$U$1034,"")</f>
        <v>PCIE_12_RXP</v>
      </c>
      <c r="C745" t="str" cm="1">
        <f t="array" ref="C745">_xlfn.TEXTJOIN(",",TRUE,_xlfn.UNIQUE(TRANSPOSE(_xlfn.MAP(_xlfn.XLOOKUP(A745,SITE1!$C$4:$C$1034,SITE1!$F$4:$O$1034,""),_xlfn.LAMBDA(_xlpm.x,IF(_xlpm.x&lt;&gt;"",TRIM(CLEAN(LEFT(_xlpm.x,FIND(".",_xlpm.x &amp; ".")-1))),""))))))</f>
        <v>CA243,LA286</v>
      </c>
      <c r="D745">
        <v>16.7638</v>
      </c>
      <c r="E745">
        <v>15.342499999999999</v>
      </c>
      <c r="F745" t="str">
        <f>_xlfn.LET(_xlpm.raw,_xlfn.XLOOKUP(A745,SITE1!$C$4:$C$1034,SITE1!$E$4:$E$1034),_xlpm.cleanRaw,SUBSTITUTE(SUBSTITUTE(_xlpm.raw,"_PIN","."),"PIN","."),_xlpm.mainPart,MID(_xlpm.cleanRaw,2,FIND(".",_xlpm.cleanRaw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706021</v>
      </c>
      <c r="G745" t="str">
        <f>_xlfn.LET(_xlpm.raw,_xlfn.XLOOKUP(A745,SITE3!$C$4:$C$1034,SITE3!$E$4:$E$1034),_xlpm.cleanRaw,SUBSTITUTE(SUBSTITUTE(_xlpm.raw,"_PIN","."),"PIN","."),_xlpm.mainPart,MID(_xlpm.cleanRaw,2,FIND(".",_xlpm.cleanRaw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506021</v>
      </c>
      <c r="H745" t="str">
        <f>""</f>
        <v/>
      </c>
      <c r="I745" t="str">
        <f>""</f>
        <v/>
      </c>
      <c r="J745" t="str">
        <f t="shared" si="11"/>
        <v>AU33;PCIE_12_RXP;CA243,LA286;16.7638;15.3425;706021;506021;;</v>
      </c>
    </row>
    <row r="746" spans="1:10">
      <c r="A746" t="s">
        <v>3830</v>
      </c>
      <c r="B746" t="str">
        <f>_xlfn.XLOOKUP(A746,SITE1!$V$4:$V$1034,SITE1!$U$4:$U$1034,"")</f>
        <v>VSS</v>
      </c>
      <c r="C746" t="str" cm="1">
        <f t="array" ref="C746">_xlfn.TEXTJOIN(",",TRUE,_xlfn.UNIQUE(TRANSPOSE(_xlfn.MAP(_xlfn.XLOOKUP(A746,SITE1!$C$4:$C$1034,SITE1!$F$4:$O$1034,""),_xlfn.LAMBDA(_xlpm.x,IF(_xlpm.x&lt;&gt;"",TRIM(CLEAN(LEFT(_xlpm.x,FIND(".",_xlpm.x &amp; ".")-1))),""))))))</f>
        <v/>
      </c>
      <c r="D746">
        <v>16.7638</v>
      </c>
      <c r="E746">
        <v>16.714199999999899</v>
      </c>
      <c r="F746" t="str">
        <f>_xlfn.LET(_xlpm.raw,_xlfn.XLOOKUP(A746,SITE1!$C$4:$C$1034,SITE1!$E$4:$E$1034),_xlpm.cleanRaw,SUBSTITUTE(SUBSTITUTE(_xlpm.raw,"_PIN","."),"PIN","."),_xlpm.mainPart,MID(_xlpm.cleanRaw,2,FIND(".",_xlpm.cleanRaw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46" t="str">
        <f>_xlfn.LET(_xlpm.raw,_xlfn.XLOOKUP(A746,SITE3!$C$4:$C$1034,SITE3!$E$4:$E$1034),_xlpm.cleanRaw,SUBSTITUTE(SUBSTITUTE(_xlpm.raw,"_PIN","."),"PIN","."),_xlpm.mainPart,MID(_xlpm.cleanRaw,2,FIND(".",_xlpm.cleanRaw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46" t="str">
        <f>""</f>
        <v/>
      </c>
      <c r="I746" t="str">
        <f>""</f>
        <v/>
      </c>
      <c r="J746" t="str">
        <f t="shared" si="11"/>
        <v>AU36;VSS;;16.7638;16.7141999999999;;;;</v>
      </c>
    </row>
    <row r="747" spans="1:10">
      <c r="A747" t="s">
        <v>2149</v>
      </c>
      <c r="B747" t="str">
        <f>_xlfn.XLOOKUP(A747,SITE1!$V$4:$V$1034,SITE1!$U$4:$U$1034,"")</f>
        <v>PCIE_16_SATA_3_RXP</v>
      </c>
      <c r="C747" t="str" cm="1">
        <f t="array" ref="C747">_xlfn.TEXTJOIN(",",TRUE,_xlfn.UNIQUE(TRANSPOSE(_xlfn.MAP(_xlfn.XLOOKUP(A747,SITE1!$C$4:$C$1034,SITE1!$F$4:$O$1034,""),_xlfn.LAMBDA(_xlpm.x,IF(_xlpm.x&lt;&gt;"",TRIM(CLEAN(LEFT(_xlpm.x,FIND(".",_xlpm.x &amp; ".")-1))),""))))))</f>
        <v>CA251,LA302</v>
      </c>
      <c r="D747">
        <v>16.7638</v>
      </c>
      <c r="E747">
        <v>18.0715</v>
      </c>
      <c r="F747" t="str">
        <f>_xlfn.LET(_xlpm.raw,_xlfn.XLOOKUP(A747,SITE1!$C$4:$C$1034,SITE1!$E$4:$E$1034),_xlpm.cleanRaw,SUBSTITUTE(SUBSTITUTE(_xlpm.raw,"_PIN","."),"PIN","."),_xlpm.mainPart,MID(_xlpm.cleanRaw,2,FIND(".",_xlpm.cleanRaw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705080</v>
      </c>
      <c r="G747" t="str">
        <f>_xlfn.LET(_xlpm.raw,_xlfn.XLOOKUP(A747,SITE3!$C$4:$C$1034,SITE3!$E$4:$E$1034),_xlpm.cleanRaw,SUBSTITUTE(SUBSTITUTE(_xlpm.raw,"_PIN","."),"PIN","."),_xlpm.mainPart,MID(_xlpm.cleanRaw,2,FIND(".",_xlpm.cleanRaw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505080</v>
      </c>
      <c r="H747" t="str">
        <f>""</f>
        <v/>
      </c>
      <c r="I747" t="str">
        <f>""</f>
        <v/>
      </c>
      <c r="J747" t="str">
        <f t="shared" si="11"/>
        <v>AU39;PCIE_16_SATA_3_RXP;CA251,LA302;16.7638;18.0715;705080;505080;;</v>
      </c>
    </row>
    <row r="748" spans="1:10">
      <c r="A748" t="s">
        <v>3831</v>
      </c>
      <c r="B748" t="str">
        <f>_xlfn.XLOOKUP(A748,SITE1!$V$4:$V$1034,SITE1!$U$4:$U$1034,"")</f>
        <v>VSS</v>
      </c>
      <c r="C748" t="str" cm="1">
        <f t="array" ref="C748">_xlfn.TEXTJOIN(",",TRUE,_xlfn.UNIQUE(TRANSPOSE(_xlfn.MAP(_xlfn.XLOOKUP(A748,SITE1!$C$4:$C$1034,SITE1!$F$4:$O$1034,""),_xlfn.LAMBDA(_xlpm.x,IF(_xlpm.x&lt;&gt;"",TRIM(CLEAN(LEFT(_xlpm.x,FIND(".",_xlpm.x &amp; ".")-1))),""))))))</f>
        <v/>
      </c>
      <c r="D748">
        <v>16.7638</v>
      </c>
      <c r="E748">
        <v>19.443200000000001</v>
      </c>
      <c r="F748" t="str">
        <f>_xlfn.LET(_xlpm.raw,_xlfn.XLOOKUP(A748,SITE1!$C$4:$C$1034,SITE1!$E$4:$E$1034),_xlpm.cleanRaw,SUBSTITUTE(SUBSTITUTE(_xlpm.raw,"_PIN","."),"PIN","."),_xlpm.mainPart,MID(_xlpm.cleanRaw,2,FIND(".",_xlpm.cleanRaw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48" t="str">
        <f>_xlfn.LET(_xlpm.raw,_xlfn.XLOOKUP(A748,SITE3!$C$4:$C$1034,SITE3!$E$4:$E$1034),_xlpm.cleanRaw,SUBSTITUTE(SUBSTITUTE(_xlpm.raw,"_PIN","."),"PIN","."),_xlpm.mainPart,MID(_xlpm.cleanRaw,2,FIND(".",_xlpm.cleanRaw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48" t="str">
        <f>""</f>
        <v/>
      </c>
      <c r="I748" t="str">
        <f>""</f>
        <v/>
      </c>
      <c r="J748" t="str">
        <f t="shared" si="11"/>
        <v>AU42;VSS;;16.7638;19.4432;;;;</v>
      </c>
    </row>
    <row r="749" spans="1:10">
      <c r="A749" t="s">
        <v>2327</v>
      </c>
      <c r="B749" t="str">
        <f>_xlfn.XLOOKUP(A749,SITE1!$V$4:$V$1034,SITE1!$U$4:$U$1034,"")</f>
        <v>PCIE_20_SATA_7_RXP</v>
      </c>
      <c r="C749" t="str" cm="1">
        <f t="array" ref="C749">_xlfn.TEXTJOIN(",",TRUE,_xlfn.UNIQUE(TRANSPOSE(_xlfn.MAP(_xlfn.XLOOKUP(A749,SITE1!$C$4:$C$1034,SITE1!$F$4:$O$1034,""),_xlfn.LAMBDA(_xlpm.x,IF(_xlpm.x&lt;&gt;"",TRIM(CLEAN(LEFT(_xlpm.x,FIND(".",_xlpm.x &amp; ".")-1))),""))))))</f>
        <v>CA259,LA318</v>
      </c>
      <c r="D749">
        <v>16.7638</v>
      </c>
      <c r="E749">
        <v>20.8005</v>
      </c>
      <c r="F749" t="str">
        <f>_xlfn.LET(_xlpm.raw,_xlfn.XLOOKUP(A749,SITE1!$C$4:$C$1034,SITE1!$E$4:$E$1034),_xlpm.cleanRaw,SUBSTITUTE(SUBSTITUTE(_xlpm.raw,"_PIN","."),"PIN","."),_xlpm.mainPart,MID(_xlpm.cleanRaw,2,FIND(".",_xlpm.cleanRaw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705061</v>
      </c>
      <c r="G749" t="str">
        <f>_xlfn.LET(_xlpm.raw,_xlfn.XLOOKUP(A749,SITE3!$C$4:$C$1034,SITE3!$E$4:$E$1034),_xlpm.cleanRaw,SUBSTITUTE(SUBSTITUTE(_xlpm.raw,"_PIN","."),"PIN","."),_xlpm.mainPart,MID(_xlpm.cleanRaw,2,FIND(".",_xlpm.cleanRaw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505061</v>
      </c>
      <c r="H749" t="str">
        <f>""</f>
        <v/>
      </c>
      <c r="I749" t="str">
        <f>""</f>
        <v/>
      </c>
      <c r="J749" t="str">
        <f t="shared" si="11"/>
        <v>AU44;PCIE_20_SATA_7_RXP;CA259,LA318;16.7638;20.8005;705061;505061;;</v>
      </c>
    </row>
    <row r="750" spans="1:10">
      <c r="A750" t="s">
        <v>1374</v>
      </c>
      <c r="B750" t="str">
        <f>_xlfn.XLOOKUP(A750,SITE1!$V$4:$V$1034,SITE1!$U$4:$U$1034,"")</f>
        <v>GPP_F_6_SATA_DEVSLP_4</v>
      </c>
      <c r="C750" t="str" cm="1">
        <f t="array" ref="C750">_xlfn.TEXTJOIN(",",TRUE,_xlfn.UNIQUE(TRANSPOSE(_xlfn.MAP(_xlfn.XLOOKUP(A750,SITE1!$C$4:$C$1034,SITE1!$F$4:$O$1034,""),_xlfn.LAMBDA(_xlpm.x,IF(_xlpm.x&lt;&gt;"",TRIM(CLEAN(LEFT(_xlpm.x,FIND(".",_xlpm.x &amp; ".")-1))),""))))))</f>
        <v/>
      </c>
      <c r="D750">
        <v>16.711300000000001</v>
      </c>
      <c r="E750">
        <v>23.728400000000001</v>
      </c>
      <c r="F750" t="str">
        <f>_xlfn.LET(_xlpm.raw,_xlfn.XLOOKUP(A750,SITE1!$C$4:$C$1034,SITE1!$E$4:$E$1034),_xlpm.cleanRaw,SUBSTITUTE(SUBSTITUTE(_xlpm.raw,"_PIN","."),"PIN","."),_xlpm.mainPart,MID(_xlpm.cleanRaw,2,FIND(".",_xlpm.cleanRaw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708050</v>
      </c>
      <c r="G750" t="str">
        <f>_xlfn.LET(_xlpm.raw,_xlfn.XLOOKUP(A750,SITE3!$C$4:$C$1034,SITE3!$E$4:$E$1034),_xlpm.cleanRaw,SUBSTITUTE(SUBSTITUTE(_xlpm.raw,"_PIN","."),"PIN","."),_xlpm.mainPart,MID(_xlpm.cleanRaw,2,FIND(".",_xlpm.cleanRaw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508050</v>
      </c>
      <c r="H750" t="str">
        <f>""</f>
        <v/>
      </c>
      <c r="I750" t="str">
        <f>""</f>
        <v/>
      </c>
      <c r="J750" t="str">
        <f t="shared" si="11"/>
        <v>AU51;GPP_F_6_SATA_DEVSLP_4;;16.7113;23.7284;708050;508050;;</v>
      </c>
    </row>
    <row r="751" spans="1:10">
      <c r="A751" t="s">
        <v>1309</v>
      </c>
      <c r="B751" t="str">
        <f>_xlfn.XLOOKUP(A751,SITE1!$V$4:$V$1034,SITE1!$U$4:$U$1034,"")</f>
        <v>GPP_F_15</v>
      </c>
      <c r="C751" t="str" cm="1">
        <f t="array" ref="C751">_xlfn.TEXTJOIN(",",TRUE,_xlfn.UNIQUE(TRANSPOSE(_xlfn.MAP(_xlfn.XLOOKUP(A751,SITE1!$C$4:$C$1034,SITE1!$F$4:$O$1034,""),_xlfn.LAMBDA(_xlpm.x,IF(_xlpm.x&lt;&gt;"",TRIM(CLEAN(LEFT(_xlpm.x,FIND(".",_xlpm.x &amp; ".")-1))),""))))))</f>
        <v/>
      </c>
      <c r="D751">
        <v>17.0443</v>
      </c>
      <c r="E751">
        <v>24.384999999999899</v>
      </c>
      <c r="F751" t="str">
        <f>_xlfn.LET(_xlpm.raw,_xlfn.XLOOKUP(A751,SITE1!$C$4:$C$1034,SITE1!$E$4:$E$1034),_xlpm.cleanRaw,SUBSTITUTE(SUBSTITUTE(_xlpm.raw,"_PIN","."),"PIN","."),_xlpm.mainPart,MID(_xlpm.cleanRaw,2,FIND(".",_xlpm.cleanRaw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703007</v>
      </c>
      <c r="G751" t="str">
        <f>_xlfn.LET(_xlpm.raw,_xlfn.XLOOKUP(A751,SITE3!$C$4:$C$1034,SITE3!$E$4:$E$1034),_xlpm.cleanRaw,SUBSTITUTE(SUBSTITUTE(_xlpm.raw,"_PIN","."),"PIN","."),_xlpm.mainPart,MID(_xlpm.cleanRaw,2,FIND(".",_xlpm.cleanRaw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503007</v>
      </c>
      <c r="H751" t="str">
        <f>""</f>
        <v/>
      </c>
      <c r="I751" t="str">
        <f>""</f>
        <v/>
      </c>
      <c r="J751" t="str">
        <f t="shared" si="11"/>
        <v>AU52;GPP_F_15;;17.0443;24.3849999999999;703007;503007;;</v>
      </c>
    </row>
    <row r="752" spans="1:10">
      <c r="A752" t="s">
        <v>1389</v>
      </c>
      <c r="B752" t="str">
        <f>_xlfn.XLOOKUP(A752,SITE1!$V$4:$V$1034,SITE1!$U$4:$U$1034,"")</f>
        <v>GPP_F_9_SATA_DEVSLP_7_DIR_ESPI_SMI</v>
      </c>
      <c r="C752" t="str" cm="1">
        <f t="array" ref="C752">_xlfn.TEXTJOIN(",",TRUE,_xlfn.UNIQUE(TRANSPOSE(_xlfn.MAP(_xlfn.XLOOKUP(A752,SITE1!$C$4:$C$1034,SITE1!$F$4:$O$1034,""),_xlfn.LAMBDA(_xlpm.x,IF(_xlpm.x&lt;&gt;"",TRIM(CLEAN(LEFT(_xlpm.x,FIND(".",_xlpm.x &amp; ".")-1))),""))))))</f>
        <v/>
      </c>
      <c r="D752">
        <v>16.777000000000001</v>
      </c>
      <c r="E752">
        <v>25.724799999999998</v>
      </c>
      <c r="F752" t="str">
        <f>_xlfn.LET(_xlpm.raw,_xlfn.XLOOKUP(A752,SITE1!$C$4:$C$1034,SITE1!$E$4:$E$1034),_xlpm.cleanRaw,SUBSTITUTE(SUBSTITUTE(_xlpm.raw,"_PIN","."),"PIN","."),_xlpm.mainPart,MID(_xlpm.cleanRaw,2,FIND(".",_xlpm.cleanRaw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701116</v>
      </c>
      <c r="G752" t="str">
        <f>_xlfn.LET(_xlpm.raw,_xlfn.XLOOKUP(A752,SITE3!$C$4:$C$1034,SITE3!$E$4:$E$1034),_xlpm.cleanRaw,SUBSTITUTE(SUBSTITUTE(_xlpm.raw,"_PIN","."),"PIN","."),_xlpm.mainPart,MID(_xlpm.cleanRaw,2,FIND(".",_xlpm.cleanRaw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501116</v>
      </c>
      <c r="H752" t="str">
        <f>""</f>
        <v/>
      </c>
      <c r="I752" t="str">
        <f>""</f>
        <v/>
      </c>
      <c r="J752" t="str">
        <f t="shared" si="11"/>
        <v>AU55;GPP_F_9_SATA_DEVSLP_7_DIR_ESPI_SMI;;16.777;25.7248;701116;501116;;</v>
      </c>
    </row>
    <row r="753" spans="1:10">
      <c r="A753" t="s">
        <v>1289</v>
      </c>
      <c r="B753" t="str">
        <f>_xlfn.XLOOKUP(A753,SITE1!$V$4:$V$1034,SITE1!$U$4:$U$1034,"")</f>
        <v>GPP_F_11_SATA_SLOAD_DIR_ESPI_IRQ</v>
      </c>
      <c r="C753" t="str" cm="1">
        <f t="array" ref="C753">_xlfn.TEXTJOIN(",",TRUE,_xlfn.UNIQUE(TRANSPOSE(_xlfn.MAP(_xlfn.XLOOKUP(A753,SITE1!$C$4:$C$1034,SITE1!$F$4:$O$1034,""),_xlfn.LAMBDA(_xlpm.x,IF(_xlpm.x&lt;&gt;"",TRIM(CLEAN(LEFT(_xlpm.x,FIND(".",_xlpm.x &amp; ".")-1))),""))))))</f>
        <v/>
      </c>
      <c r="D753">
        <v>16.777000000000001</v>
      </c>
      <c r="E753">
        <v>26.2256</v>
      </c>
      <c r="F753" t="str">
        <f>_xlfn.LET(_xlpm.raw,_xlfn.XLOOKUP(A753,SITE1!$C$4:$C$1034,SITE1!$E$4:$E$1034),_xlpm.cleanRaw,SUBSTITUTE(SUBSTITUTE(_xlpm.raw,"_PIN","."),"PIN","."),_xlpm.mainPart,MID(_xlpm.cleanRaw,2,FIND(".",_xlpm.cleanRaw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601015</v>
      </c>
      <c r="G753" t="str">
        <f>_xlfn.LET(_xlpm.raw,_xlfn.XLOOKUP(A753,SITE3!$C$4:$C$1034,SITE3!$E$4:$E$1034),_xlpm.cleanRaw,SUBSTITUTE(SUBSTITUTE(_xlpm.raw,"_PIN","."),"PIN","."),_xlpm.mainPart,MID(_xlpm.cleanRaw,2,FIND(".",_xlpm.cleanRaw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801015</v>
      </c>
      <c r="H753" t="str">
        <f>""</f>
        <v/>
      </c>
      <c r="I753" t="str">
        <f>""</f>
        <v/>
      </c>
      <c r="J753" t="str">
        <f t="shared" si="11"/>
        <v>AU56;GPP_F_11_SATA_SLOAD_DIR_ESPI_IRQ;;16.777;26.2256;601015;801015;;</v>
      </c>
    </row>
    <row r="754" spans="1:10">
      <c r="A754" t="s">
        <v>3833</v>
      </c>
      <c r="B754" t="str">
        <f>_xlfn.XLOOKUP(A754,SITE1!$V$4:$V$1034,SITE1!$U$4:$U$1034,"")</f>
        <v>VSS</v>
      </c>
      <c r="C754" t="str" cm="1">
        <f t="array" ref="C754">_xlfn.TEXTJOIN(",",TRUE,_xlfn.UNIQUE(TRANSPOSE(_xlfn.MAP(_xlfn.XLOOKUP(A754,SITE1!$C$4:$C$1034,SITE1!$F$4:$O$1034,""),_xlfn.LAMBDA(_xlpm.x,IF(_xlpm.x&lt;&gt;"",TRIM(CLEAN(LEFT(_xlpm.x,FIND(".",_xlpm.x &amp; ".")-1))),""))))))</f>
        <v/>
      </c>
      <c r="D754">
        <v>17.261900000000001</v>
      </c>
      <c r="E754">
        <v>0</v>
      </c>
      <c r="F754" t="str">
        <f>_xlfn.LET(_xlpm.raw,_xlfn.XLOOKUP(A754,SITE1!$C$4:$C$1034,SITE1!$E$4:$E$1034),_xlpm.cleanRaw,SUBSTITUTE(SUBSTITUTE(_xlpm.raw,"_PIN","."),"PIN","."),_xlpm.mainPart,MID(_xlpm.cleanRaw,2,FIND(".",_xlpm.cleanRaw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4" t="str">
        <f>_xlfn.LET(_xlpm.raw,_xlfn.XLOOKUP(A754,SITE3!$C$4:$C$1034,SITE3!$E$4:$E$1034),_xlpm.cleanRaw,SUBSTITUTE(SUBSTITUTE(_xlpm.raw,"_PIN","."),"PIN","."),_xlpm.mainPart,MID(_xlpm.cleanRaw,2,FIND(".",_xlpm.cleanRaw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4" t="str">
        <f>""</f>
        <v/>
      </c>
      <c r="I754" t="str">
        <f>""</f>
        <v/>
      </c>
      <c r="J754" t="str">
        <f t="shared" si="11"/>
        <v>AV1;VSS;;17.2619;0;;;;</v>
      </c>
    </row>
    <row r="755" spans="1:10">
      <c r="A755" t="s">
        <v>1759</v>
      </c>
      <c r="B755" t="str">
        <f>_xlfn.XLOOKUP(A755,SITE1!$V$4:$V$1034,SITE1!$U$4:$U$1034,"")</f>
        <v>GPP_R_8_I2S1_SCLK</v>
      </c>
      <c r="C755" t="str" cm="1">
        <f t="array" ref="C755">_xlfn.TEXTJOIN(",",TRUE,_xlfn.UNIQUE(TRANSPOSE(_xlfn.MAP(_xlfn.XLOOKUP(A755,SITE1!$C$4:$C$1034,SITE1!$F$4:$O$1034,""),_xlfn.LAMBDA(_xlpm.x,IF(_xlpm.x&lt;&gt;"",TRIM(CLEAN(LEFT(_xlpm.x,FIND(".",_xlpm.x &amp; ".")-1))),""))))))</f>
        <v/>
      </c>
      <c r="D755">
        <v>17.455199999999898</v>
      </c>
      <c r="E755">
        <v>0.52369999999999906</v>
      </c>
      <c r="F755" t="str">
        <f>_xlfn.LET(_xlpm.raw,_xlfn.XLOOKUP(A755,SITE1!$C$4:$C$1034,SITE1!$E$4:$E$1034),_xlpm.cleanRaw,SUBSTITUTE(SUBSTITUTE(_xlpm.raw,"_PIN","."),"PIN","."),_xlpm.mainPart,MID(_xlpm.cleanRaw,2,FIND(".",_xlpm.cleanRaw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606120</v>
      </c>
      <c r="G755" t="str">
        <f>_xlfn.LET(_xlpm.raw,_xlfn.XLOOKUP(A755,SITE3!$C$4:$C$1034,SITE3!$E$4:$E$1034),_xlpm.cleanRaw,SUBSTITUTE(SUBSTITUTE(_xlpm.raw,"_PIN","."),"PIN","."),_xlpm.mainPart,MID(_xlpm.cleanRaw,2,FIND(".",_xlpm.cleanRaw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806120</v>
      </c>
      <c r="H755" t="str">
        <f>""</f>
        <v/>
      </c>
      <c r="I755" t="str">
        <f>""</f>
        <v/>
      </c>
      <c r="J755" t="str">
        <f t="shared" si="11"/>
        <v>AV2;GPP_R_8_I2S1_SCLK;;17.4551999999999;0.523699999999999;606120;806120;;</v>
      </c>
    </row>
    <row r="756" spans="1:10">
      <c r="A756" t="s">
        <v>1749</v>
      </c>
      <c r="B756" t="str">
        <f>_xlfn.XLOOKUP(A756,SITE1!$V$4:$V$1034,SITE1!$U$4:$U$1034,"")</f>
        <v>GPP_R_6_I2S1_TXD</v>
      </c>
      <c r="C756" t="str" cm="1">
        <f t="array" ref="C756">_xlfn.TEXTJOIN(",",TRUE,_xlfn.UNIQUE(TRANSPOSE(_xlfn.MAP(_xlfn.XLOOKUP(A756,SITE1!$C$4:$C$1034,SITE1!$F$4:$O$1034,""),_xlfn.LAMBDA(_xlpm.x,IF(_xlpm.x&lt;&gt;"",TRIM(CLEAN(LEFT(_xlpm.x,FIND(".",_xlpm.x &amp; ".")-1))),""))))))</f>
        <v/>
      </c>
      <c r="D756">
        <v>17.485399999999998</v>
      </c>
      <c r="E756">
        <v>1.02609999999999</v>
      </c>
      <c r="F756" t="str">
        <f>_xlfn.LET(_xlpm.raw,_xlfn.XLOOKUP(A756,SITE1!$C$4:$C$1034,SITE1!$E$4:$E$1034),_xlpm.cleanRaw,SUBSTITUTE(SUBSTITUTE(_xlpm.raw,"_PIN","."),"PIN","."),_xlpm.mainPart,MID(_xlpm.cleanRaw,2,FIND(".",_xlpm.cleanRaw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604010</v>
      </c>
      <c r="G756" t="str">
        <f>_xlfn.LET(_xlpm.raw,_xlfn.XLOOKUP(A756,SITE3!$C$4:$C$1034,SITE3!$E$4:$E$1034),_xlpm.cleanRaw,SUBSTITUTE(SUBSTITUTE(_xlpm.raw,"_PIN","."),"PIN","."),_xlpm.mainPart,MID(_xlpm.cleanRaw,2,FIND(".",_xlpm.cleanRaw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804010</v>
      </c>
      <c r="H756" t="str">
        <f>""</f>
        <v/>
      </c>
      <c r="I756" t="str">
        <f>""</f>
        <v/>
      </c>
      <c r="J756" t="str">
        <f t="shared" si="11"/>
        <v>AV3;GPP_R_6_I2S1_TXD;;17.4854;1.02609999999999;604010;804010;;</v>
      </c>
    </row>
    <row r="757" spans="1:10">
      <c r="A757" t="s">
        <v>1724</v>
      </c>
      <c r="B757" t="str">
        <f>_xlfn.XLOOKUP(A757,SITE1!$V$4:$V$1034,SITE1!$U$4:$U$1034,"")</f>
        <v>GPP_R_12_ISH_SPI_MOSI_GSPI2_MOSI</v>
      </c>
      <c r="C757" t="str" cm="1">
        <f t="array" ref="C757">_xlfn.TEXTJOIN(",",TRUE,_xlfn.UNIQUE(TRANSPOSE(_xlfn.MAP(_xlfn.XLOOKUP(A757,SITE1!$C$4:$C$1034,SITE1!$F$4:$O$1034,""),_xlfn.LAMBDA(_xlpm.x,IF(_xlpm.x&lt;&gt;"",TRIM(CLEAN(LEFT(_xlpm.x,FIND(".",_xlpm.x &amp; ".")-1))),""))))))</f>
        <v/>
      </c>
      <c r="D757">
        <v>17.4041</v>
      </c>
      <c r="E757">
        <v>1.5265</v>
      </c>
      <c r="F757" t="str">
        <f>_xlfn.LET(_xlpm.raw,_xlfn.XLOOKUP(A757,SITE1!$C$4:$C$1034,SITE1!$E$4:$E$1034),_xlpm.cleanRaw,SUBSTITUTE(SUBSTITUTE(_xlpm.raw,"_PIN","."),"PIN","."),_xlpm.mainPart,MID(_xlpm.cleanRaw,2,FIND(".",_xlpm.cleanRaw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602080</v>
      </c>
      <c r="G757" t="str">
        <f>_xlfn.LET(_xlpm.raw,_xlfn.XLOOKUP(A757,SITE3!$C$4:$C$1034,SITE3!$E$4:$E$1034),_xlpm.cleanRaw,SUBSTITUTE(SUBSTITUTE(_xlpm.raw,"_PIN","."),"PIN","."),_xlpm.mainPart,MID(_xlpm.cleanRaw,2,FIND(".",_xlpm.cleanRaw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802080</v>
      </c>
      <c r="H757" t="str">
        <f>""</f>
        <v/>
      </c>
      <c r="I757" t="str">
        <f>""</f>
        <v/>
      </c>
      <c r="J757" t="str">
        <f t="shared" si="11"/>
        <v>AV4;GPP_R_12_ISH_SPI_MOSI_GSPI2_MOSI;;17.4041;1.5265;602080;802080;;</v>
      </c>
    </row>
    <row r="758" spans="1:10">
      <c r="A758" t="s">
        <v>1649</v>
      </c>
      <c r="B758" t="str">
        <f>_xlfn.XLOOKUP(A758,SITE1!$V$4:$V$1034,SITE1!$U$4:$U$1034,"")</f>
        <v>GPP_J_7_BOOTHALT_B</v>
      </c>
      <c r="C758" t="str" cm="1">
        <f t="array" ref="C758">_xlfn.TEXTJOIN(",",TRUE,_xlfn.UNIQUE(TRANSPOSE(_xlfn.MAP(_xlfn.XLOOKUP(A758,SITE1!$C$4:$C$1034,SITE1!$F$4:$O$1034,""),_xlfn.LAMBDA(_xlpm.x,IF(_xlpm.x&lt;&gt;"",TRIM(CLEAN(LEFT(_xlpm.x,FIND(".",_xlpm.x &amp; ".")-1))),""))))))</f>
        <v/>
      </c>
      <c r="D758">
        <v>17.185700000000001</v>
      </c>
      <c r="E758">
        <v>1.9837</v>
      </c>
      <c r="F758" t="str">
        <f>_xlfn.LET(_xlpm.raw,_xlfn.XLOOKUP(A758,SITE1!$C$4:$C$1034,SITE1!$E$4:$E$1034),_xlpm.cleanRaw,SUBSTITUTE(SUBSTITUTE(_xlpm.raw,"_PIN","."),"PIN","."),_xlpm.mainPart,MID(_xlpm.cleanRaw,2,FIND(".",_xlpm.cleanRaw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701119</v>
      </c>
      <c r="G758" t="str">
        <f>_xlfn.LET(_xlpm.raw,_xlfn.XLOOKUP(A758,SITE3!$C$4:$C$1034,SITE3!$E$4:$E$1034),_xlpm.cleanRaw,SUBSTITUTE(SUBSTITUTE(_xlpm.raw,"_PIN","."),"PIN","."),_xlpm.mainPart,MID(_xlpm.cleanRaw,2,FIND(".",_xlpm.cleanRaw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501119</v>
      </c>
      <c r="H758" t="str">
        <f>""</f>
        <v/>
      </c>
      <c r="I758" t="str">
        <f>""</f>
        <v/>
      </c>
      <c r="J758" t="str">
        <f t="shared" si="11"/>
        <v>AV5;GPP_J_7_BOOTHALT_B;;17.1857;1.9837;701119;501119;;</v>
      </c>
    </row>
    <row r="759" spans="1:10">
      <c r="A759" t="s">
        <v>1068</v>
      </c>
      <c r="B759" t="str">
        <f>_xlfn.XLOOKUP(A759,SITE1!$V$4:$V$1034,SITE1!$U$4:$U$1034,"")</f>
        <v>GPP_D_13_SRCCLKREQB_6</v>
      </c>
      <c r="C759" t="str" cm="1">
        <f t="array" ref="C759">_xlfn.TEXTJOIN(",",TRUE,_xlfn.UNIQUE(TRANSPOSE(_xlfn.MAP(_xlfn.XLOOKUP(A759,SITE1!$C$4:$C$1034,SITE1!$F$4:$O$1034,""),_xlfn.LAMBDA(_xlpm.x,IF(_xlpm.x&lt;&gt;"",TRIM(CLEAN(LEFT(_xlpm.x,FIND(".",_xlpm.x &amp; ".")-1))),""))))))</f>
        <v/>
      </c>
      <c r="D759">
        <v>17.5365</v>
      </c>
      <c r="E759">
        <v>3.7734000000000001</v>
      </c>
      <c r="F759" t="str">
        <f>_xlfn.LET(_xlpm.raw,_xlfn.XLOOKUP(A759,SITE1!$C$4:$C$1034,SITE1!$E$4:$E$1034),_xlpm.cleanRaw,SUBSTITUTE(SUBSTITUTE(_xlpm.raw,"_PIN","."),"PIN","."),_xlpm.mainPart,MID(_xlpm.cleanRaw,2,FIND(".",_xlpm.cleanRaw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701111</v>
      </c>
      <c r="G759" t="str">
        <f>_xlfn.LET(_xlpm.raw,_xlfn.XLOOKUP(A759,SITE3!$C$4:$C$1034,SITE3!$E$4:$E$1034),_xlpm.cleanRaw,SUBSTITUTE(SUBSTITUTE(_xlpm.raw,"_PIN","."),"PIN","."),_xlpm.mainPart,MID(_xlpm.cleanRaw,2,FIND(".",_xlpm.cleanRaw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501111</v>
      </c>
      <c r="H759" t="str">
        <f>""</f>
        <v/>
      </c>
      <c r="I759" t="str">
        <f>""</f>
        <v/>
      </c>
      <c r="J759" t="str">
        <f t="shared" si="11"/>
        <v>AV9;GPP_D_13_SRCCLKREQB_6;;17.5365;3.7734;701111;501111;;</v>
      </c>
    </row>
    <row r="760" spans="1:10">
      <c r="A760" t="s">
        <v>1143</v>
      </c>
      <c r="B760" t="str">
        <f>_xlfn.XLOOKUP(A760,SITE1!$V$4:$V$1034,SITE1!$U$4:$U$1034,"")</f>
        <v>GPP_D_6_I2S2_TXD_MODEM_CLKREQ_DMIC_CLK_B_0</v>
      </c>
      <c r="C760" t="str" cm="1">
        <f t="array" ref="C760">_xlfn.TEXTJOIN(",",TRUE,_xlfn.UNIQUE(TRANSPOSE(_xlfn.MAP(_xlfn.XLOOKUP(A760,SITE1!$C$4:$C$1034,SITE1!$F$4:$O$1034,""),_xlfn.LAMBDA(_xlpm.x,IF(_xlpm.x&lt;&gt;"",TRIM(CLEAN(LEFT(_xlpm.x,FIND(".",_xlpm.x &amp; ".")-1))),""))))))</f>
        <v/>
      </c>
      <c r="D760">
        <v>17.3003</v>
      </c>
      <c r="E760">
        <v>4.4555999999999996</v>
      </c>
      <c r="F760" t="str">
        <f>_xlfn.LET(_xlpm.raw,_xlfn.XLOOKUP(A760,SITE1!$C$4:$C$1034,SITE1!$E$4:$E$1034),_xlpm.cleanRaw,SUBSTITUTE(SUBSTITUTE(_xlpm.raw,"_PIN","."),"PIN","."),_xlpm.mainPart,MID(_xlpm.cleanRaw,2,FIND(".",_xlpm.cleanRaw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602052</v>
      </c>
      <c r="G760" t="str">
        <f>_xlfn.LET(_xlpm.raw,_xlfn.XLOOKUP(A760,SITE3!$C$4:$C$1034,SITE3!$E$4:$E$1034),_xlpm.cleanRaw,SUBSTITUTE(SUBSTITUTE(_xlpm.raw,"_PIN","."),"PIN","."),_xlpm.mainPart,MID(_xlpm.cleanRaw,2,FIND(".",_xlpm.cleanRaw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802052</v>
      </c>
      <c r="H760" t="str">
        <f>""</f>
        <v/>
      </c>
      <c r="I760" t="str">
        <f>""</f>
        <v/>
      </c>
      <c r="J760" t="str">
        <f t="shared" si="11"/>
        <v>AV10;GPP_D_6_I2S2_TXD_MODEM_CLKREQ_DMIC_CLK_B_0;;17.3003;4.4556;602052;802052;;</v>
      </c>
    </row>
    <row r="761" spans="1:10">
      <c r="A761" t="s">
        <v>1128</v>
      </c>
      <c r="B761" t="str">
        <f>_xlfn.XLOOKUP(A761,SITE1!$V$4:$V$1034,SITE1!$U$4:$U$1034,"")</f>
        <v>GPP_D_3_SRCCLKREQB_3</v>
      </c>
      <c r="C761" t="str" cm="1">
        <f t="array" ref="C761">_xlfn.TEXTJOIN(",",TRUE,_xlfn.UNIQUE(TRANSPOSE(_xlfn.MAP(_xlfn.XLOOKUP(A761,SITE1!$C$4:$C$1034,SITE1!$F$4:$O$1034,""),_xlfn.LAMBDA(_xlpm.x,IF(_xlpm.x&lt;&gt;"",TRIM(CLEAN(LEFT(_xlpm.x,FIND(".",_xlpm.x &amp; ".")-1))),""))))))</f>
        <v/>
      </c>
      <c r="D761">
        <v>17.3003</v>
      </c>
      <c r="E761">
        <v>5.1668000000000003</v>
      </c>
      <c r="F761" t="str">
        <f>_xlfn.LET(_xlpm.raw,_xlfn.XLOOKUP(A761,SITE1!$C$4:$C$1034,SITE1!$E$4:$E$1034),_xlpm.cleanRaw,SUBSTITUTE(SUBSTITUTE(_xlpm.raw,"_PIN","."),"PIN","."),_xlpm.mainPart,MID(_xlpm.cleanRaw,2,FIND(".",_xlpm.cleanRaw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605071</v>
      </c>
      <c r="G761" t="str">
        <f>_xlfn.LET(_xlpm.raw,_xlfn.XLOOKUP(A761,SITE3!$C$4:$C$1034,SITE3!$E$4:$E$1034),_xlpm.cleanRaw,SUBSTITUTE(SUBSTITUTE(_xlpm.raw,"_PIN","."),"PIN","."),_xlpm.mainPart,MID(_xlpm.cleanRaw,2,FIND(".",_xlpm.cleanRaw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805071</v>
      </c>
      <c r="H761" t="str">
        <f>""</f>
        <v/>
      </c>
      <c r="I761" t="str">
        <f>""</f>
        <v/>
      </c>
      <c r="J761" t="str">
        <f t="shared" si="11"/>
        <v>AV12;GPP_D_3_SRCCLKREQB_3;;17.3003;5.1668;605071;805071;;</v>
      </c>
    </row>
    <row r="762" spans="1:10">
      <c r="A762" t="s">
        <v>241</v>
      </c>
      <c r="B762" t="str">
        <f>_xlfn.XLOOKUP(A762,SITE1!$V$4:$V$1034,SITE1!$U$4:$U$1034,"")</f>
        <v>CNV_WR_D0N</v>
      </c>
      <c r="C762" t="str" cm="1">
        <f t="array" ref="C762">_xlfn.TEXTJOIN(",",TRUE,_xlfn.UNIQUE(TRANSPOSE(_xlfn.MAP(_xlfn.XLOOKUP(A762,SITE1!$C$4:$C$1034,SITE1!$F$4:$O$1034,""),_xlfn.LAMBDA(_xlpm.x,IF(_xlpm.x&lt;&gt;"",TRIM(CLEAN(LEFT(_xlpm.x,FIND(".",_xlpm.x &amp; ".")-1))),""))))))</f>
        <v>UA122</v>
      </c>
      <c r="D762">
        <v>17.611799999999999</v>
      </c>
      <c r="E762">
        <v>7.4731999999999896</v>
      </c>
      <c r="F762" t="str">
        <f>_xlfn.LET(_xlpm.raw,_xlfn.XLOOKUP(A762,SITE1!$C$4:$C$1034,SITE1!$E$4:$E$1034),_xlpm.cleanRaw,SUBSTITUTE(SUBSTITUTE(_xlpm.raw,"_PIN","."),"PIN","."),_xlpm.mainPart,MID(_xlpm.cleanRaw,2,FIND(".",_xlpm.cleanRaw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601027</v>
      </c>
      <c r="G762" t="str">
        <f>_xlfn.LET(_xlpm.raw,_xlfn.XLOOKUP(A762,SITE3!$C$4:$C$1034,SITE3!$E$4:$E$1034),_xlpm.cleanRaw,SUBSTITUTE(SUBSTITUTE(_xlpm.raw,"_PIN","."),"PIN","."),_xlpm.mainPart,MID(_xlpm.cleanRaw,2,FIND(".",_xlpm.cleanRaw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801027</v>
      </c>
      <c r="H762" t="str">
        <f>""</f>
        <v/>
      </c>
      <c r="I762" t="str">
        <f>""</f>
        <v/>
      </c>
      <c r="J762" t="str">
        <f t="shared" si="11"/>
        <v>AV16;CNV_WR_D0N;UA122;17.6118;7.47319999999999;601027;801027;;</v>
      </c>
    </row>
    <row r="763" spans="1:10">
      <c r="A763" t="s">
        <v>3834</v>
      </c>
      <c r="B763" t="str">
        <f>_xlfn.XLOOKUP(A763,SITE1!$V$4:$V$1034,SITE1!$U$4:$U$1034,"")</f>
        <v>VSS</v>
      </c>
      <c r="C763" t="str" cm="1">
        <f t="array" ref="C763">_xlfn.TEXTJOIN(",",TRUE,_xlfn.UNIQUE(TRANSPOSE(_xlfn.MAP(_xlfn.XLOOKUP(A763,SITE1!$C$4:$C$1034,SITE1!$F$4:$O$1034,""),_xlfn.LAMBDA(_xlpm.x,IF(_xlpm.x&lt;&gt;"",TRIM(CLEAN(LEFT(_xlpm.x,FIND(".",_xlpm.x &amp; ".")-1))),""))))))</f>
        <v/>
      </c>
      <c r="D763">
        <v>17.475000000000001</v>
      </c>
      <c r="E763">
        <v>8.5272000000000006</v>
      </c>
      <c r="F763" t="str">
        <f>_xlfn.LET(_xlpm.raw,_xlfn.XLOOKUP(A763,SITE1!$C$4:$C$1034,SITE1!$E$4:$E$1034),_xlpm.cleanRaw,SUBSTITUTE(SUBSTITUTE(_xlpm.raw,"_PIN","."),"PIN","."),_xlpm.mainPart,MID(_xlpm.cleanRaw,2,FIND(".",_xlpm.cleanRaw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63" t="str">
        <f>_xlfn.LET(_xlpm.raw,_xlfn.XLOOKUP(A763,SITE3!$C$4:$C$1034,SITE3!$E$4:$E$1034),_xlpm.cleanRaw,SUBSTITUTE(SUBSTITUTE(_xlpm.raw,"_PIN","."),"PIN","."),_xlpm.mainPart,MID(_xlpm.cleanRaw,2,FIND(".",_xlpm.cleanRaw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63" t="str">
        <f>""</f>
        <v/>
      </c>
      <c r="I763" t="str">
        <f>""</f>
        <v/>
      </c>
      <c r="J763" t="str">
        <f t="shared" si="11"/>
        <v>AV19;VSS;;17.475;8.5272;;;;</v>
      </c>
    </row>
    <row r="764" spans="1:10">
      <c r="A764" t="s">
        <v>3835</v>
      </c>
      <c r="B764" t="str">
        <f>_xlfn.XLOOKUP(A764,SITE1!$V$4:$V$1034,SITE1!$U$4:$U$1034,"")</f>
        <v>VSS</v>
      </c>
      <c r="C764" t="str" cm="1">
        <f t="array" ref="C764">_xlfn.TEXTJOIN(",",TRUE,_xlfn.UNIQUE(TRANSPOSE(_xlfn.MAP(_xlfn.XLOOKUP(A764,SITE1!$C$4:$C$1034,SITE1!$F$4:$O$1034,""),_xlfn.LAMBDA(_xlpm.x,IF(_xlpm.x&lt;&gt;"",TRIM(CLEAN(LEFT(_xlpm.x,FIND(".",_xlpm.x &amp; ".")-1))),""))))))</f>
        <v/>
      </c>
      <c r="D764">
        <v>17.475000000000001</v>
      </c>
      <c r="E764">
        <v>9.8844999999999992</v>
      </c>
      <c r="F764" t="str">
        <f>_xlfn.LET(_xlpm.raw,_xlfn.XLOOKUP(A764,SITE1!$C$4:$C$1034,SITE1!$E$4:$E$1034),_xlpm.cleanRaw,SUBSTITUTE(SUBSTITUTE(_xlpm.raw,"_PIN","."),"PIN","."),_xlpm.mainPart,MID(_xlpm.cleanRaw,2,FIND(".",_xlpm.cleanRaw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64" t="str">
        <f>_xlfn.LET(_xlpm.raw,_xlfn.XLOOKUP(A764,SITE3!$C$4:$C$1034,SITE3!$E$4:$E$1034),_xlpm.cleanRaw,SUBSTITUTE(SUBSTITUTE(_xlpm.raw,"_PIN","."),"PIN","."),_xlpm.mainPart,MID(_xlpm.cleanRaw,2,FIND(".",_xlpm.cleanRaw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64" t="str">
        <f>""</f>
        <v/>
      </c>
      <c r="I764" t="str">
        <f>""</f>
        <v/>
      </c>
      <c r="J764" t="str">
        <f t="shared" si="11"/>
        <v>AV22;VSS;;17.475;9.8845;;;;</v>
      </c>
    </row>
    <row r="765" spans="1:10">
      <c r="A765" t="s">
        <v>2598</v>
      </c>
      <c r="B765" t="str">
        <f>_xlfn.XLOOKUP(A765,SITE1!$V$4:$V$1034,SITE1!$U$4:$U$1034,"")</f>
        <v>PCIE_6_RXN</v>
      </c>
      <c r="C765" t="str" cm="1">
        <f t="array" ref="C765">_xlfn.TEXTJOIN(",",TRUE,_xlfn.UNIQUE(TRANSPOSE(_xlfn.MAP(_xlfn.XLOOKUP(A765,SITE1!$C$4:$C$1034,SITE1!$F$4:$O$1034,""),_xlfn.LAMBDA(_xlpm.x,IF(_xlpm.x&lt;&gt;"",TRIM(CLEAN(LEFT(_xlpm.x,FIND(".",_xlpm.x &amp; ".")-1))),""))))))</f>
        <v>CA232,LA264</v>
      </c>
      <c r="D765">
        <v>17.475000000000001</v>
      </c>
      <c r="E765">
        <v>11.2562</v>
      </c>
      <c r="F765" t="str">
        <f>_xlfn.LET(_xlpm.raw,_xlfn.XLOOKUP(A765,SITE1!$C$4:$C$1034,SITE1!$E$4:$E$1034),_xlpm.cleanRaw,SUBSTITUTE(SUBSTITUTE(_xlpm.raw,"_PIN","."),"PIN","."),_xlpm.mainPart,MID(_xlpm.cleanRaw,2,FIND(".",_xlpm.cleanRaw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704094</v>
      </c>
      <c r="G765" t="str">
        <f>_xlfn.LET(_xlpm.raw,_xlfn.XLOOKUP(A765,SITE3!$C$4:$C$1034,SITE3!$E$4:$E$1034),_xlpm.cleanRaw,SUBSTITUTE(SUBSTITUTE(_xlpm.raw,"_PIN","."),"PIN","."),_xlpm.mainPart,MID(_xlpm.cleanRaw,2,FIND(".",_xlpm.cleanRaw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504094</v>
      </c>
      <c r="H765" t="str">
        <f>""</f>
        <v/>
      </c>
      <c r="I765" t="str">
        <f>""</f>
        <v/>
      </c>
      <c r="J765" t="str">
        <f t="shared" si="11"/>
        <v>AV24;PCIE_6_RXN;CA232,LA264;17.475;11.2562;704094;504094;;</v>
      </c>
    </row>
    <row r="766" spans="1:10">
      <c r="A766" t="s">
        <v>3836</v>
      </c>
      <c r="B766" t="str">
        <f>_xlfn.XLOOKUP(A766,SITE1!$V$4:$V$1034,SITE1!$U$4:$U$1034,"")</f>
        <v>VSS</v>
      </c>
      <c r="C766" t="str" cm="1">
        <f t="array" ref="C766">_xlfn.TEXTJOIN(",",TRUE,_xlfn.UNIQUE(TRANSPOSE(_xlfn.MAP(_xlfn.XLOOKUP(A766,SITE1!$C$4:$C$1034,SITE1!$F$4:$O$1034,""),_xlfn.LAMBDA(_xlpm.x,IF(_xlpm.x&lt;&gt;"",TRIM(CLEAN(LEFT(_xlpm.x,FIND(".",_xlpm.x &amp; ".")-1))),""))))))</f>
        <v/>
      </c>
      <c r="D766">
        <v>17.475000000000001</v>
      </c>
      <c r="E766">
        <v>12.6135</v>
      </c>
      <c r="F766" t="str">
        <f>_xlfn.LET(_xlpm.raw,_xlfn.XLOOKUP(A766,SITE1!$C$4:$C$1034,SITE1!$E$4:$E$1034),_xlpm.cleanRaw,SUBSTITUTE(SUBSTITUTE(_xlpm.raw,"_PIN","."),"PIN","."),_xlpm.mainPart,MID(_xlpm.cleanRaw,2,FIND(".",_xlpm.cleanRaw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66" t="str">
        <f>_xlfn.LET(_xlpm.raw,_xlfn.XLOOKUP(A766,SITE3!$C$4:$C$1034,SITE3!$E$4:$E$1034),_xlpm.cleanRaw,SUBSTITUTE(SUBSTITUTE(_xlpm.raw,"_PIN","."),"PIN","."),_xlpm.mainPart,MID(_xlpm.cleanRaw,2,FIND(".",_xlpm.cleanRaw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66" t="str">
        <f>""</f>
        <v/>
      </c>
      <c r="I766" t="str">
        <f>""</f>
        <v/>
      </c>
      <c r="J766" t="str">
        <f t="shared" si="11"/>
        <v>AV27;VSS;;17.475;12.6135;;;;</v>
      </c>
    </row>
    <row r="767" spans="1:10">
      <c r="A767" t="s">
        <v>1925</v>
      </c>
      <c r="B767" t="str">
        <f>_xlfn.XLOOKUP(A767,SITE1!$V$4:$V$1034,SITE1!$U$4:$U$1034,"")</f>
        <v>PCIE_10_TSN_1_RXN</v>
      </c>
      <c r="C767" t="str" cm="1">
        <f t="array" ref="C767">_xlfn.TEXTJOIN(",",TRUE,_xlfn.UNIQUE(TRANSPOSE(_xlfn.MAP(_xlfn.XLOOKUP(A767,SITE1!$C$4:$C$1034,SITE1!$F$4:$O$1034,""),_xlfn.LAMBDA(_xlpm.x,IF(_xlpm.x&lt;&gt;"",TRIM(CLEAN(LEFT(_xlpm.x,FIND(".",_xlpm.x &amp; ".")-1))),""))))))</f>
        <v>CA240,LA280</v>
      </c>
      <c r="D767">
        <v>17.475000000000001</v>
      </c>
      <c r="E767">
        <v>13.985199999999899</v>
      </c>
      <c r="F767" t="str">
        <f>_xlfn.LET(_xlpm.raw,_xlfn.XLOOKUP(A767,SITE1!$C$4:$C$1034,SITE1!$E$4:$E$1034),_xlpm.cleanRaw,SUBSTITUTE(SUBSTITUTE(_xlpm.raw,"_PIN","."),"PIN","."),_xlpm.mainPart,MID(_xlpm.cleanRaw,2,FIND(".",_xlpm.cleanRaw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703017</v>
      </c>
      <c r="G767" t="str">
        <f>_xlfn.LET(_xlpm.raw,_xlfn.XLOOKUP(A767,SITE3!$C$4:$C$1034,SITE3!$E$4:$E$1034),_xlpm.cleanRaw,SUBSTITUTE(SUBSTITUTE(_xlpm.raw,"_PIN","."),"PIN","."),_xlpm.mainPart,MID(_xlpm.cleanRaw,2,FIND(".",_xlpm.cleanRaw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503017</v>
      </c>
      <c r="H767" t="str">
        <f>""</f>
        <v/>
      </c>
      <c r="I767" t="str">
        <f>""</f>
        <v/>
      </c>
      <c r="J767" t="str">
        <f t="shared" si="11"/>
        <v>AV30;PCIE_10_TSN_1_RXN;CA240,LA280;17.475;13.9851999999999;703017;503017;;</v>
      </c>
    </row>
    <row r="768" spans="1:10">
      <c r="A768" t="s">
        <v>3837</v>
      </c>
      <c r="B768" t="str">
        <f>_xlfn.XLOOKUP(A768,SITE1!$V$4:$V$1034,SITE1!$U$4:$U$1034,"")</f>
        <v>VSS</v>
      </c>
      <c r="C768" t="str" cm="1">
        <f t="array" ref="C768">_xlfn.TEXTJOIN(",",TRUE,_xlfn.UNIQUE(TRANSPOSE(_xlfn.MAP(_xlfn.XLOOKUP(A768,SITE1!$C$4:$C$1034,SITE1!$F$4:$O$1034,""),_xlfn.LAMBDA(_xlpm.x,IF(_xlpm.x&lt;&gt;"",TRIM(CLEAN(LEFT(_xlpm.x,FIND(".",_xlpm.x &amp; ".")-1))),""))))))</f>
        <v/>
      </c>
      <c r="D768">
        <v>17.475000000000001</v>
      </c>
      <c r="E768">
        <v>15.342499999999999</v>
      </c>
      <c r="F768" t="str">
        <f>_xlfn.LET(_xlpm.raw,_xlfn.XLOOKUP(A768,SITE1!$C$4:$C$1034,SITE1!$E$4:$E$1034),_xlpm.cleanRaw,SUBSTITUTE(SUBSTITUTE(_xlpm.raw,"_PIN","."),"PIN","."),_xlpm.mainPart,MID(_xlpm.cleanRaw,2,FIND(".",_xlpm.cleanRaw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68" t="str">
        <f>_xlfn.LET(_xlpm.raw,_xlfn.XLOOKUP(A768,SITE3!$C$4:$C$1034,SITE3!$E$4:$E$1034),_xlpm.cleanRaw,SUBSTITUTE(SUBSTITUTE(_xlpm.raw,"_PIN","."),"PIN","."),_xlpm.mainPart,MID(_xlpm.cleanRaw,2,FIND(".",_xlpm.cleanRaw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68" t="str">
        <f>""</f>
        <v/>
      </c>
      <c r="I768" t="str">
        <f>""</f>
        <v/>
      </c>
      <c r="J768" t="str">
        <f t="shared" si="11"/>
        <v>AV33;VSS;;17.475;15.3425;;;;</v>
      </c>
    </row>
    <row r="769" spans="1:10">
      <c r="A769" t="s">
        <v>2069</v>
      </c>
      <c r="B769" t="str">
        <f>_xlfn.XLOOKUP(A769,SITE1!$V$4:$V$1034,SITE1!$U$4:$U$1034,"")</f>
        <v>PCIE_14_SATA_1_RXN</v>
      </c>
      <c r="C769" t="str" cm="1">
        <f t="array" ref="C769">_xlfn.TEXTJOIN(",",TRUE,_xlfn.UNIQUE(TRANSPOSE(_xlfn.MAP(_xlfn.XLOOKUP(A769,SITE1!$C$4:$C$1034,SITE1!$F$4:$O$1034,""),_xlfn.LAMBDA(_xlpm.x,IF(_xlpm.x&lt;&gt;"",TRIM(CLEAN(LEFT(_xlpm.x,FIND(".",_xlpm.x &amp; ".")-1))),""))))))</f>
        <v>CA248,LA296</v>
      </c>
      <c r="D769">
        <v>17.475000000000001</v>
      </c>
      <c r="E769">
        <v>16.714199999999899</v>
      </c>
      <c r="F769" t="str">
        <f>_xlfn.LET(_xlpm.raw,_xlfn.XLOOKUP(A769,SITE1!$C$4:$C$1034,SITE1!$E$4:$E$1034),_xlpm.cleanRaw,SUBSTITUTE(SUBSTITUTE(_xlpm.raw,"_PIN","."),"PIN","."),_xlpm.mainPart,MID(_xlpm.cleanRaw,2,FIND(".",_xlpm.cleanRaw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602043</v>
      </c>
      <c r="G769" t="str">
        <f>_xlfn.LET(_xlpm.raw,_xlfn.XLOOKUP(A769,SITE3!$C$4:$C$1034,SITE3!$E$4:$E$1034),_xlpm.cleanRaw,SUBSTITUTE(SUBSTITUTE(_xlpm.raw,"_PIN","."),"PIN","."),_xlpm.mainPart,MID(_xlpm.cleanRaw,2,FIND(".",_xlpm.cleanRaw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802043</v>
      </c>
      <c r="H769" t="str">
        <f>""</f>
        <v/>
      </c>
      <c r="I769" t="str">
        <f>""</f>
        <v/>
      </c>
      <c r="J769" t="str">
        <f t="shared" si="11"/>
        <v>AV36;PCIE_14_SATA_1_RXN;CA248,LA296;17.475;16.7141999999999;602043;802043;;</v>
      </c>
    </row>
    <row r="770" spans="1:10">
      <c r="A770" t="s">
        <v>3838</v>
      </c>
      <c r="B770" t="str">
        <f>_xlfn.XLOOKUP(A770,SITE1!$V$4:$V$1034,SITE1!$U$4:$U$1034,"")</f>
        <v>VSS</v>
      </c>
      <c r="C770" t="str" cm="1">
        <f t="array" ref="C770">_xlfn.TEXTJOIN(",",TRUE,_xlfn.UNIQUE(TRANSPOSE(_xlfn.MAP(_xlfn.XLOOKUP(A770,SITE1!$C$4:$C$1034,SITE1!$F$4:$O$1034,""),_xlfn.LAMBDA(_xlpm.x,IF(_xlpm.x&lt;&gt;"",TRIM(CLEAN(LEFT(_xlpm.x,FIND(".",_xlpm.x &amp; ".")-1))),""))))))</f>
        <v/>
      </c>
      <c r="D770">
        <v>17.475000000000001</v>
      </c>
      <c r="E770">
        <v>18.0715</v>
      </c>
      <c r="F770" t="str">
        <f>_xlfn.LET(_xlpm.raw,_xlfn.XLOOKUP(A770,SITE1!$C$4:$C$1034,SITE1!$E$4:$E$1034),_xlpm.cleanRaw,SUBSTITUTE(SUBSTITUTE(_xlpm.raw,"_PIN","."),"PIN","."),_xlpm.mainPart,MID(_xlpm.cleanRaw,2,FIND(".",_xlpm.cleanRaw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0" t="str">
        <f>_xlfn.LET(_xlpm.raw,_xlfn.XLOOKUP(A770,SITE3!$C$4:$C$1034,SITE3!$E$4:$E$1034),_xlpm.cleanRaw,SUBSTITUTE(SUBSTITUTE(_xlpm.raw,"_PIN","."),"PIN","."),_xlpm.mainPart,MID(_xlpm.cleanRaw,2,FIND(".",_xlpm.cleanRaw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0" t="str">
        <f>""</f>
        <v/>
      </c>
      <c r="I770" t="str">
        <f>""</f>
        <v/>
      </c>
      <c r="J770" t="str">
        <f t="shared" ref="J770:J833" si="12">A770&amp;";"&amp;B770&amp;";"&amp;C770&amp;";"&amp;D770&amp;";"&amp;E770&amp;";"&amp;F770&amp;";"&amp;G770&amp;";"&amp;H770&amp;";"&amp;I770</f>
        <v>AV39;VSS;;17.475;18.0715;;;;</v>
      </c>
    </row>
    <row r="771" spans="1:10">
      <c r="A771" t="s">
        <v>2210</v>
      </c>
      <c r="B771" t="str">
        <f>_xlfn.XLOOKUP(A771,SITE1!$V$4:$V$1034,SITE1!$U$4:$U$1034,"")</f>
        <v>PCIE_18_SATA_5_RXN</v>
      </c>
      <c r="C771" t="str" cm="1">
        <f t="array" ref="C771">_xlfn.TEXTJOIN(",",TRUE,_xlfn.UNIQUE(TRANSPOSE(_xlfn.MAP(_xlfn.XLOOKUP(A771,SITE1!$C$4:$C$1034,SITE1!$F$4:$O$1034,""),_xlfn.LAMBDA(_xlpm.x,IF(_xlpm.x&lt;&gt;"",TRIM(CLEAN(LEFT(_xlpm.x,FIND(".",_xlpm.x &amp; ".")-1))),""))))))</f>
        <v>CA256,LA312</v>
      </c>
      <c r="D771">
        <v>17.475000000000001</v>
      </c>
      <c r="E771">
        <v>19.443200000000001</v>
      </c>
      <c r="F771" t="str">
        <f>_xlfn.LET(_xlpm.raw,_xlfn.XLOOKUP(A771,SITE1!$C$4:$C$1034,SITE1!$E$4:$E$1034),_xlpm.cleanRaw,SUBSTITUTE(SUBSTITUTE(_xlpm.raw,"_PIN","."),"PIN","."),_xlpm.mainPart,MID(_xlpm.cleanRaw,2,FIND(".",_xlpm.cleanRaw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704106</v>
      </c>
      <c r="G771" t="str">
        <f>_xlfn.LET(_xlpm.raw,_xlfn.XLOOKUP(A771,SITE3!$C$4:$C$1034,SITE3!$E$4:$E$1034),_xlpm.cleanRaw,SUBSTITUTE(SUBSTITUTE(_xlpm.raw,"_PIN","."),"PIN","."),_xlpm.mainPart,MID(_xlpm.cleanRaw,2,FIND(".",_xlpm.cleanRaw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504106</v>
      </c>
      <c r="H771" t="str">
        <f>""</f>
        <v/>
      </c>
      <c r="I771" t="str">
        <f>""</f>
        <v/>
      </c>
      <c r="J771" t="str">
        <f t="shared" si="12"/>
        <v>AV42;PCIE_18_SATA_5_RXN;CA256,LA312;17.475;19.4432;704106;504106;;</v>
      </c>
    </row>
    <row r="772" spans="1:10">
      <c r="A772" t="s">
        <v>3839</v>
      </c>
      <c r="B772" t="str">
        <f>_xlfn.XLOOKUP(A772,SITE1!$V$4:$V$1034,SITE1!$U$4:$U$1034,"")</f>
        <v>VSS</v>
      </c>
      <c r="C772" t="str" cm="1">
        <f t="array" ref="C772">_xlfn.TEXTJOIN(",",TRUE,_xlfn.UNIQUE(TRANSPOSE(_xlfn.MAP(_xlfn.XLOOKUP(A772,SITE1!$C$4:$C$1034,SITE1!$F$4:$O$1034,""),_xlfn.LAMBDA(_xlpm.x,IF(_xlpm.x&lt;&gt;"",TRIM(CLEAN(LEFT(_xlpm.x,FIND(".",_xlpm.x &amp; ".")-1))),""))))))</f>
        <v/>
      </c>
      <c r="D772">
        <v>17.475000000000001</v>
      </c>
      <c r="E772">
        <v>20.8005</v>
      </c>
      <c r="F772" t="str">
        <f>_xlfn.LET(_xlpm.raw,_xlfn.XLOOKUP(A772,SITE1!$C$4:$C$1034,SITE1!$E$4:$E$1034),_xlpm.cleanRaw,SUBSTITUTE(SUBSTITUTE(_xlpm.raw,"_PIN","."),"PIN","."),_xlpm.mainPart,MID(_xlpm.cleanRaw,2,FIND(".",_xlpm.cleanRaw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2" t="str">
        <f>_xlfn.LET(_xlpm.raw,_xlfn.XLOOKUP(A772,SITE3!$C$4:$C$1034,SITE3!$E$4:$E$1034),_xlpm.cleanRaw,SUBSTITUTE(SUBSTITUTE(_xlpm.raw,"_PIN","."),"PIN","."),_xlpm.mainPart,MID(_xlpm.cleanRaw,2,FIND(".",_xlpm.cleanRaw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2" t="str">
        <f>""</f>
        <v/>
      </c>
      <c r="I772" t="str">
        <f>""</f>
        <v/>
      </c>
      <c r="J772" t="str">
        <f t="shared" si="12"/>
        <v>AV44;VSS;;17.475;20.8005;;;;</v>
      </c>
    </row>
    <row r="773" spans="1:10">
      <c r="A773" t="s">
        <v>3664</v>
      </c>
      <c r="B773" t="str">
        <f>_xlfn.XLOOKUP(A773,SITE1!$V$4:$V$1034,SITE1!$U$4:$U$1034,"")</f>
        <v>VCCRTCEXT</v>
      </c>
      <c r="C773" t="str" cm="1">
        <f t="array" ref="C773">_xlfn.TEXTJOIN(",",TRUE,_xlfn.UNIQUE(TRANSPOSE(_xlfn.MAP(_xlfn.XLOOKUP(A773,SITE1!$C$4:$C$1034,SITE1!$F$4:$O$1034,""),_xlfn.LAMBDA(_xlpm.x,IF(_xlpm.x&lt;&gt;"",TRIM(CLEAN(LEFT(_xlpm.x,FIND(".",_xlpm.x &amp; ".")-1))),""))))))</f>
        <v/>
      </c>
      <c r="D773">
        <v>17.3003</v>
      </c>
      <c r="E773">
        <v>21.711399999999902</v>
      </c>
      <c r="F773" t="str">
        <f>_xlfn.LET(_xlpm.raw,_xlfn.XLOOKUP(A773,SITE1!$C$4:$C$1034,SITE1!$E$4:$E$1034),_xlpm.cleanRaw,SUBSTITUTE(SUBSTITUTE(_xlpm.raw,"_PIN","."),"PIN","."),_xlpm.mainPart,MID(_xlpm.cleanRaw,2,FIND(".",_xlpm.cleanRaw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706012</v>
      </c>
      <c r="G773" t="str">
        <f>_xlfn.LET(_xlpm.raw,_xlfn.XLOOKUP(A773,SITE3!$C$4:$C$1034,SITE3!$E$4:$E$1034),_xlpm.cleanRaw,SUBSTITUTE(SUBSTITUTE(_xlpm.raw,"_PIN","."),"PIN","."),_xlpm.mainPart,MID(_xlpm.cleanRaw,2,FIND(".",_xlpm.cleanRaw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506012</v>
      </c>
      <c r="H773" t="str">
        <f>""</f>
        <v/>
      </c>
      <c r="I773" t="str">
        <f>""</f>
        <v/>
      </c>
      <c r="J773" t="str">
        <f t="shared" si="12"/>
        <v>AV46;VCCRTCEXT;;17.3003;21.7113999999999;706012;506012;;</v>
      </c>
    </row>
    <row r="774" spans="1:10">
      <c r="A774" t="s">
        <v>1214</v>
      </c>
      <c r="B774" t="str">
        <f>_xlfn.XLOOKUP(A774,SITE1!$V$4:$V$1034,SITE1!$U$4:$U$1034,"")</f>
        <v>GPP_E_18_THC0_SPI1_IO_3</v>
      </c>
      <c r="C774" t="str" cm="1">
        <f t="array" ref="C774">_xlfn.TEXTJOIN(",",TRUE,_xlfn.UNIQUE(TRANSPOSE(_xlfn.MAP(_xlfn.XLOOKUP(A774,SITE1!$C$4:$C$1034,SITE1!$F$4:$O$1034,""),_xlfn.LAMBDA(_xlpm.x,IF(_xlpm.x&lt;&gt;"",TRIM(CLEAN(LEFT(_xlpm.x,FIND(".",_xlpm.x &amp; ".")-1))),""))))))</f>
        <v/>
      </c>
      <c r="D774">
        <v>17.3003</v>
      </c>
      <c r="E774">
        <v>22.422599999999999</v>
      </c>
      <c r="F774" t="str">
        <f>_xlfn.LET(_xlpm.raw,_xlfn.XLOOKUP(A774,SITE1!$C$4:$C$1034,SITE1!$E$4:$E$1034),_xlpm.cleanRaw,SUBSTITUTE(SUBSTITUTE(_xlpm.raw,"_PIN","."),"PIN","."),_xlpm.mainPart,MID(_xlpm.cleanRaw,2,FIND(".",_xlpm.cleanRaw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702080</v>
      </c>
      <c r="G774" t="str">
        <f>_xlfn.LET(_xlpm.raw,_xlfn.XLOOKUP(A774,SITE3!$C$4:$C$1034,SITE3!$E$4:$E$1034),_xlpm.cleanRaw,SUBSTITUTE(SUBSTITUTE(_xlpm.raw,"_PIN","."),"PIN","."),_xlpm.mainPart,MID(_xlpm.cleanRaw,2,FIND(".",_xlpm.cleanRaw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502080</v>
      </c>
      <c r="H774" t="str">
        <f>""</f>
        <v/>
      </c>
      <c r="I774" t="str">
        <f>""</f>
        <v/>
      </c>
      <c r="J774" t="str">
        <f t="shared" si="12"/>
        <v>AV48;GPP_E_18_THC0_SPI1_IO_3;;17.3003;22.4226;702080;502080;;</v>
      </c>
    </row>
    <row r="775" spans="1:10">
      <c r="A775" t="s">
        <v>3840</v>
      </c>
      <c r="B775" t="str">
        <f>_xlfn.XLOOKUP(A775,SITE1!$V$4:$V$1034,SITE1!$U$4:$U$1034,"")</f>
        <v>VSS</v>
      </c>
      <c r="C775" t="str" cm="1">
        <f t="array" ref="C775">_xlfn.TEXTJOIN(",",TRUE,_xlfn.UNIQUE(TRANSPOSE(_xlfn.MAP(_xlfn.XLOOKUP(A775,SITE1!$C$4:$C$1034,SITE1!$F$4:$O$1034,""),_xlfn.LAMBDA(_xlpm.x,IF(_xlpm.x&lt;&gt;"",TRIM(CLEAN(LEFT(_xlpm.x,FIND(".",_xlpm.x &amp; ".")-1))),""))))))</f>
        <v/>
      </c>
      <c r="D775">
        <v>17.5365</v>
      </c>
      <c r="E775">
        <v>23.104799999999901</v>
      </c>
      <c r="F775" t="str">
        <f>_xlfn.LET(_xlpm.raw,_xlfn.XLOOKUP(A775,SITE1!$C$4:$C$1034,SITE1!$E$4:$E$1034),_xlpm.cleanRaw,SUBSTITUTE(SUBSTITUTE(_xlpm.raw,"_PIN","."),"PIN","."),_xlpm.mainPart,MID(_xlpm.cleanRaw,2,FIND(".",_xlpm.cleanRaw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5" t="str">
        <f>_xlfn.LET(_xlpm.raw,_xlfn.XLOOKUP(A775,SITE3!$C$4:$C$1034,SITE3!$E$4:$E$1034),_xlpm.cleanRaw,SUBSTITUTE(SUBSTITUTE(_xlpm.raw,"_PIN","."),"PIN","."),_xlpm.mainPart,MID(_xlpm.cleanRaw,2,FIND(".",_xlpm.cleanRaw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5" t="str">
        <f>""</f>
        <v/>
      </c>
      <c r="I775" t="str">
        <f>""</f>
        <v/>
      </c>
      <c r="J775" t="str">
        <f t="shared" si="12"/>
        <v>AV49;VSS;;17.5365;23.1047999999999;;;;</v>
      </c>
    </row>
    <row r="776" spans="1:10">
      <c r="A776" t="s">
        <v>1299</v>
      </c>
      <c r="B776" t="str">
        <f>_xlfn.XLOOKUP(A776,SITE1!$V$4:$V$1034,SITE1!$U$4:$U$1034,"")</f>
        <v>GPP_F_13_SATA_SDATAOUT0_DIR_ESPI_SCI</v>
      </c>
      <c r="C776" t="str" cm="1">
        <f t="array" ref="C776">_xlfn.TEXTJOIN(",",TRUE,_xlfn.UNIQUE(TRANSPOSE(_xlfn.MAP(_xlfn.XLOOKUP(A776,SITE1!$C$4:$C$1034,SITE1!$F$4:$O$1034,""),_xlfn.LAMBDA(_xlpm.x,IF(_xlpm.x&lt;&gt;"",TRIM(CLEAN(LEFT(_xlpm.x,FIND(".",_xlpm.x &amp; ".")-1))),""))))))</f>
        <v/>
      </c>
      <c r="D776">
        <v>17.185700000000001</v>
      </c>
      <c r="E776">
        <v>24.894500000000001</v>
      </c>
      <c r="F776" t="str">
        <f>_xlfn.LET(_xlpm.raw,_xlfn.XLOOKUP(A776,SITE1!$C$4:$C$1034,SITE1!$E$4:$E$1034),_xlpm.cleanRaw,SUBSTITUTE(SUBSTITUTE(_xlpm.raw,"_PIN","."),"PIN","."),_xlpm.mainPart,MID(_xlpm.cleanRaw,2,FIND(".",_xlpm.cleanRaw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702079</v>
      </c>
      <c r="G776" t="str">
        <f>_xlfn.LET(_xlpm.raw,_xlfn.XLOOKUP(A776,SITE3!$C$4:$C$1034,SITE3!$E$4:$E$1034),_xlpm.cleanRaw,SUBSTITUTE(SUBSTITUTE(_xlpm.raw,"_PIN","."),"PIN","."),_xlpm.mainPart,MID(_xlpm.cleanRaw,2,FIND(".",_xlpm.cleanRaw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502079</v>
      </c>
      <c r="H776" t="str">
        <f>""</f>
        <v/>
      </c>
      <c r="I776" t="str">
        <f>""</f>
        <v/>
      </c>
      <c r="J776" t="str">
        <f t="shared" si="12"/>
        <v>AV53;GPP_F_13_SATA_SDATAOUT0_DIR_ESPI_SCI;;17.1857;24.8945;702079;502079;;</v>
      </c>
    </row>
    <row r="777" spans="1:10">
      <c r="A777" t="s">
        <v>1339</v>
      </c>
      <c r="B777" t="str">
        <f>_xlfn.XLOOKUP(A777,SITE1!$V$4:$V$1034,SITE1!$U$4:$U$1034,"")</f>
        <v>GPP_F_20_GMII_MDC_0</v>
      </c>
      <c r="C777" t="str" cm="1">
        <f t="array" ref="C777">_xlfn.TEXTJOIN(",",TRUE,_xlfn.UNIQUE(TRANSPOSE(_xlfn.MAP(_xlfn.XLOOKUP(A777,SITE1!$C$4:$C$1034,SITE1!$F$4:$O$1034,""),_xlfn.LAMBDA(_xlpm.x,IF(_xlpm.x&lt;&gt;"",TRIM(CLEAN(LEFT(_xlpm.x,FIND(".",_xlpm.x &amp; ".")-1))),""))))))</f>
        <v/>
      </c>
      <c r="D777">
        <v>17.4041</v>
      </c>
      <c r="E777">
        <v>25.351700000000001</v>
      </c>
      <c r="F777" t="str">
        <f>_xlfn.LET(_xlpm.raw,_xlfn.XLOOKUP(A777,SITE1!$C$4:$C$1034,SITE1!$E$4:$E$1034),_xlpm.cleanRaw,SUBSTITUTE(SUBSTITUTE(_xlpm.raw,"_PIN","."),"PIN","."),_xlpm.mainPart,MID(_xlpm.cleanRaw,2,FIND(".",_xlpm.cleanRaw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706007</v>
      </c>
      <c r="G777" t="str">
        <f>_xlfn.LET(_xlpm.raw,_xlfn.XLOOKUP(A777,SITE3!$C$4:$C$1034,SITE3!$E$4:$E$1034),_xlpm.cleanRaw,SUBSTITUTE(SUBSTITUTE(_xlpm.raw,"_PIN","."),"PIN","."),_xlpm.mainPart,MID(_xlpm.cleanRaw,2,FIND(".",_xlpm.cleanRaw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506007</v>
      </c>
      <c r="H777" t="str">
        <f>""</f>
        <v/>
      </c>
      <c r="I777" t="str">
        <f>""</f>
        <v/>
      </c>
      <c r="J777" t="str">
        <f t="shared" si="12"/>
        <v>AV54;GPP_F_20_GMII_MDC_0;;17.4041;25.3517;706007;506007;;</v>
      </c>
    </row>
    <row r="778" spans="1:10">
      <c r="A778" t="s">
        <v>1694</v>
      </c>
      <c r="B778" t="str">
        <f>_xlfn.XLOOKUP(A778,SITE1!$V$4:$V$1034,SITE1!$U$4:$U$1034,"")</f>
        <v>GPP_K_8_CORE_VID_0</v>
      </c>
      <c r="C778" t="str" cm="1">
        <f t="array" ref="C778">_xlfn.TEXTJOIN(",",TRUE,_xlfn.UNIQUE(TRANSPOSE(_xlfn.MAP(_xlfn.XLOOKUP(A778,SITE1!$C$4:$C$1034,SITE1!$F$4:$O$1034,""),_xlfn.LAMBDA(_xlpm.x,IF(_xlpm.x&lt;&gt;"",TRIM(CLEAN(LEFT(_xlpm.x,FIND(".",_xlpm.x &amp; ".")-1))),""))))))</f>
        <v/>
      </c>
      <c r="D778">
        <v>17.485399999999998</v>
      </c>
      <c r="E778">
        <v>25.8521</v>
      </c>
      <c r="F778" t="str">
        <f>_xlfn.LET(_xlpm.raw,_xlfn.XLOOKUP(A778,SITE1!$C$4:$C$1034,SITE1!$E$4:$E$1034),_xlpm.cleanRaw,SUBSTITUTE(SUBSTITUTE(_xlpm.raw,"_PIN","."),"PIN","."),_xlpm.mainPart,MID(_xlpm.cleanRaw,2,FIND(".",_xlpm.cleanRaw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707120</v>
      </c>
      <c r="G778" t="str">
        <f>_xlfn.LET(_xlpm.raw,_xlfn.XLOOKUP(A778,SITE3!$C$4:$C$1034,SITE3!$E$4:$E$1034),_xlpm.cleanRaw,SUBSTITUTE(SUBSTITUTE(_xlpm.raw,"_PIN","."),"PIN","."),_xlpm.mainPart,MID(_xlpm.cleanRaw,2,FIND(".",_xlpm.cleanRaw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507120</v>
      </c>
      <c r="H778" t="str">
        <f>""</f>
        <v/>
      </c>
      <c r="I778" t="str">
        <f>""</f>
        <v/>
      </c>
      <c r="J778" t="str">
        <f t="shared" si="12"/>
        <v>AV55;GPP_K_8_CORE_VID_0;;17.4854;25.8521;707120;507120;;</v>
      </c>
    </row>
    <row r="779" spans="1:10">
      <c r="A779" t="s">
        <v>1304</v>
      </c>
      <c r="B779" t="str">
        <f>_xlfn.XLOOKUP(A779,SITE1!$V$4:$V$1034,SITE1!$U$4:$U$1034,"")</f>
        <v>GPP_F_14</v>
      </c>
      <c r="C779" t="str" cm="1">
        <f t="array" ref="C779">_xlfn.TEXTJOIN(",",TRUE,_xlfn.UNIQUE(TRANSPOSE(_xlfn.MAP(_xlfn.XLOOKUP(A779,SITE1!$C$4:$C$1034,SITE1!$F$4:$O$1034,""),_xlfn.LAMBDA(_xlpm.x,IF(_xlpm.x&lt;&gt;"",TRIM(CLEAN(LEFT(_xlpm.x,FIND(".",_xlpm.x &amp; ".")-1))),""))))))</f>
        <v/>
      </c>
      <c r="D779">
        <v>17.455199999999898</v>
      </c>
      <c r="E779">
        <v>26.354500000000002</v>
      </c>
      <c r="F779" t="str">
        <f>_xlfn.LET(_xlpm.raw,_xlfn.XLOOKUP(A779,SITE1!$C$4:$C$1034,SITE1!$E$4:$E$1034),_xlpm.cleanRaw,SUBSTITUTE(SUBSTITUTE(_xlpm.raw,"_PIN","."),"PIN","."),_xlpm.mainPart,MID(_xlpm.cleanRaw,2,FIND(".",_xlpm.cleanRaw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601016</v>
      </c>
      <c r="G779" t="str">
        <f>_xlfn.LET(_xlpm.raw,_xlfn.XLOOKUP(A779,SITE3!$C$4:$C$1034,SITE3!$E$4:$E$1034),_xlpm.cleanRaw,SUBSTITUTE(SUBSTITUTE(_xlpm.raw,"_PIN","."),"PIN","."),_xlpm.mainPart,MID(_xlpm.cleanRaw,2,FIND(".",_xlpm.cleanRaw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801016</v>
      </c>
      <c r="H779" t="str">
        <f>""</f>
        <v/>
      </c>
      <c r="I779" t="str">
        <f>""</f>
        <v/>
      </c>
      <c r="J779" t="str">
        <f t="shared" si="12"/>
        <v>AV56;GPP_F_14;;17.4551999999999;26.3545;601016;801016;;</v>
      </c>
    </row>
    <row r="780" spans="1:10">
      <c r="A780" t="s">
        <v>3841</v>
      </c>
      <c r="B780" t="str">
        <f>_xlfn.XLOOKUP(A780,SITE1!$V$4:$V$1034,SITE1!$U$4:$U$1034,"")</f>
        <v>VSS</v>
      </c>
      <c r="C780" t="str" cm="1">
        <f t="array" ref="C780">_xlfn.TEXTJOIN(",",TRUE,_xlfn.UNIQUE(TRANSPOSE(_xlfn.MAP(_xlfn.XLOOKUP(A780,SITE1!$C$4:$C$1034,SITE1!$F$4:$O$1034,""),_xlfn.LAMBDA(_xlpm.x,IF(_xlpm.x&lt;&gt;"",TRIM(CLEAN(LEFT(_xlpm.x,FIND(".",_xlpm.x &amp; ".")-1))),""))))))</f>
        <v/>
      </c>
      <c r="D780">
        <v>17.261900000000001</v>
      </c>
      <c r="E780">
        <v>26.8782</v>
      </c>
      <c r="F780" t="str">
        <f>_xlfn.LET(_xlpm.raw,_xlfn.XLOOKUP(A780,SITE1!$C$4:$C$1034,SITE1!$E$4:$E$1034),_xlpm.cleanRaw,SUBSTITUTE(SUBSTITUTE(_xlpm.raw,"_PIN","."),"PIN","."),_xlpm.mainPart,MID(_xlpm.cleanRaw,2,FIND(".",_xlpm.cleanRaw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0" t="str">
        <f>_xlfn.LET(_xlpm.raw,_xlfn.XLOOKUP(A780,SITE3!$C$4:$C$1034,SITE3!$E$4:$E$1034),_xlpm.cleanRaw,SUBSTITUTE(SUBSTITUTE(_xlpm.raw,"_PIN","."),"PIN","."),_xlpm.mainPart,MID(_xlpm.cleanRaw,2,FIND(".",_xlpm.cleanRaw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0" t="str">
        <f>""</f>
        <v/>
      </c>
      <c r="I780" t="str">
        <f>""</f>
        <v/>
      </c>
      <c r="J780" t="str">
        <f t="shared" si="12"/>
        <v>AV57;VSS;;17.2619;26.8782;;;;</v>
      </c>
    </row>
    <row r="781" spans="1:10">
      <c r="A781" t="s">
        <v>1719</v>
      </c>
      <c r="B781" t="str">
        <f>_xlfn.XLOOKUP(A781,SITE1!$V$4:$V$1034,SITE1!$U$4:$U$1034,"")</f>
        <v>GPP_R_11_ISH_SPI_MISO_GSPI2_MISO</v>
      </c>
      <c r="C781" t="str" cm="1">
        <f t="array" ref="C781">_xlfn.TEXTJOIN(",",TRUE,_xlfn.UNIQUE(TRANSPOSE(_xlfn.MAP(_xlfn.XLOOKUP(A781,SITE1!$C$4:$C$1034,SITE1!$F$4:$O$1034,""),_xlfn.LAMBDA(_xlpm.x,IF(_xlpm.x&lt;&gt;"",TRIM(CLEAN(LEFT(_xlpm.x,FIND(".",_xlpm.x &amp; ".")-1))),""))))))</f>
        <v/>
      </c>
      <c r="D781">
        <v>17.950499999999899</v>
      </c>
      <c r="E781">
        <v>1.2211999999999901</v>
      </c>
      <c r="F781" t="str">
        <f>_xlfn.LET(_xlpm.raw,_xlfn.XLOOKUP(A781,SITE1!$C$4:$C$1034,SITE1!$E$4:$E$1034),_xlpm.cleanRaw,SUBSTITUTE(SUBSTITUTE(_xlpm.raw,"_PIN","."),"PIN","."),_xlpm.mainPart,MID(_xlpm.cleanRaw,2,FIND(".",_xlpm.cleanRaw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603128</v>
      </c>
      <c r="G781" t="str">
        <f>_xlfn.LET(_xlpm.raw,_xlfn.XLOOKUP(A781,SITE3!$C$4:$C$1034,SITE3!$E$4:$E$1034),_xlpm.cleanRaw,SUBSTITUTE(SUBSTITUTE(_xlpm.raw,"_PIN","."),"PIN","."),_xlpm.mainPart,MID(_xlpm.cleanRaw,2,FIND(".",_xlpm.cleanRaw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803128</v>
      </c>
      <c r="H781" t="str">
        <f>""</f>
        <v/>
      </c>
      <c r="I781" t="str">
        <f>""</f>
        <v/>
      </c>
      <c r="J781" t="str">
        <f t="shared" si="12"/>
        <v>AW3;GPP_R_11_ISH_SPI_MISO_GSPI2_MISO;;17.9504999999999;1.22119999999999;603128;803128;;</v>
      </c>
    </row>
    <row r="782" spans="1:10">
      <c r="A782" t="s">
        <v>1764</v>
      </c>
      <c r="B782" t="str">
        <f>_xlfn.XLOOKUP(A782,SITE1!$V$4:$V$1034,SITE1!$U$4:$U$1034,"")</f>
        <v>GPP_R_9_ISH_SPI_CSB_GSPI2_CS0B</v>
      </c>
      <c r="C782" t="str" cm="1">
        <f t="array" ref="C782">_xlfn.TEXTJOIN(",",TRUE,_xlfn.UNIQUE(TRANSPOSE(_xlfn.MAP(_xlfn.XLOOKUP(A782,SITE1!$C$4:$C$1034,SITE1!$F$4:$O$1034,""),_xlfn.LAMBDA(_xlpm.x,IF(_xlpm.x&lt;&gt;"",TRIM(CLEAN(LEFT(_xlpm.x,FIND(".",_xlpm.x &amp; ".")-1))),""))))))</f>
        <v/>
      </c>
      <c r="D782">
        <v>17.858499999999999</v>
      </c>
      <c r="E782">
        <v>1.7414000000000001</v>
      </c>
      <c r="F782" t="str">
        <f>_xlfn.LET(_xlpm.raw,_xlfn.XLOOKUP(A782,SITE1!$C$4:$C$1034,SITE1!$E$4:$E$1034),_xlpm.cleanRaw,SUBSTITUTE(SUBSTITUTE(_xlpm.raw,"_PIN","."),"PIN","."),_xlpm.mainPart,MID(_xlpm.cleanRaw,2,FIND(".",_xlpm.cleanRaw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603107</v>
      </c>
      <c r="G782" t="str">
        <f>_xlfn.LET(_xlpm.raw,_xlfn.XLOOKUP(A782,SITE3!$C$4:$C$1034,SITE3!$E$4:$E$1034),_xlpm.cleanRaw,SUBSTITUTE(SUBSTITUTE(_xlpm.raw,"_PIN","."),"PIN","."),_xlpm.mainPart,MID(_xlpm.cleanRaw,2,FIND(".",_xlpm.cleanRaw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803107</v>
      </c>
      <c r="H782" t="str">
        <f>""</f>
        <v/>
      </c>
      <c r="I782" t="str">
        <f>""</f>
        <v/>
      </c>
      <c r="J782" t="str">
        <f t="shared" si="12"/>
        <v>AW4;GPP_R_9_ISH_SPI_CSB_GSPI2_CS0B;;17.8585;1.7414;603107;803107;;</v>
      </c>
    </row>
    <row r="783" spans="1:10">
      <c r="A783" t="s">
        <v>1754</v>
      </c>
      <c r="B783" t="str">
        <f>_xlfn.XLOOKUP(A783,SITE1!$V$4:$V$1034,SITE1!$U$4:$U$1034,"")</f>
        <v>GPP_R_7_I2S1_SFRM</v>
      </c>
      <c r="C783" t="str" cm="1">
        <f t="array" ref="C783">_xlfn.TEXTJOIN(",",TRUE,_xlfn.UNIQUE(TRANSPOSE(_xlfn.MAP(_xlfn.XLOOKUP(A783,SITE1!$C$4:$C$1034,SITE1!$F$4:$O$1034,""),_xlfn.LAMBDA(_xlpm.x,IF(_xlpm.x&lt;&gt;"",TRIM(CLEAN(LEFT(_xlpm.x,FIND(".",_xlpm.x &amp; ".")-1))),""))))))</f>
        <v/>
      </c>
      <c r="D783">
        <v>17.884499999999999</v>
      </c>
      <c r="E783">
        <v>3.1497999999999902</v>
      </c>
      <c r="F783" t="str">
        <f>_xlfn.LET(_xlpm.raw,_xlfn.XLOOKUP(A783,SITE1!$C$4:$C$1034,SITE1!$E$4:$E$1034),_xlpm.cleanRaw,SUBSTITUTE(SUBSTITUTE(_xlpm.raw,"_PIN","."),"PIN","."),_xlpm.mainPart,MID(_xlpm.cleanRaw,2,FIND(".",_xlpm.cleanRaw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603109</v>
      </c>
      <c r="G783" t="str">
        <f>_xlfn.LET(_xlpm.raw,_xlfn.XLOOKUP(A783,SITE3!$C$4:$C$1034,SITE3!$E$4:$E$1034),_xlpm.cleanRaw,SUBSTITUTE(SUBSTITUTE(_xlpm.raw,"_PIN","."),"PIN","."),_xlpm.mainPart,MID(_xlpm.cleanRaw,2,FIND(".",_xlpm.cleanRaw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803109</v>
      </c>
      <c r="H783" t="str">
        <f>""</f>
        <v/>
      </c>
      <c r="I783" t="str">
        <f>""</f>
        <v/>
      </c>
      <c r="J783" t="str">
        <f t="shared" si="12"/>
        <v>AW7;GPP_R_7_I2S1_SFRM;;17.8845;3.14979999999999;603109;803109;;</v>
      </c>
    </row>
    <row r="784" spans="1:10">
      <c r="A784" t="s">
        <v>3842</v>
      </c>
      <c r="B784" t="str">
        <f>_xlfn.XLOOKUP(A784,SITE1!$V$4:$V$1034,SITE1!$U$4:$U$1034,"")</f>
        <v>VSS</v>
      </c>
      <c r="C784" t="str" cm="1">
        <f t="array" ref="C784">_xlfn.TEXTJOIN(",",TRUE,_xlfn.UNIQUE(TRANSPOSE(_xlfn.MAP(_xlfn.XLOOKUP(A784,SITE1!$C$4:$C$1034,SITE1!$F$4:$O$1034,""),_xlfn.LAMBDA(_xlpm.x,IF(_xlpm.x&lt;&gt;"",TRIM(CLEAN(LEFT(_xlpm.x,FIND(".",_xlpm.x &amp; ".")-1))),""))))))</f>
        <v/>
      </c>
      <c r="D784">
        <v>17.748100000000001</v>
      </c>
      <c r="E784">
        <v>5.7642999999999898</v>
      </c>
      <c r="F784" t="str">
        <f>_xlfn.LET(_xlpm.raw,_xlfn.XLOOKUP(A784,SITE1!$C$4:$C$1034,SITE1!$E$4:$E$1034),_xlpm.cleanRaw,SUBSTITUTE(SUBSTITUTE(_xlpm.raw,"_PIN","."),"PIN","."),_xlpm.mainPart,MID(_xlpm.cleanRaw,2,FIND(".",_xlpm.cleanRaw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4" t="str">
        <f>_xlfn.LET(_xlpm.raw,_xlfn.XLOOKUP(A784,SITE3!$C$4:$C$1034,SITE3!$E$4:$E$1034),_xlpm.cleanRaw,SUBSTITUTE(SUBSTITUTE(_xlpm.raw,"_PIN","."),"PIN","."),_xlpm.mainPart,MID(_xlpm.cleanRaw,2,FIND(".",_xlpm.cleanRaw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4" t="str">
        <f>""</f>
        <v/>
      </c>
      <c r="I784" t="str">
        <f>""</f>
        <v/>
      </c>
      <c r="J784" t="str">
        <f t="shared" si="12"/>
        <v>AW13;VSS;;17.7481;5.76429999999999;;;;</v>
      </c>
    </row>
    <row r="785" spans="1:10">
      <c r="A785" t="s">
        <v>3610</v>
      </c>
      <c r="B785" t="str">
        <f>_xlfn.XLOOKUP(A785,SITE1!$V$4:$V$1034,SITE1!$U$4:$U$1034,"")</f>
        <v>VCCPGPPI</v>
      </c>
      <c r="C785" t="str" cm="1">
        <f t="array" ref="C785">_xlfn.TEXTJOIN(",",TRUE,_xlfn.UNIQUE(TRANSPOSE(_xlfn.MAP(_xlfn.XLOOKUP(A785,SITE1!$C$4:$C$1034,SITE1!$F$4:$O$1034,""),_xlfn.LAMBDA(_xlpm.x,IF(_xlpm.x&lt;&gt;"",TRIM(CLEAN(LEFT(_xlpm.x,FIND(".",_xlpm.x &amp; ".")-1))),""))))))</f>
        <v/>
      </c>
      <c r="D785">
        <v>17.748100000000001</v>
      </c>
      <c r="E785">
        <v>6.4882</v>
      </c>
      <c r="F785" t="str">
        <f>_xlfn.LET(_xlpm.raw,_xlfn.XLOOKUP(A785,SITE1!$C$4:$C$1034,SITE1!$E$4:$E$1034),_xlpm.cleanRaw,SUBSTITUTE(SUBSTITUTE(_xlpm.raw,"_PIN","."),"PIN","."),_xlpm.mainPart,MID(_xlpm.cleanRaw,2,FIND(".",_xlpm.cleanRaw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5" t="str">
        <f>_xlfn.LET(_xlpm.raw,_xlfn.XLOOKUP(A785,SITE3!$C$4:$C$1034,SITE3!$E$4:$E$1034),_xlpm.cleanRaw,SUBSTITUTE(SUBSTITUTE(_xlpm.raw,"_PIN","."),"PIN","."),_xlpm.mainPart,MID(_xlpm.cleanRaw,2,FIND(".",_xlpm.cleanRaw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5" t="str">
        <f>""</f>
        <v/>
      </c>
      <c r="I785" t="str">
        <f>""</f>
        <v/>
      </c>
      <c r="J785" t="str">
        <f t="shared" si="12"/>
        <v>AW14;VCCPGPPI;;17.7481;6.4882;;;;</v>
      </c>
    </row>
    <row r="786" spans="1:10">
      <c r="A786" t="s">
        <v>1294</v>
      </c>
      <c r="B786" t="str">
        <f>_xlfn.XLOOKUP(A786,SITE1!$V$4:$V$1034,SITE1!$U$4:$U$1034,"")</f>
        <v>GPP_F_12_SATA_SDATAOUT1_DIR_ESPI_WAKE</v>
      </c>
      <c r="C786" t="str" cm="1">
        <f t="array" ref="C786">_xlfn.TEXTJOIN(",",TRUE,_xlfn.UNIQUE(TRANSPOSE(_xlfn.MAP(_xlfn.XLOOKUP(A786,SITE1!$C$4:$C$1034,SITE1!$F$4:$O$1034,""),_xlfn.LAMBDA(_xlpm.x,IF(_xlpm.x&lt;&gt;"",TRIM(CLEAN(LEFT(_xlpm.x,FIND(".",_xlpm.x &amp; ".")-1))),""))))))</f>
        <v/>
      </c>
      <c r="D786">
        <v>17.884499999999999</v>
      </c>
      <c r="E786">
        <v>23.728400000000001</v>
      </c>
      <c r="F786" t="str">
        <f>_xlfn.LET(_xlpm.raw,_xlfn.XLOOKUP(A786,SITE1!$C$4:$C$1034,SITE1!$E$4:$E$1034),_xlpm.cleanRaw,SUBSTITUTE(SUBSTITUTE(_xlpm.raw,"_PIN","."),"PIN","."),_xlpm.mainPart,MID(_xlpm.cleanRaw,2,FIND(".",_xlpm.cleanRaw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702081</v>
      </c>
      <c r="G786" t="str">
        <f>_xlfn.LET(_xlpm.raw,_xlfn.XLOOKUP(A786,SITE3!$C$4:$C$1034,SITE3!$E$4:$E$1034),_xlpm.cleanRaw,SUBSTITUTE(SUBSTITUTE(_xlpm.raw,"_PIN","."),"PIN","."),_xlpm.mainPart,MID(_xlpm.cleanRaw,2,FIND(".",_xlpm.cleanRaw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502081</v>
      </c>
      <c r="H786" t="str">
        <f>""</f>
        <v/>
      </c>
      <c r="I786" t="str">
        <f>""</f>
        <v/>
      </c>
      <c r="J786" t="str">
        <f t="shared" si="12"/>
        <v>AW51;GPP_F_12_SATA_SDATAOUT1_DIR_ESPI_WAKE;;17.8845;23.7284;702081;502081;;</v>
      </c>
    </row>
    <row r="787" spans="1:10">
      <c r="A787" t="s">
        <v>1699</v>
      </c>
      <c r="B787" t="str">
        <f>_xlfn.XLOOKUP(A787,SITE1!$V$4:$V$1034,SITE1!$U$4:$U$1034,"")</f>
        <v>GPP_K_9_CORE_VID_1</v>
      </c>
      <c r="C787" t="str" cm="1">
        <f t="array" ref="C787">_xlfn.TEXTJOIN(",",TRUE,_xlfn.UNIQUE(TRANSPOSE(_xlfn.MAP(_xlfn.XLOOKUP(A787,SITE1!$C$4:$C$1034,SITE1!$F$4:$O$1034,""),_xlfn.LAMBDA(_xlpm.x,IF(_xlpm.x&lt;&gt;"",TRIM(CLEAN(LEFT(_xlpm.x,FIND(".",_xlpm.x &amp; ".")-1))),""))))))</f>
        <v/>
      </c>
      <c r="D787">
        <v>17.858499999999999</v>
      </c>
      <c r="E787">
        <v>25.136800000000001</v>
      </c>
      <c r="F787" t="str">
        <f>_xlfn.LET(_xlpm.raw,_xlfn.XLOOKUP(A787,SITE1!$C$4:$C$1034,SITE1!$E$4:$E$1034),_xlpm.cleanRaw,SUBSTITUTE(SUBSTITUTE(_xlpm.raw,"_PIN","."),"PIN","."),_xlpm.mainPart,MID(_xlpm.cleanRaw,2,FIND(".",_xlpm.cleanRaw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708048</v>
      </c>
      <c r="G787" t="str">
        <f>_xlfn.LET(_xlpm.raw,_xlfn.XLOOKUP(A787,SITE3!$C$4:$C$1034,SITE3!$E$4:$E$1034),_xlpm.cleanRaw,SUBSTITUTE(SUBSTITUTE(_xlpm.raw,"_PIN","."),"PIN","."),_xlpm.mainPart,MID(_xlpm.cleanRaw,2,FIND(".",_xlpm.cleanRaw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508048</v>
      </c>
      <c r="H787" t="str">
        <f>""</f>
        <v/>
      </c>
      <c r="I787" t="str">
        <f>""</f>
        <v/>
      </c>
      <c r="J787" t="str">
        <f t="shared" si="12"/>
        <v>AW54;GPP_K_9_CORE_VID_1;;17.8585;25.1368;708048;508048;;</v>
      </c>
    </row>
    <row r="788" spans="1:10">
      <c r="A788" t="s">
        <v>1689</v>
      </c>
      <c r="B788" t="str">
        <f>_xlfn.XLOOKUP(A788,SITE1!$V$4:$V$1034,SITE1!$U$4:$U$1034,"")</f>
        <v>GPP_K_5_ADR_COMPLETE</v>
      </c>
      <c r="C788" t="str" cm="1">
        <f t="array" ref="C788">_xlfn.TEXTJOIN(",",TRUE,_xlfn.UNIQUE(TRANSPOSE(_xlfn.MAP(_xlfn.XLOOKUP(A788,SITE1!$C$4:$C$1034,SITE1!$F$4:$O$1034,""),_xlfn.LAMBDA(_xlpm.x,IF(_xlpm.x&lt;&gt;"",TRIM(CLEAN(LEFT(_xlpm.x,FIND(".",_xlpm.x &amp; ".")-1))),""))))))</f>
        <v/>
      </c>
      <c r="D788">
        <v>17.950499999999899</v>
      </c>
      <c r="E788">
        <v>25.657</v>
      </c>
      <c r="F788" t="str">
        <f>_xlfn.LET(_xlpm.raw,_xlfn.XLOOKUP(A788,SITE1!$C$4:$C$1034,SITE1!$E$4:$E$1034),_xlpm.cleanRaw,SUBSTITUTE(SUBSTITUTE(_xlpm.raw,"_PIN","."),"PIN","."),_xlpm.mainPart,MID(_xlpm.cleanRaw,2,FIND(".",_xlpm.cleanRaw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707095</v>
      </c>
      <c r="G788" t="str">
        <f>_xlfn.LET(_xlpm.raw,_xlfn.XLOOKUP(A788,SITE3!$C$4:$C$1034,SITE3!$E$4:$E$1034),_xlpm.cleanRaw,SUBSTITUTE(SUBSTITUTE(_xlpm.raw,"_PIN","."),"PIN","."),_xlpm.mainPart,MID(_xlpm.cleanRaw,2,FIND(".",_xlpm.cleanRaw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507095</v>
      </c>
      <c r="H788" t="str">
        <f>""</f>
        <v/>
      </c>
      <c r="I788" t="str">
        <f>""</f>
        <v/>
      </c>
      <c r="J788" t="str">
        <f t="shared" si="12"/>
        <v>AW55;GPP_K_5_ADR_COMPLETE;;17.9504999999999;25.657;707095;507095;;</v>
      </c>
    </row>
    <row r="789" spans="1:10">
      <c r="A789" t="s">
        <v>1714</v>
      </c>
      <c r="B789" t="str">
        <f>_xlfn.XLOOKUP(A789,SITE1!$V$4:$V$1034,SITE1!$U$4:$U$1034,"")</f>
        <v>GPP_R_10_ISH_SPI_CLK_GSPI2_CLK</v>
      </c>
      <c r="C789" t="str" cm="1">
        <f t="array" ref="C789">_xlfn.TEXTJOIN(",",TRUE,_xlfn.UNIQUE(TRANSPOSE(_xlfn.MAP(_xlfn.XLOOKUP(A789,SITE1!$C$4:$C$1034,SITE1!$F$4:$O$1034,""),_xlfn.LAMBDA(_xlpm.x,IF(_xlpm.x&lt;&gt;"",TRIM(CLEAN(LEFT(_xlpm.x,FIND(".",_xlpm.x &amp; ".")-1))),""))))))</f>
        <v/>
      </c>
      <c r="D789">
        <v>18.313400000000001</v>
      </c>
      <c r="E789">
        <v>0.73659999999999903</v>
      </c>
      <c r="F789" t="str">
        <f>_xlfn.LET(_xlpm.raw,_xlfn.XLOOKUP(A789,SITE1!$C$4:$C$1034,SITE1!$E$4:$E$1034),_xlpm.cleanRaw,SUBSTITUTE(SUBSTITUTE(_xlpm.raw,"_PIN","."),"PIN","."),_xlpm.mainPart,MID(_xlpm.cleanRaw,2,FIND(".",_xlpm.cleanRaw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605054</v>
      </c>
      <c r="G789" t="str">
        <f>_xlfn.LET(_xlpm.raw,_xlfn.XLOOKUP(A789,SITE3!$C$4:$C$1034,SITE3!$E$4:$E$1034),_xlpm.cleanRaw,SUBSTITUTE(SUBSTITUTE(_xlpm.raw,"_PIN","."),"PIN","."),_xlpm.mainPart,MID(_xlpm.cleanRaw,2,FIND(".",_xlpm.cleanRaw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805054</v>
      </c>
      <c r="H789" t="str">
        <f>""</f>
        <v/>
      </c>
      <c r="I789" t="str">
        <f>""</f>
        <v/>
      </c>
      <c r="J789" t="str">
        <f t="shared" si="12"/>
        <v>AY2;GPP_R_10_ISH_SPI_CLK_GSPI2_CLK;;18.3134;0.736599999999999;605054;805054;;</v>
      </c>
    </row>
    <row r="790" spans="1:10">
      <c r="A790" t="s">
        <v>2817</v>
      </c>
      <c r="B790" t="str">
        <f>_xlfn.XLOOKUP(A790,SITE1!$V$4:$V$1034,SITE1!$U$4:$U$1034,"")</f>
        <v>RTESTB</v>
      </c>
      <c r="C790" t="str" cm="1">
        <f t="array" ref="C790">_xlfn.TEXTJOIN(",",TRUE,_xlfn.UNIQUE(TRANSPOSE(_xlfn.MAP(_xlfn.XLOOKUP(A790,SITE1!$C$4:$C$1034,SITE1!$F$4:$O$1034,""),_xlfn.LAMBDA(_xlpm.x,IF(_xlpm.x&lt;&gt;"",TRIM(CLEAN(LEFT(_xlpm.x,FIND(".",_xlpm.x &amp; ".")-1))),""))))))</f>
        <v/>
      </c>
      <c r="D790">
        <v>18.467099999999999</v>
      </c>
      <c r="E790">
        <v>1.28009999999999</v>
      </c>
      <c r="F790" t="str">
        <f>_xlfn.LET(_xlpm.raw,_xlfn.XLOOKUP(A790,SITE1!$C$4:$C$1034,SITE1!$E$4:$E$1034),_xlpm.cleanRaw,SUBSTITUTE(SUBSTITUTE(_xlpm.raw,"_PIN","."),"PIN","."),_xlpm.mainPart,MID(_xlpm.cleanRaw,2,FIND(".",_xlpm.cleanRaw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604013</v>
      </c>
      <c r="G790" t="str">
        <f>_xlfn.LET(_xlpm.raw,_xlfn.XLOOKUP(A790,SITE3!$C$4:$C$1034,SITE3!$E$4:$E$1034),_xlpm.cleanRaw,SUBSTITUTE(SUBSTITUTE(_xlpm.raw,"_PIN","."),"PIN","."),_xlpm.mainPart,MID(_xlpm.cleanRaw,2,FIND(".",_xlpm.cleanRaw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804013</v>
      </c>
      <c r="H790" t="str">
        <f>""</f>
        <v/>
      </c>
      <c r="I790" t="str">
        <f>""</f>
        <v/>
      </c>
      <c r="J790" t="str">
        <f t="shared" si="12"/>
        <v>AY3;RTESTB;;18.4671;1.28009999999999;604013;804013;;</v>
      </c>
    </row>
    <row r="791" spans="1:10">
      <c r="A791" t="s">
        <v>3847</v>
      </c>
      <c r="B791" t="str">
        <f>_xlfn.XLOOKUP(A791,SITE1!$V$4:$V$1034,SITE1!$U$4:$U$1034,"")</f>
        <v>VSS</v>
      </c>
      <c r="C791" t="str" cm="1">
        <f t="array" ref="C791">_xlfn.TEXTJOIN(",",TRUE,_xlfn.UNIQUE(TRANSPOSE(_xlfn.MAP(_xlfn.XLOOKUP(A791,SITE1!$C$4:$C$1034,SITE1!$F$4:$O$1034,""),_xlfn.LAMBDA(_xlpm.x,IF(_xlpm.x&lt;&gt;"",TRIM(CLEAN(LEFT(_xlpm.x,FIND(".",_xlpm.x &amp; ".")-1))),""))))))</f>
        <v/>
      </c>
      <c r="D791">
        <v>18.360399999999998</v>
      </c>
      <c r="E791">
        <v>1.7795000000000001</v>
      </c>
      <c r="F791" t="str">
        <f>_xlfn.LET(_xlpm.raw,_xlfn.XLOOKUP(A791,SITE1!$C$4:$C$1034,SITE1!$E$4:$E$1034),_xlpm.cleanRaw,SUBSTITUTE(SUBSTITUTE(_xlpm.raw,"_PIN","."),"PIN","."),_xlpm.mainPart,MID(_xlpm.cleanRaw,2,FIND(".",_xlpm.cleanRaw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1" t="str">
        <f>_xlfn.LET(_xlpm.raw,_xlfn.XLOOKUP(A791,SITE3!$C$4:$C$1034,SITE3!$E$4:$E$1034),_xlpm.cleanRaw,SUBSTITUTE(SUBSTITUTE(_xlpm.raw,"_PIN","."),"PIN","."),_xlpm.mainPart,MID(_xlpm.cleanRaw,2,FIND(".",_xlpm.cleanRaw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1" t="str">
        <f>""</f>
        <v/>
      </c>
      <c r="I791" t="str">
        <f>""</f>
        <v/>
      </c>
      <c r="J791" t="str">
        <f t="shared" si="12"/>
        <v>AY5;VSS;;18.3604;1.7795;;;;</v>
      </c>
    </row>
    <row r="792" spans="1:10">
      <c r="A792" t="s">
        <v>1704</v>
      </c>
      <c r="B792" t="str">
        <f>_xlfn.XLOOKUP(A792,SITE1!$V$4:$V$1034,SITE1!$U$4:$U$1034,"")</f>
        <v>GPP_R_0_HDA_BCLK_I2S0_SCLK_HDACPU_BCLK_DMIC_CLK_A_1</v>
      </c>
      <c r="C792" t="str" cm="1">
        <f t="array" ref="C792">_xlfn.TEXTJOIN(",",TRUE,_xlfn.UNIQUE(TRANSPOSE(_xlfn.MAP(_xlfn.XLOOKUP(A792,SITE1!$C$4:$C$1034,SITE1!$F$4:$O$1034,""),_xlfn.LAMBDA(_xlpm.x,IF(_xlpm.x&lt;&gt;"",TRIM(CLEAN(LEFT(_xlpm.x,FIND(".",_xlpm.x &amp; ".")-1))),""))))))</f>
        <v/>
      </c>
      <c r="D792">
        <v>18.2255</v>
      </c>
      <c r="E792">
        <v>2.4931999999999999</v>
      </c>
      <c r="F792" t="str">
        <f>_xlfn.LET(_xlpm.raw,_xlfn.XLOOKUP(A792,SITE1!$C$4:$C$1034,SITE1!$E$4:$E$1034),_xlpm.cleanRaw,SUBSTITUTE(SUBSTITUTE(_xlpm.raw,"_PIN","."),"PIN","."),_xlpm.mainPart,MID(_xlpm.cleanRaw,2,FIND(".",_xlpm.cleanRaw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601007</v>
      </c>
      <c r="G792" t="str">
        <f>_xlfn.LET(_xlpm.raw,_xlfn.XLOOKUP(A792,SITE3!$C$4:$C$1034,SITE3!$E$4:$E$1034),_xlpm.cleanRaw,SUBSTITUTE(SUBSTITUTE(_xlpm.raw,"_PIN","."),"PIN","."),_xlpm.mainPart,MID(_xlpm.cleanRaw,2,FIND(".",_xlpm.cleanRaw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801007</v>
      </c>
      <c r="H792" t="str">
        <f>""</f>
        <v/>
      </c>
      <c r="I792" t="str">
        <f>""</f>
        <v/>
      </c>
      <c r="J792" t="str">
        <f t="shared" si="12"/>
        <v>AY6;GPP_R_0_HDA_BCLK_I2S0_SCLK_HDACPU_BCLK_DMIC_CLK_A_1;;18.2255;2.4932;601007;801007;;</v>
      </c>
    </row>
    <row r="793" spans="1:10">
      <c r="A793" t="s">
        <v>3843</v>
      </c>
      <c r="B793" t="str">
        <f>_xlfn.XLOOKUP(A793,SITE1!$V$4:$V$1034,SITE1!$U$4:$U$1034,"")</f>
        <v>VSS</v>
      </c>
      <c r="C793" t="str" cm="1">
        <f t="array" ref="C793">_xlfn.TEXTJOIN(",",TRUE,_xlfn.UNIQUE(TRANSPOSE(_xlfn.MAP(_xlfn.XLOOKUP(A793,SITE1!$C$4:$C$1034,SITE1!$F$4:$O$1034,""),_xlfn.LAMBDA(_xlpm.x,IF(_xlpm.x&lt;&gt;"",TRIM(CLEAN(LEFT(_xlpm.x,FIND(".",_xlpm.x &amp; ".")-1))),""))))))</f>
        <v/>
      </c>
      <c r="D793">
        <v>18.238799999999902</v>
      </c>
      <c r="E793">
        <v>4.8108000000000004</v>
      </c>
      <c r="F793" t="str">
        <f>_xlfn.LET(_xlpm.raw,_xlfn.XLOOKUP(A793,SITE1!$C$4:$C$1034,SITE1!$E$4:$E$1034),_xlpm.cleanRaw,SUBSTITUTE(SUBSTITUTE(_xlpm.raw,"_PIN","."),"PIN","."),_xlpm.mainPart,MID(_xlpm.cleanRaw,2,FIND(".",_xlpm.cleanRaw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3" t="str">
        <f>_xlfn.LET(_xlpm.raw,_xlfn.XLOOKUP(A793,SITE3!$C$4:$C$1034,SITE3!$E$4:$E$1034),_xlpm.cleanRaw,SUBSTITUTE(SUBSTITUTE(_xlpm.raw,"_PIN","."),"PIN","."),_xlpm.mainPart,MID(_xlpm.cleanRaw,2,FIND(".",_xlpm.cleanRaw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3" t="str">
        <f>""</f>
        <v/>
      </c>
      <c r="I793" t="str">
        <f>""</f>
        <v/>
      </c>
      <c r="J793" t="str">
        <f t="shared" si="12"/>
        <v>AY11;VSS;;18.2387999999999;4.8108;;;;</v>
      </c>
    </row>
    <row r="794" spans="1:10">
      <c r="A794" t="s">
        <v>3844</v>
      </c>
      <c r="B794" t="str">
        <f>_xlfn.XLOOKUP(A794,SITE1!$V$4:$V$1034,SITE1!$U$4:$U$1034,"")</f>
        <v>VSS</v>
      </c>
      <c r="C794" t="str" cm="1">
        <f t="array" ref="C794">_xlfn.TEXTJOIN(",",TRUE,_xlfn.UNIQUE(TRANSPOSE(_xlfn.MAP(_xlfn.XLOOKUP(A794,SITE1!$C$4:$C$1034,SITE1!$F$4:$O$1034,""),_xlfn.LAMBDA(_xlpm.x,IF(_xlpm.x&lt;&gt;"",TRIM(CLEAN(LEFT(_xlpm.x,FIND(".",_xlpm.x &amp; ".")-1))),""))))))</f>
        <v/>
      </c>
      <c r="D794">
        <v>18.186199999999999</v>
      </c>
      <c r="E794">
        <v>8.5272000000000006</v>
      </c>
      <c r="F794" t="str">
        <f>_xlfn.LET(_xlpm.raw,_xlfn.XLOOKUP(A794,SITE1!$C$4:$C$1034,SITE1!$E$4:$E$1034),_xlpm.cleanRaw,SUBSTITUTE(SUBSTITUTE(_xlpm.raw,"_PIN","."),"PIN","."),_xlpm.mainPart,MID(_xlpm.cleanRaw,2,FIND(".",_xlpm.cleanRaw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4" t="str">
        <f>_xlfn.LET(_xlpm.raw,_xlfn.XLOOKUP(A794,SITE3!$C$4:$C$1034,SITE3!$E$4:$E$1034),_xlpm.cleanRaw,SUBSTITUTE(SUBSTITUTE(_xlpm.raw,"_PIN","."),"PIN","."),_xlpm.mainPart,MID(_xlpm.cleanRaw,2,FIND(".",_xlpm.cleanRaw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4" t="str">
        <f>""</f>
        <v/>
      </c>
      <c r="I794" t="str">
        <f>""</f>
        <v/>
      </c>
      <c r="J794" t="str">
        <f t="shared" si="12"/>
        <v>AY19;VSS;;18.1862;8.5272;;;;</v>
      </c>
    </row>
    <row r="795" spans="1:10">
      <c r="A795" t="s">
        <v>2492</v>
      </c>
      <c r="B795" t="str">
        <f>_xlfn.XLOOKUP(A795,SITE1!$V$4:$V$1034,SITE1!$U$4:$U$1034,"")</f>
        <v>PCIE_3_LAN_0A_RXN</v>
      </c>
      <c r="C795" t="str" cm="1">
        <f t="array" ref="C795">_xlfn.TEXTJOIN(",",TRUE,_xlfn.UNIQUE(TRANSPOSE(_xlfn.MAP(_xlfn.XLOOKUP(A795,SITE1!$C$4:$C$1034,SITE1!$F$4:$O$1034,""),_xlfn.LAMBDA(_xlpm.x,IF(_xlpm.x&lt;&gt;"",TRIM(CLEAN(LEFT(_xlpm.x,FIND(".",_xlpm.x &amp; ".")-1))),""))))))</f>
        <v>CA226,LA252</v>
      </c>
      <c r="D795">
        <v>18.186199999999999</v>
      </c>
      <c r="E795">
        <v>9.8844999999999992</v>
      </c>
      <c r="F795" t="str">
        <f>_xlfn.LET(_xlpm.raw,_xlfn.XLOOKUP(A795,SITE1!$C$4:$C$1034,SITE1!$E$4:$E$1034),_xlpm.cleanRaw,SUBSTITUTE(SUBSTITUTE(_xlpm.raw,"_PIN","."),"PIN","."),_xlpm.mainPart,MID(_xlpm.cleanRaw,2,FIND(".",_xlpm.cleanRaw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703038</v>
      </c>
      <c r="G795" t="str">
        <f>_xlfn.LET(_xlpm.raw,_xlfn.XLOOKUP(A795,SITE3!$C$4:$C$1034,SITE3!$E$4:$E$1034),_xlpm.cleanRaw,SUBSTITUTE(SUBSTITUTE(_xlpm.raw,"_PIN","."),"PIN","."),_xlpm.mainPart,MID(_xlpm.cleanRaw,2,FIND(".",_xlpm.cleanRaw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503038</v>
      </c>
      <c r="H795" t="str">
        <f>""</f>
        <v/>
      </c>
      <c r="I795" t="str">
        <f>""</f>
        <v/>
      </c>
      <c r="J795" t="str">
        <f t="shared" si="12"/>
        <v>AY22;PCIE_3_LAN_0A_RXN;CA226,LA252;18.1862;9.8845;703038;503038;;</v>
      </c>
    </row>
    <row r="796" spans="1:10">
      <c r="A796" t="s">
        <v>2608</v>
      </c>
      <c r="B796" t="str">
        <f>_xlfn.XLOOKUP(A796,SITE1!$V$4:$V$1034,SITE1!$U$4:$U$1034,"")</f>
        <v>PCIE_6_RXP</v>
      </c>
      <c r="C796" t="str" cm="1">
        <f t="array" ref="C796">_xlfn.TEXTJOIN(",",TRUE,_xlfn.UNIQUE(TRANSPOSE(_xlfn.MAP(_xlfn.XLOOKUP(A796,SITE1!$C$4:$C$1034,SITE1!$F$4:$O$1034,""),_xlfn.LAMBDA(_xlpm.x,IF(_xlpm.x&lt;&gt;"",TRIM(CLEAN(LEFT(_xlpm.x,FIND(".",_xlpm.x &amp; ".")-1))),""))))))</f>
        <v>CA231,LA262</v>
      </c>
      <c r="D796">
        <v>18.186199999999999</v>
      </c>
      <c r="E796">
        <v>11.2562</v>
      </c>
      <c r="F796" t="str">
        <f>_xlfn.LET(_xlpm.raw,_xlfn.XLOOKUP(A796,SITE1!$C$4:$C$1034,SITE1!$E$4:$E$1034),_xlpm.cleanRaw,SUBSTITUTE(SUBSTITUTE(_xlpm.raw,"_PIN","."),"PIN","."),_xlpm.mainPart,MID(_xlpm.cleanRaw,2,FIND(".",_xlpm.cleanRaw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704092</v>
      </c>
      <c r="G796" t="str">
        <f>_xlfn.LET(_xlpm.raw,_xlfn.XLOOKUP(A796,SITE3!$C$4:$C$1034,SITE3!$E$4:$E$1034),_xlpm.cleanRaw,SUBSTITUTE(SUBSTITUTE(_xlpm.raw,"_PIN","."),"PIN","."),_xlpm.mainPart,MID(_xlpm.cleanRaw,2,FIND(".",_xlpm.cleanRaw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504092</v>
      </c>
      <c r="H796" t="str">
        <f>""</f>
        <v/>
      </c>
      <c r="I796" t="str">
        <f>""</f>
        <v/>
      </c>
      <c r="J796" t="str">
        <f t="shared" si="12"/>
        <v>AY24;PCIE_6_RXP;CA231,LA262;18.1862;11.2562;704092;504092;;</v>
      </c>
    </row>
    <row r="797" spans="1:10">
      <c r="A797" t="s">
        <v>2633</v>
      </c>
      <c r="B797" t="str">
        <f>_xlfn.XLOOKUP(A797,SITE1!$V$4:$V$1034,SITE1!$U$4:$U$1034,"")</f>
        <v>PCIE_7_LAN_0B_RXN</v>
      </c>
      <c r="C797" t="str" cm="1">
        <f t="array" ref="C797">_xlfn.TEXTJOIN(",",TRUE,_xlfn.UNIQUE(TRANSPOSE(_xlfn.MAP(_xlfn.XLOOKUP(A797,SITE1!$C$4:$C$1034,SITE1!$F$4:$O$1034,""),_xlfn.LAMBDA(_xlpm.x,IF(_xlpm.x&lt;&gt;"",TRIM(CLEAN(LEFT(_xlpm.x,FIND(".",_xlpm.x &amp; ".")-1))),""))))))</f>
        <v>CA234,LA268</v>
      </c>
      <c r="D797">
        <v>18.186199999999999</v>
      </c>
      <c r="E797">
        <v>12.6135</v>
      </c>
      <c r="F797" t="str">
        <f>_xlfn.LET(_xlpm.raw,_xlfn.XLOOKUP(A797,SITE1!$C$4:$C$1034,SITE1!$E$4:$E$1034),_xlpm.cleanRaw,SUBSTITUTE(SUBSTITUTE(_xlpm.raw,"_PIN","."),"PIN","."),_xlpm.mainPart,MID(_xlpm.cleanRaw,2,FIND(".",_xlpm.cleanRaw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704103</v>
      </c>
      <c r="G797" t="str">
        <f>_xlfn.LET(_xlpm.raw,_xlfn.XLOOKUP(A797,SITE3!$C$4:$C$1034,SITE3!$E$4:$E$1034),_xlpm.cleanRaw,SUBSTITUTE(SUBSTITUTE(_xlpm.raw,"_PIN","."),"PIN","."),_xlpm.mainPart,MID(_xlpm.cleanRaw,2,FIND(".",_xlpm.cleanRaw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504103</v>
      </c>
      <c r="H797" t="str">
        <f>""</f>
        <v/>
      </c>
      <c r="I797" t="str">
        <f>""</f>
        <v/>
      </c>
      <c r="J797" t="str">
        <f t="shared" si="12"/>
        <v>AY27;PCIE_7_LAN_0B_RXN;CA234,LA268;18.1862;12.6135;704103;504103;;</v>
      </c>
    </row>
    <row r="798" spans="1:10">
      <c r="A798" t="s">
        <v>1936</v>
      </c>
      <c r="B798" t="str">
        <f>_xlfn.XLOOKUP(A798,SITE1!$V$4:$V$1034,SITE1!$U$4:$U$1034,"")</f>
        <v>PCIE_10_TSN_1_RXP</v>
      </c>
      <c r="C798" t="str" cm="1">
        <f t="array" ref="C798">_xlfn.TEXTJOIN(",",TRUE,_xlfn.UNIQUE(TRANSPOSE(_xlfn.MAP(_xlfn.XLOOKUP(A798,SITE1!$C$4:$C$1034,SITE1!$F$4:$O$1034,""),_xlfn.LAMBDA(_xlpm.x,IF(_xlpm.x&lt;&gt;"",TRIM(CLEAN(LEFT(_xlpm.x,FIND(".",_xlpm.x &amp; ".")-1))),""))))))</f>
        <v>CA239,LA278</v>
      </c>
      <c r="D798">
        <v>18.186199999999999</v>
      </c>
      <c r="E798">
        <v>13.985199999999899</v>
      </c>
      <c r="F798" t="str">
        <f>_xlfn.LET(_xlpm.raw,_xlfn.XLOOKUP(A798,SITE1!$C$4:$C$1034,SITE1!$E$4:$E$1034),_xlpm.cleanRaw,SUBSTITUTE(SUBSTITUTE(_xlpm.raw,"_PIN","."),"PIN","."),_xlpm.mainPart,MID(_xlpm.cleanRaw,2,FIND(".",_xlpm.cleanRaw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703019</v>
      </c>
      <c r="G798" t="str">
        <f>_xlfn.LET(_xlpm.raw,_xlfn.XLOOKUP(A798,SITE3!$C$4:$C$1034,SITE3!$E$4:$E$1034),_xlpm.cleanRaw,SUBSTITUTE(SUBSTITUTE(_xlpm.raw,"_PIN","."),"PIN","."),_xlpm.mainPart,MID(_xlpm.cleanRaw,2,FIND(".",_xlpm.cleanRaw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503019</v>
      </c>
      <c r="H798" t="str">
        <f>""</f>
        <v/>
      </c>
      <c r="I798" t="str">
        <f>""</f>
        <v/>
      </c>
      <c r="J798" t="str">
        <f t="shared" si="12"/>
        <v>AY30;PCIE_10_TSN_1_RXP;CA239,LA278;18.1862;13.9851999999999;703019;503019;;</v>
      </c>
    </row>
    <row r="799" spans="1:10">
      <c r="A799" t="s">
        <v>1961</v>
      </c>
      <c r="B799" t="str">
        <f>_xlfn.XLOOKUP(A799,SITE1!$V$4:$V$1034,SITE1!$U$4:$U$1034,"")</f>
        <v>PCIE_11_RXN</v>
      </c>
      <c r="C799" t="str" cm="1">
        <f t="array" ref="C799">_xlfn.TEXTJOIN(",",TRUE,_xlfn.UNIQUE(TRANSPOSE(_xlfn.MAP(_xlfn.XLOOKUP(A799,SITE1!$C$4:$C$1034,SITE1!$F$4:$O$1034,""),_xlfn.LAMBDA(_xlpm.x,IF(_xlpm.x&lt;&gt;"",TRIM(CLEAN(LEFT(_xlpm.x,FIND(".",_xlpm.x &amp; ".")-1))),""))))))</f>
        <v>CA242,LA284</v>
      </c>
      <c r="D799">
        <v>18.186199999999999</v>
      </c>
      <c r="E799">
        <v>15.342499999999999</v>
      </c>
      <c r="F799" t="str">
        <f>_xlfn.LET(_xlpm.raw,_xlfn.XLOOKUP(A799,SITE1!$C$4:$C$1034,SITE1!$E$4:$E$1034),_xlpm.cleanRaw,SUBSTITUTE(SUBSTITUTE(_xlpm.raw,"_PIN","."),"PIN","."),_xlpm.mainPart,MID(_xlpm.cleanRaw,2,FIND(".",_xlpm.cleanRaw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702042</v>
      </c>
      <c r="G799" t="str">
        <f>_xlfn.LET(_xlpm.raw,_xlfn.XLOOKUP(A799,SITE3!$C$4:$C$1034,SITE3!$E$4:$E$1034),_xlpm.cleanRaw,SUBSTITUTE(SUBSTITUTE(_xlpm.raw,"_PIN","."),"PIN","."),_xlpm.mainPart,MID(_xlpm.cleanRaw,2,FIND(".",_xlpm.cleanRaw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502042</v>
      </c>
      <c r="H799" t="str">
        <f>""</f>
        <v/>
      </c>
      <c r="I799" t="str">
        <f>""</f>
        <v/>
      </c>
      <c r="J799" t="str">
        <f t="shared" si="12"/>
        <v>AY33;PCIE_11_RXN;CA242,LA284;18.1862;15.3425;702042;502042;;</v>
      </c>
    </row>
    <row r="800" spans="1:10">
      <c r="A800" t="s">
        <v>2079</v>
      </c>
      <c r="B800" t="str">
        <f>_xlfn.XLOOKUP(A800,SITE1!$V$4:$V$1034,SITE1!$U$4:$U$1034,"")</f>
        <v>PCIE_14_SATA_1_RXP</v>
      </c>
      <c r="C800" t="str" cm="1">
        <f t="array" ref="C800">_xlfn.TEXTJOIN(",",TRUE,_xlfn.UNIQUE(TRANSPOSE(_xlfn.MAP(_xlfn.XLOOKUP(A800,SITE1!$C$4:$C$1034,SITE1!$F$4:$O$1034,""),_xlfn.LAMBDA(_xlpm.x,IF(_xlpm.x&lt;&gt;"",TRIM(CLEAN(LEFT(_xlpm.x,FIND(".",_xlpm.x &amp; ".")-1))),""))))))</f>
        <v>CA247,LA294</v>
      </c>
      <c r="D800">
        <v>18.186199999999999</v>
      </c>
      <c r="E800">
        <v>16.714199999999899</v>
      </c>
      <c r="F800" t="str">
        <f>_xlfn.LET(_xlpm.raw,_xlfn.XLOOKUP(A800,SITE1!$C$4:$C$1034,SITE1!$E$4:$E$1034),_xlpm.cleanRaw,SUBSTITUTE(SUBSTITUTE(_xlpm.raw,"_PIN","."),"PIN","."),_xlpm.mainPart,MID(_xlpm.cleanRaw,2,FIND(".",_xlpm.cleanRaw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602041</v>
      </c>
      <c r="G800" t="str">
        <f>_xlfn.LET(_xlpm.raw,_xlfn.XLOOKUP(A800,SITE3!$C$4:$C$1034,SITE3!$E$4:$E$1034),_xlpm.cleanRaw,SUBSTITUTE(SUBSTITUTE(_xlpm.raw,"_PIN","."),"PIN","."),_xlpm.mainPart,MID(_xlpm.cleanRaw,2,FIND(".",_xlpm.cleanRaw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802041</v>
      </c>
      <c r="H800" t="str">
        <f>""</f>
        <v/>
      </c>
      <c r="I800" t="str">
        <f>""</f>
        <v/>
      </c>
      <c r="J800" t="str">
        <f t="shared" si="12"/>
        <v>AY36;PCIE_14_SATA_1_RXP;CA247,LA294;18.1862;16.7141999999999;602041;802041;;</v>
      </c>
    </row>
    <row r="801" spans="1:10">
      <c r="A801" t="s">
        <v>2104</v>
      </c>
      <c r="B801" t="str">
        <f>_xlfn.XLOOKUP(A801,SITE1!$V$4:$V$1034,SITE1!$U$4:$U$1034,"")</f>
        <v>PCIE_15_SATA_2_LAN_0C_RXN</v>
      </c>
      <c r="C801" t="str" cm="1">
        <f t="array" ref="C801">_xlfn.TEXTJOIN(",",TRUE,_xlfn.UNIQUE(TRANSPOSE(_xlfn.MAP(_xlfn.XLOOKUP(A801,SITE1!$C$4:$C$1034,SITE1!$F$4:$O$1034,""),_xlfn.LAMBDA(_xlpm.x,IF(_xlpm.x&lt;&gt;"",TRIM(CLEAN(LEFT(_xlpm.x,FIND(".",_xlpm.x &amp; ".")-1))),""))))))</f>
        <v>CA250,LA300</v>
      </c>
      <c r="D801">
        <v>18.186199999999999</v>
      </c>
      <c r="E801">
        <v>18.0715</v>
      </c>
      <c r="F801" t="str">
        <f>_xlfn.LET(_xlpm.raw,_xlfn.XLOOKUP(A801,SITE1!$C$4:$C$1034,SITE1!$E$4:$E$1034),_xlpm.cleanRaw,SUBSTITUTE(SUBSTITUTE(_xlpm.raw,"_PIN","."),"PIN","."),_xlpm.mainPart,MID(_xlpm.cleanRaw,2,FIND(".",_xlpm.cleanRaw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704118</v>
      </c>
      <c r="G801" t="str">
        <f>_xlfn.LET(_xlpm.raw,_xlfn.XLOOKUP(A801,SITE3!$C$4:$C$1034,SITE3!$E$4:$E$1034),_xlpm.cleanRaw,SUBSTITUTE(SUBSTITUTE(_xlpm.raw,"_PIN","."),"PIN","."),_xlpm.mainPart,MID(_xlpm.cleanRaw,2,FIND(".",_xlpm.cleanRaw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504118</v>
      </c>
      <c r="H801" t="str">
        <f>""</f>
        <v/>
      </c>
      <c r="I801" t="str">
        <f>""</f>
        <v/>
      </c>
      <c r="J801" t="str">
        <f t="shared" si="12"/>
        <v>AY39;PCIE_15_SATA_2_LAN_0C_RXN;CA250,LA300;18.1862;18.0715;704118;504118;;</v>
      </c>
    </row>
    <row r="802" spans="1:10">
      <c r="A802" t="s">
        <v>2220</v>
      </c>
      <c r="B802" t="str">
        <f>_xlfn.XLOOKUP(A802,SITE1!$V$4:$V$1034,SITE1!$U$4:$U$1034,"")</f>
        <v>PCIE_18_SATA_5_RXP</v>
      </c>
      <c r="C802" t="str" cm="1">
        <f t="array" ref="C802">_xlfn.TEXTJOIN(",",TRUE,_xlfn.UNIQUE(TRANSPOSE(_xlfn.MAP(_xlfn.XLOOKUP(A802,SITE1!$C$4:$C$1034,SITE1!$F$4:$O$1034,""),_xlfn.LAMBDA(_xlpm.x,IF(_xlpm.x&lt;&gt;"",TRIM(CLEAN(LEFT(_xlpm.x,FIND(".",_xlpm.x &amp; ".")-1))),""))))))</f>
        <v>CA255,LA310</v>
      </c>
      <c r="D802">
        <v>18.186199999999999</v>
      </c>
      <c r="E802">
        <v>19.443200000000001</v>
      </c>
      <c r="F802" t="str">
        <f>_xlfn.LET(_xlpm.raw,_xlfn.XLOOKUP(A802,SITE1!$C$4:$C$1034,SITE1!$E$4:$E$1034),_xlpm.cleanRaw,SUBSTITUTE(SUBSTITUTE(_xlpm.raw,"_PIN","."),"PIN","."),_xlpm.mainPart,MID(_xlpm.cleanRaw,2,FIND(".",_xlpm.cleanRaw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704104</v>
      </c>
      <c r="G802" t="str">
        <f>_xlfn.LET(_xlpm.raw,_xlfn.XLOOKUP(A802,SITE3!$C$4:$C$1034,SITE3!$E$4:$E$1034),_xlpm.cleanRaw,SUBSTITUTE(SUBSTITUTE(_xlpm.raw,"_PIN","."),"PIN","."),_xlpm.mainPart,MID(_xlpm.cleanRaw,2,FIND(".",_xlpm.cleanRaw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504104</v>
      </c>
      <c r="H802" t="str">
        <f>""</f>
        <v/>
      </c>
      <c r="I802" t="str">
        <f>""</f>
        <v/>
      </c>
      <c r="J802" t="str">
        <f t="shared" si="12"/>
        <v>AY42;PCIE_18_SATA_5_RXP;CA255,LA310;18.1862;19.4432;704104;504104;;</v>
      </c>
    </row>
    <row r="803" spans="1:10">
      <c r="A803" t="s">
        <v>2245</v>
      </c>
      <c r="B803" t="str">
        <f>_xlfn.XLOOKUP(A803,SITE1!$V$4:$V$1034,SITE1!$U$4:$U$1034,"")</f>
        <v>PCIE_19_SATA_6_RXN</v>
      </c>
      <c r="C803" t="str" cm="1">
        <f t="array" ref="C803">_xlfn.TEXTJOIN(",",TRUE,_xlfn.UNIQUE(TRANSPOSE(_xlfn.MAP(_xlfn.XLOOKUP(A803,SITE1!$C$4:$C$1034,SITE1!$F$4:$O$1034,""),_xlfn.LAMBDA(_xlpm.x,IF(_xlpm.x&lt;&gt;"",TRIM(CLEAN(LEFT(_xlpm.x,FIND(".",_xlpm.x &amp; ".")-1))),""))))))</f>
        <v>CA258,LA316</v>
      </c>
      <c r="D803">
        <v>18.186199999999999</v>
      </c>
      <c r="E803">
        <v>20.8005</v>
      </c>
      <c r="F803" t="str">
        <f>_xlfn.LET(_xlpm.raw,_xlfn.XLOOKUP(A803,SITE1!$C$4:$C$1034,SITE1!$E$4:$E$1034),_xlpm.cleanRaw,SUBSTITUTE(SUBSTITUTE(_xlpm.raw,"_PIN","."),"PIN","."),_xlpm.mainPart,MID(_xlpm.cleanRaw,2,FIND(".",_xlpm.cleanRaw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703030</v>
      </c>
      <c r="G803" t="str">
        <f>_xlfn.LET(_xlpm.raw,_xlfn.XLOOKUP(A803,SITE3!$C$4:$C$1034,SITE3!$E$4:$E$1034),_xlpm.cleanRaw,SUBSTITUTE(SUBSTITUTE(_xlpm.raw,"_PIN","."),"PIN","."),_xlpm.mainPart,MID(_xlpm.cleanRaw,2,FIND(".",_xlpm.cleanRaw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503030</v>
      </c>
      <c r="H803" t="str">
        <f>""</f>
        <v/>
      </c>
      <c r="I803" t="str">
        <f>""</f>
        <v/>
      </c>
      <c r="J803" t="str">
        <f t="shared" si="12"/>
        <v>AY44;PCIE_19_SATA_6_RXN;CA258,LA316;18.1862;20.8005;703030;503030;;</v>
      </c>
    </row>
    <row r="804" spans="1:10">
      <c r="A804" t="s">
        <v>3845</v>
      </c>
      <c r="B804" t="str">
        <f>_xlfn.XLOOKUP(A804,SITE1!$V$4:$V$1034,SITE1!$U$4:$U$1034,"")</f>
        <v>VSS</v>
      </c>
      <c r="C804" t="str" cm="1">
        <f t="array" ref="C804">_xlfn.TEXTJOIN(",",TRUE,_xlfn.UNIQUE(TRANSPOSE(_xlfn.MAP(_xlfn.XLOOKUP(A804,SITE1!$C$4:$C$1034,SITE1!$F$4:$O$1034,""),_xlfn.LAMBDA(_xlpm.x,IF(_xlpm.x&lt;&gt;"",TRIM(CLEAN(LEFT(_xlpm.x,FIND(".",_xlpm.x &amp; ".")-1))),""))))))</f>
        <v/>
      </c>
      <c r="D804">
        <v>18.248699999999999</v>
      </c>
      <c r="E804">
        <v>21.3642</v>
      </c>
      <c r="F804" t="str">
        <f>_xlfn.LET(_xlpm.raw,_xlfn.XLOOKUP(A804,SITE1!$C$4:$C$1034,SITE1!$E$4:$E$1034),_xlpm.cleanRaw,SUBSTITUTE(SUBSTITUTE(_xlpm.raw,"_PIN","."),"PIN","."),_xlpm.mainPart,MID(_xlpm.cleanRaw,2,FIND(".",_xlpm.cleanRaw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4" t="str">
        <f>_xlfn.LET(_xlpm.raw,_xlfn.XLOOKUP(A804,SITE3!$C$4:$C$1034,SITE3!$E$4:$E$1034),_xlpm.cleanRaw,SUBSTITUTE(SUBSTITUTE(_xlpm.raw,"_PIN","."),"PIN","."),_xlpm.mainPart,MID(_xlpm.cleanRaw,2,FIND(".",_xlpm.cleanRaw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4" t="str">
        <f>""</f>
        <v/>
      </c>
      <c r="I804" t="str">
        <f>""</f>
        <v/>
      </c>
      <c r="J804" t="str">
        <f t="shared" si="12"/>
        <v>AY46;VSS;;18.2487;21.3642;;;;</v>
      </c>
    </row>
    <row r="805" spans="1:10">
      <c r="A805" t="s">
        <v>3846</v>
      </c>
      <c r="B805" t="str">
        <f>_xlfn.XLOOKUP(A805,SITE1!$V$4:$V$1034,SITE1!$U$4:$U$1034,"")</f>
        <v>VSS</v>
      </c>
      <c r="C805" t="str" cm="1">
        <f t="array" ref="C805">_xlfn.TEXTJOIN(",",TRUE,_xlfn.UNIQUE(TRANSPOSE(_xlfn.MAP(_xlfn.XLOOKUP(A805,SITE1!$C$4:$C$1034,SITE1!$F$4:$O$1034,""),_xlfn.LAMBDA(_xlpm.x,IF(_xlpm.x&lt;&gt;"",TRIM(CLEAN(LEFT(_xlpm.x,FIND(".",_xlpm.x &amp; ".")-1))),""))))))</f>
        <v/>
      </c>
      <c r="D805">
        <v>18.238199999999999</v>
      </c>
      <c r="E805">
        <v>22.0746</v>
      </c>
      <c r="F805" t="str">
        <f>_xlfn.LET(_xlpm.raw,_xlfn.XLOOKUP(A805,SITE1!$C$4:$C$1034,SITE1!$E$4:$E$1034),_xlpm.cleanRaw,SUBSTITUTE(SUBSTITUTE(_xlpm.raw,"_PIN","."),"PIN","."),_xlpm.mainPart,MID(_xlpm.cleanRaw,2,FIND(".",_xlpm.cleanRaw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5" t="str">
        <f>_xlfn.LET(_xlpm.raw,_xlfn.XLOOKUP(A805,SITE3!$C$4:$C$1034,SITE3!$E$4:$E$1034),_xlpm.cleanRaw,SUBSTITUTE(SUBSTITUTE(_xlpm.raw,"_PIN","."),"PIN","."),_xlpm.mainPart,MID(_xlpm.cleanRaw,2,FIND(".",_xlpm.cleanRaw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5" t="str">
        <f>""</f>
        <v/>
      </c>
      <c r="I805" t="str">
        <f>""</f>
        <v/>
      </c>
      <c r="J805" t="str">
        <f t="shared" si="12"/>
        <v>AY47;VSS;;18.2382;22.0746;;;;</v>
      </c>
    </row>
    <row r="806" spans="1:10">
      <c r="A806" t="s">
        <v>1329</v>
      </c>
      <c r="B806" t="str">
        <f>_xlfn.XLOOKUP(A806,SITE1!$V$4:$V$1034,SITE1!$U$4:$U$1034,"")</f>
        <v>GPP_F_19_DNX_FORCE_RELOAD</v>
      </c>
      <c r="C806" t="str" cm="1">
        <f t="array" ref="C806">_xlfn.TEXTJOIN(",",TRUE,_xlfn.UNIQUE(TRANSPOSE(_xlfn.MAP(_xlfn.XLOOKUP(A806,SITE1!$C$4:$C$1034,SITE1!$F$4:$O$1034,""),_xlfn.LAMBDA(_xlpm.x,IF(_xlpm.x&lt;&gt;"",TRIM(CLEAN(LEFT(_xlpm.x,FIND(".",_xlpm.x &amp; ".")-1))),""))))))</f>
        <v/>
      </c>
      <c r="D806">
        <v>18.2255</v>
      </c>
      <c r="E806">
        <v>24.384999999999899</v>
      </c>
      <c r="F806" t="str">
        <f>_xlfn.LET(_xlpm.raw,_xlfn.XLOOKUP(A806,SITE1!$C$4:$C$1034,SITE1!$E$4:$E$1034),_xlpm.cleanRaw,SUBSTITUTE(SUBSTITUTE(_xlpm.raw,"_PIN","."),"PIN","."),_xlpm.mainPart,MID(_xlpm.cleanRaw,2,FIND(".",_xlpm.cleanRaw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706005</v>
      </c>
      <c r="G806" t="str">
        <f>_xlfn.LET(_xlpm.raw,_xlfn.XLOOKUP(A806,SITE3!$C$4:$C$1034,SITE3!$E$4:$E$1034),_xlpm.cleanRaw,SUBSTITUTE(SUBSTITUTE(_xlpm.raw,"_PIN","."),"PIN","."),_xlpm.mainPart,MID(_xlpm.cleanRaw,2,FIND(".",_xlpm.cleanRaw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506005</v>
      </c>
      <c r="H806" t="str">
        <f>""</f>
        <v/>
      </c>
      <c r="I806" t="str">
        <f>""</f>
        <v/>
      </c>
      <c r="J806" t="str">
        <f t="shared" si="12"/>
        <v>AY52;GPP_F_19_DNX_FORCE_RELOAD;;18.2255;24.3849999999999;706005;506005;;</v>
      </c>
    </row>
    <row r="807" spans="1:10">
      <c r="A807" t="s">
        <v>3848</v>
      </c>
      <c r="B807" t="str">
        <f>_xlfn.XLOOKUP(A807,SITE1!$V$4:$V$1034,SITE1!$U$4:$U$1034,"")</f>
        <v>VSS</v>
      </c>
      <c r="C807" t="str" cm="1">
        <f t="array" ref="C807">_xlfn.TEXTJOIN(",",TRUE,_xlfn.UNIQUE(TRANSPOSE(_xlfn.MAP(_xlfn.XLOOKUP(A807,SITE1!$C$4:$C$1034,SITE1!$F$4:$O$1034,""),_xlfn.LAMBDA(_xlpm.x,IF(_xlpm.x&lt;&gt;"",TRIM(CLEAN(LEFT(_xlpm.x,FIND(".",_xlpm.x &amp; ".")-1))),""))))))</f>
        <v/>
      </c>
      <c r="D807">
        <v>18.360399999999998</v>
      </c>
      <c r="E807">
        <v>25.098700000000001</v>
      </c>
      <c r="F807" t="str">
        <f>_xlfn.LET(_xlpm.raw,_xlfn.XLOOKUP(A807,SITE1!$C$4:$C$1034,SITE1!$E$4:$E$1034),_xlpm.cleanRaw,SUBSTITUTE(SUBSTITUTE(_xlpm.raw,"_PIN","."),"PIN","."),_xlpm.mainPart,MID(_xlpm.cleanRaw,2,FIND(".",_xlpm.cleanRaw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7" t="str">
        <f>_xlfn.LET(_xlpm.raw,_xlfn.XLOOKUP(A807,SITE3!$C$4:$C$1034,SITE3!$E$4:$E$1034),_xlpm.cleanRaw,SUBSTITUTE(SUBSTITUTE(_xlpm.raw,"_PIN","."),"PIN","."),_xlpm.mainPart,MID(_xlpm.cleanRaw,2,FIND(".",_xlpm.cleanRaw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7" t="str">
        <f>""</f>
        <v/>
      </c>
      <c r="I807" t="str">
        <f>""</f>
        <v/>
      </c>
      <c r="J807" t="str">
        <f t="shared" si="12"/>
        <v>AY53;VSS;;18.3604;25.0987;;;;</v>
      </c>
    </row>
    <row r="808" spans="1:10">
      <c r="A808" t="s">
        <v>1664</v>
      </c>
      <c r="B808" t="str">
        <f>_xlfn.XLOOKUP(A808,SITE1!$V$4:$V$1034,SITE1!$U$4:$U$1034,"")</f>
        <v>GPP_K_0_GSXDOUT</v>
      </c>
      <c r="C808" t="str" cm="1">
        <f t="array" ref="C808">_xlfn.TEXTJOIN(",",TRUE,_xlfn.UNIQUE(TRANSPOSE(_xlfn.MAP(_xlfn.XLOOKUP(A808,SITE1!$C$4:$C$1034,SITE1!$F$4:$O$1034,""),_xlfn.LAMBDA(_xlpm.x,IF(_xlpm.x&lt;&gt;"",TRIM(CLEAN(LEFT(_xlpm.x,FIND(".",_xlpm.x &amp; ".")-1))),""))))))</f>
        <v/>
      </c>
      <c r="D808">
        <v>18.467099999999999</v>
      </c>
      <c r="E808">
        <v>25.598099999999999</v>
      </c>
      <c r="F808" t="str">
        <f>_xlfn.LET(_xlpm.raw,_xlfn.XLOOKUP(A808,SITE1!$C$4:$C$1034,SITE1!$E$4:$E$1034),_xlpm.cleanRaw,SUBSTITUTE(SUBSTITUTE(_xlpm.raw,"_PIN","."),"PIN","."),_xlpm.mainPart,MID(_xlpm.cleanRaw,2,FIND(".",_xlpm.cleanRaw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707126</v>
      </c>
      <c r="G808" t="str">
        <f>_xlfn.LET(_xlpm.raw,_xlfn.XLOOKUP(A808,SITE3!$C$4:$C$1034,SITE3!$E$4:$E$1034),_xlpm.cleanRaw,SUBSTITUTE(SUBSTITUTE(_xlpm.raw,"_PIN","."),"PIN","."),_xlpm.mainPart,MID(_xlpm.cleanRaw,2,FIND(".",_xlpm.cleanRaw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507126</v>
      </c>
      <c r="H808" t="str">
        <f>""</f>
        <v/>
      </c>
      <c r="I808" t="str">
        <f>""</f>
        <v/>
      </c>
      <c r="J808" t="str">
        <f t="shared" si="12"/>
        <v>AY55;GPP_K_0_GSXDOUT;;18.4671;25.5981;707126;507126;;</v>
      </c>
    </row>
    <row r="809" spans="1:10">
      <c r="A809" t="s">
        <v>1674</v>
      </c>
      <c r="B809" t="str">
        <f>_xlfn.XLOOKUP(A809,SITE1!$V$4:$V$1034,SITE1!$U$4:$U$1034,"")</f>
        <v>GPP_K_2_GSXDIN</v>
      </c>
      <c r="C809" t="str" cm="1">
        <f t="array" ref="C809">_xlfn.TEXTJOIN(",",TRUE,_xlfn.UNIQUE(TRANSPOSE(_xlfn.MAP(_xlfn.XLOOKUP(A809,SITE1!$C$4:$C$1034,SITE1!$F$4:$O$1034,""),_xlfn.LAMBDA(_xlpm.x,IF(_xlpm.x&lt;&gt;"",TRIM(CLEAN(LEFT(_xlpm.x,FIND(".",_xlpm.x &amp; ".")-1))),""))))))</f>
        <v/>
      </c>
      <c r="D809">
        <v>18.313400000000001</v>
      </c>
      <c r="E809">
        <v>26.1416</v>
      </c>
      <c r="F809" t="str">
        <f>_xlfn.LET(_xlpm.raw,_xlfn.XLOOKUP(A809,SITE1!$C$4:$C$1034,SITE1!$E$4:$E$1034),_xlpm.cleanRaw,SUBSTITUTE(SUBSTITUTE(_xlpm.raw,"_PIN","."),"PIN","."),_xlpm.mainPart,MID(_xlpm.cleanRaw,2,FIND(".",_xlpm.cleanRaw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701087</v>
      </c>
      <c r="G809" t="str">
        <f>_xlfn.LET(_xlpm.raw,_xlfn.XLOOKUP(A809,SITE3!$C$4:$C$1034,SITE3!$E$4:$E$1034),_xlpm.cleanRaw,SUBSTITUTE(SUBSTITUTE(_xlpm.raw,"_PIN","."),"PIN","."),_xlpm.mainPart,MID(_xlpm.cleanRaw,2,FIND(".",_xlpm.cleanRaw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501087</v>
      </c>
      <c r="H809" t="str">
        <f>""</f>
        <v/>
      </c>
      <c r="I809" t="str">
        <f>""</f>
        <v/>
      </c>
      <c r="J809" t="str">
        <f t="shared" si="12"/>
        <v>AY56;GPP_K_2_GSXDIN;;18.3134;26.1416;701087;501087;;</v>
      </c>
    </row>
    <row r="810" spans="1:10">
      <c r="A810" t="s">
        <v>1739</v>
      </c>
      <c r="B810" t="str">
        <f>_xlfn.XLOOKUP(A810,SITE1!$V$4:$V$1034,SITE1!$U$4:$U$1034,"")</f>
        <v>GPP_R_4_HDA_RSTB</v>
      </c>
      <c r="C810" t="str" cm="1">
        <f t="array" ref="C810">_xlfn.TEXTJOIN(",",TRUE,_xlfn.UNIQUE(TRANSPOSE(_xlfn.MAP(_xlfn.XLOOKUP(A810,SITE1!$C$4:$C$1034,SITE1!$F$4:$O$1034,""),_xlfn.LAMBDA(_xlpm.x,IF(_xlpm.x&lt;&gt;"",TRIM(CLEAN(LEFT(_xlpm.x,FIND(".",_xlpm.x &amp; ".")-1))),""))))))</f>
        <v/>
      </c>
      <c r="D810">
        <v>18.9741</v>
      </c>
      <c r="E810">
        <v>0.65259999999999896</v>
      </c>
      <c r="F810" t="str">
        <f>_xlfn.LET(_xlpm.raw,_xlfn.XLOOKUP(A810,SITE1!$C$4:$C$1034,SITE1!$E$4:$E$1034),_xlpm.cleanRaw,SUBSTITUTE(SUBSTITUTE(_xlpm.raw,"_PIN","."),"PIN","."),_xlpm.mainPart,MID(_xlpm.cleanRaw,2,FIND(".",_xlpm.cleanRaw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605057</v>
      </c>
      <c r="G810" t="str">
        <f>_xlfn.LET(_xlpm.raw,_xlfn.XLOOKUP(A810,SITE3!$C$4:$C$1034,SITE3!$E$4:$E$1034),_xlpm.cleanRaw,SUBSTITUTE(SUBSTITUTE(_xlpm.raw,"_PIN","."),"PIN","."),_xlpm.mainPart,MID(_xlpm.cleanRaw,2,FIND(".",_xlpm.cleanRaw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805057</v>
      </c>
      <c r="H810" t="str">
        <f>""</f>
        <v/>
      </c>
      <c r="I810" t="str">
        <f>""</f>
        <v/>
      </c>
      <c r="J810" t="str">
        <f t="shared" si="12"/>
        <v>BA2;GPP_R_4_HDA_RSTB;;18.9741;0.652599999999999;605057;805057;;</v>
      </c>
    </row>
    <row r="811" spans="1:10">
      <c r="A811" t="s">
        <v>1744</v>
      </c>
      <c r="B811" t="str">
        <f>_xlfn.XLOOKUP(A811,SITE1!$V$4:$V$1034,SITE1!$U$4:$U$1034,"")</f>
        <v>GPP_R_5_HDA_SDI_1_I2S1_RXD</v>
      </c>
      <c r="C811" t="str" cm="1">
        <f t="array" ref="C811">_xlfn.TEXTJOIN(",",TRUE,_xlfn.UNIQUE(TRANSPOSE(_xlfn.MAP(_xlfn.XLOOKUP(A811,SITE1!$C$4:$C$1034,SITE1!$F$4:$O$1034,""),_xlfn.LAMBDA(_xlpm.x,IF(_xlpm.x&lt;&gt;"",TRIM(CLEAN(LEFT(_xlpm.x,FIND(".",_xlpm.x &amp; ".")-1))),""))))))</f>
        <v/>
      </c>
      <c r="D811">
        <v>18.9741</v>
      </c>
      <c r="E811">
        <v>1.15339999999999</v>
      </c>
      <c r="F811" t="str">
        <f>_xlfn.LET(_xlpm.raw,_xlfn.XLOOKUP(A811,SITE1!$C$4:$C$1034,SITE1!$E$4:$E$1034),_xlpm.cleanRaw,SUBSTITUTE(SUBSTITUTE(_xlpm.raw,"_PIN","."),"PIN","."),_xlpm.mainPart,MID(_xlpm.cleanRaw,2,FIND(".",_xlpm.cleanRaw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606122</v>
      </c>
      <c r="G811" t="str">
        <f>_xlfn.LET(_xlpm.raw,_xlfn.XLOOKUP(A811,SITE3!$C$4:$C$1034,SITE3!$E$4:$E$1034),_xlpm.cleanRaw,SUBSTITUTE(SUBSTITUTE(_xlpm.raw,"_PIN","."),"PIN","."),_xlpm.mainPart,MID(_xlpm.cleanRaw,2,FIND(".",_xlpm.cleanRaw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806122</v>
      </c>
      <c r="H811" t="str">
        <f>""</f>
        <v/>
      </c>
      <c r="I811" t="str">
        <f>""</f>
        <v/>
      </c>
      <c r="J811" t="str">
        <f t="shared" si="12"/>
        <v>BA3;GPP_R_5_HDA_SDI_1_I2S1_RXD;;18.9741;1.15339999999999;606122;806122;;</v>
      </c>
    </row>
    <row r="812" spans="1:10">
      <c r="A812" t="s">
        <v>3871</v>
      </c>
      <c r="B812" t="str">
        <f>_xlfn.XLOOKUP(A812,SITE1!$V$4:$V$1034,SITE1!$U$4:$U$1034,"")</f>
        <v>VSS</v>
      </c>
      <c r="C812" t="str" cm="1">
        <f t="array" ref="C812">_xlfn.TEXTJOIN(",",TRUE,_xlfn.UNIQUE(TRANSPOSE(_xlfn.MAP(_xlfn.XLOOKUP(A812,SITE1!$C$4:$C$1034,SITE1!$F$4:$O$1034,""),_xlfn.LAMBDA(_xlpm.x,IF(_xlpm.x&lt;&gt;"",TRIM(CLEAN(LEFT(_xlpm.x,FIND(".",_xlpm.x &amp; ".")-1))),""))))))</f>
        <v/>
      </c>
      <c r="D812">
        <v>18.9315</v>
      </c>
      <c r="E812">
        <v>2.9894999999999898</v>
      </c>
      <c r="F812" t="str">
        <f>_xlfn.LET(_xlpm.raw,_xlfn.XLOOKUP(A812,SITE1!$C$4:$C$1034,SITE1!$E$4:$E$1034),_xlpm.cleanRaw,SUBSTITUTE(SUBSTITUTE(_xlpm.raw,"_PIN","."),"PIN","."),_xlpm.mainPart,MID(_xlpm.cleanRaw,2,FIND(".",_xlpm.cleanRaw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2" t="str">
        <f>_xlfn.LET(_xlpm.raw,_xlfn.XLOOKUP(A812,SITE3!$C$4:$C$1034,SITE3!$E$4:$E$1034),_xlpm.cleanRaw,SUBSTITUTE(SUBSTITUTE(_xlpm.raw,"_PIN","."),"PIN","."),_xlpm.mainPart,MID(_xlpm.cleanRaw,2,FIND(".",_xlpm.cleanRaw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2" t="str">
        <f>""</f>
        <v/>
      </c>
      <c r="I812" t="str">
        <f>""</f>
        <v/>
      </c>
      <c r="J812" t="str">
        <f t="shared" si="12"/>
        <v>BA7;VSS;;18.9315;2.98949999999999;;;;</v>
      </c>
    </row>
    <row r="813" spans="1:10">
      <c r="A813" t="s">
        <v>3872</v>
      </c>
      <c r="B813" t="str">
        <f>_xlfn.XLOOKUP(A813,SITE1!$V$4:$V$1034,SITE1!$U$4:$U$1034,"")</f>
        <v>VSS</v>
      </c>
      <c r="C813" t="str" cm="1">
        <f t="array" ref="C813">_xlfn.TEXTJOIN(",",TRUE,_xlfn.UNIQUE(TRANSPOSE(_xlfn.MAP(_xlfn.XLOOKUP(A813,SITE1!$C$4:$C$1034,SITE1!$F$4:$O$1034,""),_xlfn.LAMBDA(_xlpm.x,IF(_xlpm.x&lt;&gt;"",TRIM(CLEAN(LEFT(_xlpm.x,FIND(".",_xlpm.x &amp; ".")-1))),""))))))</f>
        <v/>
      </c>
      <c r="D813">
        <v>18.647099999999998</v>
      </c>
      <c r="E813">
        <v>3.7035</v>
      </c>
      <c r="F813" t="str">
        <f>_xlfn.LET(_xlpm.raw,_xlfn.XLOOKUP(A813,SITE1!$C$4:$C$1034,SITE1!$E$4:$E$1034),_xlpm.cleanRaw,SUBSTITUTE(SUBSTITUTE(_xlpm.raw,"_PIN","."),"PIN","."),_xlpm.mainPart,MID(_xlpm.cleanRaw,2,FIND(".",_xlpm.cleanRaw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3" t="str">
        <f>_xlfn.LET(_xlpm.raw,_xlfn.XLOOKUP(A813,SITE3!$C$4:$C$1034,SITE3!$E$4:$E$1034),_xlpm.cleanRaw,SUBSTITUTE(SUBSTITUTE(_xlpm.raw,"_PIN","."),"PIN","."),_xlpm.mainPart,MID(_xlpm.cleanRaw,2,FIND(".",_xlpm.cleanRaw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3" t="str">
        <f>""</f>
        <v/>
      </c>
      <c r="I813" t="str">
        <f>""</f>
        <v/>
      </c>
      <c r="J813" t="str">
        <f t="shared" si="12"/>
        <v>BA9;VSS;;18.6471;3.7035;;;;</v>
      </c>
    </row>
    <row r="814" spans="1:10">
      <c r="A814" t="s">
        <v>1078</v>
      </c>
      <c r="B814" t="str">
        <f>_xlfn.XLOOKUP(A814,SITE1!$V$4:$V$1034,SITE1!$U$4:$U$1034,"")</f>
        <v>GPP_D_15_SML1DATA</v>
      </c>
      <c r="C814" t="str" cm="1">
        <f t="array" ref="C814">_xlfn.TEXTJOIN(",",TRUE,_xlfn.UNIQUE(TRANSPOSE(_xlfn.MAP(_xlfn.XLOOKUP(A814,SITE1!$C$4:$C$1034,SITE1!$F$4:$O$1034,""),_xlfn.LAMBDA(_xlpm.x,IF(_xlpm.x&lt;&gt;"",TRIM(CLEAN(LEFT(_xlpm.x,FIND(".",_xlpm.x &amp; ".")-1))),""))))))</f>
        <v/>
      </c>
      <c r="D814">
        <v>18.7441</v>
      </c>
      <c r="E814">
        <v>4.9408999999999903</v>
      </c>
      <c r="F814" t="str">
        <f>_xlfn.LET(_xlpm.raw,_xlfn.XLOOKUP(A814,SITE1!$C$4:$C$1034,SITE1!$E$4:$E$1034),_xlpm.cleanRaw,SUBSTITUTE(SUBSTITUTE(_xlpm.raw,"_PIN","."),"PIN","."),_xlpm.mainPart,MID(_xlpm.cleanRaw,2,FIND(".",_xlpm.cleanRaw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601018</v>
      </c>
      <c r="G814" t="str">
        <f>_xlfn.LET(_xlpm.raw,_xlfn.XLOOKUP(A814,SITE3!$C$4:$C$1034,SITE3!$E$4:$E$1034),_xlpm.cleanRaw,SUBSTITUTE(SUBSTITUTE(_xlpm.raw,"_PIN","."),"PIN","."),_xlpm.mainPart,MID(_xlpm.cleanRaw,2,FIND(".",_xlpm.cleanRaw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801018</v>
      </c>
      <c r="H814" t="str">
        <f>""</f>
        <v/>
      </c>
      <c r="I814" t="str">
        <f>""</f>
        <v/>
      </c>
      <c r="J814" t="str">
        <f t="shared" si="12"/>
        <v>BA11;GPP_D_15_SML1DATA;;18.7441;4.94089999999999;601018;801018;;</v>
      </c>
    </row>
    <row r="815" spans="1:10">
      <c r="A815" t="s">
        <v>259</v>
      </c>
      <c r="B815" t="str">
        <f>_xlfn.XLOOKUP(A815,SITE1!$V$4:$V$1034,SITE1!$U$4:$U$1034,"")</f>
        <v>CNV_WR_D1N</v>
      </c>
      <c r="C815" t="str" cm="1">
        <f t="array" ref="C815">_xlfn.TEXTJOIN(",",TRUE,_xlfn.UNIQUE(TRANSPOSE(_xlfn.MAP(_xlfn.XLOOKUP(A815,SITE1!$C$4:$C$1034,SITE1!$F$4:$O$1034,""),_xlfn.LAMBDA(_xlpm.x,IF(_xlpm.x&lt;&gt;"",TRIM(CLEAN(LEFT(_xlpm.x,FIND(".",_xlpm.x &amp; ".")-1))),""))))))</f>
        <v>UA123</v>
      </c>
      <c r="D815">
        <v>18.659099999999999</v>
      </c>
      <c r="E815">
        <v>6.1604999999999999</v>
      </c>
      <c r="F815" t="str">
        <f>_xlfn.LET(_xlpm.raw,_xlfn.XLOOKUP(A815,SITE1!$C$4:$C$1034,SITE1!$E$4:$E$1034),_xlpm.cleanRaw,SUBSTITUTE(SUBSTITUTE(_xlpm.raw,"_PIN","."),"PIN","."),_xlpm.mainPart,MID(_xlpm.cleanRaw,2,FIND(".",_xlpm.cleanRaw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601014</v>
      </c>
      <c r="G815" t="str">
        <f>_xlfn.LET(_xlpm.raw,_xlfn.XLOOKUP(A815,SITE3!$C$4:$C$1034,SITE3!$E$4:$E$1034),_xlpm.cleanRaw,SUBSTITUTE(SUBSTITUTE(_xlpm.raw,"_PIN","."),"PIN","."),_xlpm.mainPart,MID(_xlpm.cleanRaw,2,FIND(".",_xlpm.cleanRaw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801014</v>
      </c>
      <c r="H815" t="str">
        <f>""</f>
        <v/>
      </c>
      <c r="I815" t="str">
        <f>""</f>
        <v/>
      </c>
      <c r="J815" t="str">
        <f t="shared" si="12"/>
        <v>BA14;CNV_WR_D1N;UA123;18.6591;6.1605;601014;801014;;</v>
      </c>
    </row>
    <row r="816" spans="1:10">
      <c r="A816" t="s">
        <v>251</v>
      </c>
      <c r="B816" t="str">
        <f>_xlfn.XLOOKUP(A816,SITE1!$V$4:$V$1034,SITE1!$U$4:$U$1034,"")</f>
        <v>CNV_WR_D0P</v>
      </c>
      <c r="C816" t="str" cm="1">
        <f t="array" ref="C816">_xlfn.TEXTJOIN(",",TRUE,_xlfn.UNIQUE(TRANSPOSE(_xlfn.MAP(_xlfn.XLOOKUP(A816,SITE1!$C$4:$C$1034,SITE1!$F$4:$O$1034,""),_xlfn.LAMBDA(_xlpm.x,IF(_xlpm.x&lt;&gt;"",TRIM(CLEAN(LEFT(_xlpm.x,FIND(".",_xlpm.x &amp; ".")-1))),""))))))</f>
        <v>UA122</v>
      </c>
      <c r="D816">
        <v>18.634699999999999</v>
      </c>
      <c r="E816">
        <v>7.3934999999999897</v>
      </c>
      <c r="F816" t="str">
        <f>_xlfn.LET(_xlpm.raw,_xlfn.XLOOKUP(A816,SITE1!$C$4:$C$1034,SITE1!$E$4:$E$1034),_xlpm.cleanRaw,SUBSTITUTE(SUBSTITUTE(_xlpm.raw,"_PIN","."),"PIN","."),_xlpm.mainPart,MID(_xlpm.cleanRaw,2,FIND(".",_xlpm.cleanRaw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601029</v>
      </c>
      <c r="G816" t="str">
        <f>_xlfn.LET(_xlpm.raw,_xlfn.XLOOKUP(A816,SITE3!$C$4:$C$1034,SITE3!$E$4:$E$1034),_xlpm.cleanRaw,SUBSTITUTE(SUBSTITUTE(_xlpm.raw,"_PIN","."),"PIN","."),_xlpm.mainPart,MID(_xlpm.cleanRaw,2,FIND(".",_xlpm.cleanRaw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801029</v>
      </c>
      <c r="H816" t="str">
        <f>""</f>
        <v/>
      </c>
      <c r="I816" t="str">
        <f>""</f>
        <v/>
      </c>
      <c r="J816" t="str">
        <f t="shared" si="12"/>
        <v>BA16;CNV_WR_D0P;UA122;18.6347;7.39349999999999;601029;801029;;</v>
      </c>
    </row>
    <row r="817" spans="1:10">
      <c r="A817" t="s">
        <v>3864</v>
      </c>
      <c r="B817" t="str">
        <f>_xlfn.XLOOKUP(A817,SITE1!$V$4:$V$1034,SITE1!$U$4:$U$1034,"")</f>
        <v>VSS</v>
      </c>
      <c r="C817" t="str" cm="1">
        <f t="array" ref="C817">_xlfn.TEXTJOIN(",",TRUE,_xlfn.UNIQUE(TRANSPOSE(_xlfn.MAP(_xlfn.XLOOKUP(A817,SITE1!$C$4:$C$1034,SITE1!$F$4:$O$1034,""),_xlfn.LAMBDA(_xlpm.x,IF(_xlpm.x&lt;&gt;"",TRIM(CLEAN(LEFT(_xlpm.x,FIND(".",_xlpm.x &amp; ".")-1))),""))))))</f>
        <v/>
      </c>
      <c r="D817">
        <v>18.897399999999902</v>
      </c>
      <c r="E817">
        <v>8.5272000000000006</v>
      </c>
      <c r="F817" t="str">
        <f>_xlfn.LET(_xlpm.raw,_xlfn.XLOOKUP(A817,SITE1!$C$4:$C$1034,SITE1!$E$4:$E$1034),_xlpm.cleanRaw,SUBSTITUTE(SUBSTITUTE(_xlpm.raw,"_PIN","."),"PIN","."),_xlpm.mainPart,MID(_xlpm.cleanRaw,2,FIND(".",_xlpm.cleanRaw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7" t="str">
        <f>_xlfn.LET(_xlpm.raw,_xlfn.XLOOKUP(A817,SITE3!$C$4:$C$1034,SITE3!$E$4:$E$1034),_xlpm.cleanRaw,SUBSTITUTE(SUBSTITUTE(_xlpm.raw,"_PIN","."),"PIN","."),_xlpm.mainPart,MID(_xlpm.cleanRaw,2,FIND(".",_xlpm.cleanRaw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7" t="str">
        <f>""</f>
        <v/>
      </c>
      <c r="I817" t="str">
        <f>""</f>
        <v/>
      </c>
      <c r="J817" t="str">
        <f t="shared" si="12"/>
        <v>BA19;VSS;;18.8973999999999;8.5272;;;;</v>
      </c>
    </row>
    <row r="818" spans="1:10">
      <c r="A818" t="s">
        <v>2502</v>
      </c>
      <c r="B818" t="str">
        <f>_xlfn.XLOOKUP(A818,SITE1!$V$4:$V$1034,SITE1!$U$4:$U$1034,"")</f>
        <v>PCIE_3_LAN_0A_RXP</v>
      </c>
      <c r="C818" t="str" cm="1">
        <f t="array" ref="C818">_xlfn.TEXTJOIN(",",TRUE,_xlfn.UNIQUE(TRANSPOSE(_xlfn.MAP(_xlfn.XLOOKUP(A818,SITE1!$C$4:$C$1034,SITE1!$F$4:$O$1034,""),_xlfn.LAMBDA(_xlpm.x,IF(_xlpm.x&lt;&gt;"",TRIM(CLEAN(LEFT(_xlpm.x,FIND(".",_xlpm.x &amp; ".")-1))),""))))))</f>
        <v>CA225,LA250</v>
      </c>
      <c r="D818">
        <v>18.897399999999902</v>
      </c>
      <c r="E818">
        <v>9.8844999999999992</v>
      </c>
      <c r="F818" t="str">
        <f>_xlfn.LET(_xlpm.raw,_xlfn.XLOOKUP(A818,SITE1!$C$4:$C$1034,SITE1!$E$4:$E$1034),_xlpm.cleanRaw,SUBSTITUTE(SUBSTITUTE(_xlpm.raw,"_PIN","."),"PIN","."),_xlpm.mainPart,MID(_xlpm.cleanRaw,2,FIND(".",_xlpm.cleanRaw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703036</v>
      </c>
      <c r="G818" t="str">
        <f>_xlfn.LET(_xlpm.raw,_xlfn.XLOOKUP(A818,SITE3!$C$4:$C$1034,SITE3!$E$4:$E$1034),_xlpm.cleanRaw,SUBSTITUTE(SUBSTITUTE(_xlpm.raw,"_PIN","."),"PIN","."),_xlpm.mainPart,MID(_xlpm.cleanRaw,2,FIND(".",_xlpm.cleanRaw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503036</v>
      </c>
      <c r="H818" t="str">
        <f>""</f>
        <v/>
      </c>
      <c r="I818" t="str">
        <f>""</f>
        <v/>
      </c>
      <c r="J818" t="str">
        <f t="shared" si="12"/>
        <v>BA22;PCIE_3_LAN_0A_RXP;CA225,LA250;18.8973999999999;9.8845;703036;503036;;</v>
      </c>
    </row>
    <row r="819" spans="1:10">
      <c r="A819" t="s">
        <v>3865</v>
      </c>
      <c r="B819" t="str">
        <f>_xlfn.XLOOKUP(A819,SITE1!$V$4:$V$1034,SITE1!$U$4:$U$1034,"")</f>
        <v>VSS</v>
      </c>
      <c r="C819" t="str" cm="1">
        <f t="array" ref="C819">_xlfn.TEXTJOIN(",",TRUE,_xlfn.UNIQUE(TRANSPOSE(_xlfn.MAP(_xlfn.XLOOKUP(A819,SITE1!$C$4:$C$1034,SITE1!$F$4:$O$1034,""),_xlfn.LAMBDA(_xlpm.x,IF(_xlpm.x&lt;&gt;"",TRIM(CLEAN(LEFT(_xlpm.x,FIND(".",_xlpm.x &amp; ".")-1))),""))))))</f>
        <v/>
      </c>
      <c r="D819">
        <v>18.897399999999902</v>
      </c>
      <c r="E819">
        <v>11.2562</v>
      </c>
      <c r="F819" t="str">
        <f>_xlfn.LET(_xlpm.raw,_xlfn.XLOOKUP(A819,SITE1!$C$4:$C$1034,SITE1!$E$4:$E$1034),_xlpm.cleanRaw,SUBSTITUTE(SUBSTITUTE(_xlpm.raw,"_PIN","."),"PIN","."),_xlpm.mainPart,MID(_xlpm.cleanRaw,2,FIND(".",_xlpm.cleanRaw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9" t="str">
        <f>_xlfn.LET(_xlpm.raw,_xlfn.XLOOKUP(A819,SITE3!$C$4:$C$1034,SITE3!$E$4:$E$1034),_xlpm.cleanRaw,SUBSTITUTE(SUBSTITUTE(_xlpm.raw,"_PIN","."),"PIN","."),_xlpm.mainPart,MID(_xlpm.cleanRaw,2,FIND(".",_xlpm.cleanRaw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9" t="str">
        <f>""</f>
        <v/>
      </c>
      <c r="I819" t="str">
        <f>""</f>
        <v/>
      </c>
      <c r="J819" t="str">
        <f t="shared" si="12"/>
        <v>BA24;VSS;;18.8973999999999;11.2562;;;;</v>
      </c>
    </row>
    <row r="820" spans="1:10">
      <c r="A820" t="s">
        <v>2643</v>
      </c>
      <c r="B820" t="str">
        <f>_xlfn.XLOOKUP(A820,SITE1!$V$4:$V$1034,SITE1!$U$4:$U$1034,"")</f>
        <v>PCIE_7_LAN_0B_RXP</v>
      </c>
      <c r="C820" t="str" cm="1">
        <f t="array" ref="C820">_xlfn.TEXTJOIN(",",TRUE,_xlfn.UNIQUE(TRANSPOSE(_xlfn.MAP(_xlfn.XLOOKUP(A820,SITE1!$C$4:$C$1034,SITE1!$F$4:$O$1034,""),_xlfn.LAMBDA(_xlpm.x,IF(_xlpm.x&lt;&gt;"",TRIM(CLEAN(LEFT(_xlpm.x,FIND(".",_xlpm.x &amp; ".")-1))),""))))))</f>
        <v>CA233,LA266</v>
      </c>
      <c r="D820">
        <v>18.897399999999902</v>
      </c>
      <c r="E820">
        <v>12.6135</v>
      </c>
      <c r="F820" t="str">
        <f>_xlfn.LET(_xlpm.raw,_xlfn.XLOOKUP(A820,SITE1!$C$4:$C$1034,SITE1!$E$4:$E$1034),_xlpm.cleanRaw,SUBSTITUTE(SUBSTITUTE(_xlpm.raw,"_PIN","."),"PIN","."),_xlpm.mainPart,MID(_xlpm.cleanRaw,2,FIND(".",_xlpm.cleanRaw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704105</v>
      </c>
      <c r="G820" t="str">
        <f>_xlfn.LET(_xlpm.raw,_xlfn.XLOOKUP(A820,SITE3!$C$4:$C$1034,SITE3!$E$4:$E$1034),_xlpm.cleanRaw,SUBSTITUTE(SUBSTITUTE(_xlpm.raw,"_PIN","."),"PIN","."),_xlpm.mainPart,MID(_xlpm.cleanRaw,2,FIND(".",_xlpm.cleanRaw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504105</v>
      </c>
      <c r="H820" t="str">
        <f>""</f>
        <v/>
      </c>
      <c r="I820" t="str">
        <f>""</f>
        <v/>
      </c>
      <c r="J820" t="str">
        <f t="shared" si="12"/>
        <v>BA27;PCIE_7_LAN_0B_RXP;CA233,LA266;18.8973999999999;12.6135;704105;504105;;</v>
      </c>
    </row>
    <row r="821" spans="1:10">
      <c r="A821" t="s">
        <v>3866</v>
      </c>
      <c r="B821" t="str">
        <f>_xlfn.XLOOKUP(A821,SITE1!$V$4:$V$1034,SITE1!$U$4:$U$1034,"")</f>
        <v>VSS</v>
      </c>
      <c r="C821" t="str" cm="1">
        <f t="array" ref="C821">_xlfn.TEXTJOIN(",",TRUE,_xlfn.UNIQUE(TRANSPOSE(_xlfn.MAP(_xlfn.XLOOKUP(A821,SITE1!$C$4:$C$1034,SITE1!$F$4:$O$1034,""),_xlfn.LAMBDA(_xlpm.x,IF(_xlpm.x&lt;&gt;"",TRIM(CLEAN(LEFT(_xlpm.x,FIND(".",_xlpm.x &amp; ".")-1))),""))))))</f>
        <v/>
      </c>
      <c r="D821">
        <v>18.897399999999902</v>
      </c>
      <c r="E821">
        <v>13.985199999999899</v>
      </c>
      <c r="F821" t="str">
        <f>_xlfn.LET(_xlpm.raw,_xlfn.XLOOKUP(A821,SITE1!$C$4:$C$1034,SITE1!$E$4:$E$1034),_xlpm.cleanRaw,SUBSTITUTE(SUBSTITUTE(_xlpm.raw,"_PIN","."),"PIN","."),_xlpm.mainPart,MID(_xlpm.cleanRaw,2,FIND(".",_xlpm.cleanRaw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1" t="str">
        <f>_xlfn.LET(_xlpm.raw,_xlfn.XLOOKUP(A821,SITE3!$C$4:$C$1034,SITE3!$E$4:$E$1034),_xlpm.cleanRaw,SUBSTITUTE(SUBSTITUTE(_xlpm.raw,"_PIN","."),"PIN","."),_xlpm.mainPart,MID(_xlpm.cleanRaw,2,FIND(".",_xlpm.cleanRaw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1" t="str">
        <f>""</f>
        <v/>
      </c>
      <c r="I821" t="str">
        <f>""</f>
        <v/>
      </c>
      <c r="J821" t="str">
        <f t="shared" si="12"/>
        <v>BA30;VSS;;18.8973999999999;13.9851999999999;;;;</v>
      </c>
    </row>
    <row r="822" spans="1:10">
      <c r="A822" t="s">
        <v>1972</v>
      </c>
      <c r="B822" t="str">
        <f>_xlfn.XLOOKUP(A822,SITE1!$V$4:$V$1034,SITE1!$U$4:$U$1034,"")</f>
        <v>PCIE_11_RXP</v>
      </c>
      <c r="C822" t="str" cm="1">
        <f t="array" ref="C822">_xlfn.TEXTJOIN(",",TRUE,_xlfn.UNIQUE(TRANSPOSE(_xlfn.MAP(_xlfn.XLOOKUP(A822,SITE1!$C$4:$C$1034,SITE1!$F$4:$O$1034,""),_xlfn.LAMBDA(_xlpm.x,IF(_xlpm.x&lt;&gt;"",TRIM(CLEAN(LEFT(_xlpm.x,FIND(".",_xlpm.x &amp; ".")-1))),""))))))</f>
        <v>CA241,LA282</v>
      </c>
      <c r="D822">
        <v>18.897399999999902</v>
      </c>
      <c r="E822">
        <v>15.342499999999999</v>
      </c>
      <c r="F822" t="str">
        <f>_xlfn.LET(_xlpm.raw,_xlfn.XLOOKUP(A822,SITE1!$C$4:$C$1034,SITE1!$E$4:$E$1034),_xlpm.cleanRaw,SUBSTITUTE(SUBSTITUTE(_xlpm.raw,"_PIN","."),"PIN","."),_xlpm.mainPart,MID(_xlpm.cleanRaw,2,FIND(".",_xlpm.cleanRaw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702044</v>
      </c>
      <c r="G822" t="str">
        <f>_xlfn.LET(_xlpm.raw,_xlfn.XLOOKUP(A822,SITE3!$C$4:$C$1034,SITE3!$E$4:$E$1034),_xlpm.cleanRaw,SUBSTITUTE(SUBSTITUTE(_xlpm.raw,"_PIN","."),"PIN","."),_xlpm.mainPart,MID(_xlpm.cleanRaw,2,FIND(".",_xlpm.cleanRaw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502044</v>
      </c>
      <c r="H822" t="str">
        <f>""</f>
        <v/>
      </c>
      <c r="I822" t="str">
        <f>""</f>
        <v/>
      </c>
      <c r="J822" t="str">
        <f t="shared" si="12"/>
        <v>BA33;PCIE_11_RXP;CA241,LA282;18.8973999999999;15.3425;702044;502044;;</v>
      </c>
    </row>
    <row r="823" spans="1:10">
      <c r="A823" t="s">
        <v>3867</v>
      </c>
      <c r="B823" t="str">
        <f>_xlfn.XLOOKUP(A823,SITE1!$V$4:$V$1034,SITE1!$U$4:$U$1034,"")</f>
        <v>VSS</v>
      </c>
      <c r="C823" t="str" cm="1">
        <f t="array" ref="C823">_xlfn.TEXTJOIN(",",TRUE,_xlfn.UNIQUE(TRANSPOSE(_xlfn.MAP(_xlfn.XLOOKUP(A823,SITE1!$C$4:$C$1034,SITE1!$F$4:$O$1034,""),_xlfn.LAMBDA(_xlpm.x,IF(_xlpm.x&lt;&gt;"",TRIM(CLEAN(LEFT(_xlpm.x,FIND(".",_xlpm.x &amp; ".")-1))),""))))))</f>
        <v/>
      </c>
      <c r="D823">
        <v>18.897399999999902</v>
      </c>
      <c r="E823">
        <v>16.714199999999899</v>
      </c>
      <c r="F823" t="str">
        <f>_xlfn.LET(_xlpm.raw,_xlfn.XLOOKUP(A823,SITE1!$C$4:$C$1034,SITE1!$E$4:$E$1034),_xlpm.cleanRaw,SUBSTITUTE(SUBSTITUTE(_xlpm.raw,"_PIN","."),"PIN","."),_xlpm.mainPart,MID(_xlpm.cleanRaw,2,FIND(".",_xlpm.cleanRaw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3" t="str">
        <f>_xlfn.LET(_xlpm.raw,_xlfn.XLOOKUP(A823,SITE3!$C$4:$C$1034,SITE3!$E$4:$E$1034),_xlpm.cleanRaw,SUBSTITUTE(SUBSTITUTE(_xlpm.raw,"_PIN","."),"PIN","."),_xlpm.mainPart,MID(_xlpm.cleanRaw,2,FIND(".",_xlpm.cleanRaw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3" t="str">
        <f>""</f>
        <v/>
      </c>
      <c r="I823" t="str">
        <f>""</f>
        <v/>
      </c>
      <c r="J823" t="str">
        <f t="shared" si="12"/>
        <v>BA36;VSS;;18.8973999999999;16.7141999999999;;;;</v>
      </c>
    </row>
    <row r="824" spans="1:10">
      <c r="A824" t="s">
        <v>2114</v>
      </c>
      <c r="B824" t="str">
        <f>_xlfn.XLOOKUP(A824,SITE1!$V$4:$V$1034,SITE1!$U$4:$U$1034,"")</f>
        <v>PCIE_15_SATA_2_LAN_0C_RXP</v>
      </c>
      <c r="C824" t="str" cm="1">
        <f t="array" ref="C824">_xlfn.TEXTJOIN(",",TRUE,_xlfn.UNIQUE(TRANSPOSE(_xlfn.MAP(_xlfn.XLOOKUP(A824,SITE1!$C$4:$C$1034,SITE1!$F$4:$O$1034,""),_xlfn.LAMBDA(_xlpm.x,IF(_xlpm.x&lt;&gt;"",TRIM(CLEAN(LEFT(_xlpm.x,FIND(".",_xlpm.x &amp; ".")-1))),""))))))</f>
        <v>CA249,LA298</v>
      </c>
      <c r="D824">
        <v>18.897399999999902</v>
      </c>
      <c r="E824">
        <v>18.0715</v>
      </c>
      <c r="F824" t="str">
        <f>_xlfn.LET(_xlpm.raw,_xlfn.XLOOKUP(A824,SITE1!$C$4:$C$1034,SITE1!$E$4:$E$1034),_xlpm.cleanRaw,SUBSTITUTE(SUBSTITUTE(_xlpm.raw,"_PIN","."),"PIN","."),_xlpm.mainPart,MID(_xlpm.cleanRaw,2,FIND(".",_xlpm.cleanRaw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704116</v>
      </c>
      <c r="G824" t="str">
        <f>_xlfn.LET(_xlpm.raw,_xlfn.XLOOKUP(A824,SITE3!$C$4:$C$1034,SITE3!$E$4:$E$1034),_xlpm.cleanRaw,SUBSTITUTE(SUBSTITUTE(_xlpm.raw,"_PIN","."),"PIN","."),_xlpm.mainPart,MID(_xlpm.cleanRaw,2,FIND(".",_xlpm.cleanRaw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504116</v>
      </c>
      <c r="H824" t="str">
        <f>""</f>
        <v/>
      </c>
      <c r="I824" t="str">
        <f>""</f>
        <v/>
      </c>
      <c r="J824" t="str">
        <f t="shared" si="12"/>
        <v>BA39;PCIE_15_SATA_2_LAN_0C_RXP;CA249,LA298;18.8973999999999;18.0715;704116;504116;;</v>
      </c>
    </row>
    <row r="825" spans="1:10">
      <c r="A825" t="s">
        <v>3868</v>
      </c>
      <c r="B825" t="str">
        <f>_xlfn.XLOOKUP(A825,SITE1!$V$4:$V$1034,SITE1!$U$4:$U$1034,"")</f>
        <v>VSS</v>
      </c>
      <c r="C825" t="str" cm="1">
        <f t="array" ref="C825">_xlfn.TEXTJOIN(",",TRUE,_xlfn.UNIQUE(TRANSPOSE(_xlfn.MAP(_xlfn.XLOOKUP(A825,SITE1!$C$4:$C$1034,SITE1!$F$4:$O$1034,""),_xlfn.LAMBDA(_xlpm.x,IF(_xlpm.x&lt;&gt;"",TRIM(CLEAN(LEFT(_xlpm.x,FIND(".",_xlpm.x &amp; ".")-1))),""))))))</f>
        <v/>
      </c>
      <c r="D825">
        <v>18.897399999999902</v>
      </c>
      <c r="E825">
        <v>19.443200000000001</v>
      </c>
      <c r="F825" t="str">
        <f>_xlfn.LET(_xlpm.raw,_xlfn.XLOOKUP(A825,SITE1!$C$4:$C$1034,SITE1!$E$4:$E$1034),_xlpm.cleanRaw,SUBSTITUTE(SUBSTITUTE(_xlpm.raw,"_PIN","."),"PIN","."),_xlpm.mainPart,MID(_xlpm.cleanRaw,2,FIND(".",_xlpm.cleanRaw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5" t="str">
        <f>_xlfn.LET(_xlpm.raw,_xlfn.XLOOKUP(A825,SITE3!$C$4:$C$1034,SITE3!$E$4:$E$1034),_xlpm.cleanRaw,SUBSTITUTE(SUBSTITUTE(_xlpm.raw,"_PIN","."),"PIN","."),_xlpm.mainPart,MID(_xlpm.cleanRaw,2,FIND(".",_xlpm.cleanRaw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5" t="str">
        <f>""</f>
        <v/>
      </c>
      <c r="I825" t="str">
        <f>""</f>
        <v/>
      </c>
      <c r="J825" t="str">
        <f t="shared" si="12"/>
        <v>BA42;VSS;;18.8973999999999;19.4432;;;;</v>
      </c>
    </row>
    <row r="826" spans="1:10">
      <c r="A826" t="s">
        <v>2255</v>
      </c>
      <c r="B826" t="str">
        <f>_xlfn.XLOOKUP(A826,SITE1!$V$4:$V$1034,SITE1!$U$4:$U$1034,"")</f>
        <v>PCIE_19_SATA_6_RXP</v>
      </c>
      <c r="C826" t="str" cm="1">
        <f t="array" ref="C826">_xlfn.TEXTJOIN(",",TRUE,_xlfn.UNIQUE(TRANSPOSE(_xlfn.MAP(_xlfn.XLOOKUP(A826,SITE1!$C$4:$C$1034,SITE1!$F$4:$O$1034,""),_xlfn.LAMBDA(_xlpm.x,IF(_xlpm.x&lt;&gt;"",TRIM(CLEAN(LEFT(_xlpm.x,FIND(".",_xlpm.x &amp; ".")-1))),""))))))</f>
        <v>CA257,LA314</v>
      </c>
      <c r="D826">
        <v>18.897399999999902</v>
      </c>
      <c r="E826">
        <v>20.8005</v>
      </c>
      <c r="F826" t="str">
        <f>_xlfn.LET(_xlpm.raw,_xlfn.XLOOKUP(A826,SITE1!$C$4:$C$1034,SITE1!$E$4:$E$1034),_xlpm.cleanRaw,SUBSTITUTE(SUBSTITUTE(_xlpm.raw,"_PIN","."),"PIN","."),_xlpm.mainPart,MID(_xlpm.cleanRaw,2,FIND(".",_xlpm.cleanRaw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703028</v>
      </c>
      <c r="G826" t="str">
        <f>_xlfn.LET(_xlpm.raw,_xlfn.XLOOKUP(A826,SITE3!$C$4:$C$1034,SITE3!$E$4:$E$1034),_xlpm.cleanRaw,SUBSTITUTE(SUBSTITUTE(_xlpm.raw,"_PIN","."),"PIN","."),_xlpm.mainPart,MID(_xlpm.cleanRaw,2,FIND(".",_xlpm.cleanRaw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503028</v>
      </c>
      <c r="H826" t="str">
        <f>""</f>
        <v/>
      </c>
      <c r="I826" t="str">
        <f>""</f>
        <v/>
      </c>
      <c r="J826" t="str">
        <f t="shared" si="12"/>
        <v>BA44;PCIE_19_SATA_6_RXP;CA257,LA314;18.8973999999999;20.8005;703028;503028;;</v>
      </c>
    </row>
    <row r="827" spans="1:10">
      <c r="A827" t="s">
        <v>1224</v>
      </c>
      <c r="B827" t="str">
        <f>_xlfn.XLOOKUP(A827,SITE1!$V$4:$V$1034,SITE1!$U$4:$U$1034,"")</f>
        <v>GPP_E_2_SATAXPCIE_2_SATAGP_2</v>
      </c>
      <c r="C827" t="str" cm="1">
        <f t="array" ref="C827">_xlfn.TEXTJOIN(",",TRUE,_xlfn.UNIQUE(TRANSPOSE(_xlfn.MAP(_xlfn.XLOOKUP(A827,SITE1!$C$4:$C$1034,SITE1!$F$4:$O$1034,""),_xlfn.LAMBDA(_xlpm.x,IF(_xlpm.x&lt;&gt;"",TRIM(CLEAN(LEFT(_xlpm.x,FIND(".",_xlpm.x &amp; ".")-1))),""))))))</f>
        <v/>
      </c>
      <c r="D827">
        <v>18.814599999999999</v>
      </c>
      <c r="E827">
        <v>21.372900000000001</v>
      </c>
      <c r="F827" t="str">
        <f>_xlfn.LET(_xlpm.raw,_xlfn.XLOOKUP(A827,SITE1!$C$4:$C$1034,SITE1!$E$4:$E$1034),_xlpm.cleanRaw,SUBSTITUTE(SUBSTITUTE(_xlpm.raw,"_PIN","."),"PIN","."),_xlpm.mainPart,MID(_xlpm.cleanRaw,2,FIND(".",_xlpm.cleanRaw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602083</v>
      </c>
      <c r="G827" t="str">
        <f>_xlfn.LET(_xlpm.raw,_xlfn.XLOOKUP(A827,SITE3!$C$4:$C$1034,SITE3!$E$4:$E$1034),_xlpm.cleanRaw,SUBSTITUTE(SUBSTITUTE(_xlpm.raw,"_PIN","."),"PIN","."),_xlpm.mainPart,MID(_xlpm.cleanRaw,2,FIND(".",_xlpm.cleanRaw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802083</v>
      </c>
      <c r="H827" t="str">
        <f>""</f>
        <v/>
      </c>
      <c r="I827" t="str">
        <f>""</f>
        <v/>
      </c>
      <c r="J827" t="str">
        <f t="shared" si="12"/>
        <v>BA46;GPP_E_2_SATAXPCIE_2_SATAGP_2;;18.8146;21.3729;602083;802083;;</v>
      </c>
    </row>
    <row r="828" spans="1:10">
      <c r="A828" t="s">
        <v>1239</v>
      </c>
      <c r="B828" t="str">
        <f>_xlfn.XLOOKUP(A828,SITE1!$V$4:$V$1034,SITE1!$U$4:$U$1034,"")</f>
        <v>GPP_E_3_CPU_GP_0</v>
      </c>
      <c r="C828" t="str" cm="1">
        <f t="array" ref="C828">_xlfn.TEXTJOIN(",",TRUE,_xlfn.UNIQUE(TRANSPOSE(_xlfn.MAP(_xlfn.XLOOKUP(A828,SITE1!$C$4:$C$1034,SITE1!$F$4:$O$1034,""),_xlfn.LAMBDA(_xlpm.x,IF(_xlpm.x&lt;&gt;"",TRIM(CLEAN(LEFT(_xlpm.x,FIND(".",_xlpm.x &amp; ".")-1))),""))))))</f>
        <v/>
      </c>
      <c r="D828">
        <v>18.7441</v>
      </c>
      <c r="E828">
        <v>21.9373</v>
      </c>
      <c r="F828" t="str">
        <f>_xlfn.LET(_xlpm.raw,_xlfn.XLOOKUP(A828,SITE1!$C$4:$C$1034,SITE1!$E$4:$E$1034),_xlpm.cleanRaw,SUBSTITUTE(SUBSTITUTE(_xlpm.raw,"_PIN","."),"PIN","."),_xlpm.mainPart,MID(_xlpm.cleanRaw,2,FIND(".",_xlpm.cleanRaw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705053</v>
      </c>
      <c r="G828" t="str">
        <f>_xlfn.LET(_xlpm.raw,_xlfn.XLOOKUP(A828,SITE3!$C$4:$C$1034,SITE3!$E$4:$E$1034),_xlpm.cleanRaw,SUBSTITUTE(SUBSTITUTE(_xlpm.raw,"_PIN","."),"PIN","."),_xlpm.mainPart,MID(_xlpm.cleanRaw,2,FIND(".",_xlpm.cleanRaw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505053</v>
      </c>
      <c r="H828" t="str">
        <f>""</f>
        <v/>
      </c>
      <c r="I828" t="str">
        <f>""</f>
        <v/>
      </c>
      <c r="J828" t="str">
        <f t="shared" si="12"/>
        <v>BA47;GPP_E_3_CPU_GP_0;;18.7441;21.9373;705053;505053;;</v>
      </c>
    </row>
    <row r="829" spans="1:10">
      <c r="A829" t="s">
        <v>3869</v>
      </c>
      <c r="B829" t="str">
        <f>_xlfn.XLOOKUP(A829,SITE1!$V$4:$V$1034,SITE1!$U$4:$U$1034,"")</f>
        <v>VSS</v>
      </c>
      <c r="C829" t="str" cm="1">
        <f t="array" ref="C829">_xlfn.TEXTJOIN(",",TRUE,_xlfn.UNIQUE(TRANSPOSE(_xlfn.MAP(_xlfn.XLOOKUP(A829,SITE1!$C$4:$C$1034,SITE1!$F$4:$O$1034,""),_xlfn.LAMBDA(_xlpm.x,IF(_xlpm.x&lt;&gt;"",TRIM(CLEAN(LEFT(_xlpm.x,FIND(".",_xlpm.x &amp; ".")-1))),""))))))</f>
        <v/>
      </c>
      <c r="D829">
        <v>18.647099999999998</v>
      </c>
      <c r="E829">
        <v>23.174700000000001</v>
      </c>
      <c r="F829" t="str">
        <f>_xlfn.LET(_xlpm.raw,_xlfn.XLOOKUP(A829,SITE1!$C$4:$C$1034,SITE1!$E$4:$E$1034),_xlpm.cleanRaw,SUBSTITUTE(SUBSTITUTE(_xlpm.raw,"_PIN","."),"PIN","."),_xlpm.mainPart,MID(_xlpm.cleanRaw,2,FIND(".",_xlpm.cleanRaw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9" t="str">
        <f>_xlfn.LET(_xlpm.raw,_xlfn.XLOOKUP(A829,SITE3!$C$4:$C$1034,SITE3!$E$4:$E$1034),_xlpm.cleanRaw,SUBSTITUTE(SUBSTITUTE(_xlpm.raw,"_PIN","."),"PIN","."),_xlpm.mainPart,MID(_xlpm.cleanRaw,2,FIND(".",_xlpm.cleanRaw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9" t="str">
        <f>""</f>
        <v/>
      </c>
      <c r="I829" t="str">
        <f>""</f>
        <v/>
      </c>
      <c r="J829" t="str">
        <f t="shared" si="12"/>
        <v>BA49;VSS;;18.6471;23.1747;;;;</v>
      </c>
    </row>
    <row r="830" spans="1:10">
      <c r="A830" t="s">
        <v>3870</v>
      </c>
      <c r="B830" t="str">
        <f>_xlfn.XLOOKUP(A830,SITE1!$V$4:$V$1034,SITE1!$U$4:$U$1034,"")</f>
        <v>VSS</v>
      </c>
      <c r="C830" t="str" cm="1">
        <f t="array" ref="C830">_xlfn.TEXTJOIN(",",TRUE,_xlfn.UNIQUE(TRANSPOSE(_xlfn.MAP(_xlfn.XLOOKUP(A830,SITE1!$C$4:$C$1034,SITE1!$F$4:$O$1034,""),_xlfn.LAMBDA(_xlpm.x,IF(_xlpm.x&lt;&gt;"",TRIM(CLEAN(LEFT(_xlpm.x,FIND(".",_xlpm.x &amp; ".")-1))),""))))))</f>
        <v/>
      </c>
      <c r="D830">
        <v>18.9315</v>
      </c>
      <c r="E830">
        <v>23.8887</v>
      </c>
      <c r="F830" t="str">
        <f>_xlfn.LET(_xlpm.raw,_xlfn.XLOOKUP(A830,SITE1!$C$4:$C$1034,SITE1!$E$4:$E$1034),_xlpm.cleanRaw,SUBSTITUTE(SUBSTITUTE(_xlpm.raw,"_PIN","."),"PIN","."),_xlpm.mainPart,MID(_xlpm.cleanRaw,2,FIND(".",_xlpm.cleanRaw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0" t="str">
        <f>_xlfn.LET(_xlpm.raw,_xlfn.XLOOKUP(A830,SITE3!$C$4:$C$1034,SITE3!$E$4:$E$1034),_xlpm.cleanRaw,SUBSTITUTE(SUBSTITUTE(_xlpm.raw,"_PIN","."),"PIN","."),_xlpm.mainPart,MID(_xlpm.cleanRaw,2,FIND(".",_xlpm.cleanRaw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0" t="str">
        <f>""</f>
        <v/>
      </c>
      <c r="I830" t="str">
        <f>""</f>
        <v/>
      </c>
      <c r="J830" t="str">
        <f t="shared" si="12"/>
        <v>BA51;VSS;;18.9315;23.8887;;;;</v>
      </c>
    </row>
    <row r="831" spans="1:10">
      <c r="A831" t="s">
        <v>1669</v>
      </c>
      <c r="B831" t="str">
        <f>_xlfn.XLOOKUP(A831,SITE1!$V$4:$V$1034,SITE1!$U$4:$U$1034,"")</f>
        <v>GPP_K_1_GSXSLOAD</v>
      </c>
      <c r="C831" t="str" cm="1">
        <f t="array" ref="C831">_xlfn.TEXTJOIN(",",TRUE,_xlfn.UNIQUE(TRANSPOSE(_xlfn.MAP(_xlfn.XLOOKUP(A831,SITE1!$C$4:$C$1034,SITE1!$F$4:$O$1034,""),_xlfn.LAMBDA(_xlpm.x,IF(_xlpm.x&lt;&gt;"",TRIM(CLEAN(LEFT(_xlpm.x,FIND(".",_xlpm.x &amp; ".")-1))),""))))))</f>
        <v/>
      </c>
      <c r="D831">
        <v>18.9741</v>
      </c>
      <c r="E831">
        <v>25.724799999999998</v>
      </c>
      <c r="F831" t="str">
        <f>_xlfn.LET(_xlpm.raw,_xlfn.XLOOKUP(A831,SITE1!$C$4:$C$1034,SITE1!$E$4:$E$1034),_xlpm.cleanRaw,SUBSTITUTE(SUBSTITUTE(_xlpm.raw,"_PIN","."),"PIN","."),_xlpm.mainPart,MID(_xlpm.cleanRaw,2,FIND(".",_xlpm.cleanRaw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707099</v>
      </c>
      <c r="G831" t="str">
        <f>_xlfn.LET(_xlpm.raw,_xlfn.XLOOKUP(A831,SITE3!$C$4:$C$1034,SITE3!$E$4:$E$1034),_xlpm.cleanRaw,SUBSTITUTE(SUBSTITUTE(_xlpm.raw,"_PIN","."),"PIN","."),_xlpm.mainPart,MID(_xlpm.cleanRaw,2,FIND(".",_xlpm.cleanRaw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507099</v>
      </c>
      <c r="H831" t="str">
        <f>""</f>
        <v/>
      </c>
      <c r="I831" t="str">
        <f>""</f>
        <v/>
      </c>
      <c r="J831" t="str">
        <f t="shared" si="12"/>
        <v>BA55;GPP_K_1_GSXSLOAD;;18.9741;25.7248;707099;507099;;</v>
      </c>
    </row>
    <row r="832" spans="1:10">
      <c r="A832" t="s">
        <v>1679</v>
      </c>
      <c r="B832" t="str">
        <f>_xlfn.XLOOKUP(A832,SITE1!$V$4:$V$1034,SITE1!$U$4:$U$1034,"")</f>
        <v>GPP_K_3_GSXSRESETB</v>
      </c>
      <c r="C832" t="str" cm="1">
        <f t="array" ref="C832">_xlfn.TEXTJOIN(",",TRUE,_xlfn.UNIQUE(TRANSPOSE(_xlfn.MAP(_xlfn.XLOOKUP(A832,SITE1!$C$4:$C$1034,SITE1!$F$4:$O$1034,""),_xlfn.LAMBDA(_xlpm.x,IF(_xlpm.x&lt;&gt;"",TRIM(CLEAN(LEFT(_xlpm.x,FIND(".",_xlpm.x &amp; ".")-1))),""))))))</f>
        <v/>
      </c>
      <c r="D832">
        <v>18.9741</v>
      </c>
      <c r="E832">
        <v>26.2256</v>
      </c>
      <c r="F832" t="str">
        <f>_xlfn.LET(_xlpm.raw,_xlfn.XLOOKUP(A832,SITE1!$C$4:$C$1034,SITE1!$E$4:$E$1034),_xlpm.cleanRaw,SUBSTITUTE(SUBSTITUTE(_xlpm.raw,"_PIN","."),"PIN","."),_xlpm.mainPart,MID(_xlpm.cleanRaw,2,FIND(".",_xlpm.cleanRaw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701085</v>
      </c>
      <c r="G832" t="str">
        <f>_xlfn.LET(_xlpm.raw,_xlfn.XLOOKUP(A832,SITE3!$C$4:$C$1034,SITE3!$E$4:$E$1034),_xlpm.cleanRaw,SUBSTITUTE(SUBSTITUTE(_xlpm.raw,"_PIN","."),"PIN","."),_xlpm.mainPart,MID(_xlpm.cleanRaw,2,FIND(".",_xlpm.cleanRaw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501085</v>
      </c>
      <c r="H832" t="str">
        <f>""</f>
        <v/>
      </c>
      <c r="I832" t="str">
        <f>""</f>
        <v/>
      </c>
      <c r="J832" t="str">
        <f t="shared" si="12"/>
        <v>BA56;GPP_K_3_GSXSRESETB;;18.9741;26.2256;701085;501085;;</v>
      </c>
    </row>
    <row r="833" spans="1:10">
      <c r="A833" t="s">
        <v>3873</v>
      </c>
      <c r="B833" t="str">
        <f>_xlfn.XLOOKUP(A833,SITE1!$V$4:$V$1034,SITE1!$U$4:$U$1034,"")</f>
        <v>VSS</v>
      </c>
      <c r="C833" t="str" cm="1">
        <f t="array" ref="C833">_xlfn.TEXTJOIN(",",TRUE,_xlfn.UNIQUE(TRANSPOSE(_xlfn.MAP(_xlfn.XLOOKUP(A833,SITE1!$C$4:$C$1034,SITE1!$F$4:$O$1034,""),_xlfn.LAMBDA(_xlpm.x,IF(_xlpm.x&lt;&gt;"",TRIM(CLEAN(LEFT(_xlpm.x,FIND(".",_xlpm.x &amp; ".")-1))),""))))))</f>
        <v/>
      </c>
      <c r="D833">
        <v>19.484400000000001</v>
      </c>
      <c r="E833">
        <v>0</v>
      </c>
      <c r="F833" t="str">
        <f>_xlfn.LET(_xlpm.raw,_xlfn.XLOOKUP(A833,SITE1!$C$4:$C$1034,SITE1!$E$4:$E$1034),_xlpm.cleanRaw,SUBSTITUTE(SUBSTITUTE(_xlpm.raw,"_PIN","."),"PIN","."),_xlpm.mainPart,MID(_xlpm.cleanRaw,2,FIND(".",_xlpm.cleanRaw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3" t="str">
        <f>_xlfn.LET(_xlpm.raw,_xlfn.XLOOKUP(A833,SITE3!$C$4:$C$1034,SITE3!$E$4:$E$1034),_xlpm.cleanRaw,SUBSTITUTE(SUBSTITUTE(_xlpm.raw,"_PIN","."),"PIN","."),_xlpm.mainPart,MID(_xlpm.cleanRaw,2,FIND(".",_xlpm.cleanRaw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3" t="str">
        <f>""</f>
        <v/>
      </c>
      <c r="I833" t="str">
        <f>""</f>
        <v/>
      </c>
      <c r="J833" t="str">
        <f t="shared" si="12"/>
        <v>BB1;VSS;;19.4844;0;;;;</v>
      </c>
    </row>
    <row r="834" spans="1:10">
      <c r="A834" t="s">
        <v>2803</v>
      </c>
      <c r="B834" t="str">
        <f>_xlfn.XLOOKUP(A834,SITE1!$V$4:$V$1034,SITE1!$U$4:$U$1034,"")</f>
        <v>RTCX1</v>
      </c>
      <c r="C834" t="str" cm="1">
        <f t="array" ref="C834">_xlfn.TEXTJOIN(",",TRUE,_xlfn.UNIQUE(TRANSPOSE(_xlfn.MAP(_xlfn.XLOOKUP(A834,SITE1!$C$4:$C$1034,SITE1!$F$4:$O$1034,""),_xlfn.LAMBDA(_xlpm.x,IF(_xlpm.x&lt;&gt;"",TRIM(CLEAN(LEFT(_xlpm.x,FIND(".",_xlpm.x &amp; ".")-1))),""))))))</f>
        <v>KA101</v>
      </c>
      <c r="D834">
        <v>19.3828</v>
      </c>
      <c r="E834">
        <v>1.9837</v>
      </c>
      <c r="F834" t="str">
        <f>_xlfn.LET(_xlpm.raw,_xlfn.XLOOKUP(A834,SITE1!$C$4:$C$1034,SITE1!$E$4:$E$1034),_xlpm.cleanRaw,SUBSTITUTE(SUBSTITUTE(_xlpm.raw,"_PIN","."),"PIN","."),_xlpm.mainPart,MID(_xlpm.cleanRaw,2,FIND(".",_xlpm.cleanRaw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608064</v>
      </c>
      <c r="G834" t="str">
        <f>_xlfn.LET(_xlpm.raw,_xlfn.XLOOKUP(A834,SITE3!$C$4:$C$1034,SITE3!$E$4:$E$1034),_xlpm.cleanRaw,SUBSTITUTE(SUBSTITUTE(_xlpm.raw,"_PIN","."),"PIN","."),_xlpm.mainPart,MID(_xlpm.cleanRaw,2,FIND(".",_xlpm.cleanRaw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808064</v>
      </c>
      <c r="H834" t="str">
        <f>""</f>
        <v/>
      </c>
      <c r="I834" t="str">
        <f>""</f>
        <v/>
      </c>
      <c r="J834" t="str">
        <f t="shared" ref="J834:J897" si="13">A834&amp;";"&amp;B834&amp;";"&amp;C834&amp;";"&amp;D834&amp;";"&amp;E834&amp;";"&amp;F834&amp;";"&amp;G834&amp;";"&amp;H834&amp;";"&amp;I834</f>
        <v>BB5;RTCX1;KA101;19.3828;1.9837;608064;808064;;</v>
      </c>
    </row>
    <row r="835" spans="1:10">
      <c r="A835" t="s">
        <v>1043</v>
      </c>
      <c r="B835" t="str">
        <f>_xlfn.XLOOKUP(A835,SITE1!$V$4:$V$1034,SITE1!$U$4:$U$1034,"")</f>
        <v>GPP_D_0_SRCCLKREQB_0</v>
      </c>
      <c r="C835" t="str" cm="1">
        <f t="array" ref="C835">_xlfn.TEXTJOIN(",",TRUE,_xlfn.UNIQUE(TRANSPOSE(_xlfn.MAP(_xlfn.XLOOKUP(A835,SITE1!$C$4:$C$1034,SITE1!$F$4:$O$1034,""),_xlfn.LAMBDA(_xlpm.x,IF(_xlpm.x&lt;&gt;"",TRIM(CLEAN(LEFT(_xlpm.x,FIND(".",_xlpm.x &amp; ".")-1))),""))))))</f>
        <v/>
      </c>
      <c r="D835">
        <v>19.29</v>
      </c>
      <c r="E835">
        <v>2.5559999999999898</v>
      </c>
      <c r="F835" t="str">
        <f>_xlfn.LET(_xlpm.raw,_xlfn.XLOOKUP(A835,SITE1!$C$4:$C$1034,SITE1!$E$4:$E$1034),_xlpm.cleanRaw,SUBSTITUTE(SUBSTITUTE(_xlpm.raw,"_PIN","."),"PIN","."),_xlpm.mainPart,MID(_xlpm.cleanRaw,2,FIND(".",_xlpm.cleanRaw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602057</v>
      </c>
      <c r="G835" t="str">
        <f>_xlfn.LET(_xlpm.raw,_xlfn.XLOOKUP(A835,SITE3!$C$4:$C$1034,SITE3!$E$4:$E$1034),_xlpm.cleanRaw,SUBSTITUTE(SUBSTITUTE(_xlpm.raw,"_PIN","."),"PIN","."),_xlpm.mainPart,MID(_xlpm.cleanRaw,2,FIND(".",_xlpm.cleanRaw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802057</v>
      </c>
      <c r="H835" t="str">
        <f>""</f>
        <v/>
      </c>
      <c r="I835" t="str">
        <f>""</f>
        <v/>
      </c>
      <c r="J835" t="str">
        <f t="shared" si="13"/>
        <v>BB6;GPP_D_0_SRCCLKREQB_0;;19.29;2.55599999999999;602057;802057;;</v>
      </c>
    </row>
    <row r="836" spans="1:10">
      <c r="A836" t="s">
        <v>1148</v>
      </c>
      <c r="B836" t="str">
        <f>_xlfn.XLOOKUP(A836,SITE1!$V$4:$V$1034,SITE1!$U$4:$U$1034,"")</f>
        <v>GPP_D_7_I2S2_RXD_DMIC_DATA_1</v>
      </c>
      <c r="C836" t="str" cm="1">
        <f t="array" ref="C836">_xlfn.TEXTJOIN(",",TRUE,_xlfn.UNIQUE(TRANSPOSE(_xlfn.MAP(_xlfn.XLOOKUP(A836,SITE1!$C$4:$C$1034,SITE1!$F$4:$O$1034,""),_xlfn.LAMBDA(_xlpm.x,IF(_xlpm.x&lt;&gt;"",TRIM(CLEAN(LEFT(_xlpm.x,FIND(".",_xlpm.x &amp; ".")-1))),""))))))</f>
        <v/>
      </c>
      <c r="D836">
        <v>19.1523</v>
      </c>
      <c r="E836">
        <v>3.4655999999999998</v>
      </c>
      <c r="F836" t="str">
        <f>_xlfn.LET(_xlpm.raw,_xlfn.XLOOKUP(A836,SITE1!$C$4:$C$1034,SITE1!$E$4:$E$1034),_xlpm.cleanRaw,SUBSTITUTE(SUBSTITUTE(_xlpm.raw,"_PIN","."),"PIN","."),_xlpm.mainPart,MID(_xlpm.cleanRaw,2,FIND(".",_xlpm.cleanRaw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602072</v>
      </c>
      <c r="G836" t="str">
        <f>_xlfn.LET(_xlpm.raw,_xlfn.XLOOKUP(A836,SITE3!$C$4:$C$1034,SITE3!$E$4:$E$1034),_xlpm.cleanRaw,SUBSTITUTE(SUBSTITUTE(_xlpm.raw,"_PIN","."),"PIN","."),_xlpm.mainPart,MID(_xlpm.cleanRaw,2,FIND(".",_xlpm.cleanRaw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802072</v>
      </c>
      <c r="H836" t="str">
        <f>""</f>
        <v/>
      </c>
      <c r="I836" t="str">
        <f>""</f>
        <v/>
      </c>
      <c r="J836" t="str">
        <f t="shared" si="13"/>
        <v>BB8;GPP_D_7_I2S2_RXD_DMIC_DATA_1;;19.1523;3.4656;602072;802072;;</v>
      </c>
    </row>
    <row r="837" spans="1:10">
      <c r="A837" t="s">
        <v>1138</v>
      </c>
      <c r="B837" t="str">
        <f>_xlfn.XLOOKUP(A837,SITE1!$V$4:$V$1034,SITE1!$U$4:$U$1034,"")</f>
        <v>GPP_D_5_I2S2_SFRM_CNV_RF_RESET_B_DMIC_DATA_0</v>
      </c>
      <c r="C837" t="str" cm="1">
        <f t="array" ref="C837">_xlfn.TEXTJOIN(",",TRUE,_xlfn.UNIQUE(TRANSPOSE(_xlfn.MAP(_xlfn.XLOOKUP(A837,SITE1!$C$4:$C$1034,SITE1!$F$4:$O$1034,""),_xlfn.LAMBDA(_xlpm.x,IF(_xlpm.x&lt;&gt;"",TRIM(CLEAN(LEFT(_xlpm.x,FIND(".",_xlpm.x &amp; ".")-1))),""))))))</f>
        <v/>
      </c>
      <c r="D837">
        <v>19.3552</v>
      </c>
      <c r="E837">
        <v>4.5552999999999901</v>
      </c>
      <c r="F837" t="str">
        <f>_xlfn.LET(_xlpm.raw,_xlfn.XLOOKUP(A837,SITE1!$C$4:$C$1034,SITE1!$E$4:$E$1034),_xlpm.cleanRaw,SUBSTITUTE(SUBSTITUTE(_xlpm.raw,"_PIN","."),"PIN","."),_xlpm.mainPart,MID(_xlpm.cleanRaw,2,FIND(".",_xlpm.cleanRaw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602050</v>
      </c>
      <c r="G837" t="str">
        <f>_xlfn.LET(_xlpm.raw,_xlfn.XLOOKUP(A837,SITE3!$C$4:$C$1034,SITE3!$E$4:$E$1034),_xlpm.cleanRaw,SUBSTITUTE(SUBSTITUTE(_xlpm.raw,"_PIN","."),"PIN","."),_xlpm.mainPart,MID(_xlpm.cleanRaw,2,FIND(".",_xlpm.cleanRaw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802050</v>
      </c>
      <c r="H837" t="str">
        <f>""</f>
        <v/>
      </c>
      <c r="I837" t="str">
        <f>""</f>
        <v/>
      </c>
      <c r="J837" t="str">
        <f t="shared" si="13"/>
        <v>BB10;GPP_D_5_I2S2_SFRM_CNV_RF_RESET_B_DMIC_DATA_0;;19.3552;4.55529999999999;602050;802050;;</v>
      </c>
    </row>
    <row r="838" spans="1:10">
      <c r="A838" t="s">
        <v>269</v>
      </c>
      <c r="B838" t="str">
        <f>_xlfn.XLOOKUP(A838,SITE1!$V$4:$V$1034,SITE1!$U$4:$U$1034,"")</f>
        <v>CNV_WR_D1P</v>
      </c>
      <c r="C838" t="str" cm="1">
        <f t="array" ref="C838">_xlfn.TEXTJOIN(",",TRUE,_xlfn.UNIQUE(TRANSPOSE(_xlfn.MAP(_xlfn.XLOOKUP(A838,SITE1!$C$4:$C$1034,SITE1!$F$4:$O$1034,""),_xlfn.LAMBDA(_xlpm.x,IF(_xlpm.x&lt;&gt;"",TRIM(CLEAN(LEFT(_xlpm.x,FIND(".",_xlpm.x &amp; ".")-1))),""))))))</f>
        <v>UA123</v>
      </c>
      <c r="D838">
        <v>19.276199999999999</v>
      </c>
      <c r="E838">
        <v>5.7999000000000001</v>
      </c>
      <c r="F838" t="str">
        <f>_xlfn.LET(_xlpm.raw,_xlfn.XLOOKUP(A838,SITE1!$C$4:$C$1034,SITE1!$E$4:$E$1034),_xlpm.cleanRaw,SUBSTITUTE(SUBSTITUTE(_xlpm.raw,"_PIN","."),"PIN","."),_xlpm.mainPart,MID(_xlpm.cleanRaw,2,FIND(".",_xlpm.cleanRaw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601012</v>
      </c>
      <c r="G838" t="str">
        <f>_xlfn.LET(_xlpm.raw,_xlfn.XLOOKUP(A838,SITE3!$C$4:$C$1034,SITE3!$E$4:$E$1034),_xlpm.cleanRaw,SUBSTITUTE(SUBSTITUTE(_xlpm.raw,"_PIN","."),"PIN","."),_xlpm.mainPart,MID(_xlpm.cleanRaw,2,FIND(".",_xlpm.cleanRaw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801012</v>
      </c>
      <c r="H838" t="str">
        <f>""</f>
        <v/>
      </c>
      <c r="I838" t="str">
        <f>""</f>
        <v/>
      </c>
      <c r="J838" t="str">
        <f t="shared" si="13"/>
        <v>BB13;CNV_WR_D1P;UA123;19.2762;5.7999;601012;801012;;</v>
      </c>
    </row>
    <row r="839" spans="1:10">
      <c r="A839" t="s">
        <v>219</v>
      </c>
      <c r="B839" t="str">
        <f>_xlfn.XLOOKUP(A839,SITE1!$V$4:$V$1034,SITE1!$U$4:$U$1034,"")</f>
        <v>CNV_WR_CLKN</v>
      </c>
      <c r="C839" t="str" cm="1">
        <f t="array" ref="C839">_xlfn.TEXTJOIN(",",TRUE,_xlfn.UNIQUE(TRANSPOSE(_xlfn.MAP(_xlfn.XLOOKUP(A839,SITE1!$C$4:$C$1034,SITE1!$F$4:$O$1034,""),_xlfn.LAMBDA(_xlpm.x,IF(_xlpm.x&lt;&gt;"",TRIM(CLEAN(LEFT(_xlpm.x,FIND(".",_xlpm.x &amp; ".")-1))),""))))))</f>
        <v>UA121</v>
      </c>
      <c r="D839">
        <v>19.238099999999999</v>
      </c>
      <c r="E839">
        <v>6.9844999999999997</v>
      </c>
      <c r="F839" t="str">
        <f>_xlfn.LET(_xlpm.raw,_xlfn.XLOOKUP(A839,SITE1!$C$4:$C$1034,SITE1!$E$4:$E$1034),_xlpm.cleanRaw,SUBSTITUTE(SUBSTITUTE(_xlpm.raw,"_PIN","."),"PIN","."),_xlpm.mainPart,MID(_xlpm.cleanRaw,2,FIND(".",_xlpm.cleanRaw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602073</v>
      </c>
      <c r="G839" t="str">
        <f>_xlfn.LET(_xlpm.raw,_xlfn.XLOOKUP(A839,SITE3!$C$4:$C$1034,SITE3!$E$4:$E$1034),_xlpm.cleanRaw,SUBSTITUTE(SUBSTITUTE(_xlpm.raw,"_PIN","."),"PIN","."),_xlpm.mainPart,MID(_xlpm.cleanRaw,2,FIND(".",_xlpm.cleanRaw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802073</v>
      </c>
      <c r="H839" t="str">
        <f>""</f>
        <v/>
      </c>
      <c r="I839" t="str">
        <f>""</f>
        <v/>
      </c>
      <c r="J839" t="str">
        <f t="shared" si="13"/>
        <v>BB15;CNV_WR_CLKN;UA121;19.2381;6.9845;602073;802073;;</v>
      </c>
    </row>
    <row r="840" spans="1:10">
      <c r="A840" t="s">
        <v>3874</v>
      </c>
      <c r="B840" t="str">
        <f>_xlfn.XLOOKUP(A840,SITE1!$V$4:$V$1034,SITE1!$U$4:$U$1034,"")</f>
        <v>VSS</v>
      </c>
      <c r="C840" t="str" cm="1">
        <f t="array" ref="C840">_xlfn.TEXTJOIN(",",TRUE,_xlfn.UNIQUE(TRANSPOSE(_xlfn.MAP(_xlfn.XLOOKUP(A840,SITE1!$C$4:$C$1034,SITE1!$F$4:$O$1034,""),_xlfn.LAMBDA(_xlpm.x,IF(_xlpm.x&lt;&gt;"",TRIM(CLEAN(LEFT(_xlpm.x,FIND(".",_xlpm.x &amp; ".")-1))),""))))))</f>
        <v/>
      </c>
      <c r="D840">
        <v>19.407299999999999</v>
      </c>
      <c r="E840">
        <v>7.4832000000000001</v>
      </c>
      <c r="F840" t="str">
        <f>_xlfn.LET(_xlpm.raw,_xlfn.XLOOKUP(A840,SITE1!$C$4:$C$1034,SITE1!$E$4:$E$1034),_xlpm.cleanRaw,SUBSTITUTE(SUBSTITUTE(_xlpm.raw,"_PIN","."),"PIN","."),_xlpm.mainPart,MID(_xlpm.cleanRaw,2,FIND(".",_xlpm.cleanRaw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40" t="str">
        <f>_xlfn.LET(_xlpm.raw,_xlfn.XLOOKUP(A840,SITE3!$C$4:$C$1034,SITE3!$E$4:$E$1034),_xlpm.cleanRaw,SUBSTITUTE(SUBSTITUTE(_xlpm.raw,"_PIN","."),"PIN","."),_xlpm.mainPart,MID(_xlpm.cleanRaw,2,FIND(".",_xlpm.cleanRaw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40" t="str">
        <f>""</f>
        <v/>
      </c>
      <c r="I840" t="str">
        <f>""</f>
        <v/>
      </c>
      <c r="J840" t="str">
        <f t="shared" si="13"/>
        <v>BB16;VSS;;19.4073;7.4832;;;;</v>
      </c>
    </row>
    <row r="841" spans="1:10">
      <c r="A841" t="s">
        <v>1169</v>
      </c>
      <c r="B841" t="str">
        <f>_xlfn.XLOOKUP(A841,SITE1!$V$4:$V$1034,SITE1!$U$4:$U$1034,"")</f>
        <v>GPP_E_1_SATAXPCIE_1_SATAGP_1</v>
      </c>
      <c r="C841" t="str" cm="1">
        <f t="array" ref="C841">_xlfn.TEXTJOIN(",",TRUE,_xlfn.UNIQUE(TRANSPOSE(_xlfn.MAP(_xlfn.XLOOKUP(A841,SITE1!$C$4:$C$1034,SITE1!$F$4:$O$1034,""),_xlfn.LAMBDA(_xlpm.x,IF(_xlpm.x&lt;&gt;"",TRIM(CLEAN(LEFT(_xlpm.x,FIND(".",_xlpm.x &amp; ".")-1))),""))))))</f>
        <v/>
      </c>
      <c r="D841">
        <v>19.3552</v>
      </c>
      <c r="E841">
        <v>22.322900000000001</v>
      </c>
      <c r="F841" t="str">
        <f>_xlfn.LET(_xlpm.raw,_xlfn.XLOOKUP(A841,SITE1!$C$4:$C$1034,SITE1!$E$4:$E$1034),_xlpm.cleanRaw,SUBSTITUTE(SUBSTITUTE(_xlpm.raw,"_PIN","."),"PIN","."),_xlpm.mainPart,MID(_xlpm.cleanRaw,2,FIND(".",_xlpm.cleanRaw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705081</v>
      </c>
      <c r="G841" t="str">
        <f>_xlfn.LET(_xlpm.raw,_xlfn.XLOOKUP(A841,SITE3!$C$4:$C$1034,SITE3!$E$4:$E$1034),_xlpm.cleanRaw,SUBSTITUTE(SUBSTITUTE(_xlpm.raw,"_PIN","."),"PIN","."),_xlpm.mainPart,MID(_xlpm.cleanRaw,2,FIND(".",_xlpm.cleanRaw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505081</v>
      </c>
      <c r="H841" t="str">
        <f>""</f>
        <v/>
      </c>
      <c r="I841" t="str">
        <f>""</f>
        <v/>
      </c>
      <c r="J841" t="str">
        <f t="shared" si="13"/>
        <v>BB48;GPP_E_1_SATAXPCIE_1_SATAGP_1;;19.3552;22.3229;705081;505081;;</v>
      </c>
    </row>
    <row r="842" spans="1:10">
      <c r="A842" t="s">
        <v>1199</v>
      </c>
      <c r="B842" t="str">
        <f>_xlfn.XLOOKUP(A842,SITE1!$V$4:$V$1034,SITE1!$U$4:$U$1034,"")</f>
        <v>GPP_E_15_THC0_SPI1_IO_1</v>
      </c>
      <c r="C842" t="str" cm="1">
        <f t="array" ref="C842">_xlfn.TEXTJOIN(",",TRUE,_xlfn.UNIQUE(TRANSPOSE(_xlfn.MAP(_xlfn.XLOOKUP(A842,SITE1!$C$4:$C$1034,SITE1!$F$4:$O$1034,""),_xlfn.LAMBDA(_xlpm.x,IF(_xlpm.x&lt;&gt;"",TRIM(CLEAN(LEFT(_xlpm.x,FIND(".",_xlpm.x &amp; ".")-1))),""))))))</f>
        <v/>
      </c>
      <c r="D842">
        <v>19.1523</v>
      </c>
      <c r="E842">
        <v>23.412599999999902</v>
      </c>
      <c r="F842" t="str">
        <f>_xlfn.LET(_xlpm.raw,_xlfn.XLOOKUP(A842,SITE1!$C$4:$C$1034,SITE1!$E$4:$E$1034),_xlpm.cleanRaw,SUBSTITUTE(SUBSTITUTE(_xlpm.raw,"_PIN","."),"PIN","."),_xlpm.mainPart,MID(_xlpm.cleanRaw,2,FIND(".",_xlpm.cleanRaw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707088</v>
      </c>
      <c r="G842" t="str">
        <f>_xlfn.LET(_xlpm.raw,_xlfn.XLOOKUP(A842,SITE3!$C$4:$C$1034,SITE3!$E$4:$E$1034),_xlpm.cleanRaw,SUBSTITUTE(SUBSTITUTE(_xlpm.raw,"_PIN","."),"PIN","."),_xlpm.mainPart,MID(_xlpm.cleanRaw,2,FIND(".",_xlpm.cleanRaw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507088</v>
      </c>
      <c r="H842" t="str">
        <f>""</f>
        <v/>
      </c>
      <c r="I842" t="str">
        <f>""</f>
        <v/>
      </c>
      <c r="J842" t="str">
        <f t="shared" si="13"/>
        <v>BB50;GPP_E_15_THC0_SPI1_IO_1;;19.1523;23.4125999999999;707088;507088;;</v>
      </c>
    </row>
    <row r="843" spans="1:10">
      <c r="A843" t="s">
        <v>3875</v>
      </c>
      <c r="B843" t="str">
        <f>_xlfn.XLOOKUP(A843,SITE1!$V$4:$V$1034,SITE1!$U$4:$U$1034,"")</f>
        <v>VSS</v>
      </c>
      <c r="C843" t="str" cm="1">
        <f t="array" ref="C843">_xlfn.TEXTJOIN(",",TRUE,_xlfn.UNIQUE(TRANSPOSE(_xlfn.MAP(_xlfn.XLOOKUP(A843,SITE1!$C$4:$C$1034,SITE1!$F$4:$O$1034,""),_xlfn.LAMBDA(_xlpm.x,IF(_xlpm.x&lt;&gt;"",TRIM(CLEAN(LEFT(_xlpm.x,FIND(".",_xlpm.x &amp; ".")-1))),""))))))</f>
        <v/>
      </c>
      <c r="D843">
        <v>19.29</v>
      </c>
      <c r="E843">
        <v>24.322199999999999</v>
      </c>
      <c r="F843" t="str">
        <f>_xlfn.LET(_xlpm.raw,_xlfn.XLOOKUP(A843,SITE1!$C$4:$C$1034,SITE1!$E$4:$E$1034),_xlpm.cleanRaw,SUBSTITUTE(SUBSTITUTE(_xlpm.raw,"_PIN","."),"PIN","."),_xlpm.mainPart,MID(_xlpm.cleanRaw,2,FIND(".",_xlpm.cleanRaw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43" t="str">
        <f>_xlfn.LET(_xlpm.raw,_xlfn.XLOOKUP(A843,SITE3!$C$4:$C$1034,SITE3!$E$4:$E$1034),_xlpm.cleanRaw,SUBSTITUTE(SUBSTITUTE(_xlpm.raw,"_PIN","."),"PIN","."),_xlpm.mainPart,MID(_xlpm.cleanRaw,2,FIND(".",_xlpm.cleanRaw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43" t="str">
        <f>""</f>
        <v/>
      </c>
      <c r="I843" t="str">
        <f>""</f>
        <v/>
      </c>
      <c r="J843" t="str">
        <f t="shared" si="13"/>
        <v>BB52;VSS;;19.29;24.3222;;;;</v>
      </c>
    </row>
    <row r="844" spans="1:10">
      <c r="A844" t="s">
        <v>1684</v>
      </c>
      <c r="B844" t="str">
        <f>_xlfn.XLOOKUP(A844,SITE1!$V$4:$V$1034,SITE1!$U$4:$U$1034,"")</f>
        <v>GPP_K_4_GSXCLK</v>
      </c>
      <c r="C844" t="str" cm="1">
        <f t="array" ref="C844">_xlfn.TEXTJOIN(",",TRUE,_xlfn.UNIQUE(TRANSPOSE(_xlfn.MAP(_xlfn.XLOOKUP(A844,SITE1!$C$4:$C$1034,SITE1!$F$4:$O$1034,""),_xlfn.LAMBDA(_xlpm.x,IF(_xlpm.x&lt;&gt;"",TRIM(CLEAN(LEFT(_xlpm.x,FIND(".",_xlpm.x &amp; ".")-1))),""))))))</f>
        <v/>
      </c>
      <c r="D844">
        <v>19.3828</v>
      </c>
      <c r="E844">
        <v>24.894500000000001</v>
      </c>
      <c r="F844" t="str">
        <f>_xlfn.LET(_xlpm.raw,_xlfn.XLOOKUP(A844,SITE1!$C$4:$C$1034,SITE1!$E$4:$E$1034),_xlpm.cleanRaw,SUBSTITUTE(SUBSTITUTE(_xlpm.raw,"_PIN","."),"PIN","."),_xlpm.mainPart,MID(_xlpm.cleanRaw,2,FIND(".",_xlpm.cleanRaw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701128</v>
      </c>
      <c r="G844" t="str">
        <f>_xlfn.LET(_xlpm.raw,_xlfn.XLOOKUP(A844,SITE3!$C$4:$C$1034,SITE3!$E$4:$E$1034),_xlpm.cleanRaw,SUBSTITUTE(SUBSTITUTE(_xlpm.raw,"_PIN","."),"PIN","."),_xlpm.mainPart,MID(_xlpm.cleanRaw,2,FIND(".",_xlpm.cleanRaw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501128</v>
      </c>
      <c r="H844" t="str">
        <f>""</f>
        <v/>
      </c>
      <c r="I844" t="str">
        <f>""</f>
        <v/>
      </c>
      <c r="J844" t="str">
        <f t="shared" si="13"/>
        <v>BB53;GPP_K_4_GSXCLK;;19.3828;24.8945;701128;501128;;</v>
      </c>
    </row>
    <row r="845" spans="1:10">
      <c r="A845" t="s">
        <v>3876</v>
      </c>
      <c r="B845" t="str">
        <f>_xlfn.XLOOKUP(A845,SITE1!$V$4:$V$1034,SITE1!$U$4:$U$1034,"")</f>
        <v>VSS</v>
      </c>
      <c r="C845" t="str" cm="1">
        <f t="array" ref="C845">_xlfn.TEXTJOIN(",",TRUE,_xlfn.UNIQUE(TRANSPOSE(_xlfn.MAP(_xlfn.XLOOKUP(A845,SITE1!$C$4:$C$1034,SITE1!$F$4:$O$1034,""),_xlfn.LAMBDA(_xlpm.x,IF(_xlpm.x&lt;&gt;"",TRIM(CLEAN(LEFT(_xlpm.x,FIND(".",_xlpm.x &amp; ".")-1))),""))))))</f>
        <v/>
      </c>
      <c r="D845">
        <v>19.484400000000001</v>
      </c>
      <c r="E845">
        <v>26.8782</v>
      </c>
      <c r="F845" t="str">
        <f>_xlfn.LET(_xlpm.raw,_xlfn.XLOOKUP(A845,SITE1!$C$4:$C$1034,SITE1!$E$4:$E$1034),_xlpm.cleanRaw,SUBSTITUTE(SUBSTITUTE(_xlpm.raw,"_PIN","."),"PIN","."),_xlpm.mainPart,MID(_xlpm.cleanRaw,2,FIND(".",_xlpm.cleanRaw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45" t="str">
        <f>_xlfn.LET(_xlpm.raw,_xlfn.XLOOKUP(A845,SITE3!$C$4:$C$1034,SITE3!$E$4:$E$1034),_xlpm.cleanRaw,SUBSTITUTE(SUBSTITUTE(_xlpm.raw,"_PIN","."),"PIN","."),_xlpm.mainPart,MID(_xlpm.cleanRaw,2,FIND(".",_xlpm.cleanRaw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45" t="str">
        <f>""</f>
        <v/>
      </c>
      <c r="I845" t="str">
        <f>""</f>
        <v/>
      </c>
      <c r="J845" t="str">
        <f t="shared" si="13"/>
        <v>BB57;VSS;;19.4844;26.8782;;;;</v>
      </c>
    </row>
    <row r="846" spans="1:10">
      <c r="A846" t="s">
        <v>1729</v>
      </c>
      <c r="B846" t="str">
        <f>_xlfn.XLOOKUP(A846,SITE1!$V$4:$V$1034,SITE1!$U$4:$U$1034,"")</f>
        <v>GPP_R_2_HDA_SDO_I2S0_TXD_HDACPU_SDO</v>
      </c>
      <c r="C846" t="str" cm="1">
        <f t="array" ref="C846">_xlfn.TEXTJOIN(",",TRUE,_xlfn.UNIQUE(TRANSPOSE(_xlfn.MAP(_xlfn.XLOOKUP(A846,SITE1!$C$4:$C$1034,SITE1!$F$4:$O$1034,""),_xlfn.LAMBDA(_xlpm.x,IF(_xlpm.x&lt;&gt;"",TRIM(CLEAN(LEFT(_xlpm.x,FIND(".",_xlpm.x &amp; ".")-1))),""))))))</f>
        <v/>
      </c>
      <c r="D846">
        <v>19.6523</v>
      </c>
      <c r="E846">
        <v>0.52369999999999906</v>
      </c>
      <c r="F846" t="str">
        <f>_xlfn.LET(_xlpm.raw,_xlfn.XLOOKUP(A846,SITE1!$C$4:$C$1034,SITE1!$E$4:$E$1034),_xlpm.cleanRaw,SUBSTITUTE(SUBSTITUTE(_xlpm.raw,"_PIN","."),"PIN","."),_xlpm.mainPart,MID(_xlpm.cleanRaw,2,FIND(".",_xlpm.cleanRaw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604030</v>
      </c>
      <c r="G846" t="str">
        <f>_xlfn.LET(_xlpm.raw,_xlfn.XLOOKUP(A846,SITE3!$C$4:$C$1034,SITE3!$E$4:$E$1034),_xlpm.cleanRaw,SUBSTITUTE(SUBSTITUTE(_xlpm.raw,"_PIN","."),"PIN","."),_xlpm.mainPart,MID(_xlpm.cleanRaw,2,FIND(".",_xlpm.cleanRaw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804030</v>
      </c>
      <c r="H846" t="str">
        <f>""</f>
        <v/>
      </c>
      <c r="I846" t="str">
        <f>""</f>
        <v/>
      </c>
      <c r="J846" t="str">
        <f t="shared" si="13"/>
        <v>BC2;GPP_R_2_HDA_SDO_I2S0_TXD_HDACPU_SDO;;19.6523;0.523699999999999;604030;804030;;</v>
      </c>
    </row>
    <row r="847" spans="1:10">
      <c r="A847" t="s">
        <v>1734</v>
      </c>
      <c r="B847" t="str">
        <f>_xlfn.XLOOKUP(A847,SITE1!$V$4:$V$1034,SITE1!$U$4:$U$1034,"")</f>
        <v>GPP_R_3_HDA_SDI_0_I2S0_RXD_HDACPU_SDI</v>
      </c>
      <c r="C847" t="str" cm="1">
        <f t="array" ref="C847">_xlfn.TEXTJOIN(",",TRUE,_xlfn.UNIQUE(TRANSPOSE(_xlfn.MAP(_xlfn.XLOOKUP(A847,SITE1!$C$4:$C$1034,SITE1!$F$4:$O$1034,""),_xlfn.LAMBDA(_xlpm.x,IF(_xlpm.x&lt;&gt;"",TRIM(CLEAN(LEFT(_xlpm.x,FIND(".",_xlpm.x &amp; ".")-1))),""))))))</f>
        <v/>
      </c>
      <c r="D847">
        <v>19.682499999999902</v>
      </c>
      <c r="E847">
        <v>1.02609999999999</v>
      </c>
      <c r="F847" t="str">
        <f>_xlfn.LET(_xlpm.raw,_xlfn.XLOOKUP(A847,SITE1!$C$4:$C$1034,SITE1!$E$4:$E$1034),_xlpm.cleanRaw,SUBSTITUTE(SUBSTITUTE(_xlpm.raw,"_PIN","."),"PIN","."),_xlpm.mainPart,MID(_xlpm.cleanRaw,2,FIND(".",_xlpm.cleanRaw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602060</v>
      </c>
      <c r="G847" t="str">
        <f>_xlfn.LET(_xlpm.raw,_xlfn.XLOOKUP(A847,SITE3!$C$4:$C$1034,SITE3!$E$4:$E$1034),_xlpm.cleanRaw,SUBSTITUTE(SUBSTITUTE(_xlpm.raw,"_PIN","."),"PIN","."),_xlpm.mainPart,MID(_xlpm.cleanRaw,2,FIND(".",_xlpm.cleanRaw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802060</v>
      </c>
      <c r="H847" t="str">
        <f>""</f>
        <v/>
      </c>
      <c r="I847" t="str">
        <f>""</f>
        <v/>
      </c>
      <c r="J847" t="str">
        <f t="shared" si="13"/>
        <v>BC3;GPP_R_3_HDA_SDI_0_I2S0_RXD_HDACPU_SDI;;19.6824999999999;1.02609999999999;602060;802060;;</v>
      </c>
    </row>
    <row r="848" spans="1:10">
      <c r="A848" t="s">
        <v>2811</v>
      </c>
      <c r="B848" t="str">
        <f>_xlfn.XLOOKUP(A848,SITE1!$V$4:$V$1034,SITE1!$U$4:$U$1034,"")</f>
        <v>RTCX2</v>
      </c>
      <c r="C848" t="str" cm="1">
        <f t="array" ref="C848">_xlfn.TEXTJOIN(",",TRUE,_xlfn.UNIQUE(TRANSPOSE(_xlfn.MAP(_xlfn.XLOOKUP(A848,SITE1!$C$4:$C$1034,SITE1!$F$4:$O$1034,""),_xlfn.LAMBDA(_xlpm.x,IF(_xlpm.x&lt;&gt;"",TRIM(CLEAN(LEFT(_xlpm.x,FIND(".",_xlpm.x &amp; ".")-1))),""))))))</f>
        <v>RA109</v>
      </c>
      <c r="D848">
        <v>19.601199999999999</v>
      </c>
      <c r="E848">
        <v>1.5265</v>
      </c>
      <c r="F848" t="str">
        <f>_xlfn.LET(_xlpm.raw,_xlfn.XLOOKUP(A848,SITE1!$C$4:$C$1034,SITE1!$E$4:$E$1034),_xlpm.cleanRaw,SUBSTITUTE(SUBSTITUTE(_xlpm.raw,"_PIN","."),"PIN","."),_xlpm.mainPart,MID(_xlpm.cleanRaw,2,FIND(".",_xlpm.cleanRaw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608071</v>
      </c>
      <c r="G848" t="str">
        <f>_xlfn.LET(_xlpm.raw,_xlfn.XLOOKUP(A848,SITE3!$C$4:$C$1034,SITE3!$E$4:$E$1034),_xlpm.cleanRaw,SUBSTITUTE(SUBSTITUTE(_xlpm.raw,"_PIN","."),"PIN","."),_xlpm.mainPart,MID(_xlpm.cleanRaw,2,FIND(".",_xlpm.cleanRaw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808071</v>
      </c>
      <c r="H848" t="str">
        <f>""</f>
        <v/>
      </c>
      <c r="I848" t="str">
        <f>""</f>
        <v/>
      </c>
      <c r="J848" t="str">
        <f t="shared" si="13"/>
        <v>BC4;RTCX2;RA109;19.6012;1.5265;608071;808071;;</v>
      </c>
    </row>
    <row r="849" spans="1:10">
      <c r="A849" t="s">
        <v>1113</v>
      </c>
      <c r="B849" t="str">
        <f>_xlfn.XLOOKUP(A849,SITE1!$V$4:$V$1034,SITE1!$U$4:$U$1034,"")</f>
        <v>GPP_D_21_UART3_TXD_THC1_SPI2_IO_3</v>
      </c>
      <c r="C849" t="str" cm="1">
        <f t="array" ref="C849">_xlfn.TEXTJOIN(",",TRUE,_xlfn.UNIQUE(TRANSPOSE(_xlfn.MAP(_xlfn.XLOOKUP(A849,SITE1!$C$4:$C$1034,SITE1!$F$4:$O$1034,""),_xlfn.LAMBDA(_xlpm.x,IF(_xlpm.x&lt;&gt;"",TRIM(CLEAN(LEFT(_xlpm.x,FIND(".",_xlpm.x &amp; ".")-1))),""))))))</f>
        <v/>
      </c>
      <c r="D849">
        <v>19.9557</v>
      </c>
      <c r="E849">
        <v>2.8058999999999901</v>
      </c>
      <c r="F849" t="str">
        <f>_xlfn.LET(_xlpm.raw,_xlfn.XLOOKUP(A849,SITE1!$C$4:$C$1034,SITE1!$E$4:$E$1034),_xlpm.cleanRaw,SUBSTITUTE(SUBSTITUTE(_xlpm.raw,"_PIN","."),"PIN","."),_xlpm.mainPart,MID(_xlpm.cleanRaw,2,FIND(".",_xlpm.cleanRaw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602075</v>
      </c>
      <c r="G849" t="str">
        <f>_xlfn.LET(_xlpm.raw,_xlfn.XLOOKUP(A849,SITE3!$C$4:$C$1034,SITE3!$E$4:$E$1034),_xlpm.cleanRaw,SUBSTITUTE(SUBSTITUTE(_xlpm.raw,"_PIN","."),"PIN","."),_xlpm.mainPart,MID(_xlpm.cleanRaw,2,FIND(".",_xlpm.cleanRaw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802075</v>
      </c>
      <c r="H849" t="str">
        <f>""</f>
        <v/>
      </c>
      <c r="I849" t="str">
        <f>""</f>
        <v/>
      </c>
      <c r="J849" t="str">
        <f t="shared" si="13"/>
        <v>BC7;GPP_D_21_UART3_TXD_THC1_SPI2_IO_3;;19.9557;2.80589999999999;602075;802075;;</v>
      </c>
    </row>
    <row r="850" spans="1:10">
      <c r="A850" t="s">
        <v>1153</v>
      </c>
      <c r="B850" t="str">
        <f>_xlfn.XLOOKUP(A850,SITE1!$V$4:$V$1034,SITE1!$U$4:$U$1034,"")</f>
        <v>GPP_D_8_I2S2_SCLK_DMIC_CLK_A_0</v>
      </c>
      <c r="C850" t="str" cm="1">
        <f t="array" ref="C850">_xlfn.TEXTJOIN(",",TRUE,_xlfn.UNIQUE(TRANSPOSE(_xlfn.MAP(_xlfn.XLOOKUP(A850,SITE1!$C$4:$C$1034,SITE1!$F$4:$O$1034,""),_xlfn.LAMBDA(_xlpm.x,IF(_xlpm.x&lt;&gt;"",TRIM(CLEAN(LEFT(_xlpm.x,FIND(".",_xlpm.x &amp; ".")-1))),""))))))</f>
        <v/>
      </c>
      <c r="D850">
        <v>19.983799999999999</v>
      </c>
      <c r="E850">
        <v>4.2218999999999998</v>
      </c>
      <c r="F850" t="str">
        <f>_xlfn.LET(_xlpm.raw,_xlfn.XLOOKUP(A850,SITE1!$C$4:$C$1034,SITE1!$E$4:$E$1034),_xlpm.cleanRaw,SUBSTITUTE(SUBSTITUTE(_xlpm.raw,"_PIN","."),"PIN","."),_xlpm.mainPart,MID(_xlpm.cleanRaw,2,FIND(".",_xlpm.cleanRaw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601011</v>
      </c>
      <c r="G850" t="str">
        <f>_xlfn.LET(_xlpm.raw,_xlfn.XLOOKUP(A850,SITE3!$C$4:$C$1034,SITE3!$E$4:$E$1034),_xlpm.cleanRaw,SUBSTITUTE(SUBSTITUTE(_xlpm.raw,"_PIN","."),"PIN","."),_xlpm.mainPart,MID(_xlpm.cleanRaw,2,FIND(".",_xlpm.cleanRaw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801011</v>
      </c>
      <c r="H850" t="str">
        <f>""</f>
        <v/>
      </c>
      <c r="I850" t="str">
        <f>""</f>
        <v/>
      </c>
      <c r="J850" t="str">
        <f t="shared" si="13"/>
        <v>BC10;GPP_D_8_I2S2_SCLK_DMIC_CLK_A_0;;19.9838;4.2219;601011;801011;;</v>
      </c>
    </row>
    <row r="851" spans="1:10">
      <c r="A851" t="s">
        <v>3877</v>
      </c>
      <c r="B851" t="str">
        <f>_xlfn.XLOOKUP(A851,SITE1!$V$4:$V$1034,SITE1!$U$4:$U$1034,"")</f>
        <v>VSS</v>
      </c>
      <c r="C851" t="str" cm="1">
        <f t="array" ref="C851">_xlfn.TEXTJOIN(",",TRUE,_xlfn.UNIQUE(TRANSPOSE(_xlfn.MAP(_xlfn.XLOOKUP(A851,SITE1!$C$4:$C$1034,SITE1!$F$4:$O$1034,""),_xlfn.LAMBDA(_xlpm.x,IF(_xlpm.x&lt;&gt;"",TRIM(CLEAN(LEFT(_xlpm.x,FIND(".",_xlpm.x &amp; ".")-1))),""))))))</f>
        <v/>
      </c>
      <c r="D851">
        <v>19.8858</v>
      </c>
      <c r="E851">
        <v>5.4335000000000004</v>
      </c>
      <c r="F851" t="str">
        <f>_xlfn.LET(_xlpm.raw,_xlfn.XLOOKUP(A851,SITE1!$C$4:$C$1034,SITE1!$E$4:$E$1034),_xlpm.cleanRaw,SUBSTITUTE(SUBSTITUTE(_xlpm.raw,"_PIN","."),"PIN","."),_xlpm.mainPart,MID(_xlpm.cleanRaw,2,FIND(".",_xlpm.cleanRaw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1" t="str">
        <f>_xlfn.LET(_xlpm.raw,_xlfn.XLOOKUP(A851,SITE3!$C$4:$C$1034,SITE3!$E$4:$E$1034),_xlpm.cleanRaw,SUBSTITUTE(SUBSTITUTE(_xlpm.raw,"_PIN","."),"PIN","."),_xlpm.mainPart,MID(_xlpm.cleanRaw,2,FIND(".",_xlpm.cleanRaw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1" t="str">
        <f>""</f>
        <v/>
      </c>
      <c r="I851" t="str">
        <f>""</f>
        <v/>
      </c>
      <c r="J851" t="str">
        <f t="shared" si="13"/>
        <v>BC12;VSS;;19.8858;5.4335;;;;</v>
      </c>
    </row>
    <row r="852" spans="1:10">
      <c r="A852" t="s">
        <v>233</v>
      </c>
      <c r="B852" t="str">
        <f>_xlfn.XLOOKUP(A852,SITE1!$V$4:$V$1034,SITE1!$U$4:$U$1034,"")</f>
        <v>CNV_WR_CLKP</v>
      </c>
      <c r="C852" t="str" cm="1">
        <f t="array" ref="C852">_xlfn.TEXTJOIN(",",TRUE,_xlfn.UNIQUE(TRANSPOSE(_xlfn.MAP(_xlfn.XLOOKUP(A852,SITE1!$C$4:$C$1034,SITE1!$F$4:$O$1034,""),_xlfn.LAMBDA(_xlpm.x,IF(_xlpm.x&lt;&gt;"",TRIM(CLEAN(LEFT(_xlpm.x,FIND(".",_xlpm.x &amp; ".")-1))),""))))))</f>
        <v>UA121</v>
      </c>
      <c r="D852">
        <v>19.8858</v>
      </c>
      <c r="E852">
        <v>6.6181000000000001</v>
      </c>
      <c r="F852" t="str">
        <f>_xlfn.LET(_xlpm.raw,_xlfn.XLOOKUP(A852,SITE1!$C$4:$C$1034,SITE1!$E$4:$E$1034),_xlpm.cleanRaw,SUBSTITUTE(SUBSTITUTE(_xlpm.raw,"_PIN","."),"PIN","."),_xlpm.mainPart,MID(_xlpm.cleanRaw,2,FIND(".",_xlpm.cleanRaw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602071</v>
      </c>
      <c r="G852" t="str">
        <f>_xlfn.LET(_xlpm.raw,_xlfn.XLOOKUP(A852,SITE3!$C$4:$C$1034,SITE3!$E$4:$E$1034),_xlpm.cleanRaw,SUBSTITUTE(SUBSTITUTE(_xlpm.raw,"_PIN","."),"PIN","."),_xlpm.mainPart,MID(_xlpm.cleanRaw,2,FIND(".",_xlpm.cleanRaw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802071</v>
      </c>
      <c r="H852" t="str">
        <f>""</f>
        <v/>
      </c>
      <c r="I852" t="str">
        <f>""</f>
        <v/>
      </c>
      <c r="J852" t="str">
        <f t="shared" si="13"/>
        <v>BC15;CNV_WR_CLKP;UA121;19.8858;6.6181;602071;802071;;</v>
      </c>
    </row>
    <row r="853" spans="1:10">
      <c r="A853" t="s">
        <v>1887</v>
      </c>
      <c r="B853" t="str">
        <f>_xlfn.XLOOKUP(A853,SITE1!$V$4:$V$1034,SITE1!$U$4:$U$1034,"")</f>
        <v>PCIE_1_RXN</v>
      </c>
      <c r="C853" t="str" cm="1">
        <f t="array" ref="C853">_xlfn.TEXTJOIN(",",TRUE,_xlfn.UNIQUE(TRANSPOSE(_xlfn.MAP(_xlfn.XLOOKUP(A853,SITE1!$C$4:$C$1034,SITE1!$F$4:$O$1034,""),_xlfn.LAMBDA(_xlpm.x,IF(_xlpm.x&lt;&gt;"",TRIM(CLEAN(LEFT(_xlpm.x,FIND(".",_xlpm.x &amp; ".")-1))),""))))))</f>
        <v>CA222,LA244</v>
      </c>
      <c r="D853">
        <v>19.608599999999999</v>
      </c>
      <c r="E853">
        <v>8.5272000000000006</v>
      </c>
      <c r="F853" t="str">
        <f>_xlfn.LET(_xlpm.raw,_xlfn.XLOOKUP(A853,SITE1!$C$4:$C$1034,SITE1!$E$4:$E$1034),_xlpm.cleanRaw,SUBSTITUTE(SUBSTITUTE(_xlpm.raw,"_PIN","."),"PIN","."),_xlpm.mainPart,MID(_xlpm.cleanRaw,2,FIND(".",_xlpm.cleanRaw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702061</v>
      </c>
      <c r="G853" t="str">
        <f>_xlfn.LET(_xlpm.raw,_xlfn.XLOOKUP(A853,SITE3!$C$4:$C$1034,SITE3!$E$4:$E$1034),_xlpm.cleanRaw,SUBSTITUTE(SUBSTITUTE(_xlpm.raw,"_PIN","."),"PIN","."),_xlpm.mainPart,MID(_xlpm.cleanRaw,2,FIND(".",_xlpm.cleanRaw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502061</v>
      </c>
      <c r="H853" t="str">
        <f>""</f>
        <v/>
      </c>
      <c r="I853" t="str">
        <f>""</f>
        <v/>
      </c>
      <c r="J853" t="str">
        <f t="shared" si="13"/>
        <v>BC19;PCIE_1_RXN;CA222,LA244;19.6086;8.5272;702061;502061;;</v>
      </c>
    </row>
    <row r="854" spans="1:10">
      <c r="A854" t="s">
        <v>3878</v>
      </c>
      <c r="B854" t="str">
        <f>_xlfn.XLOOKUP(A854,SITE1!$V$4:$V$1034,SITE1!$U$4:$U$1034,"")</f>
        <v>VSS</v>
      </c>
      <c r="C854" t="str" cm="1">
        <f t="array" ref="C854">_xlfn.TEXTJOIN(",",TRUE,_xlfn.UNIQUE(TRANSPOSE(_xlfn.MAP(_xlfn.XLOOKUP(A854,SITE1!$C$4:$C$1034,SITE1!$F$4:$O$1034,""),_xlfn.LAMBDA(_xlpm.x,IF(_xlpm.x&lt;&gt;"",TRIM(CLEAN(LEFT(_xlpm.x,FIND(".",_xlpm.x &amp; ".")-1))),""))))))</f>
        <v/>
      </c>
      <c r="D854">
        <v>19.608599999999999</v>
      </c>
      <c r="E854">
        <v>9.8844999999999992</v>
      </c>
      <c r="F854" t="str">
        <f>_xlfn.LET(_xlpm.raw,_xlfn.XLOOKUP(A854,SITE1!$C$4:$C$1034,SITE1!$E$4:$E$1034),_xlpm.cleanRaw,SUBSTITUTE(SUBSTITUTE(_xlpm.raw,"_PIN","."),"PIN","."),_xlpm.mainPart,MID(_xlpm.cleanRaw,2,FIND(".",_xlpm.cleanRaw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4" t="str">
        <f>_xlfn.LET(_xlpm.raw,_xlfn.XLOOKUP(A854,SITE3!$C$4:$C$1034,SITE3!$E$4:$E$1034),_xlpm.cleanRaw,SUBSTITUTE(SUBSTITUTE(_xlpm.raw,"_PIN","."),"PIN","."),_xlpm.mainPart,MID(_xlpm.cleanRaw,2,FIND(".",_xlpm.cleanRaw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4" t="str">
        <f>""</f>
        <v/>
      </c>
      <c r="I854" t="str">
        <f>""</f>
        <v/>
      </c>
      <c r="J854" t="str">
        <f t="shared" si="13"/>
        <v>BC22;VSS;;19.6086;9.8845;;;;</v>
      </c>
    </row>
    <row r="855" spans="1:10">
      <c r="A855" t="s">
        <v>2562</v>
      </c>
      <c r="B855" t="str">
        <f>_xlfn.XLOOKUP(A855,SITE1!$V$4:$V$1034,SITE1!$U$4:$U$1034,"")</f>
        <v>PCIE_5_RXN</v>
      </c>
      <c r="C855" t="str" cm="1">
        <f t="array" ref="C855">_xlfn.TEXTJOIN(",",TRUE,_xlfn.UNIQUE(TRANSPOSE(_xlfn.MAP(_xlfn.XLOOKUP(A855,SITE1!$C$4:$C$1034,SITE1!$F$4:$O$1034,""),_xlfn.LAMBDA(_xlpm.x,IF(_xlpm.x&lt;&gt;"",TRIM(CLEAN(LEFT(_xlpm.x,FIND(".",_xlpm.x &amp; ".")-1))),""))))))</f>
        <v>CA230,LA260</v>
      </c>
      <c r="D855">
        <v>19.608599999999999</v>
      </c>
      <c r="E855">
        <v>11.2562</v>
      </c>
      <c r="F855" t="str">
        <f>_xlfn.LET(_xlpm.raw,_xlfn.XLOOKUP(A855,SITE1!$C$4:$C$1034,SITE1!$E$4:$E$1034),_xlpm.cleanRaw,SUBSTITUTE(SUBSTITUTE(_xlpm.raw,"_PIN","."),"PIN","."),_xlpm.mainPart,MID(_xlpm.cleanRaw,2,FIND(".",_xlpm.cleanRaw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702063</v>
      </c>
      <c r="G855" t="str">
        <f>_xlfn.LET(_xlpm.raw,_xlfn.XLOOKUP(A855,SITE3!$C$4:$C$1034,SITE3!$E$4:$E$1034),_xlpm.cleanRaw,SUBSTITUTE(SUBSTITUTE(_xlpm.raw,"_PIN","."),"PIN","."),_xlpm.mainPart,MID(_xlpm.cleanRaw,2,FIND(".",_xlpm.cleanRaw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502063</v>
      </c>
      <c r="H855" t="str">
        <f>""</f>
        <v/>
      </c>
      <c r="I855" t="str">
        <f>""</f>
        <v/>
      </c>
      <c r="J855" t="str">
        <f t="shared" si="13"/>
        <v>BC24;PCIE_5_RXN;CA230,LA260;19.6086;11.2562;702063;502063;;</v>
      </c>
    </row>
    <row r="856" spans="1:10">
      <c r="A856" t="s">
        <v>3879</v>
      </c>
      <c r="B856" t="str">
        <f>_xlfn.XLOOKUP(A856,SITE1!$V$4:$V$1034,SITE1!$U$4:$U$1034,"")</f>
        <v>VSS</v>
      </c>
      <c r="C856" t="str" cm="1">
        <f t="array" ref="C856">_xlfn.TEXTJOIN(",",TRUE,_xlfn.UNIQUE(TRANSPOSE(_xlfn.MAP(_xlfn.XLOOKUP(A856,SITE1!$C$4:$C$1034,SITE1!$F$4:$O$1034,""),_xlfn.LAMBDA(_xlpm.x,IF(_xlpm.x&lt;&gt;"",TRIM(CLEAN(LEFT(_xlpm.x,FIND(".",_xlpm.x &amp; ".")-1))),""))))))</f>
        <v/>
      </c>
      <c r="D856">
        <v>19.608599999999999</v>
      </c>
      <c r="E856">
        <v>12.6135</v>
      </c>
      <c r="F856" t="str">
        <f>_xlfn.LET(_xlpm.raw,_xlfn.XLOOKUP(A856,SITE1!$C$4:$C$1034,SITE1!$E$4:$E$1034),_xlpm.cleanRaw,SUBSTITUTE(SUBSTITUTE(_xlpm.raw,"_PIN","."),"PIN","."),_xlpm.mainPart,MID(_xlpm.cleanRaw,2,FIND(".",_xlpm.cleanRaw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6" t="str">
        <f>_xlfn.LET(_xlpm.raw,_xlfn.XLOOKUP(A856,SITE3!$C$4:$C$1034,SITE3!$E$4:$E$1034),_xlpm.cleanRaw,SUBSTITUTE(SUBSTITUTE(_xlpm.raw,"_PIN","."),"PIN","."),_xlpm.mainPart,MID(_xlpm.cleanRaw,2,FIND(".",_xlpm.cleanRaw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6" t="str">
        <f>""</f>
        <v/>
      </c>
      <c r="I856" t="str">
        <f>""</f>
        <v/>
      </c>
      <c r="J856" t="str">
        <f t="shared" si="13"/>
        <v>BC27;VSS;;19.6086;12.6135;;;;</v>
      </c>
    </row>
    <row r="857" spans="1:10">
      <c r="A857" t="s">
        <v>2703</v>
      </c>
      <c r="B857" t="str">
        <f>_xlfn.XLOOKUP(A857,SITE1!$V$4:$V$1034,SITE1!$U$4:$U$1034,"")</f>
        <v>PCIE_9_TSN_0_RXN</v>
      </c>
      <c r="C857" t="str" cm="1">
        <f t="array" ref="C857">_xlfn.TEXTJOIN(",",TRUE,_xlfn.UNIQUE(TRANSPOSE(_xlfn.MAP(_xlfn.XLOOKUP(A857,SITE1!$C$4:$C$1034,SITE1!$F$4:$O$1034,""),_xlfn.LAMBDA(_xlpm.x,IF(_xlpm.x&lt;&gt;"",TRIM(CLEAN(LEFT(_xlpm.x,FIND(".",_xlpm.x &amp; ".")-1))),""))))))</f>
        <v>CA238,LA276</v>
      </c>
      <c r="D857">
        <v>19.608599999999999</v>
      </c>
      <c r="E857">
        <v>13.985199999999899</v>
      </c>
      <c r="F857" t="str">
        <f>_xlfn.LET(_xlpm.raw,_xlfn.XLOOKUP(A857,SITE1!$C$4:$C$1034,SITE1!$E$4:$E$1034),_xlpm.cleanRaw,SUBSTITUTE(SUBSTITUTE(_xlpm.raw,"_PIN","."),"PIN","."),_xlpm.mainPart,MID(_xlpm.cleanRaw,2,FIND(".",_xlpm.cleanRaw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705052</v>
      </c>
      <c r="G857" t="str">
        <f>_xlfn.LET(_xlpm.raw,_xlfn.XLOOKUP(A857,SITE3!$C$4:$C$1034,SITE3!$E$4:$E$1034),_xlpm.cleanRaw,SUBSTITUTE(SUBSTITUTE(_xlpm.raw,"_PIN","."),"PIN","."),_xlpm.mainPart,MID(_xlpm.cleanRaw,2,FIND(".",_xlpm.cleanRaw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505052</v>
      </c>
      <c r="H857" t="str">
        <f>""</f>
        <v/>
      </c>
      <c r="I857" t="str">
        <f>""</f>
        <v/>
      </c>
      <c r="J857" t="str">
        <f t="shared" si="13"/>
        <v>BC30;PCIE_9_TSN_0_RXN;CA238,LA276;19.6086;13.9851999999999;705052;505052;;</v>
      </c>
    </row>
    <row r="858" spans="1:10">
      <c r="A858" t="s">
        <v>3880</v>
      </c>
      <c r="B858" t="str">
        <f>_xlfn.XLOOKUP(A858,SITE1!$V$4:$V$1034,SITE1!$U$4:$U$1034,"")</f>
        <v>VSS</v>
      </c>
      <c r="C858" t="str" cm="1">
        <f t="array" ref="C858">_xlfn.TEXTJOIN(",",TRUE,_xlfn.UNIQUE(TRANSPOSE(_xlfn.MAP(_xlfn.XLOOKUP(A858,SITE1!$C$4:$C$1034,SITE1!$F$4:$O$1034,""),_xlfn.LAMBDA(_xlpm.x,IF(_xlpm.x&lt;&gt;"",TRIM(CLEAN(LEFT(_xlpm.x,FIND(".",_xlpm.x &amp; ".")-1))),""))))))</f>
        <v/>
      </c>
      <c r="D858">
        <v>19.608599999999999</v>
      </c>
      <c r="E858">
        <v>15.342499999999999</v>
      </c>
      <c r="F858" t="str">
        <f>_xlfn.LET(_xlpm.raw,_xlfn.XLOOKUP(A858,SITE1!$C$4:$C$1034,SITE1!$E$4:$E$1034),_xlpm.cleanRaw,SUBSTITUTE(SUBSTITUTE(_xlpm.raw,"_PIN","."),"PIN","."),_xlpm.mainPart,MID(_xlpm.cleanRaw,2,FIND(".",_xlpm.cleanRaw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8" t="str">
        <f>_xlfn.LET(_xlpm.raw,_xlfn.XLOOKUP(A858,SITE3!$C$4:$C$1034,SITE3!$E$4:$E$1034),_xlpm.cleanRaw,SUBSTITUTE(SUBSTITUTE(_xlpm.raw,"_PIN","."),"PIN","."),_xlpm.mainPart,MID(_xlpm.cleanRaw,2,FIND(".",_xlpm.cleanRaw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8" t="str">
        <f>""</f>
        <v/>
      </c>
      <c r="I858" t="str">
        <f>""</f>
        <v/>
      </c>
      <c r="J858" t="str">
        <f t="shared" si="13"/>
        <v>BC33;VSS;;19.6086;15.3425;;;;</v>
      </c>
    </row>
    <row r="859" spans="1:10">
      <c r="A859" t="s">
        <v>2033</v>
      </c>
      <c r="B859" t="str">
        <f>_xlfn.XLOOKUP(A859,SITE1!$V$4:$V$1034,SITE1!$U$4:$U$1034,"")</f>
        <v>PCIE_13_SATA_0_RXN</v>
      </c>
      <c r="C859" t="str" cm="1">
        <f t="array" ref="C859">_xlfn.TEXTJOIN(",",TRUE,_xlfn.UNIQUE(TRANSPOSE(_xlfn.MAP(_xlfn.XLOOKUP(A859,SITE1!$C$4:$C$1034,SITE1!$F$4:$O$1034,""),_xlfn.LAMBDA(_xlpm.x,IF(_xlpm.x&lt;&gt;"",TRIM(CLEAN(LEFT(_xlpm.x,FIND(".",_xlpm.x &amp; ".")-1))),""))))))</f>
        <v>CA246,LA292</v>
      </c>
      <c r="D859">
        <v>19.608599999999999</v>
      </c>
      <c r="E859">
        <v>16.714199999999899</v>
      </c>
      <c r="F859" t="str">
        <f>_xlfn.LET(_xlpm.raw,_xlfn.XLOOKUP(A859,SITE1!$C$4:$C$1034,SITE1!$E$4:$E$1034),_xlpm.cleanRaw,SUBSTITUTE(SUBSTITUTE(_xlpm.raw,"_PIN","."),"PIN","."),_xlpm.mainPart,MID(_xlpm.cleanRaw,2,FIND(".",_xlpm.cleanRaw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704096</v>
      </c>
      <c r="G859" t="str">
        <f>_xlfn.LET(_xlpm.raw,_xlfn.XLOOKUP(A859,SITE3!$C$4:$C$1034,SITE3!$E$4:$E$1034),_xlpm.cleanRaw,SUBSTITUTE(SUBSTITUTE(_xlpm.raw,"_PIN","."),"PIN","."),_xlpm.mainPart,MID(_xlpm.cleanRaw,2,FIND(".",_xlpm.cleanRaw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504096</v>
      </c>
      <c r="H859" t="str">
        <f>""</f>
        <v/>
      </c>
      <c r="I859" t="str">
        <f>""</f>
        <v/>
      </c>
      <c r="J859" t="str">
        <f t="shared" si="13"/>
        <v>BC36;PCIE_13_SATA_0_RXN;CA246,LA292;19.6086;16.7141999999999;704096;504096;;</v>
      </c>
    </row>
    <row r="860" spans="1:10">
      <c r="A860" t="s">
        <v>3881</v>
      </c>
      <c r="B860" t="str">
        <f>_xlfn.XLOOKUP(A860,SITE1!$V$4:$V$1034,SITE1!$U$4:$U$1034,"")</f>
        <v>VSS</v>
      </c>
      <c r="C860" t="str" cm="1">
        <f t="array" ref="C860">_xlfn.TEXTJOIN(",",TRUE,_xlfn.UNIQUE(TRANSPOSE(_xlfn.MAP(_xlfn.XLOOKUP(A860,SITE1!$C$4:$C$1034,SITE1!$F$4:$O$1034,""),_xlfn.LAMBDA(_xlpm.x,IF(_xlpm.x&lt;&gt;"",TRIM(CLEAN(LEFT(_xlpm.x,FIND(".",_xlpm.x &amp; ".")-1))),""))))))</f>
        <v/>
      </c>
      <c r="D860">
        <v>19.608599999999999</v>
      </c>
      <c r="E860">
        <v>18.0715</v>
      </c>
      <c r="F860" t="str">
        <f>_xlfn.LET(_xlpm.raw,_xlfn.XLOOKUP(A860,SITE1!$C$4:$C$1034,SITE1!$E$4:$E$1034),_xlpm.cleanRaw,SUBSTITUTE(SUBSTITUTE(_xlpm.raw,"_PIN","."),"PIN","."),_xlpm.mainPart,MID(_xlpm.cleanRaw,2,FIND(".",_xlpm.cleanRaw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0" t="str">
        <f>_xlfn.LET(_xlpm.raw,_xlfn.XLOOKUP(A860,SITE3!$C$4:$C$1034,SITE3!$E$4:$E$1034),_xlpm.cleanRaw,SUBSTITUTE(SUBSTITUTE(_xlpm.raw,"_PIN","."),"PIN","."),_xlpm.mainPart,MID(_xlpm.cleanRaw,2,FIND(".",_xlpm.cleanRaw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0" t="str">
        <f>""</f>
        <v/>
      </c>
      <c r="I860" t="str">
        <f>""</f>
        <v/>
      </c>
      <c r="J860" t="str">
        <f t="shared" si="13"/>
        <v>BC39;VSS;;19.6086;18.0715;;;;</v>
      </c>
    </row>
    <row r="861" spans="1:10">
      <c r="A861" t="s">
        <v>2174</v>
      </c>
      <c r="B861" t="str">
        <f>_xlfn.XLOOKUP(A861,SITE1!$V$4:$V$1034,SITE1!$U$4:$U$1034,"")</f>
        <v>PCIE_17_SATA_4_RXN</v>
      </c>
      <c r="C861" t="str" cm="1">
        <f t="array" ref="C861">_xlfn.TEXTJOIN(",",TRUE,_xlfn.UNIQUE(TRANSPOSE(_xlfn.MAP(_xlfn.XLOOKUP(A861,SITE1!$C$4:$C$1034,SITE1!$F$4:$O$1034,""),_xlfn.LAMBDA(_xlpm.x,IF(_xlpm.x&lt;&gt;"",TRIM(CLEAN(LEFT(_xlpm.x,FIND(".",_xlpm.x &amp; ".")-1))),""))))))</f>
        <v>CA254,LA308</v>
      </c>
      <c r="D861">
        <v>19.608599999999999</v>
      </c>
      <c r="E861">
        <v>19.443200000000001</v>
      </c>
      <c r="F861" t="str">
        <f>_xlfn.LET(_xlpm.raw,_xlfn.XLOOKUP(A861,SITE1!$C$4:$C$1034,SITE1!$E$4:$E$1034),_xlpm.cleanRaw,SUBSTITUTE(SUBSTITUTE(_xlpm.raw,"_PIN","."),"PIN","."),_xlpm.mainPart,MID(_xlpm.cleanRaw,2,FIND(".",_xlpm.cleanRaw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705060</v>
      </c>
      <c r="G861" t="str">
        <f>_xlfn.LET(_xlpm.raw,_xlfn.XLOOKUP(A861,SITE3!$C$4:$C$1034,SITE3!$E$4:$E$1034),_xlpm.cleanRaw,SUBSTITUTE(SUBSTITUTE(_xlpm.raw,"_PIN","."),"PIN","."),_xlpm.mainPart,MID(_xlpm.cleanRaw,2,FIND(".",_xlpm.cleanRaw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505060</v>
      </c>
      <c r="H861" t="str">
        <f>""</f>
        <v/>
      </c>
      <c r="I861" t="str">
        <f>""</f>
        <v/>
      </c>
      <c r="J861" t="str">
        <f t="shared" si="13"/>
        <v>BC42;PCIE_17_SATA_4_RXN;CA254,LA308;19.6086;19.4432;705060;505060;;</v>
      </c>
    </row>
    <row r="862" spans="1:10">
      <c r="A862" t="s">
        <v>3882</v>
      </c>
      <c r="B862" t="str">
        <f>_xlfn.XLOOKUP(A862,SITE1!$V$4:$V$1034,SITE1!$U$4:$U$1034,"")</f>
        <v>VSS</v>
      </c>
      <c r="C862" t="str" cm="1">
        <f t="array" ref="C862">_xlfn.TEXTJOIN(",",TRUE,_xlfn.UNIQUE(TRANSPOSE(_xlfn.MAP(_xlfn.XLOOKUP(A862,SITE1!$C$4:$C$1034,SITE1!$F$4:$O$1034,""),_xlfn.LAMBDA(_xlpm.x,IF(_xlpm.x&lt;&gt;"",TRIM(CLEAN(LEFT(_xlpm.x,FIND(".",_xlpm.x &amp; ".")-1))),""))))))</f>
        <v/>
      </c>
      <c r="D862">
        <v>19.608599999999999</v>
      </c>
      <c r="E862">
        <v>20.8005</v>
      </c>
      <c r="F862" t="str">
        <f>_xlfn.LET(_xlpm.raw,_xlfn.XLOOKUP(A862,SITE1!$C$4:$C$1034,SITE1!$E$4:$E$1034),_xlpm.cleanRaw,SUBSTITUTE(SUBSTITUTE(_xlpm.raw,"_PIN","."),"PIN","."),_xlpm.mainPart,MID(_xlpm.cleanRaw,2,FIND(".",_xlpm.cleanRaw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2" t="str">
        <f>_xlfn.LET(_xlpm.raw,_xlfn.XLOOKUP(A862,SITE3!$C$4:$C$1034,SITE3!$E$4:$E$1034),_xlpm.cleanRaw,SUBSTITUTE(SUBSTITUTE(_xlpm.raw,"_PIN","."),"PIN","."),_xlpm.mainPart,MID(_xlpm.cleanRaw,2,FIND(".",_xlpm.cleanRaw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2" t="str">
        <f>""</f>
        <v/>
      </c>
      <c r="I862" t="str">
        <f>""</f>
        <v/>
      </c>
      <c r="J862" t="str">
        <f t="shared" si="13"/>
        <v>BC44;VSS;;19.6086;20.8005;;;;</v>
      </c>
    </row>
    <row r="863" spans="1:10">
      <c r="A863" t="s">
        <v>1269</v>
      </c>
      <c r="B863" t="str">
        <f>_xlfn.XLOOKUP(A863,SITE1!$V$4:$V$1034,SITE1!$U$4:$U$1034,"")</f>
        <v>GPP_E_9_SRCCLKREQB_12</v>
      </c>
      <c r="C863" t="str" cm="1">
        <f t="array" ref="C863">_xlfn.TEXTJOIN(",",TRUE,_xlfn.UNIQUE(TRANSPOSE(_xlfn.MAP(_xlfn.XLOOKUP(A863,SITE1!$C$4:$C$1034,SITE1!$F$4:$O$1034,""),_xlfn.LAMBDA(_xlpm.x,IF(_xlpm.x&lt;&gt;"",TRIM(CLEAN(LEFT(_xlpm.x,FIND(".",_xlpm.x &amp; ".")-1))),""))))))</f>
        <v/>
      </c>
      <c r="D863">
        <v>19.8858</v>
      </c>
      <c r="E863">
        <v>21.444699999999902</v>
      </c>
      <c r="F863" t="str">
        <f>_xlfn.LET(_xlpm.raw,_xlfn.XLOOKUP(A863,SITE1!$C$4:$C$1034,SITE1!$E$4:$E$1034),_xlpm.cleanRaw,SUBSTITUTE(SUBSTITUTE(_xlpm.raw,"_PIN","."),"PIN","."),_xlpm.mainPart,MID(_xlpm.cleanRaw,2,FIND(".",_xlpm.cleanRaw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704101</v>
      </c>
      <c r="G863" t="str">
        <f>_xlfn.LET(_xlpm.raw,_xlfn.XLOOKUP(A863,SITE3!$C$4:$C$1034,SITE3!$E$4:$E$1034),_xlpm.cleanRaw,SUBSTITUTE(SUBSTITUTE(_xlpm.raw,"_PIN","."),"PIN","."),_xlpm.mainPart,MID(_xlpm.cleanRaw,2,FIND(".",_xlpm.cleanRaw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504101</v>
      </c>
      <c r="H863" t="str">
        <f>""</f>
        <v/>
      </c>
      <c r="I863" t="str">
        <f>""</f>
        <v/>
      </c>
      <c r="J863" t="str">
        <f t="shared" si="13"/>
        <v>BC46;GPP_E_9_SRCCLKREQB_12;;19.8858;21.4446999999999;704101;504101;;</v>
      </c>
    </row>
    <row r="864" spans="1:10">
      <c r="A864" t="s">
        <v>1174</v>
      </c>
      <c r="B864" t="str">
        <f>_xlfn.XLOOKUP(A864,SITE1!$V$4:$V$1034,SITE1!$U$4:$U$1034,"")</f>
        <v>GPP_E_10_SRCCLKREQB_13</v>
      </c>
      <c r="C864" t="str" cm="1">
        <f t="array" ref="C864">_xlfn.TEXTJOIN(",",TRUE,_xlfn.UNIQUE(TRANSPOSE(_xlfn.MAP(_xlfn.XLOOKUP(A864,SITE1!$C$4:$C$1034,SITE1!$F$4:$O$1034,""),_xlfn.LAMBDA(_xlpm.x,IF(_xlpm.x&lt;&gt;"",TRIM(CLEAN(LEFT(_xlpm.x,FIND(".",_xlpm.x &amp; ".")-1))),""))))))</f>
        <v/>
      </c>
      <c r="D864">
        <v>19.983799999999999</v>
      </c>
      <c r="E864">
        <v>22.656300000000002</v>
      </c>
      <c r="F864" t="str">
        <f>_xlfn.LET(_xlpm.raw,_xlfn.XLOOKUP(A864,SITE1!$C$4:$C$1034,SITE1!$E$4:$E$1034),_xlpm.cleanRaw,SUBSTITUTE(SUBSTITUTE(_xlpm.raw,"_PIN","."),"PIN","."),_xlpm.mainPart,MID(_xlpm.cleanRaw,2,FIND(".",_xlpm.cleanRaw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601031</v>
      </c>
      <c r="G864" t="str">
        <f>_xlfn.LET(_xlpm.raw,_xlfn.XLOOKUP(A864,SITE3!$C$4:$C$1034,SITE3!$E$4:$E$1034),_xlpm.cleanRaw,SUBSTITUTE(SUBSTITUTE(_xlpm.raw,"_PIN","."),"PIN","."),_xlpm.mainPart,MID(_xlpm.cleanRaw,2,FIND(".",_xlpm.cleanRaw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801031</v>
      </c>
      <c r="H864" t="str">
        <f>""</f>
        <v/>
      </c>
      <c r="I864" t="str">
        <f>""</f>
        <v/>
      </c>
      <c r="J864" t="str">
        <f t="shared" si="13"/>
        <v>BC48;GPP_E_10_SRCCLKREQB_13;;19.9838;22.6563;601031;801031;;</v>
      </c>
    </row>
    <row r="865" spans="1:10">
      <c r="A865" t="s">
        <v>1259</v>
      </c>
      <c r="B865" t="str">
        <f>_xlfn.XLOOKUP(A865,SITE1!$V$4:$V$1034,SITE1!$U$4:$U$1034,"")</f>
        <v>GPP_E_7_CPU_GP_1</v>
      </c>
      <c r="C865" t="str" cm="1">
        <f t="array" ref="C865">_xlfn.TEXTJOIN(",",TRUE,_xlfn.UNIQUE(TRANSPOSE(_xlfn.MAP(_xlfn.XLOOKUP(A865,SITE1!$C$4:$C$1034,SITE1!$F$4:$O$1034,""),_xlfn.LAMBDA(_xlpm.x,IF(_xlpm.x&lt;&gt;"",TRIM(CLEAN(LEFT(_xlpm.x,FIND(".",_xlpm.x &amp; ".")-1))),""))))))</f>
        <v/>
      </c>
      <c r="D865">
        <v>19.9557</v>
      </c>
      <c r="E865">
        <v>24.072299999999998</v>
      </c>
      <c r="F865" t="str">
        <f>_xlfn.LET(_xlpm.raw,_xlfn.XLOOKUP(A865,SITE1!$C$4:$C$1034,SITE1!$E$4:$E$1034),_xlpm.cleanRaw,SUBSTITUTE(SUBSTITUTE(_xlpm.raw,"_PIN","."),"PIN","."),_xlpm.mainPart,MID(_xlpm.cleanRaw,2,FIND(".",_xlpm.cleanRaw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602068</v>
      </c>
      <c r="G865" t="str">
        <f>_xlfn.LET(_xlpm.raw,_xlfn.XLOOKUP(A865,SITE3!$C$4:$C$1034,SITE3!$E$4:$E$1034),_xlpm.cleanRaw,SUBSTITUTE(SUBSTITUTE(_xlpm.raw,"_PIN","."),"PIN","."),_xlpm.mainPart,MID(_xlpm.cleanRaw,2,FIND(".",_xlpm.cleanRaw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802068</v>
      </c>
      <c r="H865" t="str">
        <f>""</f>
        <v/>
      </c>
      <c r="I865" t="str">
        <f>""</f>
        <v/>
      </c>
      <c r="J865" t="str">
        <f t="shared" si="13"/>
        <v>BC51;GPP_E_7_CPU_GP_1;;19.9557;24.0723;602068;802068;;</v>
      </c>
    </row>
    <row r="866" spans="1:10">
      <c r="A866" t="s">
        <v>1163</v>
      </c>
      <c r="B866" t="str">
        <f>_xlfn.XLOOKUP(A866,SITE1!$V$4:$V$1034,SITE1!$U$4:$U$1034,"")</f>
        <v>GPP_E_0_SATAXPCIE_0_SATAGP_0</v>
      </c>
      <c r="C866" t="str" cm="1">
        <f t="array" ref="C866">_xlfn.TEXTJOIN(",",TRUE,_xlfn.UNIQUE(TRANSPOSE(_xlfn.MAP(_xlfn.XLOOKUP(A866,SITE1!$C$4:$C$1034,SITE1!$F$4:$O$1034,""),_xlfn.LAMBDA(_xlpm.x,IF(_xlpm.x&lt;&gt;"",TRIM(CLEAN(LEFT(_xlpm.x,FIND(".",_xlpm.x &amp; ".")-1))),""))))))</f>
        <v/>
      </c>
      <c r="D866">
        <v>19.601199999999999</v>
      </c>
      <c r="E866">
        <v>25.351700000000001</v>
      </c>
      <c r="F866" t="str">
        <f>_xlfn.LET(_xlpm.raw,_xlfn.XLOOKUP(A866,SITE1!$C$4:$C$1034,SITE1!$E$4:$E$1034),_xlpm.cleanRaw,SUBSTITUTE(SUBSTITUTE(_xlpm.raw,"_PIN","."),"PIN","."),_xlpm.mainPart,MID(_xlpm.cleanRaw,2,FIND(".",_xlpm.cleanRaw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707097</v>
      </c>
      <c r="G866" t="str">
        <f>_xlfn.LET(_xlpm.raw,_xlfn.XLOOKUP(A866,SITE3!$C$4:$C$1034,SITE3!$E$4:$E$1034),_xlpm.cleanRaw,SUBSTITUTE(SUBSTITUTE(_xlpm.raw,"_PIN","."),"PIN","."),_xlpm.mainPart,MID(_xlpm.cleanRaw,2,FIND(".",_xlpm.cleanRaw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507097</v>
      </c>
      <c r="H866" t="str">
        <f>""</f>
        <v/>
      </c>
      <c r="I866" t="str">
        <f>""</f>
        <v/>
      </c>
      <c r="J866" t="str">
        <f t="shared" si="13"/>
        <v>BC54;GPP_E_0_SATAXPCIE_0_SATAGP_0;;19.6012;25.3517;707097;507097;;</v>
      </c>
    </row>
    <row r="867" spans="1:10">
      <c r="A867" t="s">
        <v>1249</v>
      </c>
      <c r="B867" t="str">
        <f>_xlfn.XLOOKUP(A867,SITE1!$V$4:$V$1034,SITE1!$U$4:$U$1034,"")</f>
        <v>GPP_E_5_SATA_DEVSLP_1</v>
      </c>
      <c r="C867" t="str" cm="1">
        <f t="array" ref="C867">_xlfn.TEXTJOIN(",",TRUE,_xlfn.UNIQUE(TRANSPOSE(_xlfn.MAP(_xlfn.XLOOKUP(A867,SITE1!$C$4:$C$1034,SITE1!$F$4:$O$1034,""),_xlfn.LAMBDA(_xlpm.x,IF(_xlpm.x&lt;&gt;"",TRIM(CLEAN(LEFT(_xlpm.x,FIND(".",_xlpm.x &amp; ".")-1))),""))))))</f>
        <v/>
      </c>
      <c r="D867">
        <v>19.682499999999902</v>
      </c>
      <c r="E867">
        <v>25.8521</v>
      </c>
      <c r="F867" t="str">
        <f>_xlfn.LET(_xlpm.raw,_xlfn.XLOOKUP(A867,SITE1!$C$4:$C$1034,SITE1!$E$4:$E$1034),_xlpm.cleanRaw,SUBSTITUTE(SUBSTITUTE(_xlpm.raw,"_PIN","."),"PIN","."),_xlpm.mainPart,MID(_xlpm.cleanRaw,2,FIND(".",_xlpm.cleanRaw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602084</v>
      </c>
      <c r="G867" t="str">
        <f>_xlfn.LET(_xlpm.raw,_xlfn.XLOOKUP(A867,SITE3!$C$4:$C$1034,SITE3!$E$4:$E$1034),_xlpm.cleanRaw,SUBSTITUTE(SUBSTITUTE(_xlpm.raw,"_PIN","."),"PIN","."),_xlpm.mainPart,MID(_xlpm.cleanRaw,2,FIND(".",_xlpm.cleanRaw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802084</v>
      </c>
      <c r="H867" t="str">
        <f>""</f>
        <v/>
      </c>
      <c r="I867" t="str">
        <f>""</f>
        <v/>
      </c>
      <c r="J867" t="str">
        <f t="shared" si="13"/>
        <v>BC55;GPP_E_5_SATA_DEVSLP_1;;19.6824999999999;25.8521;602084;802084;;</v>
      </c>
    </row>
    <row r="868" spans="1:10">
      <c r="A868" t="s">
        <v>1254</v>
      </c>
      <c r="B868" t="str">
        <f>_xlfn.XLOOKUP(A868,SITE1!$V$4:$V$1034,SITE1!$U$4:$U$1034,"")</f>
        <v>GPP_E_6_SATA_DEVSLP_2</v>
      </c>
      <c r="C868" t="str" cm="1">
        <f t="array" ref="C868">_xlfn.TEXTJOIN(",",TRUE,_xlfn.UNIQUE(TRANSPOSE(_xlfn.MAP(_xlfn.XLOOKUP(A868,SITE1!$C$4:$C$1034,SITE1!$F$4:$O$1034,""),_xlfn.LAMBDA(_xlpm.x,IF(_xlpm.x&lt;&gt;"",TRIM(CLEAN(LEFT(_xlpm.x,FIND(".",_xlpm.x &amp; ".")-1))),""))))))</f>
        <v/>
      </c>
      <c r="D868">
        <v>19.6523</v>
      </c>
      <c r="E868">
        <v>26.354500000000002</v>
      </c>
      <c r="F868" t="str">
        <f>_xlfn.LET(_xlpm.raw,_xlfn.XLOOKUP(A868,SITE1!$C$4:$C$1034,SITE1!$E$4:$E$1034),_xlpm.cleanRaw,SUBSTITUTE(SUBSTITUTE(_xlpm.raw,"_PIN","."),"PIN","."),_xlpm.mainPart,MID(_xlpm.cleanRaw,2,FIND(".",_xlpm.cleanRaw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602070</v>
      </c>
      <c r="G868" t="str">
        <f>_xlfn.LET(_xlpm.raw,_xlfn.XLOOKUP(A868,SITE3!$C$4:$C$1034,SITE3!$E$4:$E$1034),_xlpm.cleanRaw,SUBSTITUTE(SUBSTITUTE(_xlpm.raw,"_PIN","."),"PIN","."),_xlpm.mainPart,MID(_xlpm.cleanRaw,2,FIND(".",_xlpm.cleanRaw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802070</v>
      </c>
      <c r="H868" t="str">
        <f>""</f>
        <v/>
      </c>
      <c r="I868" t="str">
        <f>""</f>
        <v/>
      </c>
      <c r="J868" t="str">
        <f t="shared" si="13"/>
        <v>BC56;GPP_E_6_SATA_DEVSLP_2;;19.6523;26.3545;602070;802070;;</v>
      </c>
    </row>
    <row r="869" spans="1:10">
      <c r="A869" t="s">
        <v>1709</v>
      </c>
      <c r="B869" t="str">
        <f>_xlfn.XLOOKUP(A869,SITE1!$V$4:$V$1034,SITE1!$U$4:$U$1034,"")</f>
        <v>GPP_R_1_HDA_SYNC_I2S0_SFRM_DMIC_CLK_B_1</v>
      </c>
      <c r="C869" t="str" cm="1">
        <f t="array" ref="C869">_xlfn.TEXTJOIN(",",TRUE,_xlfn.UNIQUE(TRANSPOSE(_xlfn.MAP(_xlfn.XLOOKUP(A869,SITE1!$C$4:$C$1034,SITE1!$F$4:$O$1034,""),_xlfn.LAMBDA(_xlpm.x,IF(_xlpm.x&lt;&gt;"",TRIM(CLEAN(LEFT(_xlpm.x,FIND(".",_xlpm.x &amp; ".")-1))),""))))))</f>
        <v/>
      </c>
      <c r="D869">
        <v>20.165399999999899</v>
      </c>
      <c r="E869">
        <v>0.892099999999999</v>
      </c>
      <c r="F869" t="str">
        <f>_xlfn.LET(_xlpm.raw,_xlfn.XLOOKUP(A869,SITE1!$C$4:$C$1034,SITE1!$E$4:$E$1034),_xlpm.cleanRaw,SUBSTITUTE(SUBSTITUTE(_xlpm.raw,"_PIN","."),"PIN","."),_xlpm.mainPart,MID(_xlpm.cleanRaw,2,FIND(".",_xlpm.cleanRaw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605052</v>
      </c>
      <c r="G869" t="str">
        <f>_xlfn.LET(_xlpm.raw,_xlfn.XLOOKUP(A869,SITE3!$C$4:$C$1034,SITE3!$E$4:$E$1034),_xlpm.cleanRaw,SUBSTITUTE(SUBSTITUTE(_xlpm.raw,"_PIN","."),"PIN","."),_xlpm.mainPart,MID(_xlpm.cleanRaw,2,FIND(".",_xlpm.cleanRaw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805052</v>
      </c>
      <c r="H869" t="str">
        <f>""</f>
        <v/>
      </c>
      <c r="I869" t="str">
        <f>""</f>
        <v/>
      </c>
      <c r="J869" t="str">
        <f t="shared" si="13"/>
        <v>BD3;GPP_R_1_HDA_SYNC_I2S0_SFRM_DMIC_CLK_B_1;;20.1653999999999;0.892099999999999;605052;805052;;</v>
      </c>
    </row>
    <row r="870" spans="1:10">
      <c r="A870" t="s">
        <v>1133</v>
      </c>
      <c r="B870" t="str">
        <f>_xlfn.XLOOKUP(A870,SITE1!$V$4:$V$1034,SITE1!$U$4:$U$1034,"")</f>
        <v>GPP_D_4_SML1CLK</v>
      </c>
      <c r="C870" t="str" cm="1">
        <f t="array" ref="C870">_xlfn.TEXTJOIN(",",TRUE,_xlfn.UNIQUE(TRANSPOSE(_xlfn.MAP(_xlfn.XLOOKUP(A870,SITE1!$C$4:$C$1034,SITE1!$F$4:$O$1034,""),_xlfn.LAMBDA(_xlpm.x,IF(_xlpm.x&lt;&gt;"",TRIM(CLEAN(LEFT(_xlpm.x,FIND(".",_xlpm.x &amp; ".")-1))),""))))))</f>
        <v/>
      </c>
      <c r="D870">
        <v>20.1999</v>
      </c>
      <c r="E870">
        <v>1.88519999999999</v>
      </c>
      <c r="F870" t="str">
        <f>_xlfn.LET(_xlpm.raw,_xlfn.XLOOKUP(A870,SITE1!$C$4:$C$1034,SITE1!$E$4:$E$1034),_xlpm.cleanRaw,SUBSTITUTE(SUBSTITUTE(_xlpm.raw,"_PIN","."),"PIN","."),_xlpm.mainPart,MID(_xlpm.cleanRaw,2,FIND(".",_xlpm.cleanRaw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604032</v>
      </c>
      <c r="G870" t="str">
        <f>_xlfn.LET(_xlpm.raw,_xlfn.XLOOKUP(A870,SITE3!$C$4:$C$1034,SITE3!$E$4:$E$1034),_xlpm.cleanRaw,SUBSTITUTE(SUBSTITUTE(_xlpm.raw,"_PIN","."),"PIN","."),_xlpm.mainPart,MID(_xlpm.cleanRaw,2,FIND(".",_xlpm.cleanRaw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804032</v>
      </c>
      <c r="H870" t="str">
        <f>""</f>
        <v/>
      </c>
      <c r="I870" t="str">
        <f>""</f>
        <v/>
      </c>
      <c r="J870" t="str">
        <f t="shared" si="13"/>
        <v>BD5;GPP_D_4_SML1CLK;;20.1999;1.88519999999999;604032;804032;;</v>
      </c>
    </row>
    <row r="871" spans="1:10">
      <c r="A871" t="s">
        <v>3890</v>
      </c>
      <c r="B871" t="str">
        <f>_xlfn.XLOOKUP(A871,SITE1!$V$4:$V$1034,SITE1!$U$4:$U$1034,"")</f>
        <v>VSS</v>
      </c>
      <c r="C871" t="str" cm="1">
        <f t="array" ref="C871">_xlfn.TEXTJOIN(",",TRUE,_xlfn.UNIQUE(TRANSPOSE(_xlfn.MAP(_xlfn.XLOOKUP(A871,SITE1!$C$4:$C$1034,SITE1!$F$4:$O$1034,""),_xlfn.LAMBDA(_xlpm.x,IF(_xlpm.x&lt;&gt;"",TRIM(CLEAN(LEFT(_xlpm.x,FIND(".",_xlpm.x &amp; ".")-1))),""))))))</f>
        <v/>
      </c>
      <c r="D871">
        <v>20.395299999999999</v>
      </c>
      <c r="E871">
        <v>3.0491999999999901</v>
      </c>
      <c r="F871" t="str">
        <f>_xlfn.LET(_xlpm.raw,_xlfn.XLOOKUP(A871,SITE1!$C$4:$C$1034,SITE1!$E$4:$E$1034),_xlpm.cleanRaw,SUBSTITUTE(SUBSTITUTE(_xlpm.raw,"_PIN","."),"PIN","."),_xlpm.mainPart,MID(_xlpm.cleanRaw,2,FIND(".",_xlpm.cleanRaw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1" t="str">
        <f>_xlfn.LET(_xlpm.raw,_xlfn.XLOOKUP(A871,SITE3!$C$4:$C$1034,SITE3!$E$4:$E$1034),_xlpm.cleanRaw,SUBSTITUTE(SUBSTITUTE(_xlpm.raw,"_PIN","."),"PIN","."),_xlpm.mainPart,MID(_xlpm.cleanRaw,2,FIND(".",_xlpm.cleanRaw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1" t="str">
        <f>""</f>
        <v/>
      </c>
      <c r="I871" t="str">
        <f>""</f>
        <v/>
      </c>
      <c r="J871" t="str">
        <f t="shared" si="13"/>
        <v>BD7;VSS;;20.3953;3.04919999999999;;;;</v>
      </c>
    </row>
    <row r="872" spans="1:10">
      <c r="A872" t="s">
        <v>1123</v>
      </c>
      <c r="B872" t="str">
        <f>_xlfn.XLOOKUP(A872,SITE1!$V$4:$V$1034,SITE1!$U$4:$U$1034,"")</f>
        <v>GPP_D_23_UART3_CTSB_THC1_SPI2_INTB</v>
      </c>
      <c r="C872" t="str" cm="1">
        <f t="array" ref="C872">_xlfn.TEXTJOIN(",",TRUE,_xlfn.UNIQUE(TRANSPOSE(_xlfn.MAP(_xlfn.XLOOKUP(A872,SITE1!$C$4:$C$1034,SITE1!$F$4:$O$1034,""),_xlfn.LAMBDA(_xlpm.x,IF(_xlpm.x&lt;&gt;"",TRIM(CLEAN(LEFT(_xlpm.x,FIND(".",_xlpm.x &amp; ".")-1))),""))))))</f>
        <v/>
      </c>
      <c r="D872">
        <v>20.395299999999999</v>
      </c>
      <c r="E872">
        <v>5.2462999999999997</v>
      </c>
      <c r="F872" t="str">
        <f>_xlfn.LET(_xlpm.raw,_xlfn.XLOOKUP(A872,SITE1!$C$4:$C$1034,SITE1!$E$4:$E$1034),_xlpm.cleanRaw,SUBSTITUTE(SUBSTITUTE(_xlpm.raw,"_PIN","."),"PIN","."),_xlpm.mainPart,MID(_xlpm.cleanRaw,2,FIND(".",_xlpm.cleanRaw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604028</v>
      </c>
      <c r="G872" t="str">
        <f>_xlfn.LET(_xlpm.raw,_xlfn.XLOOKUP(A872,SITE3!$C$4:$C$1034,SITE3!$E$4:$E$1034),_xlpm.cleanRaw,SUBSTITUTE(SUBSTITUTE(_xlpm.raw,"_PIN","."),"PIN","."),_xlpm.mainPart,MID(_xlpm.cleanRaw,2,FIND(".",_xlpm.cleanRaw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804028</v>
      </c>
      <c r="H872" t="str">
        <f>""</f>
        <v/>
      </c>
      <c r="I872" t="str">
        <f>""</f>
        <v/>
      </c>
      <c r="J872" t="str">
        <f t="shared" si="13"/>
        <v>BD12;GPP_D_23_UART3_CTSB_THC1_SPI2_INTB;;20.3953;5.2463;604028;804028;;</v>
      </c>
    </row>
    <row r="873" spans="1:10">
      <c r="A873" t="s">
        <v>3883</v>
      </c>
      <c r="B873" t="str">
        <f>_xlfn.XLOOKUP(A873,SITE1!$V$4:$V$1034,SITE1!$U$4:$U$1034,"")</f>
        <v>VSS</v>
      </c>
      <c r="C873" t="str" cm="1">
        <f t="array" ref="C873">_xlfn.TEXTJOIN(",",TRUE,_xlfn.UNIQUE(TRANSPOSE(_xlfn.MAP(_xlfn.XLOOKUP(A873,SITE1!$C$4:$C$1034,SITE1!$F$4:$O$1034,""),_xlfn.LAMBDA(_xlpm.x,IF(_xlpm.x&lt;&gt;"",TRIM(CLEAN(LEFT(_xlpm.x,FIND(".",_xlpm.x &amp; ".")-1))),""))))))</f>
        <v/>
      </c>
      <c r="D873">
        <v>20.395299999999999</v>
      </c>
      <c r="E873">
        <v>7.4433999999999996</v>
      </c>
      <c r="F873" t="str">
        <f>_xlfn.LET(_xlpm.raw,_xlfn.XLOOKUP(A873,SITE1!$C$4:$C$1034,SITE1!$E$4:$E$1034),_xlpm.cleanRaw,SUBSTITUTE(SUBSTITUTE(_xlpm.raw,"_PIN","."),"PIN","."),_xlpm.mainPart,MID(_xlpm.cleanRaw,2,FIND(".",_xlpm.cleanRaw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3" t="str">
        <f>_xlfn.LET(_xlpm.raw,_xlfn.XLOOKUP(A873,SITE3!$C$4:$C$1034,SITE3!$E$4:$E$1034),_xlpm.cleanRaw,SUBSTITUTE(SUBSTITUTE(_xlpm.raw,"_PIN","."),"PIN","."),_xlpm.mainPart,MID(_xlpm.cleanRaw,2,FIND(".",_xlpm.cleanRaw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3" t="str">
        <f>""</f>
        <v/>
      </c>
      <c r="I873" t="str">
        <f>""</f>
        <v/>
      </c>
      <c r="J873" t="str">
        <f t="shared" si="13"/>
        <v>BD16;VSS;;20.3953;7.4434;;;;</v>
      </c>
    </row>
    <row r="874" spans="1:10">
      <c r="A874" t="s">
        <v>1899</v>
      </c>
      <c r="B874" t="str">
        <f>_xlfn.XLOOKUP(A874,SITE1!$V$4:$V$1034,SITE1!$U$4:$U$1034,"")</f>
        <v>PCIE_1_RXP</v>
      </c>
      <c r="C874" t="str" cm="1">
        <f t="array" ref="C874">_xlfn.TEXTJOIN(",",TRUE,_xlfn.UNIQUE(TRANSPOSE(_xlfn.MAP(_xlfn.XLOOKUP(A874,SITE1!$C$4:$C$1034,SITE1!$F$4:$O$1034,""),_xlfn.LAMBDA(_xlpm.x,IF(_xlpm.x&lt;&gt;"",TRIM(CLEAN(LEFT(_xlpm.x,FIND(".",_xlpm.x &amp; ".")-1))),""))))))</f>
        <v>CA221,LA242</v>
      </c>
      <c r="D874">
        <v>20.319800000000001</v>
      </c>
      <c r="E874">
        <v>8.5272000000000006</v>
      </c>
      <c r="F874" t="str">
        <f>_xlfn.LET(_xlpm.raw,_xlfn.XLOOKUP(A874,SITE1!$C$4:$C$1034,SITE1!$E$4:$E$1034),_xlpm.cleanRaw,SUBSTITUTE(SUBSTITUTE(_xlpm.raw,"_PIN","."),"PIN","."),_xlpm.mainPart,MID(_xlpm.cleanRaw,2,FIND(".",_xlpm.cleanRaw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702059</v>
      </c>
      <c r="G874" t="str">
        <f>_xlfn.LET(_xlpm.raw,_xlfn.XLOOKUP(A874,SITE3!$C$4:$C$1034,SITE3!$E$4:$E$1034),_xlpm.cleanRaw,SUBSTITUTE(SUBSTITUTE(_xlpm.raw,"_PIN","."),"PIN","."),_xlpm.mainPart,MID(_xlpm.cleanRaw,2,FIND(".",_xlpm.cleanRaw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502059</v>
      </c>
      <c r="H874" t="str">
        <f>""</f>
        <v/>
      </c>
      <c r="I874" t="str">
        <f>""</f>
        <v/>
      </c>
      <c r="J874" t="str">
        <f t="shared" si="13"/>
        <v>BD19;PCIE_1_RXP;CA221,LA242;20.3198;8.5272;702059;502059;;</v>
      </c>
    </row>
    <row r="875" spans="1:10">
      <c r="A875" t="s">
        <v>3884</v>
      </c>
      <c r="B875" t="str">
        <f>_xlfn.XLOOKUP(A875,SITE1!$V$4:$V$1034,SITE1!$U$4:$U$1034,"")</f>
        <v>VSS</v>
      </c>
      <c r="C875" t="str" cm="1">
        <f t="array" ref="C875">_xlfn.TEXTJOIN(",",TRUE,_xlfn.UNIQUE(TRANSPOSE(_xlfn.MAP(_xlfn.XLOOKUP(A875,SITE1!$C$4:$C$1034,SITE1!$F$4:$O$1034,""),_xlfn.LAMBDA(_xlpm.x,IF(_xlpm.x&lt;&gt;"",TRIM(CLEAN(LEFT(_xlpm.x,FIND(".",_xlpm.x &amp; ".")-1))),""))))))</f>
        <v/>
      </c>
      <c r="D875">
        <v>20.319800000000001</v>
      </c>
      <c r="E875">
        <v>9.8844999999999992</v>
      </c>
      <c r="F875" t="str">
        <f>_xlfn.LET(_xlpm.raw,_xlfn.XLOOKUP(A875,SITE1!$C$4:$C$1034,SITE1!$E$4:$E$1034),_xlpm.cleanRaw,SUBSTITUTE(SUBSTITUTE(_xlpm.raw,"_PIN","."),"PIN","."),_xlpm.mainPart,MID(_xlpm.cleanRaw,2,FIND(".",_xlpm.cleanRaw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5" t="str">
        <f>_xlfn.LET(_xlpm.raw,_xlfn.XLOOKUP(A875,SITE3!$C$4:$C$1034,SITE3!$E$4:$E$1034),_xlpm.cleanRaw,SUBSTITUTE(SUBSTITUTE(_xlpm.raw,"_PIN","."),"PIN","."),_xlpm.mainPart,MID(_xlpm.cleanRaw,2,FIND(".",_xlpm.cleanRaw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5" t="str">
        <f>""</f>
        <v/>
      </c>
      <c r="I875" t="str">
        <f>""</f>
        <v/>
      </c>
      <c r="J875" t="str">
        <f t="shared" si="13"/>
        <v>BD22;VSS;;20.3198;9.8845;;;;</v>
      </c>
    </row>
    <row r="876" spans="1:10">
      <c r="A876" t="s">
        <v>2573</v>
      </c>
      <c r="B876" t="str">
        <f>_xlfn.XLOOKUP(A876,SITE1!$V$4:$V$1034,SITE1!$U$4:$U$1034,"")</f>
        <v>PCIE_5_RXP</v>
      </c>
      <c r="C876" t="str" cm="1">
        <f t="array" ref="C876">_xlfn.TEXTJOIN(",",TRUE,_xlfn.UNIQUE(TRANSPOSE(_xlfn.MAP(_xlfn.XLOOKUP(A876,SITE1!$C$4:$C$1034,SITE1!$F$4:$O$1034,""),_xlfn.LAMBDA(_xlpm.x,IF(_xlpm.x&lt;&gt;"",TRIM(CLEAN(LEFT(_xlpm.x,FIND(".",_xlpm.x &amp; ".")-1))),""))))))</f>
        <v>CA229,LA258</v>
      </c>
      <c r="D876">
        <v>20.319800000000001</v>
      </c>
      <c r="E876">
        <v>11.2562</v>
      </c>
      <c r="F876" t="str">
        <f>_xlfn.LET(_xlpm.raw,_xlfn.XLOOKUP(A876,SITE1!$C$4:$C$1034,SITE1!$E$4:$E$1034),_xlpm.cleanRaw,SUBSTITUTE(SUBSTITUTE(_xlpm.raw,"_PIN","."),"PIN","."),_xlpm.mainPart,MID(_xlpm.cleanRaw,2,FIND(".",_xlpm.cleanRaw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702065</v>
      </c>
      <c r="G876" t="str">
        <f>_xlfn.LET(_xlpm.raw,_xlfn.XLOOKUP(A876,SITE3!$C$4:$C$1034,SITE3!$E$4:$E$1034),_xlpm.cleanRaw,SUBSTITUTE(SUBSTITUTE(_xlpm.raw,"_PIN","."),"PIN","."),_xlpm.mainPart,MID(_xlpm.cleanRaw,2,FIND(".",_xlpm.cleanRaw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502065</v>
      </c>
      <c r="H876" t="str">
        <f>""</f>
        <v/>
      </c>
      <c r="I876" t="str">
        <f>""</f>
        <v/>
      </c>
      <c r="J876" t="str">
        <f t="shared" si="13"/>
        <v>BD24;PCIE_5_RXP;CA229,LA258;20.3198;11.2562;702065;502065;;</v>
      </c>
    </row>
    <row r="877" spans="1:10">
      <c r="A877" t="s">
        <v>3885</v>
      </c>
      <c r="B877" t="str">
        <f>_xlfn.XLOOKUP(A877,SITE1!$V$4:$V$1034,SITE1!$U$4:$U$1034,"")</f>
        <v>VSS</v>
      </c>
      <c r="C877" t="str" cm="1">
        <f t="array" ref="C877">_xlfn.TEXTJOIN(",",TRUE,_xlfn.UNIQUE(TRANSPOSE(_xlfn.MAP(_xlfn.XLOOKUP(A877,SITE1!$C$4:$C$1034,SITE1!$F$4:$O$1034,""),_xlfn.LAMBDA(_xlpm.x,IF(_xlpm.x&lt;&gt;"",TRIM(CLEAN(LEFT(_xlpm.x,FIND(".",_xlpm.x &amp; ".")-1))),""))))))</f>
        <v/>
      </c>
      <c r="D877">
        <v>20.319800000000001</v>
      </c>
      <c r="E877">
        <v>12.6135</v>
      </c>
      <c r="F877" t="str">
        <f>_xlfn.LET(_xlpm.raw,_xlfn.XLOOKUP(A877,SITE1!$C$4:$C$1034,SITE1!$E$4:$E$1034),_xlpm.cleanRaw,SUBSTITUTE(SUBSTITUTE(_xlpm.raw,"_PIN","."),"PIN","."),_xlpm.mainPart,MID(_xlpm.cleanRaw,2,FIND(".",_xlpm.cleanRaw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7" t="str">
        <f>_xlfn.LET(_xlpm.raw,_xlfn.XLOOKUP(A877,SITE3!$C$4:$C$1034,SITE3!$E$4:$E$1034),_xlpm.cleanRaw,SUBSTITUTE(SUBSTITUTE(_xlpm.raw,"_PIN","."),"PIN","."),_xlpm.mainPart,MID(_xlpm.cleanRaw,2,FIND(".",_xlpm.cleanRaw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7" t="str">
        <f>""</f>
        <v/>
      </c>
      <c r="I877" t="str">
        <f>""</f>
        <v/>
      </c>
      <c r="J877" t="str">
        <f t="shared" si="13"/>
        <v>BD27;VSS;;20.3198;12.6135;;;;</v>
      </c>
    </row>
    <row r="878" spans="1:10">
      <c r="A878" t="s">
        <v>2713</v>
      </c>
      <c r="B878" t="str">
        <f>_xlfn.XLOOKUP(A878,SITE1!$V$4:$V$1034,SITE1!$U$4:$U$1034,"")</f>
        <v>PCIE_9_TSN_0_RXP</v>
      </c>
      <c r="C878" t="str" cm="1">
        <f t="array" ref="C878">_xlfn.TEXTJOIN(",",TRUE,_xlfn.UNIQUE(TRANSPOSE(_xlfn.MAP(_xlfn.XLOOKUP(A878,SITE1!$C$4:$C$1034,SITE1!$F$4:$O$1034,""),_xlfn.LAMBDA(_xlpm.x,IF(_xlpm.x&lt;&gt;"",TRIM(CLEAN(LEFT(_xlpm.x,FIND(".",_xlpm.x &amp; ".")-1))),""))))))</f>
        <v>CA237,LA274</v>
      </c>
      <c r="D878">
        <v>20.319800000000001</v>
      </c>
      <c r="E878">
        <v>13.985199999999899</v>
      </c>
      <c r="F878" t="str">
        <f>_xlfn.LET(_xlpm.raw,_xlfn.XLOOKUP(A878,SITE1!$C$4:$C$1034,SITE1!$E$4:$E$1034),_xlpm.cleanRaw,SUBSTITUTE(SUBSTITUTE(_xlpm.raw,"_PIN","."),"PIN","."),_xlpm.mainPart,MID(_xlpm.cleanRaw,2,FIND(".",_xlpm.cleanRaw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705054</v>
      </c>
      <c r="G878" t="str">
        <f>_xlfn.LET(_xlpm.raw,_xlfn.XLOOKUP(A878,SITE3!$C$4:$C$1034,SITE3!$E$4:$E$1034),_xlpm.cleanRaw,SUBSTITUTE(SUBSTITUTE(_xlpm.raw,"_PIN","."),"PIN","."),_xlpm.mainPart,MID(_xlpm.cleanRaw,2,FIND(".",_xlpm.cleanRaw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505054</v>
      </c>
      <c r="H878" t="str">
        <f>""</f>
        <v/>
      </c>
      <c r="I878" t="str">
        <f>""</f>
        <v/>
      </c>
      <c r="J878" t="str">
        <f t="shared" si="13"/>
        <v>BD30;PCIE_9_TSN_0_RXP;CA237,LA274;20.3198;13.9851999999999;705054;505054;;</v>
      </c>
    </row>
    <row r="879" spans="1:10">
      <c r="A879" t="s">
        <v>3886</v>
      </c>
      <c r="B879" t="str">
        <f>_xlfn.XLOOKUP(A879,SITE1!$V$4:$V$1034,SITE1!$U$4:$U$1034,"")</f>
        <v>VSS</v>
      </c>
      <c r="C879" t="str" cm="1">
        <f t="array" ref="C879">_xlfn.TEXTJOIN(",",TRUE,_xlfn.UNIQUE(TRANSPOSE(_xlfn.MAP(_xlfn.XLOOKUP(A879,SITE1!$C$4:$C$1034,SITE1!$F$4:$O$1034,""),_xlfn.LAMBDA(_xlpm.x,IF(_xlpm.x&lt;&gt;"",TRIM(CLEAN(LEFT(_xlpm.x,FIND(".",_xlpm.x &amp; ".")-1))),""))))))</f>
        <v/>
      </c>
      <c r="D879">
        <v>20.319800000000001</v>
      </c>
      <c r="E879">
        <v>15.342499999999999</v>
      </c>
      <c r="F879" t="str">
        <f>_xlfn.LET(_xlpm.raw,_xlfn.XLOOKUP(A879,SITE1!$C$4:$C$1034,SITE1!$E$4:$E$1034),_xlpm.cleanRaw,SUBSTITUTE(SUBSTITUTE(_xlpm.raw,"_PIN","."),"PIN","."),_xlpm.mainPart,MID(_xlpm.cleanRaw,2,FIND(".",_xlpm.cleanRaw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9" t="str">
        <f>_xlfn.LET(_xlpm.raw,_xlfn.XLOOKUP(A879,SITE3!$C$4:$C$1034,SITE3!$E$4:$E$1034),_xlpm.cleanRaw,SUBSTITUTE(SUBSTITUTE(_xlpm.raw,"_PIN","."),"PIN","."),_xlpm.mainPart,MID(_xlpm.cleanRaw,2,FIND(".",_xlpm.cleanRaw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9" t="str">
        <f>""</f>
        <v/>
      </c>
      <c r="I879" t="str">
        <f>""</f>
        <v/>
      </c>
      <c r="J879" t="str">
        <f t="shared" si="13"/>
        <v>BD33;VSS;;20.3198;15.3425;;;;</v>
      </c>
    </row>
    <row r="880" spans="1:10">
      <c r="A880" t="s">
        <v>2043</v>
      </c>
      <c r="B880" t="str">
        <f>_xlfn.XLOOKUP(A880,SITE1!$V$4:$V$1034,SITE1!$U$4:$U$1034,"")</f>
        <v>PCIE_13_SATA_0_RXP</v>
      </c>
      <c r="C880" t="str" cm="1">
        <f t="array" ref="C880">_xlfn.TEXTJOIN(",",TRUE,_xlfn.UNIQUE(TRANSPOSE(_xlfn.MAP(_xlfn.XLOOKUP(A880,SITE1!$C$4:$C$1034,SITE1!$F$4:$O$1034,""),_xlfn.LAMBDA(_xlpm.x,IF(_xlpm.x&lt;&gt;"",TRIM(CLEAN(LEFT(_xlpm.x,FIND(".",_xlpm.x &amp; ".")-1))),""))))))</f>
        <v>CA245,LA290</v>
      </c>
      <c r="D880">
        <v>20.319800000000001</v>
      </c>
      <c r="E880">
        <v>16.714199999999899</v>
      </c>
      <c r="F880" t="str">
        <f>_xlfn.LET(_xlpm.raw,_xlfn.XLOOKUP(A880,SITE1!$C$4:$C$1034,SITE1!$E$4:$E$1034),_xlpm.cleanRaw,SUBSTITUTE(SUBSTITUTE(_xlpm.raw,"_PIN","."),"PIN","."),_xlpm.mainPart,MID(_xlpm.cleanRaw,2,FIND(".",_xlpm.cleanRaw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704098</v>
      </c>
      <c r="G880" t="str">
        <f>_xlfn.LET(_xlpm.raw,_xlfn.XLOOKUP(A880,SITE3!$C$4:$C$1034,SITE3!$E$4:$E$1034),_xlpm.cleanRaw,SUBSTITUTE(SUBSTITUTE(_xlpm.raw,"_PIN","."),"PIN","."),_xlpm.mainPart,MID(_xlpm.cleanRaw,2,FIND(".",_xlpm.cleanRaw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504098</v>
      </c>
      <c r="H880" t="str">
        <f>""</f>
        <v/>
      </c>
      <c r="I880" t="str">
        <f>""</f>
        <v/>
      </c>
      <c r="J880" t="str">
        <f t="shared" si="13"/>
        <v>BD36;PCIE_13_SATA_0_RXP;CA245,LA290;20.3198;16.7141999999999;704098;504098;;</v>
      </c>
    </row>
    <row r="881" spans="1:10">
      <c r="A881" t="s">
        <v>3887</v>
      </c>
      <c r="B881" t="str">
        <f>_xlfn.XLOOKUP(A881,SITE1!$V$4:$V$1034,SITE1!$U$4:$U$1034,"")</f>
        <v>VSS</v>
      </c>
      <c r="C881" t="str" cm="1">
        <f t="array" ref="C881">_xlfn.TEXTJOIN(",",TRUE,_xlfn.UNIQUE(TRANSPOSE(_xlfn.MAP(_xlfn.XLOOKUP(A881,SITE1!$C$4:$C$1034,SITE1!$F$4:$O$1034,""),_xlfn.LAMBDA(_xlpm.x,IF(_xlpm.x&lt;&gt;"",TRIM(CLEAN(LEFT(_xlpm.x,FIND(".",_xlpm.x &amp; ".")-1))),""))))))</f>
        <v/>
      </c>
      <c r="D881">
        <v>20.319800000000001</v>
      </c>
      <c r="E881">
        <v>18.0715</v>
      </c>
      <c r="F881" t="str">
        <f>_xlfn.LET(_xlpm.raw,_xlfn.XLOOKUP(A881,SITE1!$C$4:$C$1034,SITE1!$E$4:$E$1034),_xlpm.cleanRaw,SUBSTITUTE(SUBSTITUTE(_xlpm.raw,"_PIN","."),"PIN","."),_xlpm.mainPart,MID(_xlpm.cleanRaw,2,FIND(".",_xlpm.cleanRaw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1" t="str">
        <f>_xlfn.LET(_xlpm.raw,_xlfn.XLOOKUP(A881,SITE3!$C$4:$C$1034,SITE3!$E$4:$E$1034),_xlpm.cleanRaw,SUBSTITUTE(SUBSTITUTE(_xlpm.raw,"_PIN","."),"PIN","."),_xlpm.mainPart,MID(_xlpm.cleanRaw,2,FIND(".",_xlpm.cleanRaw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1" t="str">
        <f>""</f>
        <v/>
      </c>
      <c r="I881" t="str">
        <f>""</f>
        <v/>
      </c>
      <c r="J881" t="str">
        <f t="shared" si="13"/>
        <v>BD39;VSS;;20.3198;18.0715;;;;</v>
      </c>
    </row>
    <row r="882" spans="1:10">
      <c r="A882" t="s">
        <v>2184</v>
      </c>
      <c r="B882" t="str">
        <f>_xlfn.XLOOKUP(A882,SITE1!$V$4:$V$1034,SITE1!$U$4:$U$1034,"")</f>
        <v>PCIE_17_SATA_4_RXP</v>
      </c>
      <c r="C882" t="str" cm="1">
        <f t="array" ref="C882">_xlfn.TEXTJOIN(",",TRUE,_xlfn.UNIQUE(TRANSPOSE(_xlfn.MAP(_xlfn.XLOOKUP(A882,SITE1!$C$4:$C$1034,SITE1!$F$4:$O$1034,""),_xlfn.LAMBDA(_xlpm.x,IF(_xlpm.x&lt;&gt;"",TRIM(CLEAN(LEFT(_xlpm.x,FIND(".",_xlpm.x &amp; ".")-1))),""))))))</f>
        <v>CA253,LA306</v>
      </c>
      <c r="D882">
        <v>20.319800000000001</v>
      </c>
      <c r="E882">
        <v>19.443200000000001</v>
      </c>
      <c r="F882" t="str">
        <f>_xlfn.LET(_xlpm.raw,_xlfn.XLOOKUP(A882,SITE1!$C$4:$C$1034,SITE1!$E$4:$E$1034),_xlpm.cleanRaw,SUBSTITUTE(SUBSTITUTE(_xlpm.raw,"_PIN","."),"PIN","."),_xlpm.mainPart,MID(_xlpm.cleanRaw,2,FIND(".",_xlpm.cleanRaw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705062</v>
      </c>
      <c r="G882" t="str">
        <f>_xlfn.LET(_xlpm.raw,_xlfn.XLOOKUP(A882,SITE3!$C$4:$C$1034,SITE3!$E$4:$E$1034),_xlpm.cleanRaw,SUBSTITUTE(SUBSTITUTE(_xlpm.raw,"_PIN","."),"PIN","."),_xlpm.mainPart,MID(_xlpm.cleanRaw,2,FIND(".",_xlpm.cleanRaw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505062</v>
      </c>
      <c r="H882" t="str">
        <f>""</f>
        <v/>
      </c>
      <c r="I882" t="str">
        <f>""</f>
        <v/>
      </c>
      <c r="J882" t="str">
        <f t="shared" si="13"/>
        <v>BD42;PCIE_17_SATA_4_RXP;CA253,LA306;20.3198;19.4432;705062;505062;;</v>
      </c>
    </row>
    <row r="883" spans="1:10">
      <c r="A883" t="s">
        <v>3888</v>
      </c>
      <c r="B883" t="str">
        <f>_xlfn.XLOOKUP(A883,SITE1!$V$4:$V$1034,SITE1!$U$4:$U$1034,"")</f>
        <v>VSS</v>
      </c>
      <c r="C883" t="str" cm="1">
        <f t="array" ref="C883">_xlfn.TEXTJOIN(",",TRUE,_xlfn.UNIQUE(TRANSPOSE(_xlfn.MAP(_xlfn.XLOOKUP(A883,SITE1!$C$4:$C$1034,SITE1!$F$4:$O$1034,""),_xlfn.LAMBDA(_xlpm.x,IF(_xlpm.x&lt;&gt;"",TRIM(CLEAN(LEFT(_xlpm.x,FIND(".",_xlpm.x &amp; ".")-1))),""))))))</f>
        <v/>
      </c>
      <c r="D883">
        <v>20.319800000000001</v>
      </c>
      <c r="E883">
        <v>20.8005</v>
      </c>
      <c r="F883" t="str">
        <f>_xlfn.LET(_xlpm.raw,_xlfn.XLOOKUP(A883,SITE1!$C$4:$C$1034,SITE1!$E$4:$E$1034),_xlpm.cleanRaw,SUBSTITUTE(SUBSTITUTE(_xlpm.raw,"_PIN","."),"PIN","."),_xlpm.mainPart,MID(_xlpm.cleanRaw,2,FIND(".",_xlpm.cleanRaw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3" t="str">
        <f>_xlfn.LET(_xlpm.raw,_xlfn.XLOOKUP(A883,SITE3!$C$4:$C$1034,SITE3!$E$4:$E$1034),_xlpm.cleanRaw,SUBSTITUTE(SUBSTITUTE(_xlpm.raw,"_PIN","."),"PIN","."),_xlpm.mainPart,MID(_xlpm.cleanRaw,2,FIND(".",_xlpm.cleanRaw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3" t="str">
        <f>""</f>
        <v/>
      </c>
      <c r="I883" t="str">
        <f>""</f>
        <v/>
      </c>
      <c r="J883" t="str">
        <f t="shared" si="13"/>
        <v>BD44;VSS;;20.3198;20.8005;;;;</v>
      </c>
    </row>
    <row r="884" spans="1:10">
      <c r="A884" t="s">
        <v>3889</v>
      </c>
      <c r="B884" t="str">
        <f>_xlfn.XLOOKUP(A884,SITE1!$V$4:$V$1034,SITE1!$U$4:$U$1034,"")</f>
        <v>VSS</v>
      </c>
      <c r="C884" t="str" cm="1">
        <f t="array" ref="C884">_xlfn.TEXTJOIN(",",TRUE,_xlfn.UNIQUE(TRANSPOSE(_xlfn.MAP(_xlfn.XLOOKUP(A884,SITE1!$C$4:$C$1034,SITE1!$F$4:$O$1034,""),_xlfn.LAMBDA(_xlpm.x,IF(_xlpm.x&lt;&gt;"",TRIM(CLEAN(LEFT(_xlpm.x,FIND(".",_xlpm.x &amp; ".")-1))),""))))))</f>
        <v/>
      </c>
      <c r="D884">
        <v>20.395299999999999</v>
      </c>
      <c r="E884">
        <v>21.631900000000002</v>
      </c>
      <c r="F884" t="str">
        <f>_xlfn.LET(_xlpm.raw,_xlfn.XLOOKUP(A884,SITE1!$C$4:$C$1034,SITE1!$E$4:$E$1034),_xlpm.cleanRaw,SUBSTITUTE(SUBSTITUTE(_xlpm.raw,"_PIN","."),"PIN","."),_xlpm.mainPart,MID(_xlpm.cleanRaw,2,FIND(".",_xlpm.cleanRaw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4" t="str">
        <f>_xlfn.LET(_xlpm.raw,_xlfn.XLOOKUP(A884,SITE3!$C$4:$C$1034,SITE3!$E$4:$E$1034),_xlpm.cleanRaw,SUBSTITUTE(SUBSTITUTE(_xlpm.raw,"_PIN","."),"PIN","."),_xlpm.mainPart,MID(_xlpm.cleanRaw,2,FIND(".",_xlpm.cleanRaw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4" t="str">
        <f>""</f>
        <v/>
      </c>
      <c r="I884" t="str">
        <f>""</f>
        <v/>
      </c>
      <c r="J884" t="str">
        <f t="shared" si="13"/>
        <v>BD46;VSS;;20.3953;21.6319;;;;</v>
      </c>
    </row>
    <row r="885" spans="1:10">
      <c r="A885" t="s">
        <v>1209</v>
      </c>
      <c r="B885" t="str">
        <f>_xlfn.XLOOKUP(A885,SITE1!$V$4:$V$1034,SITE1!$U$4:$U$1034,"")</f>
        <v>GPP_E_17_THC0_SPI1_IO_2</v>
      </c>
      <c r="C885" t="str" cm="1">
        <f t="array" ref="C885">_xlfn.TEXTJOIN(",",TRUE,_xlfn.UNIQUE(TRANSPOSE(_xlfn.MAP(_xlfn.XLOOKUP(A885,SITE1!$C$4:$C$1034,SITE1!$F$4:$O$1034,""),_xlfn.LAMBDA(_xlpm.x,IF(_xlpm.x&lt;&gt;"",TRIM(CLEAN(LEFT(_xlpm.x,FIND(".",_xlpm.x &amp; ".")-1))),""))))))</f>
        <v/>
      </c>
      <c r="D885">
        <v>20.395299999999999</v>
      </c>
      <c r="E885">
        <v>23.829000000000001</v>
      </c>
      <c r="F885" t="str">
        <f>_xlfn.LET(_xlpm.raw,_xlfn.XLOOKUP(A885,SITE1!$C$4:$C$1034,SITE1!$E$4:$E$1034),_xlpm.cleanRaw,SUBSTITUTE(SUBSTITUTE(_xlpm.raw,"_PIN","."),"PIN","."),_xlpm.mainPart,MID(_xlpm.cleanRaw,2,FIND(".",_xlpm.cleanRaw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706030</v>
      </c>
      <c r="G885" t="str">
        <f>_xlfn.LET(_xlpm.raw,_xlfn.XLOOKUP(A885,SITE3!$C$4:$C$1034,SITE3!$E$4:$E$1034),_xlpm.cleanRaw,SUBSTITUTE(SUBSTITUTE(_xlpm.raw,"_PIN","."),"PIN","."),_xlpm.mainPart,MID(_xlpm.cleanRaw,2,FIND(".",_xlpm.cleanRaw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506030</v>
      </c>
      <c r="H885" t="str">
        <f>""</f>
        <v/>
      </c>
      <c r="I885" t="str">
        <f>""</f>
        <v/>
      </c>
      <c r="J885" t="str">
        <f t="shared" si="13"/>
        <v>BD51;GPP_E_17_THC0_SPI1_IO_2;;20.3953;23.829;706030;506030;;</v>
      </c>
    </row>
    <row r="886" spans="1:10">
      <c r="A886" t="s">
        <v>1204</v>
      </c>
      <c r="B886" t="str">
        <f>_xlfn.XLOOKUP(A886,SITE1!$V$4:$V$1034,SITE1!$U$4:$U$1034,"")</f>
        <v>GPP_E_16_THC0_SPI1_IO_0</v>
      </c>
      <c r="C886" t="str" cm="1">
        <f t="array" ref="C886">_xlfn.TEXTJOIN(",",TRUE,_xlfn.UNIQUE(TRANSPOSE(_xlfn.MAP(_xlfn.XLOOKUP(A886,SITE1!$C$4:$C$1034,SITE1!$F$4:$O$1034,""),_xlfn.LAMBDA(_xlpm.x,IF(_xlpm.x&lt;&gt;"",TRIM(CLEAN(LEFT(_xlpm.x,FIND(".",_xlpm.x &amp; ".")-1))),""))))))</f>
        <v/>
      </c>
      <c r="D886">
        <v>20.1999</v>
      </c>
      <c r="E886">
        <v>24.992999999999999</v>
      </c>
      <c r="F886" t="str">
        <f>_xlfn.LET(_xlpm.raw,_xlfn.XLOOKUP(A886,SITE1!$C$4:$C$1034,SITE1!$E$4:$E$1034),_xlpm.cleanRaw,SUBSTITUTE(SUBSTITUTE(_xlpm.raw,"_PIN","."),"PIN","."),_xlpm.mainPart,MID(_xlpm.cleanRaw,2,FIND(".",_xlpm.cleanRaw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707098</v>
      </c>
      <c r="G886" t="str">
        <f>_xlfn.LET(_xlpm.raw,_xlfn.XLOOKUP(A886,SITE3!$C$4:$C$1034,SITE3!$E$4:$E$1034),_xlpm.cleanRaw,SUBSTITUTE(SUBSTITUTE(_xlpm.raw,"_PIN","."),"PIN","."),_xlpm.mainPart,MID(_xlpm.cleanRaw,2,FIND(".",_xlpm.cleanRaw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507098</v>
      </c>
      <c r="H886" t="str">
        <f>""</f>
        <v/>
      </c>
      <c r="I886" t="str">
        <f>""</f>
        <v/>
      </c>
      <c r="J886" t="str">
        <f t="shared" si="13"/>
        <v>BD53;GPP_E_16_THC0_SPI1_IO_0;;20.1999;24.993;707098;507098;;</v>
      </c>
    </row>
    <row r="887" spans="1:10">
      <c r="A887" t="s">
        <v>2846</v>
      </c>
      <c r="B887" t="str">
        <f>_xlfn.XLOOKUP(A887,SITE1!$V$4:$V$1034,SITE1!$U$4:$U$1034,"")</f>
        <v>SNDW_RCOMP</v>
      </c>
      <c r="C887" t="str" cm="1">
        <f t="array" ref="C887">_xlfn.TEXTJOIN(",",TRUE,_xlfn.UNIQUE(TRANSPOSE(_xlfn.MAP(_xlfn.XLOOKUP(A887,SITE1!$C$4:$C$1034,SITE1!$F$4:$O$1034,""),_xlfn.LAMBDA(_xlpm.x,IF(_xlpm.x&lt;&gt;"",TRIM(CLEAN(LEFT(_xlpm.x,FIND(".",_xlpm.x &amp; ".")-1))),""))))))</f>
        <v>RA131</v>
      </c>
      <c r="D887">
        <v>20.165399999999899</v>
      </c>
      <c r="E887">
        <v>25.9861</v>
      </c>
      <c r="F887" t="str">
        <f>_xlfn.LET(_xlpm.raw,_xlfn.XLOOKUP(A887,SITE1!$C$4:$C$1034,SITE1!$E$4:$E$1034),_xlpm.cleanRaw,SUBSTITUTE(SUBSTITUTE(_xlpm.raw,"_PIN","."),"PIN","."),_xlpm.mainPart,MID(_xlpm.cleanRaw,2,FIND(".",_xlpm.cleanRaw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7" t="str">
        <f>_xlfn.LET(_xlpm.raw,_xlfn.XLOOKUP(A887,SITE3!$C$4:$C$1034,SITE3!$E$4:$E$1034),_xlpm.cleanRaw,SUBSTITUTE(SUBSTITUTE(_xlpm.raw,"_PIN","."),"PIN","."),_xlpm.mainPart,MID(_xlpm.cleanRaw,2,FIND(".",_xlpm.cleanRaw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7" t="str">
        <f>""</f>
        <v/>
      </c>
      <c r="I887" t="str">
        <f>""</f>
        <v/>
      </c>
      <c r="J887" t="str">
        <f t="shared" si="13"/>
        <v>BD55;SNDW_RCOMP;RA131;20.1653999999999;25.9861;;;;</v>
      </c>
    </row>
    <row r="888" spans="1:10">
      <c r="A888" t="s">
        <v>3534</v>
      </c>
      <c r="B888" t="str">
        <f>_xlfn.XLOOKUP(A888,SITE1!$V$4:$V$1034,SITE1!$U$4:$U$1034,"")</f>
        <v>VCCCNVI_LDO_0P4</v>
      </c>
      <c r="C888" t="str" cm="1">
        <f t="array" ref="C888">_xlfn.TEXTJOIN(",",TRUE,_xlfn.UNIQUE(TRANSPOSE(_xlfn.MAP(_xlfn.XLOOKUP(A888,SITE1!$C$4:$C$1034,SITE1!$F$4:$O$1034,""),_xlfn.LAMBDA(_xlpm.x,IF(_xlpm.x&lt;&gt;"",TRIM(CLEAN(LEFT(_xlpm.x,FIND(".",_xlpm.x &amp; ".")-1))),""))))))</f>
        <v/>
      </c>
      <c r="D888">
        <v>20.497599999999998</v>
      </c>
      <c r="E888">
        <v>0</v>
      </c>
      <c r="F888" t="str">
        <f>_xlfn.LET(_xlpm.raw,_xlfn.XLOOKUP(A888,SITE1!$C$4:$C$1034,SITE1!$E$4:$E$1034),_xlpm.cleanRaw,SUBSTITUTE(SUBSTITUTE(_xlpm.raw,"_PIN","."),"PIN","."),_xlpm.mainPart,MID(_xlpm.cleanRaw,2,FIND(".",_xlpm.cleanRaw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605044</v>
      </c>
      <c r="G888" t="str">
        <f>_xlfn.LET(_xlpm.raw,_xlfn.XLOOKUP(A888,SITE3!$C$4:$C$1034,SITE3!$E$4:$E$1034),_xlpm.cleanRaw,SUBSTITUTE(SUBSTITUTE(_xlpm.raw,"_PIN","."),"PIN","."),_xlpm.mainPart,MID(_xlpm.cleanRaw,2,FIND(".",_xlpm.cleanRaw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805044</v>
      </c>
      <c r="H888" t="str">
        <f>""</f>
        <v/>
      </c>
      <c r="I888" t="str">
        <f>""</f>
        <v/>
      </c>
      <c r="J888" t="str">
        <f t="shared" si="13"/>
        <v>BE1;VCCCNVI_LDO_0P4;;20.4976;0;605044;805044;;</v>
      </c>
    </row>
    <row r="889" spans="1:10">
      <c r="A889" t="s">
        <v>3539</v>
      </c>
      <c r="B889" t="str">
        <f>_xlfn.XLOOKUP(A889,SITE1!$V$4:$V$1034,SITE1!$U$4:$U$1034,"")</f>
        <v>VCCCNVI_LDO_0P4</v>
      </c>
      <c r="C889" t="str" cm="1">
        <f t="array" ref="C889">_xlfn.TEXTJOIN(",",TRUE,_xlfn.UNIQUE(TRANSPOSE(_xlfn.MAP(_xlfn.XLOOKUP(A889,SITE1!$C$4:$C$1034,SITE1!$F$4:$O$1034,""),_xlfn.LAMBDA(_xlpm.x,IF(_xlpm.x&lt;&gt;"",TRIM(CLEAN(LEFT(_xlpm.x,FIND(".",_xlpm.x &amp; ".")-1))),""))))))</f>
        <v/>
      </c>
      <c r="D889">
        <v>20.597200000000001</v>
      </c>
      <c r="E889">
        <v>0.517099999999999</v>
      </c>
      <c r="F889" t="str">
        <f>_xlfn.LET(_xlpm.raw,_xlfn.XLOOKUP(A889,SITE1!$C$4:$C$1034,SITE1!$E$4:$E$1034),_xlpm.cleanRaw,SUBSTITUTE(SUBSTITUTE(_xlpm.raw,"_PIN","."),"PIN","."),_xlpm.mainPart,MID(_xlpm.cleanRaw,2,FIND(".",_xlpm.cleanRaw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605044</v>
      </c>
      <c r="G889" t="str">
        <f>_xlfn.LET(_xlpm.raw,_xlfn.XLOOKUP(A889,SITE3!$C$4:$C$1034,SITE3!$E$4:$E$1034),_xlpm.cleanRaw,SUBSTITUTE(SUBSTITUTE(_xlpm.raw,"_PIN","."),"PIN","."),_xlpm.mainPart,MID(_xlpm.cleanRaw,2,FIND(".",_xlpm.cleanRaw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805044</v>
      </c>
      <c r="H889" t="str">
        <f>""</f>
        <v/>
      </c>
      <c r="I889" t="str">
        <f>""</f>
        <v/>
      </c>
      <c r="J889" t="str">
        <f t="shared" si="13"/>
        <v>BE2;VCCCNVI_LDO_0P4;;20.5972;0.517099999999999;605044;805044;;</v>
      </c>
    </row>
    <row r="890" spans="1:10">
      <c r="A890" t="s">
        <v>3544</v>
      </c>
      <c r="B890" t="str">
        <f>_xlfn.XLOOKUP(A890,SITE1!$V$4:$V$1034,SITE1!$U$4:$U$1034,"")</f>
        <v>VCCDPHY_1P2</v>
      </c>
      <c r="C890" t="str" cm="1">
        <f t="array" ref="C890">_xlfn.TEXTJOIN(",",TRUE,_xlfn.UNIQUE(TRANSPOSE(_xlfn.MAP(_xlfn.XLOOKUP(A890,SITE1!$C$4:$C$1034,SITE1!$F$4:$O$1034,""),_xlfn.LAMBDA(_xlpm.x,IF(_xlpm.x&lt;&gt;"",TRIM(CLEAN(LEFT(_xlpm.x,FIND(".",_xlpm.x &amp; ".")-1))),""))))))</f>
        <v/>
      </c>
      <c r="D890">
        <v>20.601900000000001</v>
      </c>
      <c r="E890">
        <v>1.29809999999999</v>
      </c>
      <c r="F890" t="str">
        <f>_xlfn.LET(_xlpm.raw,_xlfn.XLOOKUP(A890,SITE1!$C$4:$C$1034,SITE1!$E$4:$E$1034),_xlpm.cleanRaw,SUBSTITUTE(SUBSTITUTE(_xlpm.raw,"_PIN","."),"PIN","."),_xlpm.mainPart,MID(_xlpm.cleanRaw,2,FIND(".",_xlpm.cleanRaw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90" t="str">
        <f>_xlfn.LET(_xlpm.raw,_xlfn.XLOOKUP(A890,SITE3!$C$4:$C$1034,SITE3!$E$4:$E$1034),_xlpm.cleanRaw,SUBSTITUTE(SUBSTITUTE(_xlpm.raw,"_PIN","."),"PIN","."),_xlpm.mainPart,MID(_xlpm.cleanRaw,2,FIND(".",_xlpm.cleanRaw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90" t="str">
        <f>""</f>
        <v/>
      </c>
      <c r="I890" t="str">
        <f>""</f>
        <v/>
      </c>
      <c r="J890" t="str">
        <f t="shared" si="13"/>
        <v>BE3;VCCDPHY_1P2;;20.6019;1.29809999999999;;;;</v>
      </c>
    </row>
    <row r="891" spans="1:10">
      <c r="A891" t="s">
        <v>1063</v>
      </c>
      <c r="B891" t="str">
        <f>_xlfn.XLOOKUP(A891,SITE1!$V$4:$V$1034,SITE1!$U$4:$U$1034,"")</f>
        <v>GPP_D_12_SRCCLKREQB_5</v>
      </c>
      <c r="C891" t="str" cm="1">
        <f t="array" ref="C891">_xlfn.TEXTJOIN(",",TRUE,_xlfn.UNIQUE(TRANSPOSE(_xlfn.MAP(_xlfn.XLOOKUP(A891,SITE1!$C$4:$C$1034,SITE1!$F$4:$O$1034,""),_xlfn.LAMBDA(_xlpm.x,IF(_xlpm.x&lt;&gt;"",TRIM(CLEAN(LEFT(_xlpm.x,FIND(".",_xlpm.x &amp; ".")-1))),""))))))</f>
        <v/>
      </c>
      <c r="D891">
        <v>20.668199999999999</v>
      </c>
      <c r="E891">
        <v>2.06429999999999</v>
      </c>
      <c r="F891" t="str">
        <f>_xlfn.LET(_xlpm.raw,_xlfn.XLOOKUP(A891,SITE1!$C$4:$C$1034,SITE1!$E$4:$E$1034),_xlpm.cleanRaw,SUBSTITUTE(SUBSTITUTE(_xlpm.raw,"_PIN","."),"PIN","."),_xlpm.mainPart,MID(_xlpm.cleanRaw,2,FIND(".",_xlpm.cleanRaw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605055</v>
      </c>
      <c r="G891" t="str">
        <f>_xlfn.LET(_xlpm.raw,_xlfn.XLOOKUP(A891,SITE3!$C$4:$C$1034,SITE3!$E$4:$E$1034),_xlpm.cleanRaw,SUBSTITUTE(SUBSTITUTE(_xlpm.raw,"_PIN","."),"PIN","."),_xlpm.mainPart,MID(_xlpm.cleanRaw,2,FIND(".",_xlpm.cleanRaw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805055</v>
      </c>
      <c r="H891" t="str">
        <f>""</f>
        <v/>
      </c>
      <c r="I891" t="str">
        <f>""</f>
        <v/>
      </c>
      <c r="J891" t="str">
        <f t="shared" si="13"/>
        <v>BE5;GPP_D_12_SRCCLKREQB_5;;20.6682;2.06429999999999;605055;805055;;</v>
      </c>
    </row>
    <row r="892" spans="1:10">
      <c r="A892" t="s">
        <v>1108</v>
      </c>
      <c r="B892" t="str">
        <f>_xlfn.XLOOKUP(A892,SITE1!$V$4:$V$1034,SITE1!$U$4:$U$1034,"")</f>
        <v>GPP_D_20_UART3_RXD_THC1_SPI2_IO_2</v>
      </c>
      <c r="C892" t="str" cm="1">
        <f t="array" ref="C892">_xlfn.TEXTJOIN(",",TRUE,_xlfn.UNIQUE(TRANSPOSE(_xlfn.MAP(_xlfn.XLOOKUP(A892,SITE1!$C$4:$C$1034,SITE1!$F$4:$O$1034,""),_xlfn.LAMBDA(_xlpm.x,IF(_xlpm.x&lt;&gt;"",TRIM(CLEAN(LEFT(_xlpm.x,FIND(".",_xlpm.x &amp; ".")-1))),""))))))</f>
        <v/>
      </c>
      <c r="D892">
        <v>20.852499999999999</v>
      </c>
      <c r="E892">
        <v>2.8308</v>
      </c>
      <c r="F892" t="str">
        <f>_xlfn.LET(_xlpm.raw,_xlfn.XLOOKUP(A892,SITE1!$C$4:$C$1034,SITE1!$E$4:$E$1034),_xlpm.cleanRaw,SUBSTITUTE(SUBSTITUTE(_xlpm.raw,"_PIN","."),"PIN","."),_xlpm.mainPart,MID(_xlpm.cleanRaw,2,FIND(".",_xlpm.cleanRaw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603098</v>
      </c>
      <c r="G892" t="str">
        <f>_xlfn.LET(_xlpm.raw,_xlfn.XLOOKUP(A892,SITE3!$C$4:$C$1034,SITE3!$E$4:$E$1034),_xlpm.cleanRaw,SUBSTITUTE(SUBSTITUTE(_xlpm.raw,"_PIN","."),"PIN","."),_xlpm.mainPart,MID(_xlpm.cleanRaw,2,FIND(".",_xlpm.cleanRaw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803098</v>
      </c>
      <c r="H892" t="str">
        <f>""</f>
        <v/>
      </c>
      <c r="I892" t="str">
        <f>""</f>
        <v/>
      </c>
      <c r="J892" t="str">
        <f t="shared" si="13"/>
        <v>BE7;GPP_D_20_UART3_RXD_THC1_SPI2_IO_2;;20.8525;2.8308;603098;803098;;</v>
      </c>
    </row>
    <row r="893" spans="1:10">
      <c r="A893" t="s">
        <v>3896</v>
      </c>
      <c r="B893" t="str">
        <f>_xlfn.XLOOKUP(A893,SITE1!$V$4:$V$1034,SITE1!$U$4:$U$1034,"")</f>
        <v>VSS</v>
      </c>
      <c r="C893" t="str" cm="1">
        <f t="array" ref="C893">_xlfn.TEXTJOIN(",",TRUE,_xlfn.UNIQUE(TRANSPOSE(_xlfn.MAP(_xlfn.XLOOKUP(A893,SITE1!$C$4:$C$1034,SITE1!$F$4:$O$1034,""),_xlfn.LAMBDA(_xlpm.x,IF(_xlpm.x&lt;&gt;"",TRIM(CLEAN(LEFT(_xlpm.x,FIND(".",_xlpm.x &amp; ".")-1))),""))))))</f>
        <v/>
      </c>
      <c r="D893">
        <v>20.599499999999999</v>
      </c>
      <c r="E893">
        <v>4.0716000000000001</v>
      </c>
      <c r="F893" t="str">
        <f>_xlfn.LET(_xlpm.raw,_xlfn.XLOOKUP(A893,SITE1!$C$4:$C$1034,SITE1!$E$4:$E$1034),_xlpm.cleanRaw,SUBSTITUTE(SUBSTITUTE(_xlpm.raw,"_PIN","."),"PIN","."),_xlpm.mainPart,MID(_xlpm.cleanRaw,2,FIND(".",_xlpm.cleanRaw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93" t="str">
        <f>_xlfn.LET(_xlpm.raw,_xlfn.XLOOKUP(A893,SITE3!$C$4:$C$1034,SITE3!$E$4:$E$1034),_xlpm.cleanRaw,SUBSTITUTE(SUBSTITUTE(_xlpm.raw,"_PIN","."),"PIN","."),_xlpm.mainPart,MID(_xlpm.cleanRaw,2,FIND(".",_xlpm.cleanRaw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93" t="str">
        <f>""</f>
        <v/>
      </c>
      <c r="I893" t="str">
        <f>""</f>
        <v/>
      </c>
      <c r="J893" t="str">
        <f t="shared" si="13"/>
        <v>BE9;VSS;;20.5995;4.0716;;;;</v>
      </c>
    </row>
    <row r="894" spans="1:10">
      <c r="A894" t="s">
        <v>1098</v>
      </c>
      <c r="B894" t="str">
        <f>_xlfn.XLOOKUP(A894,SITE1!$V$4:$V$1034,SITE1!$U$4:$U$1034,"")</f>
        <v>GPP_D_19_GSPI3_MOSI_THC1_SPI2_IO_1</v>
      </c>
      <c r="C894" t="str" cm="1">
        <f t="array" ref="C894">_xlfn.TEXTJOIN(",",TRUE,_xlfn.UNIQUE(TRANSPOSE(_xlfn.MAP(_xlfn.XLOOKUP(A894,SITE1!$C$4:$C$1034,SITE1!$F$4:$O$1034,""),_xlfn.LAMBDA(_xlpm.x,IF(_xlpm.x&lt;&gt;"",TRIM(CLEAN(LEFT(_xlpm.x,FIND(".",_xlpm.x &amp; ".")-1))),""))))))</f>
        <v/>
      </c>
      <c r="D894">
        <v>20.637599999999999</v>
      </c>
      <c r="E894">
        <v>4.5734999999999904</v>
      </c>
      <c r="F894" t="str">
        <f>_xlfn.LET(_xlpm.raw,_xlfn.XLOOKUP(A894,SITE1!$C$4:$C$1034,SITE1!$E$4:$E$1034),_xlpm.cleanRaw,SUBSTITUTE(SUBSTITUTE(_xlpm.raw,"_PIN","."),"PIN","."),_xlpm.mainPart,MID(_xlpm.cleanRaw,2,FIND(".",_xlpm.cleanRaw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603097</v>
      </c>
      <c r="G894" t="str">
        <f>_xlfn.LET(_xlpm.raw,_xlfn.XLOOKUP(A894,SITE3!$C$4:$C$1034,SITE3!$E$4:$E$1034),_xlpm.cleanRaw,SUBSTITUTE(SUBSTITUTE(_xlpm.raw,"_PIN","."),"PIN","."),_xlpm.mainPart,MID(_xlpm.cleanRaw,2,FIND(".",_xlpm.cleanRaw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803097</v>
      </c>
      <c r="H894" t="str">
        <f>""</f>
        <v/>
      </c>
      <c r="I894" t="str">
        <f>""</f>
        <v/>
      </c>
      <c r="J894" t="str">
        <f t="shared" si="13"/>
        <v>BE10;GPP_D_19_GSPI3_MOSI_THC1_SPI2_IO_1;;20.6376;4.57349999999999;603097;803097;;</v>
      </c>
    </row>
    <row r="895" spans="1:10">
      <c r="A895" t="s">
        <v>1158</v>
      </c>
      <c r="B895" t="str">
        <f>_xlfn.XLOOKUP(A895,SITE1!$V$4:$V$1034,SITE1!$U$4:$U$1034,"")</f>
        <v>GPP_D_9_SML0CLK</v>
      </c>
      <c r="C895" t="str" cm="1">
        <f t="array" ref="C895">_xlfn.TEXTJOIN(",",TRUE,_xlfn.UNIQUE(TRANSPOSE(_xlfn.MAP(_xlfn.XLOOKUP(A895,SITE1!$C$4:$C$1034,SITE1!$F$4:$O$1034,""),_xlfn.LAMBDA(_xlpm.x,IF(_xlpm.x&lt;&gt;"",TRIM(CLEAN(LEFT(_xlpm.x,FIND(".",_xlpm.x &amp; ".")-1))),""))))))</f>
        <v/>
      </c>
      <c r="D895">
        <v>20.852499999999999</v>
      </c>
      <c r="E895">
        <v>5.0278999999999998</v>
      </c>
      <c r="F895" t="str">
        <f>_xlfn.LET(_xlpm.raw,_xlfn.XLOOKUP(A895,SITE1!$C$4:$C$1034,SITE1!$E$4:$E$1034),_xlpm.cleanRaw,SUBSTITUTE(SUBSTITUTE(_xlpm.raw,"_PIN","."),"PIN","."),_xlpm.mainPart,MID(_xlpm.cleanRaw,2,FIND(".",_xlpm.cleanRaw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604040</v>
      </c>
      <c r="G895" t="str">
        <f>_xlfn.LET(_xlpm.raw,_xlfn.XLOOKUP(A895,SITE3!$C$4:$C$1034,SITE3!$E$4:$E$1034),_xlpm.cleanRaw,SUBSTITUTE(SUBSTITUTE(_xlpm.raw,"_PIN","."),"PIN","."),_xlpm.mainPart,MID(_xlpm.cleanRaw,2,FIND(".",_xlpm.cleanRaw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804040</v>
      </c>
      <c r="H895" t="str">
        <f>""</f>
        <v/>
      </c>
      <c r="I895" t="str">
        <f>""</f>
        <v/>
      </c>
      <c r="J895" t="str">
        <f t="shared" si="13"/>
        <v>BE11;GPP_D_9_SML0CLK;;20.8525;5.0279;604040;804040;;</v>
      </c>
    </row>
    <row r="896" spans="1:10">
      <c r="A896" t="s">
        <v>3891</v>
      </c>
      <c r="B896" t="str">
        <f>_xlfn.XLOOKUP(A896,SITE1!$V$4:$V$1034,SITE1!$U$4:$U$1034,"")</f>
        <v>VSS</v>
      </c>
      <c r="C896" t="str" cm="1">
        <f t="array" ref="C896">_xlfn.TEXTJOIN(",",TRUE,_xlfn.UNIQUE(TRANSPOSE(_xlfn.MAP(_xlfn.XLOOKUP(A896,SITE1!$C$4:$C$1034,SITE1!$F$4:$O$1034,""),_xlfn.LAMBDA(_xlpm.x,IF(_xlpm.x&lt;&gt;"",TRIM(CLEAN(LEFT(_xlpm.x,FIND(".",_xlpm.x &amp; ".")-1))),""))))))</f>
        <v/>
      </c>
      <c r="D896">
        <v>20.599499999999999</v>
      </c>
      <c r="E896">
        <v>6.2686999999999999</v>
      </c>
      <c r="F896" t="str">
        <f>_xlfn.LET(_xlpm.raw,_xlfn.XLOOKUP(A896,SITE1!$C$4:$C$1034,SITE1!$E$4:$E$1034),_xlpm.cleanRaw,SUBSTITUTE(SUBSTITUTE(_xlpm.raw,"_PIN","."),"PIN","."),_xlpm.mainPart,MID(_xlpm.cleanRaw,2,FIND(".",_xlpm.cleanRaw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96" t="str">
        <f>_xlfn.LET(_xlpm.raw,_xlfn.XLOOKUP(A896,SITE3!$C$4:$C$1034,SITE3!$E$4:$E$1034),_xlpm.cleanRaw,SUBSTITUTE(SUBSTITUTE(_xlpm.raw,"_PIN","."),"PIN","."),_xlpm.mainPart,MID(_xlpm.cleanRaw,2,FIND(".",_xlpm.cleanRaw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96" t="str">
        <f>""</f>
        <v/>
      </c>
      <c r="I896" t="str">
        <f>""</f>
        <v/>
      </c>
      <c r="J896" t="str">
        <f t="shared" si="13"/>
        <v>BE14;VSS;;20.5995;6.2687;;;;</v>
      </c>
    </row>
    <row r="897" spans="1:10">
      <c r="A897" t="s">
        <v>311</v>
      </c>
      <c r="B897" t="str">
        <f>_xlfn.XLOOKUP(A897,SITE1!$V$4:$V$1034,SITE1!$U$4:$U$1034,"")</f>
        <v>CNV_WT_D1N</v>
      </c>
      <c r="C897" t="str" cm="1">
        <f t="array" ref="C897">_xlfn.TEXTJOIN(",",TRUE,_xlfn.UNIQUE(TRANSPOSE(_xlfn.MAP(_xlfn.XLOOKUP(A897,SITE1!$C$4:$C$1034,SITE1!$F$4:$O$1034,""),_xlfn.LAMBDA(_xlpm.x,IF(_xlpm.x&lt;&gt;"",TRIM(CLEAN(LEFT(_xlpm.x,FIND(".",_xlpm.x &amp; ".")-1))),""))))))</f>
        <v>UA123,RA122</v>
      </c>
      <c r="D897">
        <v>20.637599999999999</v>
      </c>
      <c r="E897">
        <v>6.7706</v>
      </c>
      <c r="F897" t="str">
        <f>_xlfn.LET(_xlpm.raw,_xlfn.XLOOKUP(A897,SITE1!$C$4:$C$1034,SITE1!$E$4:$E$1034),_xlpm.cleanRaw,SUBSTITUTE(SUBSTITUTE(_xlpm.raw,"_PIN","."),"PIN","."),_xlpm.mainPart,MID(_xlpm.cleanRaw,2,FIND(".",_xlpm.cleanRaw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605051</v>
      </c>
      <c r="G897" t="str">
        <f>_xlfn.LET(_xlpm.raw,_xlfn.XLOOKUP(A897,SITE3!$C$4:$C$1034,SITE3!$E$4:$E$1034),_xlpm.cleanRaw,SUBSTITUTE(SUBSTITUTE(_xlpm.raw,"_PIN","."),"PIN","."),_xlpm.mainPart,MID(_xlpm.cleanRaw,2,FIND(".",_xlpm.cleanRaw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805051</v>
      </c>
      <c r="H897" t="str">
        <f>""</f>
        <v/>
      </c>
      <c r="I897" t="str">
        <f>""</f>
        <v/>
      </c>
      <c r="J897" t="str">
        <f t="shared" si="13"/>
        <v>BE15;CNV_WT_D1N;UA123,RA122;20.6376;6.7706;605051;805051;;</v>
      </c>
    </row>
    <row r="898" spans="1:10">
      <c r="A898" t="s">
        <v>3892</v>
      </c>
      <c r="B898" t="str">
        <f>_xlfn.XLOOKUP(A898,SITE1!$V$4:$V$1034,SITE1!$U$4:$U$1034,"")</f>
        <v>VSS</v>
      </c>
      <c r="C898" t="str" cm="1">
        <f t="array" ref="C898">_xlfn.TEXTJOIN(",",TRUE,_xlfn.UNIQUE(TRANSPOSE(_xlfn.MAP(_xlfn.XLOOKUP(A898,SITE1!$C$4:$C$1034,SITE1!$F$4:$O$1034,""),_xlfn.LAMBDA(_xlpm.x,IF(_xlpm.x&lt;&gt;"",TRIM(CLEAN(LEFT(_xlpm.x,FIND(".",_xlpm.x &amp; ".")-1))),""))))))</f>
        <v/>
      </c>
      <c r="D898">
        <v>20.852499999999999</v>
      </c>
      <c r="E898">
        <v>7.2249999999999996</v>
      </c>
      <c r="F898" t="str">
        <f>_xlfn.LET(_xlpm.raw,_xlfn.XLOOKUP(A898,SITE1!$C$4:$C$1034,SITE1!$E$4:$E$1034),_xlpm.cleanRaw,SUBSTITUTE(SUBSTITUTE(_xlpm.raw,"_PIN","."),"PIN","."),_xlpm.mainPart,MID(_xlpm.cleanRaw,2,FIND(".",_xlpm.cleanRaw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98" t="str">
        <f>_xlfn.LET(_xlpm.raw,_xlfn.XLOOKUP(A898,SITE3!$C$4:$C$1034,SITE3!$E$4:$E$1034),_xlpm.cleanRaw,SUBSTITUTE(SUBSTITUTE(_xlpm.raw,"_PIN","."),"PIN","."),_xlpm.mainPart,MID(_xlpm.cleanRaw,2,FIND(".",_xlpm.cleanRaw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98" t="str">
        <f>""</f>
        <v/>
      </c>
      <c r="I898" t="str">
        <f>""</f>
        <v/>
      </c>
      <c r="J898" t="str">
        <f t="shared" ref="J898:J961" si="14">A898&amp;";"&amp;B898&amp;";"&amp;C898&amp;";"&amp;D898&amp;";"&amp;E898&amp;";"&amp;F898&amp;";"&amp;G898&amp;";"&amp;H898&amp;";"&amp;I898</f>
        <v>BE16;VSS;;20.8525;7.225;;;;</v>
      </c>
    </row>
    <row r="899" spans="1:10">
      <c r="A899" t="s">
        <v>3893</v>
      </c>
      <c r="B899" t="str">
        <f>_xlfn.XLOOKUP(A899,SITE1!$V$4:$V$1034,SITE1!$U$4:$U$1034,"")</f>
        <v>VSS</v>
      </c>
      <c r="C899" t="str" cm="1">
        <f t="array" ref="C899">_xlfn.TEXTJOIN(",",TRUE,_xlfn.UNIQUE(TRANSPOSE(_xlfn.MAP(_xlfn.XLOOKUP(A899,SITE1!$C$4:$C$1034,SITE1!$F$4:$O$1034,""),_xlfn.LAMBDA(_xlpm.x,IF(_xlpm.x&lt;&gt;"",TRIM(CLEAN(LEFT(_xlpm.x,FIND(".",_xlpm.x &amp; ".")-1))),""))))))</f>
        <v/>
      </c>
      <c r="D899">
        <v>20.793599999999898</v>
      </c>
      <c r="E899">
        <v>21.3201</v>
      </c>
      <c r="F899" t="str">
        <f>_xlfn.LET(_xlpm.raw,_xlfn.XLOOKUP(A899,SITE1!$C$4:$C$1034,SITE1!$E$4:$E$1034),_xlpm.cleanRaw,SUBSTITUTE(SUBSTITUTE(_xlpm.raw,"_PIN","."),"PIN","."),_xlpm.mainPart,MID(_xlpm.cleanRaw,2,FIND(".",_xlpm.cleanRaw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99" t="str">
        <f>_xlfn.LET(_xlpm.raw,_xlfn.XLOOKUP(A899,SITE3!$C$4:$C$1034,SITE3!$E$4:$E$1034),_xlpm.cleanRaw,SUBSTITUTE(SUBSTITUTE(_xlpm.raw,"_PIN","."),"PIN","."),_xlpm.mainPart,MID(_xlpm.cleanRaw,2,FIND(".",_xlpm.cleanRaw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99" t="str">
        <f>""</f>
        <v/>
      </c>
      <c r="I899" t="str">
        <f>""</f>
        <v/>
      </c>
      <c r="J899" t="str">
        <f t="shared" si="14"/>
        <v>BE46;VSS;;20.7935999999999;21.3201;;;;</v>
      </c>
    </row>
    <row r="900" spans="1:10">
      <c r="A900" t="s">
        <v>1769</v>
      </c>
      <c r="B900" t="str">
        <f>_xlfn.XLOOKUP(A900,SITE1!$V$4:$V$1034,SITE1!$U$4:$U$1034,"")</f>
        <v>GPP_S_0_SNDW0_CLK_RGMII_AUXTS_0</v>
      </c>
      <c r="C900" t="str" cm="1">
        <f t="array" ref="C900">_xlfn.TEXTJOIN(",",TRUE,_xlfn.UNIQUE(TRANSPOSE(_xlfn.MAP(_xlfn.XLOOKUP(A900,SITE1!$C$4:$C$1034,SITE1!$F$4:$O$1034,""),_xlfn.LAMBDA(_xlpm.x,IF(_xlpm.x&lt;&gt;"",TRIM(CLEAN(LEFT(_xlpm.x,FIND(".",_xlpm.x &amp; ".")-1))),""))))))</f>
        <v/>
      </c>
      <c r="D900">
        <v>20.852499999999999</v>
      </c>
      <c r="E900">
        <v>21.850299999999901</v>
      </c>
      <c r="F900" t="str">
        <f>_xlfn.LET(_xlpm.raw,_xlfn.XLOOKUP(A900,SITE1!$C$4:$C$1034,SITE1!$E$4:$E$1034),_xlpm.cleanRaw,SUBSTITUTE(SUBSTITUTE(_xlpm.raw,"_PIN","."),"PIN","."),_xlpm.mainPart,MID(_xlpm.cleanRaw,2,FIND(".",_xlpm.cleanRaw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704123</v>
      </c>
      <c r="G900" t="str">
        <f>_xlfn.LET(_xlpm.raw,_xlfn.XLOOKUP(A900,SITE3!$C$4:$C$1034,SITE3!$E$4:$E$1034),_xlpm.cleanRaw,SUBSTITUTE(SUBSTITUTE(_xlpm.raw,"_PIN","."),"PIN","."),_xlpm.mainPart,MID(_xlpm.cleanRaw,2,FIND(".",_xlpm.cleanRaw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504123</v>
      </c>
      <c r="H900" t="str">
        <f>""</f>
        <v/>
      </c>
      <c r="I900" t="str">
        <f>""</f>
        <v/>
      </c>
      <c r="J900" t="str">
        <f t="shared" si="14"/>
        <v>BE47;GPP_S_0_SNDW0_CLK_RGMII_AUXTS_0;;20.8525;21.8502999999999;704123;504123;;</v>
      </c>
    </row>
    <row r="901" spans="1:10">
      <c r="A901" t="s">
        <v>1794</v>
      </c>
      <c r="B901" t="str">
        <f>_xlfn.XLOOKUP(A901,SITE1!$V$4:$V$1034,SITE1!$U$4:$U$1034,"")</f>
        <v>GPP_S_5_SNDW2_DATA_DMIC_CLK_B_1_RGMII_INT_1</v>
      </c>
      <c r="C901" t="str" cm="1">
        <f t="array" ref="C901">_xlfn.TEXTJOIN(",",TRUE,_xlfn.UNIQUE(TRANSPOSE(_xlfn.MAP(_xlfn.XLOOKUP(A901,SITE1!$C$4:$C$1034,SITE1!$F$4:$O$1034,""),_xlfn.LAMBDA(_xlpm.x,IF(_xlpm.x&lt;&gt;"",TRIM(CLEAN(LEFT(_xlpm.x,FIND(".",_xlpm.x &amp; ".")-1))),""))))))</f>
        <v/>
      </c>
      <c r="D901">
        <v>20.637599999999999</v>
      </c>
      <c r="E901">
        <v>22.3047</v>
      </c>
      <c r="F901" t="str">
        <f>_xlfn.LET(_xlpm.raw,_xlfn.XLOOKUP(A901,SITE1!$C$4:$C$1034,SITE1!$E$4:$E$1034),_xlpm.cleanRaw,SUBSTITUTE(SUBSTITUTE(_xlpm.raw,"_PIN","."),"PIN","."),_xlpm.mainPart,MID(_xlpm.cleanRaw,2,FIND(".",_xlpm.cleanRaw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706001</v>
      </c>
      <c r="G901" t="str">
        <f>_xlfn.LET(_xlpm.raw,_xlfn.XLOOKUP(A901,SITE3!$C$4:$C$1034,SITE3!$E$4:$E$1034),_xlpm.cleanRaw,SUBSTITUTE(SUBSTITUTE(_xlpm.raw,"_PIN","."),"PIN","."),_xlpm.mainPart,MID(_xlpm.cleanRaw,2,FIND(".",_xlpm.cleanRaw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506001</v>
      </c>
      <c r="H901" t="str">
        <f>""</f>
        <v/>
      </c>
      <c r="I901" t="str">
        <f>""</f>
        <v/>
      </c>
      <c r="J901" t="str">
        <f t="shared" si="14"/>
        <v>BE48;GPP_S_5_SNDW2_DATA_DMIC_CLK_B_1_RGMII_INT_1;;20.6376;22.3047;706001;506001;;</v>
      </c>
    </row>
    <row r="902" spans="1:10">
      <c r="A902" t="s">
        <v>3894</v>
      </c>
      <c r="B902" t="str">
        <f>_xlfn.XLOOKUP(A902,SITE1!$V$4:$V$1034,SITE1!$U$4:$U$1034,"")</f>
        <v>VSS</v>
      </c>
      <c r="C902" t="str" cm="1">
        <f t="array" ref="C902">_xlfn.TEXTJOIN(",",TRUE,_xlfn.UNIQUE(TRANSPOSE(_xlfn.MAP(_xlfn.XLOOKUP(A902,SITE1!$C$4:$C$1034,SITE1!$F$4:$O$1034,""),_xlfn.LAMBDA(_xlpm.x,IF(_xlpm.x&lt;&gt;"",TRIM(CLEAN(LEFT(_xlpm.x,FIND(".",_xlpm.x &amp; ".")-1))),""))))))</f>
        <v/>
      </c>
      <c r="D902">
        <v>20.599499999999999</v>
      </c>
      <c r="E902">
        <v>22.8066</v>
      </c>
      <c r="F902" t="str">
        <f>_xlfn.LET(_xlpm.raw,_xlfn.XLOOKUP(A902,SITE1!$C$4:$C$1034,SITE1!$E$4:$E$1034),_xlpm.cleanRaw,SUBSTITUTE(SUBSTITUTE(_xlpm.raw,"_PIN","."),"PIN","."),_xlpm.mainPart,MID(_xlpm.cleanRaw,2,FIND(".",_xlpm.cleanRaw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2" t="str">
        <f>_xlfn.LET(_xlpm.raw,_xlfn.XLOOKUP(A902,SITE3!$C$4:$C$1034,SITE3!$E$4:$E$1034),_xlpm.cleanRaw,SUBSTITUTE(SUBSTITUTE(_xlpm.raw,"_PIN","."),"PIN","."),_xlpm.mainPart,MID(_xlpm.cleanRaw,2,FIND(".",_xlpm.cleanRaw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2" t="str">
        <f>""</f>
        <v/>
      </c>
      <c r="I902" t="str">
        <f>""</f>
        <v/>
      </c>
      <c r="J902" t="str">
        <f t="shared" si="14"/>
        <v>BE49;VSS;;20.5995;22.8066;;;;</v>
      </c>
    </row>
    <row r="903" spans="1:10">
      <c r="A903" t="s">
        <v>1234</v>
      </c>
      <c r="B903" t="str">
        <f>_xlfn.XLOOKUP(A903,SITE1!$V$4:$V$1034,SITE1!$U$4:$U$1034,"")</f>
        <v>GPP_E_21_ISH_UART0_CTSB_SML0BALERTB</v>
      </c>
      <c r="C903" t="str" cm="1">
        <f t="array" ref="C903">_xlfn.TEXTJOIN(",",TRUE,_xlfn.UNIQUE(TRANSPOSE(_xlfn.MAP(_xlfn.XLOOKUP(A903,SITE1!$C$4:$C$1034,SITE1!$F$4:$O$1034,""),_xlfn.LAMBDA(_xlpm.x,IF(_xlpm.x&lt;&gt;"",TRIM(CLEAN(LEFT(_xlpm.x,FIND(".",_xlpm.x &amp; ".")-1))),""))))))</f>
        <v/>
      </c>
      <c r="D903">
        <v>20.852499999999999</v>
      </c>
      <c r="E903">
        <v>24.0474</v>
      </c>
      <c r="F903" t="str">
        <f>_xlfn.LET(_xlpm.raw,_xlfn.XLOOKUP(A903,SITE1!$C$4:$C$1034,SITE1!$E$4:$E$1034),_xlpm.cleanRaw,SUBSTITUTE(SUBSTITUTE(_xlpm.raw,"_PIN","."),"PIN","."),_xlpm.mainPart,MID(_xlpm.cleanRaw,2,FIND(".",_xlpm.cleanRaw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702047</v>
      </c>
      <c r="G903" t="str">
        <f>_xlfn.LET(_xlpm.raw,_xlfn.XLOOKUP(A903,SITE3!$C$4:$C$1034,SITE3!$E$4:$E$1034),_xlpm.cleanRaw,SUBSTITUTE(SUBSTITUTE(_xlpm.raw,"_PIN","."),"PIN","."),_xlpm.mainPart,MID(_xlpm.cleanRaw,2,FIND(".",_xlpm.cleanRaw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502047</v>
      </c>
      <c r="H903" t="str">
        <f>""</f>
        <v/>
      </c>
      <c r="I903" t="str">
        <f>""</f>
        <v/>
      </c>
      <c r="J903" t="str">
        <f t="shared" si="14"/>
        <v>BE51;GPP_E_21_ISH_UART0_CTSB_SML0BALERTB;;20.8525;24.0474;702047;502047;;</v>
      </c>
    </row>
    <row r="904" spans="1:10">
      <c r="A904" t="s">
        <v>1189</v>
      </c>
      <c r="B904" t="str">
        <f>_xlfn.XLOOKUP(A904,SITE1!$V$4:$V$1034,SITE1!$U$4:$U$1034,"")</f>
        <v>GPP_E_13_THC0_SPI1_CSB</v>
      </c>
      <c r="C904" t="str" cm="1">
        <f t="array" ref="C904">_xlfn.TEXTJOIN(",",TRUE,_xlfn.UNIQUE(TRANSPOSE(_xlfn.MAP(_xlfn.XLOOKUP(A904,SITE1!$C$4:$C$1034,SITE1!$F$4:$O$1034,""),_xlfn.LAMBDA(_xlpm.x,IF(_xlpm.x&lt;&gt;"",TRIM(CLEAN(LEFT(_xlpm.x,FIND(".",_xlpm.x &amp; ".")-1))),""))))))</f>
        <v/>
      </c>
      <c r="D904">
        <v>20.668199999999999</v>
      </c>
      <c r="E904">
        <v>24.8139</v>
      </c>
      <c r="F904" t="str">
        <f>_xlfn.LET(_xlpm.raw,_xlfn.XLOOKUP(A904,SITE1!$C$4:$C$1034,SITE1!$E$4:$E$1034),_xlpm.cleanRaw,SUBSTITUTE(SUBSTITUTE(_xlpm.raw,"_PIN","."),"PIN","."),_xlpm.mainPart,MID(_xlpm.cleanRaw,2,FIND(".",_xlpm.cleanRaw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601035</v>
      </c>
      <c r="G904" t="str">
        <f>_xlfn.LET(_xlpm.raw,_xlfn.XLOOKUP(A904,SITE3!$C$4:$C$1034,SITE3!$E$4:$E$1034),_xlpm.cleanRaw,SUBSTITUTE(SUBSTITUTE(_xlpm.raw,"_PIN","."),"PIN","."),_xlpm.mainPart,MID(_xlpm.cleanRaw,2,FIND(".",_xlpm.cleanRaw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801035</v>
      </c>
      <c r="H904" t="str">
        <f>""</f>
        <v/>
      </c>
      <c r="I904" t="str">
        <f>""</f>
        <v/>
      </c>
      <c r="J904" t="str">
        <f t="shared" si="14"/>
        <v>BE53;GPP_E_13_THC0_SPI1_CSB;;20.6682;24.8139;601035;801035;;</v>
      </c>
    </row>
    <row r="905" spans="1:10">
      <c r="A905" t="s">
        <v>1244</v>
      </c>
      <c r="B905" t="str">
        <f>_xlfn.XLOOKUP(A905,SITE1!$V$4:$V$1034,SITE1!$U$4:$U$1034,"")</f>
        <v>GPP_E_4_SATA_DEVSLP_0</v>
      </c>
      <c r="C905" t="str" cm="1">
        <f t="array" ref="C905">_xlfn.TEXTJOIN(",",TRUE,_xlfn.UNIQUE(TRANSPOSE(_xlfn.MAP(_xlfn.XLOOKUP(A905,SITE1!$C$4:$C$1034,SITE1!$F$4:$O$1034,""),_xlfn.LAMBDA(_xlpm.x,IF(_xlpm.x&lt;&gt;"",TRIM(CLEAN(LEFT(_xlpm.x,FIND(".",_xlpm.x &amp; ".")-1))),""))))))</f>
        <v/>
      </c>
      <c r="D905">
        <v>20.601900000000001</v>
      </c>
      <c r="E905">
        <v>25.580100000000002</v>
      </c>
      <c r="F905" t="str">
        <f>_xlfn.LET(_xlpm.raw,_xlfn.XLOOKUP(A905,SITE1!$C$4:$C$1034,SITE1!$E$4:$E$1034),_xlpm.cleanRaw,SUBSTITUTE(SUBSTITUTE(_xlpm.raw,"_PIN","."),"PIN","."),_xlpm.mainPart,MID(_xlpm.cleanRaw,2,FIND(".",_xlpm.cleanRaw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601005</v>
      </c>
      <c r="G905" t="str">
        <f>_xlfn.LET(_xlpm.raw,_xlfn.XLOOKUP(A905,SITE3!$C$4:$C$1034,SITE3!$E$4:$E$1034),_xlpm.cleanRaw,SUBSTITUTE(SUBSTITUTE(_xlpm.raw,"_PIN","."),"PIN","."),_xlpm.mainPart,MID(_xlpm.cleanRaw,2,FIND(".",_xlpm.cleanRaw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801005</v>
      </c>
      <c r="H905" t="str">
        <f>""</f>
        <v/>
      </c>
      <c r="I905" t="str">
        <f>""</f>
        <v/>
      </c>
      <c r="J905" t="str">
        <f t="shared" si="14"/>
        <v>BE55;GPP_E_4_SATA_DEVSLP_0;;20.6019;25.5801;601005;801005;;</v>
      </c>
    </row>
    <row r="906" spans="1:10">
      <c r="A906" t="s">
        <v>3583</v>
      </c>
      <c r="B906" t="str">
        <f>_xlfn.XLOOKUP(A906,SITE1!$V$4:$V$1034,SITE1!$U$4:$U$1034,"")</f>
        <v>VCCPDSW_3P3</v>
      </c>
      <c r="C906" t="str" cm="1">
        <f t="array" ref="C906">_xlfn.TEXTJOIN(",",TRUE,_xlfn.UNIQUE(TRANSPOSE(_xlfn.MAP(_xlfn.XLOOKUP(A906,SITE1!$C$4:$C$1034,SITE1!$F$4:$O$1034,""),_xlfn.LAMBDA(_xlpm.x,IF(_xlpm.x&lt;&gt;"",TRIM(CLEAN(LEFT(_xlpm.x,FIND(".",_xlpm.x &amp; ".")-1))),""))))))</f>
        <v/>
      </c>
      <c r="D906">
        <v>20.597200000000001</v>
      </c>
      <c r="E906">
        <v>26.3611</v>
      </c>
      <c r="F906" t="str">
        <f>_xlfn.LET(_xlpm.raw,_xlfn.XLOOKUP(A906,SITE1!$C$4:$C$1034,SITE1!$E$4:$E$1034),_xlpm.cleanRaw,SUBSTITUTE(SUBSTITUTE(_xlpm.raw,"_PIN","."),"PIN","."),_xlpm.mainPart,MID(_xlpm.cleanRaw,2,FIND(".",_xlpm.cleanRaw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6" t="str">
        <f>_xlfn.LET(_xlpm.raw,_xlfn.XLOOKUP(A906,SITE3!$C$4:$C$1034,SITE3!$E$4:$E$1034),_xlpm.cleanRaw,SUBSTITUTE(SUBSTITUTE(_xlpm.raw,"_PIN","."),"PIN","."),_xlpm.mainPart,MID(_xlpm.cleanRaw,2,FIND(".",_xlpm.cleanRaw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6" t="str">
        <f>""</f>
        <v/>
      </c>
      <c r="I906" t="str">
        <f>""</f>
        <v/>
      </c>
      <c r="J906" t="str">
        <f t="shared" si="14"/>
        <v>BE56;VCCPDSW_3P3;;20.5972;26.3611;;;;</v>
      </c>
    </row>
    <row r="907" spans="1:10">
      <c r="A907" t="s">
        <v>3895</v>
      </c>
      <c r="B907" t="str">
        <f>_xlfn.XLOOKUP(A907,SITE1!$V$4:$V$1034,SITE1!$U$4:$U$1034,"")</f>
        <v>VSS</v>
      </c>
      <c r="C907" t="str" cm="1">
        <f t="array" ref="C907">_xlfn.TEXTJOIN(",",TRUE,_xlfn.UNIQUE(TRANSPOSE(_xlfn.MAP(_xlfn.XLOOKUP(A907,SITE1!$C$4:$C$1034,SITE1!$F$4:$O$1034,""),_xlfn.LAMBDA(_xlpm.x,IF(_xlpm.x&lt;&gt;"",TRIM(CLEAN(LEFT(_xlpm.x,FIND(".",_xlpm.x &amp; ".")-1))),""))))))</f>
        <v/>
      </c>
      <c r="D907">
        <v>20.497599999999998</v>
      </c>
      <c r="E907">
        <v>26.8782</v>
      </c>
      <c r="F907" t="str">
        <f>_xlfn.LET(_xlpm.raw,_xlfn.XLOOKUP(A907,SITE1!$C$4:$C$1034,SITE1!$E$4:$E$1034),_xlpm.cleanRaw,SUBSTITUTE(SUBSTITUTE(_xlpm.raw,"_PIN","."),"PIN","."),_xlpm.mainPart,MID(_xlpm.cleanRaw,2,FIND(".",_xlpm.cleanRaw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7" t="str">
        <f>_xlfn.LET(_xlpm.raw,_xlfn.XLOOKUP(A907,SITE3!$C$4:$C$1034,SITE3!$E$4:$E$1034),_xlpm.cleanRaw,SUBSTITUTE(SUBSTITUTE(_xlpm.raw,"_PIN","."),"PIN","."),_xlpm.mainPart,MID(_xlpm.cleanRaw,2,FIND(".",_xlpm.cleanRaw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7" t="str">
        <f>""</f>
        <v/>
      </c>
      <c r="I907" t="str">
        <f>""</f>
        <v/>
      </c>
      <c r="J907" t="str">
        <f t="shared" si="14"/>
        <v>BE57;VSS;;20.4976;26.8782;;;;</v>
      </c>
    </row>
    <row r="908" spans="1:10">
      <c r="A908" t="s">
        <v>3540</v>
      </c>
      <c r="B908" t="str">
        <f>_xlfn.XLOOKUP(A908,SITE1!$V$4:$V$1034,SITE1!$U$4:$U$1034,"")</f>
        <v>VCCCNVI_LDO_0P4</v>
      </c>
      <c r="C908" t="str" cm="1">
        <f t="array" ref="C908">_xlfn.TEXTJOIN(",",TRUE,_xlfn.UNIQUE(TRANSPOSE(_xlfn.MAP(_xlfn.XLOOKUP(A908,SITE1!$C$4:$C$1034,SITE1!$F$4:$O$1034,""),_xlfn.LAMBDA(_xlpm.x,IF(_xlpm.x&lt;&gt;"",TRIM(CLEAN(LEFT(_xlpm.x,FIND(".",_xlpm.x &amp; ".")-1))),""))))))</f>
        <v/>
      </c>
      <c r="D908">
        <v>20.9983</v>
      </c>
      <c r="E908">
        <v>0</v>
      </c>
      <c r="F908" t="str">
        <f>_xlfn.LET(_xlpm.raw,_xlfn.XLOOKUP(A908,SITE1!$C$4:$C$1034,SITE1!$E$4:$E$1034),_xlpm.cleanRaw,SUBSTITUTE(SUBSTITUTE(_xlpm.raw,"_PIN","."),"PIN","."),_xlpm.mainPart,MID(_xlpm.cleanRaw,2,FIND(".",_xlpm.cleanRaw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605044</v>
      </c>
      <c r="G908" t="str">
        <f>_xlfn.LET(_xlpm.raw,_xlfn.XLOOKUP(A908,SITE3!$C$4:$C$1034,SITE3!$E$4:$E$1034),_xlpm.cleanRaw,SUBSTITUTE(SUBSTITUTE(_xlpm.raw,"_PIN","."),"PIN","."),_xlpm.mainPart,MID(_xlpm.cleanRaw,2,FIND(".",_xlpm.cleanRaw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805044</v>
      </c>
      <c r="H908" t="str">
        <f>""</f>
        <v/>
      </c>
      <c r="I908" t="str">
        <f>""</f>
        <v/>
      </c>
      <c r="J908" t="str">
        <f t="shared" si="14"/>
        <v>BF1;VCCCNVI_LDO_0P4;;20.9983;0;605044;805044;;</v>
      </c>
    </row>
    <row r="909" spans="1:10">
      <c r="A909" t="s">
        <v>3541</v>
      </c>
      <c r="B909" t="str">
        <f>_xlfn.XLOOKUP(A909,SITE1!$V$4:$V$1034,SITE1!$U$4:$U$1034,"")</f>
        <v>VCCCNVI_LDO_0P4</v>
      </c>
      <c r="C909" t="str" cm="1">
        <f t="array" ref="C909">_xlfn.TEXTJOIN(",",TRUE,_xlfn.UNIQUE(TRANSPOSE(_xlfn.MAP(_xlfn.XLOOKUP(A909,SITE1!$C$4:$C$1034,SITE1!$F$4:$O$1034,""),_xlfn.LAMBDA(_xlpm.x,IF(_xlpm.x&lt;&gt;"",TRIM(CLEAN(LEFT(_xlpm.x,FIND(".",_xlpm.x &amp; ".")-1))),""))))))</f>
        <v/>
      </c>
      <c r="D909">
        <v>21.235499999999998</v>
      </c>
      <c r="E909">
        <v>0.46629999999999999</v>
      </c>
      <c r="F909" t="str">
        <f>_xlfn.LET(_xlpm.raw,_xlfn.XLOOKUP(A909,SITE1!$C$4:$C$1034,SITE1!$E$4:$E$1034),_xlpm.cleanRaw,SUBSTITUTE(SUBSTITUTE(_xlpm.raw,"_PIN","."),"PIN","."),_xlpm.mainPart,MID(_xlpm.cleanRaw,2,FIND(".",_xlpm.cleanRaw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605044</v>
      </c>
      <c r="G909" t="str">
        <f>_xlfn.LET(_xlpm.raw,_xlfn.XLOOKUP(A909,SITE3!$C$4:$C$1034,SITE3!$E$4:$E$1034),_xlpm.cleanRaw,SUBSTITUTE(SUBSTITUTE(_xlpm.raw,"_PIN","."),"PIN","."),_xlpm.mainPart,MID(_xlpm.cleanRaw,2,FIND(".",_xlpm.cleanRaw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805044</v>
      </c>
      <c r="H909" t="str">
        <f>""</f>
        <v/>
      </c>
      <c r="I909" t="str">
        <f>""</f>
        <v/>
      </c>
      <c r="J909" t="str">
        <f t="shared" si="14"/>
        <v>BF2;VCCCNVI_LDO_0P4;;21.2355;0.4663;605044;805044;;</v>
      </c>
    </row>
    <row r="910" spans="1:10">
      <c r="A910" t="s">
        <v>3910</v>
      </c>
      <c r="B910" t="str">
        <f>_xlfn.XLOOKUP(A910,SITE1!$V$4:$V$1034,SITE1!$U$4:$U$1034,"")</f>
        <v>VSS</v>
      </c>
      <c r="C910" t="str" cm="1">
        <f t="array" ref="C910">_xlfn.TEXTJOIN(",",TRUE,_xlfn.UNIQUE(TRANSPOSE(_xlfn.MAP(_xlfn.XLOOKUP(A910,SITE1!$C$4:$C$1034,SITE1!$F$4:$O$1034,""),_xlfn.LAMBDA(_xlpm.x,IF(_xlpm.x&lt;&gt;"",TRIM(CLEAN(LEFT(_xlpm.x,FIND(".",_xlpm.x &amp; ".")-1))),""))))))</f>
        <v/>
      </c>
      <c r="D910">
        <v>20.9619</v>
      </c>
      <c r="E910">
        <v>1.6520999999999899</v>
      </c>
      <c r="F910" t="str">
        <f>_xlfn.LET(_xlpm.raw,_xlfn.XLOOKUP(A910,SITE1!$C$4:$C$1034,SITE1!$E$4:$E$1034),_xlpm.cleanRaw,SUBSTITUTE(SUBSTITUTE(_xlpm.raw,"_PIN","."),"PIN","."),_xlpm.mainPart,MID(_xlpm.cleanRaw,2,FIND(".",_xlpm.cleanRaw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10" t="str">
        <f>_xlfn.LET(_xlpm.raw,_xlfn.XLOOKUP(A910,SITE3!$C$4:$C$1034,SITE3!$E$4:$E$1034),_xlpm.cleanRaw,SUBSTITUTE(SUBSTITUTE(_xlpm.raw,"_PIN","."),"PIN","."),_xlpm.mainPart,MID(_xlpm.cleanRaw,2,FIND(".",_xlpm.cleanRaw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10" t="str">
        <f>""</f>
        <v/>
      </c>
      <c r="I910" t="str">
        <f>""</f>
        <v/>
      </c>
      <c r="J910" t="str">
        <f t="shared" si="14"/>
        <v>BF4;VSS;;20.9619;1.65209999999999;;;;</v>
      </c>
    </row>
    <row r="911" spans="1:10">
      <c r="A911" t="s">
        <v>1048</v>
      </c>
      <c r="B911" t="str">
        <f>_xlfn.XLOOKUP(A911,SITE1!$V$4:$V$1034,SITE1!$U$4:$U$1034,"")</f>
        <v>GPP_D_1_SRCCLKREQB_1</v>
      </c>
      <c r="C911" t="str" cm="1">
        <f t="array" ref="C911">_xlfn.TEXTJOIN(",",TRUE,_xlfn.UNIQUE(TRANSPOSE(_xlfn.MAP(_xlfn.XLOOKUP(A911,SITE1!$C$4:$C$1034,SITE1!$F$4:$O$1034,""),_xlfn.LAMBDA(_xlpm.x,IF(_xlpm.x&lt;&gt;"",TRIM(CLEAN(LEFT(_xlpm.x,FIND(".",_xlpm.x &amp; ".")-1))),""))))))</f>
        <v/>
      </c>
      <c r="D911">
        <v>21.352899999999899</v>
      </c>
      <c r="E911">
        <v>2.7494999999999901</v>
      </c>
      <c r="F911" t="str">
        <f>_xlfn.LET(_xlpm.raw,_xlfn.XLOOKUP(A911,SITE1!$C$4:$C$1034,SITE1!$E$4:$E$1034),_xlpm.cleanRaw,SUBSTITUTE(SUBSTITUTE(_xlpm.raw,"_PIN","."),"PIN","."),_xlpm.mainPart,MID(_xlpm.cleanRaw,2,FIND(".",_xlpm.cleanRaw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605072</v>
      </c>
      <c r="G911" t="str">
        <f>_xlfn.LET(_xlpm.raw,_xlfn.XLOOKUP(A911,SITE3!$C$4:$C$1034,SITE3!$E$4:$E$1034),_xlpm.cleanRaw,SUBSTITUTE(SUBSTITUTE(_xlpm.raw,"_PIN","."),"PIN","."),_xlpm.mainPart,MID(_xlpm.cleanRaw,2,FIND(".",_xlpm.cleanRaw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805072</v>
      </c>
      <c r="H911" t="str">
        <f>""</f>
        <v/>
      </c>
      <c r="I911" t="str">
        <f>""</f>
        <v/>
      </c>
      <c r="J911" t="str">
        <f t="shared" si="14"/>
        <v>BF7;GPP_D_1_SRCCLKREQB_1;;21.3528999999999;2.74949999999999;605072;805072;;</v>
      </c>
    </row>
    <row r="912" spans="1:10">
      <c r="A912" t="s">
        <v>1118</v>
      </c>
      <c r="B912" t="str">
        <f>_xlfn.XLOOKUP(A912,SITE1!$V$4:$V$1034,SITE1!$U$4:$U$1034,"")</f>
        <v>GPP_D_22_UART3_RTSB_THC1_SPI2_RSTB</v>
      </c>
      <c r="C912" t="str" cm="1">
        <f t="array" ref="C912">_xlfn.TEXTJOIN(",",TRUE,_xlfn.UNIQUE(TRANSPOSE(_xlfn.MAP(_xlfn.XLOOKUP(A912,SITE1!$C$4:$C$1034,SITE1!$F$4:$O$1034,""),_xlfn.LAMBDA(_xlpm.x,IF(_xlpm.x&lt;&gt;"",TRIM(CLEAN(LEFT(_xlpm.x,FIND(".",_xlpm.x &amp; ".")-1))),""))))))</f>
        <v/>
      </c>
      <c r="D912">
        <v>21.2256</v>
      </c>
      <c r="E912">
        <v>3.4579</v>
      </c>
      <c r="F912" t="str">
        <f>_xlfn.LET(_xlpm.raw,_xlfn.XLOOKUP(A912,SITE1!$C$4:$C$1034,SITE1!$E$4:$E$1034),_xlpm.cleanRaw,SUBSTITUTE(SUBSTITUTE(_xlpm.raw,"_PIN","."),"PIN","."),_xlpm.mainPart,MID(_xlpm.cleanRaw,2,FIND(".",_xlpm.cleanRaw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605073</v>
      </c>
      <c r="G912" t="str">
        <f>_xlfn.LET(_xlpm.raw,_xlfn.XLOOKUP(A912,SITE3!$C$4:$C$1034,SITE3!$E$4:$E$1034),_xlpm.cleanRaw,SUBSTITUTE(SUBSTITUTE(_xlpm.raw,"_PIN","."),"PIN","."),_xlpm.mainPart,MID(_xlpm.cleanRaw,2,FIND(".",_xlpm.cleanRaw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805073</v>
      </c>
      <c r="H912" t="str">
        <f>""</f>
        <v/>
      </c>
      <c r="I912" t="str">
        <f>""</f>
        <v/>
      </c>
      <c r="J912" t="str">
        <f t="shared" si="14"/>
        <v>BF8;GPP_D_22_UART3_RTSB_THC1_SPI2_RSTB;;21.2256;3.4579;605073;805073;;</v>
      </c>
    </row>
    <row r="913" spans="1:10">
      <c r="A913" t="s">
        <v>1088</v>
      </c>
      <c r="B913" t="str">
        <f>_xlfn.XLOOKUP(A913,SITE1!$V$4:$V$1034,SITE1!$U$4:$U$1034,"")</f>
        <v>GPP_D_17_GSPI3_CLK_THC1_SPI2_CLK</v>
      </c>
      <c r="C913" t="str" cm="1">
        <f t="array" ref="C913">_xlfn.TEXTJOIN(",",TRUE,_xlfn.UNIQUE(TRANSPOSE(_xlfn.MAP(_xlfn.XLOOKUP(A913,SITE1!$C$4:$C$1034,SITE1!$F$4:$O$1034,""),_xlfn.LAMBDA(_xlpm.x,IF(_xlpm.x&lt;&gt;"",TRIM(CLEAN(LEFT(_xlpm.x,FIND(".",_xlpm.x &amp; ".")-1))),""))))))</f>
        <v/>
      </c>
      <c r="D913">
        <v>21.0989</v>
      </c>
      <c r="E913">
        <v>3.9584999999999901</v>
      </c>
      <c r="F913" t="str">
        <f>_xlfn.LET(_xlpm.raw,_xlfn.XLOOKUP(A913,SITE1!$C$4:$C$1034,SITE1!$E$4:$E$1034),_xlpm.cleanRaw,SUBSTITUTE(SUBSTITUTE(_xlpm.raw,"_PIN","."),"PIN","."),_xlpm.mainPart,MID(_xlpm.cleanRaw,2,FIND(".",_xlpm.cleanRaw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602074</v>
      </c>
      <c r="G913" t="str">
        <f>_xlfn.LET(_xlpm.raw,_xlfn.XLOOKUP(A913,SITE3!$C$4:$C$1034,SITE3!$E$4:$E$1034),_xlpm.cleanRaw,SUBSTITUTE(SUBSTITUTE(_xlpm.raw,"_PIN","."),"PIN","."),_xlpm.mainPart,MID(_xlpm.cleanRaw,2,FIND(".",_xlpm.cleanRaw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802074</v>
      </c>
      <c r="H913" t="str">
        <f>""</f>
        <v/>
      </c>
      <c r="I913" t="str">
        <f>""</f>
        <v/>
      </c>
      <c r="J913" t="str">
        <f t="shared" si="14"/>
        <v>BF9;GPP_D_17_GSPI3_CLK_THC1_SPI2_CLK;;21.0989;3.95849999999999;602074;802074;;</v>
      </c>
    </row>
    <row r="914" spans="1:10">
      <c r="A914" t="s">
        <v>1093</v>
      </c>
      <c r="B914" t="str">
        <f>_xlfn.XLOOKUP(A914,SITE1!$V$4:$V$1034,SITE1!$U$4:$U$1034,"")</f>
        <v>GPP_D_18_GSPI3_MISO_THC1_SPI2_IO_0</v>
      </c>
      <c r="C914" t="str" cm="1">
        <f t="array" ref="C914">_xlfn.TEXTJOIN(",",TRUE,_xlfn.UNIQUE(TRANSPOSE(_xlfn.MAP(_xlfn.XLOOKUP(A914,SITE1!$C$4:$C$1034,SITE1!$F$4:$O$1034,""),_xlfn.LAMBDA(_xlpm.x,IF(_xlpm.x&lt;&gt;"",TRIM(CLEAN(LEFT(_xlpm.x,FIND(".",_xlpm.x &amp; ".")-1))),""))))))</f>
        <v/>
      </c>
      <c r="D914">
        <v>21.157800000000002</v>
      </c>
      <c r="E914">
        <v>4.4814999999999996</v>
      </c>
      <c r="F914" t="str">
        <f>_xlfn.LET(_xlpm.raw,_xlfn.XLOOKUP(A914,SITE1!$C$4:$C$1034,SITE1!$E$4:$E$1034),_xlpm.cleanRaw,SUBSTITUTE(SUBSTITUTE(_xlpm.raw,"_PIN","."),"PIN","."),_xlpm.mainPart,MID(_xlpm.cleanRaw,2,FIND(".",_xlpm.cleanRaw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601013</v>
      </c>
      <c r="G914" t="str">
        <f>_xlfn.LET(_xlpm.raw,_xlfn.XLOOKUP(A914,SITE3!$C$4:$C$1034,SITE3!$E$4:$E$1034),_xlpm.cleanRaw,SUBSTITUTE(SUBSTITUTE(_xlpm.raw,"_PIN","."),"PIN","."),_xlpm.mainPart,MID(_xlpm.cleanRaw,2,FIND(".",_xlpm.cleanRaw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801013</v>
      </c>
      <c r="H914" t="str">
        <f>""</f>
        <v/>
      </c>
      <c r="I914" t="str">
        <f>""</f>
        <v/>
      </c>
      <c r="J914" t="str">
        <f t="shared" si="14"/>
        <v>BF10;GPP_D_18_GSPI3_MISO_THC1_SPI2_IO_0;;21.1578;4.4815;601013;801013;;</v>
      </c>
    </row>
    <row r="915" spans="1:10">
      <c r="A915" t="s">
        <v>1058</v>
      </c>
      <c r="B915" t="str">
        <f>_xlfn.XLOOKUP(A915,SITE1!$V$4:$V$1034,SITE1!$U$4:$U$1034,"")</f>
        <v>GPP_D_11_SRCCLKREQB_4</v>
      </c>
      <c r="C915" t="str" cm="1">
        <f t="array" ref="C915">_xlfn.TEXTJOIN(",",TRUE,_xlfn.UNIQUE(TRANSPOSE(_xlfn.MAP(_xlfn.XLOOKUP(A915,SITE1!$C$4:$C$1034,SITE1!$F$4:$O$1034,""),_xlfn.LAMBDA(_xlpm.x,IF(_xlpm.x&lt;&gt;"",TRIM(CLEAN(LEFT(_xlpm.x,FIND(".",_xlpm.x &amp; ".")-1))),""))))))</f>
        <v/>
      </c>
      <c r="D915">
        <v>21.352899999999899</v>
      </c>
      <c r="E915">
        <v>4.9466000000000001</v>
      </c>
      <c r="F915" t="str">
        <f>_xlfn.LET(_xlpm.raw,_xlfn.XLOOKUP(A915,SITE1!$C$4:$C$1034,SITE1!$E$4:$E$1034),_xlpm.cleanRaw,SUBSTITUTE(SUBSTITUTE(_xlpm.raw,"_PIN","."),"PIN","."),_xlpm.mainPart,MID(_xlpm.cleanRaw,2,FIND(".",_xlpm.cleanRaw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603099</v>
      </c>
      <c r="G915" t="str">
        <f>_xlfn.LET(_xlpm.raw,_xlfn.XLOOKUP(A915,SITE3!$C$4:$C$1034,SITE3!$E$4:$E$1034),_xlpm.cleanRaw,SUBSTITUTE(SUBSTITUTE(_xlpm.raw,"_PIN","."),"PIN","."),_xlpm.mainPart,MID(_xlpm.cleanRaw,2,FIND(".",_xlpm.cleanRaw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803099</v>
      </c>
      <c r="H915" t="str">
        <f>""</f>
        <v/>
      </c>
      <c r="I915" t="str">
        <f>""</f>
        <v/>
      </c>
      <c r="J915" t="str">
        <f t="shared" si="14"/>
        <v>BF11;GPP_D_11_SRCCLKREQB_4;;21.3528999999999;4.9466;603099;803099;;</v>
      </c>
    </row>
    <row r="916" spans="1:10">
      <c r="A916" t="s">
        <v>3897</v>
      </c>
      <c r="B916" t="str">
        <f>_xlfn.XLOOKUP(A916,SITE1!$V$4:$V$1034,SITE1!$U$4:$U$1034,"")</f>
        <v>VSS</v>
      </c>
      <c r="C916" t="str" cm="1">
        <f t="array" ref="C916">_xlfn.TEXTJOIN(",",TRUE,_xlfn.UNIQUE(TRANSPOSE(_xlfn.MAP(_xlfn.XLOOKUP(A916,SITE1!$C$4:$C$1034,SITE1!$F$4:$O$1034,""),_xlfn.LAMBDA(_xlpm.x,IF(_xlpm.x&lt;&gt;"",TRIM(CLEAN(LEFT(_xlpm.x,FIND(".",_xlpm.x &amp; ".")-1))),""))))))</f>
        <v/>
      </c>
      <c r="D916">
        <v>21.2256</v>
      </c>
      <c r="E916">
        <v>5.6550000000000002</v>
      </c>
      <c r="F916" t="str">
        <f>_xlfn.LET(_xlpm.raw,_xlfn.XLOOKUP(A916,SITE1!$C$4:$C$1034,SITE1!$E$4:$E$1034),_xlpm.cleanRaw,SUBSTITUTE(SUBSTITUTE(_xlpm.raw,"_PIN","."),"PIN","."),_xlpm.mainPart,MID(_xlpm.cleanRaw,2,FIND(".",_xlpm.cleanRaw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16" t="str">
        <f>_xlfn.LET(_xlpm.raw,_xlfn.XLOOKUP(A916,SITE3!$C$4:$C$1034,SITE3!$E$4:$E$1034),_xlpm.cleanRaw,SUBSTITUTE(SUBSTITUTE(_xlpm.raw,"_PIN","."),"PIN","."),_xlpm.mainPart,MID(_xlpm.cleanRaw,2,FIND(".",_xlpm.cleanRaw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16" t="str">
        <f>""</f>
        <v/>
      </c>
      <c r="I916" t="str">
        <f>""</f>
        <v/>
      </c>
      <c r="J916" t="str">
        <f t="shared" si="14"/>
        <v>BF13;VSS;;21.2256;5.655;;;;</v>
      </c>
    </row>
    <row r="917" spans="1:10">
      <c r="A917" t="s">
        <v>277</v>
      </c>
      <c r="B917" t="str">
        <f>_xlfn.XLOOKUP(A917,SITE1!$V$4:$V$1034,SITE1!$U$4:$U$1034,"")</f>
        <v>CNV_WT_CLKN</v>
      </c>
      <c r="C917" t="str" cm="1">
        <f t="array" ref="C917">_xlfn.TEXTJOIN(",",TRUE,_xlfn.UNIQUE(TRANSPOSE(_xlfn.MAP(_xlfn.XLOOKUP(A917,SITE1!$C$4:$C$1034,SITE1!$F$4:$O$1034,""),_xlfn.LAMBDA(_xlpm.x,IF(_xlpm.x&lt;&gt;"",TRIM(CLEAN(LEFT(_xlpm.x,FIND(".",_xlpm.x &amp; ".")-1))),""))))))</f>
        <v>UA121</v>
      </c>
      <c r="D917">
        <v>21.0989</v>
      </c>
      <c r="E917">
        <v>6.1555999999999997</v>
      </c>
      <c r="F917" t="str">
        <f>_xlfn.LET(_xlpm.raw,_xlfn.XLOOKUP(A917,SITE1!$C$4:$C$1034,SITE1!$E$4:$E$1034),_xlpm.cleanRaw,SUBSTITUTE(SUBSTITUTE(_xlpm.raw,"_PIN","."),"PIN","."),_xlpm.mainPart,MID(_xlpm.cleanRaw,2,FIND(".",_xlpm.cleanRaw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603112</v>
      </c>
      <c r="G917" t="str">
        <f>_xlfn.LET(_xlpm.raw,_xlfn.XLOOKUP(A917,SITE3!$C$4:$C$1034,SITE3!$E$4:$E$1034),_xlpm.cleanRaw,SUBSTITUTE(SUBSTITUTE(_xlpm.raw,"_PIN","."),"PIN","."),_xlpm.mainPart,MID(_xlpm.cleanRaw,2,FIND(".",_xlpm.cleanRaw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803112</v>
      </c>
      <c r="H917" t="str">
        <f>""</f>
        <v/>
      </c>
      <c r="I917" t="str">
        <f>""</f>
        <v/>
      </c>
      <c r="J917" t="str">
        <f t="shared" si="14"/>
        <v>BF14;CNV_WT_CLKN;UA121;21.0989;6.1556;603112;803112;;</v>
      </c>
    </row>
    <row r="918" spans="1:10">
      <c r="A918" t="s">
        <v>321</v>
      </c>
      <c r="B918" t="str">
        <f>_xlfn.XLOOKUP(A918,SITE1!$V$4:$V$1034,SITE1!$U$4:$U$1034,"")</f>
        <v>CNV_WT_D1P</v>
      </c>
      <c r="C918" t="str" cm="1">
        <f t="array" ref="C918">_xlfn.TEXTJOIN(",",TRUE,_xlfn.UNIQUE(TRANSPOSE(_xlfn.MAP(_xlfn.XLOOKUP(A918,SITE1!$C$4:$C$1034,SITE1!$F$4:$O$1034,""),_xlfn.LAMBDA(_xlpm.x,IF(_xlpm.x&lt;&gt;"",TRIM(CLEAN(LEFT(_xlpm.x,FIND(".",_xlpm.x &amp; ".")-1))),""))))))</f>
        <v>UA123,KA122</v>
      </c>
      <c r="D918">
        <v>21.157800000000002</v>
      </c>
      <c r="E918">
        <v>6.6785999999999897</v>
      </c>
      <c r="F918" t="str">
        <f>_xlfn.LET(_xlpm.raw,_xlfn.XLOOKUP(A918,SITE1!$C$4:$C$1034,SITE1!$E$4:$E$1034),_xlpm.cleanRaw,SUBSTITUTE(SUBSTITUTE(_xlpm.raw,"_PIN","."),"PIN","."),_xlpm.mainPart,MID(_xlpm.cleanRaw,2,FIND(".",_xlpm.cleanRaw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605053</v>
      </c>
      <c r="G918" t="str">
        <f>_xlfn.LET(_xlpm.raw,_xlfn.XLOOKUP(A918,SITE3!$C$4:$C$1034,SITE3!$E$4:$E$1034),_xlpm.cleanRaw,SUBSTITUTE(SUBSTITUTE(_xlpm.raw,"_PIN","."),"PIN","."),_xlpm.mainPart,MID(_xlpm.cleanRaw,2,FIND(".",_xlpm.cleanRaw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805053</v>
      </c>
      <c r="H918" t="str">
        <f>""</f>
        <v/>
      </c>
      <c r="I918" t="str">
        <f>""</f>
        <v/>
      </c>
      <c r="J918" t="str">
        <f t="shared" si="14"/>
        <v>BF15;CNV_WT_D1P;UA123,KA122;21.1578;6.67859999999999;605053;805053;;</v>
      </c>
    </row>
    <row r="919" spans="1:10">
      <c r="A919" t="s">
        <v>293</v>
      </c>
      <c r="B919" t="str">
        <f>_xlfn.XLOOKUP(A919,SITE1!$V$4:$V$1034,SITE1!$U$4:$U$1034,"")</f>
        <v>CNV_WT_D0N</v>
      </c>
      <c r="C919" t="str" cm="1">
        <f t="array" ref="C919">_xlfn.TEXTJOIN(",",TRUE,_xlfn.UNIQUE(TRANSPOSE(_xlfn.MAP(_xlfn.XLOOKUP(A919,SITE1!$C$4:$C$1034,SITE1!$F$4:$O$1034,""),_xlfn.LAMBDA(_xlpm.x,IF(_xlpm.x&lt;&gt;"",TRIM(CLEAN(LEFT(_xlpm.x,FIND(".",_xlpm.x &amp; ".")-1))),""))))))</f>
        <v>UA122,RA121</v>
      </c>
      <c r="D919">
        <v>21.352899999999899</v>
      </c>
      <c r="E919">
        <v>7.1436999999999999</v>
      </c>
      <c r="F919" t="str">
        <f>_xlfn.LET(_xlpm.raw,_xlfn.XLOOKUP(A919,SITE1!$C$4:$C$1034,SITE1!$E$4:$E$1034),_xlpm.cleanRaw,SUBSTITUTE(SUBSTITUTE(_xlpm.raw,"_PIN","."),"PIN","."),_xlpm.mainPart,MID(_xlpm.cleanRaw,2,FIND(".",_xlpm.cleanRaw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606089</v>
      </c>
      <c r="G919" t="str">
        <f>_xlfn.LET(_xlpm.raw,_xlfn.XLOOKUP(A919,SITE3!$C$4:$C$1034,SITE3!$E$4:$E$1034),_xlpm.cleanRaw,SUBSTITUTE(SUBSTITUTE(_xlpm.raw,"_PIN","."),"PIN","."),_xlpm.mainPart,MID(_xlpm.cleanRaw,2,FIND(".",_xlpm.cleanRaw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806089</v>
      </c>
      <c r="H919" t="str">
        <f>""</f>
        <v/>
      </c>
      <c r="I919" t="str">
        <f>""</f>
        <v/>
      </c>
      <c r="J919" t="str">
        <f t="shared" si="14"/>
        <v>BF16;CNV_WT_D0N;UA122,RA121;21.3528999999999;7.1437;606089;806089;;</v>
      </c>
    </row>
    <row r="920" spans="1:10">
      <c r="A920" t="s">
        <v>3898</v>
      </c>
      <c r="B920" t="str">
        <f>_xlfn.XLOOKUP(A920,SITE1!$V$4:$V$1034,SITE1!$U$4:$U$1034,"")</f>
        <v>VSS</v>
      </c>
      <c r="C920" t="str" cm="1">
        <f t="array" ref="C920">_xlfn.TEXTJOIN(",",TRUE,_xlfn.UNIQUE(TRANSPOSE(_xlfn.MAP(_xlfn.XLOOKUP(A920,SITE1!$C$4:$C$1034,SITE1!$F$4:$O$1034,""),_xlfn.LAMBDA(_xlpm.x,IF(_xlpm.x&lt;&gt;"",TRIM(CLEAN(LEFT(_xlpm.x,FIND(".",_xlpm.x &amp; ".")-1))),""))))))</f>
        <v/>
      </c>
      <c r="D920">
        <v>21.1372</v>
      </c>
      <c r="E920">
        <v>8.6632999999999996</v>
      </c>
      <c r="F920" t="str">
        <f>_xlfn.LET(_xlpm.raw,_xlfn.XLOOKUP(A920,SITE1!$C$4:$C$1034,SITE1!$E$4:$E$1034),_xlpm.cleanRaw,SUBSTITUTE(SUBSTITUTE(_xlpm.raw,"_PIN","."),"PIN","."),_xlpm.mainPart,MID(_xlpm.cleanRaw,2,FIND(".",_xlpm.cleanRaw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20" t="str">
        <f>_xlfn.LET(_xlpm.raw,_xlfn.XLOOKUP(A920,SITE3!$C$4:$C$1034,SITE3!$E$4:$E$1034),_xlpm.cleanRaw,SUBSTITUTE(SUBSTITUTE(_xlpm.raw,"_PIN","."),"PIN","."),_xlpm.mainPart,MID(_xlpm.cleanRaw,2,FIND(".",_xlpm.cleanRaw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20" t="str">
        <f>""</f>
        <v/>
      </c>
      <c r="I920" t="str">
        <f>""</f>
        <v/>
      </c>
      <c r="J920" t="str">
        <f t="shared" si="14"/>
        <v>BF19;VSS;;21.1372;8.6633;;;;</v>
      </c>
    </row>
    <row r="921" spans="1:10">
      <c r="A921" t="s">
        <v>3899</v>
      </c>
      <c r="B921" t="str">
        <f>_xlfn.XLOOKUP(A921,SITE1!$V$4:$V$1034,SITE1!$U$4:$U$1034,"")</f>
        <v>VSS</v>
      </c>
      <c r="C921" t="str" cm="1">
        <f t="array" ref="C921">_xlfn.TEXTJOIN(",",TRUE,_xlfn.UNIQUE(TRANSPOSE(_xlfn.MAP(_xlfn.XLOOKUP(A921,SITE1!$C$4:$C$1034,SITE1!$F$4:$O$1034,""),_xlfn.LAMBDA(_xlpm.x,IF(_xlpm.x&lt;&gt;"",TRIM(CLEAN(LEFT(_xlpm.x,FIND(".",_xlpm.x &amp; ".")-1))),""))))))</f>
        <v/>
      </c>
      <c r="D921">
        <v>21.195999999999898</v>
      </c>
      <c r="E921">
        <v>9.3455999999999992</v>
      </c>
      <c r="F921" t="str">
        <f>_xlfn.LET(_xlpm.raw,_xlfn.XLOOKUP(A921,SITE1!$C$4:$C$1034,SITE1!$E$4:$E$1034),_xlpm.cleanRaw,SUBSTITUTE(SUBSTITUTE(_xlpm.raw,"_PIN","."),"PIN","."),_xlpm.mainPart,MID(_xlpm.cleanRaw,2,FIND(".",_xlpm.cleanRaw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21" t="str">
        <f>_xlfn.LET(_xlpm.raw,_xlfn.XLOOKUP(A921,SITE3!$C$4:$C$1034,SITE3!$E$4:$E$1034),_xlpm.cleanRaw,SUBSTITUTE(SUBSTITUTE(_xlpm.raw,"_PIN","."),"PIN","."),_xlpm.mainPart,MID(_xlpm.cleanRaw,2,FIND(".",_xlpm.cleanRaw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21" t="str">
        <f>""</f>
        <v/>
      </c>
      <c r="I921" t="str">
        <f>""</f>
        <v/>
      </c>
      <c r="J921" t="str">
        <f t="shared" si="14"/>
        <v>BF20;VSS;;21.1959999999999;9.3456;;;;</v>
      </c>
    </row>
    <row r="922" spans="1:10">
      <c r="A922" t="s">
        <v>3900</v>
      </c>
      <c r="B922" t="str">
        <f>_xlfn.XLOOKUP(A922,SITE1!$V$4:$V$1034,SITE1!$U$4:$U$1034,"")</f>
        <v>VSS</v>
      </c>
      <c r="C922" t="str" cm="1">
        <f t="array" ref="C922">_xlfn.TEXTJOIN(",",TRUE,_xlfn.UNIQUE(TRANSPOSE(_xlfn.MAP(_xlfn.XLOOKUP(A922,SITE1!$C$4:$C$1034,SITE1!$F$4:$O$1034,""),_xlfn.LAMBDA(_xlpm.x,IF(_xlpm.x&lt;&gt;"",TRIM(CLEAN(LEFT(_xlpm.x,FIND(".",_xlpm.x &amp; ".")-1))),""))))))</f>
        <v/>
      </c>
      <c r="D922">
        <v>21.1372</v>
      </c>
      <c r="E922">
        <v>10.027899999999899</v>
      </c>
      <c r="F922" t="str">
        <f>_xlfn.LET(_xlpm.raw,_xlfn.XLOOKUP(A922,SITE1!$C$4:$C$1034,SITE1!$E$4:$E$1034),_xlpm.cleanRaw,SUBSTITUTE(SUBSTITUTE(_xlpm.raw,"_PIN","."),"PIN","."),_xlpm.mainPart,MID(_xlpm.cleanRaw,2,FIND(".",_xlpm.cleanRaw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22" t="str">
        <f>_xlfn.LET(_xlpm.raw,_xlfn.XLOOKUP(A922,SITE3!$C$4:$C$1034,SITE3!$E$4:$E$1034),_xlpm.cleanRaw,SUBSTITUTE(SUBSTITUTE(_xlpm.raw,"_PIN","."),"PIN","."),_xlpm.mainPart,MID(_xlpm.cleanRaw,2,FIND(".",_xlpm.cleanRaw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22" t="str">
        <f>""</f>
        <v/>
      </c>
      <c r="I922" t="str">
        <f>""</f>
        <v/>
      </c>
      <c r="J922" t="str">
        <f t="shared" si="14"/>
        <v>BF22;VSS;;21.1372;10.0278999999999;;;;</v>
      </c>
    </row>
    <row r="923" spans="1:10">
      <c r="A923" t="s">
        <v>3901</v>
      </c>
      <c r="B923" t="str">
        <f>_xlfn.XLOOKUP(A923,SITE1!$V$4:$V$1034,SITE1!$U$4:$U$1034,"")</f>
        <v>VSS</v>
      </c>
      <c r="C923" t="str" cm="1">
        <f t="array" ref="C923">_xlfn.TEXTJOIN(",",TRUE,_xlfn.UNIQUE(TRANSPOSE(_xlfn.MAP(_xlfn.XLOOKUP(A923,SITE1!$C$4:$C$1034,SITE1!$F$4:$O$1034,""),_xlfn.LAMBDA(_xlpm.x,IF(_xlpm.x&lt;&gt;"",TRIM(CLEAN(LEFT(_xlpm.x,FIND(".",_xlpm.x &amp; ".")-1))),""))))))</f>
        <v/>
      </c>
      <c r="D923">
        <v>21.1372</v>
      </c>
      <c r="E923">
        <v>11.392299999999899</v>
      </c>
      <c r="F923" t="str">
        <f>_xlfn.LET(_xlpm.raw,_xlfn.XLOOKUP(A923,SITE1!$C$4:$C$1034,SITE1!$E$4:$E$1034),_xlpm.cleanRaw,SUBSTITUTE(SUBSTITUTE(_xlpm.raw,"_PIN","."),"PIN","."),_xlpm.mainPart,MID(_xlpm.cleanRaw,2,FIND(".",_xlpm.cleanRaw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23" t="str">
        <f>_xlfn.LET(_xlpm.raw,_xlfn.XLOOKUP(A923,SITE3!$C$4:$C$1034,SITE3!$E$4:$E$1034),_xlpm.cleanRaw,SUBSTITUTE(SUBSTITUTE(_xlpm.raw,"_PIN","."),"PIN","."),_xlpm.mainPart,MID(_xlpm.cleanRaw,2,FIND(".",_xlpm.cleanRaw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23" t="str">
        <f>""</f>
        <v/>
      </c>
      <c r="I923" t="str">
        <f>""</f>
        <v/>
      </c>
      <c r="J923" t="str">
        <f t="shared" si="14"/>
        <v>BF25;VSS;;21.1372;11.3922999999999;;;;</v>
      </c>
    </row>
    <row r="924" spans="1:10">
      <c r="A924" t="s">
        <v>3902</v>
      </c>
      <c r="B924" t="str">
        <f>_xlfn.XLOOKUP(A924,SITE1!$V$4:$V$1034,SITE1!$U$4:$U$1034,"")</f>
        <v>VSS</v>
      </c>
      <c r="C924" t="str" cm="1">
        <f t="array" ref="C924">_xlfn.TEXTJOIN(",",TRUE,_xlfn.UNIQUE(TRANSPOSE(_xlfn.MAP(_xlfn.XLOOKUP(A924,SITE1!$C$4:$C$1034,SITE1!$F$4:$O$1034,""),_xlfn.LAMBDA(_xlpm.x,IF(_xlpm.x&lt;&gt;"",TRIM(CLEAN(LEFT(_xlpm.x,FIND(".",_xlpm.x &amp; ".")-1))),""))))))</f>
        <v/>
      </c>
      <c r="D924">
        <v>21.195999999999898</v>
      </c>
      <c r="E924">
        <v>12.0746</v>
      </c>
      <c r="F924" t="str">
        <f>_xlfn.LET(_xlpm.raw,_xlfn.XLOOKUP(A924,SITE1!$C$4:$C$1034,SITE1!$E$4:$E$1034),_xlpm.cleanRaw,SUBSTITUTE(SUBSTITUTE(_xlpm.raw,"_PIN","."),"PIN","."),_xlpm.mainPart,MID(_xlpm.cleanRaw,2,FIND(".",_xlpm.cleanRaw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24" t="str">
        <f>_xlfn.LET(_xlpm.raw,_xlfn.XLOOKUP(A924,SITE3!$C$4:$C$1034,SITE3!$E$4:$E$1034),_xlpm.cleanRaw,SUBSTITUTE(SUBSTITUTE(_xlpm.raw,"_PIN","."),"PIN","."),_xlpm.mainPart,MID(_xlpm.cleanRaw,2,FIND(".",_xlpm.cleanRaw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24" t="str">
        <f>""</f>
        <v/>
      </c>
      <c r="I924" t="str">
        <f>""</f>
        <v/>
      </c>
      <c r="J924" t="str">
        <f t="shared" si="14"/>
        <v>BF26;VSS;;21.1959999999999;12.0746;;;;</v>
      </c>
    </row>
    <row r="925" spans="1:10">
      <c r="A925" t="s">
        <v>3903</v>
      </c>
      <c r="B925" t="str">
        <f>_xlfn.XLOOKUP(A925,SITE1!$V$4:$V$1034,SITE1!$U$4:$U$1034,"")</f>
        <v>VSS</v>
      </c>
      <c r="C925" t="str" cm="1">
        <f t="array" ref="C925">_xlfn.TEXTJOIN(",",TRUE,_xlfn.UNIQUE(TRANSPOSE(_xlfn.MAP(_xlfn.XLOOKUP(A925,SITE1!$C$4:$C$1034,SITE1!$F$4:$O$1034,""),_xlfn.LAMBDA(_xlpm.x,IF(_xlpm.x&lt;&gt;"",TRIM(CLEAN(LEFT(_xlpm.x,FIND(".",_xlpm.x &amp; ".")-1))),""))))))</f>
        <v/>
      </c>
      <c r="D925">
        <v>21.1372</v>
      </c>
      <c r="E925">
        <v>12.7569</v>
      </c>
      <c r="F925" t="str">
        <f>_xlfn.LET(_xlpm.raw,_xlfn.XLOOKUP(A925,SITE1!$C$4:$C$1034,SITE1!$E$4:$E$1034),_xlpm.cleanRaw,SUBSTITUTE(SUBSTITUTE(_xlpm.raw,"_PIN","."),"PIN","."),_xlpm.mainPart,MID(_xlpm.cleanRaw,2,FIND(".",_xlpm.cleanRaw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25" t="str">
        <f>_xlfn.LET(_xlpm.raw,_xlfn.XLOOKUP(A925,SITE3!$C$4:$C$1034,SITE3!$E$4:$E$1034),_xlpm.cleanRaw,SUBSTITUTE(SUBSTITUTE(_xlpm.raw,"_PIN","."),"PIN","."),_xlpm.mainPart,MID(_xlpm.cleanRaw,2,FIND(".",_xlpm.cleanRaw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25" t="str">
        <f>""</f>
        <v/>
      </c>
      <c r="I925" t="str">
        <f>""</f>
        <v/>
      </c>
      <c r="J925" t="str">
        <f t="shared" si="14"/>
        <v>BF28;VSS;;21.1372;12.7569;;;;</v>
      </c>
    </row>
    <row r="926" spans="1:10">
      <c r="A926" t="s">
        <v>3904</v>
      </c>
      <c r="B926" t="str">
        <f>_xlfn.XLOOKUP(A926,SITE1!$V$4:$V$1034,SITE1!$U$4:$U$1034,"")</f>
        <v>VSS</v>
      </c>
      <c r="C926" t="str" cm="1">
        <f t="array" ref="C926">_xlfn.TEXTJOIN(",",TRUE,_xlfn.UNIQUE(TRANSPOSE(_xlfn.MAP(_xlfn.XLOOKUP(A926,SITE1!$C$4:$C$1034,SITE1!$F$4:$O$1034,""),_xlfn.LAMBDA(_xlpm.x,IF(_xlpm.x&lt;&gt;"",TRIM(CLEAN(LEFT(_xlpm.x,FIND(".",_xlpm.x &amp; ".")-1))),""))))))</f>
        <v/>
      </c>
      <c r="D926">
        <v>21.1372</v>
      </c>
      <c r="E926">
        <v>14.1213</v>
      </c>
      <c r="F926" t="str">
        <f>_xlfn.LET(_xlpm.raw,_xlfn.XLOOKUP(A926,SITE1!$C$4:$C$1034,SITE1!$E$4:$E$1034),_xlpm.cleanRaw,SUBSTITUTE(SUBSTITUTE(_xlpm.raw,"_PIN","."),"PIN","."),_xlpm.mainPart,MID(_xlpm.cleanRaw,2,FIND(".",_xlpm.cleanRaw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26" t="str">
        <f>_xlfn.LET(_xlpm.raw,_xlfn.XLOOKUP(A926,SITE3!$C$4:$C$1034,SITE3!$E$4:$E$1034),_xlpm.cleanRaw,SUBSTITUTE(SUBSTITUTE(_xlpm.raw,"_PIN","."),"PIN","."),_xlpm.mainPart,MID(_xlpm.cleanRaw,2,FIND(".",_xlpm.cleanRaw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26" t="str">
        <f>""</f>
        <v/>
      </c>
      <c r="I926" t="str">
        <f>""</f>
        <v/>
      </c>
      <c r="J926" t="str">
        <f t="shared" si="14"/>
        <v>BF30;VSS;;21.1372;14.1213;;;;</v>
      </c>
    </row>
    <row r="927" spans="1:10">
      <c r="A927" t="s">
        <v>3905</v>
      </c>
      <c r="B927" t="str">
        <f>_xlfn.XLOOKUP(A927,SITE1!$V$4:$V$1034,SITE1!$U$4:$U$1034,"")</f>
        <v>VSS</v>
      </c>
      <c r="C927" t="str" cm="1">
        <f t="array" ref="C927">_xlfn.TEXTJOIN(",",TRUE,_xlfn.UNIQUE(TRANSPOSE(_xlfn.MAP(_xlfn.XLOOKUP(A927,SITE1!$C$4:$C$1034,SITE1!$F$4:$O$1034,""),_xlfn.LAMBDA(_xlpm.x,IF(_xlpm.x&lt;&gt;"",TRIM(CLEAN(LEFT(_xlpm.x,FIND(".",_xlpm.x &amp; ".")-1))),""))))))</f>
        <v/>
      </c>
      <c r="D927">
        <v>21.195999999999898</v>
      </c>
      <c r="E927">
        <v>14.803599999999999</v>
      </c>
      <c r="F927" t="str">
        <f>_xlfn.LET(_xlpm.raw,_xlfn.XLOOKUP(A927,SITE1!$C$4:$C$1034,SITE1!$E$4:$E$1034),_xlpm.cleanRaw,SUBSTITUTE(SUBSTITUTE(_xlpm.raw,"_PIN","."),"PIN","."),_xlpm.mainPart,MID(_xlpm.cleanRaw,2,FIND(".",_xlpm.cleanRaw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27" t="str">
        <f>_xlfn.LET(_xlpm.raw,_xlfn.XLOOKUP(A927,SITE3!$C$4:$C$1034,SITE3!$E$4:$E$1034),_xlpm.cleanRaw,SUBSTITUTE(SUBSTITUTE(_xlpm.raw,"_PIN","."),"PIN","."),_xlpm.mainPart,MID(_xlpm.cleanRaw,2,FIND(".",_xlpm.cleanRaw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27" t="str">
        <f>""</f>
        <v/>
      </c>
      <c r="I927" t="str">
        <f>""</f>
        <v/>
      </c>
      <c r="J927" t="str">
        <f t="shared" si="14"/>
        <v>BF32;VSS;;21.1959999999999;14.8036;;;;</v>
      </c>
    </row>
    <row r="928" spans="1:10">
      <c r="A928" t="s">
        <v>3906</v>
      </c>
      <c r="B928" t="str">
        <f>_xlfn.XLOOKUP(A928,SITE1!$V$4:$V$1034,SITE1!$U$4:$U$1034,"")</f>
        <v>VSS</v>
      </c>
      <c r="C928" t="str" cm="1">
        <f t="array" ref="C928">_xlfn.TEXTJOIN(",",TRUE,_xlfn.UNIQUE(TRANSPOSE(_xlfn.MAP(_xlfn.XLOOKUP(A928,SITE1!$C$4:$C$1034,SITE1!$F$4:$O$1034,""),_xlfn.LAMBDA(_xlpm.x,IF(_xlpm.x&lt;&gt;"",TRIM(CLEAN(LEFT(_xlpm.x,FIND(".",_xlpm.x &amp; ".")-1))),""))))))</f>
        <v/>
      </c>
      <c r="D928">
        <v>21.1372</v>
      </c>
      <c r="E928">
        <v>15.485900000000001</v>
      </c>
      <c r="F928" t="str">
        <f>_xlfn.LET(_xlpm.raw,_xlfn.XLOOKUP(A928,SITE1!$C$4:$C$1034,SITE1!$E$4:$E$1034),_xlpm.cleanRaw,SUBSTITUTE(SUBSTITUTE(_xlpm.raw,"_PIN","."),"PIN","."),_xlpm.mainPart,MID(_xlpm.cleanRaw,2,FIND(".",_xlpm.cleanRaw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28" t="str">
        <f>_xlfn.LET(_xlpm.raw,_xlfn.XLOOKUP(A928,SITE3!$C$4:$C$1034,SITE3!$E$4:$E$1034),_xlpm.cleanRaw,SUBSTITUTE(SUBSTITUTE(_xlpm.raw,"_PIN","."),"PIN","."),_xlpm.mainPart,MID(_xlpm.cleanRaw,2,FIND(".",_xlpm.cleanRaw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28" t="str">
        <f>""</f>
        <v/>
      </c>
      <c r="I928" t="str">
        <f>""</f>
        <v/>
      </c>
      <c r="J928" t="str">
        <f t="shared" si="14"/>
        <v>BF33;VSS;;21.1372;15.4859;;;;</v>
      </c>
    </row>
    <row r="929" spans="1:10">
      <c r="A929" t="s">
        <v>3907</v>
      </c>
      <c r="B929" t="str">
        <f>_xlfn.XLOOKUP(A929,SITE1!$V$4:$V$1034,SITE1!$U$4:$U$1034,"")</f>
        <v>VSS</v>
      </c>
      <c r="C929" t="str" cm="1">
        <f t="array" ref="C929">_xlfn.TEXTJOIN(",",TRUE,_xlfn.UNIQUE(TRANSPOSE(_xlfn.MAP(_xlfn.XLOOKUP(A929,SITE1!$C$4:$C$1034,SITE1!$F$4:$O$1034,""),_xlfn.LAMBDA(_xlpm.x,IF(_xlpm.x&lt;&gt;"",TRIM(CLEAN(LEFT(_xlpm.x,FIND(".",_xlpm.x &amp; ".")-1))),""))))))</f>
        <v/>
      </c>
      <c r="D929">
        <v>21.1372</v>
      </c>
      <c r="E929">
        <v>16.850300000000001</v>
      </c>
      <c r="F929" t="str">
        <f>_xlfn.LET(_xlpm.raw,_xlfn.XLOOKUP(A929,SITE1!$C$4:$C$1034,SITE1!$E$4:$E$1034),_xlpm.cleanRaw,SUBSTITUTE(SUBSTITUTE(_xlpm.raw,"_PIN","."),"PIN","."),_xlpm.mainPart,MID(_xlpm.cleanRaw,2,FIND(".",_xlpm.cleanRaw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29" t="str">
        <f>_xlfn.LET(_xlpm.raw,_xlfn.XLOOKUP(A929,SITE3!$C$4:$C$1034,SITE3!$E$4:$E$1034),_xlpm.cleanRaw,SUBSTITUTE(SUBSTITUTE(_xlpm.raw,"_PIN","."),"PIN","."),_xlpm.mainPart,MID(_xlpm.cleanRaw,2,FIND(".",_xlpm.cleanRaw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29" t="str">
        <f>""</f>
        <v/>
      </c>
      <c r="I929" t="str">
        <f>""</f>
        <v/>
      </c>
      <c r="J929" t="str">
        <f t="shared" si="14"/>
        <v>BF36;VSS;;21.1372;16.8503;;;;</v>
      </c>
    </row>
    <row r="930" spans="1:10">
      <c r="A930" t="s">
        <v>3908</v>
      </c>
      <c r="B930" t="str">
        <f>_xlfn.XLOOKUP(A930,SITE1!$V$4:$V$1034,SITE1!$U$4:$U$1034,"")</f>
        <v>VSS</v>
      </c>
      <c r="C930" t="str" cm="1">
        <f t="array" ref="C930">_xlfn.TEXTJOIN(",",TRUE,_xlfn.UNIQUE(TRANSPOSE(_xlfn.MAP(_xlfn.XLOOKUP(A930,SITE1!$C$4:$C$1034,SITE1!$F$4:$O$1034,""),_xlfn.LAMBDA(_xlpm.x,IF(_xlpm.x&lt;&gt;"",TRIM(CLEAN(LEFT(_xlpm.x,FIND(".",_xlpm.x &amp; ".")-1))),""))))))</f>
        <v/>
      </c>
      <c r="D930">
        <v>21.195999999999898</v>
      </c>
      <c r="E930">
        <v>17.532599999999999</v>
      </c>
      <c r="F930" t="str">
        <f>_xlfn.LET(_xlpm.raw,_xlfn.XLOOKUP(A930,SITE1!$C$4:$C$1034,SITE1!$E$4:$E$1034),_xlpm.cleanRaw,SUBSTITUTE(SUBSTITUTE(_xlpm.raw,"_PIN","."),"PIN","."),_xlpm.mainPart,MID(_xlpm.cleanRaw,2,FIND(".",_xlpm.cleanRaw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0" t="str">
        <f>_xlfn.LET(_xlpm.raw,_xlfn.XLOOKUP(A930,SITE3!$C$4:$C$1034,SITE3!$E$4:$E$1034),_xlpm.cleanRaw,SUBSTITUTE(SUBSTITUTE(_xlpm.raw,"_PIN","."),"PIN","."),_xlpm.mainPart,MID(_xlpm.cleanRaw,2,FIND(".",_xlpm.cleanRaw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0" t="str">
        <f>""</f>
        <v/>
      </c>
      <c r="I930" t="str">
        <f>""</f>
        <v/>
      </c>
      <c r="J930" t="str">
        <f t="shared" si="14"/>
        <v>BF38;VSS;;21.1959999999999;17.5326;;;;</v>
      </c>
    </row>
    <row r="931" spans="1:10">
      <c r="A931" t="s">
        <v>3909</v>
      </c>
      <c r="B931" t="str">
        <f>_xlfn.XLOOKUP(A931,SITE1!$V$4:$V$1034,SITE1!$U$4:$U$1034,"")</f>
        <v>VSS</v>
      </c>
      <c r="C931" t="str" cm="1">
        <f t="array" ref="C931">_xlfn.TEXTJOIN(",",TRUE,_xlfn.UNIQUE(TRANSPOSE(_xlfn.MAP(_xlfn.XLOOKUP(A931,SITE1!$C$4:$C$1034,SITE1!$F$4:$O$1034,""),_xlfn.LAMBDA(_xlpm.x,IF(_xlpm.x&lt;&gt;"",TRIM(CLEAN(LEFT(_xlpm.x,FIND(".",_xlpm.x &amp; ".")-1))),""))))))</f>
        <v/>
      </c>
      <c r="D931">
        <v>21.1372</v>
      </c>
      <c r="E931">
        <v>18.2149</v>
      </c>
      <c r="F931" t="str">
        <f>_xlfn.LET(_xlpm.raw,_xlfn.XLOOKUP(A931,SITE1!$C$4:$C$1034,SITE1!$E$4:$E$1034),_xlpm.cleanRaw,SUBSTITUTE(SUBSTITUTE(_xlpm.raw,"_PIN","."),"PIN","."),_xlpm.mainPart,MID(_xlpm.cleanRaw,2,FIND(".",_xlpm.cleanRaw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1" t="str">
        <f>_xlfn.LET(_xlpm.raw,_xlfn.XLOOKUP(A931,SITE3!$C$4:$C$1034,SITE3!$E$4:$E$1034),_xlpm.cleanRaw,SUBSTITUTE(SUBSTITUTE(_xlpm.raw,"_PIN","."),"PIN","."),_xlpm.mainPart,MID(_xlpm.cleanRaw,2,FIND(".",_xlpm.cleanRaw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1" t="str">
        <f>""</f>
        <v/>
      </c>
      <c r="I931" t="str">
        <f>""</f>
        <v/>
      </c>
      <c r="J931" t="str">
        <f t="shared" si="14"/>
        <v>BF39;VSS;;21.1372;18.2149;;;;</v>
      </c>
    </row>
    <row r="932" spans="1:10">
      <c r="A932" t="s">
        <v>3911</v>
      </c>
      <c r="B932" t="str">
        <f>_xlfn.XLOOKUP(A932,SITE1!$V$4:$V$1034,SITE1!$U$4:$U$1034,"")</f>
        <v>VSS</v>
      </c>
      <c r="C932" t="str" cm="1">
        <f t="array" ref="C932">_xlfn.TEXTJOIN(",",TRUE,_xlfn.UNIQUE(TRANSPOSE(_xlfn.MAP(_xlfn.XLOOKUP(A932,SITE1!$C$4:$C$1034,SITE1!$F$4:$O$1034,""),_xlfn.LAMBDA(_xlpm.x,IF(_xlpm.x&lt;&gt;"",TRIM(CLEAN(LEFT(_xlpm.x,FIND(".",_xlpm.x &amp; ".")-1))),""))))))</f>
        <v/>
      </c>
      <c r="D932">
        <v>21.1372</v>
      </c>
      <c r="E932">
        <v>19.5793</v>
      </c>
      <c r="F932" t="str">
        <f>_xlfn.LET(_xlpm.raw,_xlfn.XLOOKUP(A932,SITE1!$C$4:$C$1034,SITE1!$E$4:$E$1034),_xlpm.cleanRaw,SUBSTITUTE(SUBSTITUTE(_xlpm.raw,"_PIN","."),"PIN","."),_xlpm.mainPart,MID(_xlpm.cleanRaw,2,FIND(".",_xlpm.cleanRaw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2" t="str">
        <f>_xlfn.LET(_xlpm.raw,_xlfn.XLOOKUP(A932,SITE3!$C$4:$C$1034,SITE3!$E$4:$E$1034),_xlpm.cleanRaw,SUBSTITUTE(SUBSTITUTE(_xlpm.raw,"_PIN","."),"PIN","."),_xlpm.mainPart,MID(_xlpm.cleanRaw,2,FIND(".",_xlpm.cleanRaw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2" t="str">
        <f>""</f>
        <v/>
      </c>
      <c r="I932" t="str">
        <f>""</f>
        <v/>
      </c>
      <c r="J932" t="str">
        <f t="shared" si="14"/>
        <v>BF42;VSS;;21.1372;19.5793;;;;</v>
      </c>
    </row>
    <row r="933" spans="1:10">
      <c r="A933" t="s">
        <v>3912</v>
      </c>
      <c r="B933" t="str">
        <f>_xlfn.XLOOKUP(A933,SITE1!$V$4:$V$1034,SITE1!$U$4:$U$1034,"")</f>
        <v>VSS</v>
      </c>
      <c r="C933" t="str" cm="1">
        <f t="array" ref="C933">_xlfn.TEXTJOIN(",",TRUE,_xlfn.UNIQUE(TRANSPOSE(_xlfn.MAP(_xlfn.XLOOKUP(A933,SITE1!$C$4:$C$1034,SITE1!$F$4:$O$1034,""),_xlfn.LAMBDA(_xlpm.x,IF(_xlpm.x&lt;&gt;"",TRIM(CLEAN(LEFT(_xlpm.x,FIND(".",_xlpm.x &amp; ".")-1))),""))))))</f>
        <v/>
      </c>
      <c r="D933">
        <v>21.195999999999898</v>
      </c>
      <c r="E933">
        <v>20.261600000000001</v>
      </c>
      <c r="F933" t="str">
        <f>_xlfn.LET(_xlpm.raw,_xlfn.XLOOKUP(A933,SITE1!$C$4:$C$1034,SITE1!$E$4:$E$1034),_xlpm.cleanRaw,SUBSTITUTE(SUBSTITUTE(_xlpm.raw,"_PIN","."),"PIN","."),_xlpm.mainPart,MID(_xlpm.cleanRaw,2,FIND(".",_xlpm.cleanRaw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3" t="str">
        <f>_xlfn.LET(_xlpm.raw,_xlfn.XLOOKUP(A933,SITE3!$C$4:$C$1034,SITE3!$E$4:$E$1034),_xlpm.cleanRaw,SUBSTITUTE(SUBSTITUTE(_xlpm.raw,"_PIN","."),"PIN","."),_xlpm.mainPart,MID(_xlpm.cleanRaw,2,FIND(".",_xlpm.cleanRaw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3" t="str">
        <f>""</f>
        <v/>
      </c>
      <c r="I933" t="str">
        <f>""</f>
        <v/>
      </c>
      <c r="J933" t="str">
        <f t="shared" si="14"/>
        <v>BF43;VSS;;21.1959999999999;20.2616;;;;</v>
      </c>
    </row>
    <row r="934" spans="1:10">
      <c r="A934" t="s">
        <v>3913</v>
      </c>
      <c r="B934" t="str">
        <f>_xlfn.XLOOKUP(A934,SITE1!$V$4:$V$1034,SITE1!$U$4:$U$1034,"")</f>
        <v>VSS</v>
      </c>
      <c r="C934" t="str" cm="1">
        <f t="array" ref="C934">_xlfn.TEXTJOIN(",",TRUE,_xlfn.UNIQUE(TRANSPOSE(_xlfn.MAP(_xlfn.XLOOKUP(A934,SITE1!$C$4:$C$1034,SITE1!$F$4:$O$1034,""),_xlfn.LAMBDA(_xlpm.x,IF(_xlpm.x&lt;&gt;"",TRIM(CLEAN(LEFT(_xlpm.x,FIND(".",_xlpm.x &amp; ".")-1))),""))))))</f>
        <v/>
      </c>
      <c r="D934">
        <v>21.1372</v>
      </c>
      <c r="E934">
        <v>20.943899999999999</v>
      </c>
      <c r="F934" t="str">
        <f>_xlfn.LET(_xlpm.raw,_xlfn.XLOOKUP(A934,SITE1!$C$4:$C$1034,SITE1!$E$4:$E$1034),_xlpm.cleanRaw,SUBSTITUTE(SUBSTITUTE(_xlpm.raw,"_PIN","."),"PIN","."),_xlpm.mainPart,MID(_xlpm.cleanRaw,2,FIND(".",_xlpm.cleanRaw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4" t="str">
        <f>_xlfn.LET(_xlpm.raw,_xlfn.XLOOKUP(A934,SITE3!$C$4:$C$1034,SITE3!$E$4:$E$1034),_xlpm.cleanRaw,SUBSTITUTE(SUBSTITUTE(_xlpm.raw,"_PIN","."),"PIN","."),_xlpm.mainPart,MID(_xlpm.cleanRaw,2,FIND(".",_xlpm.cleanRaw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4" t="str">
        <f>""</f>
        <v/>
      </c>
      <c r="I934" t="str">
        <f>""</f>
        <v/>
      </c>
      <c r="J934" t="str">
        <f t="shared" si="14"/>
        <v>BF45;VSS;;21.1372;20.9439;;;;</v>
      </c>
    </row>
    <row r="935" spans="1:10">
      <c r="A935" t="s">
        <v>1784</v>
      </c>
      <c r="B935" t="str">
        <f>_xlfn.XLOOKUP(A935,SITE1!$V$4:$V$1034,SITE1!$U$4:$U$1034,"")</f>
        <v>GPP_S_3_SNDW1_DATA_DMIC_DATA_0_RGMII_PPS_0_SNDW0_DATA2</v>
      </c>
      <c r="C935" t="str" cm="1">
        <f t="array" ref="C935">_xlfn.TEXTJOIN(",",TRUE,_xlfn.UNIQUE(TRANSPOSE(_xlfn.MAP(_xlfn.XLOOKUP(A935,SITE1!$C$4:$C$1034,SITE1!$F$4:$O$1034,""),_xlfn.LAMBDA(_xlpm.x,IF(_xlpm.x&lt;&gt;"",TRIM(CLEAN(LEFT(_xlpm.x,FIND(".",_xlpm.x &amp; ".")-1))),""))))))</f>
        <v/>
      </c>
      <c r="D935">
        <v>21.352899999999899</v>
      </c>
      <c r="E935">
        <v>21.9316</v>
      </c>
      <c r="F935" t="str">
        <f>_xlfn.LET(_xlpm.raw,_xlfn.XLOOKUP(A935,SITE1!$C$4:$C$1034,SITE1!$E$4:$E$1034),_xlpm.cleanRaw,SUBSTITUTE(SUBSTITUTE(_xlpm.raw,"_PIN","."),"PIN","."),_xlpm.mainPart,MID(_xlpm.cleanRaw,2,FIND(".",_xlpm.cleanRaw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601028</v>
      </c>
      <c r="G935" t="str">
        <f>_xlfn.LET(_xlpm.raw,_xlfn.XLOOKUP(A935,SITE3!$C$4:$C$1034,SITE3!$E$4:$E$1034),_xlpm.cleanRaw,SUBSTITUTE(SUBSTITUTE(_xlpm.raw,"_PIN","."),"PIN","."),_xlpm.mainPart,MID(_xlpm.cleanRaw,2,FIND(".",_xlpm.cleanRaw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801028</v>
      </c>
      <c r="H935" t="str">
        <f>""</f>
        <v/>
      </c>
      <c r="I935" t="str">
        <f>""</f>
        <v/>
      </c>
      <c r="J935" t="str">
        <f t="shared" si="14"/>
        <v>BF47;GPP_S_3_SNDW1_DATA_DMIC_DATA_0_RGMII_PPS_0_SNDW0_DATA2;;21.3528999999999;21.9316;601028;801028;;</v>
      </c>
    </row>
    <row r="936" spans="1:10">
      <c r="A936" t="s">
        <v>1789</v>
      </c>
      <c r="B936" t="str">
        <f>_xlfn.XLOOKUP(A936,SITE1!$V$4:$V$1034,SITE1!$U$4:$U$1034,"")</f>
        <v>GPP_S_4_SNDW2_CLK_DMIC_CLK_B_0_RGMII_AUXTS_1_SNDW0_DATA3</v>
      </c>
      <c r="C936" t="str" cm="1">
        <f t="array" ref="C936">_xlfn.TEXTJOIN(",",TRUE,_xlfn.UNIQUE(TRANSPOSE(_xlfn.MAP(_xlfn.XLOOKUP(A936,SITE1!$C$4:$C$1034,SITE1!$F$4:$O$1034,""),_xlfn.LAMBDA(_xlpm.x,IF(_xlpm.x&lt;&gt;"",TRIM(CLEAN(LEFT(_xlpm.x,FIND(".",_xlpm.x &amp; ".")-1))),""))))))</f>
        <v/>
      </c>
      <c r="D936">
        <v>21.157800000000002</v>
      </c>
      <c r="E936">
        <v>22.396699999999999</v>
      </c>
      <c r="F936" t="str">
        <f>_xlfn.LET(_xlpm.raw,_xlfn.XLOOKUP(A936,SITE1!$C$4:$C$1034,SITE1!$E$4:$E$1034),_xlpm.cleanRaw,SUBSTITUTE(SUBSTITUTE(_xlpm.raw,"_PIN","."),"PIN","."),_xlpm.mainPart,MID(_xlpm.cleanRaw,2,FIND(".",_xlpm.cleanRaw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602066</v>
      </c>
      <c r="G936" t="str">
        <f>_xlfn.LET(_xlpm.raw,_xlfn.XLOOKUP(A936,SITE3!$C$4:$C$1034,SITE3!$E$4:$E$1034),_xlpm.cleanRaw,SUBSTITUTE(SUBSTITUTE(_xlpm.raw,"_PIN","."),"PIN","."),_xlpm.mainPart,MID(_xlpm.cleanRaw,2,FIND(".",_xlpm.cleanRaw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802066</v>
      </c>
      <c r="H936" t="str">
        <f>""</f>
        <v/>
      </c>
      <c r="I936" t="str">
        <f>""</f>
        <v/>
      </c>
      <c r="J936" t="str">
        <f t="shared" si="14"/>
        <v>BF48;GPP_S_4_SNDW2_CLK_DMIC_CLK_B_0_RGMII_AUXTS_1_SNDW0_DATA3;;21.1578;22.3967;602066;802066;;</v>
      </c>
    </row>
    <row r="937" spans="1:10">
      <c r="A937" t="s">
        <v>1804</v>
      </c>
      <c r="B937" t="str">
        <f>_xlfn.XLOOKUP(A937,SITE1!$V$4:$V$1034,SITE1!$U$4:$U$1034,"")</f>
        <v>GPP_S_7_SNDW3_DATA_DMIC_DATA_1_RGMII_PPS_1</v>
      </c>
      <c r="C937" t="str" cm="1">
        <f t="array" ref="C937">_xlfn.TEXTJOIN(",",TRUE,_xlfn.UNIQUE(TRANSPOSE(_xlfn.MAP(_xlfn.XLOOKUP(A937,SITE1!$C$4:$C$1034,SITE1!$F$4:$O$1034,""),_xlfn.LAMBDA(_xlpm.x,IF(_xlpm.x&lt;&gt;"",TRIM(CLEAN(LEFT(_xlpm.x,FIND(".",_xlpm.x &amp; ".")-1))),""))))))</f>
        <v/>
      </c>
      <c r="D937">
        <v>21.0989</v>
      </c>
      <c r="E937">
        <v>22.919699999999999</v>
      </c>
      <c r="F937" t="str">
        <f>_xlfn.LET(_xlpm.raw,_xlfn.XLOOKUP(A937,SITE1!$C$4:$C$1034,SITE1!$E$4:$E$1034),_xlpm.cleanRaw,SUBSTITUTE(SUBSTITUTE(_xlpm.raw,"_PIN","."),"PIN","."),_xlpm.mainPart,MID(_xlpm.cleanRaw,2,FIND(".",_xlpm.cleanRaw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601030</v>
      </c>
      <c r="G937" t="str">
        <f>_xlfn.LET(_xlpm.raw,_xlfn.XLOOKUP(A937,SITE3!$C$4:$C$1034,SITE3!$E$4:$E$1034),_xlpm.cleanRaw,SUBSTITUTE(SUBSTITUTE(_xlpm.raw,"_PIN","."),"PIN","."),_xlpm.mainPart,MID(_xlpm.cleanRaw,2,FIND(".",_xlpm.cleanRaw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801030</v>
      </c>
      <c r="H937" t="str">
        <f>""</f>
        <v/>
      </c>
      <c r="I937" t="str">
        <f>""</f>
        <v/>
      </c>
      <c r="J937" t="str">
        <f t="shared" si="14"/>
        <v>BF49;GPP_S_7_SNDW3_DATA_DMIC_DATA_1_RGMII_PPS_1;;21.0989;22.9197;601030;801030;;</v>
      </c>
    </row>
    <row r="938" spans="1:10">
      <c r="A938" t="s">
        <v>3914</v>
      </c>
      <c r="B938" t="str">
        <f>_xlfn.XLOOKUP(A938,SITE1!$V$4:$V$1034,SITE1!$U$4:$U$1034,"")</f>
        <v>VSS</v>
      </c>
      <c r="C938" t="str" cm="1">
        <f t="array" ref="C938">_xlfn.TEXTJOIN(",",TRUE,_xlfn.UNIQUE(TRANSPOSE(_xlfn.MAP(_xlfn.XLOOKUP(A938,SITE1!$C$4:$C$1034,SITE1!$F$4:$O$1034,""),_xlfn.LAMBDA(_xlpm.x,IF(_xlpm.x&lt;&gt;"",TRIM(CLEAN(LEFT(_xlpm.x,FIND(".",_xlpm.x &amp; ".")-1))),""))))))</f>
        <v/>
      </c>
      <c r="D938">
        <v>21.2256</v>
      </c>
      <c r="E938">
        <v>23.420299999999902</v>
      </c>
      <c r="F938" t="str">
        <f>_xlfn.LET(_xlpm.raw,_xlfn.XLOOKUP(A938,SITE1!$C$4:$C$1034,SITE1!$E$4:$E$1034),_xlpm.cleanRaw,SUBSTITUTE(SUBSTITUTE(_xlpm.raw,"_PIN","."),"PIN","."),_xlpm.mainPart,MID(_xlpm.cleanRaw,2,FIND(".",_xlpm.cleanRaw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8" t="str">
        <f>_xlfn.LET(_xlpm.raw,_xlfn.XLOOKUP(A938,SITE3!$C$4:$C$1034,SITE3!$E$4:$E$1034),_xlpm.cleanRaw,SUBSTITUTE(SUBSTITUTE(_xlpm.raw,"_PIN","."),"PIN","."),_xlpm.mainPart,MID(_xlpm.cleanRaw,2,FIND(".",_xlpm.cleanRaw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8" t="str">
        <f>""</f>
        <v/>
      </c>
      <c r="I938" t="str">
        <f>""</f>
        <v/>
      </c>
      <c r="J938" t="str">
        <f t="shared" si="14"/>
        <v>BF50;VSS;;21.2256;23.4202999999999;;;;</v>
      </c>
    </row>
    <row r="939" spans="1:10">
      <c r="A939" t="s">
        <v>1179</v>
      </c>
      <c r="B939" t="str">
        <f>_xlfn.XLOOKUP(A939,SITE1!$V$4:$V$1034,SITE1!$U$4:$U$1034,"")</f>
        <v>GPP_E_11_ISH_GP_9</v>
      </c>
      <c r="C939" t="str" cm="1">
        <f t="array" ref="C939">_xlfn.TEXTJOIN(",",TRUE,_xlfn.UNIQUE(TRANSPOSE(_xlfn.MAP(_xlfn.XLOOKUP(A939,SITE1!$C$4:$C$1034,SITE1!$F$4:$O$1034,""),_xlfn.LAMBDA(_xlpm.x,IF(_xlpm.x&lt;&gt;"",TRIM(CLEAN(LEFT(_xlpm.x,FIND(".",_xlpm.x &amp; ".")-1))),""))))))</f>
        <v/>
      </c>
      <c r="D939">
        <v>21.352899999999899</v>
      </c>
      <c r="E939">
        <v>24.128699999999998</v>
      </c>
      <c r="F939" t="str">
        <f>_xlfn.LET(_xlpm.raw,_xlfn.XLOOKUP(A939,SITE1!$C$4:$C$1034,SITE1!$E$4:$E$1034),_xlpm.cleanRaw,SUBSTITUTE(SUBSTITUTE(_xlpm.raw,"_PIN","."),"PIN","."),_xlpm.mainPart,MID(_xlpm.cleanRaw,2,FIND(".",_xlpm.cleanRaw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705065</v>
      </c>
      <c r="G939" t="str">
        <f>_xlfn.LET(_xlpm.raw,_xlfn.XLOOKUP(A939,SITE3!$C$4:$C$1034,SITE3!$E$4:$E$1034),_xlpm.cleanRaw,SUBSTITUTE(SUBSTITUTE(_xlpm.raw,"_PIN","."),"PIN","."),_xlpm.mainPart,MID(_xlpm.cleanRaw,2,FIND(".",_xlpm.cleanRaw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505065</v>
      </c>
      <c r="H939" t="str">
        <f>""</f>
        <v/>
      </c>
      <c r="I939" t="str">
        <f>""</f>
        <v/>
      </c>
      <c r="J939" t="str">
        <f t="shared" si="14"/>
        <v>BF51;GPP_E_11_ISH_GP_9;;21.3528999999999;24.1287;705065;505065;;</v>
      </c>
    </row>
    <row r="940" spans="1:10">
      <c r="A940" t="s">
        <v>1264</v>
      </c>
      <c r="B940" t="str">
        <f>_xlfn.XLOOKUP(A940,SITE1!$V$4:$V$1034,SITE1!$U$4:$U$1034,"")</f>
        <v>GPP_E_8_SATA_LEDB</v>
      </c>
      <c r="C940" t="str" cm="1">
        <f t="array" ref="C940">_xlfn.TEXTJOIN(",",TRUE,_xlfn.UNIQUE(TRANSPOSE(_xlfn.MAP(_xlfn.XLOOKUP(A940,SITE1!$C$4:$C$1034,SITE1!$F$4:$O$1034,""),_xlfn.LAMBDA(_xlpm.x,IF(_xlpm.x&lt;&gt;"",TRIM(CLEAN(LEFT(_xlpm.x,FIND(".",_xlpm.x &amp; ".")-1))),""))))))</f>
        <v/>
      </c>
      <c r="D940">
        <v>20.9619</v>
      </c>
      <c r="E940">
        <v>25.226099999999999</v>
      </c>
      <c r="F940" t="str">
        <f>_xlfn.LET(_xlpm.raw,_xlfn.XLOOKUP(A940,SITE1!$C$4:$C$1034,SITE1!$E$4:$E$1034),_xlpm.cleanRaw,SUBSTITUTE(SUBSTITUTE(_xlpm.raw,"_PIN","."),"PIN","."),_xlpm.mainPart,MID(_xlpm.cleanRaw,2,FIND(".",_xlpm.cleanRaw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706028</v>
      </c>
      <c r="G940" t="str">
        <f>_xlfn.LET(_xlpm.raw,_xlfn.XLOOKUP(A940,SITE3!$C$4:$C$1034,SITE3!$E$4:$E$1034),_xlpm.cleanRaw,SUBSTITUTE(SUBSTITUTE(_xlpm.raw,"_PIN","."),"PIN","."),_xlpm.mainPart,MID(_xlpm.cleanRaw,2,FIND(".",_xlpm.cleanRaw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506028</v>
      </c>
      <c r="H940" t="str">
        <f>""</f>
        <v/>
      </c>
      <c r="I940" t="str">
        <f>""</f>
        <v/>
      </c>
      <c r="J940" t="str">
        <f t="shared" si="14"/>
        <v>BF54;GPP_E_8_SATA_LEDB;;20.9619;25.2261;706028;506028;;</v>
      </c>
    </row>
    <row r="941" spans="1:10">
      <c r="A941" t="s">
        <v>3586</v>
      </c>
      <c r="B941" t="str">
        <f>_xlfn.XLOOKUP(A941,SITE1!$V$4:$V$1034,SITE1!$U$4:$U$1034,"")</f>
        <v>VCCPDSW_3P3</v>
      </c>
      <c r="C941" t="str" cm="1">
        <f t="array" ref="C941">_xlfn.TEXTJOIN(",",TRUE,_xlfn.UNIQUE(TRANSPOSE(_xlfn.MAP(_xlfn.XLOOKUP(A941,SITE1!$C$4:$C$1034,SITE1!$F$4:$O$1034,""),_xlfn.LAMBDA(_xlpm.x,IF(_xlpm.x&lt;&gt;"",TRIM(CLEAN(LEFT(_xlpm.x,FIND(".",_xlpm.x &amp; ".")-1))),""))))))</f>
        <v/>
      </c>
      <c r="D941">
        <v>21.235499999999998</v>
      </c>
      <c r="E941">
        <v>26.411899999999999</v>
      </c>
      <c r="F941" t="str">
        <f>_xlfn.LET(_xlpm.raw,_xlfn.XLOOKUP(A941,SITE1!$C$4:$C$1034,SITE1!$E$4:$E$1034),_xlpm.cleanRaw,SUBSTITUTE(SUBSTITUTE(_xlpm.raw,"_PIN","."),"PIN","."),_xlpm.mainPart,MID(_xlpm.cleanRaw,2,FIND(".",_xlpm.cleanRaw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41" t="str">
        <f>_xlfn.LET(_xlpm.raw,_xlfn.XLOOKUP(A941,SITE3!$C$4:$C$1034,SITE3!$E$4:$E$1034),_xlpm.cleanRaw,SUBSTITUTE(SUBSTITUTE(_xlpm.raw,"_PIN","."),"PIN","."),_xlpm.mainPart,MID(_xlpm.cleanRaw,2,FIND(".",_xlpm.cleanRaw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41" t="str">
        <f>""</f>
        <v/>
      </c>
      <c r="I941" t="str">
        <f>""</f>
        <v/>
      </c>
      <c r="J941" t="str">
        <f t="shared" si="14"/>
        <v>BF56;VCCPDSW_3P3;;21.2355;26.4119;;;;</v>
      </c>
    </row>
    <row r="942" spans="1:10">
      <c r="A942" t="s">
        <v>3587</v>
      </c>
      <c r="B942" t="str">
        <f>_xlfn.XLOOKUP(A942,SITE1!$V$4:$V$1034,SITE1!$U$4:$U$1034,"")</f>
        <v>VCCPDSW_3P3</v>
      </c>
      <c r="C942" t="str" cm="1">
        <f t="array" ref="C942">_xlfn.TEXTJOIN(",",TRUE,_xlfn.UNIQUE(TRANSPOSE(_xlfn.MAP(_xlfn.XLOOKUP(A942,SITE1!$C$4:$C$1034,SITE1!$F$4:$O$1034,""),_xlfn.LAMBDA(_xlpm.x,IF(_xlpm.x&lt;&gt;"",TRIM(CLEAN(LEFT(_xlpm.x,FIND(".",_xlpm.x &amp; ".")-1))),""))))))</f>
        <v/>
      </c>
      <c r="D942">
        <v>20.9983</v>
      </c>
      <c r="E942">
        <v>26.8782</v>
      </c>
      <c r="F942" t="str">
        <f>_xlfn.LET(_xlpm.raw,_xlfn.XLOOKUP(A942,SITE1!$C$4:$C$1034,SITE1!$E$4:$E$1034),_xlpm.cleanRaw,SUBSTITUTE(SUBSTITUTE(_xlpm.raw,"_PIN","."),"PIN","."),_xlpm.mainPart,MID(_xlpm.cleanRaw,2,FIND(".",_xlpm.cleanRaw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42" t="str">
        <f>_xlfn.LET(_xlpm.raw,_xlfn.XLOOKUP(A942,SITE3!$C$4:$C$1034,SITE3!$E$4:$E$1034),_xlpm.cleanRaw,SUBSTITUTE(SUBSTITUTE(_xlpm.raw,"_PIN","."),"PIN","."),_xlpm.mainPart,MID(_xlpm.cleanRaw,2,FIND(".",_xlpm.cleanRaw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42" t="str">
        <f>""</f>
        <v/>
      </c>
      <c r="I942" t="str">
        <f>""</f>
        <v/>
      </c>
      <c r="J942" t="str">
        <f t="shared" si="14"/>
        <v>BF57;VCCPDSW_3P3;;20.9983;26.8782;;;;</v>
      </c>
    </row>
    <row r="943" spans="1:10">
      <c r="A943" t="s">
        <v>3915</v>
      </c>
      <c r="B943" t="str">
        <f>_xlfn.XLOOKUP(A943,SITE1!$V$4:$V$1034,SITE1!$U$4:$U$1034,"")</f>
        <v>VSS</v>
      </c>
      <c r="C943" t="str" cm="1">
        <f t="array" ref="C943">_xlfn.TEXTJOIN(",",TRUE,_xlfn.UNIQUE(TRANSPOSE(_xlfn.MAP(_xlfn.XLOOKUP(A943,SITE1!$C$4:$C$1034,SITE1!$F$4:$O$1034,""),_xlfn.LAMBDA(_xlpm.x,IF(_xlpm.x&lt;&gt;"",TRIM(CLEAN(LEFT(_xlpm.x,FIND(".",_xlpm.x &amp; ".")-1))),""))))))</f>
        <v/>
      </c>
      <c r="D943">
        <v>21.498899999999999</v>
      </c>
      <c r="E943">
        <v>0</v>
      </c>
      <c r="F943" t="str">
        <f>_xlfn.LET(_xlpm.raw,_xlfn.XLOOKUP(A943,SITE1!$C$4:$C$1034,SITE1!$E$4:$E$1034),_xlpm.cleanRaw,SUBSTITUTE(SUBSTITUTE(_xlpm.raw,"_PIN","."),"PIN","."),_xlpm.mainPart,MID(_xlpm.cleanRaw,2,FIND(".",_xlpm.cleanRaw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43" t="str">
        <f>_xlfn.LET(_xlpm.raw,_xlfn.XLOOKUP(A943,SITE3!$C$4:$C$1034,SITE3!$E$4:$E$1034),_xlpm.cleanRaw,SUBSTITUTE(SUBSTITUTE(_xlpm.raw,"_PIN","."),"PIN","."),_xlpm.mainPart,MID(_xlpm.cleanRaw,2,FIND(".",_xlpm.cleanRaw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43" t="str">
        <f>""</f>
        <v/>
      </c>
      <c r="I943" t="str">
        <f>""</f>
        <v/>
      </c>
      <c r="J943" t="str">
        <f t="shared" si="14"/>
        <v>BG1;VSS;;21.4989;0;;;;</v>
      </c>
    </row>
    <row r="944" spans="1:10">
      <c r="A944" t="s">
        <v>3542</v>
      </c>
      <c r="B944" t="str">
        <f>_xlfn.XLOOKUP(A944,SITE1!$V$4:$V$1034,SITE1!$U$4:$U$1034,"")</f>
        <v>VCCCNVI_LDO_0P4</v>
      </c>
      <c r="C944" t="str" cm="1">
        <f t="array" ref="C944">_xlfn.TEXTJOIN(",",TRUE,_xlfn.UNIQUE(TRANSPOSE(_xlfn.MAP(_xlfn.XLOOKUP(A944,SITE1!$C$4:$C$1034,SITE1!$F$4:$O$1034,""),_xlfn.LAMBDA(_xlpm.x,IF(_xlpm.x&lt;&gt;"",TRIM(CLEAN(LEFT(_xlpm.x,FIND(".",_xlpm.x &amp; ".")-1))),""))))))</f>
        <v/>
      </c>
      <c r="D944">
        <v>21.869999999999902</v>
      </c>
      <c r="E944">
        <v>0.50900000000000001</v>
      </c>
      <c r="F944" t="str">
        <f>_xlfn.LET(_xlpm.raw,_xlfn.XLOOKUP(A944,SITE1!$C$4:$C$1034,SITE1!$E$4:$E$1034),_xlpm.cleanRaw,SUBSTITUTE(SUBSTITUTE(_xlpm.raw,"_PIN","."),"PIN","."),_xlpm.mainPart,MID(_xlpm.cleanRaw,2,FIND(".",_xlpm.cleanRaw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605044</v>
      </c>
      <c r="G944" t="str">
        <f>_xlfn.LET(_xlpm.raw,_xlfn.XLOOKUP(A944,SITE3!$C$4:$C$1034,SITE3!$E$4:$E$1034),_xlpm.cleanRaw,SUBSTITUTE(SUBSTITUTE(_xlpm.raw,"_PIN","."),"PIN","."),_xlpm.mainPart,MID(_xlpm.cleanRaw,2,FIND(".",_xlpm.cleanRaw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805044</v>
      </c>
      <c r="H944" t="str">
        <f>""</f>
        <v/>
      </c>
      <c r="I944" t="str">
        <f>""</f>
        <v/>
      </c>
      <c r="J944" t="str">
        <f t="shared" si="14"/>
        <v>BG2;VCCCNVI_LDO_0P4;;21.8699999999999;0.509;605044;805044;;</v>
      </c>
    </row>
    <row r="945" spans="1:10">
      <c r="A945" t="s">
        <v>3547</v>
      </c>
      <c r="B945" t="str">
        <f>_xlfn.XLOOKUP(A945,SITE1!$V$4:$V$1034,SITE1!$U$4:$U$1034,"")</f>
        <v>VCCDPHY_1P2</v>
      </c>
      <c r="C945" t="str" cm="1">
        <f t="array" ref="C945">_xlfn.TEXTJOIN(",",TRUE,_xlfn.UNIQUE(TRANSPOSE(_xlfn.MAP(_xlfn.XLOOKUP(A945,SITE1!$C$4:$C$1034,SITE1!$F$4:$O$1034,""),_xlfn.LAMBDA(_xlpm.x,IF(_xlpm.x&lt;&gt;"",TRIM(CLEAN(LEFT(_xlpm.x,FIND(".",_xlpm.x &amp; ".")-1))),""))))))</f>
        <v/>
      </c>
      <c r="D945">
        <v>21.467199999999998</v>
      </c>
      <c r="E945">
        <v>0.9113</v>
      </c>
      <c r="F945" t="str">
        <f>_xlfn.LET(_xlpm.raw,_xlfn.XLOOKUP(A945,SITE1!$C$4:$C$1034,SITE1!$E$4:$E$1034),_xlpm.cleanRaw,SUBSTITUTE(SUBSTITUTE(_xlpm.raw,"_PIN","."),"PIN","."),_xlpm.mainPart,MID(_xlpm.cleanRaw,2,FIND(".",_xlpm.cleanRaw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45" t="str">
        <f>_xlfn.LET(_xlpm.raw,_xlfn.XLOOKUP(A945,SITE3!$C$4:$C$1034,SITE3!$E$4:$E$1034),_xlpm.cleanRaw,SUBSTITUTE(SUBSTITUTE(_xlpm.raw,"_PIN","."),"PIN","."),_xlpm.mainPart,MID(_xlpm.cleanRaw,2,FIND(".",_xlpm.cleanRaw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45" t="str">
        <f>""</f>
        <v/>
      </c>
      <c r="I945" t="str">
        <f>""</f>
        <v/>
      </c>
      <c r="J945" t="str">
        <f t="shared" si="14"/>
        <v>BG3;VCCDPHY_1P2;;21.4672;0.9113;;;;</v>
      </c>
    </row>
    <row r="946" spans="1:10">
      <c r="A946" t="s">
        <v>2752</v>
      </c>
      <c r="B946" t="str">
        <f>_xlfn.XLOOKUP(A946,SITE1!$V$4:$V$1034,SITE1!$U$4:$U$1034,"")</f>
        <v>PCIE_RCOMP2</v>
      </c>
      <c r="C946" t="str" cm="1">
        <f t="array" ref="C946">_xlfn.TEXTJOIN(",",TRUE,_xlfn.UNIQUE(TRANSPOSE(_xlfn.MAP(_xlfn.XLOOKUP(A946,SITE1!$C$4:$C$1034,SITE1!$F$4:$O$1034,""),_xlfn.LAMBDA(_xlpm.x,IF(_xlpm.x&lt;&gt;"",TRIM(CLEAN(LEFT(_xlpm.x,FIND(".",_xlpm.x &amp; ".")-1))),""))))))</f>
        <v>RA137</v>
      </c>
      <c r="D946">
        <v>21.5472</v>
      </c>
      <c r="E946">
        <v>1.97189999999999</v>
      </c>
      <c r="F946" t="str">
        <f>_xlfn.LET(_xlpm.raw,_xlfn.XLOOKUP(A946,SITE1!$C$4:$C$1034,SITE1!$E$4:$E$1034),_xlpm.cleanRaw,SUBSTITUTE(SUBSTITUTE(_xlpm.raw,"_PIN","."),"PIN","."),_xlpm.mainPart,MID(_xlpm.cleanRaw,2,FIND(".",_xlpm.cleanRaw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46" t="str">
        <f>_xlfn.LET(_xlpm.raw,_xlfn.XLOOKUP(A946,SITE3!$C$4:$C$1034,SITE3!$E$4:$E$1034),_xlpm.cleanRaw,SUBSTITUTE(SUBSTITUTE(_xlpm.raw,"_PIN","."),"PIN","."),_xlpm.mainPart,MID(_xlpm.cleanRaw,2,FIND(".",_xlpm.cleanRaw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46" t="str">
        <f>""</f>
        <v/>
      </c>
      <c r="I946" t="str">
        <f>""</f>
        <v/>
      </c>
      <c r="J946" t="str">
        <f t="shared" si="14"/>
        <v>BG5;PCIE_RCOMP2;RA137;21.5472;1.97189999999999;;;;</v>
      </c>
    </row>
    <row r="947" spans="1:10">
      <c r="A947" t="s">
        <v>3918</v>
      </c>
      <c r="B947" t="str">
        <f>_xlfn.XLOOKUP(A947,SITE1!$V$4:$V$1034,SITE1!$U$4:$U$1034,"")</f>
        <v>VSS</v>
      </c>
      <c r="C947" t="str" cm="1">
        <f t="array" ref="C947">_xlfn.TEXTJOIN(",",TRUE,_xlfn.UNIQUE(TRANSPOSE(_xlfn.MAP(_xlfn.XLOOKUP(A947,SITE1!$C$4:$C$1034,SITE1!$F$4:$O$1034,""),_xlfn.LAMBDA(_xlpm.x,IF(_xlpm.x&lt;&gt;"",TRIM(CLEAN(LEFT(_xlpm.x,FIND(".",_xlpm.x &amp; ".")-1))),""))))))</f>
        <v/>
      </c>
      <c r="D947">
        <v>21.8553</v>
      </c>
      <c r="E947">
        <v>2.7797000000000001</v>
      </c>
      <c r="F947" t="str">
        <f>_xlfn.LET(_xlpm.raw,_xlfn.XLOOKUP(A947,SITE1!$C$4:$C$1034,SITE1!$E$4:$E$1034),_xlpm.cleanRaw,SUBSTITUTE(SUBSTITUTE(_xlpm.raw,"_PIN","."),"PIN","."),_xlpm.mainPart,MID(_xlpm.cleanRaw,2,FIND(".",_xlpm.cleanRaw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47" t="str">
        <f>_xlfn.LET(_xlpm.raw,_xlfn.XLOOKUP(A947,SITE3!$C$4:$C$1034,SITE3!$E$4:$E$1034),_xlpm.cleanRaw,SUBSTITUTE(SUBSTITUTE(_xlpm.raw,"_PIN","."),"PIN","."),_xlpm.mainPart,MID(_xlpm.cleanRaw,2,FIND(".",_xlpm.cleanRaw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47" t="str">
        <f>""</f>
        <v/>
      </c>
      <c r="I947" t="str">
        <f>""</f>
        <v/>
      </c>
      <c r="J947" t="str">
        <f t="shared" si="14"/>
        <v>BG7;VSS;;21.8553;2.7797;;;;</v>
      </c>
    </row>
    <row r="948" spans="1:10">
      <c r="A948" t="s">
        <v>1073</v>
      </c>
      <c r="B948" t="str">
        <f>_xlfn.XLOOKUP(A948,SITE1!$V$4:$V$1034,SITE1!$U$4:$U$1034,"")</f>
        <v>GPP_D_14_SRCCLKREQB_7</v>
      </c>
      <c r="C948" t="str" cm="1">
        <f t="array" ref="C948">_xlfn.TEXTJOIN(",",TRUE,_xlfn.UNIQUE(TRANSPOSE(_xlfn.MAP(_xlfn.XLOOKUP(A948,SITE1!$C$4:$C$1034,SITE1!$F$4:$O$1034,""),_xlfn.LAMBDA(_xlpm.x,IF(_xlpm.x&lt;&gt;"",TRIM(CLEAN(LEFT(_xlpm.x,FIND(".",_xlpm.x &amp; ".")-1))),""))))))</f>
        <v/>
      </c>
      <c r="D948">
        <v>21.726399999999899</v>
      </c>
      <c r="E948">
        <v>3.4579</v>
      </c>
      <c r="F948" t="str">
        <f>_xlfn.LET(_xlpm.raw,_xlfn.XLOOKUP(A948,SITE1!$C$4:$C$1034,SITE1!$E$4:$E$1034),_xlpm.cleanRaw,SUBSTITUTE(SUBSTITUTE(_xlpm.raw,"_PIN","."),"PIN","."),_xlpm.mainPart,MID(_xlpm.cleanRaw,2,FIND(".",_xlpm.cleanRaw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605080</v>
      </c>
      <c r="G948" t="str">
        <f>_xlfn.LET(_xlpm.raw,_xlfn.XLOOKUP(A948,SITE3!$C$4:$C$1034,SITE3!$E$4:$E$1034),_xlpm.cleanRaw,SUBSTITUTE(SUBSTITUTE(_xlpm.raw,"_PIN","."),"PIN","."),_xlpm.mainPart,MID(_xlpm.cleanRaw,2,FIND(".",_xlpm.cleanRaw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805080</v>
      </c>
      <c r="H948" t="str">
        <f>""</f>
        <v/>
      </c>
      <c r="I948" t="str">
        <f>""</f>
        <v/>
      </c>
      <c r="J948" t="str">
        <f t="shared" si="14"/>
        <v>BG8;GPP_D_14_SRCCLKREQB_7;;21.7263999999999;3.4579;605080;805080;;</v>
      </c>
    </row>
    <row r="949" spans="1:10">
      <c r="A949" t="s">
        <v>1083</v>
      </c>
      <c r="B949" t="str">
        <f>_xlfn.XLOOKUP(A949,SITE1!$V$4:$V$1034,SITE1!$U$4:$U$1034,"")</f>
        <v>GPP_D_16_GSPI3_CS0B_THC1_SPI2_CSB</v>
      </c>
      <c r="C949" t="str" cm="1">
        <f t="array" ref="C949">_xlfn.TEXTJOIN(",",TRUE,_xlfn.UNIQUE(TRANSPOSE(_xlfn.MAP(_xlfn.XLOOKUP(A949,SITE1!$C$4:$C$1034,SITE1!$F$4:$O$1034,""),_xlfn.LAMBDA(_xlpm.x,IF(_xlpm.x&lt;&gt;"",TRIM(CLEAN(LEFT(_xlpm.x,FIND(".",_xlpm.x &amp; ".")-1))),""))))))</f>
        <v/>
      </c>
      <c r="D949">
        <v>21.642399999999999</v>
      </c>
      <c r="E949">
        <v>4.1185999999999998</v>
      </c>
      <c r="F949" t="str">
        <f>_xlfn.LET(_xlpm.raw,_xlfn.XLOOKUP(A949,SITE1!$C$4:$C$1034,SITE1!$E$4:$E$1034),_xlpm.cleanRaw,SUBSTITUTE(SUBSTITUTE(_xlpm.raw,"_PIN","."),"PIN","."),_xlpm.mainPart,MID(_xlpm.cleanRaw,2,FIND(".",_xlpm.cleanRaw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604015</v>
      </c>
      <c r="G949" t="str">
        <f>_xlfn.LET(_xlpm.raw,_xlfn.XLOOKUP(A949,SITE3!$C$4:$C$1034,SITE3!$E$4:$E$1034),_xlpm.cleanRaw,SUBSTITUTE(SUBSTITUTE(_xlpm.raw,"_PIN","."),"PIN","."),_xlpm.mainPart,MID(_xlpm.cleanRaw,2,FIND(".",_xlpm.cleanRaw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804015</v>
      </c>
      <c r="H949" t="str">
        <f>""</f>
        <v/>
      </c>
      <c r="I949" t="str">
        <f>""</f>
        <v/>
      </c>
      <c r="J949" t="str">
        <f t="shared" si="14"/>
        <v>BG9;GPP_D_16_GSPI3_CS0B_THC1_SPI2_CSB;;21.6424;4.1186;604015;804015;;</v>
      </c>
    </row>
    <row r="950" spans="1:10">
      <c r="A950" t="s">
        <v>1053</v>
      </c>
      <c r="B950" t="str">
        <f>_xlfn.XLOOKUP(A950,SITE1!$V$4:$V$1034,SITE1!$U$4:$U$1034,"")</f>
        <v>GPP_D_10_SML0DATA</v>
      </c>
      <c r="C950" t="str" cm="1">
        <f t="array" ref="C950">_xlfn.TEXTJOIN(",",TRUE,_xlfn.UNIQUE(TRANSPOSE(_xlfn.MAP(_xlfn.XLOOKUP(A950,SITE1!$C$4:$C$1034,SITE1!$F$4:$O$1034,""),_xlfn.LAMBDA(_xlpm.x,IF(_xlpm.x&lt;&gt;"",TRIM(CLEAN(LEFT(_xlpm.x,FIND(".",_xlpm.x &amp; ".")-1))),""))))))</f>
        <v/>
      </c>
      <c r="D950">
        <v>21.8553</v>
      </c>
      <c r="E950">
        <v>4.9767999999999901</v>
      </c>
      <c r="F950" t="str">
        <f>_xlfn.LET(_xlpm.raw,_xlfn.XLOOKUP(A950,SITE1!$C$4:$C$1034,SITE1!$E$4:$E$1034),_xlpm.cleanRaw,SUBSTITUTE(SUBSTITUTE(_xlpm.raw,"_PIN","."),"PIN","."),_xlpm.mainPart,MID(_xlpm.cleanRaw,2,FIND(".",_xlpm.cleanRaw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605074</v>
      </c>
      <c r="G950" t="str">
        <f>_xlfn.LET(_xlpm.raw,_xlfn.XLOOKUP(A950,SITE3!$C$4:$C$1034,SITE3!$E$4:$E$1034),_xlpm.cleanRaw,SUBSTITUTE(SUBSTITUTE(_xlpm.raw,"_PIN","."),"PIN","."),_xlpm.mainPart,MID(_xlpm.cleanRaw,2,FIND(".",_xlpm.cleanRaw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805074</v>
      </c>
      <c r="H950" t="str">
        <f>""</f>
        <v/>
      </c>
      <c r="I950" t="str">
        <f>""</f>
        <v/>
      </c>
      <c r="J950" t="str">
        <f t="shared" si="14"/>
        <v>BG11;GPP_D_10_SML0DATA;;21.8553;4.97679999999999;605074;805074;;</v>
      </c>
    </row>
    <row r="951" spans="1:10">
      <c r="A951" t="s">
        <v>1103</v>
      </c>
      <c r="B951" t="str">
        <f>_xlfn.XLOOKUP(A951,SITE1!$V$4:$V$1034,SITE1!$U$4:$U$1034,"")</f>
        <v>GPP_D_2_SRCCLKREQB_2</v>
      </c>
      <c r="C951" t="str" cm="1">
        <f t="array" ref="C951">_xlfn.TEXTJOIN(",",TRUE,_xlfn.UNIQUE(TRANSPOSE(_xlfn.MAP(_xlfn.XLOOKUP(A951,SITE1!$C$4:$C$1034,SITE1!$F$4:$O$1034,""),_xlfn.LAMBDA(_xlpm.x,IF(_xlpm.x&lt;&gt;"",TRIM(CLEAN(LEFT(_xlpm.x,FIND(".",_xlpm.x &amp; ".")-1))),""))))))</f>
        <v/>
      </c>
      <c r="D951">
        <v>21.726399999999899</v>
      </c>
      <c r="E951">
        <v>5.6550000000000002</v>
      </c>
      <c r="F951" t="str">
        <f>_xlfn.LET(_xlpm.raw,_xlfn.XLOOKUP(A951,SITE1!$C$4:$C$1034,SITE1!$E$4:$E$1034),_xlpm.cleanRaw,SUBSTITUTE(SUBSTITUTE(_xlpm.raw,"_PIN","."),"PIN","."),_xlpm.mainPart,MID(_xlpm.cleanRaw,2,FIND(".",_xlpm.cleanRaw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604025</v>
      </c>
      <c r="G951" t="str">
        <f>_xlfn.LET(_xlpm.raw,_xlfn.XLOOKUP(A951,SITE3!$C$4:$C$1034,SITE3!$E$4:$E$1034),_xlpm.cleanRaw,SUBSTITUTE(SUBSTITUTE(_xlpm.raw,"_PIN","."),"PIN","."),_xlpm.mainPart,MID(_xlpm.cleanRaw,2,FIND(".",_xlpm.cleanRaw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804025</v>
      </c>
      <c r="H951" t="str">
        <f>""</f>
        <v/>
      </c>
      <c r="I951" t="str">
        <f>""</f>
        <v/>
      </c>
      <c r="J951" t="str">
        <f t="shared" si="14"/>
        <v>BG13;GPP_D_2_SRCCLKREQB_2;;21.7263999999999;5.655;604025;804025;;</v>
      </c>
    </row>
    <row r="952" spans="1:10">
      <c r="A952" t="s">
        <v>286</v>
      </c>
      <c r="B952" t="str">
        <f>_xlfn.XLOOKUP(A952,SITE1!$V$4:$V$1034,SITE1!$U$4:$U$1034,"")</f>
        <v>CNV_WT_CLKP</v>
      </c>
      <c r="C952" t="str" cm="1">
        <f t="array" ref="C952">_xlfn.TEXTJOIN(",",TRUE,_xlfn.UNIQUE(TRANSPOSE(_xlfn.MAP(_xlfn.XLOOKUP(A952,SITE1!$C$4:$C$1034,SITE1!$F$4:$O$1034,""),_xlfn.LAMBDA(_xlpm.x,IF(_xlpm.x&lt;&gt;"",TRIM(CLEAN(LEFT(_xlpm.x,FIND(".",_xlpm.x &amp; ".")-1))),""))))))</f>
        <v>UA121</v>
      </c>
      <c r="D952">
        <v>21.642399999999999</v>
      </c>
      <c r="E952">
        <v>6.3156999999999996</v>
      </c>
      <c r="F952" t="str">
        <f>_xlfn.LET(_xlpm.raw,_xlfn.XLOOKUP(A952,SITE1!$C$4:$C$1034,SITE1!$E$4:$E$1034),_xlpm.cleanRaw,SUBSTITUTE(SUBSTITUTE(_xlpm.raw,"_PIN","."),"PIN","."),_xlpm.mainPart,MID(_xlpm.cleanRaw,2,FIND(".",_xlpm.cleanRaw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603114</v>
      </c>
      <c r="G952" t="str">
        <f>_xlfn.LET(_xlpm.raw,_xlfn.XLOOKUP(A952,SITE3!$C$4:$C$1034,SITE3!$E$4:$E$1034),_xlpm.cleanRaw,SUBSTITUTE(SUBSTITUTE(_xlpm.raw,"_PIN","."),"PIN","."),_xlpm.mainPart,MID(_xlpm.cleanRaw,2,FIND(".",_xlpm.cleanRaw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803114</v>
      </c>
      <c r="H952" t="str">
        <f>""</f>
        <v/>
      </c>
      <c r="I952" t="str">
        <f>""</f>
        <v/>
      </c>
      <c r="J952" t="str">
        <f t="shared" si="14"/>
        <v>BG14;CNV_WT_CLKP;UA121;21.6424;6.3157;603114;803114;;</v>
      </c>
    </row>
    <row r="953" spans="1:10">
      <c r="A953" t="s">
        <v>303</v>
      </c>
      <c r="B953" t="str">
        <f>_xlfn.XLOOKUP(A953,SITE1!$V$4:$V$1034,SITE1!$U$4:$U$1034,"")</f>
        <v>CNV_WT_D0P</v>
      </c>
      <c r="C953" t="str" cm="1">
        <f t="array" ref="C953">_xlfn.TEXTJOIN(",",TRUE,_xlfn.UNIQUE(TRANSPOSE(_xlfn.MAP(_xlfn.XLOOKUP(A953,SITE1!$C$4:$C$1034,SITE1!$F$4:$O$1034,""),_xlfn.LAMBDA(_xlpm.x,IF(_xlpm.x&lt;&gt;"",TRIM(CLEAN(LEFT(_xlpm.x,FIND(".",_xlpm.x &amp; ".")-1))),""))))))</f>
        <v>UA122,KA121</v>
      </c>
      <c r="D953">
        <v>21.8553</v>
      </c>
      <c r="E953">
        <v>7.1738999999999997</v>
      </c>
      <c r="F953" t="str">
        <f>_xlfn.LET(_xlpm.raw,_xlfn.XLOOKUP(A953,SITE1!$C$4:$C$1034,SITE1!$E$4:$E$1034),_xlpm.cleanRaw,SUBSTITUTE(SUBSTITUTE(_xlpm.raw,"_PIN","."),"PIN","."),_xlpm.mainPart,MID(_xlpm.cleanRaw,2,FIND(".",_xlpm.cleanRaw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606091</v>
      </c>
      <c r="G953" t="str">
        <f>_xlfn.LET(_xlpm.raw,_xlfn.XLOOKUP(A953,SITE3!$C$4:$C$1034,SITE3!$E$4:$E$1034),_xlpm.cleanRaw,SUBSTITUTE(SUBSTITUTE(_xlpm.raw,"_PIN","."),"PIN","."),_xlpm.mainPart,MID(_xlpm.cleanRaw,2,FIND(".",_xlpm.cleanRaw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806091</v>
      </c>
      <c r="H953" t="str">
        <f>""</f>
        <v/>
      </c>
      <c r="I953" t="str">
        <f>""</f>
        <v/>
      </c>
      <c r="J953" t="str">
        <f t="shared" si="14"/>
        <v>BG16;CNV_WT_D0P;UA122,KA121;21.8553;7.1739;606091;806091;;</v>
      </c>
    </row>
    <row r="954" spans="1:10">
      <c r="A954" t="s">
        <v>2300</v>
      </c>
      <c r="B954" t="str">
        <f>_xlfn.XLOOKUP(A954,SITE1!$V$4:$V$1034,SITE1!$U$4:$U$1034,"")</f>
        <v>PCIE_2_TXN</v>
      </c>
      <c r="C954" t="str" cm="1">
        <f t="array" ref="C954">_xlfn.TEXTJOIN(",",TRUE,_xlfn.UNIQUE(TRANSPOSE(_xlfn.MAP(_xlfn.XLOOKUP(A954,SITE1!$C$4:$C$1034,SITE1!$F$4:$O$1034,""),_xlfn.LAMBDA(_xlpm.x,IF(_xlpm.x&lt;&gt;"",TRIM(CLEAN(LEFT(_xlpm.x,FIND(".",_xlpm.x &amp; ".")-1))),""))))))</f>
        <v>CA224,LA247</v>
      </c>
      <c r="D954">
        <v>21.570599999999999</v>
      </c>
      <c r="E954">
        <v>8.4131</v>
      </c>
      <c r="F954" t="str">
        <f>_xlfn.LET(_xlpm.raw,_xlfn.XLOOKUP(A954,SITE1!$C$4:$C$1034,SITE1!$E$4:$E$1034),_xlpm.cleanRaw,SUBSTITUTE(SUBSTITUTE(_xlpm.raw,"_PIN","."),"PIN","."),_xlpm.mainPart,MID(_xlpm.cleanRaw,2,FIND(".",_xlpm.cleanRaw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702046</v>
      </c>
      <c r="G954" t="str">
        <f>_xlfn.LET(_xlpm.raw,_xlfn.XLOOKUP(A954,SITE3!$C$4:$C$1034,SITE3!$E$4:$E$1034),_xlpm.cleanRaw,SUBSTITUTE(SUBSTITUTE(_xlpm.raw,"_PIN","."),"PIN","."),_xlpm.mainPart,MID(_xlpm.cleanRaw,2,FIND(".",_xlpm.cleanRaw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502046</v>
      </c>
      <c r="H954" t="str">
        <f>""</f>
        <v/>
      </c>
      <c r="I954" t="str">
        <f>""</f>
        <v/>
      </c>
      <c r="J954" t="str">
        <f t="shared" si="14"/>
        <v>BG18;PCIE_2_TXN;CA224,LA247;21.5706;8.4131;702046;502046;;</v>
      </c>
    </row>
    <row r="955" spans="1:10">
      <c r="A955" t="s">
        <v>2309</v>
      </c>
      <c r="B955" t="str">
        <f>_xlfn.XLOOKUP(A955,SITE1!$V$4:$V$1034,SITE1!$U$4:$U$1034,"")</f>
        <v>PCIE_2_TXP</v>
      </c>
      <c r="C955" t="str" cm="1">
        <f t="array" ref="C955">_xlfn.TEXTJOIN(",",TRUE,_xlfn.UNIQUE(TRANSPOSE(_xlfn.MAP(_xlfn.XLOOKUP(A955,SITE1!$C$4:$C$1034,SITE1!$F$4:$O$1034,""),_xlfn.LAMBDA(_xlpm.x,IF(_xlpm.x&lt;&gt;"",TRIM(CLEAN(LEFT(_xlpm.x,FIND(".",_xlpm.x &amp; ".")-1))),""))))))</f>
        <v>CA223,LA245</v>
      </c>
      <c r="D955">
        <v>21.570599999999999</v>
      </c>
      <c r="E955">
        <v>8.9134999999999902</v>
      </c>
      <c r="F955" t="str">
        <f>_xlfn.LET(_xlpm.raw,_xlfn.XLOOKUP(A955,SITE1!$C$4:$C$1034,SITE1!$E$4:$E$1034),_xlpm.cleanRaw,SUBSTITUTE(SUBSTITUTE(_xlpm.raw,"_PIN","."),"PIN","."),_xlpm.mainPart,MID(_xlpm.cleanRaw,2,FIND(".",_xlpm.cleanRaw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702048</v>
      </c>
      <c r="G955" t="str">
        <f>_xlfn.LET(_xlpm.raw,_xlfn.XLOOKUP(A955,SITE3!$C$4:$C$1034,SITE3!$E$4:$E$1034),_xlpm.cleanRaw,SUBSTITUTE(SUBSTITUTE(_xlpm.raw,"_PIN","."),"PIN","."),_xlpm.mainPart,MID(_xlpm.cleanRaw,2,FIND(".",_xlpm.cleanRaw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502048</v>
      </c>
      <c r="H955" t="str">
        <f>""</f>
        <v/>
      </c>
      <c r="I955" t="str">
        <f>""</f>
        <v/>
      </c>
      <c r="J955" t="str">
        <f t="shared" si="14"/>
        <v>BG19;PCIE_2_TXP;CA223,LA245;21.5706;8.91349999999999;702048;502048;;</v>
      </c>
    </row>
    <row r="956" spans="1:10">
      <c r="A956" t="s">
        <v>2546</v>
      </c>
      <c r="B956" t="str">
        <f>_xlfn.XLOOKUP(A956,SITE1!$V$4:$V$1034,SITE1!$U$4:$U$1034,"")</f>
        <v>PCIE_4_TXN</v>
      </c>
      <c r="C956" t="str" cm="1">
        <f t="array" ref="C956">_xlfn.TEXTJOIN(",",TRUE,_xlfn.UNIQUE(TRANSPOSE(_xlfn.MAP(_xlfn.XLOOKUP(A956,SITE1!$C$4:$C$1034,SITE1!$F$4:$O$1034,""),_xlfn.LAMBDA(_xlpm.x,IF(_xlpm.x&lt;&gt;"",TRIM(CLEAN(LEFT(_xlpm.x,FIND(".",_xlpm.x &amp; ".")-1))),""))))))</f>
        <v>CA228,LA255</v>
      </c>
      <c r="D956">
        <v>21.570599999999999</v>
      </c>
      <c r="E956">
        <v>9.7776999999999994</v>
      </c>
      <c r="F956" t="str">
        <f>_xlfn.LET(_xlpm.raw,_xlfn.XLOOKUP(A956,SITE1!$C$4:$C$1034,SITE1!$E$4:$E$1034),_xlpm.cleanRaw,SUBSTITUTE(SUBSTITUTE(_xlpm.raw,"_PIN","."),"PIN","."),_xlpm.mainPart,MID(_xlpm.cleanRaw,2,FIND(".",_xlpm.cleanRaw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604002</v>
      </c>
      <c r="G956" t="str">
        <f>_xlfn.LET(_xlpm.raw,_xlfn.XLOOKUP(A956,SITE3!$C$4:$C$1034,SITE3!$E$4:$E$1034),_xlpm.cleanRaw,SUBSTITUTE(SUBSTITUTE(_xlpm.raw,"_PIN","."),"PIN","."),_xlpm.mainPart,MID(_xlpm.cleanRaw,2,FIND(".",_xlpm.cleanRaw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804002</v>
      </c>
      <c r="H956" t="str">
        <f>""</f>
        <v/>
      </c>
      <c r="I956" t="str">
        <f>""</f>
        <v/>
      </c>
      <c r="J956" t="str">
        <f t="shared" si="14"/>
        <v>BG21;PCIE_4_TXN;CA228,LA255;21.5706;9.7777;604002;804002;;</v>
      </c>
    </row>
    <row r="957" spans="1:10">
      <c r="A957" t="s">
        <v>2554</v>
      </c>
      <c r="B957" t="str">
        <f>_xlfn.XLOOKUP(A957,SITE1!$V$4:$V$1034,SITE1!$U$4:$U$1034,"")</f>
        <v>PCIE_4_TXP</v>
      </c>
      <c r="C957" t="str" cm="1">
        <f t="array" ref="C957">_xlfn.TEXTJOIN(",",TRUE,_xlfn.UNIQUE(TRANSPOSE(_xlfn.MAP(_xlfn.XLOOKUP(A957,SITE1!$C$4:$C$1034,SITE1!$F$4:$O$1034,""),_xlfn.LAMBDA(_xlpm.x,IF(_xlpm.x&lt;&gt;"",TRIM(CLEAN(LEFT(_xlpm.x,FIND(".",_xlpm.x &amp; ".")-1))),""))))))</f>
        <v>CA227,LA253</v>
      </c>
      <c r="D957">
        <v>21.570599999999999</v>
      </c>
      <c r="E957">
        <v>10.2781</v>
      </c>
      <c r="F957" t="str">
        <f>_xlfn.LET(_xlpm.raw,_xlfn.XLOOKUP(A957,SITE1!$C$4:$C$1034,SITE1!$E$4:$E$1034),_xlpm.cleanRaw,SUBSTITUTE(SUBSTITUTE(_xlpm.raw,"_PIN","."),"PIN","."),_xlpm.mainPart,MID(_xlpm.cleanRaw,2,FIND(".",_xlpm.cleanRaw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604001</v>
      </c>
      <c r="G957" t="str">
        <f>_xlfn.LET(_xlpm.raw,_xlfn.XLOOKUP(A957,SITE3!$C$4:$C$1034,SITE3!$E$4:$E$1034),_xlpm.cleanRaw,SUBSTITUTE(SUBSTITUTE(_xlpm.raw,"_PIN","."),"PIN","."),_xlpm.mainPart,MID(_xlpm.cleanRaw,2,FIND(".",_xlpm.cleanRaw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804001</v>
      </c>
      <c r="H957" t="str">
        <f>""</f>
        <v/>
      </c>
      <c r="I957" t="str">
        <f>""</f>
        <v/>
      </c>
      <c r="J957" t="str">
        <f t="shared" si="14"/>
        <v>BG22;PCIE_4_TXP;CA227,LA253;21.5706;10.2781;604001;804001;;</v>
      </c>
    </row>
    <row r="958" spans="1:10">
      <c r="A958" t="s">
        <v>2617</v>
      </c>
      <c r="B958" t="str">
        <f>_xlfn.XLOOKUP(A958,SITE1!$V$4:$V$1034,SITE1!$U$4:$U$1034,"")</f>
        <v>PCIE_6_TXN</v>
      </c>
      <c r="C958" t="str" cm="1">
        <f t="array" ref="C958">_xlfn.TEXTJOIN(",",TRUE,_xlfn.UNIQUE(TRANSPOSE(_xlfn.MAP(_xlfn.XLOOKUP(A958,SITE1!$C$4:$C$1034,SITE1!$F$4:$O$1034,""),_xlfn.LAMBDA(_xlpm.x,IF(_xlpm.x&lt;&gt;"",TRIM(CLEAN(LEFT(_xlpm.x,FIND(".",_xlpm.x &amp; ".")-1))),""))))))</f>
        <v>CA232,LA263</v>
      </c>
      <c r="D958">
        <v>21.570599999999999</v>
      </c>
      <c r="E958">
        <v>11.142099999999999</v>
      </c>
      <c r="F958" t="str">
        <f>_xlfn.LET(_xlpm.raw,_xlfn.XLOOKUP(A958,SITE1!$C$4:$C$1034,SITE1!$E$4:$E$1034),_xlpm.cleanRaw,SUBSTITUTE(SUBSTITUTE(_xlpm.raw,"_PIN","."),"PIN","."),_xlpm.mainPart,MID(_xlpm.cleanRaw,2,FIND(".",_xlpm.cleanRaw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603124</v>
      </c>
      <c r="G958" t="str">
        <f>_xlfn.LET(_xlpm.raw,_xlfn.XLOOKUP(A958,SITE3!$C$4:$C$1034,SITE3!$E$4:$E$1034),_xlpm.cleanRaw,SUBSTITUTE(SUBSTITUTE(_xlpm.raw,"_PIN","."),"PIN","."),_xlpm.mainPart,MID(_xlpm.cleanRaw,2,FIND(".",_xlpm.cleanRaw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803124</v>
      </c>
      <c r="H958" t="str">
        <f>""</f>
        <v/>
      </c>
      <c r="I958" t="str">
        <f>""</f>
        <v/>
      </c>
      <c r="J958" t="str">
        <f t="shared" si="14"/>
        <v>BG24;PCIE_6_TXN;CA232,LA263;21.5706;11.1421;603124;803124;;</v>
      </c>
    </row>
    <row r="959" spans="1:10">
      <c r="A959" t="s">
        <v>2625</v>
      </c>
      <c r="B959" t="str">
        <f>_xlfn.XLOOKUP(A959,SITE1!$V$4:$V$1034,SITE1!$U$4:$U$1034,"")</f>
        <v>PCIE_6_TXP</v>
      </c>
      <c r="C959" t="str" cm="1">
        <f t="array" ref="C959">_xlfn.TEXTJOIN(",",TRUE,_xlfn.UNIQUE(TRANSPOSE(_xlfn.MAP(_xlfn.XLOOKUP(A959,SITE1!$C$4:$C$1034,SITE1!$F$4:$O$1034,""),_xlfn.LAMBDA(_xlpm.x,IF(_xlpm.x&lt;&gt;"",TRIM(CLEAN(LEFT(_xlpm.x,FIND(".",_xlpm.x &amp; ".")-1))),""))))))</f>
        <v>CA231,LA261</v>
      </c>
      <c r="D959">
        <v>21.570599999999999</v>
      </c>
      <c r="E959">
        <v>11.6425</v>
      </c>
      <c r="F959" t="str">
        <f>_xlfn.LET(_xlpm.raw,_xlfn.XLOOKUP(A959,SITE1!$C$4:$C$1034,SITE1!$E$4:$E$1034),_xlpm.cleanRaw,SUBSTITUTE(SUBSTITUTE(_xlpm.raw,"_PIN","."),"PIN","."),_xlpm.mainPart,MID(_xlpm.cleanRaw,2,FIND(".",_xlpm.cleanRaw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603126</v>
      </c>
      <c r="G959" t="str">
        <f>_xlfn.LET(_xlpm.raw,_xlfn.XLOOKUP(A959,SITE3!$C$4:$C$1034,SITE3!$E$4:$E$1034),_xlpm.cleanRaw,SUBSTITUTE(SUBSTITUTE(_xlpm.raw,"_PIN","."),"PIN","."),_xlpm.mainPart,MID(_xlpm.cleanRaw,2,FIND(".",_xlpm.cleanRaw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803126</v>
      </c>
      <c r="H959" t="str">
        <f>""</f>
        <v/>
      </c>
      <c r="I959" t="str">
        <f>""</f>
        <v/>
      </c>
      <c r="J959" t="str">
        <f t="shared" si="14"/>
        <v>BG25;PCIE_6_TXP;CA231,LA261;21.5706;11.6425;603126;803126;;</v>
      </c>
    </row>
    <row r="960" spans="1:10">
      <c r="A960" t="s">
        <v>2687</v>
      </c>
      <c r="B960" t="str">
        <f>_xlfn.XLOOKUP(A960,SITE1!$V$4:$V$1034,SITE1!$U$4:$U$1034,"")</f>
        <v>PCIE_8_TXN</v>
      </c>
      <c r="C960" t="str" cm="1">
        <f t="array" ref="C960">_xlfn.TEXTJOIN(",",TRUE,_xlfn.UNIQUE(TRANSPOSE(_xlfn.MAP(_xlfn.XLOOKUP(A960,SITE1!$C$4:$C$1034,SITE1!$F$4:$O$1034,""),_xlfn.LAMBDA(_xlpm.x,IF(_xlpm.x&lt;&gt;"",TRIM(CLEAN(LEFT(_xlpm.x,FIND(".",_xlpm.x &amp; ".")-1))),""))))))</f>
        <v>CA236,LA271</v>
      </c>
      <c r="D960">
        <v>21.570599999999999</v>
      </c>
      <c r="E960">
        <v>12.5067</v>
      </c>
      <c r="F960" t="str">
        <f>_xlfn.LET(_xlpm.raw,_xlfn.XLOOKUP(A960,SITE1!$C$4:$C$1034,SITE1!$E$4:$E$1034),_xlpm.cleanRaw,SUBSTITUTE(SUBSTITUTE(_xlpm.raw,"_PIN","."),"PIN","."),_xlpm.mainPart,MID(_xlpm.cleanRaw,2,FIND(".",_xlpm.cleanRaw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603086</v>
      </c>
      <c r="G960" t="str">
        <f>_xlfn.LET(_xlpm.raw,_xlfn.XLOOKUP(A960,SITE3!$C$4:$C$1034,SITE3!$E$4:$E$1034),_xlpm.cleanRaw,SUBSTITUTE(SUBSTITUTE(_xlpm.raw,"_PIN","."),"PIN","."),_xlpm.mainPart,MID(_xlpm.cleanRaw,2,FIND(".",_xlpm.cleanRaw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803086</v>
      </c>
      <c r="H960" t="str">
        <f>""</f>
        <v/>
      </c>
      <c r="I960" t="str">
        <f>""</f>
        <v/>
      </c>
      <c r="J960" t="str">
        <f t="shared" si="14"/>
        <v>BG27;PCIE_8_TXN;CA236,LA271;21.5706;12.5067;603086;803086;;</v>
      </c>
    </row>
    <row r="961" spans="1:10">
      <c r="A961" t="s">
        <v>2695</v>
      </c>
      <c r="B961" t="str">
        <f>_xlfn.XLOOKUP(A961,SITE1!$V$4:$V$1034,SITE1!$U$4:$U$1034,"")</f>
        <v>PCIE_8_TXP</v>
      </c>
      <c r="C961" t="str" cm="1">
        <f t="array" ref="C961">_xlfn.TEXTJOIN(",",TRUE,_xlfn.UNIQUE(TRANSPOSE(_xlfn.MAP(_xlfn.XLOOKUP(A961,SITE1!$C$4:$C$1034,SITE1!$F$4:$O$1034,""),_xlfn.LAMBDA(_xlpm.x,IF(_xlpm.x&lt;&gt;"",TRIM(CLEAN(LEFT(_xlpm.x,FIND(".",_xlpm.x &amp; ".")-1))),""))))))</f>
        <v>CA235,LA269</v>
      </c>
      <c r="D961">
        <v>21.570599999999999</v>
      </c>
      <c r="E961">
        <v>13.007099999999999</v>
      </c>
      <c r="F961" t="str">
        <f>_xlfn.LET(_xlpm.raw,_xlfn.XLOOKUP(A961,SITE1!$C$4:$C$1034,SITE1!$E$4:$E$1034),_xlpm.cleanRaw,SUBSTITUTE(SUBSTITUTE(_xlpm.raw,"_PIN","."),"PIN","."),_xlpm.mainPart,MID(_xlpm.cleanRaw,2,FIND(".",_xlpm.cleanRaw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603085</v>
      </c>
      <c r="G961" t="str">
        <f>_xlfn.LET(_xlpm.raw,_xlfn.XLOOKUP(A961,SITE3!$C$4:$C$1034,SITE3!$E$4:$E$1034),_xlpm.cleanRaw,SUBSTITUTE(SUBSTITUTE(_xlpm.raw,"_PIN","."),"PIN","."),_xlpm.mainPart,MID(_xlpm.cleanRaw,2,FIND(".",_xlpm.cleanRaw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803085</v>
      </c>
      <c r="H961" t="str">
        <f>""</f>
        <v/>
      </c>
      <c r="I961" t="str">
        <f>""</f>
        <v/>
      </c>
      <c r="J961" t="str">
        <f t="shared" si="14"/>
        <v>BG28;PCIE_8_TXP;CA235,LA269;21.5706;13.0071;603085;803085;;</v>
      </c>
    </row>
    <row r="962" spans="1:10">
      <c r="A962" t="s">
        <v>1945</v>
      </c>
      <c r="B962" t="str">
        <f>_xlfn.XLOOKUP(A962,SITE1!$V$4:$V$1034,SITE1!$U$4:$U$1034,"")</f>
        <v>PCIE_10_TSN_1_TXN</v>
      </c>
      <c r="C962" t="str" cm="1">
        <f t="array" ref="C962">_xlfn.TEXTJOIN(",",TRUE,_xlfn.UNIQUE(TRANSPOSE(_xlfn.MAP(_xlfn.XLOOKUP(A962,SITE1!$C$4:$C$1034,SITE1!$F$4:$O$1034,""),_xlfn.LAMBDA(_xlpm.x,IF(_xlpm.x&lt;&gt;"",TRIM(CLEAN(LEFT(_xlpm.x,FIND(".",_xlpm.x &amp; ".")-1))),""))))))</f>
        <v>CA240,LA279</v>
      </c>
      <c r="D962">
        <v>21.570599999999999</v>
      </c>
      <c r="E962">
        <v>13.8711</v>
      </c>
      <c r="F962" t="str">
        <f>_xlfn.LET(_xlpm.raw,_xlfn.XLOOKUP(A962,SITE1!$C$4:$C$1034,SITE1!$E$4:$E$1034),_xlpm.cleanRaw,SUBSTITUTE(SUBSTITUTE(_xlpm.raw,"_PIN","."),"PIN","."),_xlpm.mainPart,MID(_xlpm.cleanRaw,2,FIND(".",_xlpm.cleanRaw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703016</v>
      </c>
      <c r="G962" t="str">
        <f>_xlfn.LET(_xlpm.raw,_xlfn.XLOOKUP(A962,SITE3!$C$4:$C$1034,SITE3!$E$4:$E$1034),_xlpm.cleanRaw,SUBSTITUTE(SUBSTITUTE(_xlpm.raw,"_PIN","."),"PIN","."),_xlpm.mainPart,MID(_xlpm.cleanRaw,2,FIND(".",_xlpm.cleanRaw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503016</v>
      </c>
      <c r="H962" t="str">
        <f>""</f>
        <v/>
      </c>
      <c r="I962" t="str">
        <f>""</f>
        <v/>
      </c>
      <c r="J962" t="str">
        <f t="shared" ref="J962:J1025" si="15">A962&amp;";"&amp;B962&amp;";"&amp;C962&amp;";"&amp;D962&amp;";"&amp;E962&amp;";"&amp;F962&amp;";"&amp;G962&amp;";"&amp;H962&amp;";"&amp;I962</f>
        <v>BG30;PCIE_10_TSN_1_TXN;CA240,LA279;21.5706;13.8711;703016;503016;;</v>
      </c>
    </row>
    <row r="963" spans="1:10">
      <c r="A963" t="s">
        <v>1953</v>
      </c>
      <c r="B963" t="str">
        <f>_xlfn.XLOOKUP(A963,SITE1!$V$4:$V$1034,SITE1!$U$4:$U$1034,"")</f>
        <v>PCIE_10_TSN_1_TXP</v>
      </c>
      <c r="C963" t="str" cm="1">
        <f t="array" ref="C963">_xlfn.TEXTJOIN(",",TRUE,_xlfn.UNIQUE(TRANSPOSE(_xlfn.MAP(_xlfn.XLOOKUP(A963,SITE1!$C$4:$C$1034,SITE1!$F$4:$O$1034,""),_xlfn.LAMBDA(_xlpm.x,IF(_xlpm.x&lt;&gt;"",TRIM(CLEAN(LEFT(_xlpm.x,FIND(".",_xlpm.x &amp; ".")-1))),""))))))</f>
        <v>CA239,LA277</v>
      </c>
      <c r="D963">
        <v>21.570599999999999</v>
      </c>
      <c r="E963">
        <v>14.371499999999999</v>
      </c>
      <c r="F963" t="str">
        <f>_xlfn.LET(_xlpm.raw,_xlfn.XLOOKUP(A963,SITE1!$C$4:$C$1034,SITE1!$E$4:$E$1034),_xlpm.cleanRaw,SUBSTITUTE(SUBSTITUTE(_xlpm.raw,"_PIN","."),"PIN","."),_xlpm.mainPart,MID(_xlpm.cleanRaw,2,FIND(".",_xlpm.cleanRaw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703018</v>
      </c>
      <c r="G963" t="str">
        <f>_xlfn.LET(_xlpm.raw,_xlfn.XLOOKUP(A963,SITE3!$C$4:$C$1034,SITE3!$E$4:$E$1034),_xlpm.cleanRaw,SUBSTITUTE(SUBSTITUTE(_xlpm.raw,"_PIN","."),"PIN","."),_xlpm.mainPart,MID(_xlpm.cleanRaw,2,FIND(".",_xlpm.cleanRaw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503018</v>
      </c>
      <c r="H963" t="str">
        <f>""</f>
        <v/>
      </c>
      <c r="I963" t="str">
        <f>""</f>
        <v/>
      </c>
      <c r="J963" t="str">
        <f t="shared" si="15"/>
        <v>BG31;PCIE_10_TSN_1_TXP;CA239,LA277;21.5706;14.3715;703018;503018;;</v>
      </c>
    </row>
    <row r="964" spans="1:10">
      <c r="A964" t="s">
        <v>2017</v>
      </c>
      <c r="B964" t="str">
        <f>_xlfn.XLOOKUP(A964,SITE1!$V$4:$V$1034,SITE1!$U$4:$U$1034,"")</f>
        <v>PCIE_12_TXN</v>
      </c>
      <c r="C964" t="str" cm="1">
        <f t="array" ref="C964">_xlfn.TEXTJOIN(",",TRUE,_xlfn.UNIQUE(TRANSPOSE(_xlfn.MAP(_xlfn.XLOOKUP(A964,SITE1!$C$4:$C$1034,SITE1!$F$4:$O$1034,""),_xlfn.LAMBDA(_xlpm.x,IF(_xlpm.x&lt;&gt;"",TRIM(CLEAN(LEFT(_xlpm.x,FIND(".",_xlpm.x &amp; ".")-1))),""))))))</f>
        <v>CA244,LA287</v>
      </c>
      <c r="D964">
        <v>21.570599999999999</v>
      </c>
      <c r="E964">
        <v>15.2357</v>
      </c>
      <c r="F964" t="str">
        <f>_xlfn.LET(_xlpm.raw,_xlfn.XLOOKUP(A964,SITE1!$C$4:$C$1034,SITE1!$E$4:$E$1034),_xlpm.cleanRaw,SUBSTITUTE(SUBSTITUTE(_xlpm.raw,"_PIN","."),"PIN","."),_xlpm.mainPart,MID(_xlpm.cleanRaw,2,FIND(".",_xlpm.cleanRaw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706008</v>
      </c>
      <c r="G964" t="str">
        <f>_xlfn.LET(_xlpm.raw,_xlfn.XLOOKUP(A964,SITE3!$C$4:$C$1034,SITE3!$E$4:$E$1034),_xlpm.cleanRaw,SUBSTITUTE(SUBSTITUTE(_xlpm.raw,"_PIN","."),"PIN","."),_xlpm.mainPart,MID(_xlpm.cleanRaw,2,FIND(".",_xlpm.cleanRaw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506008</v>
      </c>
      <c r="H964" t="str">
        <f>""</f>
        <v/>
      </c>
      <c r="I964" t="str">
        <f>""</f>
        <v/>
      </c>
      <c r="J964" t="str">
        <f t="shared" si="15"/>
        <v>BG33;PCIE_12_TXN;CA244,LA287;21.5706;15.2357;706008;506008;;</v>
      </c>
    </row>
    <row r="965" spans="1:10">
      <c r="A965" t="s">
        <v>2025</v>
      </c>
      <c r="B965" t="str">
        <f>_xlfn.XLOOKUP(A965,SITE1!$V$4:$V$1034,SITE1!$U$4:$U$1034,"")</f>
        <v>PCIE_12_TXP</v>
      </c>
      <c r="C965" t="str" cm="1">
        <f t="array" ref="C965">_xlfn.TEXTJOIN(",",TRUE,_xlfn.UNIQUE(TRANSPOSE(_xlfn.MAP(_xlfn.XLOOKUP(A965,SITE1!$C$4:$C$1034,SITE1!$F$4:$O$1034,""),_xlfn.LAMBDA(_xlpm.x,IF(_xlpm.x&lt;&gt;"",TRIM(CLEAN(LEFT(_xlpm.x,FIND(".",_xlpm.x &amp; ".")-1))),""))))))</f>
        <v>CA243,LA285</v>
      </c>
      <c r="D965">
        <v>21.570599999999999</v>
      </c>
      <c r="E965">
        <v>15.7361</v>
      </c>
      <c r="F965" t="str">
        <f>_xlfn.LET(_xlpm.raw,_xlfn.XLOOKUP(A965,SITE1!$C$4:$C$1034,SITE1!$E$4:$E$1034),_xlpm.cleanRaw,SUBSTITUTE(SUBSTITUTE(_xlpm.raw,"_PIN","."),"PIN","."),_xlpm.mainPart,MID(_xlpm.cleanRaw,2,FIND(".",_xlpm.cleanRaw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706010</v>
      </c>
      <c r="G965" t="str">
        <f>_xlfn.LET(_xlpm.raw,_xlfn.XLOOKUP(A965,SITE3!$C$4:$C$1034,SITE3!$E$4:$E$1034),_xlpm.cleanRaw,SUBSTITUTE(SUBSTITUTE(_xlpm.raw,"_PIN","."),"PIN","."),_xlpm.mainPart,MID(_xlpm.cleanRaw,2,FIND(".",_xlpm.cleanRaw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506010</v>
      </c>
      <c r="H965" t="str">
        <f>""</f>
        <v/>
      </c>
      <c r="I965" t="str">
        <f>""</f>
        <v/>
      </c>
      <c r="J965" t="str">
        <f t="shared" si="15"/>
        <v>BG34;PCIE_12_TXP;CA243,LA285;21.5706;15.7361;706010;506010;;</v>
      </c>
    </row>
    <row r="966" spans="1:10">
      <c r="A966" t="s">
        <v>2088</v>
      </c>
      <c r="B966" t="str">
        <f>_xlfn.XLOOKUP(A966,SITE1!$V$4:$V$1034,SITE1!$U$4:$U$1034,"")</f>
        <v>PCIE_14_SATA_1_TXN</v>
      </c>
      <c r="C966" t="str" cm="1">
        <f t="array" ref="C966">_xlfn.TEXTJOIN(",",TRUE,_xlfn.UNIQUE(TRANSPOSE(_xlfn.MAP(_xlfn.XLOOKUP(A966,SITE1!$C$4:$C$1034,SITE1!$F$4:$O$1034,""),_xlfn.LAMBDA(_xlpm.x,IF(_xlpm.x&lt;&gt;"",TRIM(CLEAN(LEFT(_xlpm.x,FIND(".",_xlpm.x &amp; ".")-1))),""))))))</f>
        <v>CA248,LA295</v>
      </c>
      <c r="D966">
        <v>21.570599999999999</v>
      </c>
      <c r="E966">
        <v>16.600100000000001</v>
      </c>
      <c r="F966" t="str">
        <f>_xlfn.LET(_xlpm.raw,_xlfn.XLOOKUP(A966,SITE1!$C$4:$C$1034,SITE1!$E$4:$E$1034),_xlpm.cleanRaw,SUBSTITUTE(SUBSTITUTE(_xlpm.raw,"_PIN","."),"PIN","."),_xlpm.mainPart,MID(_xlpm.cleanRaw,2,FIND(".",_xlpm.cleanRaw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602048</v>
      </c>
      <c r="G966" t="str">
        <f>_xlfn.LET(_xlpm.raw,_xlfn.XLOOKUP(A966,SITE3!$C$4:$C$1034,SITE3!$E$4:$E$1034),_xlpm.cleanRaw,SUBSTITUTE(SUBSTITUTE(_xlpm.raw,"_PIN","."),"PIN","."),_xlpm.mainPart,MID(_xlpm.cleanRaw,2,FIND(".",_xlpm.cleanRaw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802048</v>
      </c>
      <c r="H966" t="str">
        <f>""</f>
        <v/>
      </c>
      <c r="I966" t="str">
        <f>""</f>
        <v/>
      </c>
      <c r="J966" t="str">
        <f t="shared" si="15"/>
        <v>BG36;PCIE_14_SATA_1_TXN;CA248,LA295;21.5706;16.6001;602048;802048;;</v>
      </c>
    </row>
    <row r="967" spans="1:10">
      <c r="A967" t="s">
        <v>2096</v>
      </c>
      <c r="B967" t="str">
        <f>_xlfn.XLOOKUP(A967,SITE1!$V$4:$V$1034,SITE1!$U$4:$U$1034,"")</f>
        <v>PCIE_14_SATA_1_TXP</v>
      </c>
      <c r="C967" t="str" cm="1">
        <f t="array" ref="C967">_xlfn.TEXTJOIN(",",TRUE,_xlfn.UNIQUE(TRANSPOSE(_xlfn.MAP(_xlfn.XLOOKUP(A967,SITE1!$C$4:$C$1034,SITE1!$F$4:$O$1034,""),_xlfn.LAMBDA(_xlpm.x,IF(_xlpm.x&lt;&gt;"",TRIM(CLEAN(LEFT(_xlpm.x,FIND(".",_xlpm.x &amp; ".")-1))),""))))))</f>
        <v>CA247,LA293</v>
      </c>
      <c r="D967">
        <v>21.570599999999999</v>
      </c>
      <c r="E967">
        <v>17.1005</v>
      </c>
      <c r="F967" t="str">
        <f>_xlfn.LET(_xlpm.raw,_xlfn.XLOOKUP(A967,SITE1!$C$4:$C$1034,SITE1!$E$4:$E$1034),_xlpm.cleanRaw,SUBSTITUTE(SUBSTITUTE(_xlpm.raw,"_PIN","."),"PIN","."),_xlpm.mainPart,MID(_xlpm.cleanRaw,2,FIND(".",_xlpm.cleanRaw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602047</v>
      </c>
      <c r="G967" t="str">
        <f>_xlfn.LET(_xlpm.raw,_xlfn.XLOOKUP(A967,SITE3!$C$4:$C$1034,SITE3!$E$4:$E$1034),_xlpm.cleanRaw,SUBSTITUTE(SUBSTITUTE(_xlpm.raw,"_PIN","."),"PIN","."),_xlpm.mainPart,MID(_xlpm.cleanRaw,2,FIND(".",_xlpm.cleanRaw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802047</v>
      </c>
      <c r="H967" t="str">
        <f>""</f>
        <v/>
      </c>
      <c r="I967" t="str">
        <f>""</f>
        <v/>
      </c>
      <c r="J967" t="str">
        <f t="shared" si="15"/>
        <v>BG37;PCIE_14_SATA_1_TXP;CA247,LA293;21.5706;17.1005;602047;802047;;</v>
      </c>
    </row>
    <row r="968" spans="1:10">
      <c r="A968" t="s">
        <v>2158</v>
      </c>
      <c r="B968" t="str">
        <f>_xlfn.XLOOKUP(A968,SITE1!$V$4:$V$1034,SITE1!$U$4:$U$1034,"")</f>
        <v>PCIE_16_SATA_3_TXN</v>
      </c>
      <c r="C968" t="str" cm="1">
        <f t="array" ref="C968">_xlfn.TEXTJOIN(",",TRUE,_xlfn.UNIQUE(TRANSPOSE(_xlfn.MAP(_xlfn.XLOOKUP(A968,SITE1!$C$4:$C$1034,SITE1!$F$4:$O$1034,""),_xlfn.LAMBDA(_xlpm.x,IF(_xlpm.x&lt;&gt;"",TRIM(CLEAN(LEFT(_xlpm.x,FIND(".",_xlpm.x &amp; ".")-1))),""))))))</f>
        <v>CA252,LA303</v>
      </c>
      <c r="D968">
        <v>21.570599999999999</v>
      </c>
      <c r="E968">
        <v>17.964700000000001</v>
      </c>
      <c r="F968" t="str">
        <f>_xlfn.LET(_xlpm.raw,_xlfn.XLOOKUP(A968,SITE1!$C$4:$C$1034,SITE1!$E$4:$E$1034),_xlpm.cleanRaw,SUBSTITUTE(SUBSTITUTE(_xlpm.raw,"_PIN","."),"PIN","."),_xlpm.mainPart,MID(_xlpm.cleanRaw,2,FIND(".",_xlpm.cleanRaw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601002</v>
      </c>
      <c r="G968" t="str">
        <f>_xlfn.LET(_xlpm.raw,_xlfn.XLOOKUP(A968,SITE3!$C$4:$C$1034,SITE3!$E$4:$E$1034),_xlpm.cleanRaw,SUBSTITUTE(SUBSTITUTE(_xlpm.raw,"_PIN","."),"PIN","."),_xlpm.mainPart,MID(_xlpm.cleanRaw,2,FIND(".",_xlpm.cleanRaw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801002</v>
      </c>
      <c r="H968" t="str">
        <f>""</f>
        <v/>
      </c>
      <c r="I968" t="str">
        <f>""</f>
        <v/>
      </c>
      <c r="J968" t="str">
        <f t="shared" si="15"/>
        <v>BG39;PCIE_16_SATA_3_TXN;CA252,LA303;21.5706;17.9647;601002;801002;;</v>
      </c>
    </row>
    <row r="969" spans="1:10">
      <c r="A969" t="s">
        <v>2166</v>
      </c>
      <c r="B969" t="str">
        <f>_xlfn.XLOOKUP(A969,SITE1!$V$4:$V$1034,SITE1!$U$4:$U$1034,"")</f>
        <v>PCIE_16_SATA_3_TXP</v>
      </c>
      <c r="C969" t="str" cm="1">
        <f t="array" ref="C969">_xlfn.TEXTJOIN(",",TRUE,_xlfn.UNIQUE(TRANSPOSE(_xlfn.MAP(_xlfn.XLOOKUP(A969,SITE1!$C$4:$C$1034,SITE1!$F$4:$O$1034,""),_xlfn.LAMBDA(_xlpm.x,IF(_xlpm.x&lt;&gt;"",TRIM(CLEAN(LEFT(_xlpm.x,FIND(".",_xlpm.x &amp; ".")-1))),""))))))</f>
        <v>CA251,LA301</v>
      </c>
      <c r="D969">
        <v>21.570599999999999</v>
      </c>
      <c r="E969">
        <v>18.4651</v>
      </c>
      <c r="F969" t="str">
        <f>_xlfn.LET(_xlpm.raw,_xlfn.XLOOKUP(A969,SITE1!$C$4:$C$1034,SITE1!$E$4:$E$1034),_xlpm.cleanRaw,SUBSTITUTE(SUBSTITUTE(_xlpm.raw,"_PIN","."),"PIN","."),_xlpm.mainPart,MID(_xlpm.cleanRaw,2,FIND(".",_xlpm.cleanRaw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601001</v>
      </c>
      <c r="G969" t="str">
        <f>_xlfn.LET(_xlpm.raw,_xlfn.XLOOKUP(A969,SITE3!$C$4:$C$1034,SITE3!$E$4:$E$1034),_xlpm.cleanRaw,SUBSTITUTE(SUBSTITUTE(_xlpm.raw,"_PIN","."),"PIN","."),_xlpm.mainPart,MID(_xlpm.cleanRaw,2,FIND(".",_xlpm.cleanRaw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801001</v>
      </c>
      <c r="H969" t="str">
        <f>""</f>
        <v/>
      </c>
      <c r="I969" t="str">
        <f>""</f>
        <v/>
      </c>
      <c r="J969" t="str">
        <f t="shared" si="15"/>
        <v>BG40;PCIE_16_SATA_3_TXP;CA251,LA301;21.5706;18.4651;601001;801001;;</v>
      </c>
    </row>
    <row r="970" spans="1:10">
      <c r="A970" t="s">
        <v>2229</v>
      </c>
      <c r="B970" t="str">
        <f>_xlfn.XLOOKUP(A970,SITE1!$V$4:$V$1034,SITE1!$U$4:$U$1034,"")</f>
        <v>PCIE_18_SATA_5_TXN</v>
      </c>
      <c r="C970" t="str" cm="1">
        <f t="array" ref="C970">_xlfn.TEXTJOIN(",",TRUE,_xlfn.UNIQUE(TRANSPOSE(_xlfn.MAP(_xlfn.XLOOKUP(A970,SITE1!$C$4:$C$1034,SITE1!$F$4:$O$1034,""),_xlfn.LAMBDA(_xlpm.x,IF(_xlpm.x&lt;&gt;"",TRIM(CLEAN(LEFT(_xlpm.x,FIND(".",_xlpm.x &amp; ".")-1))),""))))))</f>
        <v>CA256,LA311</v>
      </c>
      <c r="D970">
        <v>21.570599999999999</v>
      </c>
      <c r="E970">
        <v>19.3291</v>
      </c>
      <c r="F970" t="str">
        <f>_xlfn.LET(_xlpm.raw,_xlfn.XLOOKUP(A970,SITE1!$C$4:$C$1034,SITE1!$E$4:$E$1034),_xlpm.cleanRaw,SUBSTITUTE(SUBSTITUTE(_xlpm.raw,"_PIN","."),"PIN","."),_xlpm.mainPart,MID(_xlpm.cleanRaw,2,FIND(".",_xlpm.cleanRaw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704115</v>
      </c>
      <c r="G970" t="str">
        <f>_xlfn.LET(_xlpm.raw,_xlfn.XLOOKUP(A970,SITE3!$C$4:$C$1034,SITE3!$E$4:$E$1034),_xlpm.cleanRaw,SUBSTITUTE(SUBSTITUTE(_xlpm.raw,"_PIN","."),"PIN","."),_xlpm.mainPart,MID(_xlpm.cleanRaw,2,FIND(".",_xlpm.cleanRaw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504115</v>
      </c>
      <c r="H970" t="str">
        <f>""</f>
        <v/>
      </c>
      <c r="I970" t="str">
        <f>""</f>
        <v/>
      </c>
      <c r="J970" t="str">
        <f t="shared" si="15"/>
        <v>BG41;PCIE_18_SATA_5_TXN;CA256,LA311;21.5706;19.3291;704115;504115;;</v>
      </c>
    </row>
    <row r="971" spans="1:10">
      <c r="A971" t="s">
        <v>2237</v>
      </c>
      <c r="B971" t="str">
        <f>_xlfn.XLOOKUP(A971,SITE1!$V$4:$V$1034,SITE1!$U$4:$U$1034,"")</f>
        <v>PCIE_18_SATA_5_TXP</v>
      </c>
      <c r="C971" t="str" cm="1">
        <f t="array" ref="C971">_xlfn.TEXTJOIN(",",TRUE,_xlfn.UNIQUE(TRANSPOSE(_xlfn.MAP(_xlfn.XLOOKUP(A971,SITE1!$C$4:$C$1034,SITE1!$F$4:$O$1034,""),_xlfn.LAMBDA(_xlpm.x,IF(_xlpm.x&lt;&gt;"",TRIM(CLEAN(LEFT(_xlpm.x,FIND(".",_xlpm.x &amp; ".")-1))),""))))))</f>
        <v>CA255,LA309</v>
      </c>
      <c r="D971">
        <v>21.570599999999999</v>
      </c>
      <c r="E971">
        <v>19.829499999999999</v>
      </c>
      <c r="F971" t="str">
        <f>_xlfn.LET(_xlpm.raw,_xlfn.XLOOKUP(A971,SITE1!$C$4:$C$1034,SITE1!$E$4:$E$1034),_xlpm.cleanRaw,SUBSTITUTE(SUBSTITUTE(_xlpm.raw,"_PIN","."),"PIN","."),_xlpm.mainPart,MID(_xlpm.cleanRaw,2,FIND(".",_xlpm.cleanRaw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704113</v>
      </c>
      <c r="G971" t="str">
        <f>_xlfn.LET(_xlpm.raw,_xlfn.XLOOKUP(A971,SITE3!$C$4:$C$1034,SITE3!$E$4:$E$1034),_xlpm.cleanRaw,SUBSTITUTE(SUBSTITUTE(_xlpm.raw,"_PIN","."),"PIN","."),_xlpm.mainPart,MID(_xlpm.cleanRaw,2,FIND(".",_xlpm.cleanRaw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504113</v>
      </c>
      <c r="H971" t="str">
        <f>""</f>
        <v/>
      </c>
      <c r="I971" t="str">
        <f>""</f>
        <v/>
      </c>
      <c r="J971" t="str">
        <f t="shared" si="15"/>
        <v>BG42;PCIE_18_SATA_5_TXP;CA255,LA309;21.5706;19.8295;704113;504113;;</v>
      </c>
    </row>
    <row r="972" spans="1:10">
      <c r="A972" t="s">
        <v>2336</v>
      </c>
      <c r="B972" t="str">
        <f>_xlfn.XLOOKUP(A972,SITE1!$V$4:$V$1034,SITE1!$U$4:$U$1034,"")</f>
        <v>PCIE_20_SATA_7_TXN</v>
      </c>
      <c r="C972" t="str" cm="1">
        <f t="array" ref="C972">_xlfn.TEXTJOIN(",",TRUE,_xlfn.UNIQUE(TRANSPOSE(_xlfn.MAP(_xlfn.XLOOKUP(A972,SITE1!$C$4:$C$1034,SITE1!$F$4:$O$1034,""),_xlfn.LAMBDA(_xlpm.x,IF(_xlpm.x&lt;&gt;"",TRIM(CLEAN(LEFT(_xlpm.x,FIND(".",_xlpm.x &amp; ".")-1))),""))))))</f>
        <v>CA260,LA319</v>
      </c>
      <c r="D972">
        <v>21.570599999999999</v>
      </c>
      <c r="E972">
        <v>20.6937</v>
      </c>
      <c r="F972" t="str">
        <f>_xlfn.LET(_xlpm.raw,_xlfn.XLOOKUP(A972,SITE1!$C$4:$C$1034,SITE1!$E$4:$E$1034),_xlpm.cleanRaw,SUBSTITUTE(SUBSTITUTE(_xlpm.raw,"_PIN","."),"PIN","."),_xlpm.mainPart,MID(_xlpm.cleanRaw,2,FIND(".",_xlpm.cleanRaw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707125</v>
      </c>
      <c r="G972" t="str">
        <f>_xlfn.LET(_xlpm.raw,_xlfn.XLOOKUP(A972,SITE3!$C$4:$C$1034,SITE3!$E$4:$E$1034),_xlpm.cleanRaw,SUBSTITUTE(SUBSTITUTE(_xlpm.raw,"_PIN","."),"PIN","."),_xlpm.mainPart,MID(_xlpm.cleanRaw,2,FIND(".",_xlpm.cleanRaw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507125</v>
      </c>
      <c r="H972" t="str">
        <f>""</f>
        <v/>
      </c>
      <c r="I972" t="str">
        <f>""</f>
        <v/>
      </c>
      <c r="J972" t="str">
        <f t="shared" si="15"/>
        <v>BG44;PCIE_20_SATA_7_TXN;CA260,LA319;21.5706;20.6937;707125;507125;;</v>
      </c>
    </row>
    <row r="973" spans="1:10">
      <c r="A973" t="s">
        <v>2344</v>
      </c>
      <c r="B973" t="str">
        <f>_xlfn.XLOOKUP(A973,SITE1!$V$4:$V$1034,SITE1!$U$4:$U$1034,"")</f>
        <v>PCIE_20_SATA_7_TXP</v>
      </c>
      <c r="C973" t="str" cm="1">
        <f t="array" ref="C973">_xlfn.TEXTJOIN(",",TRUE,_xlfn.UNIQUE(TRANSPOSE(_xlfn.MAP(_xlfn.XLOOKUP(A973,SITE1!$C$4:$C$1034,SITE1!$F$4:$O$1034,""),_xlfn.LAMBDA(_xlpm.x,IF(_xlpm.x&lt;&gt;"",TRIM(CLEAN(LEFT(_xlpm.x,FIND(".",_xlpm.x &amp; ".")-1))),""))))))</f>
        <v>CA259,LA317</v>
      </c>
      <c r="D973">
        <v>21.570599999999999</v>
      </c>
      <c r="E973">
        <v>21.194099999999999</v>
      </c>
      <c r="F973" t="str">
        <f>_xlfn.LET(_xlpm.raw,_xlfn.XLOOKUP(A973,SITE1!$C$4:$C$1034,SITE1!$E$4:$E$1034),_xlpm.cleanRaw,SUBSTITUTE(SUBSTITUTE(_xlpm.raw,"_PIN","."),"PIN","."),_xlpm.mainPart,MID(_xlpm.cleanRaw,2,FIND(".",_xlpm.cleanRaw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707123</v>
      </c>
      <c r="G973" t="str">
        <f>_xlfn.LET(_xlpm.raw,_xlfn.XLOOKUP(A973,SITE3!$C$4:$C$1034,SITE3!$E$4:$E$1034),_xlpm.cleanRaw,SUBSTITUTE(SUBSTITUTE(_xlpm.raw,"_PIN","."),"PIN","."),_xlpm.mainPart,MID(_xlpm.cleanRaw,2,FIND(".",_xlpm.cleanRaw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507123</v>
      </c>
      <c r="H973" t="str">
        <f>""</f>
        <v/>
      </c>
      <c r="I973" t="str">
        <f>""</f>
        <v/>
      </c>
      <c r="J973" t="str">
        <f t="shared" si="15"/>
        <v>BG45;PCIE_20_SATA_7_TXP;CA259,LA317;21.5706;21.1941;707123;507123;;</v>
      </c>
    </row>
    <row r="974" spans="1:10">
      <c r="A974" t="s">
        <v>1779</v>
      </c>
      <c r="B974" t="str">
        <f>_xlfn.XLOOKUP(A974,SITE1!$V$4:$V$1034,SITE1!$U$4:$U$1034,"")</f>
        <v>GPP_S_2_SNDW1_CLK_DMIC_CLK_A_0_RGMII_RESET_0_SNDW0_DATA1</v>
      </c>
      <c r="C974" t="str" cm="1">
        <f t="array" ref="C974">_xlfn.TEXTJOIN(",",TRUE,_xlfn.UNIQUE(TRANSPOSE(_xlfn.MAP(_xlfn.XLOOKUP(A974,SITE1!$C$4:$C$1034,SITE1!$F$4:$O$1034,""),_xlfn.LAMBDA(_xlpm.x,IF(_xlpm.x&lt;&gt;"",TRIM(CLEAN(LEFT(_xlpm.x,FIND(".",_xlpm.x &amp; ".")-1))),""))))))</f>
        <v/>
      </c>
      <c r="D974">
        <v>21.8553</v>
      </c>
      <c r="E974">
        <v>21.901399999999999</v>
      </c>
      <c r="F974" t="str">
        <f>_xlfn.LET(_xlpm.raw,_xlfn.XLOOKUP(A974,SITE1!$C$4:$C$1034,SITE1!$E$4:$E$1034),_xlpm.cleanRaw,SUBSTITUTE(SUBSTITUTE(_xlpm.raw,"_PIN","."),"PIN","."),_xlpm.mainPart,MID(_xlpm.cleanRaw,2,FIND(".",_xlpm.cleanRaw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705044</v>
      </c>
      <c r="G974" t="str">
        <f>_xlfn.LET(_xlpm.raw,_xlfn.XLOOKUP(A974,SITE3!$C$4:$C$1034,SITE3!$E$4:$E$1034),_xlpm.cleanRaw,SUBSTITUTE(SUBSTITUTE(_xlpm.raw,"_PIN","."),"PIN","."),_xlpm.mainPart,MID(_xlpm.cleanRaw,2,FIND(".",_xlpm.cleanRaw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505044</v>
      </c>
      <c r="H974" t="str">
        <f>""</f>
        <v/>
      </c>
      <c r="I974" t="str">
        <f>""</f>
        <v/>
      </c>
      <c r="J974" t="str">
        <f t="shared" si="15"/>
        <v>BG47;GPP_S_2_SNDW1_CLK_DMIC_CLK_A_0_RGMII_RESET_0_SNDW0_DATA1;;21.8553;21.9014;705044;505044;;</v>
      </c>
    </row>
    <row r="975" spans="1:10">
      <c r="A975" t="s">
        <v>1799</v>
      </c>
      <c r="B975" t="str">
        <f>_xlfn.XLOOKUP(A975,SITE1!$V$4:$V$1034,SITE1!$U$4:$U$1034,"")</f>
        <v>GPP_S_6_SNDW3_CLK_DMIC_CLK_A_1_RGMII_RESET_1</v>
      </c>
      <c r="C975" t="str" cm="1">
        <f t="array" ref="C975">_xlfn.TEXTJOIN(",",TRUE,_xlfn.UNIQUE(TRANSPOSE(_xlfn.MAP(_xlfn.XLOOKUP(A975,SITE1!$C$4:$C$1034,SITE1!$F$4:$O$1034,""),_xlfn.LAMBDA(_xlpm.x,IF(_xlpm.x&lt;&gt;"",TRIM(CLEAN(LEFT(_xlpm.x,FIND(".",_xlpm.x &amp; ".")-1))),""))))))</f>
        <v/>
      </c>
      <c r="D975">
        <v>21.642399999999999</v>
      </c>
      <c r="E975">
        <v>22.759599999999999</v>
      </c>
      <c r="F975" t="str">
        <f>_xlfn.LET(_xlpm.raw,_xlfn.XLOOKUP(A975,SITE1!$C$4:$C$1034,SITE1!$E$4:$E$1034),_xlpm.cleanRaw,SUBSTITUTE(SUBSTITUTE(_xlpm.raw,"_PIN","."),"PIN","."),_xlpm.mainPart,MID(_xlpm.cleanRaw,2,FIND(".",_xlpm.cleanRaw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705063</v>
      </c>
      <c r="G975" t="str">
        <f>_xlfn.LET(_xlpm.raw,_xlfn.XLOOKUP(A975,SITE3!$C$4:$C$1034,SITE3!$E$4:$E$1034),_xlpm.cleanRaw,SUBSTITUTE(SUBSTITUTE(_xlpm.raw,"_PIN","."),"PIN","."),_xlpm.mainPart,MID(_xlpm.cleanRaw,2,FIND(".",_xlpm.cleanRaw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505063</v>
      </c>
      <c r="H975" t="str">
        <f>""</f>
        <v/>
      </c>
      <c r="I975" t="str">
        <f>""</f>
        <v/>
      </c>
      <c r="J975" t="str">
        <f t="shared" si="15"/>
        <v>BG49;GPP_S_6_SNDW3_CLK_DMIC_CLK_A_1_RGMII_RESET_1;;21.6424;22.7596;705063;505063;;</v>
      </c>
    </row>
    <row r="976" spans="1:10">
      <c r="A976" t="s">
        <v>1184</v>
      </c>
      <c r="B976" t="str">
        <f>_xlfn.XLOOKUP(A976,SITE1!$V$4:$V$1034,SITE1!$U$4:$U$1034,"")</f>
        <v>GPP_E_12_ISH_GP_10</v>
      </c>
      <c r="C976" t="str" cm="1">
        <f t="array" ref="C976">_xlfn.TEXTJOIN(",",TRUE,_xlfn.UNIQUE(TRANSPOSE(_xlfn.MAP(_xlfn.XLOOKUP(A976,SITE1!$C$4:$C$1034,SITE1!$F$4:$O$1034,""),_xlfn.LAMBDA(_xlpm.x,IF(_xlpm.x&lt;&gt;"",TRIM(CLEAN(LEFT(_xlpm.x,FIND(".",_xlpm.x &amp; ".")-1))),""))))))</f>
        <v/>
      </c>
      <c r="D976">
        <v>21.726399999999899</v>
      </c>
      <c r="E976">
        <v>23.420299999999902</v>
      </c>
      <c r="F976" t="str">
        <f>_xlfn.LET(_xlpm.raw,_xlfn.XLOOKUP(A976,SITE1!$C$4:$C$1034,SITE1!$E$4:$E$1034),_xlpm.cleanRaw,SUBSTITUTE(SUBSTITUTE(_xlpm.raw,"_PIN","."),"PIN","."),_xlpm.mainPart,MID(_xlpm.cleanRaw,2,FIND(".",_xlpm.cleanRaw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602064</v>
      </c>
      <c r="G976" t="str">
        <f>_xlfn.LET(_xlpm.raw,_xlfn.XLOOKUP(A976,SITE3!$C$4:$C$1034,SITE3!$E$4:$E$1034),_xlpm.cleanRaw,SUBSTITUTE(SUBSTITUTE(_xlpm.raw,"_PIN","."),"PIN","."),_xlpm.mainPart,MID(_xlpm.cleanRaw,2,FIND(".",_xlpm.cleanRaw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802064</v>
      </c>
      <c r="H976" t="str">
        <f>""</f>
        <v/>
      </c>
      <c r="I976" t="str">
        <f>""</f>
        <v/>
      </c>
      <c r="J976" t="str">
        <f t="shared" si="15"/>
        <v>BG50;GPP_E_12_ISH_GP_10;;21.7263999999999;23.4202999999999;602064;802064;;</v>
      </c>
    </row>
    <row r="977" spans="1:10">
      <c r="A977" t="s">
        <v>1229</v>
      </c>
      <c r="B977" t="str">
        <f>_xlfn.XLOOKUP(A977,SITE1!$V$4:$V$1034,SITE1!$U$4:$U$1034,"")</f>
        <v>GPP_E_20_THC0_SPI1_INTB</v>
      </c>
      <c r="C977" t="str" cm="1">
        <f t="array" ref="C977">_xlfn.TEXTJOIN(",",TRUE,_xlfn.UNIQUE(TRANSPOSE(_xlfn.MAP(_xlfn.XLOOKUP(A977,SITE1!$C$4:$C$1034,SITE1!$F$4:$O$1034,""),_xlfn.LAMBDA(_xlpm.x,IF(_xlpm.x&lt;&gt;"",TRIM(CLEAN(LEFT(_xlpm.x,FIND(".",_xlpm.x &amp; ".")-1))),""))))))</f>
        <v/>
      </c>
      <c r="D977">
        <v>21.8553</v>
      </c>
      <c r="E977">
        <v>24.098500000000001</v>
      </c>
      <c r="F977" t="str">
        <f>_xlfn.LET(_xlpm.raw,_xlfn.XLOOKUP(A977,SITE1!$C$4:$C$1034,SITE1!$E$4:$E$1034),_xlpm.cleanRaw,SUBSTITUTE(SUBSTITUTE(_xlpm.raw,"_PIN","."),"PIN","."),_xlpm.mainPart,MID(_xlpm.cleanRaw,2,FIND(".",_xlpm.cleanRaw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602062</v>
      </c>
      <c r="G977" t="str">
        <f>_xlfn.LET(_xlpm.raw,_xlfn.XLOOKUP(A977,SITE3!$C$4:$C$1034,SITE3!$E$4:$E$1034),_xlpm.cleanRaw,SUBSTITUTE(SUBSTITUTE(_xlpm.raw,"_PIN","."),"PIN","."),_xlpm.mainPart,MID(_xlpm.cleanRaw,2,FIND(".",_xlpm.cleanRaw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802062</v>
      </c>
      <c r="H977" t="str">
        <f>""</f>
        <v/>
      </c>
      <c r="I977" t="str">
        <f>""</f>
        <v/>
      </c>
      <c r="J977" t="str">
        <f t="shared" si="15"/>
        <v>BG51;GPP_E_20_THC0_SPI1_INTB;;21.8553;24.0985;602062;802062;;</v>
      </c>
    </row>
    <row r="978" spans="1:10">
      <c r="A978" t="s">
        <v>1194</v>
      </c>
      <c r="B978" t="str">
        <f>_xlfn.XLOOKUP(A978,SITE1!$V$4:$V$1034,SITE1!$U$4:$U$1034,"")</f>
        <v>GPP_E_14_THC0_SPI1_CLK</v>
      </c>
      <c r="C978" t="str" cm="1">
        <f t="array" ref="C978">_xlfn.TEXTJOIN(",",TRUE,_xlfn.UNIQUE(TRANSPOSE(_xlfn.MAP(_xlfn.XLOOKUP(A978,SITE1!$C$4:$C$1034,SITE1!$F$4:$O$1034,""),_xlfn.LAMBDA(_xlpm.x,IF(_xlpm.x&lt;&gt;"",TRIM(CLEAN(LEFT(_xlpm.x,FIND(".",_xlpm.x &amp; ".")-1))),""))))))</f>
        <v/>
      </c>
      <c r="D978">
        <v>21.5472</v>
      </c>
      <c r="E978">
        <v>24.906300000000002</v>
      </c>
      <c r="F978" t="str">
        <f>_xlfn.LET(_xlpm.raw,_xlfn.XLOOKUP(A978,SITE1!$C$4:$C$1034,SITE1!$E$4:$E$1034),_xlpm.cleanRaw,SUBSTITUTE(SUBSTITUTE(_xlpm.raw,"_PIN","."),"PIN","."),_xlpm.mainPart,MID(_xlpm.cleanRaw,2,FIND(".",_xlpm.cleanRaw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705068</v>
      </c>
      <c r="G978" t="str">
        <f>_xlfn.LET(_xlpm.raw,_xlfn.XLOOKUP(A978,SITE3!$C$4:$C$1034,SITE3!$E$4:$E$1034),_xlpm.cleanRaw,SUBSTITUTE(SUBSTITUTE(_xlpm.raw,"_PIN","."),"PIN","."),_xlpm.mainPart,MID(_xlpm.cleanRaw,2,FIND(".",_xlpm.cleanRaw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505068</v>
      </c>
      <c r="H978" t="str">
        <f>""</f>
        <v/>
      </c>
      <c r="I978" t="str">
        <f>""</f>
        <v/>
      </c>
      <c r="J978" t="str">
        <f t="shared" si="15"/>
        <v>BG53;GPP_E_14_THC0_SPI1_CLK;;21.5472;24.9063;705068;505068;;</v>
      </c>
    </row>
    <row r="979" spans="1:10">
      <c r="A979" t="s">
        <v>3638</v>
      </c>
      <c r="B979" t="str">
        <f>_xlfn.XLOOKUP(A979,SITE1!$V$4:$V$1034,SITE1!$U$4:$U$1034,"")</f>
        <v>VCCPRTC_3P3</v>
      </c>
      <c r="C979" t="str" cm="1">
        <f t="array" ref="C979">_xlfn.TEXTJOIN(",",TRUE,_xlfn.UNIQUE(TRANSPOSE(_xlfn.MAP(_xlfn.XLOOKUP(A979,SITE1!$C$4:$C$1034,SITE1!$F$4:$O$1034,""),_xlfn.LAMBDA(_xlpm.x,IF(_xlpm.x&lt;&gt;"",TRIM(CLEAN(LEFT(_xlpm.x,FIND(".",_xlpm.x &amp; ".")-1))),""))))))</f>
        <v>JA4,TPA611</v>
      </c>
      <c r="D979">
        <v>21.467199999999998</v>
      </c>
      <c r="E979">
        <v>25.966899999999999</v>
      </c>
      <c r="F979" t="str">
        <f>_xlfn.LET(_xlpm.raw,_xlfn.XLOOKUP(A979,SITE1!$C$4:$C$1034,SITE1!$E$4:$E$1034),_xlpm.cleanRaw,SUBSTITUTE(SUBSTITUTE(_xlpm.raw,"_PIN","."),"PIN","."),_xlpm.mainPart,MID(_xlpm.cleanRaw,2,FIND(".",_xlpm.cleanRaw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706038</v>
      </c>
      <c r="G979" t="str">
        <f>_xlfn.LET(_xlpm.raw,_xlfn.XLOOKUP(A979,SITE3!$C$4:$C$1034,SITE3!$E$4:$E$1034),_xlpm.cleanRaw,SUBSTITUTE(SUBSTITUTE(_xlpm.raw,"_PIN","."),"PIN","."),_xlpm.mainPart,MID(_xlpm.cleanRaw,2,FIND(".",_xlpm.cleanRaw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506038</v>
      </c>
      <c r="H979" t="str">
        <f>""</f>
        <v/>
      </c>
      <c r="I979" t="str">
        <f>""</f>
        <v/>
      </c>
      <c r="J979" t="str">
        <f t="shared" si="15"/>
        <v>BG55;VCCPRTC_3P3;JA4,TPA611;21.4672;25.9669;706038;506038;;</v>
      </c>
    </row>
    <row r="980" spans="1:10">
      <c r="A980" t="s">
        <v>3917</v>
      </c>
      <c r="B980" t="str">
        <f>_xlfn.XLOOKUP(A980,SITE1!$V$4:$V$1034,SITE1!$U$4:$U$1034,"")</f>
        <v>VSS</v>
      </c>
      <c r="C980" t="str" cm="1">
        <f t="array" ref="C980">_xlfn.TEXTJOIN(",",TRUE,_xlfn.UNIQUE(TRANSPOSE(_xlfn.MAP(_xlfn.XLOOKUP(A980,SITE1!$C$4:$C$1034,SITE1!$F$4:$O$1034,""),_xlfn.LAMBDA(_xlpm.x,IF(_xlpm.x&lt;&gt;"",TRIM(CLEAN(LEFT(_xlpm.x,FIND(".",_xlpm.x &amp; ".")-1))),""))))))</f>
        <v/>
      </c>
      <c r="D980">
        <v>21.869999999999902</v>
      </c>
      <c r="E980">
        <v>26.369199999999999</v>
      </c>
      <c r="F980" t="str">
        <f>_xlfn.LET(_xlpm.raw,_xlfn.XLOOKUP(A980,SITE1!$C$4:$C$1034,SITE1!$E$4:$E$1034),_xlpm.cleanRaw,SUBSTITUTE(SUBSTITUTE(_xlpm.raw,"_PIN","."),"PIN","."),_xlpm.mainPart,MID(_xlpm.cleanRaw,2,FIND(".",_xlpm.cleanRaw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0" t="str">
        <f>_xlfn.LET(_xlpm.raw,_xlfn.XLOOKUP(A980,SITE3!$C$4:$C$1034,SITE3!$E$4:$E$1034),_xlpm.cleanRaw,SUBSTITUTE(SUBSTITUTE(_xlpm.raw,"_PIN","."),"PIN","."),_xlpm.mainPart,MID(_xlpm.cleanRaw,2,FIND(".",_xlpm.cleanRaw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0" t="str">
        <f>""</f>
        <v/>
      </c>
      <c r="I980" t="str">
        <f>""</f>
        <v/>
      </c>
      <c r="J980" t="str">
        <f t="shared" si="15"/>
        <v>BG56;VSS;;21.8699999999999;26.3692;;;;</v>
      </c>
    </row>
    <row r="981" spans="1:10">
      <c r="A981" t="s">
        <v>3588</v>
      </c>
      <c r="B981" t="str">
        <f>_xlfn.XLOOKUP(A981,SITE1!$V$4:$V$1034,SITE1!$U$4:$U$1034,"")</f>
        <v>VCCPDSW_3P3</v>
      </c>
      <c r="C981" t="str" cm="1">
        <f t="array" ref="C981">_xlfn.TEXTJOIN(",",TRUE,_xlfn.UNIQUE(TRANSPOSE(_xlfn.MAP(_xlfn.XLOOKUP(A981,SITE1!$C$4:$C$1034,SITE1!$F$4:$O$1034,""),_xlfn.LAMBDA(_xlpm.x,IF(_xlpm.x&lt;&gt;"",TRIM(CLEAN(LEFT(_xlpm.x,FIND(".",_xlpm.x &amp; ".")-1))),""))))))</f>
        <v/>
      </c>
      <c r="D981">
        <v>21.498899999999999</v>
      </c>
      <c r="E981">
        <v>26.8782</v>
      </c>
      <c r="F981" t="str">
        <f>_xlfn.LET(_xlpm.raw,_xlfn.XLOOKUP(A981,SITE1!$C$4:$C$1034,SITE1!$E$4:$E$1034),_xlpm.cleanRaw,SUBSTITUTE(SUBSTITUTE(_xlpm.raw,"_PIN","."),"PIN","."),_xlpm.mainPart,MID(_xlpm.cleanRaw,2,FIND(".",_xlpm.cleanRaw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1" t="str">
        <f>_xlfn.LET(_xlpm.raw,_xlfn.XLOOKUP(A981,SITE3!$C$4:$C$1034,SITE3!$E$4:$E$1034),_xlpm.cleanRaw,SUBSTITUTE(SUBSTITUTE(_xlpm.raw,"_PIN","."),"PIN","."),_xlpm.mainPart,MID(_xlpm.cleanRaw,2,FIND(".",_xlpm.cleanRaw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1" t="str">
        <f>""</f>
        <v/>
      </c>
      <c r="I981" t="str">
        <f>""</f>
        <v/>
      </c>
      <c r="J981" t="str">
        <f t="shared" si="15"/>
        <v>BG57;VCCPDSW_3P3;;21.4989;26.8782;;;;</v>
      </c>
    </row>
    <row r="982" spans="1:10">
      <c r="A982" t="s">
        <v>3924</v>
      </c>
      <c r="B982" t="str">
        <f>_xlfn.XLOOKUP(A982,SITE1!$V$4:$V$1034,SITE1!$U$4:$U$1034,"")</f>
        <v>VSS</v>
      </c>
      <c r="C982" t="str" cm="1">
        <f t="array" ref="C982">_xlfn.TEXTJOIN(",",TRUE,_xlfn.UNIQUE(TRANSPOSE(_xlfn.MAP(_xlfn.XLOOKUP(A982,SITE1!$C$4:$C$1034,SITE1!$F$4:$O$1034,""),_xlfn.LAMBDA(_xlpm.x,IF(_xlpm.x&lt;&gt;"",TRIM(CLEAN(LEFT(_xlpm.x,FIND(".",_xlpm.x &amp; ".")-1))),""))))))</f>
        <v/>
      </c>
      <c r="D982">
        <v>21.917499999999901</v>
      </c>
      <c r="E982">
        <v>1.1299999999999899</v>
      </c>
      <c r="F982" t="str">
        <f>_xlfn.LET(_xlpm.raw,_xlfn.XLOOKUP(A982,SITE1!$C$4:$C$1034,SITE1!$E$4:$E$1034),_xlpm.cleanRaw,SUBSTITUTE(SUBSTITUTE(_xlpm.raw,"_PIN","."),"PIN","."),_xlpm.mainPart,MID(_xlpm.cleanRaw,2,FIND(".",_xlpm.cleanRaw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2" t="str">
        <f>_xlfn.LET(_xlpm.raw,_xlfn.XLOOKUP(A982,SITE3!$C$4:$C$1034,SITE3!$E$4:$E$1034),_xlpm.cleanRaw,SUBSTITUTE(SUBSTITUTE(_xlpm.raw,"_PIN","."),"PIN","."),_xlpm.mainPart,MID(_xlpm.cleanRaw,2,FIND(".",_xlpm.cleanRaw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2" t="str">
        <f>""</f>
        <v/>
      </c>
      <c r="I982" t="str">
        <f>""</f>
        <v/>
      </c>
      <c r="J982" t="str">
        <f t="shared" si="15"/>
        <v>BH3;VSS;;21.9174999999999;1.12999999999999;;;;</v>
      </c>
    </row>
    <row r="983" spans="1:10">
      <c r="A983" t="s">
        <v>3928</v>
      </c>
      <c r="B983" t="str">
        <f>_xlfn.XLOOKUP(A983,SITE1!$V$4:$V$1034,SITE1!$U$4:$U$1034,"")</f>
        <v>VSS</v>
      </c>
      <c r="C983" t="str" cm="1">
        <f t="array" ref="C983">_xlfn.TEXTJOIN(",",TRUE,_xlfn.UNIQUE(TRANSPOSE(_xlfn.MAP(_xlfn.XLOOKUP(A983,SITE1!$C$4:$C$1034,SITE1!$F$4:$O$1034,""),_xlfn.LAMBDA(_xlpm.x,IF(_xlpm.x&lt;&gt;"",TRIM(CLEAN(LEFT(_xlpm.x,FIND(".",_xlpm.x &amp; ".")-1))),""))))))</f>
        <v/>
      </c>
      <c r="D983">
        <v>21.916599999999999</v>
      </c>
      <c r="E983">
        <v>1.6318999999999999</v>
      </c>
      <c r="F983" t="str">
        <f>_xlfn.LET(_xlpm.raw,_xlfn.XLOOKUP(A983,SITE1!$C$4:$C$1034,SITE1!$E$4:$E$1034),_xlpm.cleanRaw,SUBSTITUTE(SUBSTITUTE(_xlpm.raw,"_PIN","."),"PIN","."),_xlpm.mainPart,MID(_xlpm.cleanRaw,2,FIND(".",_xlpm.cleanRaw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3" t="str">
        <f>_xlfn.LET(_xlpm.raw,_xlfn.XLOOKUP(A983,SITE3!$C$4:$C$1034,SITE3!$E$4:$E$1034),_xlpm.cleanRaw,SUBSTITUTE(SUBSTITUTE(_xlpm.raw,"_PIN","."),"PIN","."),_xlpm.mainPart,MID(_xlpm.cleanRaw,2,FIND(".",_xlpm.cleanRaw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3" t="str">
        <f>""</f>
        <v/>
      </c>
      <c r="I983" t="str">
        <f>""</f>
        <v/>
      </c>
      <c r="J983" t="str">
        <f t="shared" si="15"/>
        <v>BH4;VSS;;21.9166;1.6319;;;;</v>
      </c>
    </row>
    <row r="984" spans="1:10">
      <c r="A984" t="s">
        <v>2756</v>
      </c>
      <c r="B984" t="str">
        <f>_xlfn.XLOOKUP(A984,SITE1!$V$4:$V$1034,SITE1!$U$4:$U$1034,"")</f>
        <v>PCIE_RCOMP5</v>
      </c>
      <c r="C984" t="str" cm="1">
        <f t="array" ref="C984">_xlfn.TEXTJOIN(",",TRUE,_xlfn.UNIQUE(TRANSPOSE(_xlfn.MAP(_xlfn.XLOOKUP(A984,SITE1!$C$4:$C$1034,SITE1!$F$4:$O$1034,""),_xlfn.LAMBDA(_xlpm.x,IF(_xlpm.x&lt;&gt;"",TRIM(CLEAN(LEFT(_xlpm.x,FIND(".",_xlpm.x &amp; ".")-1))),""))))))</f>
        <v>RA136</v>
      </c>
      <c r="D984">
        <v>21.960699999999999</v>
      </c>
      <c r="E984">
        <v>2.2574999999999998</v>
      </c>
      <c r="F984" t="str">
        <f>_xlfn.LET(_xlpm.raw,_xlfn.XLOOKUP(A984,SITE1!$C$4:$C$1034,SITE1!$E$4:$E$1034),_xlpm.cleanRaw,SUBSTITUTE(SUBSTITUTE(_xlpm.raw,"_PIN","."),"PIN","."),_xlpm.mainPart,MID(_xlpm.cleanRaw,2,FIND(".",_xlpm.cleanRaw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4" t="str">
        <f>_xlfn.LET(_xlpm.raw,_xlfn.XLOOKUP(A984,SITE3!$C$4:$C$1034,SITE3!$E$4:$E$1034),_xlpm.cleanRaw,SUBSTITUTE(SUBSTITUTE(_xlpm.raw,"_PIN","."),"PIN","."),_xlpm.mainPart,MID(_xlpm.cleanRaw,2,FIND(".",_xlpm.cleanRaw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4" t="str">
        <f>""</f>
        <v/>
      </c>
      <c r="I984" t="str">
        <f>""</f>
        <v/>
      </c>
      <c r="J984" t="str">
        <f t="shared" si="15"/>
        <v>BH6;PCIE_RCOMP5;RA136;21.9607;2.2575;;;;</v>
      </c>
    </row>
    <row r="985" spans="1:10">
      <c r="A985" t="s">
        <v>3919</v>
      </c>
      <c r="B985" t="str">
        <f>_xlfn.XLOOKUP(A985,SITE1!$V$4:$V$1034,SITE1!$U$4:$U$1034,"")</f>
        <v>VSS</v>
      </c>
      <c r="C985" t="str" cm="1">
        <f t="array" ref="C985">_xlfn.TEXTJOIN(",",TRUE,_xlfn.UNIQUE(TRANSPOSE(_xlfn.MAP(_xlfn.XLOOKUP(A985,SITE1!$C$4:$C$1034,SITE1!$F$4:$O$1034,""),_xlfn.LAMBDA(_xlpm.x,IF(_xlpm.x&lt;&gt;"",TRIM(CLEAN(LEFT(_xlpm.x,FIND(".",_xlpm.x &amp; ".")-1))),""))))))</f>
        <v/>
      </c>
      <c r="D985">
        <v>21.9466</v>
      </c>
      <c r="E985">
        <v>7.9810999999999996</v>
      </c>
      <c r="F985" t="str">
        <f>_xlfn.LET(_xlpm.raw,_xlfn.XLOOKUP(A985,SITE1!$C$4:$C$1034,SITE1!$E$4:$E$1034),_xlpm.cleanRaw,SUBSTITUTE(SUBSTITUTE(_xlpm.raw,"_PIN","."),"PIN","."),_xlpm.mainPart,MID(_xlpm.cleanRaw,2,FIND(".",_xlpm.cleanRaw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5" t="str">
        <f>_xlfn.LET(_xlpm.raw,_xlfn.XLOOKUP(A985,SITE3!$C$4:$C$1034,SITE3!$E$4:$E$1034),_xlpm.cleanRaw,SUBSTITUTE(SUBSTITUTE(_xlpm.raw,"_PIN","."),"PIN","."),_xlpm.mainPart,MID(_xlpm.cleanRaw,2,FIND(".",_xlpm.cleanRaw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5" t="str">
        <f>""</f>
        <v/>
      </c>
      <c r="I985" t="str">
        <f>""</f>
        <v/>
      </c>
      <c r="J985" t="str">
        <f t="shared" si="15"/>
        <v>BH18;VSS;;21.9466;7.9811;;;;</v>
      </c>
    </row>
    <row r="986" spans="1:10">
      <c r="A986" t="s">
        <v>3920</v>
      </c>
      <c r="B986" t="str">
        <f>_xlfn.XLOOKUP(A986,SITE1!$V$4:$V$1034,SITE1!$U$4:$U$1034,"")</f>
        <v>VSS</v>
      </c>
      <c r="C986" t="str" cm="1">
        <f t="array" ref="C986">_xlfn.TEXTJOIN(",",TRUE,_xlfn.UNIQUE(TRANSPOSE(_xlfn.MAP(_xlfn.XLOOKUP(A986,SITE1!$C$4:$C$1034,SITE1!$F$4:$O$1034,""),_xlfn.LAMBDA(_xlpm.x,IF(_xlpm.x&lt;&gt;"",TRIM(CLEAN(LEFT(_xlpm.x,FIND(".",_xlpm.x &amp; ".")-1))),""))))))</f>
        <v/>
      </c>
      <c r="D986">
        <v>21.926600000000001</v>
      </c>
      <c r="E986">
        <v>9.3455999999999992</v>
      </c>
      <c r="F986" t="str">
        <f>_xlfn.LET(_xlpm.raw,_xlfn.XLOOKUP(A986,SITE1!$C$4:$C$1034,SITE1!$E$4:$E$1034),_xlpm.cleanRaw,SUBSTITUTE(SUBSTITUTE(_xlpm.raw,"_PIN","."),"PIN","."),_xlpm.mainPart,MID(_xlpm.cleanRaw,2,FIND(".",_xlpm.cleanRaw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6" t="str">
        <f>_xlfn.LET(_xlpm.raw,_xlfn.XLOOKUP(A986,SITE3!$C$4:$C$1034,SITE3!$E$4:$E$1034),_xlpm.cleanRaw,SUBSTITUTE(SUBSTITUTE(_xlpm.raw,"_PIN","."),"PIN","."),_xlpm.mainPart,MID(_xlpm.cleanRaw,2,FIND(".",_xlpm.cleanRaw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6" t="str">
        <f>""</f>
        <v/>
      </c>
      <c r="I986" t="str">
        <f>""</f>
        <v/>
      </c>
      <c r="J986" t="str">
        <f t="shared" si="15"/>
        <v>BH20;VSS;;21.9266;9.3456;;;;</v>
      </c>
    </row>
    <row r="987" spans="1:10">
      <c r="A987" t="s">
        <v>3921</v>
      </c>
      <c r="B987" t="str">
        <f>_xlfn.XLOOKUP(A987,SITE1!$V$4:$V$1034,SITE1!$U$4:$U$1034,"")</f>
        <v>VSS</v>
      </c>
      <c r="C987" t="str" cm="1">
        <f t="array" ref="C987">_xlfn.TEXTJOIN(",",TRUE,_xlfn.UNIQUE(TRANSPOSE(_xlfn.MAP(_xlfn.XLOOKUP(A987,SITE1!$C$4:$C$1034,SITE1!$F$4:$O$1034,""),_xlfn.LAMBDA(_xlpm.x,IF(_xlpm.x&lt;&gt;"",TRIM(CLEAN(LEFT(_xlpm.x,FIND(".",_xlpm.x &amp; ".")-1))),""))))))</f>
        <v/>
      </c>
      <c r="D987">
        <v>21.9466</v>
      </c>
      <c r="E987">
        <v>10.710100000000001</v>
      </c>
      <c r="F987" t="str">
        <f>_xlfn.LET(_xlpm.raw,_xlfn.XLOOKUP(A987,SITE1!$C$4:$C$1034,SITE1!$E$4:$E$1034),_xlpm.cleanRaw,SUBSTITUTE(SUBSTITUTE(_xlpm.raw,"_PIN","."),"PIN","."),_xlpm.mainPart,MID(_xlpm.cleanRaw,2,FIND(".",_xlpm.cleanRaw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7" t="str">
        <f>_xlfn.LET(_xlpm.raw,_xlfn.XLOOKUP(A987,SITE3!$C$4:$C$1034,SITE3!$E$4:$E$1034),_xlpm.cleanRaw,SUBSTITUTE(SUBSTITUTE(_xlpm.raw,"_PIN","."),"PIN","."),_xlpm.mainPart,MID(_xlpm.cleanRaw,2,FIND(".",_xlpm.cleanRaw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7" t="str">
        <f>""</f>
        <v/>
      </c>
      <c r="I987" t="str">
        <f>""</f>
        <v/>
      </c>
      <c r="J987" t="str">
        <f t="shared" si="15"/>
        <v>BH23;VSS;;21.9466;10.7101;;;;</v>
      </c>
    </row>
    <row r="988" spans="1:10">
      <c r="A988" t="s">
        <v>3922</v>
      </c>
      <c r="B988" t="str">
        <f>_xlfn.XLOOKUP(A988,SITE1!$V$4:$V$1034,SITE1!$U$4:$U$1034,"")</f>
        <v>VSS</v>
      </c>
      <c r="C988" t="str" cm="1">
        <f t="array" ref="C988">_xlfn.TEXTJOIN(",",TRUE,_xlfn.UNIQUE(TRANSPOSE(_xlfn.MAP(_xlfn.XLOOKUP(A988,SITE1!$C$4:$C$1034,SITE1!$F$4:$O$1034,""),_xlfn.LAMBDA(_xlpm.x,IF(_xlpm.x&lt;&gt;"",TRIM(CLEAN(LEFT(_xlpm.x,FIND(".",_xlpm.x &amp; ".")-1))),""))))))</f>
        <v/>
      </c>
      <c r="D988">
        <v>21.926600000000001</v>
      </c>
      <c r="E988">
        <v>12.0746</v>
      </c>
      <c r="F988" t="str">
        <f>_xlfn.LET(_xlpm.raw,_xlfn.XLOOKUP(A988,SITE1!$C$4:$C$1034,SITE1!$E$4:$E$1034),_xlpm.cleanRaw,SUBSTITUTE(SUBSTITUTE(_xlpm.raw,"_PIN","."),"PIN","."),_xlpm.mainPart,MID(_xlpm.cleanRaw,2,FIND(".",_xlpm.cleanRaw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8" t="str">
        <f>_xlfn.LET(_xlpm.raw,_xlfn.XLOOKUP(A988,SITE3!$C$4:$C$1034,SITE3!$E$4:$E$1034),_xlpm.cleanRaw,SUBSTITUTE(SUBSTITUTE(_xlpm.raw,"_PIN","."),"PIN","."),_xlpm.mainPart,MID(_xlpm.cleanRaw,2,FIND(".",_xlpm.cleanRaw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8" t="str">
        <f>""</f>
        <v/>
      </c>
      <c r="I988" t="str">
        <f>""</f>
        <v/>
      </c>
      <c r="J988" t="str">
        <f t="shared" si="15"/>
        <v>BH26;VSS;;21.9266;12.0746;;;;</v>
      </c>
    </row>
    <row r="989" spans="1:10">
      <c r="A989" t="s">
        <v>3923</v>
      </c>
      <c r="B989" t="str">
        <f>_xlfn.XLOOKUP(A989,SITE1!$V$4:$V$1034,SITE1!$U$4:$U$1034,"")</f>
        <v>VSS</v>
      </c>
      <c r="C989" t="str" cm="1">
        <f t="array" ref="C989">_xlfn.TEXTJOIN(",",TRUE,_xlfn.UNIQUE(TRANSPOSE(_xlfn.MAP(_xlfn.XLOOKUP(A989,SITE1!$C$4:$C$1034,SITE1!$F$4:$O$1034,""),_xlfn.LAMBDA(_xlpm.x,IF(_xlpm.x&lt;&gt;"",TRIM(CLEAN(LEFT(_xlpm.x,FIND(".",_xlpm.x &amp; ".")-1))),""))))))</f>
        <v/>
      </c>
      <c r="D989">
        <v>21.9466</v>
      </c>
      <c r="E989">
        <v>13.4391</v>
      </c>
      <c r="F989" t="str">
        <f>_xlfn.LET(_xlpm.raw,_xlfn.XLOOKUP(A989,SITE1!$C$4:$C$1034,SITE1!$E$4:$E$1034),_xlpm.cleanRaw,SUBSTITUTE(SUBSTITUTE(_xlpm.raw,"_PIN","."),"PIN","."),_xlpm.mainPart,MID(_xlpm.cleanRaw,2,FIND(".",_xlpm.cleanRaw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9" t="str">
        <f>_xlfn.LET(_xlpm.raw,_xlfn.XLOOKUP(A989,SITE3!$C$4:$C$1034,SITE3!$E$4:$E$1034),_xlpm.cleanRaw,SUBSTITUTE(SUBSTITUTE(_xlpm.raw,"_PIN","."),"PIN","."),_xlpm.mainPart,MID(_xlpm.cleanRaw,2,FIND(".",_xlpm.cleanRaw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9" t="str">
        <f>""</f>
        <v/>
      </c>
      <c r="I989" t="str">
        <f>""</f>
        <v/>
      </c>
      <c r="J989" t="str">
        <f t="shared" si="15"/>
        <v>BH29;VSS;;21.9466;13.4391;;;;</v>
      </c>
    </row>
    <row r="990" spans="1:10">
      <c r="A990" t="s">
        <v>3925</v>
      </c>
      <c r="B990" t="str">
        <f>_xlfn.XLOOKUP(A990,SITE1!$V$4:$V$1034,SITE1!$U$4:$U$1034,"")</f>
        <v>VSS</v>
      </c>
      <c r="C990" t="str" cm="1">
        <f t="array" ref="C990">_xlfn.TEXTJOIN(",",TRUE,_xlfn.UNIQUE(TRANSPOSE(_xlfn.MAP(_xlfn.XLOOKUP(A990,SITE1!$C$4:$C$1034,SITE1!$F$4:$O$1034,""),_xlfn.LAMBDA(_xlpm.x,IF(_xlpm.x&lt;&gt;"",TRIM(CLEAN(LEFT(_xlpm.x,FIND(".",_xlpm.x &amp; ".")-1))),""))))))</f>
        <v/>
      </c>
      <c r="D990">
        <v>21.926600000000001</v>
      </c>
      <c r="E990">
        <v>14.803599999999999</v>
      </c>
      <c r="F990" t="str">
        <f>_xlfn.LET(_xlpm.raw,_xlfn.XLOOKUP(A990,SITE1!$C$4:$C$1034,SITE1!$E$4:$E$1034),_xlpm.cleanRaw,SUBSTITUTE(SUBSTITUTE(_xlpm.raw,"_PIN","."),"PIN","."),_xlpm.mainPart,MID(_xlpm.cleanRaw,2,FIND(".",_xlpm.cleanRaw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90" t="str">
        <f>_xlfn.LET(_xlpm.raw,_xlfn.XLOOKUP(A990,SITE3!$C$4:$C$1034,SITE3!$E$4:$E$1034),_xlpm.cleanRaw,SUBSTITUTE(SUBSTITUTE(_xlpm.raw,"_PIN","."),"PIN","."),_xlpm.mainPart,MID(_xlpm.cleanRaw,2,FIND(".",_xlpm.cleanRaw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90" t="str">
        <f>""</f>
        <v/>
      </c>
      <c r="I990" t="str">
        <f>""</f>
        <v/>
      </c>
      <c r="J990" t="str">
        <f t="shared" si="15"/>
        <v>BH32;VSS;;21.9266;14.8036;;;;</v>
      </c>
    </row>
    <row r="991" spans="1:10">
      <c r="A991" t="s">
        <v>3926</v>
      </c>
      <c r="B991" t="str">
        <f>_xlfn.XLOOKUP(A991,SITE1!$V$4:$V$1034,SITE1!$U$4:$U$1034,"")</f>
        <v>VSS</v>
      </c>
      <c r="C991" t="str" cm="1">
        <f t="array" ref="C991">_xlfn.TEXTJOIN(",",TRUE,_xlfn.UNIQUE(TRANSPOSE(_xlfn.MAP(_xlfn.XLOOKUP(A991,SITE1!$C$4:$C$1034,SITE1!$F$4:$O$1034,""),_xlfn.LAMBDA(_xlpm.x,IF(_xlpm.x&lt;&gt;"",TRIM(CLEAN(LEFT(_xlpm.x,FIND(".",_xlpm.x &amp; ".")-1))),""))))))</f>
        <v/>
      </c>
      <c r="D991">
        <v>21.9466</v>
      </c>
      <c r="E991">
        <v>16.168099999999999</v>
      </c>
      <c r="F991" t="str">
        <f>_xlfn.LET(_xlpm.raw,_xlfn.XLOOKUP(A991,SITE1!$C$4:$C$1034,SITE1!$E$4:$E$1034),_xlpm.cleanRaw,SUBSTITUTE(SUBSTITUTE(_xlpm.raw,"_PIN","."),"PIN","."),_xlpm.mainPart,MID(_xlpm.cleanRaw,2,FIND(".",_xlpm.cleanRaw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91" t="str">
        <f>_xlfn.LET(_xlpm.raw,_xlfn.XLOOKUP(A991,SITE3!$C$4:$C$1034,SITE3!$E$4:$E$1034),_xlpm.cleanRaw,SUBSTITUTE(SUBSTITUTE(_xlpm.raw,"_PIN","."),"PIN","."),_xlpm.mainPart,MID(_xlpm.cleanRaw,2,FIND(".",_xlpm.cleanRaw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91" t="str">
        <f>""</f>
        <v/>
      </c>
      <c r="I991" t="str">
        <f>""</f>
        <v/>
      </c>
      <c r="J991" t="str">
        <f t="shared" si="15"/>
        <v>BH35;VSS;;21.9466;16.1681;;;;</v>
      </c>
    </row>
    <row r="992" spans="1:10">
      <c r="A992" t="s">
        <v>3927</v>
      </c>
      <c r="B992" t="str">
        <f>_xlfn.XLOOKUP(A992,SITE1!$V$4:$V$1034,SITE1!$U$4:$U$1034,"")</f>
        <v>VSS</v>
      </c>
      <c r="C992" t="str" cm="1">
        <f t="array" ref="C992">_xlfn.TEXTJOIN(",",TRUE,_xlfn.UNIQUE(TRANSPOSE(_xlfn.MAP(_xlfn.XLOOKUP(A992,SITE1!$C$4:$C$1034,SITE1!$F$4:$O$1034,""),_xlfn.LAMBDA(_xlpm.x,IF(_xlpm.x&lt;&gt;"",TRIM(CLEAN(LEFT(_xlpm.x,FIND(".",_xlpm.x &amp; ".")-1))),""))))))</f>
        <v/>
      </c>
      <c r="D992">
        <v>21.926600000000001</v>
      </c>
      <c r="E992">
        <v>17.532599999999999</v>
      </c>
      <c r="F992" t="str">
        <f>_xlfn.LET(_xlpm.raw,_xlfn.XLOOKUP(A992,SITE1!$C$4:$C$1034,SITE1!$E$4:$E$1034),_xlpm.cleanRaw,SUBSTITUTE(SUBSTITUTE(_xlpm.raw,"_PIN","."),"PIN","."),_xlpm.mainPart,MID(_xlpm.cleanRaw,2,FIND(".",_xlpm.cleanRaw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92" t="str">
        <f>_xlfn.LET(_xlpm.raw,_xlfn.XLOOKUP(A992,SITE3!$C$4:$C$1034,SITE3!$E$4:$E$1034),_xlpm.cleanRaw,SUBSTITUTE(SUBSTITUTE(_xlpm.raw,"_PIN","."),"PIN","."),_xlpm.mainPart,MID(_xlpm.cleanRaw,2,FIND(".",_xlpm.cleanRaw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92" t="str">
        <f>""</f>
        <v/>
      </c>
      <c r="I992" t="str">
        <f>""</f>
        <v/>
      </c>
      <c r="J992" t="str">
        <f t="shared" si="15"/>
        <v>BH38;VSS;;21.9266;17.5326;;;;</v>
      </c>
    </row>
    <row r="993" spans="1:10">
      <c r="A993" t="s">
        <v>3929</v>
      </c>
      <c r="B993" t="str">
        <f>_xlfn.XLOOKUP(A993,SITE1!$V$4:$V$1034,SITE1!$U$4:$U$1034,"")</f>
        <v>VSS</v>
      </c>
      <c r="C993" t="str" cm="1">
        <f t="array" ref="C993">_xlfn.TEXTJOIN(",",TRUE,_xlfn.UNIQUE(TRANSPOSE(_xlfn.MAP(_xlfn.XLOOKUP(A993,SITE1!$C$4:$C$1034,SITE1!$F$4:$O$1034,""),_xlfn.LAMBDA(_xlpm.x,IF(_xlpm.x&lt;&gt;"",TRIM(CLEAN(LEFT(_xlpm.x,FIND(".",_xlpm.x &amp; ".")-1))),""))))))</f>
        <v/>
      </c>
      <c r="D993">
        <v>21.9466</v>
      </c>
      <c r="E993">
        <v>18.897099999999998</v>
      </c>
      <c r="F993" t="str">
        <f>_xlfn.LET(_xlpm.raw,_xlfn.XLOOKUP(A993,SITE1!$C$4:$C$1034,SITE1!$E$4:$E$1034),_xlpm.cleanRaw,SUBSTITUTE(SUBSTITUTE(_xlpm.raw,"_PIN","."),"PIN","."),_xlpm.mainPart,MID(_xlpm.cleanRaw,2,FIND(".",_xlpm.cleanRaw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93" t="str">
        <f>_xlfn.LET(_xlpm.raw,_xlfn.XLOOKUP(A993,SITE3!$C$4:$C$1034,SITE3!$E$4:$E$1034),_xlpm.cleanRaw,SUBSTITUTE(SUBSTITUTE(_xlpm.raw,"_PIN","."),"PIN","."),_xlpm.mainPart,MID(_xlpm.cleanRaw,2,FIND(".",_xlpm.cleanRaw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93" t="str">
        <f>""</f>
        <v/>
      </c>
      <c r="I993" t="str">
        <f>""</f>
        <v/>
      </c>
      <c r="J993" t="str">
        <f t="shared" si="15"/>
        <v>BH40;VSS;;21.9466;18.8971;;;;</v>
      </c>
    </row>
    <row r="994" spans="1:10">
      <c r="A994" t="s">
        <v>3930</v>
      </c>
      <c r="B994" t="str">
        <f>_xlfn.XLOOKUP(A994,SITE1!$V$4:$V$1034,SITE1!$U$4:$U$1034,"")</f>
        <v>VSS</v>
      </c>
      <c r="C994" t="str" cm="1">
        <f t="array" ref="C994">_xlfn.TEXTJOIN(",",TRUE,_xlfn.UNIQUE(TRANSPOSE(_xlfn.MAP(_xlfn.XLOOKUP(A994,SITE1!$C$4:$C$1034,SITE1!$F$4:$O$1034,""),_xlfn.LAMBDA(_xlpm.x,IF(_xlpm.x&lt;&gt;"",TRIM(CLEAN(LEFT(_xlpm.x,FIND(".",_xlpm.x &amp; ".")-1))),""))))))</f>
        <v/>
      </c>
      <c r="D994">
        <v>21.926600000000001</v>
      </c>
      <c r="E994">
        <v>20.261600000000001</v>
      </c>
      <c r="F994" t="str">
        <f>_xlfn.LET(_xlpm.raw,_xlfn.XLOOKUP(A994,SITE1!$C$4:$C$1034,SITE1!$E$4:$E$1034),_xlpm.cleanRaw,SUBSTITUTE(SUBSTITUTE(_xlpm.raw,"_PIN","."),"PIN","."),_xlpm.mainPart,MID(_xlpm.cleanRaw,2,FIND(".",_xlpm.cleanRaw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94" t="str">
        <f>_xlfn.LET(_xlpm.raw,_xlfn.XLOOKUP(A994,SITE3!$C$4:$C$1034,SITE3!$E$4:$E$1034),_xlpm.cleanRaw,SUBSTITUTE(SUBSTITUTE(_xlpm.raw,"_PIN","."),"PIN","."),_xlpm.mainPart,MID(_xlpm.cleanRaw,2,FIND(".",_xlpm.cleanRaw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94" t="str">
        <f>""</f>
        <v/>
      </c>
      <c r="I994" t="str">
        <f>""</f>
        <v/>
      </c>
      <c r="J994" t="str">
        <f t="shared" si="15"/>
        <v>BH43;VSS;;21.9266;20.2616;;;;</v>
      </c>
    </row>
    <row r="995" spans="1:10">
      <c r="A995" t="s">
        <v>1219</v>
      </c>
      <c r="B995" t="str">
        <f>_xlfn.XLOOKUP(A995,SITE1!$V$4:$V$1034,SITE1!$U$4:$U$1034,"")</f>
        <v>GPP_E_19_THC0_SPI1_RSTB</v>
      </c>
      <c r="C995" t="str" cm="1">
        <f t="array" ref="C995">_xlfn.TEXTJOIN(",",TRUE,_xlfn.UNIQUE(TRANSPOSE(_xlfn.MAP(_xlfn.XLOOKUP(A995,SITE1!$C$4:$C$1034,SITE1!$F$4:$O$1034,""),_xlfn.LAMBDA(_xlpm.x,IF(_xlpm.x&lt;&gt;"",TRIM(CLEAN(LEFT(_xlpm.x,FIND(".",_xlpm.x &amp; ".")-1))),""))))))</f>
        <v/>
      </c>
      <c r="D995">
        <v>21.960699999999999</v>
      </c>
      <c r="E995">
        <v>24.620699999999999</v>
      </c>
      <c r="F995" t="str">
        <f>_xlfn.LET(_xlpm.raw,_xlfn.XLOOKUP(A995,SITE1!$C$4:$C$1034,SITE1!$E$4:$E$1034),_xlpm.cleanRaw,SUBSTITUTE(SUBSTITUTE(_xlpm.raw,"_PIN","."),"PIN","."),_xlpm.mainPart,MID(_xlpm.cleanRaw,2,FIND(".",_xlpm.cleanRaw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601033</v>
      </c>
      <c r="G995" t="str">
        <f>_xlfn.LET(_xlpm.raw,_xlfn.XLOOKUP(A995,SITE3!$C$4:$C$1034,SITE3!$E$4:$E$1034),_xlpm.cleanRaw,SUBSTITUTE(SUBSTITUTE(_xlpm.raw,"_PIN","."),"PIN","."),_xlpm.mainPart,MID(_xlpm.cleanRaw,2,FIND(".",_xlpm.cleanRaw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801033</v>
      </c>
      <c r="H995" t="str">
        <f>""</f>
        <v/>
      </c>
      <c r="I995" t="str">
        <f>""</f>
        <v/>
      </c>
      <c r="J995" t="str">
        <f t="shared" si="15"/>
        <v>BH52;GPP_E_19_THC0_SPI1_RSTB;;21.9607;24.6207;601033;801033;;</v>
      </c>
    </row>
    <row r="996" spans="1:10">
      <c r="A996" t="s">
        <v>3647</v>
      </c>
      <c r="B996" t="str">
        <f>_xlfn.XLOOKUP(A996,SITE1!$V$4:$V$1034,SITE1!$U$4:$U$1034,"")</f>
        <v>VCCPRTC_3P3</v>
      </c>
      <c r="C996" t="str" cm="1">
        <f t="array" ref="C996">_xlfn.TEXTJOIN(",",TRUE,_xlfn.UNIQUE(TRANSPOSE(_xlfn.MAP(_xlfn.XLOOKUP(A996,SITE1!$C$4:$C$1034,SITE1!$F$4:$O$1034,""),_xlfn.LAMBDA(_xlpm.x,IF(_xlpm.x&lt;&gt;"",TRIM(CLEAN(LEFT(_xlpm.x,FIND(".",_xlpm.x &amp; ".")-1))),""))))))</f>
        <v>JA4,TPA611</v>
      </c>
      <c r="D996">
        <v>21.916599999999999</v>
      </c>
      <c r="E996">
        <v>25.246299999999898</v>
      </c>
      <c r="F996" t="str">
        <f>_xlfn.LET(_xlpm.raw,_xlfn.XLOOKUP(A996,SITE1!$C$4:$C$1034,SITE1!$E$4:$E$1034),_xlpm.cleanRaw,SUBSTITUTE(SUBSTITUTE(_xlpm.raw,"_PIN","."),"PIN","."),_xlpm.mainPart,MID(_xlpm.cleanRaw,2,FIND(".",_xlpm.cleanRaw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706038</v>
      </c>
      <c r="G996" t="str">
        <f>_xlfn.LET(_xlpm.raw,_xlfn.XLOOKUP(A996,SITE3!$C$4:$C$1034,SITE3!$E$4:$E$1034),_xlpm.cleanRaw,SUBSTITUTE(SUBSTITUTE(_xlpm.raw,"_PIN","."),"PIN","."),_xlpm.mainPart,MID(_xlpm.cleanRaw,2,FIND(".",_xlpm.cleanRaw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506038</v>
      </c>
      <c r="H996" t="str">
        <f>""</f>
        <v/>
      </c>
      <c r="I996" t="str">
        <f>""</f>
        <v/>
      </c>
      <c r="J996" t="str">
        <f t="shared" si="15"/>
        <v>BH54;VCCPRTC_3P3;JA4,TPA611;21.9166;25.2462999999999;706038;506038;;</v>
      </c>
    </row>
    <row r="997" spans="1:10">
      <c r="A997" t="s">
        <v>3648</v>
      </c>
      <c r="B997" t="str">
        <f>_xlfn.XLOOKUP(A997,SITE1!$V$4:$V$1034,SITE1!$U$4:$U$1034,"")</f>
        <v>VCCPRTC_3P3</v>
      </c>
      <c r="C997" t="str" cm="1">
        <f t="array" ref="C997">_xlfn.TEXTJOIN(",",TRUE,_xlfn.UNIQUE(TRANSPOSE(_xlfn.MAP(_xlfn.XLOOKUP(A997,SITE1!$C$4:$C$1034,SITE1!$F$4:$O$1034,""),_xlfn.LAMBDA(_xlpm.x,IF(_xlpm.x&lt;&gt;"",TRIM(CLEAN(LEFT(_xlpm.x,FIND(".",_xlpm.x &amp; ".")-1))),""))))))</f>
        <v>JA4,TPA611</v>
      </c>
      <c r="D997">
        <v>21.917499999999901</v>
      </c>
      <c r="E997">
        <v>25.748200000000001</v>
      </c>
      <c r="F997" t="str">
        <f>_xlfn.LET(_xlpm.raw,_xlfn.XLOOKUP(A997,SITE1!$C$4:$C$1034,SITE1!$E$4:$E$1034),_xlpm.cleanRaw,SUBSTITUTE(SUBSTITUTE(_xlpm.raw,"_PIN","."),"PIN","."),_xlpm.mainPart,MID(_xlpm.cleanRaw,2,FIND(".",_xlpm.cleanRaw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706038</v>
      </c>
      <c r="G997" t="str">
        <f>_xlfn.LET(_xlpm.raw,_xlfn.XLOOKUP(A997,SITE3!$C$4:$C$1034,SITE3!$E$4:$E$1034),_xlpm.cleanRaw,SUBSTITUTE(SUBSTITUTE(_xlpm.raw,"_PIN","."),"PIN","."),_xlpm.mainPart,MID(_xlpm.cleanRaw,2,FIND(".",_xlpm.cleanRaw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506038</v>
      </c>
      <c r="H997" t="str">
        <f>""</f>
        <v/>
      </c>
      <c r="I997" t="str">
        <f>""</f>
        <v/>
      </c>
      <c r="J997" t="str">
        <f t="shared" si="15"/>
        <v>BH55;VCCPRTC_3P3;JA4,TPA611;21.9174999999999;25.7482;706038;506038;;</v>
      </c>
    </row>
    <row r="998" spans="1:10">
      <c r="A998" t="s">
        <v>3932</v>
      </c>
      <c r="B998" t="str">
        <f>_xlfn.XLOOKUP(A998,SITE1!$V$4:$V$1034,SITE1!$U$4:$U$1034,"")</f>
        <v>VSS</v>
      </c>
      <c r="C998" t="str" cm="1">
        <f t="array" ref="C998">_xlfn.TEXTJOIN(",",TRUE,_xlfn.UNIQUE(TRANSPOSE(_xlfn.MAP(_xlfn.XLOOKUP(A998,SITE1!$C$4:$C$1034,SITE1!$F$4:$O$1034,""),_xlfn.LAMBDA(_xlpm.x,IF(_xlpm.x&lt;&gt;"",TRIM(CLEAN(LEFT(_xlpm.x,FIND(".",_xlpm.x &amp; ".")-1))),""))))))</f>
        <v/>
      </c>
      <c r="D998">
        <v>22.378999999999898</v>
      </c>
      <c r="E998">
        <v>1.3808</v>
      </c>
      <c r="F998" t="str">
        <f>_xlfn.LET(_xlpm.raw,_xlfn.XLOOKUP(A998,SITE1!$C$4:$C$1034,SITE1!$E$4:$E$1034),_xlpm.cleanRaw,SUBSTITUTE(SUBSTITUTE(_xlpm.raw,"_PIN","."),"PIN","."),_xlpm.mainPart,MID(_xlpm.cleanRaw,2,FIND(".",_xlpm.cleanRaw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98" t="str">
        <f>_xlfn.LET(_xlpm.raw,_xlfn.XLOOKUP(A998,SITE3!$C$4:$C$1034,SITE3!$E$4:$E$1034),_xlpm.cleanRaw,SUBSTITUTE(SUBSTITUTE(_xlpm.raw,"_PIN","."),"PIN","."),_xlpm.mainPart,MID(_xlpm.cleanRaw,2,FIND(".",_xlpm.cleanRaw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98" t="str">
        <f>""</f>
        <v/>
      </c>
      <c r="I998" t="str">
        <f>""</f>
        <v/>
      </c>
      <c r="J998" t="str">
        <f t="shared" si="15"/>
        <v>BJ4;VSS;;22.3789999999999;1.3808;;;;</v>
      </c>
    </row>
    <row r="999" spans="1:10">
      <c r="A999" t="s">
        <v>3933</v>
      </c>
      <c r="B999" t="str">
        <f>_xlfn.XLOOKUP(A999,SITE1!$V$4:$V$1034,SITE1!$U$4:$U$1034,"")</f>
        <v>VSS</v>
      </c>
      <c r="C999" t="str" cm="1">
        <f t="array" ref="C999">_xlfn.TEXTJOIN(",",TRUE,_xlfn.UNIQUE(TRANSPOSE(_xlfn.MAP(_xlfn.XLOOKUP(A999,SITE1!$C$4:$C$1034,SITE1!$F$4:$O$1034,""),_xlfn.LAMBDA(_xlpm.x,IF(_xlpm.x&lt;&gt;"",TRIM(CLEAN(LEFT(_xlpm.x,FIND(".",_xlpm.x &amp; ".")-1))),""))))))</f>
        <v/>
      </c>
      <c r="D999">
        <v>22.378999999999898</v>
      </c>
      <c r="E999">
        <v>1.88129999999999</v>
      </c>
      <c r="F999" t="str">
        <f>_xlfn.LET(_xlpm.raw,_xlfn.XLOOKUP(A999,SITE1!$C$4:$C$1034,SITE1!$E$4:$E$1034),_xlpm.cleanRaw,SUBSTITUTE(SUBSTITUTE(_xlpm.raw,"_PIN","."),"PIN","."),_xlpm.mainPart,MID(_xlpm.cleanRaw,2,FIND(".",_xlpm.cleanRaw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99" t="str">
        <f>_xlfn.LET(_xlpm.raw,_xlfn.XLOOKUP(A999,SITE3!$C$4:$C$1034,SITE3!$E$4:$E$1034),_xlpm.cleanRaw,SUBSTITUTE(SUBSTITUTE(_xlpm.raw,"_PIN","."),"PIN","."),_xlpm.mainPart,MID(_xlpm.cleanRaw,2,FIND(".",_xlpm.cleanRaw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99" t="str">
        <f>""</f>
        <v/>
      </c>
      <c r="I999" t="str">
        <f>""</f>
        <v/>
      </c>
      <c r="J999" t="str">
        <f t="shared" si="15"/>
        <v>BJ5;VSS;;22.3789999999999;1.88129999999999;;;;</v>
      </c>
    </row>
    <row r="1000" spans="1:10">
      <c r="A1000" t="s">
        <v>3935</v>
      </c>
      <c r="B1000" t="str">
        <f>_xlfn.XLOOKUP(A1000,SITE1!$V$4:$V$1034,SITE1!$U$4:$U$1034,"")</f>
        <v>VSS</v>
      </c>
      <c r="C1000" t="str" cm="1">
        <f t="array" ref="C1000">_xlfn.TEXTJOIN(",",TRUE,_xlfn.UNIQUE(TRANSPOSE(_xlfn.MAP(_xlfn.XLOOKUP(A1000,SITE1!$C$4:$C$1034,SITE1!$F$4:$O$1034,""),_xlfn.LAMBDA(_xlpm.x,IF(_xlpm.x&lt;&gt;"",TRIM(CLEAN(LEFT(_xlpm.x,FIND(".",_xlpm.x &amp; ".")-1))),""))))))</f>
        <v/>
      </c>
      <c r="D1000">
        <v>22.378999999999898</v>
      </c>
      <c r="E1000">
        <v>2.9475999999999898</v>
      </c>
      <c r="F1000" t="str">
        <f>_xlfn.LET(_xlpm.raw,_xlfn.XLOOKUP(A1000,SITE1!$C$4:$C$1034,SITE1!$E$4:$E$1034),_xlpm.cleanRaw,SUBSTITUTE(SUBSTITUTE(_xlpm.raw,"_PIN","."),"PIN","."),_xlpm.mainPart,MID(_xlpm.cleanRaw,2,FIND(".",_xlpm.cleanRaw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0" t="str">
        <f>_xlfn.LET(_xlpm.raw,_xlfn.XLOOKUP(A1000,SITE3!$C$4:$C$1034,SITE3!$E$4:$E$1034),_xlpm.cleanRaw,SUBSTITUTE(SUBSTITUTE(_xlpm.raw,"_PIN","."),"PIN","."),_xlpm.mainPart,MID(_xlpm.cleanRaw,2,FIND(".",_xlpm.cleanRaw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0" t="str">
        <f>""</f>
        <v/>
      </c>
      <c r="I1000" t="str">
        <f>""</f>
        <v/>
      </c>
      <c r="J1000" t="str">
        <f t="shared" si="15"/>
        <v>BJ7;VSS;;22.3789999999999;2.94759999999999;;;;</v>
      </c>
    </row>
    <row r="1001" spans="1:10">
      <c r="A1001" t="s">
        <v>3931</v>
      </c>
      <c r="B1001" t="str">
        <f>_xlfn.XLOOKUP(A1001,SITE1!$V$4:$V$1034,SITE1!$U$4:$U$1034,"")</f>
        <v>VSS</v>
      </c>
      <c r="C1001" t="str" cm="1">
        <f t="array" ref="C1001">_xlfn.TEXTJOIN(",",TRUE,_xlfn.UNIQUE(TRANSPOSE(_xlfn.MAP(_xlfn.XLOOKUP(A1001,SITE1!$C$4:$C$1034,SITE1!$F$4:$O$1034,""),_xlfn.LAMBDA(_xlpm.x,IF(_xlpm.x&lt;&gt;"",TRIM(CLEAN(LEFT(_xlpm.x,FIND(".",_xlpm.x &amp; ".")-1))),""))))))</f>
        <v/>
      </c>
      <c r="D1001">
        <v>22.378999999999898</v>
      </c>
      <c r="E1001">
        <v>5.1700999999999997</v>
      </c>
      <c r="F1001" t="str">
        <f>_xlfn.LET(_xlpm.raw,_xlfn.XLOOKUP(A1001,SITE1!$C$4:$C$1034,SITE1!$E$4:$E$1034),_xlpm.cleanRaw,SUBSTITUTE(SUBSTITUTE(_xlpm.raw,"_PIN","."),"PIN","."),_xlpm.mainPart,MID(_xlpm.cleanRaw,2,FIND(".",_xlpm.cleanRaw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1" t="str">
        <f>_xlfn.LET(_xlpm.raw,_xlfn.XLOOKUP(A1001,SITE3!$C$4:$C$1034,SITE3!$E$4:$E$1034),_xlpm.cleanRaw,SUBSTITUTE(SUBSTITUTE(_xlpm.raw,"_PIN","."),"PIN","."),_xlpm.mainPart,MID(_xlpm.cleanRaw,2,FIND(".",_xlpm.cleanRaw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1" t="str">
        <f>""</f>
        <v/>
      </c>
      <c r="I1001" t="str">
        <f>""</f>
        <v/>
      </c>
      <c r="J1001" t="str">
        <f t="shared" si="15"/>
        <v>BJ12;VSS;;22.3789999999999;5.1701;;;;</v>
      </c>
    </row>
    <row r="1002" spans="1:10">
      <c r="A1002" t="s">
        <v>1908</v>
      </c>
      <c r="B1002" t="str">
        <f>_xlfn.XLOOKUP(A1002,SITE1!$V$4:$V$1034,SITE1!$U$4:$U$1034,"")</f>
        <v>PCIE_1_TXN</v>
      </c>
      <c r="C1002" t="str" cm="1">
        <f t="array" ref="C1002">_xlfn.TEXTJOIN(",",TRUE,_xlfn.UNIQUE(TRANSPOSE(_xlfn.MAP(_xlfn.XLOOKUP(A1002,SITE1!$C$4:$C$1034,SITE1!$F$4:$O$1034,""),_xlfn.LAMBDA(_xlpm.x,IF(_xlpm.x&lt;&gt;"",TRIM(CLEAN(LEFT(_xlpm.x,FIND(".",_xlpm.x &amp; ".")-1))),""))))))</f>
        <v>CA222,LA243</v>
      </c>
      <c r="D1002">
        <v>22.38</v>
      </c>
      <c r="E1002">
        <v>7.7309000000000001</v>
      </c>
      <c r="F1002" t="str">
        <f>_xlfn.LET(_xlpm.raw,_xlfn.XLOOKUP(A1002,SITE1!$C$4:$C$1034,SITE1!$E$4:$E$1034),_xlpm.cleanRaw,SUBSTITUTE(SUBSTITUTE(_xlpm.raw,"_PIN","."),"PIN","."),_xlpm.mainPart,MID(_xlpm.cleanRaw,2,FIND(".",_xlpm.cleanRaw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603102</v>
      </c>
      <c r="G1002" t="str">
        <f>_xlfn.LET(_xlpm.raw,_xlfn.XLOOKUP(A1002,SITE3!$C$4:$C$1034,SITE3!$E$4:$E$1034),_xlpm.cleanRaw,SUBSTITUTE(SUBSTITUTE(_xlpm.raw,"_PIN","."),"PIN","."),_xlpm.mainPart,MID(_xlpm.cleanRaw,2,FIND(".",_xlpm.cleanRaw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803102</v>
      </c>
      <c r="H1002" t="str">
        <f>""</f>
        <v/>
      </c>
      <c r="I1002" t="str">
        <f>""</f>
        <v/>
      </c>
      <c r="J1002" t="str">
        <f t="shared" si="15"/>
        <v>BJ17;PCIE_1_TXN;CA222,LA243;22.38;7.7309;603102;803102;;</v>
      </c>
    </row>
    <row r="1003" spans="1:10">
      <c r="A1003" t="s">
        <v>1917</v>
      </c>
      <c r="B1003" t="str">
        <f>_xlfn.XLOOKUP(A1003,SITE1!$V$4:$V$1034,SITE1!$U$4:$U$1034,"")</f>
        <v>PCIE_1_TXP</v>
      </c>
      <c r="C1003" t="str" cm="1">
        <f t="array" ref="C1003">_xlfn.TEXTJOIN(",",TRUE,_xlfn.UNIQUE(TRANSPOSE(_xlfn.MAP(_xlfn.XLOOKUP(A1003,SITE1!$C$4:$C$1034,SITE1!$F$4:$O$1034,""),_xlfn.LAMBDA(_xlpm.x,IF(_xlpm.x&lt;&gt;"",TRIM(CLEAN(LEFT(_xlpm.x,FIND(".",_xlpm.x &amp; ".")-1))),""))))))</f>
        <v>CA221,LA241</v>
      </c>
      <c r="D1003">
        <v>22.38</v>
      </c>
      <c r="E1003">
        <v>8.2312999999999992</v>
      </c>
      <c r="F1003" t="str">
        <f>_xlfn.LET(_xlpm.raw,_xlfn.XLOOKUP(A1003,SITE1!$C$4:$C$1034,SITE1!$E$4:$E$1034),_xlpm.cleanRaw,SUBSTITUTE(SUBSTITUTE(_xlpm.raw,"_PIN","."),"PIN","."),_xlpm.mainPart,MID(_xlpm.cleanRaw,2,FIND(".",_xlpm.cleanRaw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603100</v>
      </c>
      <c r="G1003" t="str">
        <f>_xlfn.LET(_xlpm.raw,_xlfn.XLOOKUP(A1003,SITE3!$C$4:$C$1034,SITE3!$E$4:$E$1034),_xlpm.cleanRaw,SUBSTITUTE(SUBSTITUTE(_xlpm.raw,"_PIN","."),"PIN","."),_xlpm.mainPart,MID(_xlpm.cleanRaw,2,FIND(".",_xlpm.cleanRaw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803100</v>
      </c>
      <c r="H1003" t="str">
        <f>""</f>
        <v/>
      </c>
      <c r="I1003" t="str">
        <f>""</f>
        <v/>
      </c>
      <c r="J1003" t="str">
        <f t="shared" si="15"/>
        <v>BJ18;PCIE_1_TXP;CA221,LA241;22.38;8.2313;603100;803100;;</v>
      </c>
    </row>
    <row r="1004" spans="1:10">
      <c r="A1004" t="s">
        <v>2511</v>
      </c>
      <c r="B1004" t="str">
        <f>_xlfn.XLOOKUP(A1004,SITE1!$V$4:$V$1034,SITE1!$U$4:$U$1034,"")</f>
        <v>PCIE_3_LAN_0A_TXN</v>
      </c>
      <c r="C1004" t="str" cm="1">
        <f t="array" ref="C1004">_xlfn.TEXTJOIN(",",TRUE,_xlfn.UNIQUE(TRANSPOSE(_xlfn.MAP(_xlfn.XLOOKUP(A1004,SITE1!$C$4:$C$1034,SITE1!$F$4:$O$1034,""),_xlfn.LAMBDA(_xlpm.x,IF(_xlpm.x&lt;&gt;"",TRIM(CLEAN(LEFT(_xlpm.x,FIND(".",_xlpm.x &amp; ".")-1))),""))))))</f>
        <v>CA226,LA251</v>
      </c>
      <c r="D1004">
        <v>22.38</v>
      </c>
      <c r="E1004">
        <v>9.0953999999999997</v>
      </c>
      <c r="F1004" t="str">
        <f>_xlfn.LET(_xlpm.raw,_xlfn.XLOOKUP(A1004,SITE1!$C$4:$C$1034,SITE1!$E$4:$E$1034),_xlpm.cleanRaw,SUBSTITUTE(SUBSTITUTE(_xlpm.raw,"_PIN","."),"PIN","."),_xlpm.mainPart,MID(_xlpm.cleanRaw,2,FIND(".",_xlpm.cleanRaw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602058</v>
      </c>
      <c r="G1004" t="str">
        <f>_xlfn.LET(_xlpm.raw,_xlfn.XLOOKUP(A1004,SITE3!$C$4:$C$1034,SITE3!$E$4:$E$1034),_xlpm.cleanRaw,SUBSTITUTE(SUBSTITUTE(_xlpm.raw,"_PIN","."),"PIN","."),_xlpm.mainPart,MID(_xlpm.cleanRaw,2,FIND(".",_xlpm.cleanRaw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802058</v>
      </c>
      <c r="H1004" t="str">
        <f>""</f>
        <v/>
      </c>
      <c r="I1004" t="str">
        <f>""</f>
        <v/>
      </c>
      <c r="J1004" t="str">
        <f t="shared" si="15"/>
        <v>BJ20;PCIE_3_LAN_0A_TXN;CA226,LA251;22.38;9.0954;602058;802058;;</v>
      </c>
    </row>
    <row r="1005" spans="1:10">
      <c r="A1005" t="s">
        <v>2519</v>
      </c>
      <c r="B1005" t="str">
        <f>_xlfn.XLOOKUP(A1005,SITE1!$V$4:$V$1034,SITE1!$U$4:$U$1034,"")</f>
        <v>PCIE_3_LAN_0A_TXP</v>
      </c>
      <c r="C1005" t="str" cm="1">
        <f t="array" ref="C1005">_xlfn.TEXTJOIN(",",TRUE,_xlfn.UNIQUE(TRANSPOSE(_xlfn.MAP(_xlfn.XLOOKUP(A1005,SITE1!$C$4:$C$1034,SITE1!$F$4:$O$1034,""),_xlfn.LAMBDA(_xlpm.x,IF(_xlpm.x&lt;&gt;"",TRIM(CLEAN(LEFT(_xlpm.x,FIND(".",_xlpm.x &amp; ".")-1))),""))))))</f>
        <v>CA225,LA249</v>
      </c>
      <c r="D1005">
        <v>22.38</v>
      </c>
      <c r="E1005">
        <v>9.5958000000000006</v>
      </c>
      <c r="F1005" t="str">
        <f>_xlfn.LET(_xlpm.raw,_xlfn.XLOOKUP(A1005,SITE1!$C$4:$C$1034,SITE1!$E$4:$E$1034),_xlpm.cleanRaw,SUBSTITUTE(SUBSTITUTE(_xlpm.raw,"_PIN","."),"PIN","."),_xlpm.mainPart,MID(_xlpm.cleanRaw,2,FIND(".",_xlpm.cleanRaw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602056</v>
      </c>
      <c r="G1005" t="str">
        <f>_xlfn.LET(_xlpm.raw,_xlfn.XLOOKUP(A1005,SITE3!$C$4:$C$1034,SITE3!$E$4:$E$1034),_xlpm.cleanRaw,SUBSTITUTE(SUBSTITUTE(_xlpm.raw,"_PIN","."),"PIN","."),_xlpm.mainPart,MID(_xlpm.cleanRaw,2,FIND(".",_xlpm.cleanRaw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802056</v>
      </c>
      <c r="H1005" t="str">
        <f>""</f>
        <v/>
      </c>
      <c r="I1005" t="str">
        <f>""</f>
        <v/>
      </c>
      <c r="J1005" t="str">
        <f t="shared" si="15"/>
        <v>BJ21;PCIE_3_LAN_0A_TXP;CA225,LA249;22.38;9.5958;602056;802056;;</v>
      </c>
    </row>
    <row r="1006" spans="1:10">
      <c r="A1006" t="s">
        <v>2582</v>
      </c>
      <c r="B1006" t="str">
        <f>_xlfn.XLOOKUP(A1006,SITE1!$V$4:$V$1034,SITE1!$U$4:$U$1034,"")</f>
        <v>PCIE_5_TXN</v>
      </c>
      <c r="C1006" t="str" cm="1">
        <f t="array" ref="C1006">_xlfn.TEXTJOIN(",",TRUE,_xlfn.UNIQUE(TRANSPOSE(_xlfn.MAP(_xlfn.XLOOKUP(A1006,SITE1!$C$4:$C$1034,SITE1!$F$4:$O$1034,""),_xlfn.LAMBDA(_xlpm.x,IF(_xlpm.x&lt;&gt;"",TRIM(CLEAN(LEFT(_xlpm.x,FIND(".",_xlpm.x &amp; ".")-1))),""))))))</f>
        <v>CA230,LA259</v>
      </c>
      <c r="D1006">
        <v>22.38</v>
      </c>
      <c r="E1006">
        <v>10.459899999999999</v>
      </c>
      <c r="F1006" t="str">
        <f>_xlfn.LET(_xlpm.raw,_xlfn.XLOOKUP(A1006,SITE1!$C$4:$C$1034,SITE1!$E$4:$E$1034),_xlpm.cleanRaw,SUBSTITUTE(SUBSTITUTE(_xlpm.raw,"_PIN","."),"PIN","."),_xlpm.mainPart,MID(_xlpm.cleanRaw,2,FIND(".",_xlpm.cleanRaw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602079</v>
      </c>
      <c r="G1006" t="str">
        <f>_xlfn.LET(_xlpm.raw,_xlfn.XLOOKUP(A1006,SITE3!$C$4:$C$1034,SITE3!$E$4:$E$1034),_xlpm.cleanRaw,SUBSTITUTE(SUBSTITUTE(_xlpm.raw,"_PIN","."),"PIN","."),_xlpm.mainPart,MID(_xlpm.cleanRaw,2,FIND(".",_xlpm.cleanRaw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802079</v>
      </c>
      <c r="H1006" t="str">
        <f>""</f>
        <v/>
      </c>
      <c r="I1006" t="str">
        <f>""</f>
        <v/>
      </c>
      <c r="J1006" t="str">
        <f t="shared" si="15"/>
        <v>BJ23;PCIE_5_TXN;CA230,LA259;22.38;10.4599;602079;802079;;</v>
      </c>
    </row>
    <row r="1007" spans="1:10">
      <c r="A1007" t="s">
        <v>2590</v>
      </c>
      <c r="B1007" t="str">
        <f>_xlfn.XLOOKUP(A1007,SITE1!$V$4:$V$1034,SITE1!$U$4:$U$1034,"")</f>
        <v>PCIE_5_TXP</v>
      </c>
      <c r="C1007" t="str" cm="1">
        <f t="array" ref="C1007">_xlfn.TEXTJOIN(",",TRUE,_xlfn.UNIQUE(TRANSPOSE(_xlfn.MAP(_xlfn.XLOOKUP(A1007,SITE1!$C$4:$C$1034,SITE1!$F$4:$O$1034,""),_xlfn.LAMBDA(_xlpm.x,IF(_xlpm.x&lt;&gt;"",TRIM(CLEAN(LEFT(_xlpm.x,FIND(".",_xlpm.x &amp; ".")-1))),""))))))</f>
        <v>CA229,LA257</v>
      </c>
      <c r="D1007">
        <v>22.38</v>
      </c>
      <c r="E1007">
        <v>10.9603</v>
      </c>
      <c r="F1007" t="str">
        <f>_xlfn.LET(_xlpm.raw,_xlfn.XLOOKUP(A1007,SITE1!$C$4:$C$1034,SITE1!$E$4:$E$1034),_xlpm.cleanRaw,SUBSTITUTE(SUBSTITUTE(_xlpm.raw,"_PIN","."),"PIN","."),_xlpm.mainPart,MID(_xlpm.cleanRaw,2,FIND(".",_xlpm.cleanRaw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602077</v>
      </c>
      <c r="G1007" t="str">
        <f>_xlfn.LET(_xlpm.raw,_xlfn.XLOOKUP(A1007,SITE3!$C$4:$C$1034,SITE3!$E$4:$E$1034),_xlpm.cleanRaw,SUBSTITUTE(SUBSTITUTE(_xlpm.raw,"_PIN","."),"PIN","."),_xlpm.mainPart,MID(_xlpm.cleanRaw,2,FIND(".",_xlpm.cleanRaw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802077</v>
      </c>
      <c r="H1007" t="str">
        <f>""</f>
        <v/>
      </c>
      <c r="I1007" t="str">
        <f>""</f>
        <v/>
      </c>
      <c r="J1007" t="str">
        <f t="shared" si="15"/>
        <v>BJ24;PCIE_5_TXP;CA229,LA257;22.38;10.9603;602077;802077;;</v>
      </c>
    </row>
    <row r="1008" spans="1:10">
      <c r="A1008" t="s">
        <v>2652</v>
      </c>
      <c r="B1008" t="str">
        <f>_xlfn.XLOOKUP(A1008,SITE1!$V$4:$V$1034,SITE1!$U$4:$U$1034,"")</f>
        <v>PCIE_7_LAN_0B_TXN</v>
      </c>
      <c r="C1008" t="str" cm="1">
        <f t="array" ref="C1008">_xlfn.TEXTJOIN(",",TRUE,_xlfn.UNIQUE(TRANSPOSE(_xlfn.MAP(_xlfn.XLOOKUP(A1008,SITE1!$C$4:$C$1034,SITE1!$F$4:$O$1034,""),_xlfn.LAMBDA(_xlpm.x,IF(_xlpm.x&lt;&gt;"",TRIM(CLEAN(LEFT(_xlpm.x,FIND(".",_xlpm.x &amp; ".")-1))),""))))))</f>
        <v>CA234,LA267</v>
      </c>
      <c r="D1008">
        <v>22.38</v>
      </c>
      <c r="E1008">
        <v>11.824400000000001</v>
      </c>
      <c r="F1008" t="str">
        <f>_xlfn.LET(_xlpm.raw,_xlfn.XLOOKUP(A1008,SITE1!$C$4:$C$1034,SITE1!$E$4:$E$1034),_xlpm.cleanRaw,SUBSTITUTE(SUBSTITUTE(_xlpm.raw,"_PIN","."),"PIN","."),_xlpm.mainPart,MID(_xlpm.cleanRaw,2,FIND(".",_xlpm.cleanRaw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604007</v>
      </c>
      <c r="G1008" t="str">
        <f>_xlfn.LET(_xlpm.raw,_xlfn.XLOOKUP(A1008,SITE3!$C$4:$C$1034,SITE3!$E$4:$E$1034),_xlpm.cleanRaw,SUBSTITUTE(SUBSTITUTE(_xlpm.raw,"_PIN","."),"PIN","."),_xlpm.mainPart,MID(_xlpm.cleanRaw,2,FIND(".",_xlpm.cleanRaw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804007</v>
      </c>
      <c r="H1008" t="str">
        <f>""</f>
        <v/>
      </c>
      <c r="I1008" t="str">
        <f>""</f>
        <v/>
      </c>
      <c r="J1008" t="str">
        <f t="shared" si="15"/>
        <v>BJ26;PCIE_7_LAN_0B_TXN;CA234,LA267;22.38;11.8244;604007;804007;;</v>
      </c>
    </row>
    <row r="1009" spans="1:10">
      <c r="A1009" t="s">
        <v>2660</v>
      </c>
      <c r="B1009" t="str">
        <f>_xlfn.XLOOKUP(A1009,SITE1!$V$4:$V$1034,SITE1!$U$4:$U$1034,"")</f>
        <v>PCIE_7_LAN_0B_TXP</v>
      </c>
      <c r="C1009" t="str" cm="1">
        <f t="array" ref="C1009">_xlfn.TEXTJOIN(",",TRUE,_xlfn.UNIQUE(TRANSPOSE(_xlfn.MAP(_xlfn.XLOOKUP(A1009,SITE1!$C$4:$C$1034,SITE1!$F$4:$O$1034,""),_xlfn.LAMBDA(_xlpm.x,IF(_xlpm.x&lt;&gt;"",TRIM(CLEAN(LEFT(_xlpm.x,FIND(".",_xlpm.x &amp; ".")-1))),""))))))</f>
        <v>CA233,LA265</v>
      </c>
      <c r="D1009">
        <v>22.38</v>
      </c>
      <c r="E1009">
        <v>12.3248</v>
      </c>
      <c r="F1009" t="str">
        <f>_xlfn.LET(_xlpm.raw,_xlfn.XLOOKUP(A1009,SITE1!$C$4:$C$1034,SITE1!$E$4:$E$1034),_xlpm.cleanRaw,SUBSTITUTE(SUBSTITUTE(_xlpm.raw,"_PIN","."),"PIN","."),_xlpm.mainPart,MID(_xlpm.cleanRaw,2,FIND(".",_xlpm.cleanRaw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604005</v>
      </c>
      <c r="G1009" t="str">
        <f>_xlfn.LET(_xlpm.raw,_xlfn.XLOOKUP(A1009,SITE3!$C$4:$C$1034,SITE3!$E$4:$E$1034),_xlpm.cleanRaw,SUBSTITUTE(SUBSTITUTE(_xlpm.raw,"_PIN","."),"PIN","."),_xlpm.mainPart,MID(_xlpm.cleanRaw,2,FIND(".",_xlpm.cleanRaw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804005</v>
      </c>
      <c r="H1009" t="str">
        <f>""</f>
        <v/>
      </c>
      <c r="I1009" t="str">
        <f>""</f>
        <v/>
      </c>
      <c r="J1009" t="str">
        <f t="shared" si="15"/>
        <v>BJ27;PCIE_7_LAN_0B_TXP;CA233,LA265;22.38;12.3248;604005;804005;;</v>
      </c>
    </row>
    <row r="1010" spans="1:10">
      <c r="A1010" t="s">
        <v>2722</v>
      </c>
      <c r="B1010" t="str">
        <f>_xlfn.XLOOKUP(A1010,SITE1!$V$4:$V$1034,SITE1!$U$4:$U$1034,"")</f>
        <v>PCIE_9_TSN_0_TXN</v>
      </c>
      <c r="C1010" t="str" cm="1">
        <f t="array" ref="C1010">_xlfn.TEXTJOIN(",",TRUE,_xlfn.UNIQUE(TRANSPOSE(_xlfn.MAP(_xlfn.XLOOKUP(A1010,SITE1!$C$4:$C$1034,SITE1!$F$4:$O$1034,""),_xlfn.LAMBDA(_xlpm.x,IF(_xlpm.x&lt;&gt;"",TRIM(CLEAN(LEFT(_xlpm.x,FIND(".",_xlpm.x &amp; ".")-1))),""))))))</f>
        <v>CA238,LA275</v>
      </c>
      <c r="D1010">
        <v>22.38</v>
      </c>
      <c r="E1010">
        <v>13.1889</v>
      </c>
      <c r="F1010" t="str">
        <f>_xlfn.LET(_xlpm.raw,_xlfn.XLOOKUP(A1010,SITE1!$C$4:$C$1034,SITE1!$E$4:$E$1034),_xlpm.cleanRaw,SUBSTITUTE(SUBSTITUTE(_xlpm.raw,"_PIN","."),"PIN","."),_xlpm.mainPart,MID(_xlpm.cleanRaw,2,FIND(".",_xlpm.cleanRaw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704126</v>
      </c>
      <c r="G1010" t="str">
        <f>_xlfn.LET(_xlpm.raw,_xlfn.XLOOKUP(A1010,SITE3!$C$4:$C$1034,SITE3!$E$4:$E$1034),_xlpm.cleanRaw,SUBSTITUTE(SUBSTITUTE(_xlpm.raw,"_PIN","."),"PIN","."),_xlpm.mainPart,MID(_xlpm.cleanRaw,2,FIND(".",_xlpm.cleanRaw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504126</v>
      </c>
      <c r="H1010" t="str">
        <f>""</f>
        <v/>
      </c>
      <c r="I1010" t="str">
        <f>""</f>
        <v/>
      </c>
      <c r="J1010" t="str">
        <f t="shared" si="15"/>
        <v>BJ28;PCIE_9_TSN_0_TXN;CA238,LA275;22.38;13.1889;704126;504126;;</v>
      </c>
    </row>
    <row r="1011" spans="1:10">
      <c r="A1011" t="s">
        <v>2730</v>
      </c>
      <c r="B1011" t="str">
        <f>_xlfn.XLOOKUP(A1011,SITE1!$V$4:$V$1034,SITE1!$U$4:$U$1034,"")</f>
        <v>PCIE_9_TSN_0_TXP</v>
      </c>
      <c r="C1011" t="str" cm="1">
        <f t="array" ref="C1011">_xlfn.TEXTJOIN(",",TRUE,_xlfn.UNIQUE(TRANSPOSE(_xlfn.MAP(_xlfn.XLOOKUP(A1011,SITE1!$C$4:$C$1034,SITE1!$F$4:$O$1034,""),_xlfn.LAMBDA(_xlpm.x,IF(_xlpm.x&lt;&gt;"",TRIM(CLEAN(LEFT(_xlpm.x,FIND(".",_xlpm.x &amp; ".")-1))),""))))))</f>
        <v>CA237,LA273</v>
      </c>
      <c r="D1011">
        <v>22.38</v>
      </c>
      <c r="E1011">
        <v>13.689299999999999</v>
      </c>
      <c r="F1011" t="str">
        <f>_xlfn.LET(_xlpm.raw,_xlfn.XLOOKUP(A1011,SITE1!$C$4:$C$1034,SITE1!$E$4:$E$1034),_xlpm.cleanRaw,SUBSTITUTE(SUBSTITUTE(_xlpm.raw,"_PIN","."),"PIN","."),_xlpm.mainPart,MID(_xlpm.cleanRaw,2,FIND(".",_xlpm.cleanRaw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704124</v>
      </c>
      <c r="G1011" t="str">
        <f>_xlfn.LET(_xlpm.raw,_xlfn.XLOOKUP(A1011,SITE3!$C$4:$C$1034,SITE3!$E$4:$E$1034),_xlpm.cleanRaw,SUBSTITUTE(SUBSTITUTE(_xlpm.raw,"_PIN","."),"PIN","."),_xlpm.mainPart,MID(_xlpm.cleanRaw,2,FIND(".",_xlpm.cleanRaw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504124</v>
      </c>
      <c r="H1011" t="str">
        <f>""</f>
        <v/>
      </c>
      <c r="I1011" t="str">
        <f>""</f>
        <v/>
      </c>
      <c r="J1011" t="str">
        <f t="shared" si="15"/>
        <v>BJ30;PCIE_9_TSN_0_TXP;CA237,LA273;22.38;13.6893;704124;504124;;</v>
      </c>
    </row>
    <row r="1012" spans="1:10">
      <c r="A1012" t="s">
        <v>1981</v>
      </c>
      <c r="B1012" t="str">
        <f>_xlfn.XLOOKUP(A1012,SITE1!$V$4:$V$1034,SITE1!$U$4:$U$1034,"")</f>
        <v>PCIE_11_TXN</v>
      </c>
      <c r="C1012" t="str" cm="1">
        <f t="array" ref="C1012">_xlfn.TEXTJOIN(",",TRUE,_xlfn.UNIQUE(TRANSPOSE(_xlfn.MAP(_xlfn.XLOOKUP(A1012,SITE1!$C$4:$C$1034,SITE1!$F$4:$O$1034,""),_xlfn.LAMBDA(_xlpm.x,IF(_xlpm.x&lt;&gt;"",TRIM(CLEAN(LEFT(_xlpm.x,FIND(".",_xlpm.x &amp; ".")-1))),""))))))</f>
        <v>CA242,LA283</v>
      </c>
      <c r="D1012">
        <v>22.38</v>
      </c>
      <c r="E1012">
        <v>14.5534</v>
      </c>
      <c r="F1012" t="str">
        <f>_xlfn.LET(_xlpm.raw,_xlfn.XLOOKUP(A1012,SITE1!$C$4:$C$1034,SITE1!$E$4:$E$1034),_xlpm.cleanRaw,SUBSTITUTE(SUBSTITUTE(_xlpm.raw,"_PIN","."),"PIN","."),_xlpm.mainPart,MID(_xlpm.cleanRaw,2,FIND(".",_xlpm.cleanRaw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601006</v>
      </c>
      <c r="G1012" t="str">
        <f>_xlfn.LET(_xlpm.raw,_xlfn.XLOOKUP(A1012,SITE3!$C$4:$C$1034,SITE3!$E$4:$E$1034),_xlpm.cleanRaw,SUBSTITUTE(SUBSTITUTE(_xlpm.raw,"_PIN","."),"PIN","."),_xlpm.mainPart,MID(_xlpm.cleanRaw,2,FIND(".",_xlpm.cleanRaw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801006</v>
      </c>
      <c r="H1012" t="str">
        <f>""</f>
        <v/>
      </c>
      <c r="I1012" t="str">
        <f>""</f>
        <v/>
      </c>
      <c r="J1012" t="str">
        <f t="shared" si="15"/>
        <v>BJ31;PCIE_11_TXN;CA242,LA283;22.38;14.5534;601006;801006;;</v>
      </c>
    </row>
    <row r="1013" spans="1:10">
      <c r="A1013" t="s">
        <v>1989</v>
      </c>
      <c r="B1013" t="str">
        <f>_xlfn.XLOOKUP(A1013,SITE1!$V$4:$V$1034,SITE1!$U$4:$U$1034,"")</f>
        <v>PCIE_11_TXP</v>
      </c>
      <c r="C1013" t="str" cm="1">
        <f t="array" ref="C1013">_xlfn.TEXTJOIN(",",TRUE,_xlfn.UNIQUE(TRANSPOSE(_xlfn.MAP(_xlfn.XLOOKUP(A1013,SITE1!$C$4:$C$1034,SITE1!$F$4:$O$1034,""),_xlfn.LAMBDA(_xlpm.x,IF(_xlpm.x&lt;&gt;"",TRIM(CLEAN(LEFT(_xlpm.x,FIND(".",_xlpm.x &amp; ".")-1))),""))))))</f>
        <v>CA241,LA281</v>
      </c>
      <c r="D1013">
        <v>22.38</v>
      </c>
      <c r="E1013">
        <v>15.053799999999899</v>
      </c>
      <c r="F1013" t="str">
        <f>_xlfn.LET(_xlpm.raw,_xlfn.XLOOKUP(A1013,SITE1!$C$4:$C$1034,SITE1!$E$4:$E$1034),_xlpm.cleanRaw,SUBSTITUTE(SUBSTITUTE(_xlpm.raw,"_PIN","."),"PIN","."),_xlpm.mainPart,MID(_xlpm.cleanRaw,2,FIND(".",_xlpm.cleanRaw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601008</v>
      </c>
      <c r="G1013" t="str">
        <f>_xlfn.LET(_xlpm.raw,_xlfn.XLOOKUP(A1013,SITE3!$C$4:$C$1034,SITE3!$E$4:$E$1034),_xlpm.cleanRaw,SUBSTITUTE(SUBSTITUTE(_xlpm.raw,"_PIN","."),"PIN","."),_xlpm.mainPart,MID(_xlpm.cleanRaw,2,FIND(".",_xlpm.cleanRaw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801008</v>
      </c>
      <c r="H1013" t="str">
        <f>""</f>
        <v/>
      </c>
      <c r="I1013" t="str">
        <f>""</f>
        <v/>
      </c>
      <c r="J1013" t="str">
        <f t="shared" si="15"/>
        <v>BJ32;PCIE_11_TXP;CA241,LA281;22.38;15.0537999999999;601008;801008;;</v>
      </c>
    </row>
    <row r="1014" spans="1:10">
      <c r="A1014" t="s">
        <v>2052</v>
      </c>
      <c r="B1014" t="str">
        <f>_xlfn.XLOOKUP(A1014,SITE1!$V$4:$V$1034,SITE1!$U$4:$U$1034,"")</f>
        <v>PCIE_13_SATA_0_TXN</v>
      </c>
      <c r="C1014" t="str" cm="1">
        <f t="array" ref="C1014">_xlfn.TEXTJOIN(",",TRUE,_xlfn.UNIQUE(TRANSPOSE(_xlfn.MAP(_xlfn.XLOOKUP(A1014,SITE1!$C$4:$C$1034,SITE1!$F$4:$O$1034,""),_xlfn.LAMBDA(_xlpm.x,IF(_xlpm.x&lt;&gt;"",TRIM(CLEAN(LEFT(_xlpm.x,FIND(".",_xlpm.x &amp; ".")-1))),""))))))</f>
        <v>CA246,LA291</v>
      </c>
      <c r="D1014">
        <v>22.38</v>
      </c>
      <c r="E1014">
        <v>15.917899999999999</v>
      </c>
      <c r="F1014" t="str">
        <f>_xlfn.LET(_xlpm.raw,_xlfn.XLOOKUP(A1014,SITE1!$C$4:$C$1034,SITE1!$E$4:$E$1034),_xlpm.cleanRaw,SUBSTITUTE(SUBSTITUTE(_xlpm.raw,"_PIN","."),"PIN","."),_xlpm.mainPart,MID(_xlpm.cleanRaw,2,FIND(".",_xlpm.cleanRaw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703029</v>
      </c>
      <c r="G1014" t="str">
        <f>_xlfn.LET(_xlpm.raw,_xlfn.XLOOKUP(A1014,SITE3!$C$4:$C$1034,SITE3!$E$4:$E$1034),_xlpm.cleanRaw,SUBSTITUTE(SUBSTITUTE(_xlpm.raw,"_PIN","."),"PIN","."),_xlpm.mainPart,MID(_xlpm.cleanRaw,2,FIND(".",_xlpm.cleanRaw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503029</v>
      </c>
      <c r="H1014" t="str">
        <f>""</f>
        <v/>
      </c>
      <c r="I1014" t="str">
        <f>""</f>
        <v/>
      </c>
      <c r="J1014" t="str">
        <f t="shared" si="15"/>
        <v>BJ34;PCIE_13_SATA_0_TXN;CA246,LA291;22.38;15.9179;703029;503029;;</v>
      </c>
    </row>
    <row r="1015" spans="1:10">
      <c r="A1015" t="s">
        <v>2061</v>
      </c>
      <c r="B1015" t="str">
        <f>_xlfn.XLOOKUP(A1015,SITE1!$V$4:$V$1034,SITE1!$U$4:$U$1034,"")</f>
        <v>PCIE_13_SATA_0_TXP</v>
      </c>
      <c r="C1015" t="str" cm="1">
        <f t="array" ref="C1015">_xlfn.TEXTJOIN(",",TRUE,_xlfn.UNIQUE(TRANSPOSE(_xlfn.MAP(_xlfn.XLOOKUP(A1015,SITE1!$C$4:$C$1034,SITE1!$F$4:$O$1034,""),_xlfn.LAMBDA(_xlpm.x,IF(_xlpm.x&lt;&gt;"",TRIM(CLEAN(LEFT(_xlpm.x,FIND(".",_xlpm.x &amp; ".")-1))),""))))))</f>
        <v>CA245,LA289</v>
      </c>
      <c r="D1015">
        <v>22.38</v>
      </c>
      <c r="E1015">
        <v>16.418299999999999</v>
      </c>
      <c r="F1015" t="str">
        <f>_xlfn.LET(_xlpm.raw,_xlfn.XLOOKUP(A1015,SITE1!$C$4:$C$1034,SITE1!$E$4:$E$1034),_xlpm.cleanRaw,SUBSTITUTE(SUBSTITUTE(_xlpm.raw,"_PIN","."),"PIN","."),_xlpm.mainPart,MID(_xlpm.cleanRaw,2,FIND(".",_xlpm.cleanRaw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703027</v>
      </c>
      <c r="G1015" t="str">
        <f>_xlfn.LET(_xlpm.raw,_xlfn.XLOOKUP(A1015,SITE3!$C$4:$C$1034,SITE3!$E$4:$E$1034),_xlpm.cleanRaw,SUBSTITUTE(SUBSTITUTE(_xlpm.raw,"_PIN","."),"PIN","."),_xlpm.mainPart,MID(_xlpm.cleanRaw,2,FIND(".",_xlpm.cleanRaw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503027</v>
      </c>
      <c r="H1015" t="str">
        <f>""</f>
        <v/>
      </c>
      <c r="I1015" t="str">
        <f>""</f>
        <v/>
      </c>
      <c r="J1015" t="str">
        <f t="shared" si="15"/>
        <v>BJ35;PCIE_13_SATA_0_TXP;CA245,LA289;22.38;16.4183;703027;503027;;</v>
      </c>
    </row>
    <row r="1016" spans="1:10">
      <c r="A1016" t="s">
        <v>2123</v>
      </c>
      <c r="B1016" t="str">
        <f>_xlfn.XLOOKUP(A1016,SITE1!$V$4:$V$1034,SITE1!$U$4:$U$1034,"")</f>
        <v>PCIE_15_SATA_2_LAN_0C_TXN</v>
      </c>
      <c r="C1016" t="str" cm="1">
        <f t="array" ref="C1016">_xlfn.TEXTJOIN(",",TRUE,_xlfn.UNIQUE(TRANSPOSE(_xlfn.MAP(_xlfn.XLOOKUP(A1016,SITE1!$C$4:$C$1034,SITE1!$F$4:$O$1034,""),_xlfn.LAMBDA(_xlpm.x,IF(_xlpm.x&lt;&gt;"",TRIM(CLEAN(LEFT(_xlpm.x,FIND(".",_xlpm.x &amp; ".")-1))),""))))))</f>
        <v>CA250,LA299</v>
      </c>
      <c r="D1016">
        <v>22.38</v>
      </c>
      <c r="E1016">
        <v>17.282399999999999</v>
      </c>
      <c r="F1016" t="str">
        <f>_xlfn.LET(_xlpm.raw,_xlfn.XLOOKUP(A1016,SITE1!$C$4:$C$1034,SITE1!$E$4:$E$1034),_xlpm.cleanRaw,SUBSTITUTE(SUBSTITUTE(_xlpm.raw,"_PIN","."),"PIN","."),_xlpm.mainPart,MID(_xlpm.cleanRaw,2,FIND(".",_xlpm.cleanRaw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704112</v>
      </c>
      <c r="G1016" t="str">
        <f>_xlfn.LET(_xlpm.raw,_xlfn.XLOOKUP(A1016,SITE3!$C$4:$C$1034,SITE3!$E$4:$E$1034),_xlpm.cleanRaw,SUBSTITUTE(SUBSTITUTE(_xlpm.raw,"_PIN","."),"PIN","."),_xlpm.mainPart,MID(_xlpm.cleanRaw,2,FIND(".",_xlpm.cleanRaw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504112</v>
      </c>
      <c r="H1016" t="str">
        <f>""</f>
        <v/>
      </c>
      <c r="I1016" t="str">
        <f>""</f>
        <v/>
      </c>
      <c r="J1016" t="str">
        <f t="shared" si="15"/>
        <v>BJ37;PCIE_15_SATA_2_LAN_0C_TXN;CA250,LA299;22.38;17.2824;704112;504112;;</v>
      </c>
    </row>
    <row r="1017" spans="1:10">
      <c r="A1017" t="s">
        <v>2131</v>
      </c>
      <c r="B1017" t="str">
        <f>_xlfn.XLOOKUP(A1017,SITE1!$V$4:$V$1034,SITE1!$U$4:$U$1034,"")</f>
        <v>PCIE_15_SATA_2_LAN_0C_TXP</v>
      </c>
      <c r="C1017" t="str" cm="1">
        <f t="array" ref="C1017">_xlfn.TEXTJOIN(",",TRUE,_xlfn.UNIQUE(TRANSPOSE(_xlfn.MAP(_xlfn.XLOOKUP(A1017,SITE1!$C$4:$C$1034,SITE1!$F$4:$O$1034,""),_xlfn.LAMBDA(_xlpm.x,IF(_xlpm.x&lt;&gt;"",TRIM(CLEAN(LEFT(_xlpm.x,FIND(".",_xlpm.x &amp; ".")-1))),""))))))</f>
        <v>CA249,LA297</v>
      </c>
      <c r="D1017">
        <v>22.38</v>
      </c>
      <c r="E1017">
        <v>17.782800000000002</v>
      </c>
      <c r="F1017" t="str">
        <f>_xlfn.LET(_xlpm.raw,_xlfn.XLOOKUP(A1017,SITE1!$C$4:$C$1034,SITE1!$E$4:$E$1034),_xlpm.cleanRaw,SUBSTITUTE(SUBSTITUTE(_xlpm.raw,"_PIN","."),"PIN","."),_xlpm.mainPart,MID(_xlpm.cleanRaw,2,FIND(".",_xlpm.cleanRaw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704114</v>
      </c>
      <c r="G1017" t="str">
        <f>_xlfn.LET(_xlpm.raw,_xlfn.XLOOKUP(A1017,SITE3!$C$4:$C$1034,SITE3!$E$4:$E$1034),_xlpm.cleanRaw,SUBSTITUTE(SUBSTITUTE(_xlpm.raw,"_PIN","."),"PIN","."),_xlpm.mainPart,MID(_xlpm.cleanRaw,2,FIND(".",_xlpm.cleanRaw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504114</v>
      </c>
      <c r="H1017" t="str">
        <f>""</f>
        <v/>
      </c>
      <c r="I1017" t="str">
        <f>""</f>
        <v/>
      </c>
      <c r="J1017" t="str">
        <f t="shared" si="15"/>
        <v>BJ38;PCIE_15_SATA_2_LAN_0C_TXP;CA249,LA297;22.38;17.7828;704114;504114;;</v>
      </c>
    </row>
    <row r="1018" spans="1:10">
      <c r="A1018" t="s">
        <v>2193</v>
      </c>
      <c r="B1018" t="str">
        <f>_xlfn.XLOOKUP(A1018,SITE1!$V$4:$V$1034,SITE1!$U$4:$U$1034,"")</f>
        <v>PCIE_17_SATA_4_TXN</v>
      </c>
      <c r="C1018" t="str" cm="1">
        <f t="array" ref="C1018">_xlfn.TEXTJOIN(",",TRUE,_xlfn.UNIQUE(TRANSPOSE(_xlfn.MAP(_xlfn.XLOOKUP(A1018,SITE1!$C$4:$C$1034,SITE1!$F$4:$O$1034,""),_xlfn.LAMBDA(_xlpm.x,IF(_xlpm.x&lt;&gt;"",TRIM(CLEAN(LEFT(_xlpm.x,FIND(".",_xlpm.x &amp; ".")-1))),""))))))</f>
        <v>CA254,LA307</v>
      </c>
      <c r="D1018">
        <v>22.38</v>
      </c>
      <c r="E1018">
        <v>18.646899999999999</v>
      </c>
      <c r="F1018" t="str">
        <f>_xlfn.LET(_xlpm.raw,_xlfn.XLOOKUP(A1018,SITE1!$C$4:$C$1034,SITE1!$E$4:$E$1034),_xlpm.cleanRaw,SUBSTITUTE(SUBSTITUTE(_xlpm.raw,"_PIN","."),"PIN","."),_xlpm.mainPart,MID(_xlpm.cleanRaw,2,FIND(".",_xlpm.cleanRaw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707090</v>
      </c>
      <c r="G1018" t="str">
        <f>_xlfn.LET(_xlpm.raw,_xlfn.XLOOKUP(A1018,SITE3!$C$4:$C$1034,SITE3!$E$4:$E$1034),_xlpm.cleanRaw,SUBSTITUTE(SUBSTITUTE(_xlpm.raw,"_PIN","."),"PIN","."),_xlpm.mainPart,MID(_xlpm.cleanRaw,2,FIND(".",_xlpm.cleanRaw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507090</v>
      </c>
      <c r="H1018" t="str">
        <f>""</f>
        <v/>
      </c>
      <c r="I1018" t="str">
        <f>""</f>
        <v/>
      </c>
      <c r="J1018" t="str">
        <f t="shared" si="15"/>
        <v>BJ40;PCIE_17_SATA_4_TXN;CA254,LA307;22.38;18.6469;707090;507090;;</v>
      </c>
    </row>
    <row r="1019" spans="1:10">
      <c r="A1019" t="s">
        <v>2202</v>
      </c>
      <c r="B1019" t="str">
        <f>_xlfn.XLOOKUP(A1019,SITE1!$V$4:$V$1034,SITE1!$U$4:$U$1034,"")</f>
        <v>PCIE_17_SATA_4_TXP</v>
      </c>
      <c r="C1019" t="str" cm="1">
        <f t="array" ref="C1019">_xlfn.TEXTJOIN(",",TRUE,_xlfn.UNIQUE(TRANSPOSE(_xlfn.MAP(_xlfn.XLOOKUP(A1019,SITE1!$C$4:$C$1034,SITE1!$F$4:$O$1034,""),_xlfn.LAMBDA(_xlpm.x,IF(_xlpm.x&lt;&gt;"",TRIM(CLEAN(LEFT(_xlpm.x,FIND(".",_xlpm.x &amp; ".")-1))),""))))))</f>
        <v>CA253,LA305</v>
      </c>
      <c r="D1019">
        <v>22.38</v>
      </c>
      <c r="E1019">
        <v>19.147300000000001</v>
      </c>
      <c r="F1019" t="str">
        <f>_xlfn.LET(_xlpm.raw,_xlfn.XLOOKUP(A1019,SITE1!$C$4:$C$1034,SITE1!$E$4:$E$1034),_xlpm.cleanRaw,SUBSTITUTE(SUBSTITUTE(_xlpm.raw,"_PIN","."),"PIN","."),_xlpm.mainPart,MID(_xlpm.cleanRaw,2,FIND(".",_xlpm.cleanRaw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707092</v>
      </c>
      <c r="G1019" t="str">
        <f>_xlfn.LET(_xlpm.raw,_xlfn.XLOOKUP(A1019,SITE3!$C$4:$C$1034,SITE3!$E$4:$E$1034),_xlpm.cleanRaw,SUBSTITUTE(SUBSTITUTE(_xlpm.raw,"_PIN","."),"PIN","."),_xlpm.mainPart,MID(_xlpm.cleanRaw,2,FIND(".",_xlpm.cleanRaw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507092</v>
      </c>
      <c r="H1019" t="str">
        <f>""</f>
        <v/>
      </c>
      <c r="I1019" t="str">
        <f>""</f>
        <v/>
      </c>
      <c r="J1019" t="str">
        <f t="shared" si="15"/>
        <v>BJ41;PCIE_17_SATA_4_TXP;CA253,LA305;22.38;19.1473;707092;507092;;</v>
      </c>
    </row>
    <row r="1020" spans="1:10">
      <c r="A1020" t="s">
        <v>2264</v>
      </c>
      <c r="B1020" t="str">
        <f>_xlfn.XLOOKUP(A1020,SITE1!$V$4:$V$1034,SITE1!$U$4:$U$1034,"")</f>
        <v>PCIE_19_SATA_6_TXN</v>
      </c>
      <c r="C1020" t="str" cm="1">
        <f t="array" ref="C1020">_xlfn.TEXTJOIN(",",TRUE,_xlfn.UNIQUE(TRANSPOSE(_xlfn.MAP(_xlfn.XLOOKUP(A1020,SITE1!$C$4:$C$1034,SITE1!$F$4:$O$1034,""),_xlfn.LAMBDA(_xlpm.x,IF(_xlpm.x&lt;&gt;"",TRIM(CLEAN(LEFT(_xlpm.x,FIND(".",_xlpm.x &amp; ".")-1))),""))))))</f>
        <v>CA258,LA315</v>
      </c>
      <c r="D1020">
        <v>22.38</v>
      </c>
      <c r="E1020">
        <v>20.011399999999998</v>
      </c>
      <c r="F1020" t="str">
        <f>_xlfn.LET(_xlpm.raw,_xlfn.XLOOKUP(A1020,SITE1!$C$4:$C$1034,SITE1!$E$4:$E$1034),_xlpm.cleanRaw,SUBSTITUTE(SUBSTITUTE(_xlpm.raw,"_PIN","."),"PIN","."),_xlpm.mainPart,MID(_xlpm.cleanRaw,2,FIND(".",_xlpm.cleanRaw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704108</v>
      </c>
      <c r="G1020" t="str">
        <f>_xlfn.LET(_xlpm.raw,_xlfn.XLOOKUP(A1020,SITE3!$C$4:$C$1034,SITE3!$E$4:$E$1034),_xlpm.cleanRaw,SUBSTITUTE(SUBSTITUTE(_xlpm.raw,"_PIN","."),"PIN","."),_xlpm.mainPart,MID(_xlpm.cleanRaw,2,FIND(".",_xlpm.cleanRaw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504108</v>
      </c>
      <c r="H1020" t="str">
        <f>""</f>
        <v/>
      </c>
      <c r="I1020" t="str">
        <f>""</f>
        <v/>
      </c>
      <c r="J1020" t="str">
        <f t="shared" si="15"/>
        <v>BJ43;PCIE_19_SATA_6_TXN;CA258,LA315;22.38;20.0114;704108;504108;;</v>
      </c>
    </row>
    <row r="1021" spans="1:10">
      <c r="A1021" t="s">
        <v>2273</v>
      </c>
      <c r="B1021" t="str">
        <f>_xlfn.XLOOKUP(A1021,SITE1!$V$4:$V$1034,SITE1!$U$4:$U$1034,"")</f>
        <v>PCIE_19_SATA_6_TXP</v>
      </c>
      <c r="C1021" t="str" cm="1">
        <f t="array" ref="C1021">_xlfn.TEXTJOIN(",",TRUE,_xlfn.UNIQUE(TRANSPOSE(_xlfn.MAP(_xlfn.XLOOKUP(A1021,SITE1!$C$4:$C$1034,SITE1!$F$4:$O$1034,""),_xlfn.LAMBDA(_xlpm.x,IF(_xlpm.x&lt;&gt;"",TRIM(CLEAN(LEFT(_xlpm.x,FIND(".",_xlpm.x &amp; ".")-1))),""))))))</f>
        <v>CA257,LA313</v>
      </c>
      <c r="D1021">
        <v>22.38</v>
      </c>
      <c r="E1021">
        <v>20.511800000000001</v>
      </c>
      <c r="F1021" t="str">
        <f>_xlfn.LET(_xlpm.raw,_xlfn.XLOOKUP(A1021,SITE1!$C$4:$C$1034,SITE1!$E$4:$E$1034),_xlpm.cleanRaw,SUBSTITUTE(SUBSTITUTE(_xlpm.raw,"_PIN","."),"PIN","."),_xlpm.mainPart,MID(_xlpm.cleanRaw,2,FIND(".",_xlpm.cleanRaw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704110</v>
      </c>
      <c r="G1021" t="str">
        <f>_xlfn.LET(_xlpm.raw,_xlfn.XLOOKUP(A1021,SITE3!$C$4:$C$1034,SITE3!$E$4:$E$1034),_xlpm.cleanRaw,SUBSTITUTE(SUBSTITUTE(_xlpm.raw,"_PIN","."),"PIN","."),_xlpm.mainPart,MID(_xlpm.cleanRaw,2,FIND(".",_xlpm.cleanRaw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504110</v>
      </c>
      <c r="H1021" t="str">
        <f>""</f>
        <v/>
      </c>
      <c r="I1021" t="str">
        <f>""</f>
        <v/>
      </c>
      <c r="J1021" t="str">
        <f t="shared" si="15"/>
        <v>BJ44;PCIE_19_SATA_6_TXP;CA257,LA313;22.38;20.5118;704110;504110;;</v>
      </c>
    </row>
    <row r="1022" spans="1:10">
      <c r="A1022" t="s">
        <v>1774</v>
      </c>
      <c r="B1022" t="str">
        <f>_xlfn.XLOOKUP(A1022,SITE1!$V$4:$V$1034,SITE1!$U$4:$U$1034,"")</f>
        <v>GPP_S_1_SNDW0_DATA0_RGMII_INT_0</v>
      </c>
      <c r="C1022" t="str" cm="1">
        <f t="array" ref="C1022">_xlfn.TEXTJOIN(",",TRUE,_xlfn.UNIQUE(TRANSPOSE(_xlfn.MAP(_xlfn.XLOOKUP(A1022,SITE1!$C$4:$C$1034,SITE1!$F$4:$O$1034,""),_xlfn.LAMBDA(_xlpm.x,IF(_xlpm.x&lt;&gt;"",TRIM(CLEAN(LEFT(_xlpm.x,FIND(".",_xlpm.x &amp; ".")-1))),""))))))</f>
        <v/>
      </c>
      <c r="D1022">
        <v>22.378999999999898</v>
      </c>
      <c r="E1022">
        <v>21.708100000000002</v>
      </c>
      <c r="F1022" t="str">
        <f>_xlfn.LET(_xlpm.raw,_xlfn.XLOOKUP(A1022,SITE1!$C$4:$C$1034,SITE1!$E$4:$E$1034),_xlpm.cleanRaw,SUBSTITUTE(SUBSTITUTE(_xlpm.raw,"_PIN","."),"PIN","."),_xlpm.mainPart,MID(_xlpm.cleanRaw,2,FIND(".",_xlpm.cleanRaw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603118</v>
      </c>
      <c r="G1022" t="str">
        <f>_xlfn.LET(_xlpm.raw,_xlfn.XLOOKUP(A1022,SITE3!$C$4:$C$1034,SITE3!$E$4:$E$1034),_xlpm.cleanRaw,SUBSTITUTE(SUBSTITUTE(_xlpm.raw,"_PIN","."),"PIN","."),_xlpm.mainPart,MID(_xlpm.cleanRaw,2,FIND(".",_xlpm.cleanRaw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803118</v>
      </c>
      <c r="H1022" t="str">
        <f>""</f>
        <v/>
      </c>
      <c r="I1022" t="str">
        <f>""</f>
        <v/>
      </c>
      <c r="J1022" t="str">
        <f t="shared" si="15"/>
        <v>BJ46;GPP_S_1_SNDW0_DATA0_RGMII_INT_0;;22.3789999999999;21.7081;603118;803118;;</v>
      </c>
    </row>
    <row r="1023" spans="1:10">
      <c r="A1023" t="s">
        <v>3934</v>
      </c>
      <c r="B1023" t="str">
        <f>_xlfn.XLOOKUP(A1023,SITE1!$V$4:$V$1034,SITE1!$U$4:$U$1034,"")</f>
        <v>VSS</v>
      </c>
      <c r="C1023" t="str" cm="1">
        <f t="array" ref="C1023">_xlfn.TEXTJOIN(",",TRUE,_xlfn.UNIQUE(TRANSPOSE(_xlfn.MAP(_xlfn.XLOOKUP(A1023,SITE1!$C$4:$C$1034,SITE1!$F$4:$O$1034,""),_xlfn.LAMBDA(_xlpm.x,IF(_xlpm.x&lt;&gt;"",TRIM(CLEAN(LEFT(_xlpm.x,FIND(".",_xlpm.x &amp; ".")-1))),""))))))</f>
        <v/>
      </c>
      <c r="D1023">
        <v>22.378999999999898</v>
      </c>
      <c r="E1023">
        <v>23.930599999999998</v>
      </c>
      <c r="F1023" t="str">
        <f>_xlfn.LET(_xlpm.raw,_xlfn.XLOOKUP(A1023,SITE1!$C$4:$C$1034,SITE1!$E$4:$E$1034),_xlpm.cleanRaw,SUBSTITUTE(SUBSTITUTE(_xlpm.raw,"_PIN","."),"PIN","."),_xlpm.mainPart,MID(_xlpm.cleanRaw,2,FIND(".",_xlpm.cleanRaw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23" t="str">
        <f>_xlfn.LET(_xlpm.raw,_xlfn.XLOOKUP(A1023,SITE3!$C$4:$C$1034,SITE3!$E$4:$E$1034),_xlpm.cleanRaw,SUBSTITUTE(SUBSTITUTE(_xlpm.raw,"_PIN","."),"PIN","."),_xlpm.mainPart,MID(_xlpm.cleanRaw,2,FIND(".",_xlpm.cleanRaw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23" t="str">
        <f>""</f>
        <v/>
      </c>
      <c r="I1023" t="str">
        <f>""</f>
        <v/>
      </c>
      <c r="J1023" t="str">
        <f t="shared" si="15"/>
        <v>BJ51;VSS;;22.3789999999999;23.9306;;;;</v>
      </c>
    </row>
    <row r="1024" spans="1:10">
      <c r="A1024" t="s">
        <v>3649</v>
      </c>
      <c r="B1024" t="str">
        <f>_xlfn.XLOOKUP(A1024,SITE1!$V$4:$V$1034,SITE1!$U$4:$U$1034,"")</f>
        <v>VCCPRTC_3P3</v>
      </c>
      <c r="C1024" t="str" cm="1">
        <f t="array" ref="C1024">_xlfn.TEXTJOIN(",",TRUE,_xlfn.UNIQUE(TRANSPOSE(_xlfn.MAP(_xlfn.XLOOKUP(A1024,SITE1!$C$4:$C$1034,SITE1!$F$4:$O$1034,""),_xlfn.LAMBDA(_xlpm.x,IF(_xlpm.x&lt;&gt;"",TRIM(CLEAN(LEFT(_xlpm.x,FIND(".",_xlpm.x &amp; ".")-1))),""))))))</f>
        <v>JA4,TPA611</v>
      </c>
      <c r="D1024">
        <v>22.378999999999898</v>
      </c>
      <c r="E1024">
        <v>24.9969</v>
      </c>
      <c r="F1024" t="str">
        <f>_xlfn.LET(_xlpm.raw,_xlfn.XLOOKUP(A1024,SITE1!$C$4:$C$1034,SITE1!$E$4:$E$1034),_xlpm.cleanRaw,SUBSTITUTE(SUBSTITUTE(_xlpm.raw,"_PIN","."),"PIN","."),_xlpm.mainPart,MID(_xlpm.cleanRaw,2,FIND(".",_xlpm.cleanRaw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706038</v>
      </c>
      <c r="G1024" t="str">
        <f>_xlfn.LET(_xlpm.raw,_xlfn.XLOOKUP(A1024,SITE3!$C$4:$C$1034,SITE3!$E$4:$E$1034),_xlpm.cleanRaw,SUBSTITUTE(SUBSTITUTE(_xlpm.raw,"_PIN","."),"PIN","."),_xlpm.mainPart,MID(_xlpm.cleanRaw,2,FIND(".",_xlpm.cleanRaw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506038</v>
      </c>
      <c r="H1024" t="str">
        <f>""</f>
        <v/>
      </c>
      <c r="I1024" t="str">
        <f>""</f>
        <v/>
      </c>
      <c r="J1024" t="str">
        <f t="shared" si="15"/>
        <v>BJ53;VCCPRTC_3P3;JA4,TPA611;22.3789999999999;24.9969;706038;506038;;</v>
      </c>
    </row>
    <row r="1025" spans="1:10">
      <c r="A1025" t="s">
        <v>3650</v>
      </c>
      <c r="B1025" t="str">
        <f>_xlfn.XLOOKUP(A1025,SITE1!$V$4:$V$1034,SITE1!$U$4:$U$1034,"")</f>
        <v>VCCPRTC_3P3</v>
      </c>
      <c r="C1025" t="str" cm="1">
        <f t="array" ref="C1025">_xlfn.TEXTJOIN(",",TRUE,_xlfn.UNIQUE(TRANSPOSE(_xlfn.MAP(_xlfn.XLOOKUP(A1025,SITE1!$C$4:$C$1034,SITE1!$F$4:$O$1034,""),_xlfn.LAMBDA(_xlpm.x,IF(_xlpm.x&lt;&gt;"",TRIM(CLEAN(LEFT(_xlpm.x,FIND(".",_xlpm.x &amp; ".")-1))),""))))))</f>
        <v>JA4,TPA611</v>
      </c>
      <c r="D1025">
        <v>22.378999999999898</v>
      </c>
      <c r="E1025">
        <v>25.497399999999999</v>
      </c>
      <c r="F1025" t="str">
        <f>_xlfn.LET(_xlpm.raw,_xlfn.XLOOKUP(A1025,SITE1!$C$4:$C$1034,SITE1!$E$4:$E$1034),_xlpm.cleanRaw,SUBSTITUTE(SUBSTITUTE(_xlpm.raw,"_PIN","."),"PIN","."),_xlpm.mainPart,MID(_xlpm.cleanRaw,2,FIND(".",_xlpm.cleanRaw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706038</v>
      </c>
      <c r="G1025" t="str">
        <f>_xlfn.LET(_xlpm.raw,_xlfn.XLOOKUP(A1025,SITE3!$C$4:$C$1034,SITE3!$E$4:$E$1034),_xlpm.cleanRaw,SUBSTITUTE(SUBSTITUTE(_xlpm.raw,"_PIN","."),"PIN","."),_xlpm.mainPart,MID(_xlpm.cleanRaw,2,FIND(".",_xlpm.cleanRaw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506038</v>
      </c>
      <c r="H1025" t="str">
        <f>""</f>
        <v/>
      </c>
      <c r="I1025" t="str">
        <f>""</f>
        <v/>
      </c>
      <c r="J1025" t="str">
        <f t="shared" si="15"/>
        <v>BJ54;VCCPRTC_3P3;JA4,TPA611;22.3789999999999;25.4974;706038;506038;;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AQ1037"/>
  <sheetViews>
    <sheetView topLeftCell="C1" zoomScale="85" zoomScaleNormal="85" workbookViewId="0">
      <selection activeCell="E4" sqref="E4"/>
    </sheetView>
  </sheetViews>
  <sheetFormatPr defaultColWidth="9" defaultRowHeight="14.25"/>
  <cols>
    <col min="1" max="1" width="5" style="6" customWidth="1"/>
    <col min="2" max="2" width="48.42578125" style="26" customWidth="1"/>
    <col min="3" max="3" width="12.85546875" style="26" customWidth="1"/>
    <col min="4" max="5" width="16.85546875" style="26" customWidth="1"/>
    <col min="6" max="6" width="11" style="26" customWidth="1"/>
    <col min="7" max="7" width="12" style="26" customWidth="1"/>
    <col min="8" max="8" width="11.7109375" style="26" customWidth="1"/>
    <col min="9" max="13" width="9" style="26"/>
    <col min="14" max="15" width="9" style="6"/>
    <col min="16" max="16" width="9" style="9"/>
    <col min="17" max="17" width="9.42578125" style="26" customWidth="1"/>
    <col min="18" max="18" width="9" style="26"/>
    <col min="19" max="19" width="18.5703125" style="26" customWidth="1"/>
    <col min="20" max="20" width="8" style="6" customWidth="1"/>
    <col min="21" max="21" width="36.42578125" style="25" bestFit="1" customWidth="1"/>
    <col min="22" max="22" width="15.42578125" style="25" customWidth="1"/>
    <col min="23" max="23" width="11.28515625" style="25" customWidth="1"/>
    <col min="24" max="24" width="11.140625" style="25" customWidth="1"/>
    <col min="25" max="25" width="26.7109375" style="25" customWidth="1"/>
    <col min="26" max="26" width="15" style="25" bestFit="1" customWidth="1"/>
    <col min="27" max="27" width="18.42578125" style="25" customWidth="1"/>
    <col min="28" max="29" width="11.42578125" style="25" customWidth="1"/>
    <col min="30" max="30" width="7.42578125" style="25" bestFit="1" customWidth="1"/>
    <col min="31" max="31" width="12.42578125" style="25" customWidth="1"/>
    <col min="32" max="32" width="13.7109375" style="25" customWidth="1"/>
    <col min="33" max="33" width="12.140625" style="25" customWidth="1"/>
    <col min="34" max="35" width="12.42578125" style="25" customWidth="1"/>
    <col min="36" max="36" width="12.140625" style="25" customWidth="1"/>
    <col min="37" max="37" width="13.42578125" style="25" customWidth="1"/>
    <col min="38" max="38" width="12.7109375" style="25" customWidth="1"/>
    <col min="39" max="39" width="11.28515625" style="25" customWidth="1"/>
    <col min="40" max="40" width="8.85546875" style="25" customWidth="1"/>
    <col min="41" max="41" width="9.140625" style="25" customWidth="1"/>
    <col min="42" max="42" width="63.28515625" style="25" bestFit="1" customWidth="1"/>
    <col min="43" max="43" width="90.5703125" style="25" bestFit="1" customWidth="1"/>
    <col min="44" max="16384" width="9" style="6"/>
  </cols>
  <sheetData>
    <row r="1" spans="1:43" ht="18">
      <c r="B1" s="109" t="s">
        <v>9</v>
      </c>
      <c r="C1" s="109" t="s">
        <v>10</v>
      </c>
      <c r="M1" s="7">
        <v>44637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spans="1:43"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s="29" customFormat="1" ht="105">
      <c r="B3" s="5" t="s">
        <v>11</v>
      </c>
      <c r="C3" s="265" t="s">
        <v>12</v>
      </c>
      <c r="D3" s="5" t="s">
        <v>13</v>
      </c>
      <c r="E3" s="5"/>
      <c r="F3" s="5" t="s">
        <v>14</v>
      </c>
      <c r="G3" s="5"/>
      <c r="H3" s="5"/>
      <c r="I3" s="5"/>
      <c r="J3" s="5"/>
      <c r="K3" s="5"/>
      <c r="L3" s="5"/>
      <c r="M3" s="5"/>
      <c r="N3" s="5"/>
      <c r="O3" s="5"/>
      <c r="P3" s="266" t="s">
        <v>15</v>
      </c>
      <c r="Q3" s="267" t="s">
        <v>16</v>
      </c>
      <c r="R3" s="267" t="s">
        <v>17</v>
      </c>
      <c r="S3" s="265" t="s">
        <v>18</v>
      </c>
      <c r="U3" s="91" t="s">
        <v>19</v>
      </c>
      <c r="V3" s="91" t="s">
        <v>20</v>
      </c>
      <c r="W3" s="92" t="s">
        <v>21</v>
      </c>
      <c r="X3" s="92" t="s">
        <v>22</v>
      </c>
      <c r="Y3" s="93" t="s">
        <v>23</v>
      </c>
      <c r="Z3" s="94" t="s">
        <v>24</v>
      </c>
      <c r="AA3" s="95" t="s">
        <v>25</v>
      </c>
      <c r="AB3" s="96" t="s">
        <v>26</v>
      </c>
      <c r="AC3" s="97" t="s">
        <v>27</v>
      </c>
      <c r="AD3" s="98" t="s">
        <v>28</v>
      </c>
      <c r="AE3" s="99" t="s">
        <v>29</v>
      </c>
      <c r="AF3" s="100" t="s">
        <v>30</v>
      </c>
      <c r="AG3" s="93" t="s">
        <v>31</v>
      </c>
      <c r="AH3" s="93" t="s">
        <v>32</v>
      </c>
      <c r="AI3" s="101" t="s">
        <v>33</v>
      </c>
      <c r="AJ3" s="102" t="s">
        <v>34</v>
      </c>
      <c r="AK3" s="103" t="s">
        <v>35</v>
      </c>
      <c r="AL3" s="104" t="s">
        <v>36</v>
      </c>
      <c r="AM3" s="97" t="s">
        <v>37</v>
      </c>
      <c r="AN3" s="105" t="s">
        <v>38</v>
      </c>
      <c r="AO3" s="106" t="s">
        <v>39</v>
      </c>
      <c r="AP3" s="107" t="s">
        <v>40</v>
      </c>
      <c r="AQ3" s="108" t="s">
        <v>41</v>
      </c>
    </row>
    <row r="4" spans="1:43">
      <c r="A4" s="6">
        <v>1</v>
      </c>
      <c r="B4" s="21" t="s">
        <v>42</v>
      </c>
      <c r="C4" s="5" t="s">
        <v>43</v>
      </c>
      <c r="D4" s="5" t="s">
        <v>44</v>
      </c>
      <c r="E4" s="5" t="s">
        <v>45</v>
      </c>
      <c r="F4" s="5"/>
      <c r="G4" s="5"/>
      <c r="H4" s="5"/>
      <c r="I4" s="5"/>
      <c r="J4" s="5"/>
      <c r="K4" s="5"/>
      <c r="L4" s="5"/>
      <c r="M4" s="5"/>
      <c r="N4" s="5"/>
      <c r="O4" s="5"/>
      <c r="P4" s="11" t="s">
        <v>46</v>
      </c>
      <c r="Q4" s="5">
        <v>222.80600000000001</v>
      </c>
      <c r="R4" s="5">
        <f>IF(AND(P4="",Q4=""),"",SUM(P4:Q4))</f>
        <v>222.80600000000001</v>
      </c>
      <c r="S4" s="5" t="s">
        <v>47</v>
      </c>
      <c r="T4" s="6">
        <v>1</v>
      </c>
      <c r="U4" s="231" t="s">
        <v>48</v>
      </c>
      <c r="V4" s="232" t="s">
        <v>43</v>
      </c>
      <c r="W4" s="232">
        <v>8983.5</v>
      </c>
      <c r="X4" s="232">
        <v>-4897.1000000000004</v>
      </c>
      <c r="Y4" s="233" t="s">
        <v>49</v>
      </c>
      <c r="Z4" s="87" t="s">
        <v>50</v>
      </c>
      <c r="AA4" s="233" t="s">
        <v>51</v>
      </c>
      <c r="AB4" s="234"/>
      <c r="AC4" s="233">
        <v>1</v>
      </c>
      <c r="AD4" s="233" t="s">
        <v>52</v>
      </c>
      <c r="AE4" s="234"/>
      <c r="AF4" s="234"/>
      <c r="AG4" s="233" t="s">
        <v>53</v>
      </c>
      <c r="AH4" s="233">
        <v>5</v>
      </c>
      <c r="AI4" s="233">
        <v>100</v>
      </c>
      <c r="AJ4" s="233" t="s">
        <v>54</v>
      </c>
      <c r="AK4" s="233">
        <v>5</v>
      </c>
      <c r="AL4" s="233"/>
      <c r="AM4" s="233"/>
      <c r="AN4" s="233"/>
      <c r="AO4" s="233"/>
      <c r="AP4" s="234"/>
      <c r="AQ4" s="234" t="s">
        <v>55</v>
      </c>
    </row>
    <row r="5" spans="1:43">
      <c r="A5" s="6">
        <v>2</v>
      </c>
      <c r="B5" s="21" t="s">
        <v>56</v>
      </c>
      <c r="C5" s="5" t="s">
        <v>57</v>
      </c>
      <c r="D5" s="5" t="s">
        <v>58</v>
      </c>
      <c r="E5" s="5" t="s">
        <v>59</v>
      </c>
      <c r="F5" s="5"/>
      <c r="G5" s="5"/>
      <c r="H5" s="5"/>
      <c r="I5" s="5"/>
      <c r="J5" s="5"/>
      <c r="K5" s="5"/>
      <c r="L5" s="5"/>
      <c r="M5" s="5"/>
      <c r="N5" s="5"/>
      <c r="O5" s="5"/>
      <c r="P5" s="11" t="s">
        <v>46</v>
      </c>
      <c r="Q5" s="5">
        <v>222.85159999999999</v>
      </c>
      <c r="R5" s="5">
        <f t="shared" ref="R5:R62" si="0">IF(AND(P5="",Q5=""),"",SUM(P5:Q5))</f>
        <v>222.85159999999999</v>
      </c>
      <c r="S5" s="5" t="s">
        <v>60</v>
      </c>
      <c r="T5" s="6">
        <v>2</v>
      </c>
      <c r="U5" s="231" t="s">
        <v>61</v>
      </c>
      <c r="V5" s="232" t="s">
        <v>57</v>
      </c>
      <c r="W5" s="232">
        <v>12413</v>
      </c>
      <c r="X5" s="232">
        <v>-8492.5</v>
      </c>
      <c r="Y5" s="233" t="s">
        <v>49</v>
      </c>
      <c r="Z5" s="87" t="s">
        <v>50</v>
      </c>
      <c r="AA5" s="233" t="s">
        <v>51</v>
      </c>
      <c r="AB5" s="234"/>
      <c r="AC5" s="233">
        <v>1</v>
      </c>
      <c r="AD5" s="233" t="s">
        <v>52</v>
      </c>
      <c r="AE5" s="234"/>
      <c r="AF5" s="234"/>
      <c r="AG5" s="233" t="s">
        <v>62</v>
      </c>
      <c r="AH5" s="233">
        <v>5</v>
      </c>
      <c r="AI5" s="233">
        <v>100</v>
      </c>
      <c r="AJ5" s="233" t="s">
        <v>54</v>
      </c>
      <c r="AK5" s="233">
        <v>5</v>
      </c>
      <c r="AL5" s="233"/>
      <c r="AM5" s="233"/>
      <c r="AN5" s="233"/>
      <c r="AO5" s="233"/>
      <c r="AP5" s="234"/>
      <c r="AQ5" s="234" t="s">
        <v>55</v>
      </c>
    </row>
    <row r="6" spans="1:43">
      <c r="A6" s="6">
        <v>3</v>
      </c>
      <c r="B6" s="21" t="s">
        <v>63</v>
      </c>
      <c r="C6" s="5" t="s">
        <v>64</v>
      </c>
      <c r="D6" s="5" t="s">
        <v>65</v>
      </c>
      <c r="E6" s="5" t="s">
        <v>66</v>
      </c>
      <c r="F6" s="5"/>
      <c r="G6" s="5"/>
      <c r="H6" s="5"/>
      <c r="I6" s="5"/>
      <c r="J6" s="5"/>
      <c r="K6" s="5"/>
      <c r="L6" s="5"/>
      <c r="M6" s="5"/>
      <c r="N6" s="5"/>
      <c r="O6" s="5"/>
      <c r="P6" s="11" t="s">
        <v>46</v>
      </c>
      <c r="Q6" s="5">
        <v>222.79849999999999</v>
      </c>
      <c r="R6" s="5">
        <f t="shared" si="0"/>
        <v>222.79849999999999</v>
      </c>
      <c r="S6" s="5" t="s">
        <v>67</v>
      </c>
      <c r="T6" s="6">
        <v>3</v>
      </c>
      <c r="U6" s="231" t="s">
        <v>68</v>
      </c>
      <c r="V6" s="232" t="s">
        <v>64</v>
      </c>
      <c r="W6" s="232">
        <v>11455.4</v>
      </c>
      <c r="X6" s="232">
        <v>-8192.7999999999993</v>
      </c>
      <c r="Y6" s="233" t="s">
        <v>49</v>
      </c>
      <c r="Z6" s="87" t="s">
        <v>50</v>
      </c>
      <c r="AA6" s="233" t="s">
        <v>51</v>
      </c>
      <c r="AB6" s="234"/>
      <c r="AC6" s="233">
        <v>1</v>
      </c>
      <c r="AD6" s="233" t="s">
        <v>52</v>
      </c>
      <c r="AE6" s="234"/>
      <c r="AF6" s="234"/>
      <c r="AG6" s="233" t="s">
        <v>69</v>
      </c>
      <c r="AH6" s="233">
        <v>5</v>
      </c>
      <c r="AI6" s="233">
        <v>100</v>
      </c>
      <c r="AJ6" s="233" t="s">
        <v>54</v>
      </c>
      <c r="AK6" s="233">
        <v>5</v>
      </c>
      <c r="AL6" s="233"/>
      <c r="AM6" s="233"/>
      <c r="AN6" s="233"/>
      <c r="AO6" s="233"/>
      <c r="AP6" s="234"/>
      <c r="AQ6" s="234" t="s">
        <v>55</v>
      </c>
    </row>
    <row r="7" spans="1:43">
      <c r="A7" s="6">
        <v>4</v>
      </c>
      <c r="B7" s="21" t="s">
        <v>70</v>
      </c>
      <c r="C7" s="5" t="s">
        <v>71</v>
      </c>
      <c r="D7" s="5" t="s">
        <v>72</v>
      </c>
      <c r="E7" s="5" t="s">
        <v>73</v>
      </c>
      <c r="F7" s="5"/>
      <c r="G7" s="5"/>
      <c r="H7" s="5"/>
      <c r="I7" s="5"/>
      <c r="J7" s="5"/>
      <c r="K7" s="5"/>
      <c r="L7" s="5"/>
      <c r="M7" s="5"/>
      <c r="N7" s="5"/>
      <c r="O7" s="5"/>
      <c r="P7" s="11" t="s">
        <v>46</v>
      </c>
      <c r="Q7" s="5">
        <v>222.80930000000001</v>
      </c>
      <c r="R7" s="5">
        <f t="shared" si="0"/>
        <v>222.80930000000001</v>
      </c>
      <c r="S7" s="5" t="s">
        <v>74</v>
      </c>
      <c r="T7" s="6">
        <v>4</v>
      </c>
      <c r="U7" s="231" t="s">
        <v>75</v>
      </c>
      <c r="V7" s="232" t="s">
        <v>71</v>
      </c>
      <c r="W7" s="232">
        <v>10945.9</v>
      </c>
      <c r="X7" s="232">
        <v>-7035.5</v>
      </c>
      <c r="Y7" s="233" t="s">
        <v>49</v>
      </c>
      <c r="Z7" s="87" t="s">
        <v>50</v>
      </c>
      <c r="AA7" s="233" t="s">
        <v>51</v>
      </c>
      <c r="AB7" s="234"/>
      <c r="AC7" s="233">
        <v>1</v>
      </c>
      <c r="AD7" s="233" t="s">
        <v>52</v>
      </c>
      <c r="AE7" s="234"/>
      <c r="AF7" s="234"/>
      <c r="AG7" s="233" t="s">
        <v>76</v>
      </c>
      <c r="AH7" s="233">
        <v>5</v>
      </c>
      <c r="AI7" s="233">
        <v>100</v>
      </c>
      <c r="AJ7" s="233" t="s">
        <v>54</v>
      </c>
      <c r="AK7" s="233">
        <v>5</v>
      </c>
      <c r="AL7" s="233"/>
      <c r="AM7" s="233"/>
      <c r="AN7" s="233"/>
      <c r="AO7" s="233"/>
      <c r="AP7" s="234"/>
      <c r="AQ7" s="234" t="s">
        <v>55</v>
      </c>
    </row>
    <row r="8" spans="1:43" ht="64.5" customHeight="1">
      <c r="A8" s="6">
        <v>5</v>
      </c>
      <c r="B8" s="21" t="s">
        <v>77</v>
      </c>
      <c r="C8" s="5" t="s">
        <v>78</v>
      </c>
      <c r="D8" s="5" t="s">
        <v>79</v>
      </c>
      <c r="E8" s="5" t="s">
        <v>80</v>
      </c>
      <c r="F8" s="5"/>
      <c r="G8" s="5"/>
      <c r="H8" s="5"/>
      <c r="I8" s="5"/>
      <c r="J8" s="5"/>
      <c r="K8" s="5"/>
      <c r="L8" s="5"/>
      <c r="M8" s="5"/>
      <c r="N8" s="5"/>
      <c r="O8" s="5"/>
      <c r="P8" s="11" t="s">
        <v>46</v>
      </c>
      <c r="Q8" s="5">
        <v>222.809</v>
      </c>
      <c r="R8" s="5">
        <f t="shared" si="0"/>
        <v>222.809</v>
      </c>
      <c r="S8" s="5" t="s">
        <v>67</v>
      </c>
      <c r="T8" s="6">
        <v>5</v>
      </c>
      <c r="U8" s="231" t="s">
        <v>81</v>
      </c>
      <c r="V8" s="232" t="s">
        <v>78</v>
      </c>
      <c r="W8" s="232">
        <v>10945.9</v>
      </c>
      <c r="X8" s="232">
        <v>-5854.3</v>
      </c>
      <c r="Y8" s="233" t="s">
        <v>49</v>
      </c>
      <c r="Z8" s="87" t="s">
        <v>50</v>
      </c>
      <c r="AA8" s="233" t="s">
        <v>51</v>
      </c>
      <c r="AB8" s="234"/>
      <c r="AC8" s="233">
        <v>1</v>
      </c>
      <c r="AD8" s="233" t="s">
        <v>52</v>
      </c>
      <c r="AE8" s="234"/>
      <c r="AF8" s="234"/>
      <c r="AG8" s="233" t="s">
        <v>82</v>
      </c>
      <c r="AH8" s="233">
        <v>5</v>
      </c>
      <c r="AI8" s="233">
        <v>100</v>
      </c>
      <c r="AJ8" s="233" t="s">
        <v>54</v>
      </c>
      <c r="AK8" s="233">
        <v>5</v>
      </c>
      <c r="AL8" s="233"/>
      <c r="AM8" s="233"/>
      <c r="AN8" s="233"/>
      <c r="AO8" s="233"/>
      <c r="AP8" s="234"/>
      <c r="AQ8" s="234" t="s">
        <v>55</v>
      </c>
    </row>
    <row r="9" spans="1:43">
      <c r="A9" s="6">
        <v>6</v>
      </c>
      <c r="B9" s="21" t="s">
        <v>83</v>
      </c>
      <c r="C9" s="5" t="s">
        <v>84</v>
      </c>
      <c r="D9" s="5" t="s">
        <v>85</v>
      </c>
      <c r="E9" s="5" t="s">
        <v>86</v>
      </c>
      <c r="F9" s="5"/>
      <c r="G9" s="5"/>
      <c r="H9" s="5"/>
      <c r="I9" s="5"/>
      <c r="J9" s="5"/>
      <c r="K9" s="5"/>
      <c r="L9" s="5"/>
      <c r="M9" s="5"/>
      <c r="N9" s="5"/>
      <c r="O9" s="5"/>
      <c r="P9" s="11" t="s">
        <v>46</v>
      </c>
      <c r="Q9" s="5">
        <v>222.81299999999999</v>
      </c>
      <c r="R9" s="5">
        <f t="shared" si="0"/>
        <v>222.81299999999999</v>
      </c>
      <c r="S9" s="5" t="s">
        <v>47</v>
      </c>
      <c r="T9" s="6">
        <v>6</v>
      </c>
      <c r="U9" s="231" t="s">
        <v>87</v>
      </c>
      <c r="V9" s="232" t="s">
        <v>84</v>
      </c>
      <c r="W9" s="232">
        <v>8983.5</v>
      </c>
      <c r="X9" s="232">
        <v>-3258.8</v>
      </c>
      <c r="Y9" s="233" t="s">
        <v>49</v>
      </c>
      <c r="Z9" s="87" t="s">
        <v>50</v>
      </c>
      <c r="AA9" s="233" t="s">
        <v>51</v>
      </c>
      <c r="AB9" s="234"/>
      <c r="AC9" s="233">
        <v>1</v>
      </c>
      <c r="AD9" s="233" t="s">
        <v>52</v>
      </c>
      <c r="AE9" s="234"/>
      <c r="AF9" s="234"/>
      <c r="AG9" s="233" t="s">
        <v>88</v>
      </c>
      <c r="AH9" s="233">
        <v>5</v>
      </c>
      <c r="AI9" s="233">
        <v>100</v>
      </c>
      <c r="AJ9" s="233" t="s">
        <v>54</v>
      </c>
      <c r="AK9" s="233">
        <v>5</v>
      </c>
      <c r="AL9" s="233"/>
      <c r="AM9" s="233"/>
      <c r="AN9" s="233"/>
      <c r="AO9" s="233"/>
      <c r="AP9" s="234"/>
      <c r="AQ9" s="234" t="s">
        <v>55</v>
      </c>
    </row>
    <row r="10" spans="1:43">
      <c r="A10" s="6">
        <v>7</v>
      </c>
      <c r="B10" s="21" t="s">
        <v>89</v>
      </c>
      <c r="C10" s="5" t="s">
        <v>90</v>
      </c>
      <c r="D10" s="5" t="s">
        <v>91</v>
      </c>
      <c r="E10" s="5" t="s">
        <v>92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11" t="s">
        <v>46</v>
      </c>
      <c r="Q10" s="5">
        <v>222.79239999999999</v>
      </c>
      <c r="R10" s="5">
        <f t="shared" si="0"/>
        <v>222.79239999999999</v>
      </c>
      <c r="S10" s="5" t="s">
        <v>60</v>
      </c>
      <c r="T10" s="6">
        <v>7</v>
      </c>
      <c r="U10" s="231" t="s">
        <v>93</v>
      </c>
      <c r="V10" s="232" t="s">
        <v>90</v>
      </c>
      <c r="W10" s="232">
        <v>12786.5</v>
      </c>
      <c r="X10" s="232">
        <v>-7784.1</v>
      </c>
      <c r="Y10" s="233" t="s">
        <v>49</v>
      </c>
      <c r="Z10" s="87" t="s">
        <v>50</v>
      </c>
      <c r="AA10" s="233" t="s">
        <v>51</v>
      </c>
      <c r="AB10" s="234"/>
      <c r="AC10" s="233">
        <v>1</v>
      </c>
      <c r="AD10" s="233" t="s">
        <v>52</v>
      </c>
      <c r="AE10" s="234"/>
      <c r="AF10" s="234"/>
      <c r="AG10" s="233" t="s">
        <v>94</v>
      </c>
      <c r="AH10" s="233">
        <v>5</v>
      </c>
      <c r="AI10" s="233">
        <v>100</v>
      </c>
      <c r="AJ10" s="233" t="s">
        <v>54</v>
      </c>
      <c r="AK10" s="233">
        <v>5</v>
      </c>
      <c r="AL10" s="233"/>
      <c r="AM10" s="233"/>
      <c r="AN10" s="233"/>
      <c r="AO10" s="233"/>
      <c r="AP10" s="234"/>
      <c r="AQ10" s="234" t="s">
        <v>55</v>
      </c>
    </row>
    <row r="11" spans="1:43">
      <c r="A11" s="6">
        <v>8</v>
      </c>
      <c r="B11" s="21" t="s">
        <v>95</v>
      </c>
      <c r="C11" s="5" t="s">
        <v>96</v>
      </c>
      <c r="D11" s="5" t="s">
        <v>97</v>
      </c>
      <c r="E11" s="5" t="s">
        <v>98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11" t="s">
        <v>46</v>
      </c>
      <c r="Q11" s="5">
        <v>222.79060000000001</v>
      </c>
      <c r="R11" s="5">
        <f t="shared" si="0"/>
        <v>222.79060000000001</v>
      </c>
      <c r="S11" s="5" t="s">
        <v>67</v>
      </c>
      <c r="T11" s="6">
        <v>8</v>
      </c>
      <c r="U11" s="231" t="s">
        <v>99</v>
      </c>
      <c r="V11" s="232" t="s">
        <v>96</v>
      </c>
      <c r="W11" s="232">
        <v>12702.5</v>
      </c>
      <c r="X11" s="232">
        <v>-7123.4</v>
      </c>
      <c r="Y11" s="233" t="s">
        <v>49</v>
      </c>
      <c r="Z11" s="87" t="s">
        <v>50</v>
      </c>
      <c r="AA11" s="233" t="s">
        <v>51</v>
      </c>
      <c r="AB11" s="234"/>
      <c r="AC11" s="233">
        <v>1</v>
      </c>
      <c r="AD11" s="233" t="s">
        <v>52</v>
      </c>
      <c r="AE11" s="234"/>
      <c r="AF11" s="234"/>
      <c r="AG11" s="233" t="s">
        <v>100</v>
      </c>
      <c r="AH11" s="233">
        <v>5</v>
      </c>
      <c r="AI11" s="233">
        <v>100</v>
      </c>
      <c r="AJ11" s="233" t="s">
        <v>54</v>
      </c>
      <c r="AK11" s="233">
        <v>5</v>
      </c>
      <c r="AL11" s="233"/>
      <c r="AM11" s="233"/>
      <c r="AN11" s="233"/>
      <c r="AO11" s="233"/>
      <c r="AP11" s="234"/>
      <c r="AQ11" s="234" t="s">
        <v>55</v>
      </c>
    </row>
    <row r="12" spans="1:43">
      <c r="A12" s="6">
        <v>9</v>
      </c>
      <c r="B12" s="21" t="s">
        <v>101</v>
      </c>
      <c r="C12" s="5" t="s">
        <v>102</v>
      </c>
      <c r="D12" s="5" t="s">
        <v>103</v>
      </c>
      <c r="E12" s="5" t="s">
        <v>104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11" t="s">
        <v>46</v>
      </c>
      <c r="Q12" s="5">
        <v>222.86920000000001</v>
      </c>
      <c r="R12" s="5">
        <f t="shared" si="0"/>
        <v>222.86920000000001</v>
      </c>
      <c r="S12" s="5" t="s">
        <v>60</v>
      </c>
      <c r="T12" s="6">
        <v>9</v>
      </c>
      <c r="U12" s="231" t="s">
        <v>105</v>
      </c>
      <c r="V12" s="232" t="s">
        <v>102</v>
      </c>
      <c r="W12" s="232">
        <v>12413</v>
      </c>
      <c r="X12" s="232">
        <v>-6295.4</v>
      </c>
      <c r="Y12" s="233" t="s">
        <v>49</v>
      </c>
      <c r="Z12" s="87" t="s">
        <v>50</v>
      </c>
      <c r="AA12" s="233" t="s">
        <v>51</v>
      </c>
      <c r="AB12" s="234"/>
      <c r="AC12" s="233">
        <v>1</v>
      </c>
      <c r="AD12" s="233" t="s">
        <v>52</v>
      </c>
      <c r="AE12" s="234"/>
      <c r="AF12" s="234"/>
      <c r="AG12" s="233" t="s">
        <v>106</v>
      </c>
      <c r="AH12" s="233">
        <v>5</v>
      </c>
      <c r="AI12" s="233">
        <v>100</v>
      </c>
      <c r="AJ12" s="233" t="s">
        <v>54</v>
      </c>
      <c r="AK12" s="233">
        <v>5</v>
      </c>
      <c r="AL12" s="233"/>
      <c r="AM12" s="233"/>
      <c r="AN12" s="233"/>
      <c r="AO12" s="233"/>
      <c r="AP12" s="234"/>
      <c r="AQ12" s="234" t="s">
        <v>55</v>
      </c>
    </row>
    <row r="13" spans="1:43">
      <c r="A13" s="6">
        <v>10</v>
      </c>
      <c r="B13" s="21" t="s">
        <v>107</v>
      </c>
      <c r="C13" s="5" t="s">
        <v>108</v>
      </c>
      <c r="D13" s="5" t="s">
        <v>109</v>
      </c>
      <c r="E13" s="5" t="s">
        <v>110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11" t="s">
        <v>46</v>
      </c>
      <c r="Q13" s="5">
        <v>222.8261</v>
      </c>
      <c r="R13" s="5">
        <f t="shared" si="0"/>
        <v>222.8261</v>
      </c>
      <c r="S13" s="5" t="s">
        <v>74</v>
      </c>
      <c r="T13" s="6">
        <v>10</v>
      </c>
      <c r="U13" s="231" t="s">
        <v>111</v>
      </c>
      <c r="V13" s="232" t="s">
        <v>108</v>
      </c>
      <c r="W13" s="232">
        <v>11912.6</v>
      </c>
      <c r="X13" s="232">
        <v>-6214.1</v>
      </c>
      <c r="Y13" s="233" t="s">
        <v>49</v>
      </c>
      <c r="Z13" s="87" t="s">
        <v>50</v>
      </c>
      <c r="AA13" s="233" t="s">
        <v>51</v>
      </c>
      <c r="AB13" s="234"/>
      <c r="AC13" s="233">
        <v>1</v>
      </c>
      <c r="AD13" s="233" t="s">
        <v>52</v>
      </c>
      <c r="AE13" s="234"/>
      <c r="AF13" s="234"/>
      <c r="AG13" s="233" t="s">
        <v>112</v>
      </c>
      <c r="AH13" s="233">
        <v>5</v>
      </c>
      <c r="AI13" s="233">
        <v>100</v>
      </c>
      <c r="AJ13" s="233" t="s">
        <v>54</v>
      </c>
      <c r="AK13" s="233">
        <v>5</v>
      </c>
      <c r="AL13" s="233"/>
      <c r="AM13" s="233"/>
      <c r="AN13" s="233"/>
      <c r="AO13" s="233"/>
      <c r="AP13" s="234"/>
      <c r="AQ13" s="234" t="s">
        <v>55</v>
      </c>
    </row>
    <row r="14" spans="1:43">
      <c r="A14" s="6">
        <v>11</v>
      </c>
      <c r="B14" s="21" t="s">
        <v>113</v>
      </c>
      <c r="C14" s="5" t="s">
        <v>114</v>
      </c>
      <c r="D14" s="5" t="s">
        <v>115</v>
      </c>
      <c r="E14" s="5" t="s">
        <v>116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11" t="s">
        <v>46</v>
      </c>
      <c r="Q14" s="5">
        <v>222.78550000000001</v>
      </c>
      <c r="R14" s="5">
        <f t="shared" si="0"/>
        <v>222.78550000000001</v>
      </c>
      <c r="S14" s="5" t="s">
        <v>60</v>
      </c>
      <c r="T14" s="6">
        <v>11</v>
      </c>
      <c r="U14" s="231" t="s">
        <v>117</v>
      </c>
      <c r="V14" s="232" t="s">
        <v>114</v>
      </c>
      <c r="W14" s="232">
        <v>12285.7</v>
      </c>
      <c r="X14" s="232">
        <v>-5587</v>
      </c>
      <c r="Y14" s="233" t="s">
        <v>49</v>
      </c>
      <c r="Z14" s="87" t="s">
        <v>50</v>
      </c>
      <c r="AA14" s="233" t="s">
        <v>51</v>
      </c>
      <c r="AB14" s="234"/>
      <c r="AC14" s="233">
        <v>1</v>
      </c>
      <c r="AD14" s="233" t="s">
        <v>52</v>
      </c>
      <c r="AE14" s="234"/>
      <c r="AF14" s="234"/>
      <c r="AG14" s="233" t="s">
        <v>118</v>
      </c>
      <c r="AH14" s="233">
        <v>5</v>
      </c>
      <c r="AI14" s="233">
        <v>100</v>
      </c>
      <c r="AJ14" s="233" t="s">
        <v>54</v>
      </c>
      <c r="AK14" s="233">
        <v>5</v>
      </c>
      <c r="AL14" s="233"/>
      <c r="AM14" s="233"/>
      <c r="AN14" s="233"/>
      <c r="AO14" s="233"/>
      <c r="AP14" s="234"/>
      <c r="AQ14" s="234" t="s">
        <v>55</v>
      </c>
    </row>
    <row r="15" spans="1:43">
      <c r="A15" s="6">
        <v>12</v>
      </c>
      <c r="B15" s="21" t="s">
        <v>119</v>
      </c>
      <c r="C15" s="5" t="s">
        <v>120</v>
      </c>
      <c r="D15" s="5" t="s">
        <v>121</v>
      </c>
      <c r="E15" s="5" t="s">
        <v>122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11" t="s">
        <v>46</v>
      </c>
      <c r="Q15" s="5">
        <v>222.81059999999999</v>
      </c>
      <c r="R15" s="5">
        <f t="shared" si="0"/>
        <v>222.81059999999999</v>
      </c>
      <c r="S15" s="5" t="s">
        <v>67</v>
      </c>
      <c r="T15" s="6">
        <v>12</v>
      </c>
      <c r="U15" s="231" t="s">
        <v>123</v>
      </c>
      <c r="V15" s="232" t="s">
        <v>120</v>
      </c>
      <c r="W15" s="232">
        <v>12702.5</v>
      </c>
      <c r="X15" s="232">
        <v>-4926.3</v>
      </c>
      <c r="Y15" s="233" t="s">
        <v>49</v>
      </c>
      <c r="Z15" s="87" t="s">
        <v>50</v>
      </c>
      <c r="AA15" s="233" t="s">
        <v>51</v>
      </c>
      <c r="AB15" s="234"/>
      <c r="AC15" s="233">
        <v>1</v>
      </c>
      <c r="AD15" s="233" t="s">
        <v>52</v>
      </c>
      <c r="AE15" s="234"/>
      <c r="AF15" s="234"/>
      <c r="AG15" s="233" t="s">
        <v>124</v>
      </c>
      <c r="AH15" s="233">
        <v>5</v>
      </c>
      <c r="AI15" s="233">
        <v>100</v>
      </c>
      <c r="AJ15" s="233" t="s">
        <v>54</v>
      </c>
      <c r="AK15" s="233">
        <v>5</v>
      </c>
      <c r="AL15" s="233"/>
      <c r="AM15" s="233"/>
      <c r="AN15" s="233"/>
      <c r="AO15" s="233"/>
      <c r="AP15" s="234"/>
      <c r="AQ15" s="234" t="s">
        <v>55</v>
      </c>
    </row>
    <row r="16" spans="1:43">
      <c r="A16" s="6">
        <v>13</v>
      </c>
      <c r="B16" s="21" t="s">
        <v>125</v>
      </c>
      <c r="C16" s="5" t="s">
        <v>126</v>
      </c>
      <c r="D16" s="5" t="s">
        <v>127</v>
      </c>
      <c r="E16" s="5" t="s">
        <v>128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11" t="s">
        <v>46</v>
      </c>
      <c r="Q16" s="5">
        <v>222.80279999999999</v>
      </c>
      <c r="R16" s="5">
        <f t="shared" si="0"/>
        <v>222.80279999999999</v>
      </c>
      <c r="S16" s="5" t="s">
        <v>60</v>
      </c>
      <c r="T16" s="6">
        <v>13</v>
      </c>
      <c r="U16" s="231" t="s">
        <v>129</v>
      </c>
      <c r="V16" s="232" t="s">
        <v>126</v>
      </c>
      <c r="W16" s="232">
        <v>12217.9</v>
      </c>
      <c r="X16" s="232">
        <v>-4563.3999999999996</v>
      </c>
      <c r="Y16" s="233" t="s">
        <v>49</v>
      </c>
      <c r="Z16" s="87" t="s">
        <v>50</v>
      </c>
      <c r="AA16" s="233" t="s">
        <v>51</v>
      </c>
      <c r="AB16" s="234"/>
      <c r="AC16" s="233">
        <v>1</v>
      </c>
      <c r="AD16" s="233" t="s">
        <v>52</v>
      </c>
      <c r="AE16" s="234"/>
      <c r="AF16" s="234"/>
      <c r="AG16" s="233" t="s">
        <v>130</v>
      </c>
      <c r="AH16" s="233">
        <v>5</v>
      </c>
      <c r="AI16" s="233">
        <v>100</v>
      </c>
      <c r="AJ16" s="233" t="s">
        <v>54</v>
      </c>
      <c r="AK16" s="233">
        <v>5</v>
      </c>
      <c r="AL16" s="233"/>
      <c r="AM16" s="233"/>
      <c r="AN16" s="233"/>
      <c r="AO16" s="233"/>
      <c r="AP16" s="234"/>
      <c r="AQ16" s="234" t="s">
        <v>55</v>
      </c>
    </row>
    <row r="17" spans="1:43">
      <c r="A17" s="6">
        <v>14</v>
      </c>
      <c r="B17" s="21" t="s">
        <v>125</v>
      </c>
      <c r="C17" s="5" t="s">
        <v>131</v>
      </c>
      <c r="D17" s="5" t="s">
        <v>132</v>
      </c>
      <c r="E17" s="5" t="s">
        <v>133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11" t="s">
        <v>46</v>
      </c>
      <c r="Q17" s="5">
        <v>222.80779999999999</v>
      </c>
      <c r="R17" s="5">
        <f t="shared" si="0"/>
        <v>222.80779999999999</v>
      </c>
      <c r="S17" s="5" t="s">
        <v>67</v>
      </c>
      <c r="T17" s="6">
        <v>14</v>
      </c>
      <c r="U17" s="231" t="s">
        <v>134</v>
      </c>
      <c r="V17" s="232" t="s">
        <v>131</v>
      </c>
      <c r="W17" s="232">
        <v>10449.6</v>
      </c>
      <c r="X17" s="232">
        <v>-7741.5</v>
      </c>
      <c r="Y17" s="233" t="s">
        <v>49</v>
      </c>
      <c r="Z17" s="87" t="s">
        <v>50</v>
      </c>
      <c r="AA17" s="233" t="s">
        <v>51</v>
      </c>
      <c r="AB17" s="234"/>
      <c r="AC17" s="233">
        <v>1</v>
      </c>
      <c r="AD17" s="233" t="s">
        <v>52</v>
      </c>
      <c r="AE17" s="234"/>
      <c r="AF17" s="234"/>
      <c r="AG17" s="233" t="s">
        <v>135</v>
      </c>
      <c r="AH17" s="233">
        <v>5</v>
      </c>
      <c r="AI17" s="233">
        <v>100</v>
      </c>
      <c r="AJ17" s="233" t="s">
        <v>54</v>
      </c>
      <c r="AK17" s="233">
        <v>5</v>
      </c>
      <c r="AL17" s="233"/>
      <c r="AM17" s="233"/>
      <c r="AN17" s="233"/>
      <c r="AO17" s="233"/>
      <c r="AP17" s="234"/>
      <c r="AQ17" s="234" t="s">
        <v>55</v>
      </c>
    </row>
    <row r="18" spans="1:43">
      <c r="A18" s="6">
        <v>15</v>
      </c>
      <c r="B18" s="21" t="s">
        <v>136</v>
      </c>
      <c r="C18" s="5" t="s">
        <v>137</v>
      </c>
      <c r="D18" s="5" t="s">
        <v>138</v>
      </c>
      <c r="E18" s="5" t="s">
        <v>139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11" t="s">
        <v>46</v>
      </c>
      <c r="Q18" s="5">
        <v>222.8073</v>
      </c>
      <c r="R18" s="5">
        <f t="shared" si="0"/>
        <v>222.8073</v>
      </c>
      <c r="S18" s="5" t="s">
        <v>47</v>
      </c>
      <c r="T18" s="6">
        <v>15</v>
      </c>
      <c r="U18" s="231" t="s">
        <v>140</v>
      </c>
      <c r="V18" s="232" t="s">
        <v>137</v>
      </c>
      <c r="W18" s="232">
        <v>8272.2999999999993</v>
      </c>
      <c r="X18" s="232">
        <v>-4897.1000000000004</v>
      </c>
      <c r="Y18" s="233" t="s">
        <v>49</v>
      </c>
      <c r="Z18" s="87" t="s">
        <v>50</v>
      </c>
      <c r="AA18" s="233" t="s">
        <v>51</v>
      </c>
      <c r="AB18" s="234"/>
      <c r="AC18" s="233">
        <v>1</v>
      </c>
      <c r="AD18" s="233" t="s">
        <v>52</v>
      </c>
      <c r="AE18" s="234"/>
      <c r="AF18" s="234"/>
      <c r="AG18" s="233" t="s">
        <v>53</v>
      </c>
      <c r="AH18" s="233">
        <v>5</v>
      </c>
      <c r="AI18" s="233">
        <v>100</v>
      </c>
      <c r="AJ18" s="233" t="s">
        <v>54</v>
      </c>
      <c r="AK18" s="233">
        <v>5</v>
      </c>
      <c r="AL18" s="233"/>
      <c r="AM18" s="233"/>
      <c r="AN18" s="233"/>
      <c r="AO18" s="233"/>
      <c r="AP18" s="234"/>
      <c r="AQ18" s="234" t="s">
        <v>55</v>
      </c>
    </row>
    <row r="19" spans="1:43">
      <c r="A19" s="6">
        <v>16</v>
      </c>
      <c r="B19" s="21" t="s">
        <v>141</v>
      </c>
      <c r="C19" s="5" t="s">
        <v>142</v>
      </c>
      <c r="D19" s="5" t="s">
        <v>143</v>
      </c>
      <c r="E19" s="5" t="s">
        <v>144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11" t="s">
        <v>46</v>
      </c>
      <c r="Q19" s="5">
        <v>222.83279999999999</v>
      </c>
      <c r="R19" s="5">
        <f t="shared" si="0"/>
        <v>222.83279999999999</v>
      </c>
      <c r="S19" s="5" t="s">
        <v>60</v>
      </c>
      <c r="T19" s="6">
        <v>16</v>
      </c>
      <c r="U19" s="231" t="s">
        <v>145</v>
      </c>
      <c r="V19" s="232" t="s">
        <v>142</v>
      </c>
      <c r="W19" s="232">
        <v>12915.4</v>
      </c>
      <c r="X19" s="232">
        <v>-8462.2999999999993</v>
      </c>
      <c r="Y19" s="233" t="s">
        <v>49</v>
      </c>
      <c r="Z19" s="87" t="s">
        <v>50</v>
      </c>
      <c r="AA19" s="233" t="s">
        <v>51</v>
      </c>
      <c r="AB19" s="234"/>
      <c r="AC19" s="233">
        <v>1</v>
      </c>
      <c r="AD19" s="233" t="s">
        <v>52</v>
      </c>
      <c r="AE19" s="234"/>
      <c r="AF19" s="234"/>
      <c r="AG19" s="233" t="s">
        <v>62</v>
      </c>
      <c r="AH19" s="233">
        <v>5</v>
      </c>
      <c r="AI19" s="233">
        <v>100</v>
      </c>
      <c r="AJ19" s="233" t="s">
        <v>54</v>
      </c>
      <c r="AK19" s="233">
        <v>5</v>
      </c>
      <c r="AL19" s="233"/>
      <c r="AM19" s="233"/>
      <c r="AN19" s="233"/>
      <c r="AO19" s="233"/>
      <c r="AP19" s="234"/>
      <c r="AQ19" s="234" t="s">
        <v>55</v>
      </c>
    </row>
    <row r="20" spans="1:43">
      <c r="A20" s="6">
        <v>17</v>
      </c>
      <c r="B20" s="21" t="s">
        <v>146</v>
      </c>
      <c r="C20" s="5" t="s">
        <v>147</v>
      </c>
      <c r="D20" s="5" t="s">
        <v>148</v>
      </c>
      <c r="E20" s="5" t="s">
        <v>149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11" t="s">
        <v>46</v>
      </c>
      <c r="Q20" s="5">
        <v>222.79900000000001</v>
      </c>
      <c r="R20" s="5">
        <f t="shared" si="0"/>
        <v>222.79900000000001</v>
      </c>
      <c r="S20" s="5" t="s">
        <v>67</v>
      </c>
      <c r="T20" s="6">
        <v>17</v>
      </c>
      <c r="U20" s="231" t="s">
        <v>150</v>
      </c>
      <c r="V20" s="232" t="s">
        <v>147</v>
      </c>
      <c r="W20" s="232">
        <v>11553.9</v>
      </c>
      <c r="X20" s="232">
        <v>-9009.9</v>
      </c>
      <c r="Y20" s="233" t="s">
        <v>49</v>
      </c>
      <c r="Z20" s="87" t="s">
        <v>50</v>
      </c>
      <c r="AA20" s="233" t="s">
        <v>51</v>
      </c>
      <c r="AB20" s="234"/>
      <c r="AC20" s="233">
        <v>1</v>
      </c>
      <c r="AD20" s="233" t="s">
        <v>52</v>
      </c>
      <c r="AE20" s="234"/>
      <c r="AF20" s="234"/>
      <c r="AG20" s="233" t="s">
        <v>69</v>
      </c>
      <c r="AH20" s="233">
        <v>5</v>
      </c>
      <c r="AI20" s="233">
        <v>100</v>
      </c>
      <c r="AJ20" s="233" t="s">
        <v>54</v>
      </c>
      <c r="AK20" s="233">
        <v>5</v>
      </c>
      <c r="AL20" s="233"/>
      <c r="AM20" s="233"/>
      <c r="AN20" s="233"/>
      <c r="AO20" s="233"/>
      <c r="AP20" s="234"/>
      <c r="AQ20" s="234" t="s">
        <v>55</v>
      </c>
    </row>
    <row r="21" spans="1:43">
      <c r="A21" s="6">
        <v>18</v>
      </c>
      <c r="B21" s="21" t="s">
        <v>151</v>
      </c>
      <c r="C21" s="5" t="s">
        <v>152</v>
      </c>
      <c r="D21" s="5" t="s">
        <v>153</v>
      </c>
      <c r="E21" s="5" t="s">
        <v>154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11" t="s">
        <v>46</v>
      </c>
      <c r="Q21" s="5">
        <v>222.84280000000001</v>
      </c>
      <c r="R21" s="5">
        <f t="shared" si="0"/>
        <v>222.84280000000001</v>
      </c>
      <c r="S21" s="5" t="s">
        <v>74</v>
      </c>
      <c r="T21" s="6">
        <v>18</v>
      </c>
      <c r="U21" s="231" t="s">
        <v>155</v>
      </c>
      <c r="V21" s="232" t="s">
        <v>152</v>
      </c>
      <c r="W21" s="232">
        <v>10289.299999999999</v>
      </c>
      <c r="X21" s="232">
        <v>-6694.5</v>
      </c>
      <c r="Y21" s="233" t="s">
        <v>49</v>
      </c>
      <c r="Z21" s="87" t="s">
        <v>50</v>
      </c>
      <c r="AA21" s="233" t="s">
        <v>51</v>
      </c>
      <c r="AB21" s="234"/>
      <c r="AC21" s="233">
        <v>1</v>
      </c>
      <c r="AD21" s="233" t="s">
        <v>52</v>
      </c>
      <c r="AE21" s="234"/>
      <c r="AF21" s="234"/>
      <c r="AG21" s="233" t="s">
        <v>76</v>
      </c>
      <c r="AH21" s="233">
        <v>5</v>
      </c>
      <c r="AI21" s="233">
        <v>100</v>
      </c>
      <c r="AJ21" s="233" t="s">
        <v>54</v>
      </c>
      <c r="AK21" s="233">
        <v>5</v>
      </c>
      <c r="AL21" s="233"/>
      <c r="AM21" s="233"/>
      <c r="AN21" s="233"/>
      <c r="AO21" s="233"/>
      <c r="AP21" s="234"/>
      <c r="AQ21" s="234" t="s">
        <v>55</v>
      </c>
    </row>
    <row r="22" spans="1:43">
      <c r="A22" s="6">
        <v>19</v>
      </c>
      <c r="B22" s="21" t="s">
        <v>156</v>
      </c>
      <c r="C22" s="5" t="s">
        <v>157</v>
      </c>
      <c r="D22" s="5" t="s">
        <v>158</v>
      </c>
      <c r="E22" s="5" t="s">
        <v>159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11" t="s">
        <v>46</v>
      </c>
      <c r="Q22" s="5">
        <v>222.85740000000001</v>
      </c>
      <c r="R22" s="5">
        <f t="shared" si="0"/>
        <v>222.85740000000001</v>
      </c>
      <c r="S22" s="5" t="s">
        <v>67</v>
      </c>
      <c r="T22" s="6">
        <v>19</v>
      </c>
      <c r="U22" s="231" t="s">
        <v>160</v>
      </c>
      <c r="V22" s="232" t="s">
        <v>157</v>
      </c>
      <c r="W22" s="232">
        <v>10289.299999999999</v>
      </c>
      <c r="X22" s="232">
        <v>-5521.3</v>
      </c>
      <c r="Y22" s="233" t="s">
        <v>49</v>
      </c>
      <c r="Z22" s="87" t="s">
        <v>50</v>
      </c>
      <c r="AA22" s="233" t="s">
        <v>51</v>
      </c>
      <c r="AB22" s="234"/>
      <c r="AC22" s="233">
        <v>1</v>
      </c>
      <c r="AD22" s="233" t="s">
        <v>52</v>
      </c>
      <c r="AE22" s="234"/>
      <c r="AF22" s="234"/>
      <c r="AG22" s="233" t="s">
        <v>82</v>
      </c>
      <c r="AH22" s="233">
        <v>5</v>
      </c>
      <c r="AI22" s="233">
        <v>100</v>
      </c>
      <c r="AJ22" s="233" t="s">
        <v>54</v>
      </c>
      <c r="AK22" s="233">
        <v>5</v>
      </c>
      <c r="AL22" s="233"/>
      <c r="AM22" s="233"/>
      <c r="AN22" s="233"/>
      <c r="AO22" s="233"/>
      <c r="AP22" s="234"/>
      <c r="AQ22" s="234" t="s">
        <v>55</v>
      </c>
    </row>
    <row r="23" spans="1:43">
      <c r="A23" s="6">
        <v>20</v>
      </c>
      <c r="B23" s="21" t="s">
        <v>161</v>
      </c>
      <c r="C23" s="5" t="s">
        <v>162</v>
      </c>
      <c r="D23" s="5" t="s">
        <v>163</v>
      </c>
      <c r="E23" s="5" t="s">
        <v>164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11" t="s">
        <v>46</v>
      </c>
      <c r="Q23" s="5">
        <v>222.81360000000001</v>
      </c>
      <c r="R23" s="5">
        <f t="shared" si="0"/>
        <v>222.81360000000001</v>
      </c>
      <c r="S23" s="5" t="s">
        <v>47</v>
      </c>
      <c r="T23" s="6">
        <v>20</v>
      </c>
      <c r="U23" s="231" t="s">
        <v>165</v>
      </c>
      <c r="V23" s="232" t="s">
        <v>162</v>
      </c>
      <c r="W23" s="232">
        <v>8272.2999999999993</v>
      </c>
      <c r="X23" s="232">
        <v>-3258.8</v>
      </c>
      <c r="Y23" s="233" t="s">
        <v>49</v>
      </c>
      <c r="Z23" s="87" t="s">
        <v>50</v>
      </c>
      <c r="AA23" s="233" t="s">
        <v>51</v>
      </c>
      <c r="AB23" s="234"/>
      <c r="AC23" s="233">
        <v>1</v>
      </c>
      <c r="AD23" s="233" t="s">
        <v>52</v>
      </c>
      <c r="AE23" s="234"/>
      <c r="AF23" s="234"/>
      <c r="AG23" s="233" t="s">
        <v>88</v>
      </c>
      <c r="AH23" s="233">
        <v>5</v>
      </c>
      <c r="AI23" s="233">
        <v>100</v>
      </c>
      <c r="AJ23" s="233" t="s">
        <v>54</v>
      </c>
      <c r="AK23" s="233">
        <v>5</v>
      </c>
      <c r="AL23" s="233"/>
      <c r="AM23" s="233"/>
      <c r="AN23" s="233"/>
      <c r="AO23" s="233"/>
      <c r="AP23" s="234"/>
      <c r="AQ23" s="234" t="s">
        <v>55</v>
      </c>
    </row>
    <row r="24" spans="1:43">
      <c r="A24" s="6">
        <v>21</v>
      </c>
      <c r="B24" s="21" t="s">
        <v>166</v>
      </c>
      <c r="C24" s="5" t="s">
        <v>167</v>
      </c>
      <c r="D24" s="5" t="s">
        <v>168</v>
      </c>
      <c r="E24" s="5" t="s">
        <v>169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11" t="s">
        <v>46</v>
      </c>
      <c r="Q24" s="5">
        <v>222.78800000000001</v>
      </c>
      <c r="R24" s="5">
        <f t="shared" si="0"/>
        <v>222.78800000000001</v>
      </c>
      <c r="S24" s="5" t="s">
        <v>60</v>
      </c>
      <c r="T24" s="6">
        <v>21</v>
      </c>
      <c r="U24" s="231" t="s">
        <v>170</v>
      </c>
      <c r="V24" s="232" t="s">
        <v>167</v>
      </c>
      <c r="W24" s="232">
        <v>12285.7</v>
      </c>
      <c r="X24" s="232">
        <v>-7784.1</v>
      </c>
      <c r="Y24" s="233" t="s">
        <v>49</v>
      </c>
      <c r="Z24" s="87" t="s">
        <v>50</v>
      </c>
      <c r="AA24" s="233" t="s">
        <v>51</v>
      </c>
      <c r="AB24" s="234"/>
      <c r="AC24" s="233">
        <v>1</v>
      </c>
      <c r="AD24" s="233" t="s">
        <v>52</v>
      </c>
      <c r="AE24" s="234"/>
      <c r="AF24" s="234"/>
      <c r="AG24" s="233" t="s">
        <v>94</v>
      </c>
      <c r="AH24" s="233">
        <v>5</v>
      </c>
      <c r="AI24" s="233">
        <v>100</v>
      </c>
      <c r="AJ24" s="233" t="s">
        <v>54</v>
      </c>
      <c r="AK24" s="233">
        <v>5</v>
      </c>
      <c r="AL24" s="233"/>
      <c r="AM24" s="233"/>
      <c r="AN24" s="233"/>
      <c r="AO24" s="233"/>
      <c r="AP24" s="234"/>
      <c r="AQ24" s="234" t="s">
        <v>55</v>
      </c>
    </row>
    <row r="25" spans="1:43">
      <c r="A25" s="6">
        <v>22</v>
      </c>
      <c r="B25" s="21" t="s">
        <v>171</v>
      </c>
      <c r="C25" s="5" t="s">
        <v>172</v>
      </c>
      <c r="D25" s="5" t="s">
        <v>173</v>
      </c>
      <c r="E25" s="5" t="s">
        <v>174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11" t="s">
        <v>46</v>
      </c>
      <c r="Q25" s="5">
        <v>222.79640000000001</v>
      </c>
      <c r="R25" s="5">
        <f t="shared" si="0"/>
        <v>222.79640000000001</v>
      </c>
      <c r="S25" s="5" t="s">
        <v>67</v>
      </c>
      <c r="T25" s="6">
        <v>22</v>
      </c>
      <c r="U25" s="231" t="s">
        <v>175</v>
      </c>
      <c r="V25" s="232" t="s">
        <v>172</v>
      </c>
      <c r="W25" s="232">
        <v>12217.9</v>
      </c>
      <c r="X25" s="232">
        <v>-6760.5</v>
      </c>
      <c r="Y25" s="233" t="s">
        <v>49</v>
      </c>
      <c r="Z25" s="87" t="s">
        <v>50</v>
      </c>
      <c r="AA25" s="233" t="s">
        <v>51</v>
      </c>
      <c r="AB25" s="234"/>
      <c r="AC25" s="233">
        <v>1</v>
      </c>
      <c r="AD25" s="233" t="s">
        <v>52</v>
      </c>
      <c r="AE25" s="234"/>
      <c r="AF25" s="234"/>
      <c r="AG25" s="233" t="s">
        <v>100</v>
      </c>
      <c r="AH25" s="233">
        <v>5</v>
      </c>
      <c r="AI25" s="233">
        <v>100</v>
      </c>
      <c r="AJ25" s="233" t="s">
        <v>54</v>
      </c>
      <c r="AK25" s="233">
        <v>5</v>
      </c>
      <c r="AL25" s="233"/>
      <c r="AM25" s="233"/>
      <c r="AN25" s="233"/>
      <c r="AO25" s="233"/>
      <c r="AP25" s="234"/>
      <c r="AQ25" s="234" t="s">
        <v>55</v>
      </c>
    </row>
    <row r="26" spans="1:43">
      <c r="A26" s="6">
        <v>23</v>
      </c>
      <c r="B26" s="21" t="s">
        <v>176</v>
      </c>
      <c r="C26" s="5" t="s">
        <v>177</v>
      </c>
      <c r="D26" s="5" t="s">
        <v>178</v>
      </c>
      <c r="E26" s="5" t="s">
        <v>179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11" t="s">
        <v>46</v>
      </c>
      <c r="Q26" s="5">
        <v>222.86340000000001</v>
      </c>
      <c r="R26" s="5">
        <f t="shared" si="0"/>
        <v>222.86340000000001</v>
      </c>
      <c r="S26" s="5" t="s">
        <v>60</v>
      </c>
      <c r="T26" s="6">
        <v>23</v>
      </c>
      <c r="U26" s="231" t="s">
        <v>180</v>
      </c>
      <c r="V26" s="232" t="s">
        <v>177</v>
      </c>
      <c r="W26" s="232">
        <v>12915.4</v>
      </c>
      <c r="X26" s="232">
        <v>-6265.2</v>
      </c>
      <c r="Y26" s="233" t="s">
        <v>49</v>
      </c>
      <c r="Z26" s="87" t="s">
        <v>50</v>
      </c>
      <c r="AA26" s="233" t="s">
        <v>51</v>
      </c>
      <c r="AB26" s="234"/>
      <c r="AC26" s="233">
        <v>1</v>
      </c>
      <c r="AD26" s="233" t="s">
        <v>52</v>
      </c>
      <c r="AE26" s="234"/>
      <c r="AF26" s="234"/>
      <c r="AG26" s="233" t="s">
        <v>106</v>
      </c>
      <c r="AH26" s="233">
        <v>5</v>
      </c>
      <c r="AI26" s="233">
        <v>100</v>
      </c>
      <c r="AJ26" s="233" t="s">
        <v>54</v>
      </c>
      <c r="AK26" s="233">
        <v>5</v>
      </c>
      <c r="AL26" s="233"/>
      <c r="AM26" s="233"/>
      <c r="AN26" s="233"/>
      <c r="AO26" s="233"/>
      <c r="AP26" s="234"/>
      <c r="AQ26" s="234" t="s">
        <v>55</v>
      </c>
    </row>
    <row r="27" spans="1:43">
      <c r="A27" s="6">
        <v>24</v>
      </c>
      <c r="B27" s="21" t="s">
        <v>181</v>
      </c>
      <c r="C27" s="5" t="s">
        <v>182</v>
      </c>
      <c r="D27" s="5" t="s">
        <v>183</v>
      </c>
      <c r="E27" s="5" t="s">
        <v>184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11" t="s">
        <v>46</v>
      </c>
      <c r="Q27" s="5">
        <v>222.85149999999999</v>
      </c>
      <c r="R27" s="5">
        <f t="shared" si="0"/>
        <v>222.85149999999999</v>
      </c>
      <c r="S27" s="5" t="s">
        <v>74</v>
      </c>
      <c r="T27" s="6">
        <v>24</v>
      </c>
      <c r="U27" s="231" t="s">
        <v>185</v>
      </c>
      <c r="V27" s="232" t="s">
        <v>182</v>
      </c>
      <c r="W27" s="232">
        <v>11455.4</v>
      </c>
      <c r="X27" s="232">
        <v>-5995.7</v>
      </c>
      <c r="Y27" s="233" t="s">
        <v>49</v>
      </c>
      <c r="Z27" s="87" t="s">
        <v>50</v>
      </c>
      <c r="AA27" s="233" t="s">
        <v>51</v>
      </c>
      <c r="AB27" s="234"/>
      <c r="AC27" s="233">
        <v>1</v>
      </c>
      <c r="AD27" s="233" t="s">
        <v>52</v>
      </c>
      <c r="AE27" s="234"/>
      <c r="AF27" s="234"/>
      <c r="AG27" s="233" t="s">
        <v>112</v>
      </c>
      <c r="AH27" s="233">
        <v>5</v>
      </c>
      <c r="AI27" s="233">
        <v>100</v>
      </c>
      <c r="AJ27" s="233" t="s">
        <v>54</v>
      </c>
      <c r="AK27" s="233">
        <v>5</v>
      </c>
      <c r="AL27" s="233"/>
      <c r="AM27" s="233"/>
      <c r="AN27" s="233"/>
      <c r="AO27" s="233"/>
      <c r="AP27" s="234"/>
      <c r="AQ27" s="234" t="s">
        <v>55</v>
      </c>
    </row>
    <row r="28" spans="1:43">
      <c r="A28" s="6">
        <v>25</v>
      </c>
      <c r="B28" s="21" t="s">
        <v>186</v>
      </c>
      <c r="C28" s="5" t="s">
        <v>187</v>
      </c>
      <c r="D28" s="5" t="s">
        <v>188</v>
      </c>
      <c r="E28" s="5" t="s">
        <v>189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11" t="s">
        <v>46</v>
      </c>
      <c r="Q28" s="5">
        <v>222.83279999999999</v>
      </c>
      <c r="R28" s="5">
        <f t="shared" si="0"/>
        <v>222.83279999999999</v>
      </c>
      <c r="S28" s="5" t="s">
        <v>60</v>
      </c>
      <c r="T28" s="6">
        <v>25</v>
      </c>
      <c r="U28" s="231" t="s">
        <v>190</v>
      </c>
      <c r="V28" s="232" t="s">
        <v>187</v>
      </c>
      <c r="W28" s="232">
        <v>12786.5</v>
      </c>
      <c r="X28" s="232">
        <v>-5587</v>
      </c>
      <c r="Y28" s="233" t="s">
        <v>49</v>
      </c>
      <c r="Z28" s="87" t="s">
        <v>50</v>
      </c>
      <c r="AA28" s="233" t="s">
        <v>51</v>
      </c>
      <c r="AB28" s="234"/>
      <c r="AC28" s="233">
        <v>1</v>
      </c>
      <c r="AD28" s="233" t="s">
        <v>52</v>
      </c>
      <c r="AE28" s="234"/>
      <c r="AF28" s="234"/>
      <c r="AG28" s="233" t="s">
        <v>118</v>
      </c>
      <c r="AH28" s="233">
        <v>5</v>
      </c>
      <c r="AI28" s="233">
        <v>100</v>
      </c>
      <c r="AJ28" s="233" t="s">
        <v>54</v>
      </c>
      <c r="AK28" s="233">
        <v>5</v>
      </c>
      <c r="AL28" s="233"/>
      <c r="AM28" s="233"/>
      <c r="AN28" s="233"/>
      <c r="AO28" s="233"/>
      <c r="AP28" s="234"/>
      <c r="AQ28" s="234" t="s">
        <v>55</v>
      </c>
    </row>
    <row r="29" spans="1:43">
      <c r="A29" s="6">
        <v>26</v>
      </c>
      <c r="B29" s="21" t="s">
        <v>191</v>
      </c>
      <c r="C29" s="5" t="s">
        <v>192</v>
      </c>
      <c r="D29" s="5" t="s">
        <v>193</v>
      </c>
      <c r="E29" s="5" t="s">
        <v>194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11" t="s">
        <v>46</v>
      </c>
      <c r="Q29" s="5">
        <v>222.81020000000001</v>
      </c>
      <c r="R29" s="5">
        <f t="shared" si="0"/>
        <v>222.81020000000001</v>
      </c>
      <c r="S29" s="5" t="s">
        <v>67</v>
      </c>
      <c r="T29" s="6">
        <v>26</v>
      </c>
      <c r="U29" s="231" t="s">
        <v>195</v>
      </c>
      <c r="V29" s="232" t="s">
        <v>192</v>
      </c>
      <c r="W29" s="232">
        <v>12159</v>
      </c>
      <c r="X29" s="232">
        <v>-5080</v>
      </c>
      <c r="Y29" s="233" t="s">
        <v>49</v>
      </c>
      <c r="Z29" s="87" t="s">
        <v>50</v>
      </c>
      <c r="AA29" s="233" t="s">
        <v>51</v>
      </c>
      <c r="AB29" s="234"/>
      <c r="AC29" s="233">
        <v>1</v>
      </c>
      <c r="AD29" s="233" t="s">
        <v>52</v>
      </c>
      <c r="AE29" s="234"/>
      <c r="AF29" s="234"/>
      <c r="AG29" s="233" t="s">
        <v>124</v>
      </c>
      <c r="AH29" s="233">
        <v>5</v>
      </c>
      <c r="AI29" s="233">
        <v>100</v>
      </c>
      <c r="AJ29" s="233" t="s">
        <v>54</v>
      </c>
      <c r="AK29" s="233">
        <v>5</v>
      </c>
      <c r="AL29" s="233"/>
      <c r="AM29" s="233"/>
      <c r="AN29" s="233"/>
      <c r="AO29" s="233"/>
      <c r="AP29" s="234"/>
      <c r="AQ29" s="234" t="s">
        <v>55</v>
      </c>
    </row>
    <row r="30" spans="1:43">
      <c r="A30" s="6">
        <v>27</v>
      </c>
      <c r="B30" s="21" t="s">
        <v>196</v>
      </c>
      <c r="C30" s="5" t="s">
        <v>197</v>
      </c>
      <c r="D30" s="5" t="s">
        <v>198</v>
      </c>
      <c r="E30" s="5" t="s">
        <v>199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11" t="s">
        <v>46</v>
      </c>
      <c r="Q30" s="5">
        <v>222.81</v>
      </c>
      <c r="R30" s="5">
        <f t="shared" si="0"/>
        <v>222.81</v>
      </c>
      <c r="S30" s="5" t="s">
        <v>60</v>
      </c>
      <c r="T30" s="6">
        <v>27</v>
      </c>
      <c r="U30" s="231" t="s">
        <v>200</v>
      </c>
      <c r="V30" s="232" t="s">
        <v>197</v>
      </c>
      <c r="W30" s="232">
        <v>12413</v>
      </c>
      <c r="X30" s="232">
        <v>-4098.3</v>
      </c>
      <c r="Y30" s="233" t="s">
        <v>49</v>
      </c>
      <c r="Z30" s="87" t="s">
        <v>50</v>
      </c>
      <c r="AA30" s="233" t="s">
        <v>51</v>
      </c>
      <c r="AB30" s="234"/>
      <c r="AC30" s="233">
        <v>1</v>
      </c>
      <c r="AD30" s="233" t="s">
        <v>52</v>
      </c>
      <c r="AE30" s="234"/>
      <c r="AF30" s="234"/>
      <c r="AG30" s="233" t="s">
        <v>130</v>
      </c>
      <c r="AH30" s="233">
        <v>5</v>
      </c>
      <c r="AI30" s="233">
        <v>100</v>
      </c>
      <c r="AJ30" s="233" t="s">
        <v>54</v>
      </c>
      <c r="AK30" s="233">
        <v>5</v>
      </c>
      <c r="AL30" s="233"/>
      <c r="AM30" s="233"/>
      <c r="AN30" s="233"/>
      <c r="AO30" s="233"/>
      <c r="AP30" s="234"/>
      <c r="AQ30" s="234" t="s">
        <v>55</v>
      </c>
    </row>
    <row r="31" spans="1:43">
      <c r="A31" s="6">
        <v>28</v>
      </c>
      <c r="B31" s="21" t="s">
        <v>201</v>
      </c>
      <c r="C31" s="5" t="s">
        <v>202</v>
      </c>
      <c r="D31" s="5" t="s">
        <v>203</v>
      </c>
      <c r="E31" s="5" t="s">
        <v>204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11" t="s">
        <v>46</v>
      </c>
      <c r="Q31" s="5">
        <v>222.85290000000001</v>
      </c>
      <c r="R31" s="5">
        <f t="shared" si="0"/>
        <v>222.85290000000001</v>
      </c>
      <c r="S31" s="5" t="s">
        <v>67</v>
      </c>
      <c r="T31" s="6">
        <v>28</v>
      </c>
      <c r="U31" s="231" t="s">
        <v>205</v>
      </c>
      <c r="V31" s="232" t="s">
        <v>202</v>
      </c>
      <c r="W31" s="232">
        <v>10883.1</v>
      </c>
      <c r="X31" s="232">
        <v>-8100</v>
      </c>
      <c r="Y31" s="233" t="s">
        <v>49</v>
      </c>
      <c r="Z31" s="87" t="s">
        <v>50</v>
      </c>
      <c r="AA31" s="233" t="s">
        <v>51</v>
      </c>
      <c r="AB31" s="234"/>
      <c r="AC31" s="233">
        <v>1</v>
      </c>
      <c r="AD31" s="233" t="s">
        <v>52</v>
      </c>
      <c r="AE31" s="234"/>
      <c r="AF31" s="234"/>
      <c r="AG31" s="233" t="s">
        <v>135</v>
      </c>
      <c r="AH31" s="233">
        <v>5</v>
      </c>
      <c r="AI31" s="233">
        <v>100</v>
      </c>
      <c r="AJ31" s="233" t="s">
        <v>54</v>
      </c>
      <c r="AK31" s="233">
        <v>5</v>
      </c>
      <c r="AL31" s="233"/>
      <c r="AM31" s="233"/>
      <c r="AN31" s="233"/>
      <c r="AO31" s="233"/>
      <c r="AP31" s="234"/>
      <c r="AQ31" s="234" t="s">
        <v>55</v>
      </c>
    </row>
    <row r="32" spans="1:43">
      <c r="A32" s="6">
        <v>29</v>
      </c>
      <c r="B32" s="21" t="s">
        <v>206</v>
      </c>
      <c r="C32" s="5" t="s">
        <v>207</v>
      </c>
      <c r="D32" s="5" t="s">
        <v>208</v>
      </c>
      <c r="E32" s="5" t="s">
        <v>209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11" t="s">
        <v>46</v>
      </c>
      <c r="Q32" s="5">
        <v>187.77670000000001</v>
      </c>
      <c r="R32" s="5">
        <f t="shared" si="0"/>
        <v>187.77670000000001</v>
      </c>
      <c r="S32" s="5" t="s">
        <v>60</v>
      </c>
      <c r="T32" s="6">
        <v>29</v>
      </c>
      <c r="U32" s="231" t="s">
        <v>210</v>
      </c>
      <c r="V32" s="232" t="s">
        <v>207</v>
      </c>
      <c r="W32" s="232">
        <v>10659.4</v>
      </c>
      <c r="X32" s="232">
        <v>-10665.3</v>
      </c>
      <c r="Y32" s="233" t="s">
        <v>49</v>
      </c>
      <c r="Z32" s="87" t="s">
        <v>50</v>
      </c>
      <c r="AA32" s="233" t="s">
        <v>51</v>
      </c>
      <c r="AB32" s="234"/>
      <c r="AC32" s="233">
        <v>1</v>
      </c>
      <c r="AD32" s="233" t="s">
        <v>52</v>
      </c>
      <c r="AE32" s="234"/>
      <c r="AF32" s="234"/>
      <c r="AG32" s="233" t="s">
        <v>211</v>
      </c>
      <c r="AH32" s="233">
        <v>5</v>
      </c>
      <c r="AI32" s="233">
        <v>100</v>
      </c>
      <c r="AJ32" s="233" t="s">
        <v>212</v>
      </c>
      <c r="AK32" s="233">
        <v>5</v>
      </c>
      <c r="AL32" s="233"/>
      <c r="AM32" s="233"/>
      <c r="AN32" s="233"/>
      <c r="AO32" s="233"/>
      <c r="AP32" s="234"/>
      <c r="AQ32" s="234" t="s">
        <v>55</v>
      </c>
    </row>
    <row r="33" spans="1:43">
      <c r="A33" s="6">
        <v>30</v>
      </c>
      <c r="B33" s="21" t="s">
        <v>213</v>
      </c>
      <c r="C33" s="5" t="s">
        <v>214</v>
      </c>
      <c r="D33" s="5" t="s">
        <v>215</v>
      </c>
      <c r="E33" s="5" t="s">
        <v>216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11" t="s">
        <v>46</v>
      </c>
      <c r="Q33" s="5">
        <v>187.76429999999999</v>
      </c>
      <c r="R33" s="5">
        <f t="shared" si="0"/>
        <v>187.76429999999999</v>
      </c>
      <c r="S33" s="5" t="s">
        <v>60</v>
      </c>
      <c r="T33" s="6">
        <v>30</v>
      </c>
      <c r="U33" s="231" t="s">
        <v>217</v>
      </c>
      <c r="V33" s="232" t="s">
        <v>214</v>
      </c>
      <c r="W33" s="232">
        <v>11181.6</v>
      </c>
      <c r="X33" s="232">
        <v>-10770.7</v>
      </c>
      <c r="Y33" s="233" t="s">
        <v>49</v>
      </c>
      <c r="Z33" s="87" t="s">
        <v>50</v>
      </c>
      <c r="AA33" s="233" t="s">
        <v>51</v>
      </c>
      <c r="AB33" s="234"/>
      <c r="AC33" s="233">
        <v>1</v>
      </c>
      <c r="AD33" s="233" t="s">
        <v>52</v>
      </c>
      <c r="AE33" s="234"/>
      <c r="AF33" s="234"/>
      <c r="AG33" s="233" t="s">
        <v>211</v>
      </c>
      <c r="AH33" s="233">
        <v>5</v>
      </c>
      <c r="AI33" s="233">
        <v>100</v>
      </c>
      <c r="AJ33" s="233" t="s">
        <v>212</v>
      </c>
      <c r="AK33" s="233">
        <v>5</v>
      </c>
      <c r="AL33" s="233"/>
      <c r="AM33" s="233"/>
      <c r="AN33" s="233"/>
      <c r="AO33" s="233"/>
      <c r="AP33" s="234"/>
      <c r="AQ33" s="234" t="s">
        <v>55</v>
      </c>
    </row>
    <row r="34" spans="1:43">
      <c r="A34" s="6">
        <v>31</v>
      </c>
      <c r="B34" s="21" t="s">
        <v>218</v>
      </c>
      <c r="C34" s="5" t="s">
        <v>219</v>
      </c>
      <c r="D34" s="5" t="s">
        <v>220</v>
      </c>
      <c r="E34" s="5" t="s">
        <v>221</v>
      </c>
      <c r="F34" s="5" t="s">
        <v>222</v>
      </c>
      <c r="G34" s="11" t="s">
        <v>223</v>
      </c>
      <c r="H34" s="5"/>
      <c r="I34" s="5"/>
      <c r="J34" s="5"/>
      <c r="K34" s="5"/>
      <c r="L34" s="5"/>
      <c r="M34" s="5"/>
      <c r="N34" s="5"/>
      <c r="O34" s="5"/>
      <c r="P34" s="11">
        <v>275.35379999999998</v>
      </c>
      <c r="Q34" s="5">
        <v>29.741</v>
      </c>
      <c r="R34" s="5">
        <f t="shared" si="0"/>
        <v>305.09479999999996</v>
      </c>
      <c r="S34" s="5" t="s">
        <v>224</v>
      </c>
      <c r="T34" s="6">
        <v>31</v>
      </c>
      <c r="U34" s="235" t="s">
        <v>225</v>
      </c>
      <c r="V34" s="232" t="s">
        <v>219</v>
      </c>
      <c r="W34" s="232">
        <v>6454.6</v>
      </c>
      <c r="X34" s="232">
        <v>8048.1</v>
      </c>
      <c r="Y34" s="233" t="s">
        <v>49</v>
      </c>
      <c r="Z34" s="87" t="s">
        <v>50</v>
      </c>
      <c r="AA34" s="233" t="s">
        <v>51</v>
      </c>
      <c r="AB34" s="234"/>
      <c r="AC34" s="233">
        <v>1</v>
      </c>
      <c r="AD34" s="233" t="s">
        <v>226</v>
      </c>
      <c r="AE34" s="233"/>
      <c r="AF34" s="233"/>
      <c r="AG34" s="233" t="s">
        <v>227</v>
      </c>
      <c r="AH34" s="233">
        <v>5</v>
      </c>
      <c r="AI34" s="233">
        <v>100</v>
      </c>
      <c r="AJ34" s="233" t="s">
        <v>228</v>
      </c>
      <c r="AK34" s="233">
        <v>20</v>
      </c>
      <c r="AL34" s="233"/>
      <c r="AM34" s="233" t="s">
        <v>229</v>
      </c>
      <c r="AN34" s="233"/>
      <c r="AO34" s="233"/>
      <c r="AP34" s="234" t="s">
        <v>230</v>
      </c>
      <c r="AQ34" s="234" t="s">
        <v>231</v>
      </c>
    </row>
    <row r="35" spans="1:43">
      <c r="A35" s="6">
        <v>32</v>
      </c>
      <c r="B35" s="21" t="s">
        <v>232</v>
      </c>
      <c r="C35" s="5" t="s">
        <v>233</v>
      </c>
      <c r="D35" s="5" t="s">
        <v>234</v>
      </c>
      <c r="E35" s="5" t="s">
        <v>235</v>
      </c>
      <c r="F35" s="5" t="s">
        <v>236</v>
      </c>
      <c r="G35" s="11" t="s">
        <v>237</v>
      </c>
      <c r="H35" s="5"/>
      <c r="I35" s="5"/>
      <c r="J35" s="5"/>
      <c r="K35" s="5"/>
      <c r="L35" s="5"/>
      <c r="M35" s="5"/>
      <c r="N35" s="5"/>
      <c r="O35" s="5"/>
      <c r="P35" s="11">
        <v>275.35180000000003</v>
      </c>
      <c r="Q35" s="5">
        <v>29.748100000000001</v>
      </c>
      <c r="R35" s="5">
        <f t="shared" si="0"/>
        <v>305.09990000000005</v>
      </c>
      <c r="S35" s="5" t="s">
        <v>224</v>
      </c>
      <c r="T35" s="6">
        <v>32</v>
      </c>
      <c r="U35" s="235" t="s">
        <v>238</v>
      </c>
      <c r="V35" s="232" t="s">
        <v>233</v>
      </c>
      <c r="W35" s="232">
        <v>6821</v>
      </c>
      <c r="X35" s="232">
        <v>8695.7999999999993</v>
      </c>
      <c r="Y35" s="233" t="s">
        <v>49</v>
      </c>
      <c r="Z35" s="87" t="s">
        <v>50</v>
      </c>
      <c r="AA35" s="233" t="s">
        <v>51</v>
      </c>
      <c r="AB35" s="234"/>
      <c r="AC35" s="233">
        <v>1</v>
      </c>
      <c r="AD35" s="233" t="s">
        <v>226</v>
      </c>
      <c r="AE35" s="233"/>
      <c r="AF35" s="233"/>
      <c r="AG35" s="233" t="s">
        <v>227</v>
      </c>
      <c r="AH35" s="233">
        <v>5</v>
      </c>
      <c r="AI35" s="233">
        <v>100</v>
      </c>
      <c r="AJ35" s="233" t="s">
        <v>228</v>
      </c>
      <c r="AK35" s="233">
        <v>20</v>
      </c>
      <c r="AL35" s="233"/>
      <c r="AM35" s="233" t="s">
        <v>239</v>
      </c>
      <c r="AN35" s="233"/>
      <c r="AO35" s="233"/>
      <c r="AP35" s="234" t="s">
        <v>230</v>
      </c>
      <c r="AQ35" s="234" t="s">
        <v>231</v>
      </c>
    </row>
    <row r="36" spans="1:43">
      <c r="A36" s="6">
        <v>33</v>
      </c>
      <c r="B36" s="21" t="s">
        <v>240</v>
      </c>
      <c r="C36" s="5" t="s">
        <v>241</v>
      </c>
      <c r="D36" s="5" t="s">
        <v>242</v>
      </c>
      <c r="E36" s="5" t="s">
        <v>243</v>
      </c>
      <c r="F36" s="5" t="s">
        <v>244</v>
      </c>
      <c r="G36" s="11" t="s">
        <v>245</v>
      </c>
      <c r="H36" s="5"/>
      <c r="I36" s="5"/>
      <c r="J36" s="5"/>
      <c r="K36" s="5"/>
      <c r="L36" s="5"/>
      <c r="M36" s="5"/>
      <c r="N36" s="5"/>
      <c r="O36" s="5"/>
      <c r="P36" s="11">
        <v>275.31580000000002</v>
      </c>
      <c r="Q36" s="5">
        <v>29.821899999999999</v>
      </c>
      <c r="R36" s="5">
        <f t="shared" si="0"/>
        <v>305.1377</v>
      </c>
      <c r="S36" s="5" t="s">
        <v>224</v>
      </c>
      <c r="T36" s="6">
        <v>33</v>
      </c>
      <c r="U36" s="235" t="s">
        <v>246</v>
      </c>
      <c r="V36" s="232" t="s">
        <v>241</v>
      </c>
      <c r="W36" s="232">
        <v>5965.9</v>
      </c>
      <c r="X36" s="232">
        <v>6421.8</v>
      </c>
      <c r="Y36" s="233" t="s">
        <v>49</v>
      </c>
      <c r="Z36" s="87" t="s">
        <v>50</v>
      </c>
      <c r="AA36" s="233" t="s">
        <v>51</v>
      </c>
      <c r="AB36" s="234"/>
      <c r="AC36" s="233">
        <v>1</v>
      </c>
      <c r="AD36" s="233" t="s">
        <v>226</v>
      </c>
      <c r="AE36" s="233"/>
      <c r="AF36" s="233"/>
      <c r="AG36" s="233" t="s">
        <v>247</v>
      </c>
      <c r="AH36" s="233">
        <v>5</v>
      </c>
      <c r="AI36" s="233">
        <v>100</v>
      </c>
      <c r="AJ36" s="233" t="s">
        <v>228</v>
      </c>
      <c r="AK36" s="233">
        <v>20</v>
      </c>
      <c r="AL36" s="233"/>
      <c r="AM36" s="233" t="s">
        <v>248</v>
      </c>
      <c r="AN36" s="233"/>
      <c r="AO36" s="233"/>
      <c r="AP36" s="234" t="s">
        <v>249</v>
      </c>
      <c r="AQ36" s="234" t="s">
        <v>231</v>
      </c>
    </row>
    <row r="37" spans="1:43">
      <c r="A37" s="6">
        <v>34</v>
      </c>
      <c r="B37" s="21" t="s">
        <v>250</v>
      </c>
      <c r="C37" s="5" t="s">
        <v>251</v>
      </c>
      <c r="D37" s="5" t="s">
        <v>252</v>
      </c>
      <c r="E37" s="5" t="s">
        <v>253</v>
      </c>
      <c r="F37" s="5" t="s">
        <v>254</v>
      </c>
      <c r="G37" s="11" t="s">
        <v>255</v>
      </c>
      <c r="H37" s="5"/>
      <c r="I37" s="5"/>
      <c r="J37" s="5"/>
      <c r="K37" s="5"/>
      <c r="L37" s="5"/>
      <c r="M37" s="5"/>
      <c r="N37" s="5"/>
      <c r="O37" s="5"/>
      <c r="P37" s="11">
        <v>275.3143</v>
      </c>
      <c r="Q37" s="5">
        <v>29.829899999999999</v>
      </c>
      <c r="R37" s="5">
        <f t="shared" si="0"/>
        <v>305.14420000000001</v>
      </c>
      <c r="S37" s="5" t="s">
        <v>224</v>
      </c>
      <c r="T37" s="6">
        <v>34</v>
      </c>
      <c r="U37" s="235" t="s">
        <v>256</v>
      </c>
      <c r="V37" s="232" t="s">
        <v>251</v>
      </c>
      <c r="W37" s="232">
        <v>6045.6</v>
      </c>
      <c r="X37" s="232">
        <v>7444.7</v>
      </c>
      <c r="Y37" s="233" t="s">
        <v>49</v>
      </c>
      <c r="Z37" s="87" t="s">
        <v>50</v>
      </c>
      <c r="AA37" s="233" t="s">
        <v>51</v>
      </c>
      <c r="AB37" s="234"/>
      <c r="AC37" s="233">
        <v>1</v>
      </c>
      <c r="AD37" s="233" t="s">
        <v>226</v>
      </c>
      <c r="AE37" s="233"/>
      <c r="AF37" s="233"/>
      <c r="AG37" s="233" t="s">
        <v>247</v>
      </c>
      <c r="AH37" s="233">
        <v>5</v>
      </c>
      <c r="AI37" s="233">
        <v>100</v>
      </c>
      <c r="AJ37" s="233" t="s">
        <v>228</v>
      </c>
      <c r="AK37" s="233">
        <v>20</v>
      </c>
      <c r="AL37" s="233"/>
      <c r="AM37" s="233" t="s">
        <v>257</v>
      </c>
      <c r="AN37" s="233"/>
      <c r="AO37" s="233"/>
      <c r="AP37" s="234" t="s">
        <v>249</v>
      </c>
      <c r="AQ37" s="234" t="s">
        <v>231</v>
      </c>
    </row>
    <row r="38" spans="1:43">
      <c r="A38" s="6">
        <v>35</v>
      </c>
      <c r="B38" s="21" t="s">
        <v>258</v>
      </c>
      <c r="C38" s="5" t="s">
        <v>259</v>
      </c>
      <c r="D38" s="5" t="s">
        <v>260</v>
      </c>
      <c r="E38" s="5" t="s">
        <v>261</v>
      </c>
      <c r="F38" s="5" t="s">
        <v>262</v>
      </c>
      <c r="G38" s="11" t="s">
        <v>263</v>
      </c>
      <c r="H38" s="5"/>
      <c r="I38" s="5"/>
      <c r="J38" s="5"/>
      <c r="K38" s="5"/>
      <c r="L38" s="5"/>
      <c r="M38" s="5"/>
      <c r="N38" s="5"/>
      <c r="O38" s="5"/>
      <c r="P38" s="11">
        <v>275.32240000000002</v>
      </c>
      <c r="Q38" s="5">
        <v>29.636299999999999</v>
      </c>
      <c r="R38" s="5">
        <f t="shared" si="0"/>
        <v>304.95870000000002</v>
      </c>
      <c r="S38" s="5" t="s">
        <v>264</v>
      </c>
      <c r="T38" s="6">
        <v>35</v>
      </c>
      <c r="U38" s="235" t="s">
        <v>265</v>
      </c>
      <c r="V38" s="232" t="s">
        <v>259</v>
      </c>
      <c r="W38" s="232">
        <v>7278.6</v>
      </c>
      <c r="X38" s="232">
        <v>7469.1</v>
      </c>
      <c r="Y38" s="233" t="s">
        <v>49</v>
      </c>
      <c r="Z38" s="87" t="s">
        <v>50</v>
      </c>
      <c r="AA38" s="233" t="s">
        <v>51</v>
      </c>
      <c r="AB38" s="234"/>
      <c r="AC38" s="233">
        <v>1</v>
      </c>
      <c r="AD38" s="233" t="s">
        <v>226</v>
      </c>
      <c r="AE38" s="233"/>
      <c r="AF38" s="233"/>
      <c r="AG38" s="233" t="s">
        <v>266</v>
      </c>
      <c r="AH38" s="233">
        <v>5</v>
      </c>
      <c r="AI38" s="233">
        <v>100</v>
      </c>
      <c r="AJ38" s="233" t="s">
        <v>228</v>
      </c>
      <c r="AK38" s="233">
        <v>20</v>
      </c>
      <c r="AL38" s="233"/>
      <c r="AM38" s="233" t="s">
        <v>267</v>
      </c>
      <c r="AN38" s="233"/>
      <c r="AO38" s="233"/>
      <c r="AP38" s="234" t="s">
        <v>249</v>
      </c>
      <c r="AQ38" s="234" t="s">
        <v>231</v>
      </c>
    </row>
    <row r="39" spans="1:43">
      <c r="A39" s="6">
        <v>36</v>
      </c>
      <c r="B39" s="21" t="s">
        <v>268</v>
      </c>
      <c r="C39" s="5" t="s">
        <v>269</v>
      </c>
      <c r="D39" s="5" t="s">
        <v>270</v>
      </c>
      <c r="E39" s="5" t="s">
        <v>271</v>
      </c>
      <c r="F39" s="5" t="s">
        <v>272</v>
      </c>
      <c r="G39" s="11" t="s">
        <v>273</v>
      </c>
      <c r="H39" s="5"/>
      <c r="I39" s="5"/>
      <c r="J39" s="5"/>
      <c r="K39" s="5"/>
      <c r="L39" s="5"/>
      <c r="M39" s="5"/>
      <c r="N39" s="5"/>
      <c r="O39" s="5"/>
      <c r="P39" s="11">
        <v>275.3168</v>
      </c>
      <c r="Q39" s="5">
        <v>29.590900000000001</v>
      </c>
      <c r="R39" s="5">
        <f t="shared" si="0"/>
        <v>304.90769999999998</v>
      </c>
      <c r="S39" s="5" t="s">
        <v>264</v>
      </c>
      <c r="T39" s="6">
        <v>36</v>
      </c>
      <c r="U39" s="235" t="s">
        <v>274</v>
      </c>
      <c r="V39" s="232" t="s">
        <v>269</v>
      </c>
      <c r="W39" s="232">
        <v>7639.2</v>
      </c>
      <c r="X39" s="232">
        <v>8086.2</v>
      </c>
      <c r="Y39" s="233" t="s">
        <v>49</v>
      </c>
      <c r="Z39" s="87" t="s">
        <v>50</v>
      </c>
      <c r="AA39" s="233" t="s">
        <v>51</v>
      </c>
      <c r="AB39" s="234"/>
      <c r="AC39" s="233">
        <v>1</v>
      </c>
      <c r="AD39" s="233" t="s">
        <v>226</v>
      </c>
      <c r="AE39" s="233"/>
      <c r="AF39" s="233"/>
      <c r="AG39" s="233" t="s">
        <v>266</v>
      </c>
      <c r="AH39" s="233">
        <v>5</v>
      </c>
      <c r="AI39" s="233">
        <v>100</v>
      </c>
      <c r="AJ39" s="233" t="s">
        <v>228</v>
      </c>
      <c r="AK39" s="233">
        <v>20</v>
      </c>
      <c r="AL39" s="233"/>
      <c r="AM39" s="233" t="s">
        <v>275</v>
      </c>
      <c r="AN39" s="233"/>
      <c r="AO39" s="233"/>
      <c r="AP39" s="234" t="s">
        <v>249</v>
      </c>
      <c r="AQ39" s="234" t="s">
        <v>231</v>
      </c>
    </row>
    <row r="40" spans="1:43">
      <c r="A40" s="6">
        <v>37</v>
      </c>
      <c r="B40" s="21" t="s">
        <v>276</v>
      </c>
      <c r="C40" s="5" t="s">
        <v>277</v>
      </c>
      <c r="D40" s="5" t="s">
        <v>278</v>
      </c>
      <c r="E40" s="5" t="s">
        <v>279</v>
      </c>
      <c r="F40" s="5" t="s">
        <v>280</v>
      </c>
      <c r="G40" s="11" t="s">
        <v>281</v>
      </c>
      <c r="H40" s="5"/>
      <c r="I40" s="5"/>
      <c r="J40" s="5"/>
      <c r="K40" s="5"/>
      <c r="L40" s="5"/>
      <c r="M40" s="5"/>
      <c r="N40" s="5"/>
      <c r="O40" s="5"/>
      <c r="P40" s="11">
        <v>275.41559999999998</v>
      </c>
      <c r="Q40" s="5">
        <v>29.839400000000001</v>
      </c>
      <c r="R40" s="5">
        <f t="shared" si="0"/>
        <v>305.255</v>
      </c>
      <c r="S40" s="5" t="s">
        <v>282</v>
      </c>
      <c r="T40" s="6">
        <v>37</v>
      </c>
      <c r="U40" s="235" t="s">
        <v>283</v>
      </c>
      <c r="V40" s="232" t="s">
        <v>277</v>
      </c>
      <c r="W40" s="232">
        <v>7283.5</v>
      </c>
      <c r="X40" s="232">
        <v>9908.9</v>
      </c>
      <c r="Y40" s="233" t="s">
        <v>49</v>
      </c>
      <c r="Z40" s="87" t="s">
        <v>50</v>
      </c>
      <c r="AA40" s="233" t="s">
        <v>51</v>
      </c>
      <c r="AB40" s="234"/>
      <c r="AC40" s="233">
        <v>1</v>
      </c>
      <c r="AD40" s="233" t="s">
        <v>226</v>
      </c>
      <c r="AE40" s="233"/>
      <c r="AF40" s="233"/>
      <c r="AG40" s="233" t="s">
        <v>284</v>
      </c>
      <c r="AH40" s="233">
        <v>5</v>
      </c>
      <c r="AI40" s="233">
        <v>100</v>
      </c>
      <c r="AJ40" s="233" t="s">
        <v>228</v>
      </c>
      <c r="AK40" s="233">
        <v>20</v>
      </c>
      <c r="AL40" s="233"/>
      <c r="AM40" s="233" t="s">
        <v>229</v>
      </c>
      <c r="AN40" s="233"/>
      <c r="AO40" s="233"/>
      <c r="AP40" s="234" t="s">
        <v>230</v>
      </c>
      <c r="AQ40" s="234" t="s">
        <v>231</v>
      </c>
    </row>
    <row r="41" spans="1:43">
      <c r="A41" s="6">
        <v>38</v>
      </c>
      <c r="B41" s="21" t="s">
        <v>285</v>
      </c>
      <c r="C41" s="5" t="s">
        <v>286</v>
      </c>
      <c r="D41" s="5" t="s">
        <v>287</v>
      </c>
      <c r="E41" s="5" t="s">
        <v>288</v>
      </c>
      <c r="F41" s="5" t="s">
        <v>289</v>
      </c>
      <c r="G41" s="11" t="s">
        <v>290</v>
      </c>
      <c r="H41" s="5"/>
      <c r="I41" s="5"/>
      <c r="J41" s="5"/>
      <c r="K41" s="5"/>
      <c r="L41" s="5"/>
      <c r="M41" s="5"/>
      <c r="N41" s="5"/>
      <c r="O41" s="5"/>
      <c r="P41" s="11">
        <v>275.4006</v>
      </c>
      <c r="Q41" s="5">
        <v>29.837</v>
      </c>
      <c r="R41" s="5">
        <f t="shared" si="0"/>
        <v>305.23759999999999</v>
      </c>
      <c r="S41" s="5" t="s">
        <v>282</v>
      </c>
      <c r="T41" s="6">
        <v>38</v>
      </c>
      <c r="U41" s="235" t="s">
        <v>291</v>
      </c>
      <c r="V41" s="232" t="s">
        <v>286</v>
      </c>
      <c r="W41" s="232">
        <v>7123.4</v>
      </c>
      <c r="X41" s="232">
        <v>10452.4</v>
      </c>
      <c r="Y41" s="233" t="s">
        <v>49</v>
      </c>
      <c r="Z41" s="87" t="s">
        <v>50</v>
      </c>
      <c r="AA41" s="233" t="s">
        <v>51</v>
      </c>
      <c r="AB41" s="234"/>
      <c r="AC41" s="233">
        <v>1</v>
      </c>
      <c r="AD41" s="233" t="s">
        <v>226</v>
      </c>
      <c r="AE41" s="233"/>
      <c r="AF41" s="233"/>
      <c r="AG41" s="233" t="s">
        <v>284</v>
      </c>
      <c r="AH41" s="233">
        <v>5</v>
      </c>
      <c r="AI41" s="233">
        <v>100</v>
      </c>
      <c r="AJ41" s="233" t="s">
        <v>228</v>
      </c>
      <c r="AK41" s="233">
        <v>20</v>
      </c>
      <c r="AL41" s="233"/>
      <c r="AM41" s="233" t="s">
        <v>239</v>
      </c>
      <c r="AN41" s="233"/>
      <c r="AO41" s="233"/>
      <c r="AP41" s="234" t="s">
        <v>230</v>
      </c>
      <c r="AQ41" s="234" t="s">
        <v>231</v>
      </c>
    </row>
    <row r="42" spans="1:43">
      <c r="A42" s="6">
        <v>39</v>
      </c>
      <c r="B42" s="21" t="s">
        <v>292</v>
      </c>
      <c r="C42" s="5" t="s">
        <v>293</v>
      </c>
      <c r="D42" s="5" t="s">
        <v>294</v>
      </c>
      <c r="E42" s="5" t="s">
        <v>295</v>
      </c>
      <c r="F42" s="5" t="s">
        <v>296</v>
      </c>
      <c r="G42" s="11" t="s">
        <v>297</v>
      </c>
      <c r="H42" s="11" t="s">
        <v>298</v>
      </c>
      <c r="I42" s="5"/>
      <c r="J42" s="5"/>
      <c r="K42" s="5"/>
      <c r="L42" s="5"/>
      <c r="M42" s="5"/>
      <c r="N42" s="5"/>
      <c r="O42" s="5"/>
      <c r="P42" s="11">
        <v>275.21820000000002</v>
      </c>
      <c r="Q42" s="5">
        <v>29.933299999999999</v>
      </c>
      <c r="R42" s="5">
        <f t="shared" si="0"/>
        <v>305.1515</v>
      </c>
      <c r="S42" s="5" t="s">
        <v>299</v>
      </c>
      <c r="T42" s="6">
        <v>39</v>
      </c>
      <c r="U42" s="235" t="s">
        <v>300</v>
      </c>
      <c r="V42" s="232" t="s">
        <v>293</v>
      </c>
      <c r="W42" s="232">
        <v>6295.4</v>
      </c>
      <c r="X42" s="232">
        <v>10162.9</v>
      </c>
      <c r="Y42" s="233" t="s">
        <v>49</v>
      </c>
      <c r="Z42" s="87" t="s">
        <v>50</v>
      </c>
      <c r="AA42" s="233" t="s">
        <v>51</v>
      </c>
      <c r="AB42" s="234"/>
      <c r="AC42" s="233">
        <v>1</v>
      </c>
      <c r="AD42" s="233" t="s">
        <v>226</v>
      </c>
      <c r="AE42" s="233"/>
      <c r="AF42" s="233"/>
      <c r="AG42" s="233" t="s">
        <v>301</v>
      </c>
      <c r="AH42" s="233">
        <v>5</v>
      </c>
      <c r="AI42" s="233">
        <v>100</v>
      </c>
      <c r="AJ42" s="233" t="s">
        <v>228</v>
      </c>
      <c r="AK42" s="233">
        <v>20</v>
      </c>
      <c r="AL42" s="233"/>
      <c r="AM42" s="233" t="s">
        <v>248</v>
      </c>
      <c r="AN42" s="233"/>
      <c r="AO42" s="233"/>
      <c r="AP42" s="234" t="s">
        <v>249</v>
      </c>
      <c r="AQ42" s="234" t="s">
        <v>231</v>
      </c>
    </row>
    <row r="43" spans="1:43">
      <c r="A43" s="6">
        <v>40</v>
      </c>
      <c r="B43" s="21" t="s">
        <v>302</v>
      </c>
      <c r="C43" s="5" t="s">
        <v>303</v>
      </c>
      <c r="D43" s="5" t="s">
        <v>304</v>
      </c>
      <c r="E43" s="5" t="s">
        <v>305</v>
      </c>
      <c r="F43" s="5" t="s">
        <v>306</v>
      </c>
      <c r="G43" s="11" t="s">
        <v>307</v>
      </c>
      <c r="H43" s="11" t="s">
        <v>308</v>
      </c>
      <c r="I43" s="5"/>
      <c r="J43" s="5"/>
      <c r="K43" s="5"/>
      <c r="L43" s="5"/>
      <c r="M43" s="5"/>
      <c r="N43" s="5"/>
      <c r="O43" s="5"/>
      <c r="P43" s="11">
        <v>275.1678</v>
      </c>
      <c r="Q43" s="5">
        <v>29.936599999999999</v>
      </c>
      <c r="R43" s="5">
        <f t="shared" si="0"/>
        <v>305.1044</v>
      </c>
      <c r="S43" s="5" t="s">
        <v>299</v>
      </c>
      <c r="T43" s="6">
        <v>40</v>
      </c>
      <c r="U43" s="235" t="s">
        <v>309</v>
      </c>
      <c r="V43" s="232" t="s">
        <v>303</v>
      </c>
      <c r="W43" s="232">
        <v>6265.2</v>
      </c>
      <c r="X43" s="232">
        <v>10665.3</v>
      </c>
      <c r="Y43" s="233" t="s">
        <v>49</v>
      </c>
      <c r="Z43" s="87" t="s">
        <v>50</v>
      </c>
      <c r="AA43" s="233" t="s">
        <v>51</v>
      </c>
      <c r="AB43" s="234"/>
      <c r="AC43" s="233">
        <v>1</v>
      </c>
      <c r="AD43" s="233" t="s">
        <v>226</v>
      </c>
      <c r="AE43" s="233"/>
      <c r="AF43" s="233"/>
      <c r="AG43" s="233" t="s">
        <v>301</v>
      </c>
      <c r="AH43" s="233">
        <v>5</v>
      </c>
      <c r="AI43" s="233">
        <v>100</v>
      </c>
      <c r="AJ43" s="233" t="s">
        <v>228</v>
      </c>
      <c r="AK43" s="233">
        <v>20</v>
      </c>
      <c r="AL43" s="233"/>
      <c r="AM43" s="233" t="s">
        <v>257</v>
      </c>
      <c r="AN43" s="233"/>
      <c r="AO43" s="233"/>
      <c r="AP43" s="234" t="s">
        <v>249</v>
      </c>
      <c r="AQ43" s="234" t="s">
        <v>231</v>
      </c>
    </row>
    <row r="44" spans="1:43">
      <c r="A44" s="6">
        <v>41</v>
      </c>
      <c r="B44" s="21" t="s">
        <v>310</v>
      </c>
      <c r="C44" s="5" t="s">
        <v>311</v>
      </c>
      <c r="D44" s="5" t="s">
        <v>312</v>
      </c>
      <c r="E44" s="5" t="s">
        <v>313</v>
      </c>
      <c r="F44" s="5" t="s">
        <v>314</v>
      </c>
      <c r="G44" s="11" t="s">
        <v>315</v>
      </c>
      <c r="H44" s="11" t="s">
        <v>316</v>
      </c>
      <c r="I44" s="5"/>
      <c r="J44" s="5"/>
      <c r="K44" s="5"/>
      <c r="L44" s="5"/>
      <c r="M44" s="5"/>
      <c r="N44" s="5"/>
      <c r="O44" s="5"/>
      <c r="P44" s="11">
        <v>275.21519999999998</v>
      </c>
      <c r="Q44" s="5">
        <v>29.6142</v>
      </c>
      <c r="R44" s="5">
        <f t="shared" si="0"/>
        <v>304.82939999999996</v>
      </c>
      <c r="S44" s="5" t="s">
        <v>317</v>
      </c>
      <c r="T44" s="6">
        <v>41</v>
      </c>
      <c r="U44" s="235" t="s">
        <v>318</v>
      </c>
      <c r="V44" s="232" t="s">
        <v>311</v>
      </c>
      <c r="W44" s="232">
        <v>6668.5</v>
      </c>
      <c r="X44" s="232">
        <v>9447.6</v>
      </c>
      <c r="Y44" s="233" t="s">
        <v>49</v>
      </c>
      <c r="Z44" s="87" t="s">
        <v>50</v>
      </c>
      <c r="AA44" s="233" t="s">
        <v>51</v>
      </c>
      <c r="AB44" s="234"/>
      <c r="AC44" s="233">
        <v>1</v>
      </c>
      <c r="AD44" s="233" t="s">
        <v>226</v>
      </c>
      <c r="AE44" s="233"/>
      <c r="AF44" s="233"/>
      <c r="AG44" s="233" t="s">
        <v>319</v>
      </c>
      <c r="AH44" s="233">
        <v>5</v>
      </c>
      <c r="AI44" s="233">
        <v>100</v>
      </c>
      <c r="AJ44" s="233" t="s">
        <v>228</v>
      </c>
      <c r="AK44" s="233">
        <v>20</v>
      </c>
      <c r="AL44" s="233"/>
      <c r="AM44" s="233" t="s">
        <v>267</v>
      </c>
      <c r="AN44" s="233"/>
      <c r="AO44" s="233"/>
      <c r="AP44" s="234" t="s">
        <v>249</v>
      </c>
      <c r="AQ44" s="234" t="s">
        <v>231</v>
      </c>
    </row>
    <row r="45" spans="1:43">
      <c r="A45" s="6">
        <v>42</v>
      </c>
      <c r="B45" s="21" t="s">
        <v>320</v>
      </c>
      <c r="C45" s="5" t="s">
        <v>321</v>
      </c>
      <c r="D45" s="5" t="s">
        <v>322</v>
      </c>
      <c r="E45" s="5" t="s">
        <v>323</v>
      </c>
      <c r="F45" s="5" t="s">
        <v>324</v>
      </c>
      <c r="G45" s="11" t="s">
        <v>325</v>
      </c>
      <c r="H45" s="11" t="s">
        <v>326</v>
      </c>
      <c r="I45" s="5"/>
      <c r="J45" s="5"/>
      <c r="K45" s="5"/>
      <c r="L45" s="5"/>
      <c r="M45" s="5"/>
      <c r="N45" s="5"/>
      <c r="O45" s="5"/>
      <c r="P45" s="11">
        <v>275.14330000000001</v>
      </c>
      <c r="Q45" s="5">
        <v>29.585999999999999</v>
      </c>
      <c r="R45" s="5">
        <f t="shared" si="0"/>
        <v>304.72930000000002</v>
      </c>
      <c r="S45" s="5" t="s">
        <v>317</v>
      </c>
      <c r="T45" s="6">
        <v>42</v>
      </c>
      <c r="U45" s="235" t="s">
        <v>327</v>
      </c>
      <c r="V45" s="232" t="s">
        <v>321</v>
      </c>
      <c r="W45" s="232">
        <v>6760.5</v>
      </c>
      <c r="X45" s="232">
        <v>9967.7999999999993</v>
      </c>
      <c r="Y45" s="233" t="s">
        <v>49</v>
      </c>
      <c r="Z45" s="87" t="s">
        <v>50</v>
      </c>
      <c r="AA45" s="233" t="s">
        <v>51</v>
      </c>
      <c r="AB45" s="234"/>
      <c r="AC45" s="233">
        <v>1</v>
      </c>
      <c r="AD45" s="233" t="s">
        <v>226</v>
      </c>
      <c r="AE45" s="233"/>
      <c r="AF45" s="233"/>
      <c r="AG45" s="233" t="s">
        <v>319</v>
      </c>
      <c r="AH45" s="233">
        <v>5</v>
      </c>
      <c r="AI45" s="233">
        <v>100</v>
      </c>
      <c r="AJ45" s="233" t="s">
        <v>228</v>
      </c>
      <c r="AK45" s="233">
        <v>20</v>
      </c>
      <c r="AL45" s="233"/>
      <c r="AM45" s="233" t="s">
        <v>275</v>
      </c>
      <c r="AN45" s="233"/>
      <c r="AO45" s="233"/>
      <c r="AP45" s="234" t="s">
        <v>249</v>
      </c>
      <c r="AQ45" s="234" t="s">
        <v>231</v>
      </c>
    </row>
    <row r="46" spans="1:43">
      <c r="A46" s="6">
        <v>43</v>
      </c>
      <c r="B46" s="21" t="s">
        <v>328</v>
      </c>
      <c r="C46" s="5" t="s">
        <v>329</v>
      </c>
      <c r="D46" s="5" t="s">
        <v>330</v>
      </c>
      <c r="E46" s="5" t="s">
        <v>331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11" t="s">
        <v>46</v>
      </c>
      <c r="Q46" s="5">
        <v>141.23349999999999</v>
      </c>
      <c r="R46" s="5">
        <f t="shared" si="0"/>
        <v>141.23349999999999</v>
      </c>
      <c r="S46" s="5" t="s">
        <v>67</v>
      </c>
      <c r="T46" s="6">
        <v>43</v>
      </c>
      <c r="U46" s="236" t="s">
        <v>332</v>
      </c>
      <c r="V46" s="232" t="s">
        <v>329</v>
      </c>
      <c r="W46" s="232">
        <v>7674.8</v>
      </c>
      <c r="X46" s="232">
        <v>2344.5</v>
      </c>
      <c r="Y46" s="233" t="s">
        <v>49</v>
      </c>
      <c r="Z46" s="87" t="s">
        <v>50</v>
      </c>
      <c r="AA46" s="233" t="s">
        <v>51</v>
      </c>
      <c r="AB46" s="234"/>
      <c r="AC46" s="233">
        <v>1</v>
      </c>
      <c r="AD46" s="233" t="s">
        <v>226</v>
      </c>
      <c r="AE46" s="234"/>
      <c r="AF46" s="234"/>
      <c r="AG46" s="234"/>
      <c r="AH46" s="233"/>
      <c r="AI46" s="233"/>
      <c r="AJ46" s="233"/>
      <c r="AK46" s="233"/>
      <c r="AL46" s="233"/>
      <c r="AM46" s="233"/>
      <c r="AN46" s="233"/>
      <c r="AO46" s="233"/>
      <c r="AP46" s="234"/>
      <c r="AQ46" s="234" t="s">
        <v>333</v>
      </c>
    </row>
    <row r="47" spans="1:43">
      <c r="A47" s="6">
        <v>44</v>
      </c>
      <c r="B47" s="21" t="s">
        <v>334</v>
      </c>
      <c r="C47" s="5" t="s">
        <v>335</v>
      </c>
      <c r="D47" s="5" t="s">
        <v>336</v>
      </c>
      <c r="E47" s="5" t="s">
        <v>337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11" t="s">
        <v>46</v>
      </c>
      <c r="Q47" s="5">
        <v>214.0052</v>
      </c>
      <c r="R47" s="5">
        <f t="shared" si="0"/>
        <v>214.0052</v>
      </c>
      <c r="S47" s="5" t="s">
        <v>338</v>
      </c>
      <c r="T47" s="6">
        <v>44</v>
      </c>
      <c r="U47" s="236" t="s">
        <v>339</v>
      </c>
      <c r="V47" s="232" t="s">
        <v>335</v>
      </c>
      <c r="W47" s="232">
        <v>12786.5</v>
      </c>
      <c r="X47" s="232">
        <v>1192.8</v>
      </c>
      <c r="Y47" s="233" t="s">
        <v>49</v>
      </c>
      <c r="Z47" s="87" t="s">
        <v>50</v>
      </c>
      <c r="AA47" s="233" t="s">
        <v>51</v>
      </c>
      <c r="AB47" s="234"/>
      <c r="AC47" s="233">
        <v>1</v>
      </c>
      <c r="AD47" s="233" t="s">
        <v>52</v>
      </c>
      <c r="AE47" s="234"/>
      <c r="AF47" s="234"/>
      <c r="AG47" s="234"/>
      <c r="AH47" s="233"/>
      <c r="AI47" s="233"/>
      <c r="AJ47" s="233"/>
      <c r="AK47" s="233"/>
      <c r="AL47" s="233"/>
      <c r="AM47" s="233"/>
      <c r="AN47" s="233"/>
      <c r="AO47" s="233"/>
      <c r="AP47" s="234"/>
      <c r="AQ47" s="234" t="s">
        <v>333</v>
      </c>
    </row>
    <row r="48" spans="1:43">
      <c r="A48" s="6">
        <v>45</v>
      </c>
      <c r="B48" s="21" t="s">
        <v>340</v>
      </c>
      <c r="C48" s="5" t="s">
        <v>341</v>
      </c>
      <c r="D48" s="5" t="s">
        <v>342</v>
      </c>
      <c r="E48" s="5" t="s">
        <v>343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11" t="s">
        <v>46</v>
      </c>
      <c r="Q48" s="5">
        <v>240.20060000000001</v>
      </c>
      <c r="R48" s="5">
        <f t="shared" si="0"/>
        <v>240.20060000000001</v>
      </c>
      <c r="S48" s="5" t="s">
        <v>344</v>
      </c>
      <c r="T48" s="6">
        <v>45</v>
      </c>
      <c r="U48" s="236" t="s">
        <v>345</v>
      </c>
      <c r="V48" s="232" t="s">
        <v>341</v>
      </c>
      <c r="W48" s="232">
        <v>11455.4</v>
      </c>
      <c r="X48" s="232">
        <v>-1601.5</v>
      </c>
      <c r="Y48" s="233" t="s">
        <v>49</v>
      </c>
      <c r="Z48" s="87" t="s">
        <v>50</v>
      </c>
      <c r="AA48" s="233" t="s">
        <v>51</v>
      </c>
      <c r="AB48" s="234"/>
      <c r="AC48" s="233">
        <v>1</v>
      </c>
      <c r="AD48" s="233" t="s">
        <v>226</v>
      </c>
      <c r="AE48" s="234"/>
      <c r="AF48" s="234"/>
      <c r="AG48" s="234"/>
      <c r="AH48" s="233"/>
      <c r="AI48" s="233"/>
      <c r="AJ48" s="233"/>
      <c r="AK48" s="233"/>
      <c r="AL48" s="233"/>
      <c r="AM48" s="233"/>
      <c r="AN48" s="233"/>
      <c r="AO48" s="233"/>
      <c r="AP48" s="234"/>
      <c r="AQ48" s="234" t="s">
        <v>333</v>
      </c>
    </row>
    <row r="49" spans="1:43">
      <c r="A49" s="6">
        <v>46</v>
      </c>
      <c r="B49" s="21" t="s">
        <v>346</v>
      </c>
      <c r="C49" s="5" t="s">
        <v>347</v>
      </c>
      <c r="D49" s="5" t="s">
        <v>348</v>
      </c>
      <c r="E49" s="5" t="s">
        <v>349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11" t="s">
        <v>46</v>
      </c>
      <c r="Q49" s="5">
        <v>133.9616</v>
      </c>
      <c r="R49" s="5">
        <f t="shared" si="0"/>
        <v>133.9616</v>
      </c>
      <c r="S49" s="5" t="s">
        <v>60</v>
      </c>
      <c r="T49" s="6">
        <v>46</v>
      </c>
      <c r="U49" s="236" t="s">
        <v>350</v>
      </c>
      <c r="V49" s="232" t="s">
        <v>347</v>
      </c>
      <c r="W49" s="232">
        <v>12702.5</v>
      </c>
      <c r="X49" s="232">
        <v>532.1</v>
      </c>
      <c r="Y49" s="233" t="s">
        <v>49</v>
      </c>
      <c r="Z49" s="87" t="s">
        <v>50</v>
      </c>
      <c r="AA49" s="233" t="s">
        <v>51</v>
      </c>
      <c r="AB49" s="234"/>
      <c r="AC49" s="233">
        <v>1</v>
      </c>
      <c r="AD49" s="233" t="s">
        <v>226</v>
      </c>
      <c r="AE49" s="234"/>
      <c r="AF49" s="234"/>
      <c r="AG49" s="234"/>
      <c r="AH49" s="233"/>
      <c r="AI49" s="233"/>
      <c r="AJ49" s="233"/>
      <c r="AK49" s="233"/>
      <c r="AL49" s="233"/>
      <c r="AM49" s="233"/>
      <c r="AN49" s="233"/>
      <c r="AO49" s="233"/>
      <c r="AP49" s="234"/>
      <c r="AQ49" s="234" t="s">
        <v>333</v>
      </c>
    </row>
    <row r="50" spans="1:43">
      <c r="A50" s="6">
        <v>47</v>
      </c>
      <c r="B50" s="21" t="s">
        <v>351</v>
      </c>
      <c r="C50" s="5" t="s">
        <v>352</v>
      </c>
      <c r="D50" s="5" t="s">
        <v>353</v>
      </c>
      <c r="E50" s="5" t="s">
        <v>354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11" t="s">
        <v>46</v>
      </c>
      <c r="Q50" s="5">
        <v>211.74299999999999</v>
      </c>
      <c r="R50" s="5">
        <f t="shared" si="0"/>
        <v>211.74299999999999</v>
      </c>
      <c r="S50" s="5" t="s">
        <v>67</v>
      </c>
      <c r="T50" s="6">
        <v>47</v>
      </c>
      <c r="U50" s="237" t="s">
        <v>355</v>
      </c>
      <c r="V50" s="232" t="s">
        <v>352</v>
      </c>
      <c r="W50" s="232">
        <v>-12915.4</v>
      </c>
      <c r="X50" s="232">
        <v>-8462.2999999999993</v>
      </c>
      <c r="Y50" s="233" t="s">
        <v>49</v>
      </c>
      <c r="Z50" s="87" t="s">
        <v>50</v>
      </c>
      <c r="AA50" s="233" t="s">
        <v>51</v>
      </c>
      <c r="AB50" s="234"/>
      <c r="AC50" s="233">
        <v>1</v>
      </c>
      <c r="AD50" s="233" t="s">
        <v>226</v>
      </c>
      <c r="AE50" s="234"/>
      <c r="AF50" s="234"/>
      <c r="AG50" s="234"/>
      <c r="AH50" s="233"/>
      <c r="AI50" s="233"/>
      <c r="AJ50" s="233"/>
      <c r="AK50" s="233"/>
      <c r="AL50" s="233"/>
      <c r="AM50" s="233"/>
      <c r="AN50" s="233"/>
      <c r="AO50" s="233"/>
      <c r="AP50" s="234"/>
      <c r="AQ50" s="234" t="s">
        <v>333</v>
      </c>
    </row>
    <row r="51" spans="1:43">
      <c r="A51" s="6">
        <v>48</v>
      </c>
      <c r="B51" s="21" t="s">
        <v>356</v>
      </c>
      <c r="C51" s="5" t="s">
        <v>357</v>
      </c>
      <c r="D51" s="5" t="s">
        <v>358</v>
      </c>
      <c r="E51" s="5" t="s">
        <v>359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11" t="s">
        <v>46</v>
      </c>
      <c r="Q51" s="5">
        <v>140.0729</v>
      </c>
      <c r="R51" s="5">
        <f t="shared" si="0"/>
        <v>140.0729</v>
      </c>
      <c r="S51" s="5" t="s">
        <v>60</v>
      </c>
      <c r="T51" s="6">
        <v>48</v>
      </c>
      <c r="U51" s="237" t="s">
        <v>360</v>
      </c>
      <c r="V51" s="232" t="s">
        <v>357</v>
      </c>
      <c r="W51" s="232">
        <v>-12547</v>
      </c>
      <c r="X51" s="232">
        <v>-8975.4</v>
      </c>
      <c r="Y51" s="233" t="s">
        <v>49</v>
      </c>
      <c r="Z51" s="87" t="s">
        <v>50</v>
      </c>
      <c r="AA51" s="233" t="s">
        <v>51</v>
      </c>
      <c r="AB51" s="234"/>
      <c r="AC51" s="233">
        <v>1</v>
      </c>
      <c r="AD51" s="233" t="s">
        <v>226</v>
      </c>
      <c r="AE51" s="234"/>
      <c r="AF51" s="234"/>
      <c r="AG51" s="234"/>
      <c r="AH51" s="233"/>
      <c r="AI51" s="233"/>
      <c r="AJ51" s="233"/>
      <c r="AK51" s="233"/>
      <c r="AL51" s="233"/>
      <c r="AM51" s="233"/>
      <c r="AN51" s="233"/>
      <c r="AO51" s="233"/>
      <c r="AP51" s="234"/>
      <c r="AQ51" s="234" t="s">
        <v>333</v>
      </c>
    </row>
    <row r="52" spans="1:43">
      <c r="A52" s="6">
        <v>49</v>
      </c>
      <c r="B52" s="21" t="s">
        <v>361</v>
      </c>
      <c r="C52" s="5" t="s">
        <v>362</v>
      </c>
      <c r="D52" s="5" t="s">
        <v>363</v>
      </c>
      <c r="E52" s="5" t="s">
        <v>364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11" t="s">
        <v>46</v>
      </c>
      <c r="Q52" s="5">
        <v>216.99600000000001</v>
      </c>
      <c r="R52" s="5">
        <f t="shared" si="0"/>
        <v>216.99600000000001</v>
      </c>
      <c r="S52" s="5" t="s">
        <v>67</v>
      </c>
      <c r="T52" s="6">
        <v>49</v>
      </c>
      <c r="U52" s="237" t="s">
        <v>365</v>
      </c>
      <c r="V52" s="232" t="s">
        <v>362</v>
      </c>
      <c r="W52" s="232">
        <v>-11181.6</v>
      </c>
      <c r="X52" s="232">
        <v>-10770.7</v>
      </c>
      <c r="Y52" s="233" t="s">
        <v>49</v>
      </c>
      <c r="Z52" s="87" t="s">
        <v>50</v>
      </c>
      <c r="AA52" s="233" t="s">
        <v>51</v>
      </c>
      <c r="AB52" s="234"/>
      <c r="AC52" s="233">
        <v>1</v>
      </c>
      <c r="AD52" s="233" t="s">
        <v>226</v>
      </c>
      <c r="AE52" s="234"/>
      <c r="AF52" s="234"/>
      <c r="AG52" s="234"/>
      <c r="AH52" s="233"/>
      <c r="AI52" s="233"/>
      <c r="AJ52" s="233"/>
      <c r="AK52" s="233"/>
      <c r="AL52" s="233"/>
      <c r="AM52" s="233"/>
      <c r="AN52" s="233"/>
      <c r="AO52" s="233"/>
      <c r="AP52" s="234"/>
      <c r="AQ52" s="234" t="s">
        <v>333</v>
      </c>
    </row>
    <row r="53" spans="1:43">
      <c r="A53" s="6">
        <v>50</v>
      </c>
      <c r="B53" s="21" t="s">
        <v>366</v>
      </c>
      <c r="C53" s="5" t="s">
        <v>367</v>
      </c>
      <c r="D53" s="5" t="s">
        <v>368</v>
      </c>
      <c r="E53" s="5" t="s">
        <v>369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11" t="s">
        <v>46</v>
      </c>
      <c r="Q53" s="5">
        <v>218.39760000000001</v>
      </c>
      <c r="R53" s="5">
        <f t="shared" si="0"/>
        <v>218.39760000000001</v>
      </c>
      <c r="S53" s="5" t="s">
        <v>67</v>
      </c>
      <c r="T53" s="6">
        <v>50</v>
      </c>
      <c r="U53" s="237" t="s">
        <v>370</v>
      </c>
      <c r="V53" s="232" t="s">
        <v>367</v>
      </c>
      <c r="W53" s="232">
        <v>-11787</v>
      </c>
      <c r="X53" s="232">
        <v>-9771.9</v>
      </c>
      <c r="Y53" s="233" t="s">
        <v>49</v>
      </c>
      <c r="Z53" s="87" t="s">
        <v>50</v>
      </c>
      <c r="AA53" s="233" t="s">
        <v>51</v>
      </c>
      <c r="AB53" s="234"/>
      <c r="AC53" s="233">
        <v>1</v>
      </c>
      <c r="AD53" s="233" t="s">
        <v>226</v>
      </c>
      <c r="AE53" s="234"/>
      <c r="AF53" s="234"/>
      <c r="AG53" s="234"/>
      <c r="AH53" s="233"/>
      <c r="AI53" s="233"/>
      <c r="AJ53" s="233"/>
      <c r="AK53" s="233"/>
      <c r="AL53" s="233"/>
      <c r="AM53" s="233"/>
      <c r="AN53" s="233"/>
      <c r="AO53" s="233"/>
      <c r="AP53" s="234"/>
      <c r="AQ53" s="234" t="s">
        <v>333</v>
      </c>
    </row>
    <row r="54" spans="1:43">
      <c r="A54" s="6">
        <v>51</v>
      </c>
      <c r="B54" s="21" t="s">
        <v>371</v>
      </c>
      <c r="C54" s="5" t="s">
        <v>372</v>
      </c>
      <c r="D54" s="5" t="s">
        <v>373</v>
      </c>
      <c r="E54" s="5" t="s">
        <v>374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11" t="s">
        <v>46</v>
      </c>
      <c r="Q54" s="5">
        <v>217.27260000000001</v>
      </c>
      <c r="R54" s="5">
        <f t="shared" si="0"/>
        <v>217.27260000000001</v>
      </c>
      <c r="S54" s="5" t="s">
        <v>67</v>
      </c>
      <c r="T54" s="6">
        <v>51</v>
      </c>
      <c r="U54" s="237" t="s">
        <v>375</v>
      </c>
      <c r="V54" s="232" t="s">
        <v>372</v>
      </c>
      <c r="W54" s="232">
        <v>-12527.8</v>
      </c>
      <c r="X54" s="232">
        <v>-10277.200000000001</v>
      </c>
      <c r="Y54" s="233" t="s">
        <v>49</v>
      </c>
      <c r="Z54" s="87" t="s">
        <v>50</v>
      </c>
      <c r="AA54" s="233" t="s">
        <v>51</v>
      </c>
      <c r="AB54" s="234"/>
      <c r="AC54" s="233">
        <v>1</v>
      </c>
      <c r="AD54" s="233" t="s">
        <v>226</v>
      </c>
      <c r="AE54" s="234"/>
      <c r="AF54" s="234"/>
      <c r="AG54" s="234"/>
      <c r="AH54" s="233"/>
      <c r="AI54" s="233"/>
      <c r="AJ54" s="233"/>
      <c r="AK54" s="233"/>
      <c r="AL54" s="233"/>
      <c r="AM54" s="233"/>
      <c r="AN54" s="233"/>
      <c r="AO54" s="233"/>
      <c r="AP54" s="234"/>
      <c r="AQ54" s="234" t="s">
        <v>333</v>
      </c>
    </row>
    <row r="55" spans="1:43">
      <c r="A55" s="6">
        <v>52</v>
      </c>
      <c r="B55" s="21" t="s">
        <v>376</v>
      </c>
      <c r="C55" s="5" t="s">
        <v>377</v>
      </c>
      <c r="D55" s="5" t="s">
        <v>378</v>
      </c>
      <c r="E55" s="5" t="s">
        <v>379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11" t="s">
        <v>46</v>
      </c>
      <c r="Q55" s="5">
        <v>161.41480000000001</v>
      </c>
      <c r="R55" s="5">
        <f t="shared" si="0"/>
        <v>161.41480000000001</v>
      </c>
      <c r="S55" s="5" t="s">
        <v>74</v>
      </c>
      <c r="T55" s="6">
        <v>52</v>
      </c>
      <c r="U55" s="237" t="s">
        <v>380</v>
      </c>
      <c r="V55" s="232" t="s">
        <v>377</v>
      </c>
      <c r="W55" s="232">
        <v>-11912.6</v>
      </c>
      <c r="X55" s="232">
        <v>-8411.2000000000007</v>
      </c>
      <c r="Y55" s="233" t="s">
        <v>49</v>
      </c>
      <c r="Z55" s="87" t="s">
        <v>50</v>
      </c>
      <c r="AA55" s="233" t="s">
        <v>51</v>
      </c>
      <c r="AB55" s="234"/>
      <c r="AC55" s="233">
        <v>1</v>
      </c>
      <c r="AD55" s="233" t="s">
        <v>226</v>
      </c>
      <c r="AE55" s="234"/>
      <c r="AF55" s="234"/>
      <c r="AG55" s="234"/>
      <c r="AH55" s="233"/>
      <c r="AI55" s="233"/>
      <c r="AJ55" s="233"/>
      <c r="AK55" s="233"/>
      <c r="AL55" s="233"/>
      <c r="AM55" s="233"/>
      <c r="AN55" s="233"/>
      <c r="AO55" s="233"/>
      <c r="AP55" s="234"/>
      <c r="AQ55" s="234" t="s">
        <v>333</v>
      </c>
    </row>
    <row r="56" spans="1:43">
      <c r="A56" s="6">
        <v>53</v>
      </c>
      <c r="B56" s="21" t="s">
        <v>381</v>
      </c>
      <c r="C56" s="5" t="s">
        <v>382</v>
      </c>
      <c r="D56" s="5" t="s">
        <v>383</v>
      </c>
      <c r="E56" s="5" t="s">
        <v>384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11" t="s">
        <v>46</v>
      </c>
      <c r="Q56" s="5">
        <v>216.47309999999999</v>
      </c>
      <c r="R56" s="5">
        <f t="shared" si="0"/>
        <v>216.47309999999999</v>
      </c>
      <c r="S56" s="5" t="s">
        <v>67</v>
      </c>
      <c r="T56" s="6">
        <v>53</v>
      </c>
      <c r="U56" s="237" t="s">
        <v>385</v>
      </c>
      <c r="V56" s="232" t="s">
        <v>382</v>
      </c>
      <c r="W56" s="232">
        <v>-11553.9</v>
      </c>
      <c r="X56" s="232">
        <v>-9009.9</v>
      </c>
      <c r="Y56" s="233" t="s">
        <v>49</v>
      </c>
      <c r="Z56" s="87" t="s">
        <v>50</v>
      </c>
      <c r="AA56" s="233" t="s">
        <v>51</v>
      </c>
      <c r="AB56" s="234"/>
      <c r="AC56" s="233">
        <v>1</v>
      </c>
      <c r="AD56" s="233" t="s">
        <v>226</v>
      </c>
      <c r="AE56" s="234"/>
      <c r="AF56" s="234"/>
      <c r="AG56" s="234"/>
      <c r="AH56" s="233"/>
      <c r="AI56" s="233"/>
      <c r="AJ56" s="233"/>
      <c r="AK56" s="233"/>
      <c r="AL56" s="233"/>
      <c r="AM56" s="233"/>
      <c r="AN56" s="233"/>
      <c r="AO56" s="233"/>
      <c r="AP56" s="234"/>
      <c r="AQ56" s="234" t="s">
        <v>333</v>
      </c>
    </row>
    <row r="57" spans="1:43">
      <c r="A57" s="6">
        <v>54</v>
      </c>
      <c r="B57" s="21" t="s">
        <v>386</v>
      </c>
      <c r="C57" s="5" t="s">
        <v>387</v>
      </c>
      <c r="D57" s="5" t="s">
        <v>388</v>
      </c>
      <c r="E57" s="5" t="s">
        <v>389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11" t="s">
        <v>46</v>
      </c>
      <c r="Q57" s="5">
        <v>216.85390000000001</v>
      </c>
      <c r="R57" s="5">
        <f t="shared" si="0"/>
        <v>216.85390000000001</v>
      </c>
      <c r="S57" s="5" t="s">
        <v>74</v>
      </c>
      <c r="T57" s="6">
        <v>54</v>
      </c>
      <c r="U57" s="237" t="s">
        <v>390</v>
      </c>
      <c r="V57" s="232" t="s">
        <v>387</v>
      </c>
      <c r="W57" s="232">
        <v>-11467.2</v>
      </c>
      <c r="X57" s="232">
        <v>-10357.200000000001</v>
      </c>
      <c r="Y57" s="233" t="s">
        <v>49</v>
      </c>
      <c r="Z57" s="87" t="s">
        <v>50</v>
      </c>
      <c r="AA57" s="233" t="s">
        <v>51</v>
      </c>
      <c r="AB57" s="234"/>
      <c r="AC57" s="233">
        <v>1</v>
      </c>
      <c r="AD57" s="233" t="s">
        <v>226</v>
      </c>
      <c r="AE57" s="234"/>
      <c r="AF57" s="234"/>
      <c r="AG57" s="234"/>
      <c r="AH57" s="233"/>
      <c r="AI57" s="233"/>
      <c r="AJ57" s="233"/>
      <c r="AK57" s="233"/>
      <c r="AL57" s="233"/>
      <c r="AM57" s="233"/>
      <c r="AN57" s="233"/>
      <c r="AO57" s="233"/>
      <c r="AP57" s="234"/>
      <c r="AQ57" s="234" t="s">
        <v>333</v>
      </c>
    </row>
    <row r="58" spans="1:43">
      <c r="A58" s="6">
        <v>55</v>
      </c>
      <c r="B58" s="21" t="s">
        <v>391</v>
      </c>
      <c r="C58" s="5" t="s">
        <v>392</v>
      </c>
      <c r="D58" s="5" t="s">
        <v>393</v>
      </c>
      <c r="E58" s="5" t="s">
        <v>394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11" t="s">
        <v>46</v>
      </c>
      <c r="Q58" s="5">
        <v>235.37639999999999</v>
      </c>
      <c r="R58" s="5">
        <f t="shared" si="0"/>
        <v>235.37639999999999</v>
      </c>
      <c r="S58" s="5" t="s">
        <v>395</v>
      </c>
      <c r="T58" s="6">
        <v>55</v>
      </c>
      <c r="U58" s="237" t="s">
        <v>396</v>
      </c>
      <c r="V58" s="232" t="s">
        <v>392</v>
      </c>
      <c r="W58" s="232">
        <v>-12413</v>
      </c>
      <c r="X58" s="232">
        <v>-8492.5</v>
      </c>
      <c r="Y58" s="233" t="s">
        <v>49</v>
      </c>
      <c r="Z58" s="87" t="s">
        <v>50</v>
      </c>
      <c r="AA58" s="233" t="s">
        <v>51</v>
      </c>
      <c r="AB58" s="234"/>
      <c r="AC58" s="233">
        <v>1</v>
      </c>
      <c r="AD58" s="233" t="s">
        <v>226</v>
      </c>
      <c r="AE58" s="234"/>
      <c r="AF58" s="234"/>
      <c r="AG58" s="234"/>
      <c r="AH58" s="233"/>
      <c r="AI58" s="233"/>
      <c r="AJ58" s="233"/>
      <c r="AK58" s="233"/>
      <c r="AL58" s="233"/>
      <c r="AM58" s="233"/>
      <c r="AN58" s="233"/>
      <c r="AO58" s="233"/>
      <c r="AP58" s="234"/>
      <c r="AQ58" s="234" t="s">
        <v>333</v>
      </c>
    </row>
    <row r="59" spans="1:43">
      <c r="A59" s="6">
        <v>56</v>
      </c>
      <c r="B59" s="21" t="s">
        <v>397</v>
      </c>
      <c r="C59" s="5" t="s">
        <v>398</v>
      </c>
      <c r="D59" s="5" t="s">
        <v>399</v>
      </c>
      <c r="E59" s="5" t="s">
        <v>400</v>
      </c>
      <c r="F59" s="5" t="s">
        <v>401</v>
      </c>
      <c r="G59" s="11" t="s">
        <v>402</v>
      </c>
      <c r="H59" s="5"/>
      <c r="I59" s="5"/>
      <c r="J59" s="5"/>
      <c r="K59" s="5"/>
      <c r="L59" s="5"/>
      <c r="M59" s="5"/>
      <c r="N59" s="5"/>
      <c r="O59" s="5"/>
      <c r="P59" s="11">
        <v>250.0164</v>
      </c>
      <c r="Q59" s="5">
        <v>105.78830000000001</v>
      </c>
      <c r="R59" s="5">
        <f t="shared" si="0"/>
        <v>355.80470000000003</v>
      </c>
      <c r="S59" s="5" t="s">
        <v>299</v>
      </c>
      <c r="T59" s="6">
        <v>56</v>
      </c>
      <c r="U59" s="31" t="s">
        <v>403</v>
      </c>
      <c r="V59" s="232" t="s">
        <v>398</v>
      </c>
      <c r="W59" s="232">
        <v>-9012.6</v>
      </c>
      <c r="X59" s="232">
        <v>-9459.7999999999993</v>
      </c>
      <c r="Y59" s="233" t="s">
        <v>49</v>
      </c>
      <c r="Z59" s="87" t="s">
        <v>50</v>
      </c>
      <c r="AA59" s="233" t="s">
        <v>51</v>
      </c>
      <c r="AB59" s="234"/>
      <c r="AC59" s="233">
        <v>1</v>
      </c>
      <c r="AD59" s="233" t="s">
        <v>226</v>
      </c>
      <c r="AE59" s="234"/>
      <c r="AF59" s="233">
        <v>1100</v>
      </c>
      <c r="AG59" s="233" t="s">
        <v>404</v>
      </c>
      <c r="AH59" s="233">
        <v>2.5</v>
      </c>
      <c r="AI59" s="233">
        <v>85</v>
      </c>
      <c r="AJ59" s="233" t="s">
        <v>405</v>
      </c>
      <c r="AK59" s="233">
        <v>10</v>
      </c>
      <c r="AL59" s="233"/>
      <c r="AM59" s="233" t="s">
        <v>406</v>
      </c>
      <c r="AN59" s="233"/>
      <c r="AO59" s="233"/>
      <c r="AP59" s="234" t="s">
        <v>407</v>
      </c>
      <c r="AQ59" s="234" t="s">
        <v>408</v>
      </c>
    </row>
    <row r="60" spans="1:43">
      <c r="A60" s="6">
        <v>57</v>
      </c>
      <c r="B60" s="21" t="s">
        <v>409</v>
      </c>
      <c r="C60" s="5" t="s">
        <v>410</v>
      </c>
      <c r="D60" s="5" t="s">
        <v>411</v>
      </c>
      <c r="E60" s="5" t="s">
        <v>412</v>
      </c>
      <c r="F60" s="5" t="s">
        <v>413</v>
      </c>
      <c r="G60" s="11" t="s">
        <v>414</v>
      </c>
      <c r="H60" s="5"/>
      <c r="I60" s="5"/>
      <c r="J60" s="5"/>
      <c r="K60" s="5"/>
      <c r="L60" s="5"/>
      <c r="M60" s="5"/>
      <c r="N60" s="5"/>
      <c r="O60" s="5"/>
      <c r="P60" s="11">
        <v>250.02029999999999</v>
      </c>
      <c r="Q60" s="5">
        <v>105.7915</v>
      </c>
      <c r="R60" s="5">
        <f t="shared" si="0"/>
        <v>355.81180000000001</v>
      </c>
      <c r="S60" s="5" t="s">
        <v>299</v>
      </c>
      <c r="T60" s="6">
        <v>57</v>
      </c>
      <c r="U60" s="31" t="s">
        <v>415</v>
      </c>
      <c r="V60" s="232" t="s">
        <v>410</v>
      </c>
      <c r="W60" s="232">
        <v>-9012.6</v>
      </c>
      <c r="X60" s="232">
        <v>-8748.6</v>
      </c>
      <c r="Y60" s="233" t="s">
        <v>49</v>
      </c>
      <c r="Z60" s="87" t="s">
        <v>50</v>
      </c>
      <c r="AA60" s="233" t="s">
        <v>51</v>
      </c>
      <c r="AB60" s="234"/>
      <c r="AC60" s="233">
        <v>1</v>
      </c>
      <c r="AD60" s="233" t="s">
        <v>226</v>
      </c>
      <c r="AE60" s="234"/>
      <c r="AF60" s="233">
        <v>1100</v>
      </c>
      <c r="AG60" s="233" t="s">
        <v>404</v>
      </c>
      <c r="AH60" s="233">
        <v>2.5</v>
      </c>
      <c r="AI60" s="233">
        <v>85</v>
      </c>
      <c r="AJ60" s="233" t="s">
        <v>405</v>
      </c>
      <c r="AK60" s="233">
        <v>10</v>
      </c>
      <c r="AL60" s="233"/>
      <c r="AM60" s="233" t="s">
        <v>416</v>
      </c>
      <c r="AN60" s="233"/>
      <c r="AO60" s="233"/>
      <c r="AP60" s="234" t="s">
        <v>407</v>
      </c>
      <c r="AQ60" s="234" t="s">
        <v>408</v>
      </c>
    </row>
    <row r="61" spans="1:43">
      <c r="A61" s="6">
        <v>58</v>
      </c>
      <c r="B61" s="21" t="s">
        <v>397</v>
      </c>
      <c r="C61" s="5" t="s">
        <v>417</v>
      </c>
      <c r="D61" s="5" t="s">
        <v>399</v>
      </c>
      <c r="E61" s="5" t="s">
        <v>400</v>
      </c>
      <c r="F61" s="5" t="s">
        <v>401</v>
      </c>
      <c r="G61" s="11" t="s">
        <v>402</v>
      </c>
      <c r="H61" s="5"/>
      <c r="I61" s="5"/>
      <c r="J61" s="5"/>
      <c r="K61" s="5"/>
      <c r="L61" s="5"/>
      <c r="M61" s="5"/>
      <c r="N61" s="5"/>
      <c r="O61" s="5"/>
      <c r="P61" s="11">
        <v>250.0164</v>
      </c>
      <c r="Q61" s="5">
        <v>105.78830000000001</v>
      </c>
      <c r="R61" s="5">
        <f t="shared" si="0"/>
        <v>355.80470000000003</v>
      </c>
      <c r="S61" s="5" t="s">
        <v>299</v>
      </c>
      <c r="T61" s="6">
        <v>58</v>
      </c>
      <c r="U61" s="31" t="s">
        <v>418</v>
      </c>
      <c r="V61" s="232" t="s">
        <v>417</v>
      </c>
      <c r="W61" s="232">
        <v>-10484</v>
      </c>
      <c r="X61" s="232">
        <v>-10380.6</v>
      </c>
      <c r="Y61" s="233" t="s">
        <v>49</v>
      </c>
      <c r="Z61" s="87" t="s">
        <v>50</v>
      </c>
      <c r="AA61" s="233" t="s">
        <v>51</v>
      </c>
      <c r="AB61" s="234"/>
      <c r="AC61" s="233">
        <v>0</v>
      </c>
      <c r="AD61" s="234"/>
      <c r="AE61" s="234"/>
      <c r="AF61" s="234"/>
      <c r="AG61" s="233" t="s">
        <v>419</v>
      </c>
      <c r="AH61" s="233">
        <v>2.5</v>
      </c>
      <c r="AI61" s="233">
        <v>85</v>
      </c>
      <c r="AJ61" s="233" t="s">
        <v>405</v>
      </c>
      <c r="AK61" s="233">
        <v>10</v>
      </c>
      <c r="AL61" s="233"/>
      <c r="AM61" s="233" t="s">
        <v>406</v>
      </c>
      <c r="AN61" s="233"/>
      <c r="AO61" s="233"/>
      <c r="AP61" s="234" t="s">
        <v>407</v>
      </c>
      <c r="AQ61" s="234" t="s">
        <v>408</v>
      </c>
    </row>
    <row r="62" spans="1:43">
      <c r="A62" s="6">
        <v>59</v>
      </c>
      <c r="B62" s="21" t="s">
        <v>409</v>
      </c>
      <c r="C62" s="5" t="s">
        <v>420</v>
      </c>
      <c r="D62" s="5" t="s">
        <v>411</v>
      </c>
      <c r="E62" s="5" t="s">
        <v>412</v>
      </c>
      <c r="F62" s="5" t="s">
        <v>413</v>
      </c>
      <c r="G62" s="11" t="s">
        <v>414</v>
      </c>
      <c r="H62" s="5"/>
      <c r="I62" s="5"/>
      <c r="J62" s="5"/>
      <c r="K62" s="5"/>
      <c r="L62" s="5"/>
      <c r="M62" s="5"/>
      <c r="N62" s="5"/>
      <c r="O62" s="5"/>
      <c r="P62" s="11">
        <v>250.02029999999999</v>
      </c>
      <c r="Q62" s="5">
        <v>105.7915</v>
      </c>
      <c r="R62" s="5">
        <f t="shared" si="0"/>
        <v>355.81180000000001</v>
      </c>
      <c r="S62" s="5" t="s">
        <v>299</v>
      </c>
      <c r="T62" s="6">
        <v>59</v>
      </c>
      <c r="U62" s="31" t="s">
        <v>421</v>
      </c>
      <c r="V62" s="232" t="s">
        <v>420</v>
      </c>
      <c r="W62" s="232">
        <v>-9983.4</v>
      </c>
      <c r="X62" s="232">
        <v>-10380.6</v>
      </c>
      <c r="Y62" s="233" t="s">
        <v>49</v>
      </c>
      <c r="Z62" s="87" t="s">
        <v>50</v>
      </c>
      <c r="AA62" s="233" t="s">
        <v>51</v>
      </c>
      <c r="AB62" s="234"/>
      <c r="AC62" s="233">
        <v>0</v>
      </c>
      <c r="AD62" s="234"/>
      <c r="AE62" s="234"/>
      <c r="AF62" s="234"/>
      <c r="AG62" s="233" t="s">
        <v>419</v>
      </c>
      <c r="AH62" s="233">
        <v>2.5</v>
      </c>
      <c r="AI62" s="233">
        <v>85</v>
      </c>
      <c r="AJ62" s="233" t="s">
        <v>405</v>
      </c>
      <c r="AK62" s="233">
        <v>10</v>
      </c>
      <c r="AL62" s="233"/>
      <c r="AM62" s="233" t="s">
        <v>416</v>
      </c>
      <c r="AN62" s="233"/>
      <c r="AO62" s="233"/>
      <c r="AP62" s="234" t="s">
        <v>407</v>
      </c>
      <c r="AQ62" s="234" t="s">
        <v>408</v>
      </c>
    </row>
    <row r="63" spans="1:43">
      <c r="A63" s="6">
        <v>534</v>
      </c>
      <c r="B63" s="21" t="s">
        <v>422</v>
      </c>
      <c r="C63" s="5" t="s">
        <v>423</v>
      </c>
      <c r="D63" s="5" t="s">
        <v>424</v>
      </c>
      <c r="E63" s="5" t="s">
        <v>425</v>
      </c>
      <c r="F63" s="5" t="s">
        <v>426</v>
      </c>
      <c r="G63" s="5" t="s">
        <v>427</v>
      </c>
      <c r="H63" s="11" t="s">
        <v>428</v>
      </c>
      <c r="I63" s="5"/>
      <c r="J63" s="5"/>
      <c r="K63" s="5"/>
      <c r="L63" s="5"/>
      <c r="M63" s="5"/>
      <c r="N63" s="5"/>
      <c r="O63" s="5"/>
      <c r="P63" s="11">
        <v>258.0249</v>
      </c>
      <c r="Q63" s="5">
        <v>54.889000000000003</v>
      </c>
      <c r="R63" s="5">
        <f t="shared" ref="R63:R126" si="1">IF(AND(P63="",Q63=""),"",SUM(P63:Q63))</f>
        <v>312.91390000000001</v>
      </c>
      <c r="S63" s="5" t="s">
        <v>429</v>
      </c>
      <c r="T63" s="6">
        <v>534</v>
      </c>
      <c r="U63" s="258" t="s">
        <v>430</v>
      </c>
      <c r="V63" s="232" t="s">
        <v>423</v>
      </c>
      <c r="W63" s="232">
        <v>2297.1</v>
      </c>
      <c r="X63" s="232">
        <v>-10380.6</v>
      </c>
      <c r="Y63" s="233" t="s">
        <v>49</v>
      </c>
      <c r="Z63" s="87" t="s">
        <v>50</v>
      </c>
      <c r="AA63" s="233" t="s">
        <v>51</v>
      </c>
      <c r="AB63" s="234"/>
      <c r="AC63" s="233">
        <v>1</v>
      </c>
      <c r="AD63" s="233" t="s">
        <v>226</v>
      </c>
      <c r="AE63" s="233"/>
      <c r="AF63" s="233"/>
      <c r="AG63" s="233" t="s">
        <v>431</v>
      </c>
      <c r="AH63" s="233">
        <v>5</v>
      </c>
      <c r="AI63" s="233">
        <v>85</v>
      </c>
      <c r="AJ63" s="233" t="s">
        <v>432</v>
      </c>
      <c r="AK63" s="233">
        <v>100</v>
      </c>
      <c r="AL63" s="233"/>
      <c r="AM63" s="233" t="s">
        <v>433</v>
      </c>
      <c r="AN63" s="233"/>
      <c r="AO63" s="233"/>
      <c r="AP63" s="234" t="s">
        <v>434</v>
      </c>
      <c r="AQ63" s="234" t="s">
        <v>408</v>
      </c>
    </row>
    <row r="64" spans="1:43">
      <c r="A64" s="6">
        <v>61</v>
      </c>
      <c r="B64" s="21" t="s">
        <v>435</v>
      </c>
      <c r="C64" s="5" t="s">
        <v>436</v>
      </c>
      <c r="D64" s="5" t="s">
        <v>437</v>
      </c>
      <c r="E64" s="5" t="s">
        <v>438</v>
      </c>
      <c r="F64" s="5" t="s">
        <v>439</v>
      </c>
      <c r="G64" s="11" t="s">
        <v>440</v>
      </c>
      <c r="H64" s="5"/>
      <c r="I64" s="5"/>
      <c r="J64" s="5"/>
      <c r="K64" s="5"/>
      <c r="L64" s="5"/>
      <c r="M64" s="5"/>
      <c r="N64" s="5"/>
      <c r="O64" s="5"/>
      <c r="P64" s="11">
        <v>250.06469999999999</v>
      </c>
      <c r="Q64" s="5">
        <v>105.78149999999999</v>
      </c>
      <c r="R64" s="5">
        <f t="shared" si="1"/>
        <v>355.84619999999995</v>
      </c>
      <c r="S64" s="5" t="s">
        <v>441</v>
      </c>
      <c r="T64" s="6">
        <v>61</v>
      </c>
      <c r="U64" s="31" t="s">
        <v>442</v>
      </c>
      <c r="V64" s="232" t="s">
        <v>436</v>
      </c>
      <c r="W64" s="232">
        <v>-7640.9</v>
      </c>
      <c r="X64" s="232">
        <v>-8418.6</v>
      </c>
      <c r="Y64" s="233" t="s">
        <v>49</v>
      </c>
      <c r="Z64" s="87" t="s">
        <v>50</v>
      </c>
      <c r="AA64" s="233" t="s">
        <v>51</v>
      </c>
      <c r="AB64" s="234"/>
      <c r="AC64" s="233">
        <v>1</v>
      </c>
      <c r="AD64" s="233" t="s">
        <v>226</v>
      </c>
      <c r="AE64" s="234"/>
      <c r="AF64" s="233">
        <v>1100</v>
      </c>
      <c r="AG64" s="233" t="s">
        <v>443</v>
      </c>
      <c r="AH64" s="233">
        <v>2.5</v>
      </c>
      <c r="AI64" s="233">
        <v>85</v>
      </c>
      <c r="AJ64" s="233" t="s">
        <v>405</v>
      </c>
      <c r="AK64" s="233">
        <v>10</v>
      </c>
      <c r="AL64" s="233"/>
      <c r="AM64" s="233" t="s">
        <v>444</v>
      </c>
      <c r="AN64" s="233"/>
      <c r="AO64" s="233"/>
      <c r="AP64" s="234" t="s">
        <v>407</v>
      </c>
      <c r="AQ64" s="234" t="s">
        <v>408</v>
      </c>
    </row>
    <row r="65" spans="1:43">
      <c r="A65" s="6">
        <v>545</v>
      </c>
      <c r="B65" s="21" t="s">
        <v>445</v>
      </c>
      <c r="C65" s="5" t="s">
        <v>446</v>
      </c>
      <c r="D65" s="5" t="s">
        <v>447</v>
      </c>
      <c r="E65" s="5" t="s">
        <v>448</v>
      </c>
      <c r="F65" s="5" t="s">
        <v>449</v>
      </c>
      <c r="G65" s="5" t="s">
        <v>450</v>
      </c>
      <c r="H65" s="11" t="s">
        <v>451</v>
      </c>
      <c r="I65" s="5"/>
      <c r="J65" s="5"/>
      <c r="K65" s="5"/>
      <c r="L65" s="5"/>
      <c r="M65" s="5"/>
      <c r="N65" s="5"/>
      <c r="O65" s="5"/>
      <c r="P65" s="11">
        <v>258.03879999999998</v>
      </c>
      <c r="Q65" s="5">
        <v>54.586599999999997</v>
      </c>
      <c r="R65" s="5">
        <f t="shared" si="1"/>
        <v>312.62539999999996</v>
      </c>
      <c r="S65" s="5" t="s">
        <v>452</v>
      </c>
      <c r="T65" s="6">
        <v>545</v>
      </c>
      <c r="U65" s="258" t="s">
        <v>453</v>
      </c>
      <c r="V65" s="232" t="s">
        <v>446</v>
      </c>
      <c r="W65" s="232">
        <v>546.1</v>
      </c>
      <c r="X65" s="232">
        <v>-6996.2</v>
      </c>
      <c r="Y65" s="233" t="s">
        <v>49</v>
      </c>
      <c r="Z65" s="87" t="s">
        <v>50</v>
      </c>
      <c r="AA65" s="233" t="s">
        <v>51</v>
      </c>
      <c r="AB65" s="234"/>
      <c r="AC65" s="233">
        <v>1</v>
      </c>
      <c r="AD65" s="233" t="s">
        <v>226</v>
      </c>
      <c r="AE65" s="233"/>
      <c r="AF65" s="233"/>
      <c r="AG65" s="233" t="s">
        <v>454</v>
      </c>
      <c r="AH65" s="233">
        <v>5</v>
      </c>
      <c r="AI65" s="233">
        <v>85</v>
      </c>
      <c r="AJ65" s="233" t="s">
        <v>432</v>
      </c>
      <c r="AK65" s="233">
        <v>100</v>
      </c>
      <c r="AL65" s="233"/>
      <c r="AM65" s="233" t="s">
        <v>455</v>
      </c>
      <c r="AN65" s="233"/>
      <c r="AO65" s="233"/>
      <c r="AP65" s="234" t="s">
        <v>434</v>
      </c>
      <c r="AQ65" s="234" t="s">
        <v>408</v>
      </c>
    </row>
    <row r="66" spans="1:43">
      <c r="A66" s="6">
        <v>63</v>
      </c>
      <c r="B66" s="21" t="s">
        <v>435</v>
      </c>
      <c r="C66" s="5" t="s">
        <v>456</v>
      </c>
      <c r="D66" s="5" t="s">
        <v>437</v>
      </c>
      <c r="E66" s="5" t="s">
        <v>438</v>
      </c>
      <c r="F66" s="5" t="s">
        <v>439</v>
      </c>
      <c r="G66" s="11" t="s">
        <v>440</v>
      </c>
      <c r="H66" s="5"/>
      <c r="I66" s="5"/>
      <c r="J66" s="5"/>
      <c r="K66" s="5"/>
      <c r="L66" s="5"/>
      <c r="M66" s="5"/>
      <c r="N66" s="5"/>
      <c r="O66" s="5"/>
      <c r="P66" s="11">
        <v>250.06469999999999</v>
      </c>
      <c r="Q66" s="5">
        <v>105.78149999999999</v>
      </c>
      <c r="R66" s="5">
        <f t="shared" si="1"/>
        <v>355.84619999999995</v>
      </c>
      <c r="S66" s="5" t="s">
        <v>441</v>
      </c>
      <c r="T66" s="6">
        <v>63</v>
      </c>
      <c r="U66" s="31" t="s">
        <v>457</v>
      </c>
      <c r="V66" s="232" t="s">
        <v>456</v>
      </c>
      <c r="W66" s="232">
        <v>-9301.2999999999993</v>
      </c>
      <c r="X66" s="232">
        <v>-11190</v>
      </c>
      <c r="Y66" s="233" t="s">
        <v>49</v>
      </c>
      <c r="Z66" s="87" t="s">
        <v>50</v>
      </c>
      <c r="AA66" s="233" t="s">
        <v>51</v>
      </c>
      <c r="AB66" s="234"/>
      <c r="AC66" s="233">
        <v>0</v>
      </c>
      <c r="AD66" s="234"/>
      <c r="AE66" s="234"/>
      <c r="AF66" s="234"/>
      <c r="AG66" s="233" t="s">
        <v>458</v>
      </c>
      <c r="AH66" s="233">
        <v>2.5</v>
      </c>
      <c r="AI66" s="233">
        <v>85</v>
      </c>
      <c r="AJ66" s="233" t="s">
        <v>405</v>
      </c>
      <c r="AK66" s="233">
        <v>10</v>
      </c>
      <c r="AL66" s="233"/>
      <c r="AM66" s="233" t="s">
        <v>444</v>
      </c>
      <c r="AN66" s="233"/>
      <c r="AO66" s="233"/>
      <c r="AP66" s="234" t="s">
        <v>407</v>
      </c>
      <c r="AQ66" s="234" t="s">
        <v>408</v>
      </c>
    </row>
    <row r="67" spans="1:43">
      <c r="A67" s="6">
        <v>64</v>
      </c>
      <c r="B67" s="21" t="s">
        <v>459</v>
      </c>
      <c r="C67" s="5" t="s">
        <v>460</v>
      </c>
      <c r="D67" s="5" t="s">
        <v>461</v>
      </c>
      <c r="E67" s="5" t="s">
        <v>462</v>
      </c>
      <c r="F67" s="5" t="s">
        <v>463</v>
      </c>
      <c r="G67" s="11" t="s">
        <v>464</v>
      </c>
      <c r="H67" s="5"/>
      <c r="I67" s="5"/>
      <c r="J67" s="5"/>
      <c r="K67" s="5"/>
      <c r="L67" s="5"/>
      <c r="M67" s="5"/>
      <c r="N67" s="5"/>
      <c r="O67" s="5"/>
      <c r="P67" s="11">
        <v>250.04490000000001</v>
      </c>
      <c r="Q67" s="5">
        <v>105.782</v>
      </c>
      <c r="R67" s="5">
        <f t="shared" si="1"/>
        <v>355.82690000000002</v>
      </c>
      <c r="S67" s="5" t="s">
        <v>465</v>
      </c>
      <c r="T67" s="6">
        <v>64</v>
      </c>
      <c r="U67" s="31" t="s">
        <v>466</v>
      </c>
      <c r="V67" s="232" t="s">
        <v>460</v>
      </c>
      <c r="W67" s="232">
        <v>-6283.6</v>
      </c>
      <c r="X67" s="232">
        <v>-8418.6</v>
      </c>
      <c r="Y67" s="233" t="s">
        <v>49</v>
      </c>
      <c r="Z67" s="87" t="s">
        <v>50</v>
      </c>
      <c r="AA67" s="233" t="s">
        <v>51</v>
      </c>
      <c r="AB67" s="234"/>
      <c r="AC67" s="233">
        <v>1</v>
      </c>
      <c r="AD67" s="233" t="s">
        <v>226</v>
      </c>
      <c r="AE67" s="234"/>
      <c r="AF67" s="233">
        <v>1100</v>
      </c>
      <c r="AG67" s="233" t="s">
        <v>467</v>
      </c>
      <c r="AH67" s="233">
        <v>2.5</v>
      </c>
      <c r="AI67" s="233">
        <v>85</v>
      </c>
      <c r="AJ67" s="233" t="s">
        <v>405</v>
      </c>
      <c r="AK67" s="233">
        <v>10</v>
      </c>
      <c r="AL67" s="233"/>
      <c r="AM67" s="233" t="s">
        <v>468</v>
      </c>
      <c r="AN67" s="233"/>
      <c r="AO67" s="233"/>
      <c r="AP67" s="234" t="s">
        <v>407</v>
      </c>
      <c r="AQ67" s="234" t="s">
        <v>408</v>
      </c>
    </row>
    <row r="68" spans="1:43">
      <c r="A68" s="6">
        <v>65</v>
      </c>
      <c r="B68" s="21" t="s">
        <v>469</v>
      </c>
      <c r="C68" s="5" t="s">
        <v>470</v>
      </c>
      <c r="D68" s="5" t="s">
        <v>471</v>
      </c>
      <c r="E68" s="5" t="s">
        <v>472</v>
      </c>
      <c r="F68" s="5" t="s">
        <v>473</v>
      </c>
      <c r="G68" s="11" t="s">
        <v>474</v>
      </c>
      <c r="H68" s="5"/>
      <c r="I68" s="5"/>
      <c r="J68" s="5"/>
      <c r="K68" s="5"/>
      <c r="L68" s="5"/>
      <c r="M68" s="5"/>
      <c r="N68" s="5"/>
      <c r="O68" s="5"/>
      <c r="P68" s="11">
        <v>250.0429</v>
      </c>
      <c r="Q68" s="5">
        <v>105.78619999999999</v>
      </c>
      <c r="R68" s="5">
        <f t="shared" si="1"/>
        <v>355.82909999999998</v>
      </c>
      <c r="S68" s="5" t="s">
        <v>465</v>
      </c>
      <c r="T68" s="6">
        <v>65</v>
      </c>
      <c r="U68" s="31" t="s">
        <v>475</v>
      </c>
      <c r="V68" s="232" t="s">
        <v>470</v>
      </c>
      <c r="W68" s="232">
        <v>-6283.6</v>
      </c>
      <c r="X68" s="232">
        <v>-9129.7999999999993</v>
      </c>
      <c r="Y68" s="233" t="s">
        <v>49</v>
      </c>
      <c r="Z68" s="87" t="s">
        <v>50</v>
      </c>
      <c r="AA68" s="233" t="s">
        <v>51</v>
      </c>
      <c r="AB68" s="234"/>
      <c r="AC68" s="233">
        <v>1</v>
      </c>
      <c r="AD68" s="233" t="s">
        <v>226</v>
      </c>
      <c r="AE68" s="234"/>
      <c r="AF68" s="233">
        <v>1100</v>
      </c>
      <c r="AG68" s="233" t="s">
        <v>467</v>
      </c>
      <c r="AH68" s="233">
        <v>2.5</v>
      </c>
      <c r="AI68" s="233">
        <v>85</v>
      </c>
      <c r="AJ68" s="233" t="s">
        <v>405</v>
      </c>
      <c r="AK68" s="233">
        <v>10</v>
      </c>
      <c r="AL68" s="233"/>
      <c r="AM68" s="233" t="s">
        <v>476</v>
      </c>
      <c r="AN68" s="233"/>
      <c r="AO68" s="233"/>
      <c r="AP68" s="234" t="s">
        <v>407</v>
      </c>
      <c r="AQ68" s="234" t="s">
        <v>408</v>
      </c>
    </row>
    <row r="69" spans="1:43">
      <c r="A69" s="6">
        <v>66</v>
      </c>
      <c r="B69" s="21" t="s">
        <v>459</v>
      </c>
      <c r="C69" s="5" t="s">
        <v>477</v>
      </c>
      <c r="D69" s="5" t="s">
        <v>461</v>
      </c>
      <c r="E69" s="5" t="s">
        <v>462</v>
      </c>
      <c r="F69" s="5" t="s">
        <v>463</v>
      </c>
      <c r="G69" s="11" t="s">
        <v>464</v>
      </c>
      <c r="H69" s="5"/>
      <c r="I69" s="5"/>
      <c r="J69" s="5"/>
      <c r="K69" s="5"/>
      <c r="L69" s="5"/>
      <c r="M69" s="5"/>
      <c r="N69" s="5"/>
      <c r="O69" s="5"/>
      <c r="P69" s="11">
        <v>250.04490000000001</v>
      </c>
      <c r="Q69" s="5">
        <v>105.782</v>
      </c>
      <c r="R69" s="5">
        <f t="shared" si="1"/>
        <v>355.82690000000002</v>
      </c>
      <c r="S69" s="5" t="s">
        <v>465</v>
      </c>
      <c r="T69" s="6">
        <v>66</v>
      </c>
      <c r="U69" s="31" t="s">
        <v>478</v>
      </c>
      <c r="V69" s="232" t="s">
        <v>477</v>
      </c>
      <c r="W69" s="232">
        <v>-9119.5</v>
      </c>
      <c r="X69" s="232">
        <v>-10380.6</v>
      </c>
      <c r="Y69" s="233" t="s">
        <v>49</v>
      </c>
      <c r="Z69" s="87" t="s">
        <v>50</v>
      </c>
      <c r="AA69" s="233" t="s">
        <v>51</v>
      </c>
      <c r="AB69" s="234"/>
      <c r="AC69" s="233">
        <v>0</v>
      </c>
      <c r="AD69" s="234"/>
      <c r="AE69" s="234"/>
      <c r="AF69" s="234"/>
      <c r="AG69" s="233" t="s">
        <v>479</v>
      </c>
      <c r="AH69" s="233">
        <v>2.5</v>
      </c>
      <c r="AI69" s="233">
        <v>85</v>
      </c>
      <c r="AJ69" s="233" t="s">
        <v>405</v>
      </c>
      <c r="AK69" s="233">
        <v>10</v>
      </c>
      <c r="AL69" s="233"/>
      <c r="AM69" s="233" t="s">
        <v>468</v>
      </c>
      <c r="AN69" s="233"/>
      <c r="AO69" s="233"/>
      <c r="AP69" s="234" t="s">
        <v>407</v>
      </c>
      <c r="AQ69" s="234" t="s">
        <v>408</v>
      </c>
    </row>
    <row r="70" spans="1:43">
      <c r="A70" s="6">
        <v>67</v>
      </c>
      <c r="B70" s="21" t="s">
        <v>469</v>
      </c>
      <c r="C70" s="5" t="s">
        <v>480</v>
      </c>
      <c r="D70" s="5" t="s">
        <v>471</v>
      </c>
      <c r="E70" s="5" t="s">
        <v>472</v>
      </c>
      <c r="F70" s="5" t="s">
        <v>473</v>
      </c>
      <c r="G70" s="11" t="s">
        <v>474</v>
      </c>
      <c r="H70" s="5"/>
      <c r="I70" s="5"/>
      <c r="J70" s="5"/>
      <c r="K70" s="5"/>
      <c r="L70" s="5"/>
      <c r="M70" s="5"/>
      <c r="N70" s="5"/>
      <c r="O70" s="5"/>
      <c r="P70" s="11">
        <v>250.0429</v>
      </c>
      <c r="Q70" s="5">
        <v>105.78619999999999</v>
      </c>
      <c r="R70" s="5">
        <f t="shared" si="1"/>
        <v>355.82909999999998</v>
      </c>
      <c r="S70" s="5" t="s">
        <v>465</v>
      </c>
      <c r="T70" s="6">
        <v>67</v>
      </c>
      <c r="U70" s="31" t="s">
        <v>481</v>
      </c>
      <c r="V70" s="232" t="s">
        <v>480</v>
      </c>
      <c r="W70" s="232">
        <v>-8618.9</v>
      </c>
      <c r="X70" s="232">
        <v>-10380.6</v>
      </c>
      <c r="Y70" s="233" t="s">
        <v>49</v>
      </c>
      <c r="Z70" s="87" t="s">
        <v>50</v>
      </c>
      <c r="AA70" s="233" t="s">
        <v>51</v>
      </c>
      <c r="AB70" s="234"/>
      <c r="AC70" s="233">
        <v>0</v>
      </c>
      <c r="AD70" s="234"/>
      <c r="AE70" s="234"/>
      <c r="AF70" s="234"/>
      <c r="AG70" s="233" t="s">
        <v>479</v>
      </c>
      <c r="AH70" s="233">
        <v>2.5</v>
      </c>
      <c r="AI70" s="233">
        <v>85</v>
      </c>
      <c r="AJ70" s="233" t="s">
        <v>405</v>
      </c>
      <c r="AK70" s="233">
        <v>10</v>
      </c>
      <c r="AL70" s="233"/>
      <c r="AM70" s="233" t="s">
        <v>476</v>
      </c>
      <c r="AN70" s="233"/>
      <c r="AO70" s="233"/>
      <c r="AP70" s="234" t="s">
        <v>407</v>
      </c>
      <c r="AQ70" s="234" t="s">
        <v>408</v>
      </c>
    </row>
    <row r="71" spans="1:43">
      <c r="A71" s="6">
        <v>68</v>
      </c>
      <c r="B71" s="21" t="s">
        <v>482</v>
      </c>
      <c r="C71" s="5" t="s">
        <v>483</v>
      </c>
      <c r="D71" s="5" t="s">
        <v>484</v>
      </c>
      <c r="E71" s="5" t="s">
        <v>485</v>
      </c>
      <c r="F71" s="5" t="s">
        <v>486</v>
      </c>
      <c r="G71" s="11" t="s">
        <v>487</v>
      </c>
      <c r="H71" s="5"/>
      <c r="I71" s="5"/>
      <c r="J71" s="5"/>
      <c r="K71" s="5"/>
      <c r="L71" s="5"/>
      <c r="M71" s="5"/>
      <c r="N71" s="5"/>
      <c r="O71" s="5"/>
      <c r="P71" s="11">
        <v>250.02610000000001</v>
      </c>
      <c r="Q71" s="5">
        <v>105.79770000000001</v>
      </c>
      <c r="R71" s="5">
        <f t="shared" si="1"/>
        <v>355.82380000000001</v>
      </c>
      <c r="S71" s="5" t="s">
        <v>488</v>
      </c>
      <c r="T71" s="6">
        <v>68</v>
      </c>
      <c r="U71" s="31" t="s">
        <v>489</v>
      </c>
      <c r="V71" s="232" t="s">
        <v>483</v>
      </c>
      <c r="W71" s="232">
        <v>-6283.6</v>
      </c>
      <c r="X71" s="232">
        <v>-6996.2</v>
      </c>
      <c r="Y71" s="233" t="s">
        <v>49</v>
      </c>
      <c r="Z71" s="87" t="s">
        <v>50</v>
      </c>
      <c r="AA71" s="233" t="s">
        <v>51</v>
      </c>
      <c r="AB71" s="234"/>
      <c r="AC71" s="233">
        <v>1</v>
      </c>
      <c r="AD71" s="233" t="s">
        <v>226</v>
      </c>
      <c r="AE71" s="234"/>
      <c r="AF71" s="233">
        <v>1100</v>
      </c>
      <c r="AG71" s="233" t="s">
        <v>490</v>
      </c>
      <c r="AH71" s="233">
        <v>2.5</v>
      </c>
      <c r="AI71" s="233">
        <v>85</v>
      </c>
      <c r="AJ71" s="233" t="s">
        <v>405</v>
      </c>
      <c r="AK71" s="233">
        <v>10</v>
      </c>
      <c r="AL71" s="233"/>
      <c r="AM71" s="233" t="s">
        <v>491</v>
      </c>
      <c r="AN71" s="233"/>
      <c r="AO71" s="233"/>
      <c r="AP71" s="234" t="s">
        <v>407</v>
      </c>
      <c r="AQ71" s="234" t="s">
        <v>408</v>
      </c>
    </row>
    <row r="72" spans="1:43">
      <c r="A72" s="6">
        <v>69</v>
      </c>
      <c r="B72" s="21" t="s">
        <v>492</v>
      </c>
      <c r="C72" s="5" t="s">
        <v>493</v>
      </c>
      <c r="D72" s="5" t="s">
        <v>494</v>
      </c>
      <c r="E72" s="5" t="s">
        <v>495</v>
      </c>
      <c r="F72" s="5" t="s">
        <v>496</v>
      </c>
      <c r="G72" s="11" t="s">
        <v>497</v>
      </c>
      <c r="H72" s="5"/>
      <c r="I72" s="5"/>
      <c r="J72" s="5"/>
      <c r="K72" s="5"/>
      <c r="L72" s="5"/>
      <c r="M72" s="5"/>
      <c r="N72" s="5"/>
      <c r="O72" s="5"/>
      <c r="P72" s="11">
        <v>250.02019999999999</v>
      </c>
      <c r="Q72" s="5">
        <v>105.79689999999999</v>
      </c>
      <c r="R72" s="5">
        <f t="shared" si="1"/>
        <v>355.81709999999998</v>
      </c>
      <c r="S72" s="5" t="s">
        <v>488</v>
      </c>
      <c r="T72" s="6">
        <v>69</v>
      </c>
      <c r="U72" s="31" t="s">
        <v>498</v>
      </c>
      <c r="V72" s="232" t="s">
        <v>493</v>
      </c>
      <c r="W72" s="232">
        <v>-6283.6</v>
      </c>
      <c r="X72" s="232">
        <v>-6285</v>
      </c>
      <c r="Y72" s="233" t="s">
        <v>49</v>
      </c>
      <c r="Z72" s="87" t="s">
        <v>50</v>
      </c>
      <c r="AA72" s="233" t="s">
        <v>51</v>
      </c>
      <c r="AB72" s="234"/>
      <c r="AC72" s="233">
        <v>1</v>
      </c>
      <c r="AD72" s="233" t="s">
        <v>226</v>
      </c>
      <c r="AE72" s="234"/>
      <c r="AF72" s="233">
        <v>1100</v>
      </c>
      <c r="AG72" s="233" t="s">
        <v>490</v>
      </c>
      <c r="AH72" s="233">
        <v>2.5</v>
      </c>
      <c r="AI72" s="233">
        <v>85</v>
      </c>
      <c r="AJ72" s="233" t="s">
        <v>405</v>
      </c>
      <c r="AK72" s="233">
        <v>10</v>
      </c>
      <c r="AL72" s="233"/>
      <c r="AM72" s="233" t="s">
        <v>499</v>
      </c>
      <c r="AN72" s="233"/>
      <c r="AO72" s="233"/>
      <c r="AP72" s="234" t="s">
        <v>407</v>
      </c>
      <c r="AQ72" s="234" t="s">
        <v>408</v>
      </c>
    </row>
    <row r="73" spans="1:43">
      <c r="A73" s="6">
        <v>70</v>
      </c>
      <c r="B73" s="21" t="s">
        <v>482</v>
      </c>
      <c r="C73" s="5" t="s">
        <v>500</v>
      </c>
      <c r="D73" s="5" t="s">
        <v>484</v>
      </c>
      <c r="E73" s="5" t="s">
        <v>485</v>
      </c>
      <c r="F73" s="5" t="s">
        <v>486</v>
      </c>
      <c r="G73" s="11" t="s">
        <v>487</v>
      </c>
      <c r="H73" s="5"/>
      <c r="I73" s="5"/>
      <c r="J73" s="5"/>
      <c r="K73" s="5"/>
      <c r="L73" s="5"/>
      <c r="M73" s="5"/>
      <c r="N73" s="5"/>
      <c r="O73" s="5"/>
      <c r="P73" s="11">
        <v>250.02610000000001</v>
      </c>
      <c r="Q73" s="5">
        <v>105.79770000000001</v>
      </c>
      <c r="R73" s="5">
        <f t="shared" si="1"/>
        <v>355.82380000000001</v>
      </c>
      <c r="S73" s="5" t="s">
        <v>488</v>
      </c>
      <c r="T73" s="6">
        <v>70</v>
      </c>
      <c r="U73" s="31" t="s">
        <v>501</v>
      </c>
      <c r="V73" s="232" t="s">
        <v>500</v>
      </c>
      <c r="W73" s="232">
        <v>-8437.2000000000007</v>
      </c>
      <c r="X73" s="232">
        <v>-11190</v>
      </c>
      <c r="Y73" s="233" t="s">
        <v>49</v>
      </c>
      <c r="Z73" s="87" t="s">
        <v>50</v>
      </c>
      <c r="AA73" s="233" t="s">
        <v>51</v>
      </c>
      <c r="AB73" s="234"/>
      <c r="AC73" s="233">
        <v>0</v>
      </c>
      <c r="AD73" s="234"/>
      <c r="AE73" s="234"/>
      <c r="AF73" s="234"/>
      <c r="AG73" s="233" t="s">
        <v>502</v>
      </c>
      <c r="AH73" s="233">
        <v>2.5</v>
      </c>
      <c r="AI73" s="233">
        <v>85</v>
      </c>
      <c r="AJ73" s="233" t="s">
        <v>405</v>
      </c>
      <c r="AK73" s="233">
        <v>10</v>
      </c>
      <c r="AL73" s="233"/>
      <c r="AM73" s="233" t="s">
        <v>491</v>
      </c>
      <c r="AN73" s="233"/>
      <c r="AO73" s="233"/>
      <c r="AP73" s="234" t="s">
        <v>407</v>
      </c>
      <c r="AQ73" s="234" t="s">
        <v>408</v>
      </c>
    </row>
    <row r="74" spans="1:43">
      <c r="A74" s="6">
        <v>71</v>
      </c>
      <c r="B74" s="21" t="s">
        <v>492</v>
      </c>
      <c r="C74" s="5" t="s">
        <v>503</v>
      </c>
      <c r="D74" s="5" t="s">
        <v>494</v>
      </c>
      <c r="E74" s="5" t="s">
        <v>495</v>
      </c>
      <c r="F74" s="5" t="s">
        <v>496</v>
      </c>
      <c r="G74" s="11" t="s">
        <v>497</v>
      </c>
      <c r="H74" s="5"/>
      <c r="I74" s="5"/>
      <c r="J74" s="5"/>
      <c r="K74" s="5"/>
      <c r="L74" s="5"/>
      <c r="M74" s="5"/>
      <c r="N74" s="5"/>
      <c r="O74" s="5"/>
      <c r="P74" s="11">
        <v>250.02019999999999</v>
      </c>
      <c r="Q74" s="5">
        <v>105.79689999999999</v>
      </c>
      <c r="R74" s="5">
        <f t="shared" si="1"/>
        <v>355.81709999999998</v>
      </c>
      <c r="S74" s="5" t="s">
        <v>488</v>
      </c>
      <c r="T74" s="6">
        <v>71</v>
      </c>
      <c r="U74" s="31" t="s">
        <v>504</v>
      </c>
      <c r="V74" s="232" t="s">
        <v>503</v>
      </c>
      <c r="W74" s="232">
        <v>-7936.8</v>
      </c>
      <c r="X74" s="232">
        <v>-11190</v>
      </c>
      <c r="Y74" s="233" t="s">
        <v>49</v>
      </c>
      <c r="Z74" s="87" t="s">
        <v>50</v>
      </c>
      <c r="AA74" s="233" t="s">
        <v>51</v>
      </c>
      <c r="AB74" s="234"/>
      <c r="AC74" s="233">
        <v>0</v>
      </c>
      <c r="AD74" s="234"/>
      <c r="AE74" s="234"/>
      <c r="AF74" s="234"/>
      <c r="AG74" s="233" t="s">
        <v>502</v>
      </c>
      <c r="AH74" s="233">
        <v>2.5</v>
      </c>
      <c r="AI74" s="233">
        <v>85</v>
      </c>
      <c r="AJ74" s="233" t="s">
        <v>405</v>
      </c>
      <c r="AK74" s="233">
        <v>10</v>
      </c>
      <c r="AL74" s="233"/>
      <c r="AM74" s="233" t="s">
        <v>499</v>
      </c>
      <c r="AN74" s="233"/>
      <c r="AO74" s="233"/>
      <c r="AP74" s="234" t="s">
        <v>407</v>
      </c>
      <c r="AQ74" s="234" t="s">
        <v>408</v>
      </c>
    </row>
    <row r="75" spans="1:43">
      <c r="A75" s="6">
        <v>72</v>
      </c>
      <c r="B75" s="21" t="s">
        <v>505</v>
      </c>
      <c r="C75" s="5" t="s">
        <v>506</v>
      </c>
      <c r="D75" s="5" t="s">
        <v>507</v>
      </c>
      <c r="E75" s="5" t="s">
        <v>508</v>
      </c>
      <c r="F75" s="5" t="s">
        <v>509</v>
      </c>
      <c r="G75" s="11" t="s">
        <v>510</v>
      </c>
      <c r="H75" s="5"/>
      <c r="I75" s="5"/>
      <c r="J75" s="5"/>
      <c r="K75" s="5"/>
      <c r="L75" s="5"/>
      <c r="M75" s="5"/>
      <c r="N75" s="5"/>
      <c r="O75" s="5"/>
      <c r="P75" s="11">
        <v>250.09889999999999</v>
      </c>
      <c r="Q75" s="5">
        <v>105.7846</v>
      </c>
      <c r="R75" s="5">
        <f t="shared" si="1"/>
        <v>355.88349999999997</v>
      </c>
      <c r="S75" s="5" t="s">
        <v>299</v>
      </c>
      <c r="T75" s="6">
        <v>72</v>
      </c>
      <c r="U75" s="31" t="s">
        <v>511</v>
      </c>
      <c r="V75" s="232" t="s">
        <v>506</v>
      </c>
      <c r="W75" s="232">
        <v>-4911.8999999999996</v>
      </c>
      <c r="X75" s="232">
        <v>-9129.7999999999993</v>
      </c>
      <c r="Y75" s="233" t="s">
        <v>49</v>
      </c>
      <c r="Z75" s="87" t="s">
        <v>50</v>
      </c>
      <c r="AA75" s="233" t="s">
        <v>51</v>
      </c>
      <c r="AB75" s="234"/>
      <c r="AC75" s="233">
        <v>1</v>
      </c>
      <c r="AD75" s="233" t="s">
        <v>226</v>
      </c>
      <c r="AE75" s="234"/>
      <c r="AF75" s="233">
        <v>1100</v>
      </c>
      <c r="AG75" s="233" t="s">
        <v>512</v>
      </c>
      <c r="AH75" s="233">
        <v>2.5</v>
      </c>
      <c r="AI75" s="233">
        <v>85</v>
      </c>
      <c r="AJ75" s="233" t="s">
        <v>405</v>
      </c>
      <c r="AK75" s="233">
        <v>10</v>
      </c>
      <c r="AL75" s="233"/>
      <c r="AM75" s="233" t="s">
        <v>513</v>
      </c>
      <c r="AN75" s="233"/>
      <c r="AO75" s="233"/>
      <c r="AP75" s="234" t="s">
        <v>407</v>
      </c>
      <c r="AQ75" s="234" t="s">
        <v>408</v>
      </c>
    </row>
    <row r="76" spans="1:43">
      <c r="A76" s="6">
        <v>73</v>
      </c>
      <c r="B76" s="21" t="s">
        <v>514</v>
      </c>
      <c r="C76" s="5" t="s">
        <v>515</v>
      </c>
      <c r="D76" s="5" t="s">
        <v>516</v>
      </c>
      <c r="E76" s="5" t="s">
        <v>517</v>
      </c>
      <c r="F76" s="5" t="s">
        <v>518</v>
      </c>
      <c r="G76" s="11" t="s">
        <v>519</v>
      </c>
      <c r="H76" s="5"/>
      <c r="I76" s="5"/>
      <c r="J76" s="5"/>
      <c r="K76" s="5"/>
      <c r="L76" s="5"/>
      <c r="M76" s="5"/>
      <c r="N76" s="5"/>
      <c r="O76" s="5"/>
      <c r="P76" s="11">
        <v>250.09299999999999</v>
      </c>
      <c r="Q76" s="5">
        <v>105.7869</v>
      </c>
      <c r="R76" s="5">
        <f t="shared" si="1"/>
        <v>355.87990000000002</v>
      </c>
      <c r="S76" s="5" t="s">
        <v>299</v>
      </c>
      <c r="T76" s="6">
        <v>73</v>
      </c>
      <c r="U76" s="31" t="s">
        <v>520</v>
      </c>
      <c r="V76" s="232" t="s">
        <v>515</v>
      </c>
      <c r="W76" s="232">
        <v>-4911.8999999999996</v>
      </c>
      <c r="X76" s="232">
        <v>-8418.6</v>
      </c>
      <c r="Y76" s="233" t="s">
        <v>49</v>
      </c>
      <c r="Z76" s="87" t="s">
        <v>50</v>
      </c>
      <c r="AA76" s="233" t="s">
        <v>51</v>
      </c>
      <c r="AB76" s="234"/>
      <c r="AC76" s="233">
        <v>1</v>
      </c>
      <c r="AD76" s="233" t="s">
        <v>226</v>
      </c>
      <c r="AE76" s="234"/>
      <c r="AF76" s="233">
        <v>1100</v>
      </c>
      <c r="AG76" s="233" t="s">
        <v>512</v>
      </c>
      <c r="AH76" s="233">
        <v>2.5</v>
      </c>
      <c r="AI76" s="233">
        <v>85</v>
      </c>
      <c r="AJ76" s="233" t="s">
        <v>405</v>
      </c>
      <c r="AK76" s="233">
        <v>10</v>
      </c>
      <c r="AL76" s="233"/>
      <c r="AM76" s="233" t="s">
        <v>521</v>
      </c>
      <c r="AN76" s="233"/>
      <c r="AO76" s="233"/>
      <c r="AP76" s="234" t="s">
        <v>407</v>
      </c>
      <c r="AQ76" s="234" t="s">
        <v>408</v>
      </c>
    </row>
    <row r="77" spans="1:43">
      <c r="A77" s="6">
        <v>74</v>
      </c>
      <c r="B77" s="21" t="s">
        <v>505</v>
      </c>
      <c r="C77" s="5" t="s">
        <v>522</v>
      </c>
      <c r="D77" s="5" t="s">
        <v>507</v>
      </c>
      <c r="E77" s="5" t="s">
        <v>508</v>
      </c>
      <c r="F77" s="5" t="s">
        <v>509</v>
      </c>
      <c r="G77" s="11" t="s">
        <v>510</v>
      </c>
      <c r="H77" s="5"/>
      <c r="I77" s="5"/>
      <c r="J77" s="5"/>
      <c r="K77" s="5"/>
      <c r="L77" s="5"/>
      <c r="M77" s="5"/>
      <c r="N77" s="5"/>
      <c r="O77" s="5"/>
      <c r="P77" s="11">
        <v>250.09889999999999</v>
      </c>
      <c r="Q77" s="5">
        <v>105.7846</v>
      </c>
      <c r="R77" s="5">
        <f t="shared" si="1"/>
        <v>355.88349999999997</v>
      </c>
      <c r="S77" s="5" t="s">
        <v>299</v>
      </c>
      <c r="T77" s="6">
        <v>74</v>
      </c>
      <c r="U77" s="31" t="s">
        <v>523</v>
      </c>
      <c r="V77" s="232" t="s">
        <v>522</v>
      </c>
      <c r="W77" s="232">
        <v>-7755</v>
      </c>
      <c r="X77" s="232">
        <v>-10380.6</v>
      </c>
      <c r="Y77" s="233" t="s">
        <v>49</v>
      </c>
      <c r="Z77" s="87" t="s">
        <v>50</v>
      </c>
      <c r="AA77" s="233" t="s">
        <v>51</v>
      </c>
      <c r="AB77" s="234"/>
      <c r="AC77" s="233">
        <v>0</v>
      </c>
      <c r="AD77" s="234"/>
      <c r="AE77" s="234"/>
      <c r="AF77" s="234"/>
      <c r="AG77" s="233" t="s">
        <v>524</v>
      </c>
      <c r="AH77" s="233">
        <v>2.5</v>
      </c>
      <c r="AI77" s="233">
        <v>85</v>
      </c>
      <c r="AJ77" s="233" t="s">
        <v>405</v>
      </c>
      <c r="AK77" s="233">
        <v>10</v>
      </c>
      <c r="AL77" s="233"/>
      <c r="AM77" s="233" t="s">
        <v>513</v>
      </c>
      <c r="AN77" s="233"/>
      <c r="AO77" s="233"/>
      <c r="AP77" s="234" t="s">
        <v>407</v>
      </c>
      <c r="AQ77" s="234" t="s">
        <v>408</v>
      </c>
    </row>
    <row r="78" spans="1:43">
      <c r="A78" s="6">
        <v>75</v>
      </c>
      <c r="B78" s="21" t="s">
        <v>514</v>
      </c>
      <c r="C78" s="5" t="s">
        <v>525</v>
      </c>
      <c r="D78" s="5" t="s">
        <v>516</v>
      </c>
      <c r="E78" s="5" t="s">
        <v>517</v>
      </c>
      <c r="F78" s="5" t="s">
        <v>518</v>
      </c>
      <c r="G78" s="11" t="s">
        <v>519</v>
      </c>
      <c r="H78" s="5"/>
      <c r="I78" s="5"/>
      <c r="J78" s="5"/>
      <c r="K78" s="5"/>
      <c r="L78" s="5"/>
      <c r="M78" s="5"/>
      <c r="N78" s="5"/>
      <c r="O78" s="5"/>
      <c r="P78" s="11">
        <v>250.09299999999999</v>
      </c>
      <c r="Q78" s="5">
        <v>105.7869</v>
      </c>
      <c r="R78" s="5">
        <f t="shared" si="1"/>
        <v>355.87990000000002</v>
      </c>
      <c r="S78" s="5" t="s">
        <v>299</v>
      </c>
      <c r="T78" s="6">
        <v>75</v>
      </c>
      <c r="U78" s="31" t="s">
        <v>526</v>
      </c>
      <c r="V78" s="232" t="s">
        <v>525</v>
      </c>
      <c r="W78" s="232">
        <v>-7254.4</v>
      </c>
      <c r="X78" s="232">
        <v>-10380.6</v>
      </c>
      <c r="Y78" s="233" t="s">
        <v>49</v>
      </c>
      <c r="Z78" s="87" t="s">
        <v>50</v>
      </c>
      <c r="AA78" s="233" t="s">
        <v>51</v>
      </c>
      <c r="AB78" s="234"/>
      <c r="AC78" s="233">
        <v>0</v>
      </c>
      <c r="AD78" s="234"/>
      <c r="AE78" s="234"/>
      <c r="AF78" s="234"/>
      <c r="AG78" s="233" t="s">
        <v>524</v>
      </c>
      <c r="AH78" s="233">
        <v>2.5</v>
      </c>
      <c r="AI78" s="233">
        <v>85</v>
      </c>
      <c r="AJ78" s="233" t="s">
        <v>405</v>
      </c>
      <c r="AK78" s="233">
        <v>10</v>
      </c>
      <c r="AL78" s="233"/>
      <c r="AM78" s="233" t="s">
        <v>521</v>
      </c>
      <c r="AN78" s="233"/>
      <c r="AO78" s="233"/>
      <c r="AP78" s="234" t="s">
        <v>407</v>
      </c>
      <c r="AQ78" s="234" t="s">
        <v>408</v>
      </c>
    </row>
    <row r="79" spans="1:43">
      <c r="A79" s="6">
        <v>76</v>
      </c>
      <c r="B79" s="21" t="s">
        <v>527</v>
      </c>
      <c r="C79" s="5" t="s">
        <v>528</v>
      </c>
      <c r="D79" s="5" t="s">
        <v>529</v>
      </c>
      <c r="E79" s="5" t="s">
        <v>530</v>
      </c>
      <c r="F79" s="5" t="s">
        <v>531</v>
      </c>
      <c r="G79" s="11" t="s">
        <v>532</v>
      </c>
      <c r="H79" s="5"/>
      <c r="I79" s="5"/>
      <c r="J79" s="5"/>
      <c r="K79" s="5"/>
      <c r="L79" s="5"/>
      <c r="M79" s="5"/>
      <c r="N79" s="5"/>
      <c r="O79" s="5"/>
      <c r="P79" s="11">
        <v>249.99199999999999</v>
      </c>
      <c r="Q79" s="5">
        <v>105.7871</v>
      </c>
      <c r="R79" s="5">
        <f t="shared" si="1"/>
        <v>355.77909999999997</v>
      </c>
      <c r="S79" s="5" t="s">
        <v>465</v>
      </c>
      <c r="T79" s="6">
        <v>76</v>
      </c>
      <c r="U79" s="31" t="s">
        <v>533</v>
      </c>
      <c r="V79" s="232" t="s">
        <v>528</v>
      </c>
      <c r="W79" s="232">
        <v>-4911.8999999999996</v>
      </c>
      <c r="X79" s="232">
        <v>-6996.2</v>
      </c>
      <c r="Y79" s="233" t="s">
        <v>49</v>
      </c>
      <c r="Z79" s="87" t="s">
        <v>50</v>
      </c>
      <c r="AA79" s="233" t="s">
        <v>51</v>
      </c>
      <c r="AB79" s="234"/>
      <c r="AC79" s="233">
        <v>1</v>
      </c>
      <c r="AD79" s="233" t="s">
        <v>226</v>
      </c>
      <c r="AE79" s="234"/>
      <c r="AF79" s="233">
        <v>1100</v>
      </c>
      <c r="AG79" s="233" t="s">
        <v>534</v>
      </c>
      <c r="AH79" s="233">
        <v>2.5</v>
      </c>
      <c r="AI79" s="233">
        <v>85</v>
      </c>
      <c r="AJ79" s="233" t="s">
        <v>405</v>
      </c>
      <c r="AK79" s="233">
        <v>10</v>
      </c>
      <c r="AL79" s="233"/>
      <c r="AM79" s="233" t="s">
        <v>535</v>
      </c>
      <c r="AN79" s="233"/>
      <c r="AO79" s="233"/>
      <c r="AP79" s="234" t="s">
        <v>407</v>
      </c>
      <c r="AQ79" s="234" t="s">
        <v>408</v>
      </c>
    </row>
    <row r="80" spans="1:43">
      <c r="A80" s="6">
        <v>77</v>
      </c>
      <c r="B80" s="21" t="s">
        <v>536</v>
      </c>
      <c r="C80" s="5" t="s">
        <v>537</v>
      </c>
      <c r="D80" s="5" t="s">
        <v>538</v>
      </c>
      <c r="E80" s="5" t="s">
        <v>539</v>
      </c>
      <c r="F80" s="5" t="s">
        <v>540</v>
      </c>
      <c r="G80" s="11" t="s">
        <v>541</v>
      </c>
      <c r="H80" s="5"/>
      <c r="I80" s="5"/>
      <c r="J80" s="5"/>
      <c r="K80" s="5"/>
      <c r="L80" s="5"/>
      <c r="M80" s="5"/>
      <c r="N80" s="5"/>
      <c r="O80" s="5"/>
      <c r="P80" s="11">
        <v>250.0241</v>
      </c>
      <c r="Q80" s="5">
        <v>105.79130000000001</v>
      </c>
      <c r="R80" s="5">
        <f t="shared" si="1"/>
        <v>355.81540000000001</v>
      </c>
      <c r="S80" s="5" t="s">
        <v>465</v>
      </c>
      <c r="T80" s="6">
        <v>77</v>
      </c>
      <c r="U80" s="31" t="s">
        <v>542</v>
      </c>
      <c r="V80" s="232" t="s">
        <v>537</v>
      </c>
      <c r="W80" s="232">
        <v>-4911.8999999999996</v>
      </c>
      <c r="X80" s="232">
        <v>-6285</v>
      </c>
      <c r="Y80" s="233" t="s">
        <v>49</v>
      </c>
      <c r="Z80" s="87" t="s">
        <v>50</v>
      </c>
      <c r="AA80" s="233" t="s">
        <v>51</v>
      </c>
      <c r="AB80" s="234"/>
      <c r="AC80" s="233">
        <v>1</v>
      </c>
      <c r="AD80" s="233" t="s">
        <v>226</v>
      </c>
      <c r="AE80" s="234"/>
      <c r="AF80" s="233">
        <v>1100</v>
      </c>
      <c r="AG80" s="233" t="s">
        <v>534</v>
      </c>
      <c r="AH80" s="233">
        <v>2.5</v>
      </c>
      <c r="AI80" s="233">
        <v>85</v>
      </c>
      <c r="AJ80" s="233" t="s">
        <v>405</v>
      </c>
      <c r="AK80" s="233">
        <v>10</v>
      </c>
      <c r="AL80" s="233"/>
      <c r="AM80" s="233" t="s">
        <v>543</v>
      </c>
      <c r="AN80" s="233"/>
      <c r="AO80" s="233"/>
      <c r="AP80" s="234" t="s">
        <v>407</v>
      </c>
      <c r="AQ80" s="234" t="s">
        <v>408</v>
      </c>
    </row>
    <row r="81" spans="1:43">
      <c r="A81" s="6">
        <v>78</v>
      </c>
      <c r="B81" s="21" t="s">
        <v>527</v>
      </c>
      <c r="C81" s="5" t="s">
        <v>544</v>
      </c>
      <c r="D81" s="5" t="s">
        <v>529</v>
      </c>
      <c r="E81" s="5" t="s">
        <v>530</v>
      </c>
      <c r="F81" s="5" t="s">
        <v>531</v>
      </c>
      <c r="G81" s="11" t="s">
        <v>532</v>
      </c>
      <c r="H81" s="5"/>
      <c r="I81" s="5"/>
      <c r="J81" s="5"/>
      <c r="K81" s="5"/>
      <c r="L81" s="5"/>
      <c r="M81" s="5"/>
      <c r="N81" s="5"/>
      <c r="O81" s="5"/>
      <c r="P81" s="11">
        <v>249.99199999999999</v>
      </c>
      <c r="Q81" s="5">
        <v>105.7871</v>
      </c>
      <c r="R81" s="5">
        <f t="shared" si="1"/>
        <v>355.77909999999997</v>
      </c>
      <c r="S81" s="5" t="s">
        <v>465</v>
      </c>
      <c r="T81" s="6">
        <v>78</v>
      </c>
      <c r="U81" s="31" t="s">
        <v>545</v>
      </c>
      <c r="V81" s="232" t="s">
        <v>544</v>
      </c>
      <c r="W81" s="232">
        <v>-7072.7</v>
      </c>
      <c r="X81" s="232">
        <v>-11190</v>
      </c>
      <c r="Y81" s="233" t="s">
        <v>49</v>
      </c>
      <c r="Z81" s="87" t="s">
        <v>50</v>
      </c>
      <c r="AA81" s="233" t="s">
        <v>51</v>
      </c>
      <c r="AB81" s="234"/>
      <c r="AC81" s="233">
        <v>0</v>
      </c>
      <c r="AD81" s="234"/>
      <c r="AE81" s="234"/>
      <c r="AF81" s="234"/>
      <c r="AG81" s="233" t="s">
        <v>546</v>
      </c>
      <c r="AH81" s="233">
        <v>2.5</v>
      </c>
      <c r="AI81" s="233">
        <v>85</v>
      </c>
      <c r="AJ81" s="233" t="s">
        <v>405</v>
      </c>
      <c r="AK81" s="233">
        <v>10</v>
      </c>
      <c r="AL81" s="233"/>
      <c r="AM81" s="233" t="s">
        <v>535</v>
      </c>
      <c r="AN81" s="233"/>
      <c r="AO81" s="233"/>
      <c r="AP81" s="234" t="s">
        <v>407</v>
      </c>
      <c r="AQ81" s="234" t="s">
        <v>408</v>
      </c>
    </row>
    <row r="82" spans="1:43">
      <c r="A82" s="6">
        <v>79</v>
      </c>
      <c r="B82" s="21" t="s">
        <v>536</v>
      </c>
      <c r="C82" s="5" t="s">
        <v>547</v>
      </c>
      <c r="D82" s="5" t="s">
        <v>538</v>
      </c>
      <c r="E82" s="5" t="s">
        <v>539</v>
      </c>
      <c r="F82" s="5" t="s">
        <v>540</v>
      </c>
      <c r="G82" s="11" t="s">
        <v>541</v>
      </c>
      <c r="H82" s="5"/>
      <c r="I82" s="5"/>
      <c r="J82" s="5"/>
      <c r="K82" s="5"/>
      <c r="L82" s="5"/>
      <c r="M82" s="5"/>
      <c r="N82" s="5"/>
      <c r="O82" s="5"/>
      <c r="P82" s="11">
        <v>250.0241</v>
      </c>
      <c r="Q82" s="5">
        <v>105.79130000000001</v>
      </c>
      <c r="R82" s="5">
        <f t="shared" si="1"/>
        <v>355.81540000000001</v>
      </c>
      <c r="S82" s="5" t="s">
        <v>465</v>
      </c>
      <c r="T82" s="6">
        <v>79</v>
      </c>
      <c r="U82" s="31" t="s">
        <v>548</v>
      </c>
      <c r="V82" s="232" t="s">
        <v>547</v>
      </c>
      <c r="W82" s="232">
        <v>-6572.3</v>
      </c>
      <c r="X82" s="232">
        <v>-11190</v>
      </c>
      <c r="Y82" s="233" t="s">
        <v>49</v>
      </c>
      <c r="Z82" s="87" t="s">
        <v>50</v>
      </c>
      <c r="AA82" s="233" t="s">
        <v>51</v>
      </c>
      <c r="AB82" s="234"/>
      <c r="AC82" s="233">
        <v>0</v>
      </c>
      <c r="AD82" s="234"/>
      <c r="AE82" s="234"/>
      <c r="AF82" s="234"/>
      <c r="AG82" s="233" t="s">
        <v>546</v>
      </c>
      <c r="AH82" s="233">
        <v>2.5</v>
      </c>
      <c r="AI82" s="233">
        <v>85</v>
      </c>
      <c r="AJ82" s="233" t="s">
        <v>405</v>
      </c>
      <c r="AK82" s="233">
        <v>10</v>
      </c>
      <c r="AL82" s="233"/>
      <c r="AM82" s="233" t="s">
        <v>543</v>
      </c>
      <c r="AN82" s="233"/>
      <c r="AO82" s="233"/>
      <c r="AP82" s="234" t="s">
        <v>407</v>
      </c>
      <c r="AQ82" s="234" t="s">
        <v>408</v>
      </c>
    </row>
    <row r="83" spans="1:43">
      <c r="A83" s="6">
        <v>80</v>
      </c>
      <c r="B83" s="21" t="s">
        <v>549</v>
      </c>
      <c r="C83" s="5" t="s">
        <v>550</v>
      </c>
      <c r="D83" s="5" t="s">
        <v>551</v>
      </c>
      <c r="E83" s="5" t="s">
        <v>552</v>
      </c>
      <c r="F83" s="5" t="s">
        <v>553</v>
      </c>
      <c r="G83" s="11" t="s">
        <v>554</v>
      </c>
      <c r="H83" s="5"/>
      <c r="I83" s="5"/>
      <c r="J83" s="5"/>
      <c r="K83" s="5"/>
      <c r="L83" s="5"/>
      <c r="M83" s="5"/>
      <c r="N83" s="5"/>
      <c r="O83" s="5"/>
      <c r="P83" s="11">
        <v>250.0693</v>
      </c>
      <c r="Q83" s="5">
        <v>105.7867</v>
      </c>
      <c r="R83" s="5">
        <f t="shared" si="1"/>
        <v>355.85599999999999</v>
      </c>
      <c r="S83" s="5" t="s">
        <v>441</v>
      </c>
      <c r="T83" s="6">
        <v>80</v>
      </c>
      <c r="U83" s="31" t="s">
        <v>555</v>
      </c>
      <c r="V83" s="232" t="s">
        <v>550</v>
      </c>
      <c r="W83" s="232">
        <v>-3554.6</v>
      </c>
      <c r="X83" s="232">
        <v>-7707.4</v>
      </c>
      <c r="Y83" s="233" t="s">
        <v>49</v>
      </c>
      <c r="Z83" s="87" t="s">
        <v>50</v>
      </c>
      <c r="AA83" s="233" t="s">
        <v>51</v>
      </c>
      <c r="AB83" s="234"/>
      <c r="AC83" s="233">
        <v>1</v>
      </c>
      <c r="AD83" s="233" t="s">
        <v>226</v>
      </c>
      <c r="AE83" s="234"/>
      <c r="AF83" s="233">
        <v>1100</v>
      </c>
      <c r="AG83" s="233" t="s">
        <v>556</v>
      </c>
      <c r="AH83" s="233">
        <v>2.5</v>
      </c>
      <c r="AI83" s="233">
        <v>85</v>
      </c>
      <c r="AJ83" s="233" t="s">
        <v>405</v>
      </c>
      <c r="AK83" s="233">
        <v>10</v>
      </c>
      <c r="AL83" s="233"/>
      <c r="AM83" s="233" t="s">
        <v>557</v>
      </c>
      <c r="AN83" s="233"/>
      <c r="AO83" s="233"/>
      <c r="AP83" s="234" t="s">
        <v>407</v>
      </c>
      <c r="AQ83" s="234" t="s">
        <v>408</v>
      </c>
    </row>
    <row r="84" spans="1:43">
      <c r="A84" s="6">
        <v>81</v>
      </c>
      <c r="B84" s="21" t="s">
        <v>558</v>
      </c>
      <c r="C84" s="5" t="s">
        <v>559</v>
      </c>
      <c r="D84" s="5" t="s">
        <v>560</v>
      </c>
      <c r="E84" s="5" t="s">
        <v>561</v>
      </c>
      <c r="F84" s="5" t="s">
        <v>562</v>
      </c>
      <c r="G84" s="11" t="s">
        <v>563</v>
      </c>
      <c r="H84" s="5"/>
      <c r="I84" s="5"/>
      <c r="J84" s="5"/>
      <c r="K84" s="5"/>
      <c r="L84" s="5"/>
      <c r="M84" s="5"/>
      <c r="N84" s="5"/>
      <c r="O84" s="5"/>
      <c r="P84" s="11">
        <v>250.0754</v>
      </c>
      <c r="Q84" s="5">
        <v>105.7882</v>
      </c>
      <c r="R84" s="5">
        <f t="shared" si="1"/>
        <v>355.86360000000002</v>
      </c>
      <c r="S84" s="5" t="s">
        <v>441</v>
      </c>
      <c r="T84" s="6">
        <v>81</v>
      </c>
      <c r="U84" s="31" t="s">
        <v>564</v>
      </c>
      <c r="V84" s="232" t="s">
        <v>559</v>
      </c>
      <c r="W84" s="232">
        <v>-3554.6</v>
      </c>
      <c r="X84" s="232">
        <v>-6996.2</v>
      </c>
      <c r="Y84" s="233" t="s">
        <v>49</v>
      </c>
      <c r="Z84" s="87" t="s">
        <v>50</v>
      </c>
      <c r="AA84" s="233" t="s">
        <v>51</v>
      </c>
      <c r="AB84" s="234"/>
      <c r="AC84" s="233">
        <v>1</v>
      </c>
      <c r="AD84" s="233" t="s">
        <v>226</v>
      </c>
      <c r="AE84" s="234"/>
      <c r="AF84" s="233">
        <v>1100</v>
      </c>
      <c r="AG84" s="233" t="s">
        <v>556</v>
      </c>
      <c r="AH84" s="233">
        <v>2.5</v>
      </c>
      <c r="AI84" s="233">
        <v>85</v>
      </c>
      <c r="AJ84" s="233" t="s">
        <v>405</v>
      </c>
      <c r="AK84" s="233">
        <v>10</v>
      </c>
      <c r="AL84" s="233"/>
      <c r="AM84" s="233" t="s">
        <v>565</v>
      </c>
      <c r="AN84" s="233"/>
      <c r="AO84" s="233"/>
      <c r="AP84" s="234" t="s">
        <v>407</v>
      </c>
      <c r="AQ84" s="234" t="s">
        <v>408</v>
      </c>
    </row>
    <row r="85" spans="1:43">
      <c r="A85" s="6">
        <v>82</v>
      </c>
      <c r="B85" s="21" t="s">
        <v>549</v>
      </c>
      <c r="C85" s="5" t="s">
        <v>566</v>
      </c>
      <c r="D85" s="5" t="s">
        <v>551</v>
      </c>
      <c r="E85" s="5" t="s">
        <v>552</v>
      </c>
      <c r="F85" s="5" t="s">
        <v>553</v>
      </c>
      <c r="G85" s="11" t="s">
        <v>554</v>
      </c>
      <c r="H85" s="5"/>
      <c r="I85" s="5"/>
      <c r="J85" s="5"/>
      <c r="K85" s="5"/>
      <c r="L85" s="5"/>
      <c r="M85" s="5"/>
      <c r="N85" s="5"/>
      <c r="O85" s="5"/>
      <c r="P85" s="11">
        <v>250.0693</v>
      </c>
      <c r="Q85" s="5">
        <v>105.7867</v>
      </c>
      <c r="R85" s="5">
        <f t="shared" si="1"/>
        <v>355.85599999999999</v>
      </c>
      <c r="S85" s="5" t="s">
        <v>441</v>
      </c>
      <c r="T85" s="6">
        <v>82</v>
      </c>
      <c r="U85" s="31" t="s">
        <v>567</v>
      </c>
      <c r="V85" s="232" t="s">
        <v>566</v>
      </c>
      <c r="W85" s="232">
        <v>-6390.5</v>
      </c>
      <c r="X85" s="232">
        <v>-10380.6</v>
      </c>
      <c r="Y85" s="233" t="s">
        <v>49</v>
      </c>
      <c r="Z85" s="87" t="s">
        <v>50</v>
      </c>
      <c r="AA85" s="233" t="s">
        <v>51</v>
      </c>
      <c r="AB85" s="234"/>
      <c r="AC85" s="233">
        <v>0</v>
      </c>
      <c r="AD85" s="234"/>
      <c r="AE85" s="234"/>
      <c r="AF85" s="234"/>
      <c r="AG85" s="233" t="s">
        <v>568</v>
      </c>
      <c r="AH85" s="233">
        <v>2.5</v>
      </c>
      <c r="AI85" s="233">
        <v>85</v>
      </c>
      <c r="AJ85" s="233" t="s">
        <v>405</v>
      </c>
      <c r="AK85" s="233">
        <v>10</v>
      </c>
      <c r="AL85" s="233"/>
      <c r="AM85" s="233" t="s">
        <v>557</v>
      </c>
      <c r="AN85" s="233"/>
      <c r="AO85" s="233"/>
      <c r="AP85" s="234" t="s">
        <v>407</v>
      </c>
      <c r="AQ85" s="234" t="s">
        <v>408</v>
      </c>
    </row>
    <row r="86" spans="1:43">
      <c r="A86" s="6">
        <v>83</v>
      </c>
      <c r="B86" s="21" t="s">
        <v>558</v>
      </c>
      <c r="C86" s="5" t="s">
        <v>569</v>
      </c>
      <c r="D86" s="5" t="s">
        <v>560</v>
      </c>
      <c r="E86" s="5" t="s">
        <v>561</v>
      </c>
      <c r="F86" s="5" t="s">
        <v>562</v>
      </c>
      <c r="G86" s="11" t="s">
        <v>563</v>
      </c>
      <c r="H86" s="5"/>
      <c r="I86" s="5"/>
      <c r="J86" s="5"/>
      <c r="K86" s="5"/>
      <c r="L86" s="5"/>
      <c r="M86" s="5"/>
      <c r="N86" s="5"/>
      <c r="O86" s="5"/>
      <c r="P86" s="11">
        <v>250.0754</v>
      </c>
      <c r="Q86" s="5">
        <v>105.7882</v>
      </c>
      <c r="R86" s="5">
        <f t="shared" si="1"/>
        <v>355.86360000000002</v>
      </c>
      <c r="S86" s="5" t="s">
        <v>441</v>
      </c>
      <c r="T86" s="6">
        <v>83</v>
      </c>
      <c r="U86" s="31" t="s">
        <v>570</v>
      </c>
      <c r="V86" s="232" t="s">
        <v>569</v>
      </c>
      <c r="W86" s="232">
        <v>-5889.9</v>
      </c>
      <c r="X86" s="232">
        <v>-10380.6</v>
      </c>
      <c r="Y86" s="233" t="s">
        <v>49</v>
      </c>
      <c r="Z86" s="87" t="s">
        <v>50</v>
      </c>
      <c r="AA86" s="233" t="s">
        <v>51</v>
      </c>
      <c r="AB86" s="234"/>
      <c r="AC86" s="233">
        <v>0</v>
      </c>
      <c r="AD86" s="234"/>
      <c r="AE86" s="234"/>
      <c r="AF86" s="234"/>
      <c r="AG86" s="233" t="s">
        <v>568</v>
      </c>
      <c r="AH86" s="233">
        <v>2.5</v>
      </c>
      <c r="AI86" s="233">
        <v>85</v>
      </c>
      <c r="AJ86" s="233" t="s">
        <v>405</v>
      </c>
      <c r="AK86" s="233">
        <v>10</v>
      </c>
      <c r="AL86" s="233"/>
      <c r="AM86" s="233" t="s">
        <v>565</v>
      </c>
      <c r="AN86" s="233"/>
      <c r="AO86" s="233"/>
      <c r="AP86" s="234" t="s">
        <v>407</v>
      </c>
      <c r="AQ86" s="234" t="s">
        <v>408</v>
      </c>
    </row>
    <row r="87" spans="1:43">
      <c r="A87" s="6">
        <v>84</v>
      </c>
      <c r="B87" s="21" t="s">
        <v>571</v>
      </c>
      <c r="C87" s="5" t="s">
        <v>572</v>
      </c>
      <c r="D87" s="5" t="s">
        <v>573</v>
      </c>
      <c r="E87" s="5" t="s">
        <v>574</v>
      </c>
      <c r="F87" s="5" t="s">
        <v>575</v>
      </c>
      <c r="G87" s="11" t="s">
        <v>576</v>
      </c>
      <c r="H87" s="5"/>
      <c r="I87" s="5"/>
      <c r="J87" s="5"/>
      <c r="K87" s="5"/>
      <c r="L87" s="5"/>
      <c r="M87" s="5"/>
      <c r="N87" s="5"/>
      <c r="O87" s="5"/>
      <c r="P87" s="11">
        <v>250.0701</v>
      </c>
      <c r="Q87" s="5">
        <v>105.7919</v>
      </c>
      <c r="R87" s="5">
        <f t="shared" si="1"/>
        <v>355.86199999999997</v>
      </c>
      <c r="S87" s="5" t="s">
        <v>488</v>
      </c>
      <c r="T87" s="6">
        <v>84</v>
      </c>
      <c r="U87" s="31" t="s">
        <v>577</v>
      </c>
      <c r="V87" s="232" t="s">
        <v>572</v>
      </c>
      <c r="W87" s="232">
        <v>-3554.6</v>
      </c>
      <c r="X87" s="232">
        <v>-5573.8</v>
      </c>
      <c r="Y87" s="233" t="s">
        <v>49</v>
      </c>
      <c r="Z87" s="87" t="s">
        <v>50</v>
      </c>
      <c r="AA87" s="233" t="s">
        <v>51</v>
      </c>
      <c r="AB87" s="234"/>
      <c r="AC87" s="233">
        <v>1</v>
      </c>
      <c r="AD87" s="233" t="s">
        <v>226</v>
      </c>
      <c r="AE87" s="234"/>
      <c r="AF87" s="233">
        <v>1100</v>
      </c>
      <c r="AG87" s="233" t="s">
        <v>578</v>
      </c>
      <c r="AH87" s="233">
        <v>2.5</v>
      </c>
      <c r="AI87" s="233">
        <v>85</v>
      </c>
      <c r="AJ87" s="233" t="s">
        <v>405</v>
      </c>
      <c r="AK87" s="233">
        <v>10</v>
      </c>
      <c r="AL87" s="233"/>
      <c r="AM87" s="233" t="s">
        <v>579</v>
      </c>
      <c r="AN87" s="233"/>
      <c r="AO87" s="233"/>
      <c r="AP87" s="234" t="s">
        <v>407</v>
      </c>
      <c r="AQ87" s="234" t="s">
        <v>408</v>
      </c>
    </row>
    <row r="88" spans="1:43">
      <c r="A88" s="6">
        <v>85</v>
      </c>
      <c r="B88" s="21" t="s">
        <v>580</v>
      </c>
      <c r="C88" s="5" t="s">
        <v>581</v>
      </c>
      <c r="D88" s="5" t="s">
        <v>582</v>
      </c>
      <c r="E88" s="5" t="s">
        <v>583</v>
      </c>
      <c r="F88" s="5" t="s">
        <v>584</v>
      </c>
      <c r="G88" s="11" t="s">
        <v>585</v>
      </c>
      <c r="H88" s="5"/>
      <c r="I88" s="5"/>
      <c r="J88" s="5"/>
      <c r="K88" s="5"/>
      <c r="L88" s="5"/>
      <c r="M88" s="5"/>
      <c r="N88" s="5"/>
      <c r="O88" s="5"/>
      <c r="P88" s="11">
        <v>250.0795</v>
      </c>
      <c r="Q88" s="5">
        <v>105.79300000000001</v>
      </c>
      <c r="R88" s="5">
        <f t="shared" si="1"/>
        <v>355.8725</v>
      </c>
      <c r="S88" s="5" t="s">
        <v>488</v>
      </c>
      <c r="T88" s="6">
        <v>85</v>
      </c>
      <c r="U88" s="31" t="s">
        <v>586</v>
      </c>
      <c r="V88" s="232" t="s">
        <v>581</v>
      </c>
      <c r="W88" s="232">
        <v>-3554.6</v>
      </c>
      <c r="X88" s="232">
        <v>-4862.6000000000004</v>
      </c>
      <c r="Y88" s="233" t="s">
        <v>49</v>
      </c>
      <c r="Z88" s="87" t="s">
        <v>50</v>
      </c>
      <c r="AA88" s="233" t="s">
        <v>51</v>
      </c>
      <c r="AB88" s="234"/>
      <c r="AC88" s="233">
        <v>1</v>
      </c>
      <c r="AD88" s="233" t="s">
        <v>226</v>
      </c>
      <c r="AE88" s="234"/>
      <c r="AF88" s="233">
        <v>1100</v>
      </c>
      <c r="AG88" s="233" t="s">
        <v>578</v>
      </c>
      <c r="AH88" s="233">
        <v>2.5</v>
      </c>
      <c r="AI88" s="233">
        <v>85</v>
      </c>
      <c r="AJ88" s="233" t="s">
        <v>405</v>
      </c>
      <c r="AK88" s="233">
        <v>10</v>
      </c>
      <c r="AL88" s="233"/>
      <c r="AM88" s="233" t="s">
        <v>587</v>
      </c>
      <c r="AN88" s="233"/>
      <c r="AO88" s="233"/>
      <c r="AP88" s="234" t="s">
        <v>407</v>
      </c>
      <c r="AQ88" s="234" t="s">
        <v>408</v>
      </c>
    </row>
    <row r="89" spans="1:43">
      <c r="A89" s="6">
        <v>86</v>
      </c>
      <c r="B89" s="21" t="s">
        <v>571</v>
      </c>
      <c r="C89" s="5" t="s">
        <v>588</v>
      </c>
      <c r="D89" s="5" t="s">
        <v>573</v>
      </c>
      <c r="E89" s="5" t="s">
        <v>574</v>
      </c>
      <c r="F89" s="5" t="s">
        <v>575</v>
      </c>
      <c r="G89" s="11" t="s">
        <v>576</v>
      </c>
      <c r="H89" s="5"/>
      <c r="I89" s="5"/>
      <c r="J89" s="5"/>
      <c r="K89" s="5"/>
      <c r="L89" s="5"/>
      <c r="M89" s="5"/>
      <c r="N89" s="5"/>
      <c r="O89" s="5"/>
      <c r="P89" s="11">
        <v>250.0701</v>
      </c>
      <c r="Q89" s="5">
        <v>105.7919</v>
      </c>
      <c r="R89" s="5">
        <f t="shared" si="1"/>
        <v>355.86199999999997</v>
      </c>
      <c r="S89" s="5" t="s">
        <v>488</v>
      </c>
      <c r="T89" s="6">
        <v>86</v>
      </c>
      <c r="U89" s="31" t="s">
        <v>589</v>
      </c>
      <c r="V89" s="232" t="s">
        <v>588</v>
      </c>
      <c r="W89" s="232">
        <v>-5708.2</v>
      </c>
      <c r="X89" s="232">
        <v>-11190</v>
      </c>
      <c r="Y89" s="233" t="s">
        <v>49</v>
      </c>
      <c r="Z89" s="87" t="s">
        <v>50</v>
      </c>
      <c r="AA89" s="233" t="s">
        <v>51</v>
      </c>
      <c r="AB89" s="234"/>
      <c r="AC89" s="233">
        <v>0</v>
      </c>
      <c r="AD89" s="234"/>
      <c r="AE89" s="234"/>
      <c r="AF89" s="234"/>
      <c r="AG89" s="233" t="s">
        <v>590</v>
      </c>
      <c r="AH89" s="233">
        <v>2.5</v>
      </c>
      <c r="AI89" s="233">
        <v>85</v>
      </c>
      <c r="AJ89" s="233" t="s">
        <v>405</v>
      </c>
      <c r="AK89" s="233">
        <v>10</v>
      </c>
      <c r="AL89" s="233"/>
      <c r="AM89" s="233" t="s">
        <v>579</v>
      </c>
      <c r="AN89" s="233"/>
      <c r="AO89" s="233"/>
      <c r="AP89" s="234" t="s">
        <v>407</v>
      </c>
      <c r="AQ89" s="234" t="s">
        <v>408</v>
      </c>
    </row>
    <row r="90" spans="1:43">
      <c r="A90" s="6">
        <v>87</v>
      </c>
      <c r="B90" s="21" t="s">
        <v>580</v>
      </c>
      <c r="C90" s="5" t="s">
        <v>591</v>
      </c>
      <c r="D90" s="5" t="s">
        <v>582</v>
      </c>
      <c r="E90" s="5" t="s">
        <v>583</v>
      </c>
      <c r="F90" s="5" t="s">
        <v>584</v>
      </c>
      <c r="G90" s="11" t="s">
        <v>585</v>
      </c>
      <c r="H90" s="5"/>
      <c r="I90" s="5"/>
      <c r="J90" s="5"/>
      <c r="K90" s="5"/>
      <c r="L90" s="5"/>
      <c r="M90" s="5"/>
      <c r="N90" s="5"/>
      <c r="O90" s="5"/>
      <c r="P90" s="11">
        <v>250.0795</v>
      </c>
      <c r="Q90" s="5">
        <v>105.79300000000001</v>
      </c>
      <c r="R90" s="5">
        <f t="shared" si="1"/>
        <v>355.8725</v>
      </c>
      <c r="S90" s="5" t="s">
        <v>488</v>
      </c>
      <c r="T90" s="6">
        <v>87</v>
      </c>
      <c r="U90" s="31" t="s">
        <v>592</v>
      </c>
      <c r="V90" s="232" t="s">
        <v>591</v>
      </c>
      <c r="W90" s="232">
        <v>-5207.8</v>
      </c>
      <c r="X90" s="232">
        <v>-11190</v>
      </c>
      <c r="Y90" s="233" t="s">
        <v>49</v>
      </c>
      <c r="Z90" s="87" t="s">
        <v>50</v>
      </c>
      <c r="AA90" s="233" t="s">
        <v>51</v>
      </c>
      <c r="AB90" s="234"/>
      <c r="AC90" s="233">
        <v>0</v>
      </c>
      <c r="AD90" s="234"/>
      <c r="AE90" s="234"/>
      <c r="AF90" s="234"/>
      <c r="AG90" s="233" t="s">
        <v>590</v>
      </c>
      <c r="AH90" s="233">
        <v>2.5</v>
      </c>
      <c r="AI90" s="233">
        <v>85</v>
      </c>
      <c r="AJ90" s="233" t="s">
        <v>405</v>
      </c>
      <c r="AK90" s="233">
        <v>10</v>
      </c>
      <c r="AL90" s="233"/>
      <c r="AM90" s="233" t="s">
        <v>587</v>
      </c>
      <c r="AN90" s="233"/>
      <c r="AO90" s="233"/>
      <c r="AP90" s="234" t="s">
        <v>407</v>
      </c>
      <c r="AQ90" s="234" t="s">
        <v>408</v>
      </c>
    </row>
    <row r="91" spans="1:43">
      <c r="A91" s="6">
        <v>88</v>
      </c>
      <c r="B91" s="21" t="s">
        <v>593</v>
      </c>
      <c r="C91" s="5" t="s">
        <v>594</v>
      </c>
      <c r="D91" s="5" t="s">
        <v>595</v>
      </c>
      <c r="E91" s="5" t="s">
        <v>596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11" t="s">
        <v>46</v>
      </c>
      <c r="Q91" s="5">
        <v>254.0831</v>
      </c>
      <c r="R91" s="5">
        <f t="shared" si="1"/>
        <v>254.0831</v>
      </c>
      <c r="S91" s="5" t="s">
        <v>395</v>
      </c>
      <c r="T91" s="6">
        <v>88</v>
      </c>
      <c r="U91" s="236" t="s">
        <v>597</v>
      </c>
      <c r="V91" s="232" t="s">
        <v>594</v>
      </c>
      <c r="W91" s="232">
        <v>-10633.2</v>
      </c>
      <c r="X91" s="232">
        <v>-8765.7000000000007</v>
      </c>
      <c r="Y91" s="233" t="s">
        <v>49</v>
      </c>
      <c r="Z91" s="87" t="s">
        <v>50</v>
      </c>
      <c r="AA91" s="233" t="s">
        <v>51</v>
      </c>
      <c r="AB91" s="234"/>
      <c r="AC91" s="233">
        <v>1</v>
      </c>
      <c r="AD91" s="233" t="s">
        <v>226</v>
      </c>
      <c r="AE91" s="234"/>
      <c r="AF91" s="234"/>
      <c r="AG91" s="233"/>
      <c r="AH91" s="233"/>
      <c r="AI91" s="233"/>
      <c r="AJ91" s="233"/>
      <c r="AK91" s="233"/>
      <c r="AL91" s="233"/>
      <c r="AM91" s="233"/>
      <c r="AN91" s="233"/>
      <c r="AO91" s="233"/>
      <c r="AP91" s="234"/>
      <c r="AQ91" s="234" t="s">
        <v>333</v>
      </c>
    </row>
    <row r="92" spans="1:43">
      <c r="A92" s="6">
        <v>89</v>
      </c>
      <c r="B92" s="21" t="s">
        <v>598</v>
      </c>
      <c r="C92" s="5" t="s">
        <v>599</v>
      </c>
      <c r="D92" s="5" t="s">
        <v>600</v>
      </c>
      <c r="E92" s="5" t="s">
        <v>601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11" t="s">
        <v>46</v>
      </c>
      <c r="Q92" s="5">
        <v>204.38390000000001</v>
      </c>
      <c r="R92" s="5">
        <f t="shared" si="1"/>
        <v>204.38390000000001</v>
      </c>
      <c r="S92" s="5" t="s">
        <v>74</v>
      </c>
      <c r="T92" s="6">
        <v>89</v>
      </c>
      <c r="U92" s="236" t="s">
        <v>602</v>
      </c>
      <c r="V92" s="232" t="s">
        <v>599</v>
      </c>
      <c r="W92" s="232">
        <v>-11374.8</v>
      </c>
      <c r="X92" s="232">
        <v>-9478.2000000000007</v>
      </c>
      <c r="Y92" s="233" t="s">
        <v>49</v>
      </c>
      <c r="Z92" s="87" t="s">
        <v>50</v>
      </c>
      <c r="AA92" s="233" t="s">
        <v>51</v>
      </c>
      <c r="AB92" s="234"/>
      <c r="AC92" s="233">
        <v>1</v>
      </c>
      <c r="AD92" s="233" t="s">
        <v>226</v>
      </c>
      <c r="AE92" s="234"/>
      <c r="AF92" s="234"/>
      <c r="AG92" s="234"/>
      <c r="AH92" s="233"/>
      <c r="AI92" s="233"/>
      <c r="AJ92" s="233"/>
      <c r="AK92" s="233"/>
      <c r="AL92" s="233"/>
      <c r="AM92" s="233"/>
      <c r="AN92" s="233"/>
      <c r="AO92" s="233"/>
      <c r="AP92" s="234"/>
      <c r="AQ92" s="234" t="s">
        <v>333</v>
      </c>
    </row>
    <row r="93" spans="1:43">
      <c r="A93" s="6">
        <v>90</v>
      </c>
      <c r="B93" s="21" t="s">
        <v>603</v>
      </c>
      <c r="C93" s="5" t="s">
        <v>604</v>
      </c>
      <c r="D93" s="5" t="s">
        <v>605</v>
      </c>
      <c r="E93" s="5" t="s">
        <v>605</v>
      </c>
      <c r="F93" s="5" t="s">
        <v>606</v>
      </c>
      <c r="G93" s="5"/>
      <c r="H93" s="5"/>
      <c r="I93" s="5"/>
      <c r="J93" s="5"/>
      <c r="K93" s="5"/>
      <c r="L93" s="5"/>
      <c r="M93" s="5"/>
      <c r="N93" s="5"/>
      <c r="O93" s="5"/>
      <c r="P93" s="11" t="s">
        <v>46</v>
      </c>
      <c r="Q93" s="5">
        <v>4.2365000000000004</v>
      </c>
      <c r="R93" s="5">
        <f t="shared" si="1"/>
        <v>4.2365000000000004</v>
      </c>
      <c r="S93" s="5" t="s">
        <v>67</v>
      </c>
      <c r="T93" s="6">
        <v>90</v>
      </c>
      <c r="U93" s="236" t="s">
        <v>607</v>
      </c>
      <c r="V93" s="232" t="s">
        <v>604</v>
      </c>
      <c r="W93" s="232">
        <v>-1364.5</v>
      </c>
      <c r="X93" s="232">
        <v>-10736.6</v>
      </c>
      <c r="Y93" s="233" t="s">
        <v>49</v>
      </c>
      <c r="Z93" s="87" t="s">
        <v>50</v>
      </c>
      <c r="AA93" s="233"/>
      <c r="AB93" s="234"/>
      <c r="AC93" s="233"/>
      <c r="AD93" s="234"/>
      <c r="AE93" s="234"/>
      <c r="AF93" s="234"/>
      <c r="AG93" s="234"/>
      <c r="AH93" s="233"/>
      <c r="AI93" s="233"/>
      <c r="AJ93" s="233"/>
      <c r="AK93" s="233"/>
      <c r="AL93" s="233"/>
      <c r="AM93" s="233"/>
      <c r="AN93" s="233"/>
      <c r="AO93" s="233"/>
      <c r="AP93" s="234"/>
      <c r="AQ93" s="234" t="s">
        <v>608</v>
      </c>
    </row>
    <row r="94" spans="1:43">
      <c r="A94" s="6">
        <v>91</v>
      </c>
      <c r="B94" s="21" t="s">
        <v>609</v>
      </c>
      <c r="C94" s="5" t="s">
        <v>610</v>
      </c>
      <c r="D94" s="5" t="s">
        <v>611</v>
      </c>
      <c r="E94" s="5" t="s">
        <v>612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11" t="s">
        <v>46</v>
      </c>
      <c r="Q94" s="5">
        <v>209.2253</v>
      </c>
      <c r="R94" s="5">
        <f t="shared" si="1"/>
        <v>209.2253</v>
      </c>
      <c r="S94" s="5" t="s">
        <v>60</v>
      </c>
      <c r="T94" s="6">
        <v>91</v>
      </c>
      <c r="U94" s="236" t="s">
        <v>613</v>
      </c>
      <c r="V94" s="232" t="s">
        <v>610</v>
      </c>
      <c r="W94" s="232">
        <v>546.1</v>
      </c>
      <c r="X94" s="232">
        <v>-4862.6000000000004</v>
      </c>
      <c r="Y94" s="233" t="s">
        <v>49</v>
      </c>
      <c r="Z94" s="87" t="s">
        <v>50</v>
      </c>
      <c r="AA94" s="233" t="s">
        <v>51</v>
      </c>
      <c r="AB94" s="234"/>
      <c r="AC94" s="233">
        <v>1</v>
      </c>
      <c r="AD94" s="233" t="s">
        <v>226</v>
      </c>
      <c r="AE94" s="233"/>
      <c r="AF94" s="233"/>
      <c r="AG94" s="233" t="s">
        <v>614</v>
      </c>
      <c r="AH94" s="233">
        <v>2.5</v>
      </c>
      <c r="AI94" s="233">
        <v>85</v>
      </c>
      <c r="AJ94" s="233"/>
      <c r="AK94" s="233"/>
      <c r="AL94" s="233"/>
      <c r="AM94" s="233"/>
      <c r="AN94" s="233"/>
      <c r="AO94" s="233"/>
      <c r="AP94" s="234"/>
      <c r="AQ94" s="234" t="s">
        <v>333</v>
      </c>
    </row>
    <row r="95" spans="1:43">
      <c r="A95" s="6">
        <v>92</v>
      </c>
      <c r="B95" s="21" t="s">
        <v>615</v>
      </c>
      <c r="C95" s="5" t="s">
        <v>616</v>
      </c>
      <c r="D95" s="5" t="s">
        <v>617</v>
      </c>
      <c r="E95" s="5" t="s">
        <v>618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11" t="s">
        <v>46</v>
      </c>
      <c r="Q95" s="5">
        <v>209.24160000000001</v>
      </c>
      <c r="R95" s="5">
        <f t="shared" si="1"/>
        <v>209.24160000000001</v>
      </c>
      <c r="S95" s="5" t="s">
        <v>60</v>
      </c>
      <c r="T95" s="6">
        <v>92</v>
      </c>
      <c r="U95" s="236" t="s">
        <v>619</v>
      </c>
      <c r="V95" s="232" t="s">
        <v>616</v>
      </c>
      <c r="W95" s="232">
        <v>546.1</v>
      </c>
      <c r="X95" s="232">
        <v>-4151.3999999999996</v>
      </c>
      <c r="Y95" s="233" t="s">
        <v>49</v>
      </c>
      <c r="Z95" s="87" t="s">
        <v>50</v>
      </c>
      <c r="AA95" s="233" t="s">
        <v>51</v>
      </c>
      <c r="AB95" s="234"/>
      <c r="AC95" s="233">
        <v>1</v>
      </c>
      <c r="AD95" s="233" t="s">
        <v>226</v>
      </c>
      <c r="AE95" s="233"/>
      <c r="AF95" s="233"/>
      <c r="AG95" s="233" t="s">
        <v>614</v>
      </c>
      <c r="AH95" s="233">
        <v>2.5</v>
      </c>
      <c r="AI95" s="233">
        <v>85</v>
      </c>
      <c r="AJ95" s="233"/>
      <c r="AK95" s="233"/>
      <c r="AL95" s="233"/>
      <c r="AM95" s="233"/>
      <c r="AN95" s="233"/>
      <c r="AO95" s="233"/>
      <c r="AP95" s="234"/>
      <c r="AQ95" s="234" t="s">
        <v>333</v>
      </c>
    </row>
    <row r="96" spans="1:43">
      <c r="A96" s="6">
        <v>93</v>
      </c>
      <c r="B96" s="21" t="s">
        <v>620</v>
      </c>
      <c r="C96" s="5" t="s">
        <v>621</v>
      </c>
      <c r="D96" s="5" t="s">
        <v>622</v>
      </c>
      <c r="E96" s="5" t="s">
        <v>623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11" t="s">
        <v>46</v>
      </c>
      <c r="Q96" s="5">
        <v>232.16739999999999</v>
      </c>
      <c r="R96" s="5">
        <f t="shared" si="1"/>
        <v>232.16739999999999</v>
      </c>
      <c r="S96" s="5" t="s">
        <v>344</v>
      </c>
      <c r="T96" s="6">
        <v>93</v>
      </c>
      <c r="U96" s="236" t="s">
        <v>624</v>
      </c>
      <c r="V96" s="232" t="s">
        <v>621</v>
      </c>
      <c r="W96" s="232">
        <v>11455.4</v>
      </c>
      <c r="X96" s="232">
        <v>1601.5</v>
      </c>
      <c r="Y96" s="233" t="s">
        <v>49</v>
      </c>
      <c r="Z96" s="87" t="s">
        <v>50</v>
      </c>
      <c r="AA96" s="233" t="s">
        <v>51</v>
      </c>
      <c r="AB96" s="234"/>
      <c r="AC96" s="233">
        <v>1</v>
      </c>
      <c r="AD96" s="233" t="s">
        <v>226</v>
      </c>
      <c r="AE96" s="234"/>
      <c r="AF96" s="234"/>
      <c r="AG96" s="234"/>
      <c r="AH96" s="233"/>
      <c r="AI96" s="233"/>
      <c r="AJ96" s="233"/>
      <c r="AK96" s="233"/>
      <c r="AL96" s="233"/>
      <c r="AM96" s="233"/>
      <c r="AN96" s="233"/>
      <c r="AO96" s="233"/>
      <c r="AP96" s="234"/>
      <c r="AQ96" s="234" t="s">
        <v>333</v>
      </c>
    </row>
    <row r="97" spans="1:43">
      <c r="A97" s="6">
        <v>94</v>
      </c>
      <c r="B97" s="21" t="s">
        <v>625</v>
      </c>
      <c r="C97" s="5" t="s">
        <v>626</v>
      </c>
      <c r="D97" s="5" t="s">
        <v>627</v>
      </c>
      <c r="E97" s="5" t="s">
        <v>628</v>
      </c>
      <c r="F97" s="5" t="s">
        <v>629</v>
      </c>
      <c r="G97" s="5" t="s">
        <v>630</v>
      </c>
      <c r="H97" s="11" t="s">
        <v>631</v>
      </c>
      <c r="I97" s="11" t="s">
        <v>632</v>
      </c>
      <c r="J97" s="11" t="s">
        <v>633</v>
      </c>
      <c r="K97" s="5"/>
      <c r="L97" s="5"/>
      <c r="M97" s="5"/>
      <c r="N97" s="5"/>
      <c r="O97" s="5"/>
      <c r="P97" s="11">
        <v>74.526499999999999</v>
      </c>
      <c r="Q97" s="5">
        <v>195.65559999999999</v>
      </c>
      <c r="R97" s="5">
        <f t="shared" si="1"/>
        <v>270.18209999999999</v>
      </c>
      <c r="S97" s="5" t="s">
        <v>634</v>
      </c>
      <c r="T97" s="6">
        <v>94</v>
      </c>
      <c r="U97" s="236" t="s">
        <v>635</v>
      </c>
      <c r="V97" s="232" t="s">
        <v>626</v>
      </c>
      <c r="W97" s="232">
        <v>5503.1</v>
      </c>
      <c r="X97" s="232">
        <v>-2344.5</v>
      </c>
      <c r="Y97" s="233" t="s">
        <v>49</v>
      </c>
      <c r="Z97" s="87" t="s">
        <v>50</v>
      </c>
      <c r="AA97" s="233" t="s">
        <v>51</v>
      </c>
      <c r="AB97" s="234"/>
      <c r="AC97" s="233">
        <v>1</v>
      </c>
      <c r="AD97" s="233" t="s">
        <v>226</v>
      </c>
      <c r="AE97" s="233"/>
      <c r="AF97" s="233"/>
      <c r="AG97" s="234"/>
      <c r="AH97" s="233"/>
      <c r="AI97" s="233"/>
      <c r="AJ97" s="233"/>
      <c r="AK97" s="233"/>
      <c r="AL97" s="233"/>
      <c r="AM97" s="233"/>
      <c r="AN97" s="233"/>
      <c r="AO97" s="233" t="s">
        <v>636</v>
      </c>
      <c r="AP97" s="234"/>
      <c r="AQ97" s="234" t="s">
        <v>637</v>
      </c>
    </row>
    <row r="98" spans="1:43">
      <c r="A98" s="6">
        <v>95</v>
      </c>
      <c r="B98" s="21" t="s">
        <v>638</v>
      </c>
      <c r="C98" s="5" t="s">
        <v>639</v>
      </c>
      <c r="D98" s="5" t="s">
        <v>640</v>
      </c>
      <c r="E98" s="5" t="s">
        <v>641</v>
      </c>
      <c r="F98" s="5" t="s">
        <v>642</v>
      </c>
      <c r="G98" s="5"/>
      <c r="H98" s="5"/>
      <c r="I98" s="5"/>
      <c r="J98" s="5"/>
      <c r="K98" s="5"/>
      <c r="L98" s="5"/>
      <c r="M98" s="5"/>
      <c r="N98" s="5"/>
      <c r="O98" s="5"/>
      <c r="P98" s="11" t="s">
        <v>46</v>
      </c>
      <c r="Q98" s="5">
        <v>261.51139999999998</v>
      </c>
      <c r="R98" s="5">
        <f t="shared" si="1"/>
        <v>261.51139999999998</v>
      </c>
      <c r="S98" s="5" t="s">
        <v>643</v>
      </c>
      <c r="T98" s="6">
        <v>95</v>
      </c>
      <c r="U98" s="236" t="s">
        <v>644</v>
      </c>
      <c r="V98" s="232" t="s">
        <v>639</v>
      </c>
      <c r="W98" s="232">
        <v>4779.2</v>
      </c>
      <c r="X98" s="232">
        <v>-2344.5</v>
      </c>
      <c r="Y98" s="233" t="s">
        <v>49</v>
      </c>
      <c r="Z98" s="87" t="s">
        <v>50</v>
      </c>
      <c r="AA98" s="233" t="s">
        <v>51</v>
      </c>
      <c r="AB98" s="234"/>
      <c r="AC98" s="233">
        <v>1</v>
      </c>
      <c r="AD98" s="233" t="s">
        <v>226</v>
      </c>
      <c r="AE98" s="233"/>
      <c r="AF98" s="233"/>
      <c r="AG98" s="234"/>
      <c r="AH98" s="233"/>
      <c r="AI98" s="233"/>
      <c r="AJ98" s="233"/>
      <c r="AK98" s="233"/>
      <c r="AL98" s="233"/>
      <c r="AM98" s="233"/>
      <c r="AN98" s="233"/>
      <c r="AO98" s="233" t="s">
        <v>636</v>
      </c>
      <c r="AP98" s="234"/>
      <c r="AQ98" s="234" t="s">
        <v>645</v>
      </c>
    </row>
    <row r="99" spans="1:43">
      <c r="A99" s="6">
        <v>96</v>
      </c>
      <c r="B99" s="21" t="s">
        <v>646</v>
      </c>
      <c r="C99" s="5" t="s">
        <v>647</v>
      </c>
      <c r="D99" s="5" t="s">
        <v>648</v>
      </c>
      <c r="E99" s="5" t="s">
        <v>649</v>
      </c>
      <c r="F99" s="5" t="s">
        <v>650</v>
      </c>
      <c r="G99" s="5"/>
      <c r="H99" s="5"/>
      <c r="I99" s="5"/>
      <c r="J99" s="5"/>
      <c r="K99" s="5"/>
      <c r="L99" s="5"/>
      <c r="M99" s="5"/>
      <c r="N99" s="5"/>
      <c r="O99" s="5"/>
      <c r="P99" s="11" t="s">
        <v>46</v>
      </c>
      <c r="Q99" s="5">
        <v>209.29810000000001</v>
      </c>
      <c r="R99" s="5">
        <f t="shared" si="1"/>
        <v>209.29810000000001</v>
      </c>
      <c r="S99" s="5" t="s">
        <v>395</v>
      </c>
      <c r="T99" s="6">
        <v>96</v>
      </c>
      <c r="U99" s="236" t="s">
        <v>651</v>
      </c>
      <c r="V99" s="232" t="s">
        <v>647</v>
      </c>
      <c r="W99" s="232">
        <v>12922</v>
      </c>
      <c r="X99" s="232">
        <v>-9407.2000000000007</v>
      </c>
      <c r="Y99" s="233" t="s">
        <v>49</v>
      </c>
      <c r="Z99" s="87" t="s">
        <v>50</v>
      </c>
      <c r="AA99" s="233" t="s">
        <v>51</v>
      </c>
      <c r="AB99" s="234"/>
      <c r="AC99" s="233">
        <v>1</v>
      </c>
      <c r="AD99" s="233" t="s">
        <v>226</v>
      </c>
      <c r="AE99" s="233"/>
      <c r="AF99" s="233"/>
      <c r="AG99" s="233" t="s">
        <v>652</v>
      </c>
      <c r="AH99" s="233">
        <v>5</v>
      </c>
      <c r="AI99" s="233">
        <v>100</v>
      </c>
      <c r="AJ99" s="233"/>
      <c r="AK99" s="233"/>
      <c r="AL99" s="233"/>
      <c r="AM99" s="233"/>
      <c r="AN99" s="233"/>
      <c r="AO99" s="233" t="s">
        <v>636</v>
      </c>
      <c r="AP99" s="234"/>
      <c r="AQ99" s="234" t="s">
        <v>653</v>
      </c>
    </row>
    <row r="100" spans="1:43">
      <c r="A100" s="6">
        <v>97</v>
      </c>
      <c r="B100" s="21" t="s">
        <v>654</v>
      </c>
      <c r="C100" s="5" t="s">
        <v>655</v>
      </c>
      <c r="D100" s="5" t="s">
        <v>656</v>
      </c>
      <c r="E100" s="5" t="s">
        <v>657</v>
      </c>
      <c r="F100" s="5" t="s">
        <v>658</v>
      </c>
      <c r="G100" s="5"/>
      <c r="H100" s="5"/>
      <c r="I100" s="5"/>
      <c r="J100" s="5"/>
      <c r="K100" s="5"/>
      <c r="L100" s="5"/>
      <c r="M100" s="5"/>
      <c r="N100" s="5"/>
      <c r="O100" s="5"/>
      <c r="P100" s="11" t="s">
        <v>46</v>
      </c>
      <c r="Q100" s="5">
        <v>209.21260000000001</v>
      </c>
      <c r="R100" s="5">
        <f t="shared" si="1"/>
        <v>209.21260000000001</v>
      </c>
      <c r="S100" s="5" t="s">
        <v>395</v>
      </c>
      <c r="T100" s="6">
        <v>97</v>
      </c>
      <c r="U100" s="236" t="s">
        <v>659</v>
      </c>
      <c r="V100" s="232" t="s">
        <v>655</v>
      </c>
      <c r="W100" s="232">
        <v>12547</v>
      </c>
      <c r="X100" s="232">
        <v>-8975.4</v>
      </c>
      <c r="Y100" s="233" t="s">
        <v>49</v>
      </c>
      <c r="Z100" s="87" t="s">
        <v>50</v>
      </c>
      <c r="AA100" s="233" t="s">
        <v>51</v>
      </c>
      <c r="AB100" s="234"/>
      <c r="AC100" s="233">
        <v>1</v>
      </c>
      <c r="AD100" s="233" t="s">
        <v>226</v>
      </c>
      <c r="AE100" s="233"/>
      <c r="AF100" s="233"/>
      <c r="AG100" s="233" t="s">
        <v>652</v>
      </c>
      <c r="AH100" s="233">
        <v>5</v>
      </c>
      <c r="AI100" s="233">
        <v>100</v>
      </c>
      <c r="AJ100" s="233"/>
      <c r="AK100" s="233"/>
      <c r="AL100" s="233"/>
      <c r="AM100" s="233"/>
      <c r="AN100" s="233"/>
      <c r="AO100" s="233" t="s">
        <v>636</v>
      </c>
      <c r="AP100" s="234"/>
      <c r="AQ100" s="234" t="s">
        <v>653</v>
      </c>
    </row>
    <row r="101" spans="1:43">
      <c r="A101" s="6">
        <v>98</v>
      </c>
      <c r="B101" s="21" t="s">
        <v>660</v>
      </c>
      <c r="C101" s="5" t="s">
        <v>661</v>
      </c>
      <c r="D101" s="5" t="s">
        <v>662</v>
      </c>
      <c r="E101" s="5" t="s">
        <v>663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11" t="s">
        <v>46</v>
      </c>
      <c r="Q101" s="5">
        <v>143.96100000000001</v>
      </c>
      <c r="R101" s="5">
        <f t="shared" si="1"/>
        <v>143.96100000000001</v>
      </c>
      <c r="S101" s="5" t="s">
        <v>395</v>
      </c>
      <c r="T101" s="6">
        <v>98</v>
      </c>
      <c r="U101" s="236" t="s">
        <v>664</v>
      </c>
      <c r="V101" s="232" t="s">
        <v>661</v>
      </c>
      <c r="W101" s="232">
        <v>12397.7</v>
      </c>
      <c r="X101" s="232">
        <v>0</v>
      </c>
      <c r="Y101" s="233" t="s">
        <v>49</v>
      </c>
      <c r="Z101" s="87" t="s">
        <v>50</v>
      </c>
      <c r="AA101" s="233" t="s">
        <v>51</v>
      </c>
      <c r="AB101" s="234"/>
      <c r="AC101" s="233">
        <v>1</v>
      </c>
      <c r="AD101" s="233" t="s">
        <v>226</v>
      </c>
      <c r="AE101" s="234"/>
      <c r="AF101" s="234"/>
      <c r="AG101" s="234"/>
      <c r="AH101" s="233"/>
      <c r="AI101" s="233"/>
      <c r="AJ101" s="233"/>
      <c r="AK101" s="233"/>
      <c r="AL101" s="233"/>
      <c r="AM101" s="233"/>
      <c r="AN101" s="233"/>
      <c r="AO101" s="233"/>
      <c r="AP101" s="234"/>
      <c r="AQ101" s="234" t="s">
        <v>333</v>
      </c>
    </row>
    <row r="102" spans="1:43">
      <c r="A102" s="6">
        <v>99</v>
      </c>
      <c r="B102" s="21" t="s">
        <v>665</v>
      </c>
      <c r="C102" s="5" t="s">
        <v>666</v>
      </c>
      <c r="D102" s="5" t="s">
        <v>605</v>
      </c>
      <c r="E102" s="5" t="s">
        <v>605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11" t="s">
        <v>46</v>
      </c>
      <c r="Q102" s="5" t="s">
        <v>46</v>
      </c>
      <c r="R102" s="5" t="str">
        <f t="shared" si="1"/>
        <v/>
      </c>
      <c r="S102" s="5" t="s">
        <v>46</v>
      </c>
      <c r="T102" s="6">
        <v>99</v>
      </c>
      <c r="U102" s="238" t="s">
        <v>667</v>
      </c>
      <c r="V102" s="239" t="s">
        <v>666</v>
      </c>
      <c r="W102" s="239"/>
      <c r="X102" s="239"/>
      <c r="Y102" s="88" t="s">
        <v>668</v>
      </c>
      <c r="Z102" s="240"/>
      <c r="AA102" s="240" t="s">
        <v>669</v>
      </c>
      <c r="AB102" s="238"/>
      <c r="AC102" s="240"/>
      <c r="AD102" s="240"/>
      <c r="AE102" s="238"/>
      <c r="AF102" s="238"/>
      <c r="AG102" s="238"/>
      <c r="AH102" s="240"/>
      <c r="AI102" s="240"/>
      <c r="AJ102" s="240"/>
      <c r="AK102" s="240"/>
      <c r="AL102" s="240"/>
      <c r="AM102" s="240"/>
      <c r="AN102" s="240"/>
      <c r="AO102" s="240"/>
      <c r="AP102" s="238"/>
      <c r="AQ102" s="235" t="s">
        <v>670</v>
      </c>
    </row>
    <row r="103" spans="1:43">
      <c r="A103" s="6">
        <v>100</v>
      </c>
      <c r="B103" s="21" t="s">
        <v>671</v>
      </c>
      <c r="C103" s="5" t="s">
        <v>672</v>
      </c>
      <c r="D103" s="5" t="s">
        <v>673</v>
      </c>
      <c r="E103" s="5" t="s">
        <v>674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11" t="s">
        <v>46</v>
      </c>
      <c r="Q103" s="5">
        <v>142.33080000000001</v>
      </c>
      <c r="R103" s="5">
        <f t="shared" si="1"/>
        <v>142.33080000000001</v>
      </c>
      <c r="S103" s="5" t="s">
        <v>67</v>
      </c>
      <c r="T103" s="6">
        <v>100</v>
      </c>
      <c r="U103" s="172" t="s">
        <v>675</v>
      </c>
      <c r="V103" s="232" t="s">
        <v>672</v>
      </c>
      <c r="W103" s="232">
        <v>7674.8</v>
      </c>
      <c r="X103" s="232">
        <v>3335.2</v>
      </c>
      <c r="Y103" s="233" t="s">
        <v>49</v>
      </c>
      <c r="Z103" s="87" t="s">
        <v>50</v>
      </c>
      <c r="AA103" s="233" t="s">
        <v>51</v>
      </c>
      <c r="AB103" s="234"/>
      <c r="AC103" s="233">
        <v>1</v>
      </c>
      <c r="AD103" s="233" t="s">
        <v>226</v>
      </c>
      <c r="AE103" s="234"/>
      <c r="AF103" s="234"/>
      <c r="AG103" s="234"/>
      <c r="AH103" s="233"/>
      <c r="AI103" s="233"/>
      <c r="AJ103" s="233"/>
      <c r="AK103" s="233"/>
      <c r="AL103" s="233"/>
      <c r="AM103" s="233"/>
      <c r="AN103" s="233"/>
      <c r="AO103" s="233"/>
      <c r="AP103" s="234"/>
      <c r="AQ103" s="234" t="s">
        <v>333</v>
      </c>
    </row>
    <row r="104" spans="1:43">
      <c r="A104" s="6">
        <v>101</v>
      </c>
      <c r="B104" s="21" t="s">
        <v>676</v>
      </c>
      <c r="C104" s="5" t="s">
        <v>677</v>
      </c>
      <c r="D104" s="5" t="s">
        <v>678</v>
      </c>
      <c r="E104" s="5" t="s">
        <v>679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11" t="s">
        <v>46</v>
      </c>
      <c r="Q104" s="5">
        <v>99.833399999999997</v>
      </c>
      <c r="R104" s="5">
        <f t="shared" si="1"/>
        <v>99.833399999999997</v>
      </c>
      <c r="S104" s="5" t="s">
        <v>74</v>
      </c>
      <c r="T104" s="6">
        <v>101</v>
      </c>
      <c r="U104" s="172" t="s">
        <v>680</v>
      </c>
      <c r="V104" s="232" t="s">
        <v>677</v>
      </c>
      <c r="W104" s="232">
        <v>8983.5</v>
      </c>
      <c r="X104" s="232">
        <v>3258.8</v>
      </c>
      <c r="Y104" s="233" t="s">
        <v>49</v>
      </c>
      <c r="Z104" s="87" t="s">
        <v>50</v>
      </c>
      <c r="AA104" s="233" t="s">
        <v>51</v>
      </c>
      <c r="AB104" s="234"/>
      <c r="AC104" s="233">
        <v>1</v>
      </c>
      <c r="AD104" s="233" t="s">
        <v>226</v>
      </c>
      <c r="AE104" s="234"/>
      <c r="AF104" s="234"/>
      <c r="AG104" s="234"/>
      <c r="AH104" s="233"/>
      <c r="AI104" s="233"/>
      <c r="AJ104" s="233"/>
      <c r="AK104" s="233"/>
      <c r="AL104" s="233"/>
      <c r="AM104" s="233"/>
      <c r="AN104" s="233"/>
      <c r="AO104" s="233"/>
      <c r="AP104" s="234"/>
      <c r="AQ104" s="234" t="s">
        <v>333</v>
      </c>
    </row>
    <row r="105" spans="1:43">
      <c r="A105" s="6">
        <v>102</v>
      </c>
      <c r="B105" s="21" t="s">
        <v>681</v>
      </c>
      <c r="C105" s="5" t="s">
        <v>682</v>
      </c>
      <c r="D105" s="5" t="s">
        <v>683</v>
      </c>
      <c r="E105" s="5" t="s">
        <v>684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11" t="s">
        <v>46</v>
      </c>
      <c r="Q105" s="5">
        <v>241.9545</v>
      </c>
      <c r="R105" s="5">
        <f t="shared" si="1"/>
        <v>241.9545</v>
      </c>
      <c r="S105" s="5" t="s">
        <v>685</v>
      </c>
      <c r="T105" s="6">
        <v>102</v>
      </c>
      <c r="U105" s="172" t="s">
        <v>686</v>
      </c>
      <c r="V105" s="232" t="s">
        <v>682</v>
      </c>
      <c r="W105" s="232">
        <v>10359.1</v>
      </c>
      <c r="X105" s="232">
        <v>2395.1999999999998</v>
      </c>
      <c r="Y105" s="233" t="s">
        <v>49</v>
      </c>
      <c r="Z105" s="87" t="s">
        <v>50</v>
      </c>
      <c r="AA105" s="233" t="s">
        <v>51</v>
      </c>
      <c r="AB105" s="234"/>
      <c r="AC105" s="233">
        <v>1</v>
      </c>
      <c r="AD105" s="233" t="s">
        <v>226</v>
      </c>
      <c r="AE105" s="234"/>
      <c r="AF105" s="234"/>
      <c r="AG105" s="234"/>
      <c r="AH105" s="233"/>
      <c r="AI105" s="233"/>
      <c r="AJ105" s="233"/>
      <c r="AK105" s="233"/>
      <c r="AL105" s="233"/>
      <c r="AM105" s="233"/>
      <c r="AN105" s="233"/>
      <c r="AO105" s="233"/>
      <c r="AP105" s="234"/>
      <c r="AQ105" s="234" t="s">
        <v>333</v>
      </c>
    </row>
    <row r="106" spans="1:43">
      <c r="A106" s="6">
        <v>103</v>
      </c>
      <c r="B106" s="21" t="s">
        <v>687</v>
      </c>
      <c r="C106" s="5" t="s">
        <v>688</v>
      </c>
      <c r="D106" s="5" t="s">
        <v>689</v>
      </c>
      <c r="E106" s="5" t="s">
        <v>690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11" t="s">
        <v>46</v>
      </c>
      <c r="Q106" s="5">
        <v>153.21789999999999</v>
      </c>
      <c r="R106" s="5">
        <f t="shared" si="1"/>
        <v>153.21789999999999</v>
      </c>
      <c r="S106" s="5" t="s">
        <v>395</v>
      </c>
      <c r="T106" s="6">
        <v>103</v>
      </c>
      <c r="U106" s="172" t="s">
        <v>691</v>
      </c>
      <c r="V106" s="232" t="s">
        <v>688</v>
      </c>
      <c r="W106" s="232">
        <v>9665.7000000000007</v>
      </c>
      <c r="X106" s="232">
        <v>3495</v>
      </c>
      <c r="Y106" s="233" t="s">
        <v>49</v>
      </c>
      <c r="Z106" s="87" t="s">
        <v>50</v>
      </c>
      <c r="AA106" s="233" t="s">
        <v>51</v>
      </c>
      <c r="AB106" s="234"/>
      <c r="AC106" s="233">
        <v>1</v>
      </c>
      <c r="AD106" s="233" t="s">
        <v>226</v>
      </c>
      <c r="AE106" s="234"/>
      <c r="AF106" s="234"/>
      <c r="AG106" s="234"/>
      <c r="AH106" s="233"/>
      <c r="AI106" s="233"/>
      <c r="AJ106" s="233"/>
      <c r="AK106" s="233"/>
      <c r="AL106" s="233"/>
      <c r="AM106" s="233"/>
      <c r="AN106" s="233"/>
      <c r="AO106" s="233"/>
      <c r="AP106" s="234"/>
      <c r="AQ106" s="234" t="s">
        <v>333</v>
      </c>
    </row>
    <row r="107" spans="1:43">
      <c r="A107" s="6">
        <v>104</v>
      </c>
      <c r="B107" s="21" t="s">
        <v>692</v>
      </c>
      <c r="C107" s="5" t="s">
        <v>693</v>
      </c>
      <c r="D107" s="5" t="s">
        <v>694</v>
      </c>
      <c r="E107" s="5" t="s">
        <v>695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11" t="s">
        <v>46</v>
      </c>
      <c r="Q107" s="5">
        <v>228.3186</v>
      </c>
      <c r="R107" s="5">
        <f t="shared" si="1"/>
        <v>228.3186</v>
      </c>
      <c r="S107" s="5" t="s">
        <v>344</v>
      </c>
      <c r="T107" s="6">
        <v>104</v>
      </c>
      <c r="U107" s="172" t="s">
        <v>696</v>
      </c>
      <c r="V107" s="232" t="s">
        <v>693</v>
      </c>
      <c r="W107" s="232">
        <v>9670.7999999999993</v>
      </c>
      <c r="X107" s="232">
        <v>2204.6999999999998</v>
      </c>
      <c r="Y107" s="233" t="s">
        <v>49</v>
      </c>
      <c r="Z107" s="87" t="s">
        <v>50</v>
      </c>
      <c r="AA107" s="233" t="s">
        <v>51</v>
      </c>
      <c r="AB107" s="234"/>
      <c r="AC107" s="233">
        <v>1</v>
      </c>
      <c r="AD107" s="233" t="s">
        <v>226</v>
      </c>
      <c r="AE107" s="234"/>
      <c r="AF107" s="234"/>
      <c r="AG107" s="234"/>
      <c r="AH107" s="233"/>
      <c r="AI107" s="233"/>
      <c r="AJ107" s="233"/>
      <c r="AK107" s="233"/>
      <c r="AL107" s="233"/>
      <c r="AM107" s="233"/>
      <c r="AN107" s="233"/>
      <c r="AO107" s="233"/>
      <c r="AP107" s="234"/>
      <c r="AQ107" s="234" t="s">
        <v>333</v>
      </c>
    </row>
    <row r="108" spans="1:43">
      <c r="A108" s="6">
        <v>105</v>
      </c>
      <c r="B108" s="21" t="s">
        <v>697</v>
      </c>
      <c r="C108" s="5" t="s">
        <v>698</v>
      </c>
      <c r="D108" s="5" t="s">
        <v>699</v>
      </c>
      <c r="E108" s="5" t="s">
        <v>700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11" t="s">
        <v>46</v>
      </c>
      <c r="Q108" s="5">
        <v>244.5812</v>
      </c>
      <c r="R108" s="5">
        <f t="shared" si="1"/>
        <v>244.5812</v>
      </c>
      <c r="S108" s="5" t="s">
        <v>685</v>
      </c>
      <c r="T108" s="6">
        <v>105</v>
      </c>
      <c r="U108" s="172" t="s">
        <v>701</v>
      </c>
      <c r="V108" s="232" t="s">
        <v>698</v>
      </c>
      <c r="W108" s="232">
        <v>11047.5</v>
      </c>
      <c r="X108" s="232">
        <v>2585.6999999999998</v>
      </c>
      <c r="Y108" s="233" t="s">
        <v>49</v>
      </c>
      <c r="Z108" s="87" t="s">
        <v>50</v>
      </c>
      <c r="AA108" s="233" t="s">
        <v>51</v>
      </c>
      <c r="AB108" s="234"/>
      <c r="AC108" s="233">
        <v>1</v>
      </c>
      <c r="AD108" s="233" t="s">
        <v>226</v>
      </c>
      <c r="AE108" s="234"/>
      <c r="AF108" s="234"/>
      <c r="AG108" s="234"/>
      <c r="AH108" s="233"/>
      <c r="AI108" s="233"/>
      <c r="AJ108" s="233"/>
      <c r="AK108" s="233"/>
      <c r="AL108" s="233"/>
      <c r="AM108" s="233"/>
      <c r="AN108" s="233"/>
      <c r="AO108" s="233"/>
      <c r="AP108" s="234"/>
      <c r="AQ108" s="234" t="s">
        <v>333</v>
      </c>
    </row>
    <row r="109" spans="1:43">
      <c r="A109" s="6">
        <v>106</v>
      </c>
      <c r="B109" s="21" t="s">
        <v>702</v>
      </c>
      <c r="C109" s="5" t="s">
        <v>703</v>
      </c>
      <c r="D109" s="5" t="s">
        <v>704</v>
      </c>
      <c r="E109" s="5" t="s">
        <v>705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11" t="s">
        <v>46</v>
      </c>
      <c r="Q109" s="5">
        <v>162.9049</v>
      </c>
      <c r="R109" s="5">
        <f t="shared" si="1"/>
        <v>162.9049</v>
      </c>
      <c r="S109" s="5" t="s">
        <v>706</v>
      </c>
      <c r="T109" s="6">
        <v>106</v>
      </c>
      <c r="U109" s="172" t="s">
        <v>707</v>
      </c>
      <c r="V109" s="232" t="s">
        <v>703</v>
      </c>
      <c r="W109" s="232">
        <v>12413</v>
      </c>
      <c r="X109" s="232">
        <v>1901.2</v>
      </c>
      <c r="Y109" s="233" t="s">
        <v>49</v>
      </c>
      <c r="Z109" s="87" t="s">
        <v>50</v>
      </c>
      <c r="AA109" s="233" t="s">
        <v>51</v>
      </c>
      <c r="AB109" s="234"/>
      <c r="AC109" s="233">
        <v>1</v>
      </c>
      <c r="AD109" s="233" t="s">
        <v>226</v>
      </c>
      <c r="AE109" s="234"/>
      <c r="AF109" s="234"/>
      <c r="AG109" s="234"/>
      <c r="AH109" s="233"/>
      <c r="AI109" s="233"/>
      <c r="AJ109" s="233"/>
      <c r="AK109" s="233"/>
      <c r="AL109" s="233"/>
      <c r="AM109" s="233"/>
      <c r="AN109" s="233"/>
      <c r="AO109" s="233"/>
      <c r="AP109" s="234"/>
      <c r="AQ109" s="234" t="s">
        <v>333</v>
      </c>
    </row>
    <row r="110" spans="1:43">
      <c r="A110" s="6">
        <v>107</v>
      </c>
      <c r="B110" s="21" t="s">
        <v>708</v>
      </c>
      <c r="C110" s="5" t="s">
        <v>709</v>
      </c>
      <c r="D110" s="5" t="s">
        <v>710</v>
      </c>
      <c r="E110" s="5" t="s">
        <v>711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11" t="s">
        <v>46</v>
      </c>
      <c r="Q110" s="5">
        <v>151.60140000000001</v>
      </c>
      <c r="R110" s="5">
        <f t="shared" si="1"/>
        <v>151.60140000000001</v>
      </c>
      <c r="S110" s="5" t="s">
        <v>395</v>
      </c>
      <c r="T110" s="6">
        <v>107</v>
      </c>
      <c r="U110" s="172" t="s">
        <v>712</v>
      </c>
      <c r="V110" s="232" t="s">
        <v>709</v>
      </c>
      <c r="W110" s="232">
        <v>6950.9</v>
      </c>
      <c r="X110" s="232">
        <v>3335.2</v>
      </c>
      <c r="Y110" s="233" t="s">
        <v>49</v>
      </c>
      <c r="Z110" s="87" t="s">
        <v>50</v>
      </c>
      <c r="AA110" s="233" t="s">
        <v>51</v>
      </c>
      <c r="AB110" s="234"/>
      <c r="AC110" s="233">
        <v>1</v>
      </c>
      <c r="AD110" s="233" t="s">
        <v>226</v>
      </c>
      <c r="AE110" s="234"/>
      <c r="AF110" s="234"/>
      <c r="AG110" s="234"/>
      <c r="AH110" s="233"/>
      <c r="AI110" s="233"/>
      <c r="AJ110" s="233"/>
      <c r="AK110" s="233"/>
      <c r="AL110" s="233"/>
      <c r="AM110" s="233"/>
      <c r="AN110" s="233"/>
      <c r="AO110" s="233"/>
      <c r="AP110" s="234"/>
      <c r="AQ110" s="234" t="s">
        <v>333</v>
      </c>
    </row>
    <row r="111" spans="1:43">
      <c r="A111" s="6">
        <v>108</v>
      </c>
      <c r="B111" s="21" t="s">
        <v>713</v>
      </c>
      <c r="C111" s="5" t="s">
        <v>714</v>
      </c>
      <c r="D111" s="5" t="s">
        <v>715</v>
      </c>
      <c r="E111" s="5" t="s">
        <v>716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 t="s">
        <v>46</v>
      </c>
      <c r="Q111" s="5">
        <v>105.1824</v>
      </c>
      <c r="R111" s="5">
        <f t="shared" si="1"/>
        <v>105.1824</v>
      </c>
      <c r="S111" s="5" t="s">
        <v>74</v>
      </c>
      <c r="T111" s="6">
        <v>108</v>
      </c>
      <c r="U111" s="172" t="s">
        <v>717</v>
      </c>
      <c r="V111" s="232" t="s">
        <v>714</v>
      </c>
      <c r="W111" s="232">
        <v>8982.5</v>
      </c>
      <c r="X111" s="232">
        <v>2014.2</v>
      </c>
      <c r="Y111" s="233" t="s">
        <v>49</v>
      </c>
      <c r="Z111" s="87" t="s">
        <v>50</v>
      </c>
      <c r="AA111" s="233" t="s">
        <v>51</v>
      </c>
      <c r="AB111" s="234"/>
      <c r="AC111" s="233">
        <v>1</v>
      </c>
      <c r="AD111" s="233" t="s">
        <v>226</v>
      </c>
      <c r="AE111" s="234"/>
      <c r="AF111" s="234"/>
      <c r="AG111" s="234"/>
      <c r="AH111" s="233"/>
      <c r="AI111" s="233"/>
      <c r="AJ111" s="233"/>
      <c r="AK111" s="233"/>
      <c r="AL111" s="233"/>
      <c r="AM111" s="233"/>
      <c r="AN111" s="233"/>
      <c r="AO111" s="233"/>
      <c r="AP111" s="234"/>
      <c r="AQ111" s="234" t="s">
        <v>333</v>
      </c>
    </row>
    <row r="112" spans="1:43">
      <c r="A112" s="6">
        <v>109</v>
      </c>
      <c r="B112" s="21" t="s">
        <v>718</v>
      </c>
      <c r="C112" s="5" t="s">
        <v>719</v>
      </c>
      <c r="D112" s="5" t="s">
        <v>720</v>
      </c>
      <c r="E112" s="5" t="s">
        <v>721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11" t="s">
        <v>46</v>
      </c>
      <c r="Q112" s="5">
        <v>241.15360000000001</v>
      </c>
      <c r="R112" s="5">
        <f t="shared" si="1"/>
        <v>241.15360000000001</v>
      </c>
      <c r="S112" s="5" t="s">
        <v>685</v>
      </c>
      <c r="T112" s="6">
        <v>109</v>
      </c>
      <c r="U112" s="172" t="s">
        <v>722</v>
      </c>
      <c r="V112" s="232" t="s">
        <v>719</v>
      </c>
      <c r="W112" s="232">
        <v>10316.299999999999</v>
      </c>
      <c r="X112" s="232">
        <v>3843</v>
      </c>
      <c r="Y112" s="233" t="s">
        <v>49</v>
      </c>
      <c r="Z112" s="87" t="s">
        <v>50</v>
      </c>
      <c r="AA112" s="233" t="s">
        <v>51</v>
      </c>
      <c r="AB112" s="234"/>
      <c r="AC112" s="233">
        <v>1</v>
      </c>
      <c r="AD112" s="233" t="s">
        <v>226</v>
      </c>
      <c r="AE112" s="234"/>
      <c r="AF112" s="234"/>
      <c r="AG112" s="234"/>
      <c r="AH112" s="233"/>
      <c r="AI112" s="233"/>
      <c r="AJ112" s="233"/>
      <c r="AK112" s="233"/>
      <c r="AL112" s="233"/>
      <c r="AM112" s="233"/>
      <c r="AN112" s="233"/>
      <c r="AO112" s="233"/>
      <c r="AP112" s="234"/>
      <c r="AQ112" s="234" t="s">
        <v>333</v>
      </c>
    </row>
    <row r="113" spans="1:43">
      <c r="A113" s="6">
        <v>110</v>
      </c>
      <c r="B113" s="21" t="s">
        <v>723</v>
      </c>
      <c r="C113" s="5" t="s">
        <v>724</v>
      </c>
      <c r="D113" s="5" t="s">
        <v>725</v>
      </c>
      <c r="E113" s="5" t="s">
        <v>726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11" t="s">
        <v>46</v>
      </c>
      <c r="Q113" s="5">
        <v>146.91030000000001</v>
      </c>
      <c r="R113" s="5">
        <f t="shared" si="1"/>
        <v>146.91030000000001</v>
      </c>
      <c r="S113" s="5" t="s">
        <v>395</v>
      </c>
      <c r="T113" s="6">
        <v>110</v>
      </c>
      <c r="U113" s="172" t="s">
        <v>727</v>
      </c>
      <c r="V113" s="232" t="s">
        <v>724</v>
      </c>
      <c r="W113" s="232">
        <v>12217.9</v>
      </c>
      <c r="X113" s="232">
        <v>2366.3000000000002</v>
      </c>
      <c r="Y113" s="233" t="s">
        <v>49</v>
      </c>
      <c r="Z113" s="87" t="s">
        <v>50</v>
      </c>
      <c r="AA113" s="233" t="s">
        <v>51</v>
      </c>
      <c r="AB113" s="234"/>
      <c r="AC113" s="233">
        <v>1</v>
      </c>
      <c r="AD113" s="233" t="s">
        <v>226</v>
      </c>
      <c r="AE113" s="234"/>
      <c r="AF113" s="234"/>
      <c r="AG113" s="234"/>
      <c r="AH113" s="233"/>
      <c r="AI113" s="233"/>
      <c r="AJ113" s="233"/>
      <c r="AK113" s="233"/>
      <c r="AL113" s="233"/>
      <c r="AM113" s="233"/>
      <c r="AN113" s="233"/>
      <c r="AO113" s="233"/>
      <c r="AP113" s="234"/>
      <c r="AQ113" s="234" t="s">
        <v>333</v>
      </c>
    </row>
    <row r="114" spans="1:43">
      <c r="A114" s="6">
        <v>111</v>
      </c>
      <c r="B114" s="21" t="s">
        <v>728</v>
      </c>
      <c r="C114" s="5" t="s">
        <v>729</v>
      </c>
      <c r="D114" s="5" t="s">
        <v>730</v>
      </c>
      <c r="E114" s="5" t="s">
        <v>731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11" t="s">
        <v>46</v>
      </c>
      <c r="Q114" s="5">
        <v>169.92910000000001</v>
      </c>
      <c r="R114" s="5">
        <f t="shared" si="1"/>
        <v>169.92910000000001</v>
      </c>
      <c r="S114" s="5" t="s">
        <v>732</v>
      </c>
      <c r="T114" s="6">
        <v>111</v>
      </c>
      <c r="U114" s="172" t="s">
        <v>733</v>
      </c>
      <c r="V114" s="232" t="s">
        <v>729</v>
      </c>
      <c r="W114" s="232">
        <v>11697.7</v>
      </c>
      <c r="X114" s="232">
        <v>2274.3000000000002</v>
      </c>
      <c r="Y114" s="233" t="s">
        <v>49</v>
      </c>
      <c r="Z114" s="87" t="s">
        <v>50</v>
      </c>
      <c r="AA114" s="233" t="s">
        <v>51</v>
      </c>
      <c r="AB114" s="234"/>
      <c r="AC114" s="233">
        <v>1</v>
      </c>
      <c r="AD114" s="233" t="s">
        <v>226</v>
      </c>
      <c r="AE114" s="234"/>
      <c r="AF114" s="234"/>
      <c r="AG114" s="234"/>
      <c r="AH114" s="233"/>
      <c r="AI114" s="233"/>
      <c r="AJ114" s="233"/>
      <c r="AK114" s="233"/>
      <c r="AL114" s="233"/>
      <c r="AM114" s="233"/>
      <c r="AN114" s="233"/>
      <c r="AO114" s="233"/>
      <c r="AP114" s="234"/>
      <c r="AQ114" s="234" t="s">
        <v>333</v>
      </c>
    </row>
    <row r="115" spans="1:43">
      <c r="A115" s="6">
        <v>112</v>
      </c>
      <c r="B115" s="21" t="s">
        <v>734</v>
      </c>
      <c r="C115" s="5" t="s">
        <v>735</v>
      </c>
      <c r="D115" s="5" t="s">
        <v>736</v>
      </c>
      <c r="E115" s="5" t="s">
        <v>737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11" t="s">
        <v>46</v>
      </c>
      <c r="Q115" s="5">
        <v>118.0535</v>
      </c>
      <c r="R115" s="5">
        <f t="shared" si="1"/>
        <v>118.0535</v>
      </c>
      <c r="S115" s="5" t="s">
        <v>60</v>
      </c>
      <c r="T115" s="6">
        <v>112</v>
      </c>
      <c r="U115" s="172" t="s">
        <v>738</v>
      </c>
      <c r="V115" s="232" t="s">
        <v>735</v>
      </c>
      <c r="W115" s="232">
        <v>12702.5</v>
      </c>
      <c r="X115" s="232">
        <v>2729.2</v>
      </c>
      <c r="Y115" s="233" t="s">
        <v>49</v>
      </c>
      <c r="Z115" s="87" t="s">
        <v>50</v>
      </c>
      <c r="AA115" s="233" t="s">
        <v>51</v>
      </c>
      <c r="AB115" s="234"/>
      <c r="AC115" s="233">
        <v>1</v>
      </c>
      <c r="AD115" s="233" t="s">
        <v>226</v>
      </c>
      <c r="AE115" s="234"/>
      <c r="AF115" s="234"/>
      <c r="AG115" s="234"/>
      <c r="AH115" s="233"/>
      <c r="AI115" s="233"/>
      <c r="AJ115" s="233"/>
      <c r="AK115" s="233"/>
      <c r="AL115" s="233"/>
      <c r="AM115" s="233"/>
      <c r="AN115" s="233"/>
      <c r="AO115" s="233"/>
      <c r="AP115" s="234"/>
      <c r="AQ115" s="234" t="s">
        <v>333</v>
      </c>
    </row>
    <row r="116" spans="1:43">
      <c r="A116" s="6">
        <v>113</v>
      </c>
      <c r="B116" s="21" t="s">
        <v>739</v>
      </c>
      <c r="C116" s="5" t="s">
        <v>740</v>
      </c>
      <c r="D116" s="5" t="s">
        <v>741</v>
      </c>
      <c r="E116" s="5" t="s">
        <v>742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11" t="s">
        <v>46</v>
      </c>
      <c r="Q116" s="5">
        <v>135.89680000000001</v>
      </c>
      <c r="R116" s="5">
        <f t="shared" si="1"/>
        <v>135.89680000000001</v>
      </c>
      <c r="S116" s="5" t="s">
        <v>60</v>
      </c>
      <c r="T116" s="6">
        <v>113</v>
      </c>
      <c r="U116" s="241" t="s">
        <v>743</v>
      </c>
      <c r="V116" s="232" t="s">
        <v>740</v>
      </c>
      <c r="W116" s="232">
        <v>-12915.4</v>
      </c>
      <c r="X116" s="232">
        <v>-6265.2</v>
      </c>
      <c r="Y116" s="233" t="s">
        <v>49</v>
      </c>
      <c r="Z116" s="87" t="s">
        <v>50</v>
      </c>
      <c r="AA116" s="233" t="s">
        <v>51</v>
      </c>
      <c r="AB116" s="234"/>
      <c r="AC116" s="233">
        <v>1</v>
      </c>
      <c r="AD116" s="233" t="s">
        <v>226</v>
      </c>
      <c r="AE116" s="234"/>
      <c r="AF116" s="234"/>
      <c r="AG116" s="234"/>
      <c r="AH116" s="233"/>
      <c r="AI116" s="233"/>
      <c r="AJ116" s="233"/>
      <c r="AK116" s="233"/>
      <c r="AL116" s="233"/>
      <c r="AM116" s="233"/>
      <c r="AN116" s="233"/>
      <c r="AO116" s="233"/>
      <c r="AP116" s="234"/>
      <c r="AQ116" s="234" t="s">
        <v>333</v>
      </c>
    </row>
    <row r="117" spans="1:43">
      <c r="A117" s="6">
        <v>114</v>
      </c>
      <c r="B117" s="21" t="s">
        <v>744</v>
      </c>
      <c r="C117" s="5" t="s">
        <v>745</v>
      </c>
      <c r="D117" s="5" t="s">
        <v>746</v>
      </c>
      <c r="E117" s="5" t="s">
        <v>747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11" t="s">
        <v>46</v>
      </c>
      <c r="Q117" s="5">
        <v>134.4025</v>
      </c>
      <c r="R117" s="5">
        <f t="shared" si="1"/>
        <v>134.4025</v>
      </c>
      <c r="S117" s="5" t="s">
        <v>60</v>
      </c>
      <c r="T117" s="6">
        <v>114</v>
      </c>
      <c r="U117" s="241" t="s">
        <v>748</v>
      </c>
      <c r="V117" s="232" t="s">
        <v>745</v>
      </c>
      <c r="W117" s="232">
        <v>-12786.5</v>
      </c>
      <c r="X117" s="232">
        <v>-5587</v>
      </c>
      <c r="Y117" s="233" t="s">
        <v>49</v>
      </c>
      <c r="Z117" s="87" t="s">
        <v>50</v>
      </c>
      <c r="AA117" s="233" t="s">
        <v>51</v>
      </c>
      <c r="AB117" s="234"/>
      <c r="AC117" s="233">
        <v>1</v>
      </c>
      <c r="AD117" s="233" t="s">
        <v>226</v>
      </c>
      <c r="AE117" s="234"/>
      <c r="AF117" s="234"/>
      <c r="AG117" s="234"/>
      <c r="AH117" s="233"/>
      <c r="AI117" s="233"/>
      <c r="AJ117" s="233"/>
      <c r="AK117" s="233"/>
      <c r="AL117" s="233"/>
      <c r="AM117" s="233"/>
      <c r="AN117" s="233"/>
      <c r="AO117" s="233"/>
      <c r="AP117" s="234"/>
      <c r="AQ117" s="234" t="s">
        <v>333</v>
      </c>
    </row>
    <row r="118" spans="1:43">
      <c r="A118" s="6">
        <v>115</v>
      </c>
      <c r="B118" s="21" t="s">
        <v>749</v>
      </c>
      <c r="C118" s="5" t="s">
        <v>750</v>
      </c>
      <c r="D118" s="5" t="s">
        <v>751</v>
      </c>
      <c r="E118" s="5" t="s">
        <v>752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11" t="s">
        <v>46</v>
      </c>
      <c r="Q118" s="5">
        <v>165.22130000000001</v>
      </c>
      <c r="R118" s="5">
        <f t="shared" si="1"/>
        <v>165.22130000000001</v>
      </c>
      <c r="S118" s="5" t="s">
        <v>74</v>
      </c>
      <c r="T118" s="6">
        <v>115</v>
      </c>
      <c r="U118" s="241" t="s">
        <v>753</v>
      </c>
      <c r="V118" s="232" t="s">
        <v>750</v>
      </c>
      <c r="W118" s="232">
        <v>-12702.5</v>
      </c>
      <c r="X118" s="232">
        <v>-7123.4</v>
      </c>
      <c r="Y118" s="233" t="s">
        <v>49</v>
      </c>
      <c r="Z118" s="87" t="s">
        <v>50</v>
      </c>
      <c r="AA118" s="233" t="s">
        <v>51</v>
      </c>
      <c r="AB118" s="234"/>
      <c r="AC118" s="233">
        <v>1</v>
      </c>
      <c r="AD118" s="233" t="s">
        <v>226</v>
      </c>
      <c r="AE118" s="234"/>
      <c r="AF118" s="234"/>
      <c r="AG118" s="234"/>
      <c r="AH118" s="233"/>
      <c r="AI118" s="233"/>
      <c r="AJ118" s="233"/>
      <c r="AK118" s="233"/>
      <c r="AL118" s="233"/>
      <c r="AM118" s="233"/>
      <c r="AN118" s="233"/>
      <c r="AO118" s="233"/>
      <c r="AP118" s="234"/>
      <c r="AQ118" s="234" t="s">
        <v>333</v>
      </c>
    </row>
    <row r="119" spans="1:43">
      <c r="A119" s="6">
        <v>116</v>
      </c>
      <c r="B119" s="21" t="s">
        <v>754</v>
      </c>
      <c r="C119" s="5" t="s">
        <v>755</v>
      </c>
      <c r="D119" s="5" t="s">
        <v>756</v>
      </c>
      <c r="E119" s="5" t="s">
        <v>757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11" t="s">
        <v>46</v>
      </c>
      <c r="Q119" s="5">
        <v>162.7099</v>
      </c>
      <c r="R119" s="5">
        <f t="shared" si="1"/>
        <v>162.7099</v>
      </c>
      <c r="S119" s="5" t="s">
        <v>47</v>
      </c>
      <c r="T119" s="6">
        <v>116</v>
      </c>
      <c r="U119" s="241" t="s">
        <v>758</v>
      </c>
      <c r="V119" s="232" t="s">
        <v>755</v>
      </c>
      <c r="W119" s="232">
        <v>-11455.4</v>
      </c>
      <c r="X119" s="232">
        <v>-5995.7</v>
      </c>
      <c r="Y119" s="233" t="s">
        <v>49</v>
      </c>
      <c r="Z119" s="87" t="s">
        <v>50</v>
      </c>
      <c r="AA119" s="233" t="s">
        <v>51</v>
      </c>
      <c r="AB119" s="234"/>
      <c r="AC119" s="233">
        <v>1</v>
      </c>
      <c r="AD119" s="233" t="s">
        <v>226</v>
      </c>
      <c r="AE119" s="234"/>
      <c r="AF119" s="234"/>
      <c r="AG119" s="234"/>
      <c r="AH119" s="233"/>
      <c r="AI119" s="233"/>
      <c r="AJ119" s="233"/>
      <c r="AK119" s="233"/>
      <c r="AL119" s="233"/>
      <c r="AM119" s="233"/>
      <c r="AN119" s="233"/>
      <c r="AO119" s="233"/>
      <c r="AP119" s="234"/>
      <c r="AQ119" s="234" t="s">
        <v>333</v>
      </c>
    </row>
    <row r="120" spans="1:43">
      <c r="A120" s="6">
        <v>117</v>
      </c>
      <c r="B120" s="21" t="s">
        <v>759</v>
      </c>
      <c r="C120" s="5" t="s">
        <v>760</v>
      </c>
      <c r="D120" s="5" t="s">
        <v>761</v>
      </c>
      <c r="E120" s="5" t="s">
        <v>762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11" t="s">
        <v>46</v>
      </c>
      <c r="Q120" s="5">
        <v>230.99350000000001</v>
      </c>
      <c r="R120" s="5">
        <f t="shared" si="1"/>
        <v>230.99350000000001</v>
      </c>
      <c r="S120" s="5" t="s">
        <v>685</v>
      </c>
      <c r="T120" s="6">
        <v>117</v>
      </c>
      <c r="U120" s="241" t="s">
        <v>763</v>
      </c>
      <c r="V120" s="232" t="s">
        <v>760</v>
      </c>
      <c r="W120" s="232">
        <v>-11697.7</v>
      </c>
      <c r="X120" s="232">
        <v>-6668.5</v>
      </c>
      <c r="Y120" s="233" t="s">
        <v>49</v>
      </c>
      <c r="Z120" s="87" t="s">
        <v>50</v>
      </c>
      <c r="AA120" s="233" t="s">
        <v>51</v>
      </c>
      <c r="AB120" s="234"/>
      <c r="AC120" s="233">
        <v>1</v>
      </c>
      <c r="AD120" s="233" t="s">
        <v>226</v>
      </c>
      <c r="AE120" s="234"/>
      <c r="AF120" s="234"/>
      <c r="AG120" s="234"/>
      <c r="AH120" s="233"/>
      <c r="AI120" s="233"/>
      <c r="AJ120" s="233"/>
      <c r="AK120" s="233"/>
      <c r="AL120" s="233"/>
      <c r="AM120" s="233"/>
      <c r="AN120" s="233"/>
      <c r="AO120" s="233"/>
      <c r="AP120" s="234"/>
      <c r="AQ120" s="234" t="s">
        <v>333</v>
      </c>
    </row>
    <row r="121" spans="1:43">
      <c r="A121" s="6">
        <v>118</v>
      </c>
      <c r="B121" s="21" t="s">
        <v>764</v>
      </c>
      <c r="C121" s="5" t="s">
        <v>765</v>
      </c>
      <c r="D121" s="5" t="s">
        <v>766</v>
      </c>
      <c r="E121" s="5" t="s">
        <v>767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11" t="s">
        <v>46</v>
      </c>
      <c r="Q121" s="5">
        <v>168.85149999999999</v>
      </c>
      <c r="R121" s="5">
        <f t="shared" si="1"/>
        <v>168.85149999999999</v>
      </c>
      <c r="S121" s="5" t="s">
        <v>74</v>
      </c>
      <c r="T121" s="6">
        <v>118</v>
      </c>
      <c r="U121" s="241" t="s">
        <v>768</v>
      </c>
      <c r="V121" s="232" t="s">
        <v>765</v>
      </c>
      <c r="W121" s="232">
        <v>-12159</v>
      </c>
      <c r="X121" s="232">
        <v>-5080</v>
      </c>
      <c r="Y121" s="233" t="s">
        <v>49</v>
      </c>
      <c r="Z121" s="87" t="s">
        <v>50</v>
      </c>
      <c r="AA121" s="233" t="s">
        <v>51</v>
      </c>
      <c r="AB121" s="234"/>
      <c r="AC121" s="233">
        <v>1</v>
      </c>
      <c r="AD121" s="233" t="s">
        <v>226</v>
      </c>
      <c r="AE121" s="234"/>
      <c r="AF121" s="234"/>
      <c r="AG121" s="234"/>
      <c r="AH121" s="233"/>
      <c r="AI121" s="233"/>
      <c r="AJ121" s="233"/>
      <c r="AK121" s="233"/>
      <c r="AL121" s="233"/>
      <c r="AM121" s="233"/>
      <c r="AN121" s="233"/>
      <c r="AO121" s="233"/>
      <c r="AP121" s="234"/>
      <c r="AQ121" s="234" t="s">
        <v>333</v>
      </c>
    </row>
    <row r="122" spans="1:43">
      <c r="A122" s="6">
        <v>119</v>
      </c>
      <c r="B122" s="21" t="s">
        <v>769</v>
      </c>
      <c r="C122" s="5" t="s">
        <v>770</v>
      </c>
      <c r="D122" s="5" t="s">
        <v>771</v>
      </c>
      <c r="E122" s="5" t="s">
        <v>772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11" t="s">
        <v>46</v>
      </c>
      <c r="Q122" s="5">
        <v>198.7209</v>
      </c>
      <c r="R122" s="5">
        <f t="shared" si="1"/>
        <v>198.7209</v>
      </c>
      <c r="S122" s="5" t="s">
        <v>67</v>
      </c>
      <c r="T122" s="6">
        <v>119</v>
      </c>
      <c r="U122" s="241" t="s">
        <v>773</v>
      </c>
      <c r="V122" s="232" t="s">
        <v>770</v>
      </c>
      <c r="W122" s="232">
        <v>-12217.9</v>
      </c>
      <c r="X122" s="232">
        <v>-6760.5</v>
      </c>
      <c r="Y122" s="233" t="s">
        <v>49</v>
      </c>
      <c r="Z122" s="87" t="s">
        <v>50</v>
      </c>
      <c r="AA122" s="233" t="s">
        <v>51</v>
      </c>
      <c r="AB122" s="234"/>
      <c r="AC122" s="233">
        <v>1</v>
      </c>
      <c r="AD122" s="233" t="s">
        <v>226</v>
      </c>
      <c r="AE122" s="234"/>
      <c r="AF122" s="234"/>
      <c r="AG122" s="234"/>
      <c r="AH122" s="233"/>
      <c r="AI122" s="233"/>
      <c r="AJ122" s="233"/>
      <c r="AK122" s="233"/>
      <c r="AL122" s="233"/>
      <c r="AM122" s="233"/>
      <c r="AN122" s="233"/>
      <c r="AO122" s="233"/>
      <c r="AP122" s="234"/>
      <c r="AQ122" s="234" t="s">
        <v>333</v>
      </c>
    </row>
    <row r="123" spans="1:43">
      <c r="A123" s="6">
        <v>120</v>
      </c>
      <c r="B123" s="21" t="s">
        <v>774</v>
      </c>
      <c r="C123" s="5" t="s">
        <v>775</v>
      </c>
      <c r="D123" s="5" t="s">
        <v>776</v>
      </c>
      <c r="E123" s="5" t="s">
        <v>777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11" t="s">
        <v>46</v>
      </c>
      <c r="Q123" s="5">
        <v>203.06</v>
      </c>
      <c r="R123" s="5">
        <f t="shared" si="1"/>
        <v>203.06</v>
      </c>
      <c r="S123" s="5" t="s">
        <v>67</v>
      </c>
      <c r="T123" s="6">
        <v>120</v>
      </c>
      <c r="U123" s="241" t="s">
        <v>778</v>
      </c>
      <c r="V123" s="232" t="s">
        <v>775</v>
      </c>
      <c r="W123" s="232">
        <v>-12285.7</v>
      </c>
      <c r="X123" s="232">
        <v>-5587</v>
      </c>
      <c r="Y123" s="233" t="s">
        <v>49</v>
      </c>
      <c r="Z123" s="87" t="s">
        <v>50</v>
      </c>
      <c r="AA123" s="233" t="s">
        <v>51</v>
      </c>
      <c r="AB123" s="234"/>
      <c r="AC123" s="233">
        <v>1</v>
      </c>
      <c r="AD123" s="233" t="s">
        <v>226</v>
      </c>
      <c r="AE123" s="234"/>
      <c r="AF123" s="234"/>
      <c r="AG123" s="234"/>
      <c r="AH123" s="233"/>
      <c r="AI123" s="233"/>
      <c r="AJ123" s="233"/>
      <c r="AK123" s="233"/>
      <c r="AL123" s="233"/>
      <c r="AM123" s="233"/>
      <c r="AN123" s="233"/>
      <c r="AO123" s="233"/>
      <c r="AP123" s="234"/>
      <c r="AQ123" s="234" t="s">
        <v>333</v>
      </c>
    </row>
    <row r="124" spans="1:43">
      <c r="A124" s="6">
        <v>121</v>
      </c>
      <c r="B124" s="21" t="s">
        <v>779</v>
      </c>
      <c r="C124" s="5" t="s">
        <v>780</v>
      </c>
      <c r="D124" s="5" t="s">
        <v>781</v>
      </c>
      <c r="E124" s="5" t="s">
        <v>782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11" t="s">
        <v>46</v>
      </c>
      <c r="Q124" s="5">
        <v>168.8133</v>
      </c>
      <c r="R124" s="5">
        <f t="shared" si="1"/>
        <v>168.8133</v>
      </c>
      <c r="S124" s="5" t="s">
        <v>74</v>
      </c>
      <c r="T124" s="6">
        <v>121</v>
      </c>
      <c r="U124" s="241" t="s">
        <v>783</v>
      </c>
      <c r="V124" s="232" t="s">
        <v>780</v>
      </c>
      <c r="W124" s="232">
        <v>-12413</v>
      </c>
      <c r="X124" s="232">
        <v>-6295.4</v>
      </c>
      <c r="Y124" s="233" t="s">
        <v>49</v>
      </c>
      <c r="Z124" s="87" t="s">
        <v>50</v>
      </c>
      <c r="AA124" s="233" t="s">
        <v>51</v>
      </c>
      <c r="AB124" s="234"/>
      <c r="AC124" s="233">
        <v>1</v>
      </c>
      <c r="AD124" s="233" t="s">
        <v>226</v>
      </c>
      <c r="AE124" s="234"/>
      <c r="AF124" s="234"/>
      <c r="AG124" s="234"/>
      <c r="AH124" s="233"/>
      <c r="AI124" s="233"/>
      <c r="AJ124" s="233"/>
      <c r="AK124" s="233"/>
      <c r="AL124" s="233"/>
      <c r="AM124" s="233"/>
      <c r="AN124" s="233"/>
      <c r="AO124" s="233"/>
      <c r="AP124" s="234"/>
      <c r="AQ124" s="234" t="s">
        <v>333</v>
      </c>
    </row>
    <row r="125" spans="1:43">
      <c r="A125" s="6">
        <v>122</v>
      </c>
      <c r="B125" s="21" t="s">
        <v>784</v>
      </c>
      <c r="C125" s="5" t="s">
        <v>785</v>
      </c>
      <c r="D125" s="5" t="s">
        <v>786</v>
      </c>
      <c r="E125" s="5" t="s">
        <v>787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11" t="s">
        <v>46</v>
      </c>
      <c r="Q125" s="5">
        <v>127.8338</v>
      </c>
      <c r="R125" s="5">
        <f t="shared" si="1"/>
        <v>127.8338</v>
      </c>
      <c r="S125" s="5" t="s">
        <v>60</v>
      </c>
      <c r="T125" s="6">
        <v>122</v>
      </c>
      <c r="U125" s="241" t="s">
        <v>788</v>
      </c>
      <c r="V125" s="232" t="s">
        <v>785</v>
      </c>
      <c r="W125" s="232">
        <v>-12702.5</v>
      </c>
      <c r="X125" s="232">
        <v>-4926.3</v>
      </c>
      <c r="Y125" s="233" t="s">
        <v>49</v>
      </c>
      <c r="Z125" s="87" t="s">
        <v>50</v>
      </c>
      <c r="AA125" s="233" t="s">
        <v>51</v>
      </c>
      <c r="AB125" s="234"/>
      <c r="AC125" s="233">
        <v>1</v>
      </c>
      <c r="AD125" s="233" t="s">
        <v>226</v>
      </c>
      <c r="AE125" s="234"/>
      <c r="AF125" s="234"/>
      <c r="AG125" s="234"/>
      <c r="AH125" s="233"/>
      <c r="AI125" s="233"/>
      <c r="AJ125" s="233"/>
      <c r="AK125" s="233"/>
      <c r="AL125" s="233"/>
      <c r="AM125" s="233"/>
      <c r="AN125" s="233"/>
      <c r="AO125" s="233"/>
      <c r="AP125" s="234"/>
      <c r="AQ125" s="234" t="s">
        <v>333</v>
      </c>
    </row>
    <row r="126" spans="1:43">
      <c r="A126" s="6">
        <v>123</v>
      </c>
      <c r="B126" s="21" t="s">
        <v>789</v>
      </c>
      <c r="C126" s="5" t="s">
        <v>790</v>
      </c>
      <c r="D126" s="5" t="s">
        <v>791</v>
      </c>
      <c r="E126" s="5" t="s">
        <v>792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11" t="s">
        <v>46</v>
      </c>
      <c r="Q126" s="5">
        <v>195.14949999999999</v>
      </c>
      <c r="R126" s="5">
        <f t="shared" si="1"/>
        <v>195.14949999999999</v>
      </c>
      <c r="S126" s="5" t="s">
        <v>67</v>
      </c>
      <c r="T126" s="6">
        <v>123</v>
      </c>
      <c r="U126" s="241" t="s">
        <v>793</v>
      </c>
      <c r="V126" s="232" t="s">
        <v>790</v>
      </c>
      <c r="W126" s="232">
        <v>-12285.7</v>
      </c>
      <c r="X126" s="232">
        <v>-7784.1</v>
      </c>
      <c r="Y126" s="233" t="s">
        <v>49</v>
      </c>
      <c r="Z126" s="87" t="s">
        <v>50</v>
      </c>
      <c r="AA126" s="233" t="s">
        <v>51</v>
      </c>
      <c r="AB126" s="234"/>
      <c r="AC126" s="233">
        <v>1</v>
      </c>
      <c r="AD126" s="233" t="s">
        <v>226</v>
      </c>
      <c r="AE126" s="234"/>
      <c r="AF126" s="234"/>
      <c r="AG126" s="234"/>
      <c r="AH126" s="233"/>
      <c r="AI126" s="233"/>
      <c r="AJ126" s="233"/>
      <c r="AK126" s="233"/>
      <c r="AL126" s="233"/>
      <c r="AM126" s="233"/>
      <c r="AN126" s="233"/>
      <c r="AO126" s="233"/>
      <c r="AP126" s="234"/>
      <c r="AQ126" s="234" t="s">
        <v>333</v>
      </c>
    </row>
    <row r="127" spans="1:43">
      <c r="A127" s="6">
        <v>124</v>
      </c>
      <c r="B127" s="21" t="s">
        <v>794</v>
      </c>
      <c r="C127" s="5" t="s">
        <v>795</v>
      </c>
      <c r="D127" s="5" t="s">
        <v>796</v>
      </c>
      <c r="E127" s="5" t="s">
        <v>797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11" t="s">
        <v>46</v>
      </c>
      <c r="Q127" s="5">
        <v>230.5762</v>
      </c>
      <c r="R127" s="5">
        <f t="shared" ref="R127:R190" si="2">IF(AND(P127="",Q127=""),"",SUM(P127:Q127))</f>
        <v>230.5762</v>
      </c>
      <c r="S127" s="5" t="s">
        <v>395</v>
      </c>
      <c r="T127" s="6">
        <v>124</v>
      </c>
      <c r="U127" s="241" t="s">
        <v>798</v>
      </c>
      <c r="V127" s="232" t="s">
        <v>795</v>
      </c>
      <c r="W127" s="232">
        <v>-12159</v>
      </c>
      <c r="X127" s="232">
        <v>-7277.1</v>
      </c>
      <c r="Y127" s="233" t="s">
        <v>49</v>
      </c>
      <c r="Z127" s="87" t="s">
        <v>50</v>
      </c>
      <c r="AA127" s="233" t="s">
        <v>51</v>
      </c>
      <c r="AB127" s="234"/>
      <c r="AC127" s="233">
        <v>1</v>
      </c>
      <c r="AD127" s="233" t="s">
        <v>226</v>
      </c>
      <c r="AE127" s="234"/>
      <c r="AF127" s="234"/>
      <c r="AG127" s="234"/>
      <c r="AH127" s="233"/>
      <c r="AI127" s="233"/>
      <c r="AJ127" s="233"/>
      <c r="AK127" s="233"/>
      <c r="AL127" s="233"/>
      <c r="AM127" s="233"/>
      <c r="AN127" s="233"/>
      <c r="AO127" s="233"/>
      <c r="AP127" s="234"/>
      <c r="AQ127" s="234" t="s">
        <v>333</v>
      </c>
    </row>
    <row r="128" spans="1:43">
      <c r="A128" s="6">
        <v>125</v>
      </c>
      <c r="B128" s="21" t="s">
        <v>799</v>
      </c>
      <c r="C128" s="5" t="s">
        <v>800</v>
      </c>
      <c r="D128" s="5" t="s">
        <v>801</v>
      </c>
      <c r="E128" s="5" t="s">
        <v>802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11" t="s">
        <v>46</v>
      </c>
      <c r="Q128" s="5">
        <v>139.559</v>
      </c>
      <c r="R128" s="5">
        <f t="shared" si="2"/>
        <v>139.559</v>
      </c>
      <c r="S128" s="5" t="s">
        <v>60</v>
      </c>
      <c r="T128" s="6">
        <v>125</v>
      </c>
      <c r="U128" s="241" t="s">
        <v>803</v>
      </c>
      <c r="V128" s="232" t="s">
        <v>800</v>
      </c>
      <c r="W128" s="232">
        <v>-12786.5</v>
      </c>
      <c r="X128" s="232">
        <v>-7784.1</v>
      </c>
      <c r="Y128" s="233" t="s">
        <v>49</v>
      </c>
      <c r="Z128" s="87" t="s">
        <v>50</v>
      </c>
      <c r="AA128" s="233" t="s">
        <v>51</v>
      </c>
      <c r="AB128" s="234"/>
      <c r="AC128" s="233">
        <v>1</v>
      </c>
      <c r="AD128" s="233" t="s">
        <v>226</v>
      </c>
      <c r="AE128" s="234"/>
      <c r="AF128" s="234"/>
      <c r="AG128" s="234"/>
      <c r="AH128" s="233"/>
      <c r="AI128" s="233"/>
      <c r="AJ128" s="233"/>
      <c r="AK128" s="233"/>
      <c r="AL128" s="233"/>
      <c r="AM128" s="233"/>
      <c r="AN128" s="233"/>
      <c r="AO128" s="233"/>
      <c r="AP128" s="234"/>
      <c r="AQ128" s="234" t="s">
        <v>333</v>
      </c>
    </row>
    <row r="129" spans="1:43">
      <c r="A129" s="6">
        <v>126</v>
      </c>
      <c r="B129" s="21" t="s">
        <v>804</v>
      </c>
      <c r="C129" s="5" t="s">
        <v>805</v>
      </c>
      <c r="D129" s="5" t="s">
        <v>806</v>
      </c>
      <c r="E129" s="5" t="s">
        <v>807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11" t="s">
        <v>46</v>
      </c>
      <c r="Q129" s="5">
        <v>229.4452</v>
      </c>
      <c r="R129" s="5">
        <f t="shared" si="2"/>
        <v>229.4452</v>
      </c>
      <c r="S129" s="5" t="s">
        <v>395</v>
      </c>
      <c r="T129" s="6">
        <v>126</v>
      </c>
      <c r="U129" s="241" t="s">
        <v>808</v>
      </c>
      <c r="V129" s="232" t="s">
        <v>805</v>
      </c>
      <c r="W129" s="232">
        <v>-11912.6</v>
      </c>
      <c r="X129" s="232">
        <v>-6214.1</v>
      </c>
      <c r="Y129" s="233" t="s">
        <v>49</v>
      </c>
      <c r="Z129" s="87" t="s">
        <v>50</v>
      </c>
      <c r="AA129" s="233" t="s">
        <v>51</v>
      </c>
      <c r="AB129" s="234"/>
      <c r="AC129" s="233">
        <v>1</v>
      </c>
      <c r="AD129" s="233" t="s">
        <v>226</v>
      </c>
      <c r="AE129" s="234"/>
      <c r="AF129" s="234"/>
      <c r="AG129" s="234"/>
      <c r="AH129" s="233"/>
      <c r="AI129" s="233"/>
      <c r="AJ129" s="233"/>
      <c r="AK129" s="233"/>
      <c r="AL129" s="233"/>
      <c r="AM129" s="233"/>
      <c r="AN129" s="233"/>
      <c r="AO129" s="233"/>
      <c r="AP129" s="234"/>
      <c r="AQ129" s="234" t="s">
        <v>333</v>
      </c>
    </row>
    <row r="130" spans="1:43">
      <c r="A130" s="6">
        <v>127</v>
      </c>
      <c r="B130" s="21" t="s">
        <v>809</v>
      </c>
      <c r="C130" s="5" t="s">
        <v>810</v>
      </c>
      <c r="D130" s="5" t="s">
        <v>811</v>
      </c>
      <c r="E130" s="5" t="s">
        <v>812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11" t="s">
        <v>46</v>
      </c>
      <c r="Q130" s="5">
        <v>210.13030000000001</v>
      </c>
      <c r="R130" s="5">
        <f t="shared" si="2"/>
        <v>210.13030000000001</v>
      </c>
      <c r="S130" s="5" t="s">
        <v>732</v>
      </c>
      <c r="T130" s="6">
        <v>127</v>
      </c>
      <c r="U130" s="242" t="s">
        <v>813</v>
      </c>
      <c r="V130" s="232" t="s">
        <v>810</v>
      </c>
      <c r="W130" s="232">
        <v>-10945.9</v>
      </c>
      <c r="X130" s="232">
        <v>-5854.3</v>
      </c>
      <c r="Y130" s="233" t="s">
        <v>49</v>
      </c>
      <c r="Z130" s="87" t="s">
        <v>50</v>
      </c>
      <c r="AA130" s="233" t="s">
        <v>51</v>
      </c>
      <c r="AB130" s="234"/>
      <c r="AC130" s="233">
        <v>1</v>
      </c>
      <c r="AD130" s="233" t="s">
        <v>226</v>
      </c>
      <c r="AE130" s="234"/>
      <c r="AF130" s="234"/>
      <c r="AG130" s="234"/>
      <c r="AH130" s="233"/>
      <c r="AI130" s="233"/>
      <c r="AJ130" s="233"/>
      <c r="AK130" s="233"/>
      <c r="AL130" s="233"/>
      <c r="AM130" s="233"/>
      <c r="AN130" s="233"/>
      <c r="AO130" s="233"/>
      <c r="AP130" s="234"/>
      <c r="AQ130" s="234" t="s">
        <v>333</v>
      </c>
    </row>
    <row r="131" spans="1:43">
      <c r="A131" s="6">
        <v>128</v>
      </c>
      <c r="B131" s="21" t="s">
        <v>814</v>
      </c>
      <c r="C131" s="5" t="s">
        <v>815</v>
      </c>
      <c r="D131" s="5" t="s">
        <v>816</v>
      </c>
      <c r="E131" s="5" t="s">
        <v>817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11" t="s">
        <v>46</v>
      </c>
      <c r="Q131" s="5">
        <v>222.2225</v>
      </c>
      <c r="R131" s="5">
        <f t="shared" si="2"/>
        <v>222.2225</v>
      </c>
      <c r="S131" s="5" t="s">
        <v>395</v>
      </c>
      <c r="T131" s="6">
        <v>128</v>
      </c>
      <c r="U131" s="242" t="s">
        <v>818</v>
      </c>
      <c r="V131" s="232" t="s">
        <v>815</v>
      </c>
      <c r="W131" s="232">
        <v>-9665.7000000000007</v>
      </c>
      <c r="X131" s="232">
        <v>-3495</v>
      </c>
      <c r="Y131" s="233" t="s">
        <v>49</v>
      </c>
      <c r="Z131" s="87" t="s">
        <v>50</v>
      </c>
      <c r="AA131" s="233" t="s">
        <v>51</v>
      </c>
      <c r="AB131" s="234"/>
      <c r="AC131" s="233">
        <v>1</v>
      </c>
      <c r="AD131" s="233" t="s">
        <v>226</v>
      </c>
      <c r="AE131" s="234"/>
      <c r="AF131" s="234"/>
      <c r="AG131" s="234"/>
      <c r="AH131" s="233"/>
      <c r="AI131" s="233"/>
      <c r="AJ131" s="233"/>
      <c r="AK131" s="233"/>
      <c r="AL131" s="233"/>
      <c r="AM131" s="233"/>
      <c r="AN131" s="233"/>
      <c r="AO131" s="233"/>
      <c r="AP131" s="234"/>
      <c r="AQ131" s="234" t="s">
        <v>333</v>
      </c>
    </row>
    <row r="132" spans="1:43">
      <c r="A132" s="6">
        <v>129</v>
      </c>
      <c r="B132" s="21" t="s">
        <v>819</v>
      </c>
      <c r="C132" s="5" t="s">
        <v>820</v>
      </c>
      <c r="D132" s="5" t="s">
        <v>821</v>
      </c>
      <c r="E132" s="5" t="s">
        <v>822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11" t="s">
        <v>46</v>
      </c>
      <c r="Q132" s="5">
        <v>162.29859999999999</v>
      </c>
      <c r="R132" s="5">
        <f t="shared" si="2"/>
        <v>162.29859999999999</v>
      </c>
      <c r="S132" s="5" t="s">
        <v>47</v>
      </c>
      <c r="T132" s="6">
        <v>129</v>
      </c>
      <c r="U132" s="242" t="s">
        <v>823</v>
      </c>
      <c r="V132" s="232" t="s">
        <v>820</v>
      </c>
      <c r="W132" s="232">
        <v>-8983.5</v>
      </c>
      <c r="X132" s="232">
        <v>-4897.1000000000004</v>
      </c>
      <c r="Y132" s="233" t="s">
        <v>49</v>
      </c>
      <c r="Z132" s="87" t="s">
        <v>50</v>
      </c>
      <c r="AA132" s="233" t="s">
        <v>51</v>
      </c>
      <c r="AB132" s="234"/>
      <c r="AC132" s="233">
        <v>1</v>
      </c>
      <c r="AD132" s="233" t="s">
        <v>226</v>
      </c>
      <c r="AE132" s="234"/>
      <c r="AF132" s="234"/>
      <c r="AG132" s="234"/>
      <c r="AH132" s="233"/>
      <c r="AI132" s="233"/>
      <c r="AJ132" s="233"/>
      <c r="AK132" s="233"/>
      <c r="AL132" s="233"/>
      <c r="AM132" s="233"/>
      <c r="AN132" s="233"/>
      <c r="AO132" s="233"/>
      <c r="AP132" s="234"/>
      <c r="AQ132" s="234" t="s">
        <v>333</v>
      </c>
    </row>
    <row r="133" spans="1:43">
      <c r="A133" s="6">
        <v>130</v>
      </c>
      <c r="B133" s="21" t="s">
        <v>824</v>
      </c>
      <c r="C133" s="5" t="s">
        <v>825</v>
      </c>
      <c r="D133" s="5" t="s">
        <v>826</v>
      </c>
      <c r="E133" s="5" t="s">
        <v>827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11" t="s">
        <v>46</v>
      </c>
      <c r="Q133" s="5">
        <v>166.9177</v>
      </c>
      <c r="R133" s="5">
        <f t="shared" si="2"/>
        <v>166.9177</v>
      </c>
      <c r="S133" s="5" t="s">
        <v>74</v>
      </c>
      <c r="T133" s="6">
        <v>130</v>
      </c>
      <c r="U133" s="242" t="s">
        <v>828</v>
      </c>
      <c r="V133" s="232" t="s">
        <v>825</v>
      </c>
      <c r="W133" s="232">
        <v>-12786.5</v>
      </c>
      <c r="X133" s="232">
        <v>-3389.9</v>
      </c>
      <c r="Y133" s="233" t="s">
        <v>49</v>
      </c>
      <c r="Z133" s="87" t="s">
        <v>50</v>
      </c>
      <c r="AA133" s="233" t="s">
        <v>51</v>
      </c>
      <c r="AB133" s="234"/>
      <c r="AC133" s="233">
        <v>1</v>
      </c>
      <c r="AD133" s="233" t="s">
        <v>226</v>
      </c>
      <c r="AE133" s="234"/>
      <c r="AF133" s="234"/>
      <c r="AG133" s="234"/>
      <c r="AH133" s="233"/>
      <c r="AI133" s="233"/>
      <c r="AJ133" s="233"/>
      <c r="AK133" s="233"/>
      <c r="AL133" s="233"/>
      <c r="AM133" s="233"/>
      <c r="AN133" s="233"/>
      <c r="AO133" s="233"/>
      <c r="AP133" s="234"/>
      <c r="AQ133" s="234" t="s">
        <v>333</v>
      </c>
    </row>
    <row r="134" spans="1:43">
      <c r="A134" s="6">
        <v>131</v>
      </c>
      <c r="B134" s="21" t="s">
        <v>829</v>
      </c>
      <c r="C134" s="5" t="s">
        <v>830</v>
      </c>
      <c r="D134" s="5" t="s">
        <v>831</v>
      </c>
      <c r="E134" s="5" t="s">
        <v>832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11" t="s">
        <v>46</v>
      </c>
      <c r="Q134" s="5">
        <v>143.10409999999999</v>
      </c>
      <c r="R134" s="5">
        <f t="shared" si="2"/>
        <v>143.10409999999999</v>
      </c>
      <c r="S134" s="5" t="s">
        <v>47</v>
      </c>
      <c r="T134" s="6">
        <v>131</v>
      </c>
      <c r="U134" s="242" t="s">
        <v>833</v>
      </c>
      <c r="V134" s="232" t="s">
        <v>830</v>
      </c>
      <c r="W134" s="232">
        <v>-11047.5</v>
      </c>
      <c r="X134" s="232">
        <v>-2585.6999999999998</v>
      </c>
      <c r="Y134" s="233" t="s">
        <v>49</v>
      </c>
      <c r="Z134" s="87" t="s">
        <v>50</v>
      </c>
      <c r="AA134" s="233" t="s">
        <v>51</v>
      </c>
      <c r="AB134" s="234"/>
      <c r="AC134" s="233">
        <v>1</v>
      </c>
      <c r="AD134" s="233" t="s">
        <v>226</v>
      </c>
      <c r="AE134" s="234"/>
      <c r="AF134" s="234"/>
      <c r="AG134" s="234"/>
      <c r="AH134" s="233"/>
      <c r="AI134" s="233"/>
      <c r="AJ134" s="233"/>
      <c r="AK134" s="233"/>
      <c r="AL134" s="233"/>
      <c r="AM134" s="233"/>
      <c r="AN134" s="233"/>
      <c r="AO134" s="233"/>
      <c r="AP134" s="234"/>
      <c r="AQ134" s="234" t="s">
        <v>333</v>
      </c>
    </row>
    <row r="135" spans="1:43">
      <c r="A135" s="6">
        <v>132</v>
      </c>
      <c r="B135" s="21" t="s">
        <v>834</v>
      </c>
      <c r="C135" s="5" t="s">
        <v>835</v>
      </c>
      <c r="D135" s="5" t="s">
        <v>836</v>
      </c>
      <c r="E135" s="5" t="s">
        <v>837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11" t="s">
        <v>46</v>
      </c>
      <c r="Q135" s="5">
        <v>216.4057</v>
      </c>
      <c r="R135" s="5">
        <f t="shared" si="2"/>
        <v>216.4057</v>
      </c>
      <c r="S135" s="5" t="s">
        <v>395</v>
      </c>
      <c r="T135" s="6">
        <v>132</v>
      </c>
      <c r="U135" s="242" t="s">
        <v>838</v>
      </c>
      <c r="V135" s="232" t="s">
        <v>835</v>
      </c>
      <c r="W135" s="232">
        <v>-11455.4</v>
      </c>
      <c r="X135" s="232">
        <v>-3798.6</v>
      </c>
      <c r="Y135" s="233" t="s">
        <v>49</v>
      </c>
      <c r="Z135" s="87" t="s">
        <v>50</v>
      </c>
      <c r="AA135" s="233" t="s">
        <v>51</v>
      </c>
      <c r="AB135" s="234"/>
      <c r="AC135" s="233">
        <v>1</v>
      </c>
      <c r="AD135" s="233" t="s">
        <v>226</v>
      </c>
      <c r="AE135" s="234"/>
      <c r="AF135" s="234"/>
      <c r="AG135" s="234"/>
      <c r="AH135" s="233"/>
      <c r="AI135" s="233"/>
      <c r="AJ135" s="233"/>
      <c r="AK135" s="233"/>
      <c r="AL135" s="233"/>
      <c r="AM135" s="233"/>
      <c r="AN135" s="233"/>
      <c r="AO135" s="233"/>
      <c r="AP135" s="234"/>
      <c r="AQ135" s="234" t="s">
        <v>333</v>
      </c>
    </row>
    <row r="136" spans="1:43">
      <c r="A136" s="6">
        <v>133</v>
      </c>
      <c r="B136" s="21" t="s">
        <v>839</v>
      </c>
      <c r="C136" s="5" t="s">
        <v>840</v>
      </c>
      <c r="D136" s="5" t="s">
        <v>841</v>
      </c>
      <c r="E136" s="5" t="s">
        <v>842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11" t="s">
        <v>46</v>
      </c>
      <c r="Q136" s="5">
        <v>136.44980000000001</v>
      </c>
      <c r="R136" s="5">
        <f t="shared" si="2"/>
        <v>136.44980000000001</v>
      </c>
      <c r="S136" s="5" t="s">
        <v>47</v>
      </c>
      <c r="T136" s="6">
        <v>133</v>
      </c>
      <c r="U136" s="242" t="s">
        <v>843</v>
      </c>
      <c r="V136" s="232" t="s">
        <v>840</v>
      </c>
      <c r="W136" s="232">
        <v>-12285.7</v>
      </c>
      <c r="X136" s="232">
        <v>-3389.9</v>
      </c>
      <c r="Y136" s="233" t="s">
        <v>49</v>
      </c>
      <c r="Z136" s="87" t="s">
        <v>50</v>
      </c>
      <c r="AA136" s="233" t="s">
        <v>51</v>
      </c>
      <c r="AB136" s="234"/>
      <c r="AC136" s="233">
        <v>1</v>
      </c>
      <c r="AD136" s="233" t="s">
        <v>226</v>
      </c>
      <c r="AE136" s="234"/>
      <c r="AF136" s="234"/>
      <c r="AG136" s="234"/>
      <c r="AH136" s="233"/>
      <c r="AI136" s="233"/>
      <c r="AJ136" s="233"/>
      <c r="AK136" s="233"/>
      <c r="AL136" s="233"/>
      <c r="AM136" s="233"/>
      <c r="AN136" s="233"/>
      <c r="AO136" s="233"/>
      <c r="AP136" s="234"/>
      <c r="AQ136" s="234" t="s">
        <v>333</v>
      </c>
    </row>
    <row r="137" spans="1:43">
      <c r="A137" s="6">
        <v>134</v>
      </c>
      <c r="B137" s="21" t="s">
        <v>844</v>
      </c>
      <c r="C137" s="5" t="s">
        <v>845</v>
      </c>
      <c r="D137" s="5" t="s">
        <v>846</v>
      </c>
      <c r="E137" s="5" t="s">
        <v>847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11" t="s">
        <v>46</v>
      </c>
      <c r="Q137" s="5">
        <v>187.44560000000001</v>
      </c>
      <c r="R137" s="5">
        <f t="shared" si="2"/>
        <v>187.44560000000001</v>
      </c>
      <c r="S137" s="5" t="s">
        <v>67</v>
      </c>
      <c r="T137" s="6">
        <v>134</v>
      </c>
      <c r="U137" s="242" t="s">
        <v>848</v>
      </c>
      <c r="V137" s="232" t="s">
        <v>845</v>
      </c>
      <c r="W137" s="232">
        <v>-12413</v>
      </c>
      <c r="X137" s="232">
        <v>-4098.3</v>
      </c>
      <c r="Y137" s="233" t="s">
        <v>49</v>
      </c>
      <c r="Z137" s="87" t="s">
        <v>50</v>
      </c>
      <c r="AA137" s="233" t="s">
        <v>51</v>
      </c>
      <c r="AB137" s="234"/>
      <c r="AC137" s="233">
        <v>1</v>
      </c>
      <c r="AD137" s="233" t="s">
        <v>226</v>
      </c>
      <c r="AE137" s="234"/>
      <c r="AF137" s="234"/>
      <c r="AG137" s="234"/>
      <c r="AH137" s="233"/>
      <c r="AI137" s="233"/>
      <c r="AJ137" s="233"/>
      <c r="AK137" s="233"/>
      <c r="AL137" s="233"/>
      <c r="AM137" s="233"/>
      <c r="AN137" s="233"/>
      <c r="AO137" s="233"/>
      <c r="AP137" s="234"/>
      <c r="AQ137" s="234" t="s">
        <v>333</v>
      </c>
    </row>
    <row r="138" spans="1:43">
      <c r="A138" s="6">
        <v>135</v>
      </c>
      <c r="B138" s="21" t="s">
        <v>849</v>
      </c>
      <c r="C138" s="5" t="s">
        <v>850</v>
      </c>
      <c r="D138" s="5" t="s">
        <v>851</v>
      </c>
      <c r="E138" s="5" t="s">
        <v>852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11" t="s">
        <v>46</v>
      </c>
      <c r="Q138" s="5">
        <v>156.61519999999999</v>
      </c>
      <c r="R138" s="5">
        <f t="shared" si="2"/>
        <v>156.61519999999999</v>
      </c>
      <c r="S138" s="5" t="s">
        <v>47</v>
      </c>
      <c r="T138" s="6">
        <v>135</v>
      </c>
      <c r="U138" s="242" t="s">
        <v>853</v>
      </c>
      <c r="V138" s="232" t="s">
        <v>850</v>
      </c>
      <c r="W138" s="232">
        <v>-7674.8</v>
      </c>
      <c r="X138" s="232">
        <v>-4325.8999999999996</v>
      </c>
      <c r="Y138" s="233" t="s">
        <v>49</v>
      </c>
      <c r="Z138" s="87" t="s">
        <v>50</v>
      </c>
      <c r="AA138" s="233" t="s">
        <v>51</v>
      </c>
      <c r="AB138" s="234"/>
      <c r="AC138" s="233">
        <v>1</v>
      </c>
      <c r="AD138" s="233" t="s">
        <v>226</v>
      </c>
      <c r="AE138" s="234"/>
      <c r="AF138" s="234"/>
      <c r="AG138" s="234"/>
      <c r="AH138" s="233"/>
      <c r="AI138" s="233"/>
      <c r="AJ138" s="233"/>
      <c r="AK138" s="233"/>
      <c r="AL138" s="233"/>
      <c r="AM138" s="233"/>
      <c r="AN138" s="233"/>
      <c r="AO138" s="233"/>
      <c r="AP138" s="234"/>
      <c r="AQ138" s="234" t="s">
        <v>333</v>
      </c>
    </row>
    <row r="139" spans="1:43">
      <c r="A139" s="6">
        <v>136</v>
      </c>
      <c r="B139" s="21" t="s">
        <v>854</v>
      </c>
      <c r="C139" s="5" t="s">
        <v>855</v>
      </c>
      <c r="D139" s="5" t="s">
        <v>856</v>
      </c>
      <c r="E139" s="5" t="s">
        <v>857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11" t="s">
        <v>46</v>
      </c>
      <c r="Q139" s="5">
        <v>147.167</v>
      </c>
      <c r="R139" s="5">
        <f t="shared" si="2"/>
        <v>147.167</v>
      </c>
      <c r="S139" s="5" t="s">
        <v>47</v>
      </c>
      <c r="T139" s="6">
        <v>136</v>
      </c>
      <c r="U139" s="242" t="s">
        <v>858</v>
      </c>
      <c r="V139" s="232" t="s">
        <v>855</v>
      </c>
      <c r="W139" s="232">
        <v>-6950.9</v>
      </c>
      <c r="X139" s="232">
        <v>-3335.2</v>
      </c>
      <c r="Y139" s="233" t="s">
        <v>49</v>
      </c>
      <c r="Z139" s="87" t="s">
        <v>50</v>
      </c>
      <c r="AA139" s="233" t="s">
        <v>51</v>
      </c>
      <c r="AB139" s="234"/>
      <c r="AC139" s="233">
        <v>1</v>
      </c>
      <c r="AD139" s="233" t="s">
        <v>226</v>
      </c>
      <c r="AE139" s="234"/>
      <c r="AF139" s="234"/>
      <c r="AG139" s="234"/>
      <c r="AH139" s="233"/>
      <c r="AI139" s="233"/>
      <c r="AJ139" s="233"/>
      <c r="AK139" s="233"/>
      <c r="AL139" s="233"/>
      <c r="AM139" s="233"/>
      <c r="AN139" s="233"/>
      <c r="AO139" s="233"/>
      <c r="AP139" s="234"/>
      <c r="AQ139" s="234" t="s">
        <v>333</v>
      </c>
    </row>
    <row r="140" spans="1:43">
      <c r="A140" s="6">
        <v>137</v>
      </c>
      <c r="B140" s="21" t="s">
        <v>859</v>
      </c>
      <c r="C140" s="5" t="s">
        <v>860</v>
      </c>
      <c r="D140" s="5" t="s">
        <v>861</v>
      </c>
      <c r="E140" s="5" t="s">
        <v>862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11" t="s">
        <v>46</v>
      </c>
      <c r="Q140" s="5">
        <v>185.27699999999999</v>
      </c>
      <c r="R140" s="5">
        <f t="shared" si="2"/>
        <v>185.27699999999999</v>
      </c>
      <c r="S140" s="5" t="s">
        <v>67</v>
      </c>
      <c r="T140" s="6">
        <v>137</v>
      </c>
      <c r="U140" s="242" t="s">
        <v>863</v>
      </c>
      <c r="V140" s="232" t="s">
        <v>860</v>
      </c>
      <c r="W140" s="232">
        <v>-12159</v>
      </c>
      <c r="X140" s="232">
        <v>-2882.9</v>
      </c>
      <c r="Y140" s="233" t="s">
        <v>49</v>
      </c>
      <c r="Z140" s="87" t="s">
        <v>50</v>
      </c>
      <c r="AA140" s="233" t="s">
        <v>51</v>
      </c>
      <c r="AB140" s="234"/>
      <c r="AC140" s="233">
        <v>1</v>
      </c>
      <c r="AD140" s="233" t="s">
        <v>226</v>
      </c>
      <c r="AE140" s="234"/>
      <c r="AF140" s="234"/>
      <c r="AG140" s="234"/>
      <c r="AH140" s="233"/>
      <c r="AI140" s="233"/>
      <c r="AJ140" s="233"/>
      <c r="AK140" s="233"/>
      <c r="AL140" s="233"/>
      <c r="AM140" s="233"/>
      <c r="AN140" s="233"/>
      <c r="AO140" s="233"/>
      <c r="AP140" s="234"/>
      <c r="AQ140" s="234" t="s">
        <v>333</v>
      </c>
    </row>
    <row r="141" spans="1:43">
      <c r="A141" s="6">
        <v>138</v>
      </c>
      <c r="B141" s="21" t="s">
        <v>864</v>
      </c>
      <c r="C141" s="5" t="s">
        <v>865</v>
      </c>
      <c r="D141" s="5" t="s">
        <v>866</v>
      </c>
      <c r="E141" s="5" t="s">
        <v>867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11" t="s">
        <v>46</v>
      </c>
      <c r="Q141" s="5">
        <v>131.41919999999999</v>
      </c>
      <c r="R141" s="5">
        <f t="shared" si="2"/>
        <v>131.41919999999999</v>
      </c>
      <c r="S141" s="5" t="s">
        <v>60</v>
      </c>
      <c r="T141" s="6">
        <v>138</v>
      </c>
      <c r="U141" s="242" t="s">
        <v>868</v>
      </c>
      <c r="V141" s="232" t="s">
        <v>865</v>
      </c>
      <c r="W141" s="232">
        <v>-12915.4</v>
      </c>
      <c r="X141" s="232">
        <v>-4068.1</v>
      </c>
      <c r="Y141" s="233" t="s">
        <v>49</v>
      </c>
      <c r="Z141" s="87" t="s">
        <v>50</v>
      </c>
      <c r="AA141" s="233" t="s">
        <v>51</v>
      </c>
      <c r="AB141" s="234"/>
      <c r="AC141" s="233">
        <v>1</v>
      </c>
      <c r="AD141" s="233" t="s">
        <v>226</v>
      </c>
      <c r="AE141" s="234"/>
      <c r="AF141" s="234"/>
      <c r="AG141" s="234"/>
      <c r="AH141" s="233"/>
      <c r="AI141" s="233"/>
      <c r="AJ141" s="233"/>
      <c r="AK141" s="233"/>
      <c r="AL141" s="233"/>
      <c r="AM141" s="233"/>
      <c r="AN141" s="233"/>
      <c r="AO141" s="233"/>
      <c r="AP141" s="234"/>
      <c r="AQ141" s="234" t="s">
        <v>333</v>
      </c>
    </row>
    <row r="142" spans="1:43">
      <c r="A142" s="6">
        <v>139</v>
      </c>
      <c r="B142" s="21" t="s">
        <v>869</v>
      </c>
      <c r="C142" s="5" t="s">
        <v>870</v>
      </c>
      <c r="D142" s="5" t="s">
        <v>871</v>
      </c>
      <c r="E142" s="5" t="s">
        <v>872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11" t="s">
        <v>46</v>
      </c>
      <c r="Q142" s="5">
        <v>142.1713</v>
      </c>
      <c r="R142" s="5">
        <f t="shared" si="2"/>
        <v>142.1713</v>
      </c>
      <c r="S142" s="5" t="s">
        <v>47</v>
      </c>
      <c r="T142" s="6">
        <v>139</v>
      </c>
      <c r="U142" s="242" t="s">
        <v>873</v>
      </c>
      <c r="V142" s="232" t="s">
        <v>870</v>
      </c>
      <c r="W142" s="232">
        <v>-10945.9</v>
      </c>
      <c r="X142" s="232">
        <v>-4224</v>
      </c>
      <c r="Y142" s="233" t="s">
        <v>49</v>
      </c>
      <c r="Z142" s="87" t="s">
        <v>50</v>
      </c>
      <c r="AA142" s="233" t="s">
        <v>51</v>
      </c>
      <c r="AB142" s="234"/>
      <c r="AC142" s="233">
        <v>1</v>
      </c>
      <c r="AD142" s="233" t="s">
        <v>226</v>
      </c>
      <c r="AE142" s="234"/>
      <c r="AF142" s="234"/>
      <c r="AG142" s="234"/>
      <c r="AH142" s="233"/>
      <c r="AI142" s="233"/>
      <c r="AJ142" s="233"/>
      <c r="AK142" s="233"/>
      <c r="AL142" s="233"/>
      <c r="AM142" s="233"/>
      <c r="AN142" s="233"/>
      <c r="AO142" s="233"/>
      <c r="AP142" s="234"/>
      <c r="AQ142" s="234" t="s">
        <v>333</v>
      </c>
    </row>
    <row r="143" spans="1:43">
      <c r="A143" s="6">
        <v>140</v>
      </c>
      <c r="B143" s="21" t="s">
        <v>874</v>
      </c>
      <c r="C143" s="5" t="s">
        <v>875</v>
      </c>
      <c r="D143" s="5" t="s">
        <v>876</v>
      </c>
      <c r="E143" s="5" t="s">
        <v>877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11" t="s">
        <v>46</v>
      </c>
      <c r="Q143" s="5">
        <v>151.62780000000001</v>
      </c>
      <c r="R143" s="5">
        <f t="shared" si="2"/>
        <v>151.62780000000001</v>
      </c>
      <c r="S143" s="5" t="s">
        <v>47</v>
      </c>
      <c r="T143" s="6">
        <v>140</v>
      </c>
      <c r="U143" s="242" t="s">
        <v>878</v>
      </c>
      <c r="V143" s="232" t="s">
        <v>875</v>
      </c>
      <c r="W143" s="232">
        <v>-10316.299999999999</v>
      </c>
      <c r="X143" s="232">
        <v>-3843</v>
      </c>
      <c r="Y143" s="233" t="s">
        <v>49</v>
      </c>
      <c r="Z143" s="87" t="s">
        <v>50</v>
      </c>
      <c r="AA143" s="233" t="s">
        <v>51</v>
      </c>
      <c r="AB143" s="234"/>
      <c r="AC143" s="233">
        <v>1</v>
      </c>
      <c r="AD143" s="233" t="s">
        <v>226</v>
      </c>
      <c r="AE143" s="234"/>
      <c r="AF143" s="234"/>
      <c r="AG143" s="234"/>
      <c r="AH143" s="233"/>
      <c r="AI143" s="233"/>
      <c r="AJ143" s="233"/>
      <c r="AK143" s="233"/>
      <c r="AL143" s="233"/>
      <c r="AM143" s="233"/>
      <c r="AN143" s="233"/>
      <c r="AO143" s="233"/>
      <c r="AP143" s="234"/>
      <c r="AQ143" s="234" t="s">
        <v>333</v>
      </c>
    </row>
    <row r="144" spans="1:43">
      <c r="A144" s="6">
        <v>141</v>
      </c>
      <c r="B144" s="21" t="s">
        <v>879</v>
      </c>
      <c r="C144" s="5" t="s">
        <v>880</v>
      </c>
      <c r="D144" s="5" t="s">
        <v>881</v>
      </c>
      <c r="E144" s="5" t="s">
        <v>882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11" t="s">
        <v>46</v>
      </c>
      <c r="Q144" s="5">
        <v>162.69739999999999</v>
      </c>
      <c r="R144" s="5">
        <f t="shared" si="2"/>
        <v>162.69739999999999</v>
      </c>
      <c r="S144" s="5" t="s">
        <v>47</v>
      </c>
      <c r="T144" s="6">
        <v>141</v>
      </c>
      <c r="U144" s="242" t="s">
        <v>883</v>
      </c>
      <c r="V144" s="232" t="s">
        <v>880</v>
      </c>
      <c r="W144" s="232">
        <v>-11697.7</v>
      </c>
      <c r="X144" s="232">
        <v>-4471.3999999999996</v>
      </c>
      <c r="Y144" s="233" t="s">
        <v>49</v>
      </c>
      <c r="Z144" s="87" t="s">
        <v>50</v>
      </c>
      <c r="AA144" s="233" t="s">
        <v>51</v>
      </c>
      <c r="AB144" s="234"/>
      <c r="AC144" s="233">
        <v>1</v>
      </c>
      <c r="AD144" s="233" t="s">
        <v>226</v>
      </c>
      <c r="AE144" s="234"/>
      <c r="AF144" s="234"/>
      <c r="AG144" s="234"/>
      <c r="AH144" s="233"/>
      <c r="AI144" s="233"/>
      <c r="AJ144" s="233"/>
      <c r="AK144" s="233"/>
      <c r="AL144" s="233"/>
      <c r="AM144" s="233"/>
      <c r="AN144" s="233"/>
      <c r="AO144" s="233"/>
      <c r="AP144" s="234"/>
      <c r="AQ144" s="234" t="s">
        <v>333</v>
      </c>
    </row>
    <row r="145" spans="1:43">
      <c r="A145" s="6">
        <v>142</v>
      </c>
      <c r="B145" s="21" t="s">
        <v>884</v>
      </c>
      <c r="C145" s="5" t="s">
        <v>885</v>
      </c>
      <c r="D145" s="5" t="s">
        <v>886</v>
      </c>
      <c r="E145" s="5" t="s">
        <v>887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11" t="s">
        <v>46</v>
      </c>
      <c r="Q145" s="5">
        <v>219.13</v>
      </c>
      <c r="R145" s="5">
        <f t="shared" si="2"/>
        <v>219.13</v>
      </c>
      <c r="S145" s="5" t="s">
        <v>732</v>
      </c>
      <c r="T145" s="6">
        <v>142</v>
      </c>
      <c r="U145" s="242" t="s">
        <v>888</v>
      </c>
      <c r="V145" s="232" t="s">
        <v>885</v>
      </c>
      <c r="W145" s="232">
        <v>-7674.8</v>
      </c>
      <c r="X145" s="232">
        <v>-3335.2</v>
      </c>
      <c r="Y145" s="233" t="s">
        <v>49</v>
      </c>
      <c r="Z145" s="87" t="s">
        <v>50</v>
      </c>
      <c r="AA145" s="233" t="s">
        <v>51</v>
      </c>
      <c r="AB145" s="234"/>
      <c r="AC145" s="233">
        <v>1</v>
      </c>
      <c r="AD145" s="233" t="s">
        <v>226</v>
      </c>
      <c r="AE145" s="234"/>
      <c r="AF145" s="234"/>
      <c r="AG145" s="234"/>
      <c r="AH145" s="233"/>
      <c r="AI145" s="233"/>
      <c r="AJ145" s="233"/>
      <c r="AK145" s="233"/>
      <c r="AL145" s="233"/>
      <c r="AM145" s="233"/>
      <c r="AN145" s="233"/>
      <c r="AO145" s="233"/>
      <c r="AP145" s="234"/>
      <c r="AQ145" s="234" t="s">
        <v>333</v>
      </c>
    </row>
    <row r="146" spans="1:43">
      <c r="A146" s="6">
        <v>143</v>
      </c>
      <c r="B146" s="21" t="s">
        <v>889</v>
      </c>
      <c r="C146" s="5" t="s">
        <v>890</v>
      </c>
      <c r="D146" s="5" t="s">
        <v>891</v>
      </c>
      <c r="E146" s="5" t="s">
        <v>892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11" t="s">
        <v>46</v>
      </c>
      <c r="Q146" s="5">
        <v>163.06880000000001</v>
      </c>
      <c r="R146" s="5">
        <f t="shared" si="2"/>
        <v>163.06880000000001</v>
      </c>
      <c r="S146" s="5" t="s">
        <v>47</v>
      </c>
      <c r="T146" s="6">
        <v>143</v>
      </c>
      <c r="U146" s="242" t="s">
        <v>893</v>
      </c>
      <c r="V146" s="232" t="s">
        <v>890</v>
      </c>
      <c r="W146" s="232">
        <v>-6950.9</v>
      </c>
      <c r="X146" s="232">
        <v>-4325.8999999999996</v>
      </c>
      <c r="Y146" s="233" t="s">
        <v>49</v>
      </c>
      <c r="Z146" s="87" t="s">
        <v>50</v>
      </c>
      <c r="AA146" s="233" t="s">
        <v>51</v>
      </c>
      <c r="AB146" s="234"/>
      <c r="AC146" s="233">
        <v>1</v>
      </c>
      <c r="AD146" s="233" t="s">
        <v>226</v>
      </c>
      <c r="AE146" s="234"/>
      <c r="AF146" s="234"/>
      <c r="AG146" s="234"/>
      <c r="AH146" s="233"/>
      <c r="AI146" s="233"/>
      <c r="AJ146" s="233"/>
      <c r="AK146" s="233"/>
      <c r="AL146" s="233"/>
      <c r="AM146" s="233"/>
      <c r="AN146" s="233"/>
      <c r="AO146" s="233"/>
      <c r="AP146" s="234"/>
      <c r="AQ146" s="234" t="s">
        <v>333</v>
      </c>
    </row>
    <row r="147" spans="1:43">
      <c r="A147" s="6">
        <v>144</v>
      </c>
      <c r="B147" s="21" t="s">
        <v>894</v>
      </c>
      <c r="C147" s="5" t="s">
        <v>895</v>
      </c>
      <c r="D147" s="5" t="s">
        <v>896</v>
      </c>
      <c r="E147" s="5" t="s">
        <v>897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11" t="s">
        <v>46</v>
      </c>
      <c r="Q147" s="5">
        <v>169.65960000000001</v>
      </c>
      <c r="R147" s="5">
        <f t="shared" si="2"/>
        <v>169.65960000000001</v>
      </c>
      <c r="S147" s="5" t="s">
        <v>74</v>
      </c>
      <c r="T147" s="6">
        <v>144</v>
      </c>
      <c r="U147" s="242" t="s">
        <v>898</v>
      </c>
      <c r="V147" s="232" t="s">
        <v>895</v>
      </c>
      <c r="W147" s="232">
        <v>-12217.9</v>
      </c>
      <c r="X147" s="232">
        <v>-4563.3999999999996</v>
      </c>
      <c r="Y147" s="233" t="s">
        <v>49</v>
      </c>
      <c r="Z147" s="87" t="s">
        <v>50</v>
      </c>
      <c r="AA147" s="233" t="s">
        <v>51</v>
      </c>
      <c r="AB147" s="234"/>
      <c r="AC147" s="233">
        <v>1</v>
      </c>
      <c r="AD147" s="233" t="s">
        <v>226</v>
      </c>
      <c r="AE147" s="234"/>
      <c r="AF147" s="234"/>
      <c r="AG147" s="234"/>
      <c r="AH147" s="233"/>
      <c r="AI147" s="233"/>
      <c r="AJ147" s="233"/>
      <c r="AK147" s="233"/>
      <c r="AL147" s="233"/>
      <c r="AM147" s="233"/>
      <c r="AN147" s="233"/>
      <c r="AO147" s="233"/>
      <c r="AP147" s="234"/>
      <c r="AQ147" s="234" t="s">
        <v>333</v>
      </c>
    </row>
    <row r="148" spans="1:43">
      <c r="A148" s="6">
        <v>145</v>
      </c>
      <c r="B148" s="21" t="s">
        <v>899</v>
      </c>
      <c r="C148" s="5" t="s">
        <v>900</v>
      </c>
      <c r="D148" s="5" t="s">
        <v>901</v>
      </c>
      <c r="E148" s="5" t="s">
        <v>902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11" t="s">
        <v>46</v>
      </c>
      <c r="Q148" s="5">
        <v>223.88759999999999</v>
      </c>
      <c r="R148" s="5">
        <f t="shared" si="2"/>
        <v>223.88759999999999</v>
      </c>
      <c r="S148" s="5" t="s">
        <v>732</v>
      </c>
      <c r="T148" s="6">
        <v>145</v>
      </c>
      <c r="U148" s="242" t="s">
        <v>903</v>
      </c>
      <c r="V148" s="232" t="s">
        <v>900</v>
      </c>
      <c r="W148" s="232">
        <v>-11912.6</v>
      </c>
      <c r="X148" s="232">
        <v>-4017</v>
      </c>
      <c r="Y148" s="233" t="s">
        <v>49</v>
      </c>
      <c r="Z148" s="87" t="s">
        <v>50</v>
      </c>
      <c r="AA148" s="233" t="s">
        <v>51</v>
      </c>
      <c r="AB148" s="234"/>
      <c r="AC148" s="233">
        <v>1</v>
      </c>
      <c r="AD148" s="233" t="s">
        <v>226</v>
      </c>
      <c r="AE148" s="234"/>
      <c r="AF148" s="234"/>
      <c r="AG148" s="234"/>
      <c r="AH148" s="233"/>
      <c r="AI148" s="233"/>
      <c r="AJ148" s="233"/>
      <c r="AK148" s="233"/>
      <c r="AL148" s="233"/>
      <c r="AM148" s="233"/>
      <c r="AN148" s="233"/>
      <c r="AO148" s="233"/>
      <c r="AP148" s="234"/>
      <c r="AQ148" s="234" t="s">
        <v>333</v>
      </c>
    </row>
    <row r="149" spans="1:43">
      <c r="A149" s="6">
        <v>146</v>
      </c>
      <c r="B149" s="21" t="s">
        <v>904</v>
      </c>
      <c r="C149" s="5" t="s">
        <v>905</v>
      </c>
      <c r="D149" s="5" t="s">
        <v>906</v>
      </c>
      <c r="E149" s="5" t="s">
        <v>907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11" t="s">
        <v>46</v>
      </c>
      <c r="Q149" s="5">
        <v>211.0078</v>
      </c>
      <c r="R149" s="5">
        <f t="shared" si="2"/>
        <v>211.0078</v>
      </c>
      <c r="S149" s="5" t="s">
        <v>395</v>
      </c>
      <c r="T149" s="6">
        <v>146</v>
      </c>
      <c r="U149" s="242" t="s">
        <v>908</v>
      </c>
      <c r="V149" s="232" t="s">
        <v>905</v>
      </c>
      <c r="W149" s="232">
        <v>-8983.5</v>
      </c>
      <c r="X149" s="232">
        <v>-3258.8</v>
      </c>
      <c r="Y149" s="233" t="s">
        <v>49</v>
      </c>
      <c r="Z149" s="87" t="s">
        <v>50</v>
      </c>
      <c r="AA149" s="233" t="s">
        <v>51</v>
      </c>
      <c r="AB149" s="234"/>
      <c r="AC149" s="233">
        <v>1</v>
      </c>
      <c r="AD149" s="233" t="s">
        <v>226</v>
      </c>
      <c r="AE149" s="234"/>
      <c r="AF149" s="234"/>
      <c r="AG149" s="234"/>
      <c r="AH149" s="233"/>
      <c r="AI149" s="233"/>
      <c r="AJ149" s="233"/>
      <c r="AK149" s="233"/>
      <c r="AL149" s="233"/>
      <c r="AM149" s="233"/>
      <c r="AN149" s="233"/>
      <c r="AO149" s="233"/>
      <c r="AP149" s="234"/>
      <c r="AQ149" s="234" t="s">
        <v>333</v>
      </c>
    </row>
    <row r="150" spans="1:43">
      <c r="A150" s="6">
        <v>147</v>
      </c>
      <c r="B150" s="21" t="s">
        <v>909</v>
      </c>
      <c r="C150" s="5" t="s">
        <v>910</v>
      </c>
      <c r="D150" s="5" t="s">
        <v>911</v>
      </c>
      <c r="E150" s="5" t="s">
        <v>912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11" t="s">
        <v>46</v>
      </c>
      <c r="Q150" s="5">
        <v>227.4862</v>
      </c>
      <c r="R150" s="5">
        <f t="shared" si="2"/>
        <v>227.4862</v>
      </c>
      <c r="S150" s="5" t="s">
        <v>685</v>
      </c>
      <c r="T150" s="6">
        <v>147</v>
      </c>
      <c r="U150" s="242" t="s">
        <v>913</v>
      </c>
      <c r="V150" s="232" t="s">
        <v>910</v>
      </c>
      <c r="W150" s="232">
        <v>-10289.299999999999</v>
      </c>
      <c r="X150" s="232">
        <v>-5521.3</v>
      </c>
      <c r="Y150" s="233" t="s">
        <v>49</v>
      </c>
      <c r="Z150" s="87" t="s">
        <v>50</v>
      </c>
      <c r="AA150" s="233" t="s">
        <v>51</v>
      </c>
      <c r="AB150" s="234"/>
      <c r="AC150" s="233">
        <v>1</v>
      </c>
      <c r="AD150" s="233" t="s">
        <v>226</v>
      </c>
      <c r="AE150" s="234"/>
      <c r="AF150" s="234"/>
      <c r="AG150" s="234"/>
      <c r="AH150" s="233"/>
      <c r="AI150" s="233"/>
      <c r="AJ150" s="233"/>
      <c r="AK150" s="233"/>
      <c r="AL150" s="233"/>
      <c r="AM150" s="233"/>
      <c r="AN150" s="233"/>
      <c r="AO150" s="233"/>
      <c r="AP150" s="234"/>
      <c r="AQ150" s="234" t="s">
        <v>333</v>
      </c>
    </row>
    <row r="151" spans="1:43">
      <c r="A151" s="6">
        <v>148</v>
      </c>
      <c r="B151" s="21" t="s">
        <v>914</v>
      </c>
      <c r="C151" s="5" t="s">
        <v>915</v>
      </c>
      <c r="D151" s="5" t="s">
        <v>916</v>
      </c>
      <c r="E151" s="5" t="s">
        <v>917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11" t="s">
        <v>46</v>
      </c>
      <c r="Q151" s="5">
        <v>226.41810000000001</v>
      </c>
      <c r="R151" s="5">
        <f t="shared" si="2"/>
        <v>226.41810000000001</v>
      </c>
      <c r="S151" s="5" t="s">
        <v>395</v>
      </c>
      <c r="T151" s="6">
        <v>148</v>
      </c>
      <c r="U151" s="242" t="s">
        <v>918</v>
      </c>
      <c r="V151" s="232" t="s">
        <v>915</v>
      </c>
      <c r="W151" s="232">
        <v>-9665.7000000000007</v>
      </c>
      <c r="X151" s="232">
        <v>-5133.3</v>
      </c>
      <c r="Y151" s="233" t="s">
        <v>49</v>
      </c>
      <c r="Z151" s="87" t="s">
        <v>50</v>
      </c>
      <c r="AA151" s="233" t="s">
        <v>51</v>
      </c>
      <c r="AB151" s="234"/>
      <c r="AC151" s="233">
        <v>1</v>
      </c>
      <c r="AD151" s="233" t="s">
        <v>226</v>
      </c>
      <c r="AE151" s="234"/>
      <c r="AF151" s="234"/>
      <c r="AG151" s="234"/>
      <c r="AH151" s="233"/>
      <c r="AI151" s="233"/>
      <c r="AJ151" s="233"/>
      <c r="AK151" s="233"/>
      <c r="AL151" s="233"/>
      <c r="AM151" s="233"/>
      <c r="AN151" s="233"/>
      <c r="AO151" s="233"/>
      <c r="AP151" s="234"/>
      <c r="AQ151" s="234" t="s">
        <v>333</v>
      </c>
    </row>
    <row r="152" spans="1:43">
      <c r="A152" s="6">
        <v>149</v>
      </c>
      <c r="B152" s="21" t="s">
        <v>919</v>
      </c>
      <c r="C152" s="5" t="s">
        <v>920</v>
      </c>
      <c r="D152" s="5" t="s">
        <v>921</v>
      </c>
      <c r="E152" s="5" t="s">
        <v>922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11" t="s">
        <v>46</v>
      </c>
      <c r="Q152" s="5">
        <v>151.6138</v>
      </c>
      <c r="R152" s="5">
        <f t="shared" si="2"/>
        <v>151.6138</v>
      </c>
      <c r="S152" s="5" t="s">
        <v>74</v>
      </c>
      <c r="T152" s="6">
        <v>149</v>
      </c>
      <c r="U152" s="243" t="s">
        <v>923</v>
      </c>
      <c r="V152" s="232" t="s">
        <v>920</v>
      </c>
      <c r="W152" s="232">
        <v>-12905.7</v>
      </c>
      <c r="X152" s="232">
        <v>0</v>
      </c>
      <c r="Y152" s="233" t="s">
        <v>49</v>
      </c>
      <c r="Z152" s="87" t="s">
        <v>50</v>
      </c>
      <c r="AA152" s="233" t="s">
        <v>51</v>
      </c>
      <c r="AB152" s="234"/>
      <c r="AC152" s="233">
        <v>1</v>
      </c>
      <c r="AD152" s="233" t="s">
        <v>226</v>
      </c>
      <c r="AE152" s="234"/>
      <c r="AF152" s="234"/>
      <c r="AG152" s="234"/>
      <c r="AH152" s="233"/>
      <c r="AI152" s="233"/>
      <c r="AJ152" s="233"/>
      <c r="AK152" s="233"/>
      <c r="AL152" s="233"/>
      <c r="AM152" s="233"/>
      <c r="AN152" s="233"/>
      <c r="AO152" s="233"/>
      <c r="AP152" s="234"/>
      <c r="AQ152" s="234" t="s">
        <v>333</v>
      </c>
    </row>
    <row r="153" spans="1:43">
      <c r="A153" s="6">
        <v>150</v>
      </c>
      <c r="B153" s="21" t="s">
        <v>924</v>
      </c>
      <c r="C153" s="5" t="s">
        <v>925</v>
      </c>
      <c r="D153" s="5" t="s">
        <v>926</v>
      </c>
      <c r="E153" s="5" t="s">
        <v>927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11" t="s">
        <v>46</v>
      </c>
      <c r="Q153" s="5">
        <v>154.77680000000001</v>
      </c>
      <c r="R153" s="5">
        <f t="shared" si="2"/>
        <v>154.77680000000001</v>
      </c>
      <c r="S153" s="5" t="s">
        <v>74</v>
      </c>
      <c r="T153" s="6">
        <v>150</v>
      </c>
      <c r="U153" s="243" t="s">
        <v>928</v>
      </c>
      <c r="V153" s="232" t="s">
        <v>925</v>
      </c>
      <c r="W153" s="232">
        <v>-12159</v>
      </c>
      <c r="X153" s="232">
        <v>-692.2</v>
      </c>
      <c r="Y153" s="233" t="s">
        <v>49</v>
      </c>
      <c r="Z153" s="87" t="s">
        <v>50</v>
      </c>
      <c r="AA153" s="233" t="s">
        <v>51</v>
      </c>
      <c r="AB153" s="234"/>
      <c r="AC153" s="233">
        <v>1</v>
      </c>
      <c r="AD153" s="233" t="s">
        <v>226</v>
      </c>
      <c r="AE153" s="234"/>
      <c r="AF153" s="234"/>
      <c r="AG153" s="234"/>
      <c r="AH153" s="233"/>
      <c r="AI153" s="233"/>
      <c r="AJ153" s="233"/>
      <c r="AK153" s="233"/>
      <c r="AL153" s="233"/>
      <c r="AM153" s="233"/>
      <c r="AN153" s="233"/>
      <c r="AO153" s="233"/>
      <c r="AP153" s="234"/>
      <c r="AQ153" s="234" t="s">
        <v>333</v>
      </c>
    </row>
    <row r="154" spans="1:43">
      <c r="A154" s="6">
        <v>151</v>
      </c>
      <c r="B154" s="21" t="s">
        <v>929</v>
      </c>
      <c r="C154" s="5" t="s">
        <v>930</v>
      </c>
      <c r="D154" s="5" t="s">
        <v>931</v>
      </c>
      <c r="E154" s="5" t="s">
        <v>932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11" t="s">
        <v>46</v>
      </c>
      <c r="Q154" s="5">
        <v>187.33500000000001</v>
      </c>
      <c r="R154" s="5">
        <f t="shared" si="2"/>
        <v>187.33500000000001</v>
      </c>
      <c r="S154" s="5" t="s">
        <v>706</v>
      </c>
      <c r="T154" s="6">
        <v>151</v>
      </c>
      <c r="U154" s="243" t="s">
        <v>933</v>
      </c>
      <c r="V154" s="232" t="s">
        <v>930</v>
      </c>
      <c r="W154" s="232">
        <v>-9670.7999999999993</v>
      </c>
      <c r="X154" s="232">
        <v>-2204.6999999999998</v>
      </c>
      <c r="Y154" s="233" t="s">
        <v>49</v>
      </c>
      <c r="Z154" s="87" t="s">
        <v>50</v>
      </c>
      <c r="AA154" s="233" t="s">
        <v>51</v>
      </c>
      <c r="AB154" s="233" t="s">
        <v>934</v>
      </c>
      <c r="AC154" s="233">
        <v>1</v>
      </c>
      <c r="AD154" s="233" t="s">
        <v>226</v>
      </c>
      <c r="AE154" s="234"/>
      <c r="AF154" s="234"/>
      <c r="AG154" s="234"/>
      <c r="AH154" s="233"/>
      <c r="AI154" s="233"/>
      <c r="AJ154" s="233" t="s">
        <v>935</v>
      </c>
      <c r="AK154" s="233">
        <v>1500</v>
      </c>
      <c r="AL154" s="233"/>
      <c r="AM154" s="233"/>
      <c r="AN154" s="233"/>
      <c r="AO154" s="233"/>
      <c r="AP154" s="234"/>
      <c r="AQ154" s="234" t="s">
        <v>936</v>
      </c>
    </row>
    <row r="155" spans="1:43">
      <c r="A155" s="6">
        <v>152</v>
      </c>
      <c r="B155" s="21" t="s">
        <v>937</v>
      </c>
      <c r="C155" s="5" t="s">
        <v>938</v>
      </c>
      <c r="D155" s="5" t="s">
        <v>939</v>
      </c>
      <c r="E155" s="5" t="s">
        <v>940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11" t="s">
        <v>46</v>
      </c>
      <c r="Q155" s="5">
        <v>210.3272</v>
      </c>
      <c r="R155" s="5">
        <f t="shared" si="2"/>
        <v>210.3272</v>
      </c>
      <c r="S155" s="5" t="s">
        <v>344</v>
      </c>
      <c r="T155" s="6">
        <v>152</v>
      </c>
      <c r="U155" s="243" t="s">
        <v>941</v>
      </c>
      <c r="V155" s="232" t="s">
        <v>938</v>
      </c>
      <c r="W155" s="232">
        <v>-10359.1</v>
      </c>
      <c r="X155" s="232">
        <v>-2395.1999999999998</v>
      </c>
      <c r="Y155" s="233" t="s">
        <v>49</v>
      </c>
      <c r="Z155" s="87" t="s">
        <v>50</v>
      </c>
      <c r="AA155" s="233" t="s">
        <v>51</v>
      </c>
      <c r="AB155" s="233" t="s">
        <v>934</v>
      </c>
      <c r="AC155" s="233">
        <v>1</v>
      </c>
      <c r="AD155" s="233" t="s">
        <v>226</v>
      </c>
      <c r="AE155" s="234"/>
      <c r="AF155" s="234"/>
      <c r="AG155" s="234"/>
      <c r="AH155" s="233"/>
      <c r="AI155" s="233"/>
      <c r="AJ155" s="233" t="s">
        <v>935</v>
      </c>
      <c r="AK155" s="233">
        <v>1500</v>
      </c>
      <c r="AL155" s="233"/>
      <c r="AM155" s="233"/>
      <c r="AN155" s="233"/>
      <c r="AO155" s="233"/>
      <c r="AP155" s="234"/>
      <c r="AQ155" s="234" t="s">
        <v>936</v>
      </c>
    </row>
    <row r="156" spans="1:43">
      <c r="A156" s="6">
        <v>153</v>
      </c>
      <c r="B156" s="21" t="s">
        <v>942</v>
      </c>
      <c r="C156" s="5" t="s">
        <v>943</v>
      </c>
      <c r="D156" s="5" t="s">
        <v>944</v>
      </c>
      <c r="E156" s="5" t="s">
        <v>945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11" t="s">
        <v>46</v>
      </c>
      <c r="Q156" s="5">
        <v>187.72669999999999</v>
      </c>
      <c r="R156" s="5">
        <f t="shared" si="2"/>
        <v>187.72669999999999</v>
      </c>
      <c r="S156" s="5" t="s">
        <v>344</v>
      </c>
      <c r="T156" s="6">
        <v>153</v>
      </c>
      <c r="U156" s="243" t="s">
        <v>946</v>
      </c>
      <c r="V156" s="232" t="s">
        <v>943</v>
      </c>
      <c r="W156" s="232">
        <v>-12285.7</v>
      </c>
      <c r="X156" s="232">
        <v>-1192.8</v>
      </c>
      <c r="Y156" s="233" t="s">
        <v>49</v>
      </c>
      <c r="Z156" s="87" t="s">
        <v>50</v>
      </c>
      <c r="AA156" s="233" t="s">
        <v>51</v>
      </c>
      <c r="AB156" s="233" t="s">
        <v>934</v>
      </c>
      <c r="AC156" s="233">
        <v>1</v>
      </c>
      <c r="AD156" s="233" t="s">
        <v>226</v>
      </c>
      <c r="AE156" s="234"/>
      <c r="AF156" s="234"/>
      <c r="AG156" s="234"/>
      <c r="AH156" s="233"/>
      <c r="AI156" s="233"/>
      <c r="AJ156" s="233" t="s">
        <v>935</v>
      </c>
      <c r="AK156" s="233">
        <v>1500</v>
      </c>
      <c r="AL156" s="233"/>
      <c r="AM156" s="233"/>
      <c r="AN156" s="233"/>
      <c r="AO156" s="233"/>
      <c r="AP156" s="234"/>
      <c r="AQ156" s="234" t="s">
        <v>936</v>
      </c>
    </row>
    <row r="157" spans="1:43">
      <c r="A157" s="6">
        <v>154</v>
      </c>
      <c r="B157" s="21" t="s">
        <v>947</v>
      </c>
      <c r="C157" s="5" t="s">
        <v>948</v>
      </c>
      <c r="D157" s="5" t="s">
        <v>949</v>
      </c>
      <c r="E157" s="5" t="s">
        <v>950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11" t="s">
        <v>46</v>
      </c>
      <c r="Q157" s="5">
        <v>186.24039999999999</v>
      </c>
      <c r="R157" s="5">
        <f t="shared" si="2"/>
        <v>186.24039999999999</v>
      </c>
      <c r="S157" s="5" t="s">
        <v>60</v>
      </c>
      <c r="T157" s="6">
        <v>154</v>
      </c>
      <c r="U157" s="243" t="s">
        <v>951</v>
      </c>
      <c r="V157" s="232" t="s">
        <v>948</v>
      </c>
      <c r="W157" s="232">
        <v>-12786.5</v>
      </c>
      <c r="X157" s="232">
        <v>-1192.8</v>
      </c>
      <c r="Y157" s="233" t="s">
        <v>49</v>
      </c>
      <c r="Z157" s="87" t="s">
        <v>50</v>
      </c>
      <c r="AA157" s="233" t="s">
        <v>51</v>
      </c>
      <c r="AB157" s="233" t="s">
        <v>934</v>
      </c>
      <c r="AC157" s="233">
        <v>1</v>
      </c>
      <c r="AD157" s="233" t="s">
        <v>226</v>
      </c>
      <c r="AE157" s="234"/>
      <c r="AF157" s="234"/>
      <c r="AG157" s="234"/>
      <c r="AH157" s="233"/>
      <c r="AI157" s="233"/>
      <c r="AJ157" s="233" t="s">
        <v>935</v>
      </c>
      <c r="AK157" s="233">
        <v>1500</v>
      </c>
      <c r="AL157" s="233"/>
      <c r="AM157" s="233"/>
      <c r="AN157" s="233"/>
      <c r="AO157" s="233"/>
      <c r="AP157" s="234"/>
      <c r="AQ157" s="234" t="s">
        <v>936</v>
      </c>
    </row>
    <row r="158" spans="1:43">
      <c r="A158" s="6">
        <v>155</v>
      </c>
      <c r="B158" s="21" t="s">
        <v>952</v>
      </c>
      <c r="C158" s="5" t="s">
        <v>953</v>
      </c>
      <c r="D158" s="5" t="s">
        <v>954</v>
      </c>
      <c r="E158" s="5" t="s">
        <v>955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11" t="s">
        <v>46</v>
      </c>
      <c r="Q158" s="5">
        <v>198.40029999999999</v>
      </c>
      <c r="R158" s="5">
        <f t="shared" si="2"/>
        <v>198.40029999999999</v>
      </c>
      <c r="S158" s="5" t="s">
        <v>338</v>
      </c>
      <c r="T158" s="6">
        <v>155</v>
      </c>
      <c r="U158" s="243" t="s">
        <v>956</v>
      </c>
      <c r="V158" s="232" t="s">
        <v>953</v>
      </c>
      <c r="W158" s="232">
        <v>-11455.4</v>
      </c>
      <c r="X158" s="232">
        <v>-1601.5</v>
      </c>
      <c r="Y158" s="233" t="s">
        <v>49</v>
      </c>
      <c r="Z158" s="87" t="s">
        <v>50</v>
      </c>
      <c r="AA158" s="233" t="s">
        <v>51</v>
      </c>
      <c r="AB158" s="233" t="s">
        <v>934</v>
      </c>
      <c r="AC158" s="233">
        <v>1</v>
      </c>
      <c r="AD158" s="233" t="s">
        <v>226</v>
      </c>
      <c r="AE158" s="234"/>
      <c r="AF158" s="234"/>
      <c r="AG158" s="234"/>
      <c r="AH158" s="233"/>
      <c r="AI158" s="233"/>
      <c r="AJ158" s="233" t="s">
        <v>935</v>
      </c>
      <c r="AK158" s="233">
        <v>1500</v>
      </c>
      <c r="AL158" s="233"/>
      <c r="AM158" s="233"/>
      <c r="AN158" s="233"/>
      <c r="AO158" s="233"/>
      <c r="AP158" s="234"/>
      <c r="AQ158" s="234" t="s">
        <v>936</v>
      </c>
    </row>
    <row r="159" spans="1:43">
      <c r="A159" s="6">
        <v>156</v>
      </c>
      <c r="B159" s="21" t="s">
        <v>957</v>
      </c>
      <c r="C159" s="5" t="s">
        <v>958</v>
      </c>
      <c r="D159" s="5" t="s">
        <v>959</v>
      </c>
      <c r="E159" s="5" t="s">
        <v>960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11" t="s">
        <v>46</v>
      </c>
      <c r="Q159" s="5">
        <v>198.1865</v>
      </c>
      <c r="R159" s="5">
        <f t="shared" si="2"/>
        <v>198.1865</v>
      </c>
      <c r="S159" s="5" t="s">
        <v>706</v>
      </c>
      <c r="T159" s="6">
        <v>156</v>
      </c>
      <c r="U159" s="243" t="s">
        <v>961</v>
      </c>
      <c r="V159" s="232" t="s">
        <v>958</v>
      </c>
      <c r="W159" s="232">
        <v>-11912.6</v>
      </c>
      <c r="X159" s="232">
        <v>-1819.9</v>
      </c>
      <c r="Y159" s="233" t="s">
        <v>49</v>
      </c>
      <c r="Z159" s="87" t="s">
        <v>50</v>
      </c>
      <c r="AA159" s="233" t="s">
        <v>51</v>
      </c>
      <c r="AB159" s="233" t="s">
        <v>934</v>
      </c>
      <c r="AC159" s="233">
        <v>1</v>
      </c>
      <c r="AD159" s="233" t="s">
        <v>226</v>
      </c>
      <c r="AE159" s="234"/>
      <c r="AF159" s="234"/>
      <c r="AG159" s="234"/>
      <c r="AH159" s="233"/>
      <c r="AI159" s="233"/>
      <c r="AJ159" s="233" t="s">
        <v>935</v>
      </c>
      <c r="AK159" s="233">
        <v>1500</v>
      </c>
      <c r="AL159" s="233"/>
      <c r="AM159" s="233"/>
      <c r="AN159" s="233"/>
      <c r="AO159" s="233"/>
      <c r="AP159" s="234"/>
      <c r="AQ159" s="234" t="s">
        <v>936</v>
      </c>
    </row>
    <row r="160" spans="1:43">
      <c r="A160" s="6">
        <v>157</v>
      </c>
      <c r="B160" s="21" t="s">
        <v>962</v>
      </c>
      <c r="C160" s="5" t="s">
        <v>963</v>
      </c>
      <c r="D160" s="5" t="s">
        <v>964</v>
      </c>
      <c r="E160" s="5" t="s">
        <v>965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11" t="s">
        <v>46</v>
      </c>
      <c r="Q160" s="5">
        <v>187.6825</v>
      </c>
      <c r="R160" s="5">
        <f t="shared" si="2"/>
        <v>187.6825</v>
      </c>
      <c r="S160" s="5" t="s">
        <v>60</v>
      </c>
      <c r="T160" s="6">
        <v>157</v>
      </c>
      <c r="U160" s="243" t="s">
        <v>966</v>
      </c>
      <c r="V160" s="232" t="s">
        <v>963</v>
      </c>
      <c r="W160" s="232">
        <v>-12915.4</v>
      </c>
      <c r="X160" s="232">
        <v>-1871</v>
      </c>
      <c r="Y160" s="233" t="s">
        <v>49</v>
      </c>
      <c r="Z160" s="87" t="s">
        <v>50</v>
      </c>
      <c r="AA160" s="233" t="s">
        <v>51</v>
      </c>
      <c r="AB160" s="233" t="s">
        <v>934</v>
      </c>
      <c r="AC160" s="233">
        <v>1</v>
      </c>
      <c r="AD160" s="233" t="s">
        <v>226</v>
      </c>
      <c r="AE160" s="234"/>
      <c r="AF160" s="234"/>
      <c r="AG160" s="234"/>
      <c r="AH160" s="233"/>
      <c r="AI160" s="233"/>
      <c r="AJ160" s="233" t="s">
        <v>935</v>
      </c>
      <c r="AK160" s="233">
        <v>1500</v>
      </c>
      <c r="AL160" s="233"/>
      <c r="AM160" s="233"/>
      <c r="AN160" s="233"/>
      <c r="AO160" s="233"/>
      <c r="AP160" s="234"/>
      <c r="AQ160" s="234" t="s">
        <v>936</v>
      </c>
    </row>
    <row r="161" spans="1:43">
      <c r="A161" s="6">
        <v>158</v>
      </c>
      <c r="B161" s="21" t="s">
        <v>967</v>
      </c>
      <c r="C161" s="5" t="s">
        <v>968</v>
      </c>
      <c r="D161" s="5" t="s">
        <v>969</v>
      </c>
      <c r="E161" s="5" t="s">
        <v>970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11" t="s">
        <v>46</v>
      </c>
      <c r="Q161" s="5">
        <v>190.95769999999999</v>
      </c>
      <c r="R161" s="5">
        <f t="shared" si="2"/>
        <v>190.95769999999999</v>
      </c>
      <c r="S161" s="5" t="s">
        <v>74</v>
      </c>
      <c r="T161" s="6">
        <v>158</v>
      </c>
      <c r="U161" s="243" t="s">
        <v>971</v>
      </c>
      <c r="V161" s="232" t="s">
        <v>968</v>
      </c>
      <c r="W161" s="232">
        <v>-12413</v>
      </c>
      <c r="X161" s="232">
        <v>-1901.2</v>
      </c>
      <c r="Y161" s="233" t="s">
        <v>49</v>
      </c>
      <c r="Z161" s="87" t="s">
        <v>50</v>
      </c>
      <c r="AA161" s="233" t="s">
        <v>51</v>
      </c>
      <c r="AB161" s="233" t="s">
        <v>934</v>
      </c>
      <c r="AC161" s="233">
        <v>1</v>
      </c>
      <c r="AD161" s="233" t="s">
        <v>226</v>
      </c>
      <c r="AE161" s="234"/>
      <c r="AF161" s="234"/>
      <c r="AG161" s="234"/>
      <c r="AH161" s="233"/>
      <c r="AI161" s="233"/>
      <c r="AJ161" s="233" t="s">
        <v>935</v>
      </c>
      <c r="AK161" s="233">
        <v>1500</v>
      </c>
      <c r="AL161" s="233"/>
      <c r="AM161" s="233"/>
      <c r="AN161" s="233"/>
      <c r="AO161" s="233"/>
      <c r="AP161" s="234"/>
      <c r="AQ161" s="234" t="s">
        <v>936</v>
      </c>
    </row>
    <row r="162" spans="1:43">
      <c r="A162" s="6">
        <v>159</v>
      </c>
      <c r="B162" s="21" t="s">
        <v>972</v>
      </c>
      <c r="C162" s="5" t="s">
        <v>973</v>
      </c>
      <c r="D162" s="5" t="s">
        <v>974</v>
      </c>
      <c r="E162" s="5" t="s">
        <v>975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11" t="s">
        <v>46</v>
      </c>
      <c r="Q162" s="5">
        <v>187.7056</v>
      </c>
      <c r="R162" s="5">
        <f t="shared" si="2"/>
        <v>187.7056</v>
      </c>
      <c r="S162" s="5" t="s">
        <v>344</v>
      </c>
      <c r="T162" s="6">
        <v>159</v>
      </c>
      <c r="U162" s="243" t="s">
        <v>976</v>
      </c>
      <c r="V162" s="232" t="s">
        <v>973</v>
      </c>
      <c r="W162" s="232">
        <v>-12217.9</v>
      </c>
      <c r="X162" s="232">
        <v>-2366.3000000000002</v>
      </c>
      <c r="Y162" s="233" t="s">
        <v>49</v>
      </c>
      <c r="Z162" s="87" t="s">
        <v>50</v>
      </c>
      <c r="AA162" s="233" t="s">
        <v>51</v>
      </c>
      <c r="AB162" s="233" t="s">
        <v>934</v>
      </c>
      <c r="AC162" s="233">
        <v>1</v>
      </c>
      <c r="AD162" s="233" t="s">
        <v>226</v>
      </c>
      <c r="AE162" s="234"/>
      <c r="AF162" s="234"/>
      <c r="AG162" s="234"/>
      <c r="AH162" s="233"/>
      <c r="AI162" s="233"/>
      <c r="AJ162" s="233" t="s">
        <v>935</v>
      </c>
      <c r="AK162" s="233">
        <v>1500</v>
      </c>
      <c r="AL162" s="233"/>
      <c r="AM162" s="233"/>
      <c r="AN162" s="233"/>
      <c r="AO162" s="233"/>
      <c r="AP162" s="234"/>
      <c r="AQ162" s="234" t="s">
        <v>936</v>
      </c>
    </row>
    <row r="163" spans="1:43">
      <c r="A163" s="6">
        <v>160</v>
      </c>
      <c r="B163" s="21" t="s">
        <v>977</v>
      </c>
      <c r="C163" s="5" t="s">
        <v>978</v>
      </c>
      <c r="D163" s="5" t="s">
        <v>979</v>
      </c>
      <c r="E163" s="5" t="s">
        <v>980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11" t="s">
        <v>46</v>
      </c>
      <c r="Q163" s="5">
        <v>207.92850000000001</v>
      </c>
      <c r="R163" s="5">
        <f t="shared" si="2"/>
        <v>207.92850000000001</v>
      </c>
      <c r="S163" s="5" t="s">
        <v>344</v>
      </c>
      <c r="T163" s="6">
        <v>160</v>
      </c>
      <c r="U163" s="243" t="s">
        <v>981</v>
      </c>
      <c r="V163" s="232" t="s">
        <v>978</v>
      </c>
      <c r="W163" s="232">
        <v>-11697.7</v>
      </c>
      <c r="X163" s="232">
        <v>-2274.3000000000002</v>
      </c>
      <c r="Y163" s="233" t="s">
        <v>49</v>
      </c>
      <c r="Z163" s="87" t="s">
        <v>50</v>
      </c>
      <c r="AA163" s="233" t="s">
        <v>51</v>
      </c>
      <c r="AB163" s="233" t="s">
        <v>934</v>
      </c>
      <c r="AC163" s="233">
        <v>1</v>
      </c>
      <c r="AD163" s="233" t="s">
        <v>226</v>
      </c>
      <c r="AE163" s="234"/>
      <c r="AF163" s="234"/>
      <c r="AG163" s="234"/>
      <c r="AH163" s="233"/>
      <c r="AI163" s="233"/>
      <c r="AJ163" s="233" t="s">
        <v>935</v>
      </c>
      <c r="AK163" s="233">
        <v>1500</v>
      </c>
      <c r="AL163" s="233"/>
      <c r="AM163" s="233"/>
      <c r="AN163" s="233"/>
      <c r="AO163" s="233"/>
      <c r="AP163" s="234"/>
      <c r="AQ163" s="234" t="s">
        <v>936</v>
      </c>
    </row>
    <row r="164" spans="1:43">
      <c r="A164" s="6">
        <v>161</v>
      </c>
      <c r="B164" s="21" t="s">
        <v>982</v>
      </c>
      <c r="C164" s="5" t="s">
        <v>983</v>
      </c>
      <c r="D164" s="5" t="s">
        <v>984</v>
      </c>
      <c r="E164" s="5" t="s">
        <v>985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11" t="s">
        <v>46</v>
      </c>
      <c r="Q164" s="5">
        <v>183.3407</v>
      </c>
      <c r="R164" s="5">
        <f t="shared" si="2"/>
        <v>183.3407</v>
      </c>
      <c r="S164" s="5" t="s">
        <v>67</v>
      </c>
      <c r="T164" s="6">
        <v>161</v>
      </c>
      <c r="U164" s="243" t="s">
        <v>986</v>
      </c>
      <c r="V164" s="232" t="s">
        <v>983</v>
      </c>
      <c r="W164" s="232">
        <v>-12702.5</v>
      </c>
      <c r="X164" s="232">
        <v>-532.1</v>
      </c>
      <c r="Y164" s="233" t="s">
        <v>49</v>
      </c>
      <c r="Z164" s="87" t="s">
        <v>50</v>
      </c>
      <c r="AA164" s="233" t="s">
        <v>51</v>
      </c>
      <c r="AB164" s="234"/>
      <c r="AC164" s="233">
        <v>1</v>
      </c>
      <c r="AD164" s="233" t="s">
        <v>226</v>
      </c>
      <c r="AE164" s="234"/>
      <c r="AF164" s="234"/>
      <c r="AG164" s="234"/>
      <c r="AH164" s="233"/>
      <c r="AI164" s="233"/>
      <c r="AJ164" s="233"/>
      <c r="AK164" s="233"/>
      <c r="AL164" s="233"/>
      <c r="AM164" s="233"/>
      <c r="AN164" s="233"/>
      <c r="AO164" s="233"/>
      <c r="AP164" s="234"/>
      <c r="AQ164" s="234" t="s">
        <v>333</v>
      </c>
    </row>
    <row r="165" spans="1:43">
      <c r="A165" s="6">
        <v>162</v>
      </c>
      <c r="B165" s="21" t="s">
        <v>987</v>
      </c>
      <c r="C165" s="5" t="s">
        <v>988</v>
      </c>
      <c r="D165" s="5" t="s">
        <v>989</v>
      </c>
      <c r="E165" s="5" t="s">
        <v>990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11" t="s">
        <v>46</v>
      </c>
      <c r="Q165" s="5">
        <v>187.06460000000001</v>
      </c>
      <c r="R165" s="5">
        <f t="shared" si="2"/>
        <v>187.06460000000001</v>
      </c>
      <c r="S165" s="5" t="s">
        <v>344</v>
      </c>
      <c r="T165" s="6">
        <v>162</v>
      </c>
      <c r="U165" s="243" t="s">
        <v>991</v>
      </c>
      <c r="V165" s="232" t="s">
        <v>988</v>
      </c>
      <c r="W165" s="232">
        <v>-8891</v>
      </c>
      <c r="X165" s="232">
        <v>-579.1</v>
      </c>
      <c r="Y165" s="233" t="s">
        <v>49</v>
      </c>
      <c r="Z165" s="87" t="s">
        <v>50</v>
      </c>
      <c r="AA165" s="233" t="s">
        <v>51</v>
      </c>
      <c r="AB165" s="233" t="s">
        <v>934</v>
      </c>
      <c r="AC165" s="233">
        <v>1</v>
      </c>
      <c r="AD165" s="233" t="s">
        <v>226</v>
      </c>
      <c r="AE165" s="234"/>
      <c r="AF165" s="234"/>
      <c r="AG165" s="234"/>
      <c r="AH165" s="233"/>
      <c r="AI165" s="233"/>
      <c r="AJ165" s="233" t="s">
        <v>935</v>
      </c>
      <c r="AK165" s="233">
        <v>1500</v>
      </c>
      <c r="AL165" s="233"/>
      <c r="AM165" s="233"/>
      <c r="AN165" s="233"/>
      <c r="AO165" s="233"/>
      <c r="AP165" s="234"/>
      <c r="AQ165" s="234" t="s">
        <v>936</v>
      </c>
    </row>
    <row r="166" spans="1:43">
      <c r="A166" s="6">
        <v>163</v>
      </c>
      <c r="B166" s="21" t="s">
        <v>992</v>
      </c>
      <c r="C166" s="5" t="s">
        <v>993</v>
      </c>
      <c r="D166" s="5" t="s">
        <v>994</v>
      </c>
      <c r="E166" s="5" t="s">
        <v>995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11" t="s">
        <v>46</v>
      </c>
      <c r="Q166" s="5">
        <v>186.0728</v>
      </c>
      <c r="R166" s="5">
        <f t="shared" si="2"/>
        <v>186.0728</v>
      </c>
      <c r="S166" s="5" t="s">
        <v>338</v>
      </c>
      <c r="T166" s="6">
        <v>163</v>
      </c>
      <c r="U166" s="243" t="s">
        <v>996</v>
      </c>
      <c r="V166" s="232" t="s">
        <v>993</v>
      </c>
      <c r="W166" s="232">
        <v>-9602.2000000000007</v>
      </c>
      <c r="X166" s="232">
        <v>-579.1</v>
      </c>
      <c r="Y166" s="233" t="s">
        <v>49</v>
      </c>
      <c r="Z166" s="87" t="s">
        <v>50</v>
      </c>
      <c r="AA166" s="233" t="s">
        <v>51</v>
      </c>
      <c r="AB166" s="233" t="s">
        <v>934</v>
      </c>
      <c r="AC166" s="233">
        <v>1</v>
      </c>
      <c r="AD166" s="233" t="s">
        <v>226</v>
      </c>
      <c r="AE166" s="234"/>
      <c r="AF166" s="234"/>
      <c r="AG166" s="234"/>
      <c r="AH166" s="233"/>
      <c r="AI166" s="233"/>
      <c r="AJ166" s="233" t="s">
        <v>935</v>
      </c>
      <c r="AK166" s="233">
        <v>1500</v>
      </c>
      <c r="AL166" s="233"/>
      <c r="AM166" s="233"/>
      <c r="AN166" s="233"/>
      <c r="AO166" s="233"/>
      <c r="AP166" s="234"/>
      <c r="AQ166" s="234" t="s">
        <v>936</v>
      </c>
    </row>
    <row r="167" spans="1:43">
      <c r="A167" s="6">
        <v>164</v>
      </c>
      <c r="B167" s="21" t="s">
        <v>997</v>
      </c>
      <c r="C167" s="5" t="s">
        <v>998</v>
      </c>
      <c r="D167" s="5" t="s">
        <v>999</v>
      </c>
      <c r="E167" s="5" t="s">
        <v>1000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11" t="s">
        <v>46</v>
      </c>
      <c r="Q167" s="5">
        <v>204.36539999999999</v>
      </c>
      <c r="R167" s="5">
        <f t="shared" si="2"/>
        <v>204.36539999999999</v>
      </c>
      <c r="S167" s="5" t="s">
        <v>395</v>
      </c>
      <c r="T167" s="6">
        <v>164</v>
      </c>
      <c r="U167" s="243" t="s">
        <v>1001</v>
      </c>
      <c r="V167" s="232" t="s">
        <v>998</v>
      </c>
      <c r="W167" s="232">
        <v>-10313.4</v>
      </c>
      <c r="X167" s="232">
        <v>-579.1</v>
      </c>
      <c r="Y167" s="233" t="s">
        <v>49</v>
      </c>
      <c r="Z167" s="87" t="s">
        <v>50</v>
      </c>
      <c r="AA167" s="233" t="s">
        <v>51</v>
      </c>
      <c r="AB167" s="234"/>
      <c r="AC167" s="233">
        <v>1</v>
      </c>
      <c r="AD167" s="233" t="s">
        <v>226</v>
      </c>
      <c r="AE167" s="234"/>
      <c r="AF167" s="234"/>
      <c r="AG167" s="234"/>
      <c r="AH167" s="233"/>
      <c r="AI167" s="233"/>
      <c r="AJ167" s="233"/>
      <c r="AK167" s="233"/>
      <c r="AL167" s="233"/>
      <c r="AM167" s="233"/>
      <c r="AN167" s="233"/>
      <c r="AO167" s="233"/>
      <c r="AP167" s="234"/>
      <c r="AQ167" s="234" t="s">
        <v>333</v>
      </c>
    </row>
    <row r="168" spans="1:43">
      <c r="A168" s="6">
        <v>165</v>
      </c>
      <c r="B168" s="21" t="s">
        <v>1002</v>
      </c>
      <c r="C168" s="5" t="s">
        <v>1003</v>
      </c>
      <c r="D168" s="5" t="s">
        <v>1004</v>
      </c>
      <c r="E168" s="5" t="s">
        <v>1005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11" t="s">
        <v>46</v>
      </c>
      <c r="Q168" s="5">
        <v>179.86269999999999</v>
      </c>
      <c r="R168" s="5">
        <f t="shared" si="2"/>
        <v>179.86269999999999</v>
      </c>
      <c r="S168" s="5" t="s">
        <v>67</v>
      </c>
      <c r="T168" s="6">
        <v>165</v>
      </c>
      <c r="U168" s="243" t="s">
        <v>1006</v>
      </c>
      <c r="V168" s="232" t="s">
        <v>1003</v>
      </c>
      <c r="W168" s="232">
        <v>-11024.6</v>
      </c>
      <c r="X168" s="232">
        <v>-579.1</v>
      </c>
      <c r="Y168" s="233" t="s">
        <v>49</v>
      </c>
      <c r="Z168" s="87" t="s">
        <v>50</v>
      </c>
      <c r="AA168" s="233" t="s">
        <v>51</v>
      </c>
      <c r="AB168" s="234"/>
      <c r="AC168" s="233">
        <v>1</v>
      </c>
      <c r="AD168" s="233" t="s">
        <v>226</v>
      </c>
      <c r="AE168" s="234"/>
      <c r="AF168" s="234"/>
      <c r="AG168" s="234"/>
      <c r="AH168" s="233"/>
      <c r="AI168" s="233"/>
      <c r="AJ168" s="233"/>
      <c r="AK168" s="233"/>
      <c r="AL168" s="233"/>
      <c r="AM168" s="233"/>
      <c r="AN168" s="233"/>
      <c r="AO168" s="233"/>
      <c r="AP168" s="234"/>
      <c r="AQ168" s="234" t="s">
        <v>333</v>
      </c>
    </row>
    <row r="169" spans="1:43">
      <c r="A169" s="6">
        <v>166</v>
      </c>
      <c r="B169" s="21" t="s">
        <v>1007</v>
      </c>
      <c r="C169" s="5" t="s">
        <v>1008</v>
      </c>
      <c r="D169" s="5" t="s">
        <v>1009</v>
      </c>
      <c r="E169" s="5" t="s">
        <v>1010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11" t="s">
        <v>46</v>
      </c>
      <c r="Q169" s="5">
        <v>150.41499999999999</v>
      </c>
      <c r="R169" s="5">
        <f t="shared" si="2"/>
        <v>150.41499999999999</v>
      </c>
      <c r="S169" s="5" t="s">
        <v>47</v>
      </c>
      <c r="T169" s="6">
        <v>166</v>
      </c>
      <c r="U169" s="243" t="s">
        <v>1011</v>
      </c>
      <c r="V169" s="232" t="s">
        <v>1008</v>
      </c>
      <c r="W169" s="232">
        <v>-6950.9</v>
      </c>
      <c r="X169" s="232">
        <v>-1353.8</v>
      </c>
      <c r="Y169" s="233" t="s">
        <v>49</v>
      </c>
      <c r="Z169" s="87" t="s">
        <v>50</v>
      </c>
      <c r="AA169" s="233" t="s">
        <v>51</v>
      </c>
      <c r="AB169" s="234"/>
      <c r="AC169" s="233">
        <v>1</v>
      </c>
      <c r="AD169" s="233" t="s">
        <v>226</v>
      </c>
      <c r="AE169" s="234"/>
      <c r="AF169" s="234"/>
      <c r="AG169" s="234"/>
      <c r="AH169" s="233"/>
      <c r="AI169" s="233"/>
      <c r="AJ169" s="233"/>
      <c r="AK169" s="233"/>
      <c r="AL169" s="233"/>
      <c r="AM169" s="233"/>
      <c r="AN169" s="233"/>
      <c r="AO169" s="233"/>
      <c r="AP169" s="234"/>
      <c r="AQ169" s="234" t="s">
        <v>333</v>
      </c>
    </row>
    <row r="170" spans="1:43">
      <c r="A170" s="6">
        <v>167</v>
      </c>
      <c r="B170" s="21" t="s">
        <v>1012</v>
      </c>
      <c r="C170" s="5" t="s">
        <v>1013</v>
      </c>
      <c r="D170" s="5" t="s">
        <v>1014</v>
      </c>
      <c r="E170" s="5" t="s">
        <v>1015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11" t="s">
        <v>46</v>
      </c>
      <c r="Q170" s="5">
        <v>164.17959999999999</v>
      </c>
      <c r="R170" s="5">
        <f t="shared" si="2"/>
        <v>164.17959999999999</v>
      </c>
      <c r="S170" s="5" t="s">
        <v>395</v>
      </c>
      <c r="T170" s="6">
        <v>167</v>
      </c>
      <c r="U170" s="243" t="s">
        <v>1016</v>
      </c>
      <c r="V170" s="232" t="s">
        <v>1013</v>
      </c>
      <c r="W170" s="232">
        <v>-6227</v>
      </c>
      <c r="X170" s="232">
        <v>-1353.8</v>
      </c>
      <c r="Y170" s="233" t="s">
        <v>49</v>
      </c>
      <c r="Z170" s="87" t="s">
        <v>50</v>
      </c>
      <c r="AA170" s="233" t="s">
        <v>51</v>
      </c>
      <c r="AB170" s="234"/>
      <c r="AC170" s="233">
        <v>1</v>
      </c>
      <c r="AD170" s="233" t="s">
        <v>226</v>
      </c>
      <c r="AE170" s="234"/>
      <c r="AF170" s="234"/>
      <c r="AG170" s="234"/>
      <c r="AH170" s="233"/>
      <c r="AI170" s="233"/>
      <c r="AJ170" s="233"/>
      <c r="AK170" s="233"/>
      <c r="AL170" s="233"/>
      <c r="AM170" s="233"/>
      <c r="AN170" s="233"/>
      <c r="AO170" s="233"/>
      <c r="AP170" s="234"/>
      <c r="AQ170" s="234" t="s">
        <v>333</v>
      </c>
    </row>
    <row r="171" spans="1:43">
      <c r="A171" s="6">
        <v>168</v>
      </c>
      <c r="B171" s="21" t="s">
        <v>1017</v>
      </c>
      <c r="C171" s="5" t="s">
        <v>1018</v>
      </c>
      <c r="D171" s="5" t="s">
        <v>1019</v>
      </c>
      <c r="E171" s="5" t="s">
        <v>1020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11" t="s">
        <v>46</v>
      </c>
      <c r="Q171" s="5">
        <v>127.44029999999999</v>
      </c>
      <c r="R171" s="5">
        <f t="shared" si="2"/>
        <v>127.44029999999999</v>
      </c>
      <c r="S171" s="5" t="s">
        <v>60</v>
      </c>
      <c r="T171" s="6">
        <v>168</v>
      </c>
      <c r="U171" s="243" t="s">
        <v>1021</v>
      </c>
      <c r="V171" s="232" t="s">
        <v>1018</v>
      </c>
      <c r="W171" s="232">
        <v>-12702.5</v>
      </c>
      <c r="X171" s="232">
        <v>-2729.2</v>
      </c>
      <c r="Y171" s="233" t="s">
        <v>49</v>
      </c>
      <c r="Z171" s="87" t="s">
        <v>50</v>
      </c>
      <c r="AA171" s="233" t="s">
        <v>51</v>
      </c>
      <c r="AB171" s="234"/>
      <c r="AC171" s="233">
        <v>1</v>
      </c>
      <c r="AD171" s="233" t="s">
        <v>226</v>
      </c>
      <c r="AE171" s="234"/>
      <c r="AF171" s="234"/>
      <c r="AG171" s="234"/>
      <c r="AH171" s="233"/>
      <c r="AI171" s="233"/>
      <c r="AJ171" s="233"/>
      <c r="AK171" s="233"/>
      <c r="AL171" s="233"/>
      <c r="AM171" s="233"/>
      <c r="AN171" s="233"/>
      <c r="AO171" s="233"/>
      <c r="AP171" s="234"/>
      <c r="AQ171" s="234" t="s">
        <v>333</v>
      </c>
    </row>
    <row r="172" spans="1:43">
      <c r="A172" s="6">
        <v>169</v>
      </c>
      <c r="B172" s="21" t="s">
        <v>1022</v>
      </c>
      <c r="C172" s="5" t="s">
        <v>1023</v>
      </c>
      <c r="D172" s="5" t="s">
        <v>1024</v>
      </c>
      <c r="E172" s="5" t="s">
        <v>1025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11" t="s">
        <v>46</v>
      </c>
      <c r="Q172" s="5">
        <v>211.8708</v>
      </c>
      <c r="R172" s="5">
        <f t="shared" si="2"/>
        <v>211.8708</v>
      </c>
      <c r="S172" s="5" t="s">
        <v>395</v>
      </c>
      <c r="T172" s="6">
        <v>169</v>
      </c>
      <c r="U172" s="243" t="s">
        <v>1026</v>
      </c>
      <c r="V172" s="232" t="s">
        <v>1023</v>
      </c>
      <c r="W172" s="232">
        <v>-7674.8</v>
      </c>
      <c r="X172" s="232">
        <v>-1353.8</v>
      </c>
      <c r="Y172" s="233" t="s">
        <v>49</v>
      </c>
      <c r="Z172" s="87" t="s">
        <v>50</v>
      </c>
      <c r="AA172" s="233" t="s">
        <v>51</v>
      </c>
      <c r="AB172" s="234"/>
      <c r="AC172" s="233">
        <v>1</v>
      </c>
      <c r="AD172" s="233" t="s">
        <v>226</v>
      </c>
      <c r="AE172" s="234"/>
      <c r="AF172" s="234"/>
      <c r="AG172" s="234"/>
      <c r="AH172" s="233"/>
      <c r="AI172" s="233"/>
      <c r="AJ172" s="233"/>
      <c r="AK172" s="233"/>
      <c r="AL172" s="233"/>
      <c r="AM172" s="233"/>
      <c r="AN172" s="233"/>
      <c r="AO172" s="233"/>
      <c r="AP172" s="234"/>
      <c r="AQ172" s="234" t="s">
        <v>333</v>
      </c>
    </row>
    <row r="173" spans="1:43">
      <c r="A173" s="6">
        <v>170</v>
      </c>
      <c r="B173" s="21" t="s">
        <v>1027</v>
      </c>
      <c r="C173" s="5" t="s">
        <v>1028</v>
      </c>
      <c r="D173" s="5" t="s">
        <v>1029</v>
      </c>
      <c r="E173" s="5" t="s">
        <v>1030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11" t="s">
        <v>46</v>
      </c>
      <c r="Q173" s="5">
        <v>214.69759999999999</v>
      </c>
      <c r="R173" s="5">
        <f t="shared" si="2"/>
        <v>214.69759999999999</v>
      </c>
      <c r="S173" s="5" t="s">
        <v>344</v>
      </c>
      <c r="T173" s="6">
        <v>170</v>
      </c>
      <c r="U173" s="243" t="s">
        <v>1031</v>
      </c>
      <c r="V173" s="232" t="s">
        <v>1028</v>
      </c>
      <c r="W173" s="232">
        <v>-7674.8</v>
      </c>
      <c r="X173" s="232">
        <v>-2344.5</v>
      </c>
      <c r="Y173" s="233" t="s">
        <v>49</v>
      </c>
      <c r="Z173" s="87" t="s">
        <v>50</v>
      </c>
      <c r="AA173" s="233" t="s">
        <v>51</v>
      </c>
      <c r="AB173" s="233" t="s">
        <v>934</v>
      </c>
      <c r="AC173" s="233">
        <v>1</v>
      </c>
      <c r="AD173" s="233" t="s">
        <v>226</v>
      </c>
      <c r="AE173" s="234"/>
      <c r="AF173" s="234"/>
      <c r="AG173" s="234"/>
      <c r="AH173" s="233"/>
      <c r="AI173" s="233"/>
      <c r="AJ173" s="233" t="s">
        <v>935</v>
      </c>
      <c r="AK173" s="233">
        <v>1500</v>
      </c>
      <c r="AL173" s="233"/>
      <c r="AM173" s="233"/>
      <c r="AN173" s="233"/>
      <c r="AO173" s="233"/>
      <c r="AP173" s="234"/>
      <c r="AQ173" s="234" t="s">
        <v>936</v>
      </c>
    </row>
    <row r="174" spans="1:43">
      <c r="A174" s="6">
        <v>171</v>
      </c>
      <c r="B174" s="21" t="s">
        <v>1032</v>
      </c>
      <c r="C174" s="5" t="s">
        <v>1033</v>
      </c>
      <c r="D174" s="5" t="s">
        <v>1034</v>
      </c>
      <c r="E174" s="5" t="s">
        <v>1035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11" t="s">
        <v>46</v>
      </c>
      <c r="Q174" s="5">
        <v>205.77780000000001</v>
      </c>
      <c r="R174" s="5">
        <f t="shared" si="2"/>
        <v>205.77780000000001</v>
      </c>
      <c r="S174" s="5" t="s">
        <v>706</v>
      </c>
      <c r="T174" s="6">
        <v>171</v>
      </c>
      <c r="U174" s="243" t="s">
        <v>1036</v>
      </c>
      <c r="V174" s="232" t="s">
        <v>1033</v>
      </c>
      <c r="W174" s="232">
        <v>-6950.9</v>
      </c>
      <c r="X174" s="232">
        <v>-2344.5</v>
      </c>
      <c r="Y174" s="233" t="s">
        <v>49</v>
      </c>
      <c r="Z174" s="87" t="s">
        <v>50</v>
      </c>
      <c r="AA174" s="233" t="s">
        <v>51</v>
      </c>
      <c r="AB174" s="233" t="s">
        <v>934</v>
      </c>
      <c r="AC174" s="233">
        <v>1</v>
      </c>
      <c r="AD174" s="233" t="s">
        <v>226</v>
      </c>
      <c r="AE174" s="234"/>
      <c r="AF174" s="234"/>
      <c r="AG174" s="234"/>
      <c r="AH174" s="233"/>
      <c r="AI174" s="233"/>
      <c r="AJ174" s="233" t="s">
        <v>935</v>
      </c>
      <c r="AK174" s="233">
        <v>1500</v>
      </c>
      <c r="AL174" s="233"/>
      <c r="AM174" s="233"/>
      <c r="AN174" s="233"/>
      <c r="AO174" s="233"/>
      <c r="AP174" s="234"/>
      <c r="AQ174" s="234" t="s">
        <v>936</v>
      </c>
    </row>
    <row r="175" spans="1:43">
      <c r="A175" s="6">
        <v>172</v>
      </c>
      <c r="B175" s="21" t="s">
        <v>1037</v>
      </c>
      <c r="C175" s="5" t="s">
        <v>1038</v>
      </c>
      <c r="D175" s="5" t="s">
        <v>1039</v>
      </c>
      <c r="E175" s="5" t="s">
        <v>1040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11" t="s">
        <v>46</v>
      </c>
      <c r="Q175" s="5">
        <v>205.6583</v>
      </c>
      <c r="R175" s="5">
        <f t="shared" si="2"/>
        <v>205.6583</v>
      </c>
      <c r="S175" s="5" t="s">
        <v>344</v>
      </c>
      <c r="T175" s="6">
        <v>172</v>
      </c>
      <c r="U175" s="243" t="s">
        <v>1041</v>
      </c>
      <c r="V175" s="232" t="s">
        <v>1038</v>
      </c>
      <c r="W175" s="232">
        <v>-8982.5</v>
      </c>
      <c r="X175" s="232">
        <v>-2014.2</v>
      </c>
      <c r="Y175" s="233" t="s">
        <v>49</v>
      </c>
      <c r="Z175" s="87" t="s">
        <v>50</v>
      </c>
      <c r="AA175" s="233" t="s">
        <v>51</v>
      </c>
      <c r="AB175" s="233" t="s">
        <v>934</v>
      </c>
      <c r="AC175" s="233">
        <v>1</v>
      </c>
      <c r="AD175" s="233" t="s">
        <v>226</v>
      </c>
      <c r="AE175" s="234"/>
      <c r="AF175" s="234"/>
      <c r="AG175" s="234"/>
      <c r="AH175" s="233"/>
      <c r="AI175" s="233"/>
      <c r="AJ175" s="233" t="s">
        <v>935</v>
      </c>
      <c r="AK175" s="233">
        <v>1500</v>
      </c>
      <c r="AL175" s="233"/>
      <c r="AM175" s="233"/>
      <c r="AN175" s="233"/>
      <c r="AO175" s="233"/>
      <c r="AP175" s="234"/>
      <c r="AQ175" s="234" t="s">
        <v>936</v>
      </c>
    </row>
    <row r="176" spans="1:43">
      <c r="A176" s="6">
        <v>173</v>
      </c>
      <c r="B176" s="21" t="s">
        <v>1042</v>
      </c>
      <c r="C176" s="5" t="s">
        <v>1043</v>
      </c>
      <c r="D176" s="5" t="s">
        <v>1044</v>
      </c>
      <c r="E176" s="5" t="s">
        <v>1045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11" t="s">
        <v>46</v>
      </c>
      <c r="Q176" s="5">
        <v>123.33629999999999</v>
      </c>
      <c r="R176" s="5">
        <f t="shared" si="2"/>
        <v>123.33629999999999</v>
      </c>
      <c r="S176" s="5" t="s">
        <v>395</v>
      </c>
      <c r="T176" s="6">
        <v>173</v>
      </c>
      <c r="U176" s="244" t="s">
        <v>1046</v>
      </c>
      <c r="V176" s="232" t="s">
        <v>1043</v>
      </c>
      <c r="W176" s="232">
        <v>10883.1</v>
      </c>
      <c r="X176" s="232">
        <v>8100</v>
      </c>
      <c r="Y176" s="233" t="s">
        <v>49</v>
      </c>
      <c r="Z176" s="87" t="s">
        <v>50</v>
      </c>
      <c r="AA176" s="233" t="s">
        <v>51</v>
      </c>
      <c r="AB176" s="234"/>
      <c r="AC176" s="233">
        <v>1</v>
      </c>
      <c r="AD176" s="233" t="s">
        <v>226</v>
      </c>
      <c r="AE176" s="234"/>
      <c r="AF176" s="234"/>
      <c r="AG176" s="234"/>
      <c r="AH176" s="233"/>
      <c r="AI176" s="233"/>
      <c r="AJ176" s="233"/>
      <c r="AK176" s="233"/>
      <c r="AL176" s="233"/>
      <c r="AM176" s="233"/>
      <c r="AN176" s="233"/>
      <c r="AO176" s="233"/>
      <c r="AP176" s="234"/>
      <c r="AQ176" s="234" t="s">
        <v>333</v>
      </c>
    </row>
    <row r="177" spans="1:43">
      <c r="A177" s="6">
        <v>174</v>
      </c>
      <c r="B177" s="21" t="s">
        <v>1047</v>
      </c>
      <c r="C177" s="5" t="s">
        <v>1048</v>
      </c>
      <c r="D177" s="5" t="s">
        <v>1049</v>
      </c>
      <c r="E177" s="5" t="s">
        <v>1050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11" t="s">
        <v>46</v>
      </c>
      <c r="Q177" s="5">
        <v>94.855900000000005</v>
      </c>
      <c r="R177" s="5">
        <f t="shared" si="2"/>
        <v>94.855900000000005</v>
      </c>
      <c r="S177" s="5" t="s">
        <v>60</v>
      </c>
      <c r="T177" s="6">
        <v>174</v>
      </c>
      <c r="U177" s="244" t="s">
        <v>1051</v>
      </c>
      <c r="V177" s="232" t="s">
        <v>1048</v>
      </c>
      <c r="W177" s="232">
        <v>10689.6</v>
      </c>
      <c r="X177" s="232">
        <v>10162.9</v>
      </c>
      <c r="Y177" s="233" t="s">
        <v>49</v>
      </c>
      <c r="Z177" s="87" t="s">
        <v>50</v>
      </c>
      <c r="AA177" s="233" t="s">
        <v>51</v>
      </c>
      <c r="AB177" s="234"/>
      <c r="AC177" s="233">
        <v>1</v>
      </c>
      <c r="AD177" s="233" t="s">
        <v>226</v>
      </c>
      <c r="AE177" s="234"/>
      <c r="AF177" s="234"/>
      <c r="AG177" s="234"/>
      <c r="AH177" s="233"/>
      <c r="AI177" s="233"/>
      <c r="AJ177" s="233"/>
      <c r="AK177" s="233"/>
      <c r="AL177" s="233"/>
      <c r="AM177" s="233"/>
      <c r="AN177" s="233"/>
      <c r="AO177" s="233"/>
      <c r="AP177" s="234"/>
      <c r="AQ177" s="234" t="s">
        <v>333</v>
      </c>
    </row>
    <row r="178" spans="1:43">
      <c r="A178" s="6">
        <v>175</v>
      </c>
      <c r="B178" s="21" t="s">
        <v>1052</v>
      </c>
      <c r="C178" s="5" t="s">
        <v>1053</v>
      </c>
      <c r="D178" s="5" t="s">
        <v>1054</v>
      </c>
      <c r="E178" s="5" t="s">
        <v>1055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11" t="s">
        <v>46</v>
      </c>
      <c r="Q178" s="5">
        <v>98.837199999999996</v>
      </c>
      <c r="R178" s="5">
        <f t="shared" si="2"/>
        <v>98.837199999999996</v>
      </c>
      <c r="S178" s="5" t="s">
        <v>67</v>
      </c>
      <c r="T178" s="6">
        <v>175</v>
      </c>
      <c r="U178" s="244" t="s">
        <v>1056</v>
      </c>
      <c r="V178" s="232" t="s">
        <v>1053</v>
      </c>
      <c r="W178" s="232">
        <v>8462.2999999999993</v>
      </c>
      <c r="X178" s="232">
        <v>10665.3</v>
      </c>
      <c r="Y178" s="233" t="s">
        <v>49</v>
      </c>
      <c r="Z178" s="87" t="s">
        <v>50</v>
      </c>
      <c r="AA178" s="233" t="s">
        <v>51</v>
      </c>
      <c r="AB178" s="234"/>
      <c r="AC178" s="233">
        <v>1</v>
      </c>
      <c r="AD178" s="233" t="s">
        <v>226</v>
      </c>
      <c r="AE178" s="234"/>
      <c r="AF178" s="234"/>
      <c r="AG178" s="234"/>
      <c r="AH178" s="233"/>
      <c r="AI178" s="233"/>
      <c r="AJ178" s="233"/>
      <c r="AK178" s="233"/>
      <c r="AL178" s="233"/>
      <c r="AM178" s="233"/>
      <c r="AN178" s="233"/>
      <c r="AO178" s="233"/>
      <c r="AP178" s="234"/>
      <c r="AQ178" s="234" t="s">
        <v>333</v>
      </c>
    </row>
    <row r="179" spans="1:43">
      <c r="A179" s="6">
        <v>176</v>
      </c>
      <c r="B179" s="21" t="s">
        <v>1057</v>
      </c>
      <c r="C179" s="5" t="s">
        <v>1058</v>
      </c>
      <c r="D179" s="5" t="s">
        <v>1059</v>
      </c>
      <c r="E179" s="5" t="s">
        <v>1060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11" t="s">
        <v>46</v>
      </c>
      <c r="Q179" s="5">
        <v>103.249</v>
      </c>
      <c r="R179" s="5">
        <f t="shared" si="2"/>
        <v>103.249</v>
      </c>
      <c r="S179" s="5" t="s">
        <v>74</v>
      </c>
      <c r="T179" s="6">
        <v>176</v>
      </c>
      <c r="U179" s="244" t="s">
        <v>1061</v>
      </c>
      <c r="V179" s="232" t="s">
        <v>1058</v>
      </c>
      <c r="W179" s="232">
        <v>8492.5</v>
      </c>
      <c r="X179" s="232">
        <v>10162.9</v>
      </c>
      <c r="Y179" s="233" t="s">
        <v>49</v>
      </c>
      <c r="Z179" s="87" t="s">
        <v>50</v>
      </c>
      <c r="AA179" s="233" t="s">
        <v>51</v>
      </c>
      <c r="AB179" s="234"/>
      <c r="AC179" s="233">
        <v>1</v>
      </c>
      <c r="AD179" s="233" t="s">
        <v>226</v>
      </c>
      <c r="AE179" s="234"/>
      <c r="AF179" s="234"/>
      <c r="AG179" s="234"/>
      <c r="AH179" s="233"/>
      <c r="AI179" s="233"/>
      <c r="AJ179" s="233"/>
      <c r="AK179" s="233"/>
      <c r="AL179" s="233"/>
      <c r="AM179" s="233"/>
      <c r="AN179" s="233"/>
      <c r="AO179" s="233"/>
      <c r="AP179" s="234"/>
      <c r="AQ179" s="234" t="s">
        <v>333</v>
      </c>
    </row>
    <row r="180" spans="1:43">
      <c r="A180" s="6">
        <v>177</v>
      </c>
      <c r="B180" s="21" t="s">
        <v>1062</v>
      </c>
      <c r="C180" s="5" t="s">
        <v>1063</v>
      </c>
      <c r="D180" s="5" t="s">
        <v>1064</v>
      </c>
      <c r="E180" s="5" t="s">
        <v>1065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11" t="s">
        <v>46</v>
      </c>
      <c r="Q180" s="5">
        <v>104.03959999999999</v>
      </c>
      <c r="R180" s="5">
        <f t="shared" si="2"/>
        <v>104.03959999999999</v>
      </c>
      <c r="S180" s="5" t="s">
        <v>67</v>
      </c>
      <c r="T180" s="6">
        <v>177</v>
      </c>
      <c r="U180" s="244" t="s">
        <v>1066</v>
      </c>
      <c r="V180" s="232" t="s">
        <v>1063</v>
      </c>
      <c r="W180" s="232">
        <v>11374.8</v>
      </c>
      <c r="X180" s="232">
        <v>9478.2000000000007</v>
      </c>
      <c r="Y180" s="233" t="s">
        <v>49</v>
      </c>
      <c r="Z180" s="87" t="s">
        <v>50</v>
      </c>
      <c r="AA180" s="233" t="s">
        <v>51</v>
      </c>
      <c r="AB180" s="234"/>
      <c r="AC180" s="233">
        <v>1</v>
      </c>
      <c r="AD180" s="233" t="s">
        <v>226</v>
      </c>
      <c r="AE180" s="234"/>
      <c r="AF180" s="234"/>
      <c r="AG180" s="234"/>
      <c r="AH180" s="233"/>
      <c r="AI180" s="233"/>
      <c r="AJ180" s="233"/>
      <c r="AK180" s="233"/>
      <c r="AL180" s="233"/>
      <c r="AM180" s="233"/>
      <c r="AN180" s="233"/>
      <c r="AO180" s="233"/>
      <c r="AP180" s="234"/>
      <c r="AQ180" s="234" t="s">
        <v>333</v>
      </c>
    </row>
    <row r="181" spans="1:43">
      <c r="A181" s="6">
        <v>178</v>
      </c>
      <c r="B181" s="21" t="s">
        <v>1067</v>
      </c>
      <c r="C181" s="5" t="s">
        <v>1068</v>
      </c>
      <c r="D181" s="5" t="s">
        <v>1069</v>
      </c>
      <c r="E181" s="5" t="s">
        <v>1070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11" t="s">
        <v>46</v>
      </c>
      <c r="Q181" s="5">
        <v>128.6583</v>
      </c>
      <c r="R181" s="5">
        <f t="shared" si="2"/>
        <v>128.6583</v>
      </c>
      <c r="S181" s="5" t="s">
        <v>395</v>
      </c>
      <c r="T181" s="6">
        <v>178</v>
      </c>
      <c r="U181" s="244" t="s">
        <v>1071</v>
      </c>
      <c r="V181" s="232" t="s">
        <v>1068</v>
      </c>
      <c r="W181" s="232">
        <v>9665.7000000000007</v>
      </c>
      <c r="X181" s="232">
        <v>6346.5</v>
      </c>
      <c r="Y181" s="233" t="s">
        <v>49</v>
      </c>
      <c r="Z181" s="87" t="s">
        <v>50</v>
      </c>
      <c r="AA181" s="233" t="s">
        <v>51</v>
      </c>
      <c r="AB181" s="234"/>
      <c r="AC181" s="233">
        <v>1</v>
      </c>
      <c r="AD181" s="233" t="s">
        <v>226</v>
      </c>
      <c r="AE181" s="234"/>
      <c r="AF181" s="234"/>
      <c r="AG181" s="234"/>
      <c r="AH181" s="233"/>
      <c r="AI181" s="233"/>
      <c r="AJ181" s="233"/>
      <c r="AK181" s="233"/>
      <c r="AL181" s="233"/>
      <c r="AM181" s="233"/>
      <c r="AN181" s="233"/>
      <c r="AO181" s="233"/>
      <c r="AP181" s="234"/>
      <c r="AQ181" s="234" t="s">
        <v>333</v>
      </c>
    </row>
    <row r="182" spans="1:43">
      <c r="A182" s="6">
        <v>179</v>
      </c>
      <c r="B182" s="21" t="s">
        <v>1072</v>
      </c>
      <c r="C182" s="5" t="s">
        <v>1073</v>
      </c>
      <c r="D182" s="5" t="s">
        <v>1074</v>
      </c>
      <c r="E182" s="5" t="s">
        <v>1075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11" t="s">
        <v>46</v>
      </c>
      <c r="Q182" s="5">
        <v>101.5592</v>
      </c>
      <c r="R182" s="5">
        <f t="shared" si="2"/>
        <v>101.5592</v>
      </c>
      <c r="S182" s="5" t="s">
        <v>60</v>
      </c>
      <c r="T182" s="6">
        <v>179</v>
      </c>
      <c r="U182" s="244" t="s">
        <v>1076</v>
      </c>
      <c r="V182" s="232" t="s">
        <v>1073</v>
      </c>
      <c r="W182" s="232">
        <v>9981.2000000000007</v>
      </c>
      <c r="X182" s="232">
        <v>10536.4</v>
      </c>
      <c r="Y182" s="233" t="s">
        <v>49</v>
      </c>
      <c r="Z182" s="87" t="s">
        <v>50</v>
      </c>
      <c r="AA182" s="233" t="s">
        <v>51</v>
      </c>
      <c r="AB182" s="234"/>
      <c r="AC182" s="233">
        <v>1</v>
      </c>
      <c r="AD182" s="233" t="s">
        <v>226</v>
      </c>
      <c r="AE182" s="234"/>
      <c r="AF182" s="234"/>
      <c r="AG182" s="234"/>
      <c r="AH182" s="233"/>
      <c r="AI182" s="233"/>
      <c r="AJ182" s="233"/>
      <c r="AK182" s="233"/>
      <c r="AL182" s="233"/>
      <c r="AM182" s="233"/>
      <c r="AN182" s="233"/>
      <c r="AO182" s="233"/>
      <c r="AP182" s="234"/>
      <c r="AQ182" s="234" t="s">
        <v>333</v>
      </c>
    </row>
    <row r="183" spans="1:43">
      <c r="A183" s="6">
        <v>180</v>
      </c>
      <c r="B183" s="21" t="s">
        <v>1077</v>
      </c>
      <c r="C183" s="5" t="s">
        <v>1078</v>
      </c>
      <c r="D183" s="5" t="s">
        <v>1079</v>
      </c>
      <c r="E183" s="5" t="s">
        <v>1080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11" t="s">
        <v>46</v>
      </c>
      <c r="Q183" s="5">
        <v>110.2336</v>
      </c>
      <c r="R183" s="5">
        <f t="shared" si="2"/>
        <v>110.2336</v>
      </c>
      <c r="S183" s="5" t="s">
        <v>67</v>
      </c>
      <c r="T183" s="6">
        <v>180</v>
      </c>
      <c r="U183" s="244" t="s">
        <v>1081</v>
      </c>
      <c r="V183" s="232" t="s">
        <v>1078</v>
      </c>
      <c r="W183" s="232">
        <v>8498.2000000000007</v>
      </c>
      <c r="X183" s="232">
        <v>7554.1</v>
      </c>
      <c r="Y183" s="233" t="s">
        <v>49</v>
      </c>
      <c r="Z183" s="87" t="s">
        <v>50</v>
      </c>
      <c r="AA183" s="233" t="s">
        <v>51</v>
      </c>
      <c r="AB183" s="234"/>
      <c r="AC183" s="233">
        <v>1</v>
      </c>
      <c r="AD183" s="233" t="s">
        <v>226</v>
      </c>
      <c r="AE183" s="234"/>
      <c r="AF183" s="234"/>
      <c r="AG183" s="234"/>
      <c r="AH183" s="233"/>
      <c r="AI183" s="233"/>
      <c r="AJ183" s="233"/>
      <c r="AK183" s="233"/>
      <c r="AL183" s="233"/>
      <c r="AM183" s="233"/>
      <c r="AN183" s="233"/>
      <c r="AO183" s="233"/>
      <c r="AP183" s="234"/>
      <c r="AQ183" s="234" t="s">
        <v>333</v>
      </c>
    </row>
    <row r="184" spans="1:43">
      <c r="A184" s="6">
        <v>181</v>
      </c>
      <c r="B184" s="21" t="s">
        <v>1082</v>
      </c>
      <c r="C184" s="5" t="s">
        <v>1083</v>
      </c>
      <c r="D184" s="5" t="s">
        <v>1084</v>
      </c>
      <c r="E184" s="5" t="s">
        <v>1085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11" t="s">
        <v>46</v>
      </c>
      <c r="Q184" s="5">
        <v>91.660899999999998</v>
      </c>
      <c r="R184" s="5">
        <f t="shared" si="2"/>
        <v>91.660899999999998</v>
      </c>
      <c r="S184" s="5" t="s">
        <v>60</v>
      </c>
      <c r="T184" s="6">
        <v>181</v>
      </c>
      <c r="U184" s="244" t="s">
        <v>1086</v>
      </c>
      <c r="V184" s="232" t="s">
        <v>1083</v>
      </c>
      <c r="W184" s="232">
        <v>9320.5</v>
      </c>
      <c r="X184" s="232">
        <v>10452.4</v>
      </c>
      <c r="Y184" s="233" t="s">
        <v>49</v>
      </c>
      <c r="Z184" s="87" t="s">
        <v>50</v>
      </c>
      <c r="AA184" s="233" t="s">
        <v>51</v>
      </c>
      <c r="AB184" s="234"/>
      <c r="AC184" s="233">
        <v>1</v>
      </c>
      <c r="AD184" s="233" t="s">
        <v>226</v>
      </c>
      <c r="AE184" s="234"/>
      <c r="AF184" s="234"/>
      <c r="AG184" s="234"/>
      <c r="AH184" s="233"/>
      <c r="AI184" s="233"/>
      <c r="AJ184" s="233"/>
      <c r="AK184" s="233"/>
      <c r="AL184" s="233"/>
      <c r="AM184" s="233"/>
      <c r="AN184" s="233"/>
      <c r="AO184" s="233"/>
      <c r="AP184" s="234"/>
      <c r="AQ184" s="234" t="s">
        <v>333</v>
      </c>
    </row>
    <row r="185" spans="1:43">
      <c r="A185" s="6">
        <v>182</v>
      </c>
      <c r="B185" s="21" t="s">
        <v>1087</v>
      </c>
      <c r="C185" s="5" t="s">
        <v>1088</v>
      </c>
      <c r="D185" s="5" t="s">
        <v>1089</v>
      </c>
      <c r="E185" s="5" t="s">
        <v>1090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11" t="s">
        <v>46</v>
      </c>
      <c r="Q185" s="5">
        <v>118.541</v>
      </c>
      <c r="R185" s="5">
        <f t="shared" si="2"/>
        <v>118.541</v>
      </c>
      <c r="S185" s="5" t="s">
        <v>395</v>
      </c>
      <c r="T185" s="6">
        <v>182</v>
      </c>
      <c r="U185" s="244" t="s">
        <v>1091</v>
      </c>
      <c r="V185" s="232" t="s">
        <v>1088</v>
      </c>
      <c r="W185" s="232">
        <v>9480.6</v>
      </c>
      <c r="X185" s="232">
        <v>9908.9</v>
      </c>
      <c r="Y185" s="233" t="s">
        <v>49</v>
      </c>
      <c r="Z185" s="87" t="s">
        <v>50</v>
      </c>
      <c r="AA185" s="233" t="s">
        <v>51</v>
      </c>
      <c r="AB185" s="234"/>
      <c r="AC185" s="233">
        <v>1</v>
      </c>
      <c r="AD185" s="233" t="s">
        <v>226</v>
      </c>
      <c r="AE185" s="234"/>
      <c r="AF185" s="234"/>
      <c r="AG185" s="234"/>
      <c r="AH185" s="233"/>
      <c r="AI185" s="233"/>
      <c r="AJ185" s="233"/>
      <c r="AK185" s="233"/>
      <c r="AL185" s="233"/>
      <c r="AM185" s="233"/>
      <c r="AN185" s="233"/>
      <c r="AO185" s="233"/>
      <c r="AP185" s="234"/>
      <c r="AQ185" s="234" t="s">
        <v>333</v>
      </c>
    </row>
    <row r="186" spans="1:43">
      <c r="A186" s="6">
        <v>183</v>
      </c>
      <c r="B186" s="21" t="s">
        <v>1092</v>
      </c>
      <c r="C186" s="5" t="s">
        <v>1093</v>
      </c>
      <c r="D186" s="5" t="s">
        <v>1094</v>
      </c>
      <c r="E186" s="5" t="s">
        <v>1095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11" t="s">
        <v>46</v>
      </c>
      <c r="Q186" s="5">
        <v>122.6692</v>
      </c>
      <c r="R186" s="5">
        <f t="shared" si="2"/>
        <v>122.6692</v>
      </c>
      <c r="S186" s="5" t="s">
        <v>395</v>
      </c>
      <c r="T186" s="6">
        <v>183</v>
      </c>
      <c r="U186" s="244" t="s">
        <v>1096</v>
      </c>
      <c r="V186" s="232" t="s">
        <v>1093</v>
      </c>
      <c r="W186" s="232">
        <v>8957.6</v>
      </c>
      <c r="X186" s="232">
        <v>9967.7999999999993</v>
      </c>
      <c r="Y186" s="233" t="s">
        <v>49</v>
      </c>
      <c r="Z186" s="87" t="s">
        <v>50</v>
      </c>
      <c r="AA186" s="233" t="s">
        <v>51</v>
      </c>
      <c r="AB186" s="234"/>
      <c r="AC186" s="233">
        <v>1</v>
      </c>
      <c r="AD186" s="233" t="s">
        <v>226</v>
      </c>
      <c r="AE186" s="234"/>
      <c r="AF186" s="234"/>
      <c r="AG186" s="234"/>
      <c r="AH186" s="233"/>
      <c r="AI186" s="233"/>
      <c r="AJ186" s="233"/>
      <c r="AK186" s="233"/>
      <c r="AL186" s="233"/>
      <c r="AM186" s="233"/>
      <c r="AN186" s="233"/>
      <c r="AO186" s="233"/>
      <c r="AP186" s="234"/>
      <c r="AQ186" s="234" t="s">
        <v>333</v>
      </c>
    </row>
    <row r="187" spans="1:43">
      <c r="A187" s="6">
        <v>184</v>
      </c>
      <c r="B187" s="21" t="s">
        <v>1097</v>
      </c>
      <c r="C187" s="5" t="s">
        <v>1098</v>
      </c>
      <c r="D187" s="5" t="s">
        <v>1099</v>
      </c>
      <c r="E187" s="5" t="s">
        <v>1100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11" t="s">
        <v>46</v>
      </c>
      <c r="Q187" s="5">
        <v>109.4258</v>
      </c>
      <c r="R187" s="5">
        <f t="shared" si="2"/>
        <v>109.4258</v>
      </c>
      <c r="S187" s="5" t="s">
        <v>74</v>
      </c>
      <c r="T187" s="6">
        <v>184</v>
      </c>
      <c r="U187" s="244" t="s">
        <v>1101</v>
      </c>
      <c r="V187" s="232" t="s">
        <v>1098</v>
      </c>
      <c r="W187" s="232">
        <v>8865.6</v>
      </c>
      <c r="X187" s="232">
        <v>9447.6</v>
      </c>
      <c r="Y187" s="233" t="s">
        <v>49</v>
      </c>
      <c r="Z187" s="87" t="s">
        <v>50</v>
      </c>
      <c r="AA187" s="233" t="s">
        <v>51</v>
      </c>
      <c r="AB187" s="234"/>
      <c r="AC187" s="233">
        <v>1</v>
      </c>
      <c r="AD187" s="233" t="s">
        <v>226</v>
      </c>
      <c r="AE187" s="234"/>
      <c r="AF187" s="234"/>
      <c r="AG187" s="234"/>
      <c r="AH187" s="233"/>
      <c r="AI187" s="233"/>
      <c r="AJ187" s="233"/>
      <c r="AK187" s="233"/>
      <c r="AL187" s="233"/>
      <c r="AM187" s="233"/>
      <c r="AN187" s="233"/>
      <c r="AO187" s="233"/>
      <c r="AP187" s="234"/>
      <c r="AQ187" s="234" t="s">
        <v>333</v>
      </c>
    </row>
    <row r="188" spans="1:43">
      <c r="A188" s="6">
        <v>185</v>
      </c>
      <c r="B188" s="21" t="s">
        <v>1102</v>
      </c>
      <c r="C188" s="5" t="s">
        <v>1103</v>
      </c>
      <c r="D188" s="5" t="s">
        <v>1104</v>
      </c>
      <c r="E188" s="5" t="s">
        <v>1105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11" t="s">
        <v>46</v>
      </c>
      <c r="Q188" s="5">
        <v>91.0197</v>
      </c>
      <c r="R188" s="5">
        <f t="shared" si="2"/>
        <v>91.0197</v>
      </c>
      <c r="S188" s="5" t="s">
        <v>60</v>
      </c>
      <c r="T188" s="6">
        <v>185</v>
      </c>
      <c r="U188" s="244" t="s">
        <v>1106</v>
      </c>
      <c r="V188" s="232" t="s">
        <v>1103</v>
      </c>
      <c r="W188" s="232">
        <v>7784.1</v>
      </c>
      <c r="X188" s="232">
        <v>10536.4</v>
      </c>
      <c r="Y188" s="233" t="s">
        <v>49</v>
      </c>
      <c r="Z188" s="87" t="s">
        <v>50</v>
      </c>
      <c r="AA188" s="233" t="s">
        <v>51</v>
      </c>
      <c r="AB188" s="234"/>
      <c r="AC188" s="233">
        <v>1</v>
      </c>
      <c r="AD188" s="233" t="s">
        <v>226</v>
      </c>
      <c r="AE188" s="234"/>
      <c r="AF188" s="234"/>
      <c r="AG188" s="234"/>
      <c r="AH188" s="233"/>
      <c r="AI188" s="233"/>
      <c r="AJ188" s="233"/>
      <c r="AK188" s="233"/>
      <c r="AL188" s="233"/>
      <c r="AM188" s="233"/>
      <c r="AN188" s="233"/>
      <c r="AO188" s="233"/>
      <c r="AP188" s="234"/>
      <c r="AQ188" s="234" t="s">
        <v>333</v>
      </c>
    </row>
    <row r="189" spans="1:43">
      <c r="A189" s="6">
        <v>186</v>
      </c>
      <c r="B189" s="21" t="s">
        <v>1107</v>
      </c>
      <c r="C189" s="5" t="s">
        <v>1108</v>
      </c>
      <c r="D189" s="5" t="s">
        <v>1109</v>
      </c>
      <c r="E189" s="5" t="s">
        <v>1110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11" t="s">
        <v>46</v>
      </c>
      <c r="Q189" s="5">
        <v>108.25320000000001</v>
      </c>
      <c r="R189" s="5">
        <f t="shared" si="2"/>
        <v>108.25320000000001</v>
      </c>
      <c r="S189" s="5" t="s">
        <v>74</v>
      </c>
      <c r="T189" s="6">
        <v>186</v>
      </c>
      <c r="U189" s="244" t="s">
        <v>1111</v>
      </c>
      <c r="V189" s="232" t="s">
        <v>1108</v>
      </c>
      <c r="W189" s="232">
        <v>10608.3</v>
      </c>
      <c r="X189" s="232">
        <v>9662.5</v>
      </c>
      <c r="Y189" s="233" t="s">
        <v>49</v>
      </c>
      <c r="Z189" s="87" t="s">
        <v>50</v>
      </c>
      <c r="AA189" s="233" t="s">
        <v>51</v>
      </c>
      <c r="AB189" s="234"/>
      <c r="AC189" s="233">
        <v>1</v>
      </c>
      <c r="AD189" s="233" t="s">
        <v>226</v>
      </c>
      <c r="AE189" s="234"/>
      <c r="AF189" s="234"/>
      <c r="AG189" s="234"/>
      <c r="AH189" s="233"/>
      <c r="AI189" s="233"/>
      <c r="AJ189" s="233"/>
      <c r="AK189" s="233"/>
      <c r="AL189" s="233"/>
      <c r="AM189" s="233"/>
      <c r="AN189" s="233"/>
      <c r="AO189" s="233"/>
      <c r="AP189" s="234"/>
      <c r="AQ189" s="234" t="s">
        <v>333</v>
      </c>
    </row>
    <row r="190" spans="1:43">
      <c r="A190" s="6">
        <v>187</v>
      </c>
      <c r="B190" s="21" t="s">
        <v>1112</v>
      </c>
      <c r="C190" s="5" t="s">
        <v>1113</v>
      </c>
      <c r="D190" s="5" t="s">
        <v>1114</v>
      </c>
      <c r="E190" s="5" t="s">
        <v>1115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11" t="s">
        <v>46</v>
      </c>
      <c r="Q190" s="5">
        <v>123.25839999999999</v>
      </c>
      <c r="R190" s="5">
        <f t="shared" si="2"/>
        <v>123.25839999999999</v>
      </c>
      <c r="S190" s="5" t="s">
        <v>395</v>
      </c>
      <c r="T190" s="6">
        <v>187</v>
      </c>
      <c r="U190" s="244" t="s">
        <v>1116</v>
      </c>
      <c r="V190" s="232" t="s">
        <v>1113</v>
      </c>
      <c r="W190" s="232">
        <v>10633.2</v>
      </c>
      <c r="X190" s="232">
        <v>8765.7000000000007</v>
      </c>
      <c r="Y190" s="233" t="s">
        <v>49</v>
      </c>
      <c r="Z190" s="87" t="s">
        <v>50</v>
      </c>
      <c r="AA190" s="233" t="s">
        <v>51</v>
      </c>
      <c r="AB190" s="234"/>
      <c r="AC190" s="233">
        <v>1</v>
      </c>
      <c r="AD190" s="233" t="s">
        <v>226</v>
      </c>
      <c r="AE190" s="234"/>
      <c r="AF190" s="234"/>
      <c r="AG190" s="234"/>
      <c r="AH190" s="233"/>
      <c r="AI190" s="233"/>
      <c r="AJ190" s="233"/>
      <c r="AK190" s="233"/>
      <c r="AL190" s="233"/>
      <c r="AM190" s="233"/>
      <c r="AN190" s="233"/>
      <c r="AO190" s="233"/>
      <c r="AP190" s="234"/>
      <c r="AQ190" s="234" t="s">
        <v>333</v>
      </c>
    </row>
    <row r="191" spans="1:43">
      <c r="A191" s="6">
        <v>188</v>
      </c>
      <c r="B191" s="21" t="s">
        <v>1117</v>
      </c>
      <c r="C191" s="5" t="s">
        <v>1118</v>
      </c>
      <c r="D191" s="5" t="s">
        <v>1119</v>
      </c>
      <c r="E191" s="5" t="s">
        <v>1120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11" t="s">
        <v>46</v>
      </c>
      <c r="Q191" s="5">
        <v>104.8865</v>
      </c>
      <c r="R191" s="5">
        <f t="shared" ref="R191:R254" si="3">IF(AND(P191="",Q191=""),"",SUM(P191:Q191))</f>
        <v>104.8865</v>
      </c>
      <c r="S191" s="5" t="s">
        <v>67</v>
      </c>
      <c r="T191" s="6">
        <v>188</v>
      </c>
      <c r="U191" s="244" t="s">
        <v>1121</v>
      </c>
      <c r="V191" s="232" t="s">
        <v>1118</v>
      </c>
      <c r="W191" s="232">
        <v>9981.2000000000007</v>
      </c>
      <c r="X191" s="232">
        <v>10035.6</v>
      </c>
      <c r="Y191" s="233" t="s">
        <v>49</v>
      </c>
      <c r="Z191" s="87" t="s">
        <v>50</v>
      </c>
      <c r="AA191" s="233" t="s">
        <v>51</v>
      </c>
      <c r="AB191" s="234"/>
      <c r="AC191" s="233">
        <v>1</v>
      </c>
      <c r="AD191" s="233" t="s">
        <v>226</v>
      </c>
      <c r="AE191" s="234"/>
      <c r="AF191" s="234"/>
      <c r="AG191" s="234"/>
      <c r="AH191" s="233"/>
      <c r="AI191" s="233"/>
      <c r="AJ191" s="233"/>
      <c r="AK191" s="233"/>
      <c r="AL191" s="233"/>
      <c r="AM191" s="233"/>
      <c r="AN191" s="233"/>
      <c r="AO191" s="233"/>
      <c r="AP191" s="234"/>
      <c r="AQ191" s="234" t="s">
        <v>333</v>
      </c>
    </row>
    <row r="192" spans="1:43">
      <c r="A192" s="6">
        <v>189</v>
      </c>
      <c r="B192" s="21" t="s">
        <v>1122</v>
      </c>
      <c r="C192" s="5" t="s">
        <v>1123</v>
      </c>
      <c r="D192" s="5" t="s">
        <v>1124</v>
      </c>
      <c r="E192" s="5" t="s">
        <v>1125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11" t="s">
        <v>46</v>
      </c>
      <c r="Q192" s="5">
        <v>93.349900000000005</v>
      </c>
      <c r="R192" s="5">
        <f t="shared" si="3"/>
        <v>93.349900000000005</v>
      </c>
      <c r="S192" s="5" t="s">
        <v>60</v>
      </c>
      <c r="T192" s="6">
        <v>189</v>
      </c>
      <c r="U192" s="244" t="s">
        <v>1126</v>
      </c>
      <c r="V192" s="232" t="s">
        <v>1123</v>
      </c>
      <c r="W192" s="232">
        <v>8192.7999999999993</v>
      </c>
      <c r="X192" s="232">
        <v>9205.2999999999993</v>
      </c>
      <c r="Y192" s="233" t="s">
        <v>49</v>
      </c>
      <c r="Z192" s="87" t="s">
        <v>50</v>
      </c>
      <c r="AA192" s="233" t="s">
        <v>51</v>
      </c>
      <c r="AB192" s="234"/>
      <c r="AC192" s="233">
        <v>1</v>
      </c>
      <c r="AD192" s="233" t="s">
        <v>226</v>
      </c>
      <c r="AE192" s="234"/>
      <c r="AF192" s="234"/>
      <c r="AG192" s="234"/>
      <c r="AH192" s="233"/>
      <c r="AI192" s="233"/>
      <c r="AJ192" s="233"/>
      <c r="AK192" s="233"/>
      <c r="AL192" s="233"/>
      <c r="AM192" s="233"/>
      <c r="AN192" s="233"/>
      <c r="AO192" s="233"/>
      <c r="AP192" s="234"/>
      <c r="AQ192" s="234" t="s">
        <v>333</v>
      </c>
    </row>
    <row r="193" spans="1:43">
      <c r="A193" s="6">
        <v>190</v>
      </c>
      <c r="B193" s="21" t="s">
        <v>1127</v>
      </c>
      <c r="C193" s="5" t="s">
        <v>1128</v>
      </c>
      <c r="D193" s="5" t="s">
        <v>1129</v>
      </c>
      <c r="E193" s="5" t="s">
        <v>1130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11" t="s">
        <v>46</v>
      </c>
      <c r="Q193" s="5">
        <v>103.6643</v>
      </c>
      <c r="R193" s="5">
        <f t="shared" si="3"/>
        <v>103.6643</v>
      </c>
      <c r="S193" s="5" t="s">
        <v>60</v>
      </c>
      <c r="T193" s="6">
        <v>190</v>
      </c>
      <c r="U193" s="244" t="s">
        <v>1131</v>
      </c>
      <c r="V193" s="232" t="s">
        <v>1128</v>
      </c>
      <c r="W193" s="232">
        <v>8272.2999999999993</v>
      </c>
      <c r="X193" s="232">
        <v>6110.3</v>
      </c>
      <c r="Y193" s="233" t="s">
        <v>49</v>
      </c>
      <c r="Z193" s="87" t="s">
        <v>50</v>
      </c>
      <c r="AA193" s="233" t="s">
        <v>51</v>
      </c>
      <c r="AB193" s="234"/>
      <c r="AC193" s="233">
        <v>1</v>
      </c>
      <c r="AD193" s="233" t="s">
        <v>226</v>
      </c>
      <c r="AE193" s="234"/>
      <c r="AF193" s="234"/>
      <c r="AG193" s="234"/>
      <c r="AH193" s="233"/>
      <c r="AI193" s="233"/>
      <c r="AJ193" s="233"/>
      <c r="AK193" s="233"/>
      <c r="AL193" s="233"/>
      <c r="AM193" s="233"/>
      <c r="AN193" s="233"/>
      <c r="AO193" s="233"/>
      <c r="AP193" s="234"/>
      <c r="AQ193" s="234" t="s">
        <v>333</v>
      </c>
    </row>
    <row r="194" spans="1:43">
      <c r="A194" s="6">
        <v>191</v>
      </c>
      <c r="B194" s="21" t="s">
        <v>1132</v>
      </c>
      <c r="C194" s="5" t="s">
        <v>1133</v>
      </c>
      <c r="D194" s="5" t="s">
        <v>1134</v>
      </c>
      <c r="E194" s="5" t="s">
        <v>1135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11" t="s">
        <v>46</v>
      </c>
      <c r="Q194" s="5">
        <v>104.6131</v>
      </c>
      <c r="R194" s="5">
        <f t="shared" si="3"/>
        <v>104.6131</v>
      </c>
      <c r="S194" s="5" t="s">
        <v>74</v>
      </c>
      <c r="T194" s="6">
        <v>191</v>
      </c>
      <c r="U194" s="244" t="s">
        <v>1136</v>
      </c>
      <c r="V194" s="232" t="s">
        <v>1133</v>
      </c>
      <c r="W194" s="232">
        <v>11553.9</v>
      </c>
      <c r="X194" s="232">
        <v>9009.9</v>
      </c>
      <c r="Y194" s="233" t="s">
        <v>49</v>
      </c>
      <c r="Z194" s="87" t="s">
        <v>50</v>
      </c>
      <c r="AA194" s="233" t="s">
        <v>51</v>
      </c>
      <c r="AB194" s="234"/>
      <c r="AC194" s="233">
        <v>1</v>
      </c>
      <c r="AD194" s="233" t="s">
        <v>226</v>
      </c>
      <c r="AE194" s="234"/>
      <c r="AF194" s="234"/>
      <c r="AG194" s="234"/>
      <c r="AH194" s="233"/>
      <c r="AI194" s="233"/>
      <c r="AJ194" s="233"/>
      <c r="AK194" s="233"/>
      <c r="AL194" s="233"/>
      <c r="AM194" s="233"/>
      <c r="AN194" s="233"/>
      <c r="AO194" s="233"/>
      <c r="AP194" s="234"/>
      <c r="AQ194" s="234" t="s">
        <v>333</v>
      </c>
    </row>
    <row r="195" spans="1:43">
      <c r="A195" s="6">
        <v>192</v>
      </c>
      <c r="B195" s="21" t="s">
        <v>1137</v>
      </c>
      <c r="C195" s="5" t="s">
        <v>1138</v>
      </c>
      <c r="D195" s="5" t="s">
        <v>1139</v>
      </c>
      <c r="E195" s="5" t="s">
        <v>1140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11" t="s">
        <v>46</v>
      </c>
      <c r="Q195" s="5">
        <v>117.6647</v>
      </c>
      <c r="R195" s="5">
        <f t="shared" si="3"/>
        <v>117.6647</v>
      </c>
      <c r="S195" s="5" t="s">
        <v>74</v>
      </c>
      <c r="T195" s="6">
        <v>192</v>
      </c>
      <c r="U195" s="244" t="s">
        <v>1141</v>
      </c>
      <c r="V195" s="232" t="s">
        <v>1138</v>
      </c>
      <c r="W195" s="232">
        <v>8883.7999999999993</v>
      </c>
      <c r="X195" s="232">
        <v>8165.2</v>
      </c>
      <c r="Y195" s="233" t="s">
        <v>49</v>
      </c>
      <c r="Z195" s="87" t="s">
        <v>50</v>
      </c>
      <c r="AA195" s="233" t="s">
        <v>51</v>
      </c>
      <c r="AB195" s="234"/>
      <c r="AC195" s="233">
        <v>1</v>
      </c>
      <c r="AD195" s="233" t="s">
        <v>226</v>
      </c>
      <c r="AE195" s="234"/>
      <c r="AF195" s="234"/>
      <c r="AG195" s="234"/>
      <c r="AH195" s="233"/>
      <c r="AI195" s="233"/>
      <c r="AJ195" s="233"/>
      <c r="AK195" s="233"/>
      <c r="AL195" s="233"/>
      <c r="AM195" s="233"/>
      <c r="AN195" s="233"/>
      <c r="AO195" s="233"/>
      <c r="AP195" s="234"/>
      <c r="AQ195" s="234" t="s">
        <v>333</v>
      </c>
    </row>
    <row r="196" spans="1:43">
      <c r="A196" s="6">
        <v>193</v>
      </c>
      <c r="B196" s="21" t="s">
        <v>1142</v>
      </c>
      <c r="C196" s="5" t="s">
        <v>1143</v>
      </c>
      <c r="D196" s="5" t="s">
        <v>1144</v>
      </c>
      <c r="E196" s="5" t="s">
        <v>1145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11" t="s">
        <v>46</v>
      </c>
      <c r="Q196" s="5">
        <v>116.1434</v>
      </c>
      <c r="R196" s="5">
        <f t="shared" si="3"/>
        <v>116.1434</v>
      </c>
      <c r="S196" s="5" t="s">
        <v>74</v>
      </c>
      <c r="T196" s="6">
        <v>193</v>
      </c>
      <c r="U196" s="244" t="s">
        <v>1146</v>
      </c>
      <c r="V196" s="232" t="s">
        <v>1143</v>
      </c>
      <c r="W196" s="232">
        <v>8983.5</v>
      </c>
      <c r="X196" s="232">
        <v>6110.3</v>
      </c>
      <c r="Y196" s="233" t="s">
        <v>49</v>
      </c>
      <c r="Z196" s="87" t="s">
        <v>50</v>
      </c>
      <c r="AA196" s="233" t="s">
        <v>51</v>
      </c>
      <c r="AB196" s="234"/>
      <c r="AC196" s="233">
        <v>1</v>
      </c>
      <c r="AD196" s="233" t="s">
        <v>226</v>
      </c>
      <c r="AE196" s="234"/>
      <c r="AF196" s="234"/>
      <c r="AG196" s="234"/>
      <c r="AH196" s="233"/>
      <c r="AI196" s="233"/>
      <c r="AJ196" s="233"/>
      <c r="AK196" s="233"/>
      <c r="AL196" s="233"/>
      <c r="AM196" s="233"/>
      <c r="AN196" s="233"/>
      <c r="AO196" s="233"/>
      <c r="AP196" s="234"/>
      <c r="AQ196" s="234" t="s">
        <v>333</v>
      </c>
    </row>
    <row r="197" spans="1:43">
      <c r="A197" s="6">
        <v>194</v>
      </c>
      <c r="B197" s="21" t="s">
        <v>1147</v>
      </c>
      <c r="C197" s="5" t="s">
        <v>1148</v>
      </c>
      <c r="D197" s="5" t="s">
        <v>1149</v>
      </c>
      <c r="E197" s="5" t="s">
        <v>1150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11" t="s">
        <v>46</v>
      </c>
      <c r="Q197" s="5">
        <v>118.24290000000001</v>
      </c>
      <c r="R197" s="5">
        <f t="shared" si="3"/>
        <v>118.24290000000001</v>
      </c>
      <c r="S197" s="5" t="s">
        <v>395</v>
      </c>
      <c r="T197" s="6">
        <v>194</v>
      </c>
      <c r="U197" s="244" t="s">
        <v>1151</v>
      </c>
      <c r="V197" s="232" t="s">
        <v>1148</v>
      </c>
      <c r="W197" s="232">
        <v>9973.5</v>
      </c>
      <c r="X197" s="232">
        <v>7962.3</v>
      </c>
      <c r="Y197" s="233" t="s">
        <v>49</v>
      </c>
      <c r="Z197" s="87" t="s">
        <v>50</v>
      </c>
      <c r="AA197" s="233" t="s">
        <v>51</v>
      </c>
      <c r="AB197" s="234"/>
      <c r="AC197" s="233">
        <v>1</v>
      </c>
      <c r="AD197" s="233" t="s">
        <v>226</v>
      </c>
      <c r="AE197" s="234"/>
      <c r="AF197" s="234"/>
      <c r="AG197" s="234"/>
      <c r="AH197" s="233"/>
      <c r="AI197" s="233"/>
      <c r="AJ197" s="233"/>
      <c r="AK197" s="233"/>
      <c r="AL197" s="233"/>
      <c r="AM197" s="233"/>
      <c r="AN197" s="233"/>
      <c r="AO197" s="233"/>
      <c r="AP197" s="234"/>
      <c r="AQ197" s="234" t="s">
        <v>333</v>
      </c>
    </row>
    <row r="198" spans="1:43">
      <c r="A198" s="6">
        <v>195</v>
      </c>
      <c r="B198" s="21" t="s">
        <v>1152</v>
      </c>
      <c r="C198" s="5" t="s">
        <v>1153</v>
      </c>
      <c r="D198" s="5" t="s">
        <v>1154</v>
      </c>
      <c r="E198" s="5" t="s">
        <v>1155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11" t="s">
        <v>46</v>
      </c>
      <c r="Q198" s="5">
        <v>125.568</v>
      </c>
      <c r="R198" s="5">
        <f t="shared" si="3"/>
        <v>125.568</v>
      </c>
      <c r="S198" s="5" t="s">
        <v>395</v>
      </c>
      <c r="T198" s="6">
        <v>195</v>
      </c>
      <c r="U198" s="244" t="s">
        <v>1156</v>
      </c>
      <c r="V198" s="232" t="s">
        <v>1153</v>
      </c>
      <c r="W198" s="232">
        <v>9217.2000000000007</v>
      </c>
      <c r="X198" s="232">
        <v>8793.7999999999993</v>
      </c>
      <c r="Y198" s="233" t="s">
        <v>49</v>
      </c>
      <c r="Z198" s="87" t="s">
        <v>50</v>
      </c>
      <c r="AA198" s="233" t="s">
        <v>51</v>
      </c>
      <c r="AB198" s="234"/>
      <c r="AC198" s="233">
        <v>1</v>
      </c>
      <c r="AD198" s="233" t="s">
        <v>226</v>
      </c>
      <c r="AE198" s="234"/>
      <c r="AF198" s="234"/>
      <c r="AG198" s="234"/>
      <c r="AH198" s="233"/>
      <c r="AI198" s="233"/>
      <c r="AJ198" s="233"/>
      <c r="AK198" s="233"/>
      <c r="AL198" s="233"/>
      <c r="AM198" s="233"/>
      <c r="AN198" s="233"/>
      <c r="AO198" s="233"/>
      <c r="AP198" s="234"/>
      <c r="AQ198" s="234" t="s">
        <v>333</v>
      </c>
    </row>
    <row r="199" spans="1:43">
      <c r="A199" s="6">
        <v>196</v>
      </c>
      <c r="B199" s="21" t="s">
        <v>1157</v>
      </c>
      <c r="C199" s="5" t="s">
        <v>1158</v>
      </c>
      <c r="D199" s="5" t="s">
        <v>1159</v>
      </c>
      <c r="E199" s="5" t="s">
        <v>1160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11" t="s">
        <v>46</v>
      </c>
      <c r="Q199" s="5">
        <v>118.7089</v>
      </c>
      <c r="R199" s="5">
        <f t="shared" si="3"/>
        <v>118.7089</v>
      </c>
      <c r="S199" s="5" t="s">
        <v>67</v>
      </c>
      <c r="T199" s="6">
        <v>196</v>
      </c>
      <c r="U199" s="244" t="s">
        <v>1161</v>
      </c>
      <c r="V199" s="232" t="s">
        <v>1158</v>
      </c>
      <c r="W199" s="232">
        <v>8411.2000000000007</v>
      </c>
      <c r="X199" s="232">
        <v>9662.5</v>
      </c>
      <c r="Y199" s="233" t="s">
        <v>49</v>
      </c>
      <c r="Z199" s="87" t="s">
        <v>50</v>
      </c>
      <c r="AA199" s="233" t="s">
        <v>51</v>
      </c>
      <c r="AB199" s="234"/>
      <c r="AC199" s="233">
        <v>1</v>
      </c>
      <c r="AD199" s="233" t="s">
        <v>226</v>
      </c>
      <c r="AE199" s="234"/>
      <c r="AF199" s="234"/>
      <c r="AG199" s="234"/>
      <c r="AH199" s="233"/>
      <c r="AI199" s="233"/>
      <c r="AJ199" s="233"/>
      <c r="AK199" s="233"/>
      <c r="AL199" s="233"/>
      <c r="AM199" s="233"/>
      <c r="AN199" s="233"/>
      <c r="AO199" s="233"/>
      <c r="AP199" s="234"/>
      <c r="AQ199" s="234" t="s">
        <v>333</v>
      </c>
    </row>
    <row r="200" spans="1:43">
      <c r="A200" s="6">
        <v>197</v>
      </c>
      <c r="B200" s="21" t="s">
        <v>1162</v>
      </c>
      <c r="C200" s="5" t="s">
        <v>1163</v>
      </c>
      <c r="D200" s="5" t="s">
        <v>1164</v>
      </c>
      <c r="E200" s="5" t="s">
        <v>1165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11" t="s">
        <v>46</v>
      </c>
      <c r="Q200" s="5">
        <v>184.41470000000001</v>
      </c>
      <c r="R200" s="5">
        <f t="shared" si="3"/>
        <v>184.41470000000001</v>
      </c>
      <c r="S200" s="5" t="s">
        <v>395</v>
      </c>
      <c r="T200" s="6">
        <v>197</v>
      </c>
      <c r="U200" s="245" t="s">
        <v>1166</v>
      </c>
      <c r="V200" s="232" t="s">
        <v>1163</v>
      </c>
      <c r="W200" s="232">
        <v>-11912.6</v>
      </c>
      <c r="X200" s="232">
        <v>8411.2000000000007</v>
      </c>
      <c r="Y200" s="233" t="s">
        <v>49</v>
      </c>
      <c r="Z200" s="87" t="s">
        <v>50</v>
      </c>
      <c r="AA200" s="233" t="s">
        <v>51</v>
      </c>
      <c r="AB200" s="233" t="s">
        <v>934</v>
      </c>
      <c r="AC200" s="233">
        <v>1</v>
      </c>
      <c r="AD200" s="233" t="s">
        <v>226</v>
      </c>
      <c r="AE200" s="234"/>
      <c r="AF200" s="234"/>
      <c r="AG200" s="234"/>
      <c r="AH200" s="233"/>
      <c r="AI200" s="233"/>
      <c r="AJ200" s="233" t="s">
        <v>1167</v>
      </c>
      <c r="AK200" s="233">
        <v>1500</v>
      </c>
      <c r="AL200" s="233"/>
      <c r="AM200" s="233"/>
      <c r="AN200" s="233"/>
      <c r="AO200" s="233"/>
      <c r="AP200" s="234"/>
      <c r="AQ200" s="234" t="s">
        <v>936</v>
      </c>
    </row>
    <row r="201" spans="1:43">
      <c r="A201" s="6">
        <v>198</v>
      </c>
      <c r="B201" s="21" t="s">
        <v>1168</v>
      </c>
      <c r="C201" s="5" t="s">
        <v>1169</v>
      </c>
      <c r="D201" s="5" t="s">
        <v>1170</v>
      </c>
      <c r="E201" s="5" t="s">
        <v>1171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11" t="s">
        <v>46</v>
      </c>
      <c r="Q201" s="5">
        <v>173.70060000000001</v>
      </c>
      <c r="R201" s="5">
        <f t="shared" si="3"/>
        <v>173.70060000000001</v>
      </c>
      <c r="S201" s="5" t="s">
        <v>395</v>
      </c>
      <c r="T201" s="6">
        <v>198</v>
      </c>
      <c r="U201" s="245" t="s">
        <v>1172</v>
      </c>
      <c r="V201" s="232" t="s">
        <v>1169</v>
      </c>
      <c r="W201" s="232">
        <v>-8883.7999999999993</v>
      </c>
      <c r="X201" s="232">
        <v>8165.2</v>
      </c>
      <c r="Y201" s="233" t="s">
        <v>49</v>
      </c>
      <c r="Z201" s="87" t="s">
        <v>50</v>
      </c>
      <c r="AA201" s="233" t="s">
        <v>51</v>
      </c>
      <c r="AB201" s="233" t="s">
        <v>934</v>
      </c>
      <c r="AC201" s="233">
        <v>1</v>
      </c>
      <c r="AD201" s="233" t="s">
        <v>226</v>
      </c>
      <c r="AE201" s="234"/>
      <c r="AF201" s="234"/>
      <c r="AG201" s="234"/>
      <c r="AH201" s="233"/>
      <c r="AI201" s="233"/>
      <c r="AJ201" s="233" t="s">
        <v>1167</v>
      </c>
      <c r="AK201" s="233">
        <v>1500</v>
      </c>
      <c r="AL201" s="233"/>
      <c r="AM201" s="233"/>
      <c r="AN201" s="233"/>
      <c r="AO201" s="233"/>
      <c r="AP201" s="234"/>
      <c r="AQ201" s="234" t="s">
        <v>936</v>
      </c>
    </row>
    <row r="202" spans="1:43">
      <c r="A202" s="6">
        <v>199</v>
      </c>
      <c r="B202" s="21" t="s">
        <v>1173</v>
      </c>
      <c r="C202" s="5" t="s">
        <v>1174</v>
      </c>
      <c r="D202" s="5" t="s">
        <v>1175</v>
      </c>
      <c r="E202" s="5" t="s">
        <v>1176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11" t="s">
        <v>46</v>
      </c>
      <c r="Q202" s="5">
        <v>171.94159999999999</v>
      </c>
      <c r="R202" s="5">
        <f t="shared" si="3"/>
        <v>171.94159999999999</v>
      </c>
      <c r="S202" s="5" t="s">
        <v>74</v>
      </c>
      <c r="T202" s="6">
        <v>199</v>
      </c>
      <c r="U202" s="245" t="s">
        <v>1177</v>
      </c>
      <c r="V202" s="232" t="s">
        <v>1174</v>
      </c>
      <c r="W202" s="232">
        <v>-9217.2000000000007</v>
      </c>
      <c r="X202" s="232">
        <v>8793.7999999999993</v>
      </c>
      <c r="Y202" s="233" t="s">
        <v>49</v>
      </c>
      <c r="Z202" s="87" t="s">
        <v>50</v>
      </c>
      <c r="AA202" s="233" t="s">
        <v>51</v>
      </c>
      <c r="AB202" s="233" t="s">
        <v>934</v>
      </c>
      <c r="AC202" s="233">
        <v>1</v>
      </c>
      <c r="AD202" s="233" t="s">
        <v>226</v>
      </c>
      <c r="AE202" s="234"/>
      <c r="AF202" s="234"/>
      <c r="AG202" s="234"/>
      <c r="AH202" s="233"/>
      <c r="AI202" s="233"/>
      <c r="AJ202" s="233" t="s">
        <v>1167</v>
      </c>
      <c r="AK202" s="233">
        <v>1500</v>
      </c>
      <c r="AL202" s="233"/>
      <c r="AM202" s="233"/>
      <c r="AN202" s="233"/>
      <c r="AO202" s="233"/>
      <c r="AP202" s="234"/>
      <c r="AQ202" s="234" t="s">
        <v>936</v>
      </c>
    </row>
    <row r="203" spans="1:43">
      <c r="A203" s="6">
        <v>200</v>
      </c>
      <c r="B203" s="21" t="s">
        <v>1178</v>
      </c>
      <c r="C203" s="5" t="s">
        <v>1179</v>
      </c>
      <c r="D203" s="5" t="s">
        <v>1180</v>
      </c>
      <c r="E203" s="5" t="s">
        <v>1181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11" t="s">
        <v>46</v>
      </c>
      <c r="Q203" s="5">
        <v>175.5478</v>
      </c>
      <c r="R203" s="5">
        <f t="shared" si="3"/>
        <v>175.5478</v>
      </c>
      <c r="S203" s="5" t="s">
        <v>67</v>
      </c>
      <c r="T203" s="6">
        <v>200</v>
      </c>
      <c r="U203" s="245" t="s">
        <v>1182</v>
      </c>
      <c r="V203" s="232" t="s">
        <v>1179</v>
      </c>
      <c r="W203" s="232">
        <v>-10689.6</v>
      </c>
      <c r="X203" s="232">
        <v>10162.9</v>
      </c>
      <c r="Y203" s="233" t="s">
        <v>49</v>
      </c>
      <c r="Z203" s="87" t="s">
        <v>50</v>
      </c>
      <c r="AA203" s="233" t="s">
        <v>51</v>
      </c>
      <c r="AB203" s="233" t="s">
        <v>934</v>
      </c>
      <c r="AC203" s="233">
        <v>1</v>
      </c>
      <c r="AD203" s="233" t="s">
        <v>226</v>
      </c>
      <c r="AE203" s="234"/>
      <c r="AF203" s="234"/>
      <c r="AG203" s="234"/>
      <c r="AH203" s="233"/>
      <c r="AI203" s="233"/>
      <c r="AJ203" s="233" t="s">
        <v>1167</v>
      </c>
      <c r="AK203" s="233">
        <v>1500</v>
      </c>
      <c r="AL203" s="233"/>
      <c r="AM203" s="233"/>
      <c r="AN203" s="233"/>
      <c r="AO203" s="233"/>
      <c r="AP203" s="234"/>
      <c r="AQ203" s="234" t="s">
        <v>936</v>
      </c>
    </row>
    <row r="204" spans="1:43">
      <c r="A204" s="6">
        <v>201</v>
      </c>
      <c r="B204" s="21" t="s">
        <v>1183</v>
      </c>
      <c r="C204" s="5" t="s">
        <v>1184</v>
      </c>
      <c r="D204" s="5" t="s">
        <v>1185</v>
      </c>
      <c r="E204" s="5" t="s">
        <v>1186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11" t="s">
        <v>46</v>
      </c>
      <c r="Q204" s="5">
        <v>165.3777</v>
      </c>
      <c r="R204" s="5">
        <f t="shared" si="3"/>
        <v>165.3777</v>
      </c>
      <c r="S204" s="5" t="s">
        <v>60</v>
      </c>
      <c r="T204" s="6">
        <v>201</v>
      </c>
      <c r="U204" s="245" t="s">
        <v>1187</v>
      </c>
      <c r="V204" s="232" t="s">
        <v>1184</v>
      </c>
      <c r="W204" s="232">
        <v>-9981.2000000000007</v>
      </c>
      <c r="X204" s="232">
        <v>10536.4</v>
      </c>
      <c r="Y204" s="233" t="s">
        <v>49</v>
      </c>
      <c r="Z204" s="87" t="s">
        <v>50</v>
      </c>
      <c r="AA204" s="233" t="s">
        <v>51</v>
      </c>
      <c r="AB204" s="233" t="s">
        <v>934</v>
      </c>
      <c r="AC204" s="233">
        <v>1</v>
      </c>
      <c r="AD204" s="233" t="s">
        <v>226</v>
      </c>
      <c r="AE204" s="234"/>
      <c r="AF204" s="234"/>
      <c r="AG204" s="234"/>
      <c r="AH204" s="233"/>
      <c r="AI204" s="233"/>
      <c r="AJ204" s="233" t="s">
        <v>1167</v>
      </c>
      <c r="AK204" s="233">
        <v>1500</v>
      </c>
      <c r="AL204" s="233"/>
      <c r="AM204" s="233"/>
      <c r="AN204" s="233"/>
      <c r="AO204" s="233"/>
      <c r="AP204" s="234"/>
      <c r="AQ204" s="234" t="s">
        <v>936</v>
      </c>
    </row>
    <row r="205" spans="1:43">
      <c r="A205" s="6">
        <v>202</v>
      </c>
      <c r="B205" s="21" t="s">
        <v>1188</v>
      </c>
      <c r="C205" s="5" t="s">
        <v>1189</v>
      </c>
      <c r="D205" s="5" t="s">
        <v>1190</v>
      </c>
      <c r="E205" s="5" t="s">
        <v>1191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11" t="s">
        <v>46</v>
      </c>
      <c r="Q205" s="5">
        <v>172.89189999999999</v>
      </c>
      <c r="R205" s="5">
        <f t="shared" si="3"/>
        <v>172.89189999999999</v>
      </c>
      <c r="S205" s="5" t="s">
        <v>74</v>
      </c>
      <c r="T205" s="6">
        <v>202</v>
      </c>
      <c r="U205" s="245" t="s">
        <v>1192</v>
      </c>
      <c r="V205" s="232" t="s">
        <v>1189</v>
      </c>
      <c r="W205" s="232">
        <v>-11374.8</v>
      </c>
      <c r="X205" s="232">
        <v>9478.2000000000007</v>
      </c>
      <c r="Y205" s="233" t="s">
        <v>49</v>
      </c>
      <c r="Z205" s="87" t="s">
        <v>50</v>
      </c>
      <c r="AA205" s="233" t="s">
        <v>51</v>
      </c>
      <c r="AB205" s="233" t="s">
        <v>934</v>
      </c>
      <c r="AC205" s="233">
        <v>1</v>
      </c>
      <c r="AD205" s="233" t="s">
        <v>226</v>
      </c>
      <c r="AE205" s="234"/>
      <c r="AF205" s="234"/>
      <c r="AG205" s="234"/>
      <c r="AH205" s="233"/>
      <c r="AI205" s="233"/>
      <c r="AJ205" s="233" t="s">
        <v>1167</v>
      </c>
      <c r="AK205" s="233">
        <v>1500</v>
      </c>
      <c r="AL205" s="233"/>
      <c r="AM205" s="233"/>
      <c r="AN205" s="233"/>
      <c r="AO205" s="233"/>
      <c r="AP205" s="234"/>
      <c r="AQ205" s="234" t="s">
        <v>936</v>
      </c>
    </row>
    <row r="206" spans="1:43">
      <c r="A206" s="6">
        <v>203</v>
      </c>
      <c r="B206" s="21" t="s">
        <v>1193</v>
      </c>
      <c r="C206" s="5" t="s">
        <v>1194</v>
      </c>
      <c r="D206" s="5" t="s">
        <v>1195</v>
      </c>
      <c r="E206" s="5" t="s">
        <v>1196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11" t="s">
        <v>46</v>
      </c>
      <c r="Q206" s="5">
        <v>169.0789</v>
      </c>
      <c r="R206" s="5">
        <f t="shared" si="3"/>
        <v>169.0789</v>
      </c>
      <c r="S206" s="5" t="s">
        <v>67</v>
      </c>
      <c r="T206" s="6">
        <v>203</v>
      </c>
      <c r="U206" s="245" t="s">
        <v>1197</v>
      </c>
      <c r="V206" s="232" t="s">
        <v>1194</v>
      </c>
      <c r="W206" s="232">
        <v>-11467.2</v>
      </c>
      <c r="X206" s="232">
        <v>10357.200000000001</v>
      </c>
      <c r="Y206" s="233" t="s">
        <v>49</v>
      </c>
      <c r="Z206" s="87" t="s">
        <v>50</v>
      </c>
      <c r="AA206" s="233" t="s">
        <v>51</v>
      </c>
      <c r="AB206" s="233" t="s">
        <v>934</v>
      </c>
      <c r="AC206" s="233">
        <v>1</v>
      </c>
      <c r="AD206" s="233" t="s">
        <v>226</v>
      </c>
      <c r="AE206" s="234"/>
      <c r="AF206" s="234"/>
      <c r="AG206" s="234"/>
      <c r="AH206" s="233"/>
      <c r="AI206" s="233"/>
      <c r="AJ206" s="233" t="s">
        <v>1167</v>
      </c>
      <c r="AK206" s="233">
        <v>1500</v>
      </c>
      <c r="AL206" s="233"/>
      <c r="AM206" s="233"/>
      <c r="AN206" s="233"/>
      <c r="AO206" s="233"/>
      <c r="AP206" s="234"/>
      <c r="AQ206" s="234" t="s">
        <v>936</v>
      </c>
    </row>
    <row r="207" spans="1:43">
      <c r="A207" s="6">
        <v>204</v>
      </c>
      <c r="B207" s="21" t="s">
        <v>1198</v>
      </c>
      <c r="C207" s="5" t="s">
        <v>1199</v>
      </c>
      <c r="D207" s="5" t="s">
        <v>1200</v>
      </c>
      <c r="E207" s="5" t="s">
        <v>1201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11" t="s">
        <v>46</v>
      </c>
      <c r="Q207" s="5">
        <v>194.85310000000001</v>
      </c>
      <c r="R207" s="5">
        <f t="shared" si="3"/>
        <v>194.85310000000001</v>
      </c>
      <c r="S207" s="5" t="s">
        <v>395</v>
      </c>
      <c r="T207" s="6">
        <v>204</v>
      </c>
      <c r="U207" s="245" t="s">
        <v>1202</v>
      </c>
      <c r="V207" s="232" t="s">
        <v>1199</v>
      </c>
      <c r="W207" s="232">
        <v>-9973.5</v>
      </c>
      <c r="X207" s="232">
        <v>7962.3</v>
      </c>
      <c r="Y207" s="233" t="s">
        <v>49</v>
      </c>
      <c r="Z207" s="87" t="s">
        <v>50</v>
      </c>
      <c r="AA207" s="233" t="s">
        <v>51</v>
      </c>
      <c r="AB207" s="233" t="s">
        <v>934</v>
      </c>
      <c r="AC207" s="233">
        <v>1</v>
      </c>
      <c r="AD207" s="233" t="s">
        <v>226</v>
      </c>
      <c r="AE207" s="234"/>
      <c r="AF207" s="234"/>
      <c r="AG207" s="234"/>
      <c r="AH207" s="233"/>
      <c r="AI207" s="233"/>
      <c r="AJ207" s="233" t="s">
        <v>1167</v>
      </c>
      <c r="AK207" s="233">
        <v>1500</v>
      </c>
      <c r="AL207" s="233"/>
      <c r="AM207" s="233"/>
      <c r="AN207" s="233"/>
      <c r="AO207" s="233"/>
      <c r="AP207" s="234"/>
      <c r="AQ207" s="234" t="s">
        <v>936</v>
      </c>
    </row>
    <row r="208" spans="1:43">
      <c r="A208" s="6">
        <v>205</v>
      </c>
      <c r="B208" s="21" t="s">
        <v>1203</v>
      </c>
      <c r="C208" s="5" t="s">
        <v>1204</v>
      </c>
      <c r="D208" s="5" t="s">
        <v>1205</v>
      </c>
      <c r="E208" s="5" t="s">
        <v>1206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11" t="s">
        <v>46</v>
      </c>
      <c r="Q208" s="5">
        <v>181.37020000000001</v>
      </c>
      <c r="R208" s="5">
        <f t="shared" si="3"/>
        <v>181.37020000000001</v>
      </c>
      <c r="S208" s="5" t="s">
        <v>395</v>
      </c>
      <c r="T208" s="6">
        <v>205</v>
      </c>
      <c r="U208" s="245" t="s">
        <v>1207</v>
      </c>
      <c r="V208" s="232" t="s">
        <v>1204</v>
      </c>
      <c r="W208" s="232">
        <v>-11553.9</v>
      </c>
      <c r="X208" s="232">
        <v>9009.9</v>
      </c>
      <c r="Y208" s="233" t="s">
        <v>49</v>
      </c>
      <c r="Z208" s="87" t="s">
        <v>50</v>
      </c>
      <c r="AA208" s="233" t="s">
        <v>51</v>
      </c>
      <c r="AB208" s="233" t="s">
        <v>934</v>
      </c>
      <c r="AC208" s="233">
        <v>1</v>
      </c>
      <c r="AD208" s="233" t="s">
        <v>226</v>
      </c>
      <c r="AE208" s="234"/>
      <c r="AF208" s="234"/>
      <c r="AG208" s="234"/>
      <c r="AH208" s="233"/>
      <c r="AI208" s="233"/>
      <c r="AJ208" s="233" t="s">
        <v>1167</v>
      </c>
      <c r="AK208" s="233">
        <v>1500</v>
      </c>
      <c r="AL208" s="233"/>
      <c r="AM208" s="233"/>
      <c r="AN208" s="233"/>
      <c r="AO208" s="233"/>
      <c r="AP208" s="234"/>
      <c r="AQ208" s="234" t="s">
        <v>936</v>
      </c>
    </row>
    <row r="209" spans="1:43">
      <c r="A209" s="6">
        <v>206</v>
      </c>
      <c r="B209" s="21" t="s">
        <v>1208</v>
      </c>
      <c r="C209" s="5" t="s">
        <v>1209</v>
      </c>
      <c r="D209" s="5" t="s">
        <v>1210</v>
      </c>
      <c r="E209" s="5" t="s">
        <v>1211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11" t="s">
        <v>46</v>
      </c>
      <c r="Q209" s="5">
        <v>170.49459999999999</v>
      </c>
      <c r="R209" s="5">
        <f t="shared" si="3"/>
        <v>170.49459999999999</v>
      </c>
      <c r="S209" s="5" t="s">
        <v>395</v>
      </c>
      <c r="T209" s="6">
        <v>206</v>
      </c>
      <c r="U209" s="245" t="s">
        <v>1212</v>
      </c>
      <c r="V209" s="232" t="s">
        <v>1209</v>
      </c>
      <c r="W209" s="232">
        <v>-10389.9</v>
      </c>
      <c r="X209" s="232">
        <v>9205.2999999999993</v>
      </c>
      <c r="Y209" s="233" t="s">
        <v>49</v>
      </c>
      <c r="Z209" s="87" t="s">
        <v>50</v>
      </c>
      <c r="AA209" s="233" t="s">
        <v>51</v>
      </c>
      <c r="AB209" s="233" t="s">
        <v>934</v>
      </c>
      <c r="AC209" s="233">
        <v>1</v>
      </c>
      <c r="AD209" s="233" t="s">
        <v>226</v>
      </c>
      <c r="AE209" s="234"/>
      <c r="AF209" s="234"/>
      <c r="AG209" s="234"/>
      <c r="AH209" s="233"/>
      <c r="AI209" s="233"/>
      <c r="AJ209" s="233"/>
      <c r="AK209" s="233"/>
      <c r="AL209" s="233"/>
      <c r="AM209" s="233"/>
      <c r="AN209" s="233"/>
      <c r="AO209" s="233"/>
      <c r="AP209" s="234"/>
      <c r="AQ209" s="234" t="s">
        <v>936</v>
      </c>
    </row>
    <row r="210" spans="1:43">
      <c r="A210" s="6">
        <v>207</v>
      </c>
      <c r="B210" s="21" t="s">
        <v>1213</v>
      </c>
      <c r="C210" s="5" t="s">
        <v>1214</v>
      </c>
      <c r="D210" s="5" t="s">
        <v>1215</v>
      </c>
      <c r="E210" s="5" t="s">
        <v>1216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11" t="s">
        <v>46</v>
      </c>
      <c r="Q210" s="5">
        <v>165.04329999999999</v>
      </c>
      <c r="R210" s="5">
        <f t="shared" si="3"/>
        <v>165.04329999999999</v>
      </c>
      <c r="S210" s="5" t="s">
        <v>344</v>
      </c>
      <c r="T210" s="6">
        <v>207</v>
      </c>
      <c r="U210" s="245" t="s">
        <v>1217</v>
      </c>
      <c r="V210" s="232" t="s">
        <v>1214</v>
      </c>
      <c r="W210" s="232">
        <v>-8983.5</v>
      </c>
      <c r="X210" s="232">
        <v>6110.3</v>
      </c>
      <c r="Y210" s="233" t="s">
        <v>49</v>
      </c>
      <c r="Z210" s="87" t="s">
        <v>50</v>
      </c>
      <c r="AA210" s="233" t="s">
        <v>51</v>
      </c>
      <c r="AB210" s="233" t="s">
        <v>934</v>
      </c>
      <c r="AC210" s="233">
        <v>1</v>
      </c>
      <c r="AD210" s="233" t="s">
        <v>226</v>
      </c>
      <c r="AE210" s="234"/>
      <c r="AF210" s="234"/>
      <c r="AG210" s="234"/>
      <c r="AH210" s="233"/>
      <c r="AI210" s="233"/>
      <c r="AJ210" s="233" t="s">
        <v>1167</v>
      </c>
      <c r="AK210" s="233">
        <v>1500</v>
      </c>
      <c r="AL210" s="233"/>
      <c r="AM210" s="233"/>
      <c r="AN210" s="233"/>
      <c r="AO210" s="233"/>
      <c r="AP210" s="234"/>
      <c r="AQ210" s="234" t="s">
        <v>936</v>
      </c>
    </row>
    <row r="211" spans="1:43">
      <c r="A211" s="6">
        <v>208</v>
      </c>
      <c r="B211" s="21" t="s">
        <v>1218</v>
      </c>
      <c r="C211" s="5" t="s">
        <v>1219</v>
      </c>
      <c r="D211" s="5" t="s">
        <v>1220</v>
      </c>
      <c r="E211" s="5" t="s">
        <v>1221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11" t="s">
        <v>46</v>
      </c>
      <c r="Q211" s="5">
        <v>176.5249</v>
      </c>
      <c r="R211" s="5">
        <f t="shared" si="3"/>
        <v>176.5249</v>
      </c>
      <c r="S211" s="5" t="s">
        <v>74</v>
      </c>
      <c r="T211" s="6">
        <v>208</v>
      </c>
      <c r="U211" s="245" t="s">
        <v>1222</v>
      </c>
      <c r="V211" s="232" t="s">
        <v>1219</v>
      </c>
      <c r="W211" s="232">
        <v>-11181.6</v>
      </c>
      <c r="X211" s="232">
        <v>10770.7</v>
      </c>
      <c r="Y211" s="233" t="s">
        <v>49</v>
      </c>
      <c r="Z211" s="87" t="s">
        <v>50</v>
      </c>
      <c r="AA211" s="233" t="s">
        <v>51</v>
      </c>
      <c r="AB211" s="233" t="s">
        <v>934</v>
      </c>
      <c r="AC211" s="233">
        <v>1</v>
      </c>
      <c r="AD211" s="233" t="s">
        <v>226</v>
      </c>
      <c r="AE211" s="234"/>
      <c r="AF211" s="234"/>
      <c r="AG211" s="234"/>
      <c r="AH211" s="233"/>
      <c r="AI211" s="233"/>
      <c r="AJ211" s="233" t="s">
        <v>1167</v>
      </c>
      <c r="AK211" s="233">
        <v>1500</v>
      </c>
      <c r="AL211" s="233"/>
      <c r="AM211" s="233"/>
      <c r="AN211" s="233"/>
      <c r="AO211" s="233"/>
      <c r="AP211" s="234"/>
      <c r="AQ211" s="234" t="s">
        <v>936</v>
      </c>
    </row>
    <row r="212" spans="1:43">
      <c r="A212" s="6">
        <v>209</v>
      </c>
      <c r="B212" s="21" t="s">
        <v>1223</v>
      </c>
      <c r="C212" s="5" t="s">
        <v>1224</v>
      </c>
      <c r="D212" s="5" t="s">
        <v>1225</v>
      </c>
      <c r="E212" s="5" t="s">
        <v>1226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11" t="s">
        <v>46</v>
      </c>
      <c r="Q212" s="5">
        <v>171.4503</v>
      </c>
      <c r="R212" s="5">
        <f t="shared" si="3"/>
        <v>171.4503</v>
      </c>
      <c r="S212" s="5" t="s">
        <v>74</v>
      </c>
      <c r="T212" s="6">
        <v>209</v>
      </c>
      <c r="U212" s="245" t="s">
        <v>1227</v>
      </c>
      <c r="V212" s="232" t="s">
        <v>1224</v>
      </c>
      <c r="W212" s="232">
        <v>-7933.8</v>
      </c>
      <c r="X212" s="232">
        <v>7624.6</v>
      </c>
      <c r="Y212" s="233" t="s">
        <v>49</v>
      </c>
      <c r="Z212" s="87" t="s">
        <v>50</v>
      </c>
      <c r="AA212" s="233" t="s">
        <v>51</v>
      </c>
      <c r="AB212" s="233" t="s">
        <v>934</v>
      </c>
      <c r="AC212" s="233">
        <v>1</v>
      </c>
      <c r="AD212" s="233" t="s">
        <v>226</v>
      </c>
      <c r="AE212" s="234"/>
      <c r="AF212" s="234"/>
      <c r="AG212" s="234"/>
      <c r="AH212" s="233"/>
      <c r="AI212" s="233"/>
      <c r="AJ212" s="233" t="s">
        <v>1167</v>
      </c>
      <c r="AK212" s="233">
        <v>1500</v>
      </c>
      <c r="AL212" s="233"/>
      <c r="AM212" s="233"/>
      <c r="AN212" s="233"/>
      <c r="AO212" s="233"/>
      <c r="AP212" s="234"/>
      <c r="AQ212" s="234" t="s">
        <v>936</v>
      </c>
    </row>
    <row r="213" spans="1:43">
      <c r="A213" s="6">
        <v>210</v>
      </c>
      <c r="B213" s="21" t="s">
        <v>1228</v>
      </c>
      <c r="C213" s="5" t="s">
        <v>1229</v>
      </c>
      <c r="D213" s="5" t="s">
        <v>1230</v>
      </c>
      <c r="E213" s="5" t="s">
        <v>1231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11" t="s">
        <v>46</v>
      </c>
      <c r="Q213" s="5">
        <v>165.1241</v>
      </c>
      <c r="R213" s="5">
        <f t="shared" si="3"/>
        <v>165.1241</v>
      </c>
      <c r="S213" s="5" t="s">
        <v>60</v>
      </c>
      <c r="T213" s="6">
        <v>210</v>
      </c>
      <c r="U213" s="245" t="s">
        <v>1232</v>
      </c>
      <c r="V213" s="232" t="s">
        <v>1229</v>
      </c>
      <c r="W213" s="232">
        <v>-10659.4</v>
      </c>
      <c r="X213" s="232">
        <v>10665.3</v>
      </c>
      <c r="Y213" s="233" t="s">
        <v>49</v>
      </c>
      <c r="Z213" s="87" t="s">
        <v>50</v>
      </c>
      <c r="AA213" s="233" t="s">
        <v>51</v>
      </c>
      <c r="AB213" s="233" t="s">
        <v>934</v>
      </c>
      <c r="AC213" s="233">
        <v>1</v>
      </c>
      <c r="AD213" s="233" t="s">
        <v>226</v>
      </c>
      <c r="AE213" s="234"/>
      <c r="AF213" s="234"/>
      <c r="AG213" s="234"/>
      <c r="AH213" s="233"/>
      <c r="AI213" s="233"/>
      <c r="AJ213" s="233" t="s">
        <v>1167</v>
      </c>
      <c r="AK213" s="233">
        <v>1500</v>
      </c>
      <c r="AL213" s="233"/>
      <c r="AM213" s="233"/>
      <c r="AN213" s="233"/>
      <c r="AO213" s="233"/>
      <c r="AP213" s="234"/>
      <c r="AQ213" s="234" t="s">
        <v>936</v>
      </c>
    </row>
    <row r="214" spans="1:43">
      <c r="A214" s="6">
        <v>211</v>
      </c>
      <c r="B214" s="21" t="s">
        <v>1233</v>
      </c>
      <c r="C214" s="5" t="s">
        <v>1234</v>
      </c>
      <c r="D214" s="5" t="s">
        <v>1235</v>
      </c>
      <c r="E214" s="5" t="s">
        <v>1236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11" t="s">
        <v>46</v>
      </c>
      <c r="Q214" s="5">
        <v>166.85720000000001</v>
      </c>
      <c r="R214" s="5">
        <f t="shared" si="3"/>
        <v>166.85720000000001</v>
      </c>
      <c r="S214" s="5" t="s">
        <v>344</v>
      </c>
      <c r="T214" s="6">
        <v>211</v>
      </c>
      <c r="U214" s="245" t="s">
        <v>1237</v>
      </c>
      <c r="V214" s="232" t="s">
        <v>1234</v>
      </c>
      <c r="W214" s="232">
        <v>-10608.3</v>
      </c>
      <c r="X214" s="232">
        <v>9662.5</v>
      </c>
      <c r="Y214" s="233" t="s">
        <v>49</v>
      </c>
      <c r="Z214" s="87" t="s">
        <v>50</v>
      </c>
      <c r="AA214" s="233" t="s">
        <v>51</v>
      </c>
      <c r="AB214" s="233" t="s">
        <v>934</v>
      </c>
      <c r="AC214" s="233">
        <v>1</v>
      </c>
      <c r="AD214" s="233" t="s">
        <v>226</v>
      </c>
      <c r="AE214" s="234"/>
      <c r="AF214" s="234"/>
      <c r="AG214" s="234"/>
      <c r="AH214" s="233"/>
      <c r="AI214" s="233"/>
      <c r="AJ214" s="233" t="s">
        <v>1167</v>
      </c>
      <c r="AK214" s="233">
        <v>1500</v>
      </c>
      <c r="AL214" s="233"/>
      <c r="AM214" s="233"/>
      <c r="AN214" s="233"/>
      <c r="AO214" s="233"/>
      <c r="AP214" s="234"/>
      <c r="AQ214" s="234" t="s">
        <v>936</v>
      </c>
    </row>
    <row r="215" spans="1:43">
      <c r="A215" s="6">
        <v>212</v>
      </c>
      <c r="B215" s="21" t="s">
        <v>1238</v>
      </c>
      <c r="C215" s="5" t="s">
        <v>1239</v>
      </c>
      <c r="D215" s="5" t="s">
        <v>1240</v>
      </c>
      <c r="E215" s="5" t="s">
        <v>1241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11" t="s">
        <v>46</v>
      </c>
      <c r="Q215" s="5">
        <v>173.452</v>
      </c>
      <c r="R215" s="5">
        <f t="shared" si="3"/>
        <v>173.452</v>
      </c>
      <c r="S215" s="5" t="s">
        <v>395</v>
      </c>
      <c r="T215" s="6">
        <v>212</v>
      </c>
      <c r="U215" s="245" t="s">
        <v>1242</v>
      </c>
      <c r="V215" s="232" t="s">
        <v>1239</v>
      </c>
      <c r="W215" s="232">
        <v>-8498.2000000000007</v>
      </c>
      <c r="X215" s="232">
        <v>7554.1</v>
      </c>
      <c r="Y215" s="233" t="s">
        <v>49</v>
      </c>
      <c r="Z215" s="87" t="s">
        <v>50</v>
      </c>
      <c r="AA215" s="233" t="s">
        <v>51</v>
      </c>
      <c r="AB215" s="233" t="s">
        <v>934</v>
      </c>
      <c r="AC215" s="233">
        <v>1</v>
      </c>
      <c r="AD215" s="233" t="s">
        <v>226</v>
      </c>
      <c r="AE215" s="234"/>
      <c r="AF215" s="234"/>
      <c r="AG215" s="234"/>
      <c r="AH215" s="233"/>
      <c r="AI215" s="233"/>
      <c r="AJ215" s="233" t="s">
        <v>1167</v>
      </c>
      <c r="AK215" s="233">
        <v>1500</v>
      </c>
      <c r="AL215" s="233"/>
      <c r="AM215" s="233"/>
      <c r="AN215" s="233"/>
      <c r="AO215" s="233"/>
      <c r="AP215" s="234"/>
      <c r="AQ215" s="234" t="s">
        <v>936</v>
      </c>
    </row>
    <row r="216" spans="1:43">
      <c r="A216" s="6">
        <v>213</v>
      </c>
      <c r="B216" s="21" t="s">
        <v>1243</v>
      </c>
      <c r="C216" s="5" t="s">
        <v>1244</v>
      </c>
      <c r="D216" s="5" t="s">
        <v>1245</v>
      </c>
      <c r="E216" s="5" t="s">
        <v>1246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11" t="s">
        <v>46</v>
      </c>
      <c r="Q216" s="5">
        <v>172.20070000000001</v>
      </c>
      <c r="R216" s="5">
        <f t="shared" si="3"/>
        <v>172.20070000000001</v>
      </c>
      <c r="S216" s="5" t="s">
        <v>74</v>
      </c>
      <c r="T216" s="6">
        <v>213</v>
      </c>
      <c r="U216" s="245" t="s">
        <v>1247</v>
      </c>
      <c r="V216" s="232" t="s">
        <v>1244</v>
      </c>
      <c r="W216" s="232">
        <v>-12141</v>
      </c>
      <c r="X216" s="232">
        <v>9411.9</v>
      </c>
      <c r="Y216" s="233" t="s">
        <v>49</v>
      </c>
      <c r="Z216" s="87" t="s">
        <v>50</v>
      </c>
      <c r="AA216" s="233" t="s">
        <v>51</v>
      </c>
      <c r="AB216" s="233" t="s">
        <v>934</v>
      </c>
      <c r="AC216" s="233">
        <v>1</v>
      </c>
      <c r="AD216" s="233" t="s">
        <v>226</v>
      </c>
      <c r="AE216" s="234"/>
      <c r="AF216" s="234"/>
      <c r="AG216" s="234"/>
      <c r="AH216" s="233"/>
      <c r="AI216" s="233"/>
      <c r="AJ216" s="233" t="s">
        <v>1167</v>
      </c>
      <c r="AK216" s="233">
        <v>1500</v>
      </c>
      <c r="AL216" s="233"/>
      <c r="AM216" s="233"/>
      <c r="AN216" s="233"/>
      <c r="AO216" s="233"/>
      <c r="AP216" s="234"/>
      <c r="AQ216" s="234" t="s">
        <v>936</v>
      </c>
    </row>
    <row r="217" spans="1:43">
      <c r="A217" s="6">
        <v>214</v>
      </c>
      <c r="B217" s="21" t="s">
        <v>1248</v>
      </c>
      <c r="C217" s="5" t="s">
        <v>1249</v>
      </c>
      <c r="D217" s="5" t="s">
        <v>1250</v>
      </c>
      <c r="E217" s="5" t="s">
        <v>1251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11" t="s">
        <v>46</v>
      </c>
      <c r="Q217" s="5">
        <v>174.15289999999999</v>
      </c>
      <c r="R217" s="5">
        <f t="shared" si="3"/>
        <v>174.15289999999999</v>
      </c>
      <c r="S217" s="5" t="s">
        <v>74</v>
      </c>
      <c r="T217" s="6">
        <v>214</v>
      </c>
      <c r="U217" s="245" t="s">
        <v>1252</v>
      </c>
      <c r="V217" s="232" t="s">
        <v>1249</v>
      </c>
      <c r="W217" s="232">
        <v>-12413</v>
      </c>
      <c r="X217" s="232">
        <v>8492.5</v>
      </c>
      <c r="Y217" s="233" t="s">
        <v>49</v>
      </c>
      <c r="Z217" s="87" t="s">
        <v>50</v>
      </c>
      <c r="AA217" s="233" t="s">
        <v>51</v>
      </c>
      <c r="AB217" s="233" t="s">
        <v>934</v>
      </c>
      <c r="AC217" s="233">
        <v>1</v>
      </c>
      <c r="AD217" s="233" t="s">
        <v>226</v>
      </c>
      <c r="AE217" s="234"/>
      <c r="AF217" s="234"/>
      <c r="AG217" s="234"/>
      <c r="AH217" s="233"/>
      <c r="AI217" s="233"/>
      <c r="AJ217" s="233" t="s">
        <v>1167</v>
      </c>
      <c r="AK217" s="233">
        <v>1500</v>
      </c>
      <c r="AL217" s="233"/>
      <c r="AM217" s="233"/>
      <c r="AN217" s="233"/>
      <c r="AO217" s="233"/>
      <c r="AP217" s="234"/>
      <c r="AQ217" s="234" t="s">
        <v>936</v>
      </c>
    </row>
    <row r="218" spans="1:43">
      <c r="A218" s="6">
        <v>215</v>
      </c>
      <c r="B218" s="21" t="s">
        <v>1253</v>
      </c>
      <c r="C218" s="5" t="s">
        <v>1254</v>
      </c>
      <c r="D218" s="5" t="s">
        <v>1255</v>
      </c>
      <c r="E218" s="5" t="s">
        <v>1256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11" t="s">
        <v>46</v>
      </c>
      <c r="Q218" s="5">
        <v>169.8691</v>
      </c>
      <c r="R218" s="5">
        <f t="shared" si="3"/>
        <v>169.8691</v>
      </c>
      <c r="S218" s="5" t="s">
        <v>60</v>
      </c>
      <c r="T218" s="6">
        <v>215</v>
      </c>
      <c r="U218" s="245" t="s">
        <v>1257</v>
      </c>
      <c r="V218" s="232" t="s">
        <v>1254</v>
      </c>
      <c r="W218" s="232">
        <v>-12915.4</v>
      </c>
      <c r="X218" s="232">
        <v>8462.2999999999993</v>
      </c>
      <c r="Y218" s="233" t="s">
        <v>49</v>
      </c>
      <c r="Z218" s="87" t="s">
        <v>50</v>
      </c>
      <c r="AA218" s="233" t="s">
        <v>51</v>
      </c>
      <c r="AB218" s="233" t="s">
        <v>934</v>
      </c>
      <c r="AC218" s="233">
        <v>1</v>
      </c>
      <c r="AD218" s="233" t="s">
        <v>226</v>
      </c>
      <c r="AE218" s="234"/>
      <c r="AF218" s="234"/>
      <c r="AG218" s="234"/>
      <c r="AH218" s="233"/>
      <c r="AI218" s="233"/>
      <c r="AJ218" s="233" t="s">
        <v>1167</v>
      </c>
      <c r="AK218" s="233">
        <v>1500</v>
      </c>
      <c r="AL218" s="233"/>
      <c r="AM218" s="233"/>
      <c r="AN218" s="233"/>
      <c r="AO218" s="233"/>
      <c r="AP218" s="234"/>
      <c r="AQ218" s="234" t="s">
        <v>936</v>
      </c>
    </row>
    <row r="219" spans="1:43">
      <c r="A219" s="6">
        <v>216</v>
      </c>
      <c r="B219" s="21" t="s">
        <v>1258</v>
      </c>
      <c r="C219" s="5" t="s">
        <v>1259</v>
      </c>
      <c r="D219" s="5" t="s">
        <v>1260</v>
      </c>
      <c r="E219" s="5" t="s">
        <v>1261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11" t="s">
        <v>46</v>
      </c>
      <c r="Q219" s="5">
        <v>166.13470000000001</v>
      </c>
      <c r="R219" s="5">
        <f t="shared" si="3"/>
        <v>166.13470000000001</v>
      </c>
      <c r="S219" s="5" t="s">
        <v>60</v>
      </c>
      <c r="T219" s="6">
        <v>216</v>
      </c>
      <c r="U219" s="245" t="s">
        <v>1262</v>
      </c>
      <c r="V219" s="232" t="s">
        <v>1259</v>
      </c>
      <c r="W219" s="232">
        <v>-10633.2</v>
      </c>
      <c r="X219" s="232">
        <v>8765.7000000000007</v>
      </c>
      <c r="Y219" s="233" t="s">
        <v>49</v>
      </c>
      <c r="Z219" s="87" t="s">
        <v>50</v>
      </c>
      <c r="AA219" s="233" t="s">
        <v>51</v>
      </c>
      <c r="AB219" s="233" t="s">
        <v>934</v>
      </c>
      <c r="AC219" s="233">
        <v>1</v>
      </c>
      <c r="AD219" s="233" t="s">
        <v>226</v>
      </c>
      <c r="AE219" s="234"/>
      <c r="AF219" s="234"/>
      <c r="AG219" s="234"/>
      <c r="AH219" s="233"/>
      <c r="AI219" s="233"/>
      <c r="AJ219" s="233" t="s">
        <v>1167</v>
      </c>
      <c r="AK219" s="233">
        <v>1500</v>
      </c>
      <c r="AL219" s="233"/>
      <c r="AM219" s="233"/>
      <c r="AN219" s="233"/>
      <c r="AO219" s="233"/>
      <c r="AP219" s="234"/>
      <c r="AQ219" s="234" t="s">
        <v>936</v>
      </c>
    </row>
    <row r="220" spans="1:43">
      <c r="A220" s="6">
        <v>217</v>
      </c>
      <c r="B220" s="21" t="s">
        <v>1263</v>
      </c>
      <c r="C220" s="5" t="s">
        <v>1264</v>
      </c>
      <c r="D220" s="5" t="s">
        <v>1265</v>
      </c>
      <c r="E220" s="5" t="s">
        <v>1266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11" t="s">
        <v>46</v>
      </c>
      <c r="Q220" s="5">
        <v>165.53559999999999</v>
      </c>
      <c r="R220" s="5">
        <f t="shared" si="3"/>
        <v>165.53559999999999</v>
      </c>
      <c r="S220" s="5" t="s">
        <v>395</v>
      </c>
      <c r="T220" s="6">
        <v>217</v>
      </c>
      <c r="U220" s="245" t="s">
        <v>1267</v>
      </c>
      <c r="V220" s="232" t="s">
        <v>1264</v>
      </c>
      <c r="W220" s="232">
        <v>-11787</v>
      </c>
      <c r="X220" s="232">
        <v>9771.9</v>
      </c>
      <c r="Y220" s="233" t="s">
        <v>49</v>
      </c>
      <c r="Z220" s="87" t="s">
        <v>50</v>
      </c>
      <c r="AA220" s="233" t="s">
        <v>51</v>
      </c>
      <c r="AB220" s="233" t="s">
        <v>934</v>
      </c>
      <c r="AC220" s="233">
        <v>1</v>
      </c>
      <c r="AD220" s="233" t="s">
        <v>226</v>
      </c>
      <c r="AE220" s="234"/>
      <c r="AF220" s="234"/>
      <c r="AG220" s="234"/>
      <c r="AH220" s="233"/>
      <c r="AI220" s="233"/>
      <c r="AJ220" s="233" t="s">
        <v>1167</v>
      </c>
      <c r="AK220" s="233">
        <v>1500</v>
      </c>
      <c r="AL220" s="233"/>
      <c r="AM220" s="233"/>
      <c r="AN220" s="233"/>
      <c r="AO220" s="233"/>
      <c r="AP220" s="234"/>
      <c r="AQ220" s="234" t="s">
        <v>936</v>
      </c>
    </row>
    <row r="221" spans="1:43">
      <c r="A221" s="6">
        <v>218</v>
      </c>
      <c r="B221" s="21" t="s">
        <v>1268</v>
      </c>
      <c r="C221" s="5" t="s">
        <v>1269</v>
      </c>
      <c r="D221" s="5" t="s">
        <v>1270</v>
      </c>
      <c r="E221" s="5" t="s">
        <v>1271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11" t="s">
        <v>46</v>
      </c>
      <c r="Q221" s="5">
        <v>180.38800000000001</v>
      </c>
      <c r="R221" s="5">
        <f t="shared" si="3"/>
        <v>180.38800000000001</v>
      </c>
      <c r="S221" s="5" t="s">
        <v>67</v>
      </c>
      <c r="T221" s="6">
        <v>218</v>
      </c>
      <c r="U221" s="245" t="s">
        <v>1272</v>
      </c>
      <c r="V221" s="232" t="s">
        <v>1269</v>
      </c>
      <c r="W221" s="232">
        <v>-8005.6</v>
      </c>
      <c r="X221" s="232">
        <v>8695.7999999999993</v>
      </c>
      <c r="Y221" s="233" t="s">
        <v>49</v>
      </c>
      <c r="Z221" s="87" t="s">
        <v>50</v>
      </c>
      <c r="AA221" s="233" t="s">
        <v>51</v>
      </c>
      <c r="AB221" s="233" t="s">
        <v>934</v>
      </c>
      <c r="AC221" s="233">
        <v>1</v>
      </c>
      <c r="AD221" s="233" t="s">
        <v>226</v>
      </c>
      <c r="AE221" s="234"/>
      <c r="AF221" s="234"/>
      <c r="AG221" s="234"/>
      <c r="AH221" s="233"/>
      <c r="AI221" s="233"/>
      <c r="AJ221" s="233" t="s">
        <v>1167</v>
      </c>
      <c r="AK221" s="233">
        <v>1500</v>
      </c>
      <c r="AL221" s="233"/>
      <c r="AM221" s="233"/>
      <c r="AN221" s="233"/>
      <c r="AO221" s="233"/>
      <c r="AP221" s="234"/>
      <c r="AQ221" s="234" t="s">
        <v>936</v>
      </c>
    </row>
    <row r="222" spans="1:43">
      <c r="A222" s="6">
        <v>219</v>
      </c>
      <c r="B222" s="21" t="s">
        <v>1273</v>
      </c>
      <c r="C222" s="5" t="s">
        <v>1274</v>
      </c>
      <c r="D222" s="5" t="s">
        <v>1275</v>
      </c>
      <c r="E222" s="5" t="s">
        <v>1276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11" t="s">
        <v>46</v>
      </c>
      <c r="Q222" s="5">
        <v>230.8827</v>
      </c>
      <c r="R222" s="5">
        <f t="shared" si="3"/>
        <v>230.8827</v>
      </c>
      <c r="S222" s="5" t="s">
        <v>685</v>
      </c>
      <c r="T222" s="6">
        <v>219</v>
      </c>
      <c r="U222" s="246" t="s">
        <v>1277</v>
      </c>
      <c r="V222" s="232" t="s">
        <v>1274</v>
      </c>
      <c r="W222" s="232">
        <v>-10316.299999999999</v>
      </c>
      <c r="X222" s="232">
        <v>3843</v>
      </c>
      <c r="Y222" s="233" t="s">
        <v>49</v>
      </c>
      <c r="Z222" s="87" t="s">
        <v>50</v>
      </c>
      <c r="AA222" s="233" t="s">
        <v>51</v>
      </c>
      <c r="AB222" s="234"/>
      <c r="AC222" s="233">
        <v>1</v>
      </c>
      <c r="AD222" s="233" t="s">
        <v>226</v>
      </c>
      <c r="AE222" s="234"/>
      <c r="AF222" s="234"/>
      <c r="AG222" s="234"/>
      <c r="AH222" s="233"/>
      <c r="AI222" s="233"/>
      <c r="AJ222" s="233"/>
      <c r="AK222" s="233"/>
      <c r="AL222" s="233"/>
      <c r="AM222" s="233"/>
      <c r="AN222" s="233"/>
      <c r="AO222" s="233"/>
      <c r="AP222" s="234"/>
      <c r="AQ222" s="234" t="s">
        <v>333</v>
      </c>
    </row>
    <row r="223" spans="1:43">
      <c r="A223" s="6">
        <v>220</v>
      </c>
      <c r="B223" s="21" t="s">
        <v>1278</v>
      </c>
      <c r="C223" s="5" t="s">
        <v>1279</v>
      </c>
      <c r="D223" s="5" t="s">
        <v>1280</v>
      </c>
      <c r="E223" s="5" t="s">
        <v>1281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11" t="s">
        <v>46</v>
      </c>
      <c r="Q223" s="5">
        <v>201.4212</v>
      </c>
      <c r="R223" s="5">
        <f t="shared" si="3"/>
        <v>201.4212</v>
      </c>
      <c r="S223" s="5" t="s">
        <v>395</v>
      </c>
      <c r="T223" s="6">
        <v>220</v>
      </c>
      <c r="U223" s="246" t="s">
        <v>1282</v>
      </c>
      <c r="V223" s="232" t="s">
        <v>1279</v>
      </c>
      <c r="W223" s="232">
        <v>-12413</v>
      </c>
      <c r="X223" s="232">
        <v>4098.3</v>
      </c>
      <c r="Y223" s="233" t="s">
        <v>49</v>
      </c>
      <c r="Z223" s="87" t="s">
        <v>50</v>
      </c>
      <c r="AA223" s="233" t="s">
        <v>51</v>
      </c>
      <c r="AB223" s="234"/>
      <c r="AC223" s="233">
        <v>1</v>
      </c>
      <c r="AD223" s="233" t="s">
        <v>226</v>
      </c>
      <c r="AE223" s="234"/>
      <c r="AF223" s="234"/>
      <c r="AG223" s="234"/>
      <c r="AH223" s="233"/>
      <c r="AI223" s="233"/>
      <c r="AJ223" s="233"/>
      <c r="AK223" s="233"/>
      <c r="AL223" s="233"/>
      <c r="AM223" s="233"/>
      <c r="AN223" s="233"/>
      <c r="AO223" s="233"/>
      <c r="AP223" s="234"/>
      <c r="AQ223" s="234" t="s">
        <v>333</v>
      </c>
    </row>
    <row r="224" spans="1:43">
      <c r="A224" s="6">
        <v>221</v>
      </c>
      <c r="B224" s="21" t="s">
        <v>1283</v>
      </c>
      <c r="C224" s="5" t="s">
        <v>1284</v>
      </c>
      <c r="D224" s="5" t="s">
        <v>1285</v>
      </c>
      <c r="E224" s="5" t="s">
        <v>1286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11" t="s">
        <v>46</v>
      </c>
      <c r="Q224" s="5">
        <v>185.45529999999999</v>
      </c>
      <c r="R224" s="5">
        <f t="shared" si="3"/>
        <v>185.45529999999999</v>
      </c>
      <c r="S224" s="5" t="s">
        <v>344</v>
      </c>
      <c r="T224" s="6">
        <v>221</v>
      </c>
      <c r="U224" s="246" t="s">
        <v>1287</v>
      </c>
      <c r="V224" s="232" t="s">
        <v>1284</v>
      </c>
      <c r="W224" s="232">
        <v>-10945.9</v>
      </c>
      <c r="X224" s="232">
        <v>4224</v>
      </c>
      <c r="Y224" s="233" t="s">
        <v>49</v>
      </c>
      <c r="Z224" s="87" t="s">
        <v>50</v>
      </c>
      <c r="AA224" s="233" t="s">
        <v>51</v>
      </c>
      <c r="AB224" s="233" t="s">
        <v>934</v>
      </c>
      <c r="AC224" s="233">
        <v>1</v>
      </c>
      <c r="AD224" s="233" t="s">
        <v>226</v>
      </c>
      <c r="AE224" s="234"/>
      <c r="AF224" s="234"/>
      <c r="AG224" s="234"/>
      <c r="AH224" s="233"/>
      <c r="AI224" s="233"/>
      <c r="AJ224" s="233" t="s">
        <v>1167</v>
      </c>
      <c r="AK224" s="233">
        <v>1500</v>
      </c>
      <c r="AL224" s="233"/>
      <c r="AM224" s="233"/>
      <c r="AN224" s="233"/>
      <c r="AO224" s="233"/>
      <c r="AP224" s="234"/>
      <c r="AQ224" s="234" t="s">
        <v>936</v>
      </c>
    </row>
    <row r="225" spans="1:43">
      <c r="A225" s="6">
        <v>222</v>
      </c>
      <c r="B225" s="21" t="s">
        <v>1288</v>
      </c>
      <c r="C225" s="5" t="s">
        <v>1289</v>
      </c>
      <c r="D225" s="5" t="s">
        <v>1290</v>
      </c>
      <c r="E225" s="5" t="s">
        <v>1291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11" t="s">
        <v>46</v>
      </c>
      <c r="Q225" s="5">
        <v>172.25909999999999</v>
      </c>
      <c r="R225" s="5">
        <f t="shared" si="3"/>
        <v>172.25909999999999</v>
      </c>
      <c r="S225" s="5" t="s">
        <v>60</v>
      </c>
      <c r="T225" s="6">
        <v>222</v>
      </c>
      <c r="U225" s="246" t="s">
        <v>1292</v>
      </c>
      <c r="V225" s="232" t="s">
        <v>1289</v>
      </c>
      <c r="W225" s="232">
        <v>-12786.5</v>
      </c>
      <c r="X225" s="232">
        <v>5587</v>
      </c>
      <c r="Y225" s="233" t="s">
        <v>49</v>
      </c>
      <c r="Z225" s="87" t="s">
        <v>50</v>
      </c>
      <c r="AA225" s="233" t="s">
        <v>51</v>
      </c>
      <c r="AB225" s="233" t="s">
        <v>934</v>
      </c>
      <c r="AC225" s="233">
        <v>1</v>
      </c>
      <c r="AD225" s="233" t="s">
        <v>226</v>
      </c>
      <c r="AE225" s="234"/>
      <c r="AF225" s="234"/>
      <c r="AG225" s="234"/>
      <c r="AH225" s="233"/>
      <c r="AI225" s="233"/>
      <c r="AJ225" s="233" t="s">
        <v>1167</v>
      </c>
      <c r="AK225" s="233">
        <v>1500</v>
      </c>
      <c r="AL225" s="233"/>
      <c r="AM225" s="233"/>
      <c r="AN225" s="233"/>
      <c r="AO225" s="233"/>
      <c r="AP225" s="234"/>
      <c r="AQ225" s="234" t="s">
        <v>936</v>
      </c>
    </row>
    <row r="226" spans="1:43">
      <c r="A226" s="6">
        <v>223</v>
      </c>
      <c r="B226" s="21" t="s">
        <v>1293</v>
      </c>
      <c r="C226" s="5" t="s">
        <v>1294</v>
      </c>
      <c r="D226" s="5" t="s">
        <v>1295</v>
      </c>
      <c r="E226" s="5" t="s">
        <v>1296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11" t="s">
        <v>46</v>
      </c>
      <c r="Q226" s="5">
        <v>179.08</v>
      </c>
      <c r="R226" s="5">
        <f t="shared" si="3"/>
        <v>179.08</v>
      </c>
      <c r="S226" s="5" t="s">
        <v>706</v>
      </c>
      <c r="T226" s="6">
        <v>223</v>
      </c>
      <c r="U226" s="246" t="s">
        <v>1297</v>
      </c>
      <c r="V226" s="232" t="s">
        <v>1294</v>
      </c>
      <c r="W226" s="232">
        <v>-10289.299999999999</v>
      </c>
      <c r="X226" s="232">
        <v>6694.5</v>
      </c>
      <c r="Y226" s="233" t="s">
        <v>49</v>
      </c>
      <c r="Z226" s="87" t="s">
        <v>50</v>
      </c>
      <c r="AA226" s="233" t="s">
        <v>51</v>
      </c>
      <c r="AB226" s="233" t="s">
        <v>934</v>
      </c>
      <c r="AC226" s="233">
        <v>1</v>
      </c>
      <c r="AD226" s="233" t="s">
        <v>226</v>
      </c>
      <c r="AE226" s="234"/>
      <c r="AF226" s="234"/>
      <c r="AG226" s="234"/>
      <c r="AH226" s="233"/>
      <c r="AI226" s="233"/>
      <c r="AJ226" s="233" t="s">
        <v>1167</v>
      </c>
      <c r="AK226" s="233">
        <v>1500</v>
      </c>
      <c r="AL226" s="233"/>
      <c r="AM226" s="233"/>
      <c r="AN226" s="233"/>
      <c r="AO226" s="233"/>
      <c r="AP226" s="234"/>
      <c r="AQ226" s="234" t="s">
        <v>936</v>
      </c>
    </row>
    <row r="227" spans="1:43">
      <c r="A227" s="6">
        <v>224</v>
      </c>
      <c r="B227" s="21" t="s">
        <v>1298</v>
      </c>
      <c r="C227" s="5" t="s">
        <v>1299</v>
      </c>
      <c r="D227" s="5" t="s">
        <v>1300</v>
      </c>
      <c r="E227" s="5" t="s">
        <v>1301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11" t="s">
        <v>46</v>
      </c>
      <c r="Q227" s="5">
        <v>185.74950000000001</v>
      </c>
      <c r="R227" s="5">
        <f t="shared" si="3"/>
        <v>185.74950000000001</v>
      </c>
      <c r="S227" s="5" t="s">
        <v>706</v>
      </c>
      <c r="T227" s="6">
        <v>224</v>
      </c>
      <c r="U227" s="246" t="s">
        <v>1302</v>
      </c>
      <c r="V227" s="232" t="s">
        <v>1299</v>
      </c>
      <c r="W227" s="232">
        <v>-11455.4</v>
      </c>
      <c r="X227" s="232">
        <v>5995.7</v>
      </c>
      <c r="Y227" s="233" t="s">
        <v>49</v>
      </c>
      <c r="Z227" s="87" t="s">
        <v>50</v>
      </c>
      <c r="AA227" s="233" t="s">
        <v>51</v>
      </c>
      <c r="AB227" s="233" t="s">
        <v>934</v>
      </c>
      <c r="AC227" s="233">
        <v>1</v>
      </c>
      <c r="AD227" s="233" t="s">
        <v>226</v>
      </c>
      <c r="AE227" s="234"/>
      <c r="AF227" s="234"/>
      <c r="AG227" s="234"/>
      <c r="AH227" s="233"/>
      <c r="AI227" s="233"/>
      <c r="AJ227" s="233" t="s">
        <v>1167</v>
      </c>
      <c r="AK227" s="233">
        <v>1500</v>
      </c>
      <c r="AL227" s="233"/>
      <c r="AM227" s="233"/>
      <c r="AN227" s="233"/>
      <c r="AO227" s="233"/>
      <c r="AP227" s="234"/>
      <c r="AQ227" s="234" t="s">
        <v>936</v>
      </c>
    </row>
    <row r="228" spans="1:43">
      <c r="A228" s="6">
        <v>225</v>
      </c>
      <c r="B228" s="21" t="s">
        <v>1303</v>
      </c>
      <c r="C228" s="5" t="s">
        <v>1304</v>
      </c>
      <c r="D228" s="5" t="s">
        <v>1305</v>
      </c>
      <c r="E228" s="5" t="s">
        <v>1306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11" t="s">
        <v>46</v>
      </c>
      <c r="Q228" s="5">
        <v>165.75810000000001</v>
      </c>
      <c r="R228" s="5">
        <f t="shared" si="3"/>
        <v>165.75810000000001</v>
      </c>
      <c r="S228" s="5" t="s">
        <v>60</v>
      </c>
      <c r="T228" s="6">
        <v>225</v>
      </c>
      <c r="U228" s="246" t="s">
        <v>1307</v>
      </c>
      <c r="V228" s="232" t="s">
        <v>1304</v>
      </c>
      <c r="W228" s="232">
        <v>-12915.4</v>
      </c>
      <c r="X228" s="232">
        <v>6265.2</v>
      </c>
      <c r="Y228" s="233" t="s">
        <v>49</v>
      </c>
      <c r="Z228" s="87" t="s">
        <v>50</v>
      </c>
      <c r="AA228" s="233" t="s">
        <v>51</v>
      </c>
      <c r="AB228" s="233" t="s">
        <v>934</v>
      </c>
      <c r="AC228" s="233">
        <v>1</v>
      </c>
      <c r="AD228" s="233" t="s">
        <v>226</v>
      </c>
      <c r="AE228" s="234"/>
      <c r="AF228" s="234"/>
      <c r="AG228" s="234"/>
      <c r="AH228" s="233"/>
      <c r="AI228" s="233"/>
      <c r="AJ228" s="233" t="s">
        <v>1167</v>
      </c>
      <c r="AK228" s="233">
        <v>1500</v>
      </c>
      <c r="AL228" s="233"/>
      <c r="AM228" s="233"/>
      <c r="AN228" s="233"/>
      <c r="AO228" s="233"/>
      <c r="AP228" s="234"/>
      <c r="AQ228" s="234" t="s">
        <v>936</v>
      </c>
    </row>
    <row r="229" spans="1:43">
      <c r="A229" s="6">
        <v>226</v>
      </c>
      <c r="B229" s="21" t="s">
        <v>1308</v>
      </c>
      <c r="C229" s="5" t="s">
        <v>1309</v>
      </c>
      <c r="D229" s="5" t="s">
        <v>1310</v>
      </c>
      <c r="E229" s="5" t="s">
        <v>1311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11" t="s">
        <v>46</v>
      </c>
      <c r="Q229" s="5">
        <v>170.5472</v>
      </c>
      <c r="R229" s="5">
        <f t="shared" si="3"/>
        <v>170.5472</v>
      </c>
      <c r="S229" s="5" t="s">
        <v>344</v>
      </c>
      <c r="T229" s="6">
        <v>226</v>
      </c>
      <c r="U229" s="246" t="s">
        <v>1312</v>
      </c>
      <c r="V229" s="232" t="s">
        <v>1309</v>
      </c>
      <c r="W229" s="232">
        <v>-10945.9</v>
      </c>
      <c r="X229" s="232">
        <v>5854.3</v>
      </c>
      <c r="Y229" s="233" t="s">
        <v>49</v>
      </c>
      <c r="Z229" s="87" t="s">
        <v>50</v>
      </c>
      <c r="AA229" s="233" t="s">
        <v>51</v>
      </c>
      <c r="AB229" s="233" t="s">
        <v>934</v>
      </c>
      <c r="AC229" s="233">
        <v>1</v>
      </c>
      <c r="AD229" s="233" t="s">
        <v>226</v>
      </c>
      <c r="AE229" s="234"/>
      <c r="AF229" s="234"/>
      <c r="AG229" s="234"/>
      <c r="AH229" s="233"/>
      <c r="AI229" s="233"/>
      <c r="AJ229" s="233" t="s">
        <v>1167</v>
      </c>
      <c r="AK229" s="233">
        <v>1500</v>
      </c>
      <c r="AL229" s="233"/>
      <c r="AM229" s="233"/>
      <c r="AN229" s="233"/>
      <c r="AO229" s="233"/>
      <c r="AP229" s="234"/>
      <c r="AQ229" s="234" t="s">
        <v>936</v>
      </c>
    </row>
    <row r="230" spans="1:43">
      <c r="A230" s="6">
        <v>227</v>
      </c>
      <c r="B230" s="21" t="s">
        <v>1313</v>
      </c>
      <c r="C230" s="5" t="s">
        <v>1314</v>
      </c>
      <c r="D230" s="5" t="s">
        <v>1315</v>
      </c>
      <c r="E230" s="5" t="s">
        <v>1316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11" t="s">
        <v>46</v>
      </c>
      <c r="Q230" s="5">
        <v>182.4742</v>
      </c>
      <c r="R230" s="5">
        <f t="shared" si="3"/>
        <v>182.4742</v>
      </c>
      <c r="S230" s="5" t="s">
        <v>706</v>
      </c>
      <c r="T230" s="6">
        <v>227</v>
      </c>
      <c r="U230" s="246" t="s">
        <v>1317</v>
      </c>
      <c r="V230" s="232" t="s">
        <v>1314</v>
      </c>
      <c r="W230" s="232">
        <v>-11697.7</v>
      </c>
      <c r="X230" s="232">
        <v>4471.3999999999996</v>
      </c>
      <c r="Y230" s="233" t="s">
        <v>49</v>
      </c>
      <c r="Z230" s="87" t="s">
        <v>50</v>
      </c>
      <c r="AA230" s="233" t="s">
        <v>51</v>
      </c>
      <c r="AB230" s="233" t="s">
        <v>934</v>
      </c>
      <c r="AC230" s="233">
        <v>1</v>
      </c>
      <c r="AD230" s="233" t="s">
        <v>226</v>
      </c>
      <c r="AE230" s="234"/>
      <c r="AF230" s="234"/>
      <c r="AG230" s="234"/>
      <c r="AH230" s="233"/>
      <c r="AI230" s="233"/>
      <c r="AJ230" s="233" t="s">
        <v>1167</v>
      </c>
      <c r="AK230" s="233">
        <v>1500</v>
      </c>
      <c r="AL230" s="233"/>
      <c r="AM230" s="233"/>
      <c r="AN230" s="233"/>
      <c r="AO230" s="233"/>
      <c r="AP230" s="234"/>
      <c r="AQ230" s="234" t="s">
        <v>936</v>
      </c>
    </row>
    <row r="231" spans="1:43">
      <c r="A231" s="6">
        <v>228</v>
      </c>
      <c r="B231" s="21" t="s">
        <v>1318</v>
      </c>
      <c r="C231" s="5" t="s">
        <v>1319</v>
      </c>
      <c r="D231" s="5" t="s">
        <v>1320</v>
      </c>
      <c r="E231" s="5" t="s">
        <v>1321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11" t="s">
        <v>46</v>
      </c>
      <c r="Q231" s="5">
        <v>184.21469999999999</v>
      </c>
      <c r="R231" s="5">
        <f t="shared" si="3"/>
        <v>184.21469999999999</v>
      </c>
      <c r="S231" s="5" t="s">
        <v>60</v>
      </c>
      <c r="T231" s="6">
        <v>228</v>
      </c>
      <c r="U231" s="246" t="s">
        <v>1322</v>
      </c>
      <c r="V231" s="232" t="s">
        <v>1319</v>
      </c>
      <c r="W231" s="232">
        <v>-12915.4</v>
      </c>
      <c r="X231" s="232">
        <v>4068.1</v>
      </c>
      <c r="Y231" s="233" t="s">
        <v>49</v>
      </c>
      <c r="Z231" s="87" t="s">
        <v>50</v>
      </c>
      <c r="AA231" s="233" t="s">
        <v>51</v>
      </c>
      <c r="AB231" s="233" t="s">
        <v>934</v>
      </c>
      <c r="AC231" s="233">
        <v>1</v>
      </c>
      <c r="AD231" s="233" t="s">
        <v>226</v>
      </c>
      <c r="AE231" s="234"/>
      <c r="AF231" s="234"/>
      <c r="AG231" s="234"/>
      <c r="AH231" s="233"/>
      <c r="AI231" s="233"/>
      <c r="AJ231" s="233" t="s">
        <v>1167</v>
      </c>
      <c r="AK231" s="233">
        <v>1500</v>
      </c>
      <c r="AL231" s="233"/>
      <c r="AM231" s="233"/>
      <c r="AN231" s="233"/>
      <c r="AO231" s="233"/>
      <c r="AP231" s="234"/>
      <c r="AQ231" s="234" t="s">
        <v>936</v>
      </c>
    </row>
    <row r="232" spans="1:43">
      <c r="A232" s="6">
        <v>229</v>
      </c>
      <c r="B232" s="21" t="s">
        <v>1323</v>
      </c>
      <c r="C232" s="5" t="s">
        <v>1324</v>
      </c>
      <c r="D232" s="5" t="s">
        <v>1325</v>
      </c>
      <c r="E232" s="5" t="s">
        <v>1326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11" t="s">
        <v>46</v>
      </c>
      <c r="Q232" s="5">
        <v>170.77199999999999</v>
      </c>
      <c r="R232" s="5">
        <f t="shared" si="3"/>
        <v>170.77199999999999</v>
      </c>
      <c r="S232" s="5" t="s">
        <v>706</v>
      </c>
      <c r="T232" s="6">
        <v>229</v>
      </c>
      <c r="U232" s="246" t="s">
        <v>1327</v>
      </c>
      <c r="V232" s="232" t="s">
        <v>1324</v>
      </c>
      <c r="W232" s="232">
        <v>-9665.7000000000007</v>
      </c>
      <c r="X232" s="232">
        <v>5133.3</v>
      </c>
      <c r="Y232" s="233" t="s">
        <v>49</v>
      </c>
      <c r="Z232" s="87" t="s">
        <v>50</v>
      </c>
      <c r="AA232" s="233" t="s">
        <v>51</v>
      </c>
      <c r="AB232" s="233" t="s">
        <v>934</v>
      </c>
      <c r="AC232" s="233">
        <v>1</v>
      </c>
      <c r="AD232" s="233" t="s">
        <v>226</v>
      </c>
      <c r="AE232" s="234"/>
      <c r="AF232" s="234"/>
      <c r="AG232" s="234"/>
      <c r="AH232" s="233"/>
      <c r="AI232" s="233"/>
      <c r="AJ232" s="233" t="s">
        <v>1167</v>
      </c>
      <c r="AK232" s="233">
        <v>1500</v>
      </c>
      <c r="AL232" s="233"/>
      <c r="AM232" s="233"/>
      <c r="AN232" s="233"/>
      <c r="AO232" s="233"/>
      <c r="AP232" s="234"/>
      <c r="AQ232" s="234" t="s">
        <v>936</v>
      </c>
    </row>
    <row r="233" spans="1:43">
      <c r="A233" s="6">
        <v>230</v>
      </c>
      <c r="B233" s="21" t="s">
        <v>1328</v>
      </c>
      <c r="C233" s="5" t="s">
        <v>1329</v>
      </c>
      <c r="D233" s="5" t="s">
        <v>1330</v>
      </c>
      <c r="E233" s="5" t="s">
        <v>1331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11" t="s">
        <v>46</v>
      </c>
      <c r="Q233" s="5">
        <v>179.25479999999999</v>
      </c>
      <c r="R233" s="5">
        <f t="shared" si="3"/>
        <v>179.25479999999999</v>
      </c>
      <c r="S233" s="5" t="s">
        <v>67</v>
      </c>
      <c r="T233" s="6">
        <v>230</v>
      </c>
      <c r="U233" s="246" t="s">
        <v>1332</v>
      </c>
      <c r="V233" s="232" t="s">
        <v>1329</v>
      </c>
      <c r="W233" s="232">
        <v>-10945.9</v>
      </c>
      <c r="X233" s="232">
        <v>7035.5</v>
      </c>
      <c r="Y233" s="233" t="s">
        <v>49</v>
      </c>
      <c r="Z233" s="87" t="s">
        <v>50</v>
      </c>
      <c r="AA233" s="233" t="s">
        <v>51</v>
      </c>
      <c r="AB233" s="233" t="s">
        <v>934</v>
      </c>
      <c r="AC233" s="233">
        <v>1</v>
      </c>
      <c r="AD233" s="233" t="s">
        <v>226</v>
      </c>
      <c r="AE233" s="234"/>
      <c r="AF233" s="234"/>
      <c r="AG233" s="234"/>
      <c r="AH233" s="233"/>
      <c r="AI233" s="233"/>
      <c r="AJ233" s="233" t="s">
        <v>1167</v>
      </c>
      <c r="AK233" s="233">
        <v>1500</v>
      </c>
      <c r="AL233" s="233"/>
      <c r="AM233" s="233"/>
      <c r="AN233" s="233"/>
      <c r="AO233" s="233"/>
      <c r="AP233" s="234"/>
      <c r="AQ233" s="234" t="s">
        <v>936</v>
      </c>
    </row>
    <row r="234" spans="1:43">
      <c r="A234" s="6">
        <v>231</v>
      </c>
      <c r="B234" s="21" t="s">
        <v>1333</v>
      </c>
      <c r="C234" s="5" t="s">
        <v>1334</v>
      </c>
      <c r="D234" s="5" t="s">
        <v>1335</v>
      </c>
      <c r="E234" s="5" t="s">
        <v>1336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11" t="s">
        <v>46</v>
      </c>
      <c r="Q234" s="5">
        <v>195.4487</v>
      </c>
      <c r="R234" s="5">
        <f t="shared" si="3"/>
        <v>195.4487</v>
      </c>
      <c r="S234" s="5" t="s">
        <v>395</v>
      </c>
      <c r="T234" s="6">
        <v>231</v>
      </c>
      <c r="U234" s="246" t="s">
        <v>1337</v>
      </c>
      <c r="V234" s="232" t="s">
        <v>1334</v>
      </c>
      <c r="W234" s="232">
        <v>-12159</v>
      </c>
      <c r="X234" s="232">
        <v>5080</v>
      </c>
      <c r="Y234" s="233" t="s">
        <v>49</v>
      </c>
      <c r="Z234" s="87" t="s">
        <v>50</v>
      </c>
      <c r="AA234" s="233" t="s">
        <v>51</v>
      </c>
      <c r="AB234" s="234"/>
      <c r="AC234" s="233">
        <v>1</v>
      </c>
      <c r="AD234" s="233" t="s">
        <v>226</v>
      </c>
      <c r="AE234" s="234"/>
      <c r="AF234" s="234"/>
      <c r="AG234" s="234"/>
      <c r="AH234" s="233"/>
      <c r="AI234" s="233"/>
      <c r="AJ234" s="233"/>
      <c r="AK234" s="233"/>
      <c r="AL234" s="233"/>
      <c r="AM234" s="233"/>
      <c r="AN234" s="233"/>
      <c r="AO234" s="233"/>
      <c r="AP234" s="234"/>
      <c r="AQ234" s="234" t="s">
        <v>333</v>
      </c>
    </row>
    <row r="235" spans="1:43">
      <c r="A235" s="6">
        <v>232</v>
      </c>
      <c r="B235" s="21" t="s">
        <v>1338</v>
      </c>
      <c r="C235" s="5" t="s">
        <v>1339</v>
      </c>
      <c r="D235" s="5" t="s">
        <v>1340</v>
      </c>
      <c r="E235" s="5" t="s">
        <v>1341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11" t="s">
        <v>46</v>
      </c>
      <c r="Q235" s="5">
        <v>173.26009999999999</v>
      </c>
      <c r="R235" s="5">
        <f t="shared" si="3"/>
        <v>173.26009999999999</v>
      </c>
      <c r="S235" s="5" t="s">
        <v>67</v>
      </c>
      <c r="T235" s="6">
        <v>232</v>
      </c>
      <c r="U235" s="246" t="s">
        <v>1342</v>
      </c>
      <c r="V235" s="232" t="s">
        <v>1339</v>
      </c>
      <c r="W235" s="232">
        <v>-11912.6</v>
      </c>
      <c r="X235" s="232">
        <v>6214.1</v>
      </c>
      <c r="Y235" s="233" t="s">
        <v>49</v>
      </c>
      <c r="Z235" s="87" t="s">
        <v>50</v>
      </c>
      <c r="AA235" s="233" t="s">
        <v>51</v>
      </c>
      <c r="AB235" s="233" t="s">
        <v>934</v>
      </c>
      <c r="AC235" s="233">
        <v>1</v>
      </c>
      <c r="AD235" s="233" t="s">
        <v>226</v>
      </c>
      <c r="AE235" s="234"/>
      <c r="AF235" s="234"/>
      <c r="AG235" s="234"/>
      <c r="AH235" s="233"/>
      <c r="AI235" s="233"/>
      <c r="AJ235" s="233"/>
      <c r="AK235" s="233"/>
      <c r="AL235" s="233"/>
      <c r="AM235" s="233"/>
      <c r="AN235" s="233"/>
      <c r="AO235" s="233"/>
      <c r="AP235" s="234"/>
      <c r="AQ235" s="234" t="s">
        <v>936</v>
      </c>
    </row>
    <row r="236" spans="1:43">
      <c r="A236" s="6">
        <v>233</v>
      </c>
      <c r="B236" s="21" t="s">
        <v>1343</v>
      </c>
      <c r="C236" s="5" t="s">
        <v>1344</v>
      </c>
      <c r="D236" s="5" t="s">
        <v>1345</v>
      </c>
      <c r="E236" s="5" t="s">
        <v>1346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11" t="s">
        <v>46</v>
      </c>
      <c r="Q236" s="5">
        <v>137.17699999999999</v>
      </c>
      <c r="R236" s="5">
        <f t="shared" si="3"/>
        <v>137.17699999999999</v>
      </c>
      <c r="S236" s="5" t="s">
        <v>47</v>
      </c>
      <c r="T236" s="6">
        <v>233</v>
      </c>
      <c r="U236" s="246" t="s">
        <v>1347</v>
      </c>
      <c r="V236" s="232" t="s">
        <v>1344</v>
      </c>
      <c r="W236" s="232">
        <v>-11912.6</v>
      </c>
      <c r="X236" s="232">
        <v>4017</v>
      </c>
      <c r="Y236" s="233" t="s">
        <v>49</v>
      </c>
      <c r="Z236" s="87" t="s">
        <v>50</v>
      </c>
      <c r="AA236" s="233" t="s">
        <v>51</v>
      </c>
      <c r="AB236" s="234"/>
      <c r="AC236" s="233">
        <v>1</v>
      </c>
      <c r="AD236" s="233" t="s">
        <v>226</v>
      </c>
      <c r="AE236" s="234"/>
      <c r="AF236" s="234"/>
      <c r="AG236" s="234"/>
      <c r="AH236" s="233"/>
      <c r="AI236" s="233"/>
      <c r="AJ236" s="233"/>
      <c r="AK236" s="233"/>
      <c r="AL236" s="233"/>
      <c r="AM236" s="233"/>
      <c r="AN236" s="233"/>
      <c r="AO236" s="233"/>
      <c r="AP236" s="234"/>
      <c r="AQ236" s="234" t="s">
        <v>333</v>
      </c>
    </row>
    <row r="237" spans="1:43">
      <c r="A237" s="6">
        <v>234</v>
      </c>
      <c r="B237" s="21" t="s">
        <v>1348</v>
      </c>
      <c r="C237" s="5" t="s">
        <v>1349</v>
      </c>
      <c r="D237" s="5" t="s">
        <v>1350</v>
      </c>
      <c r="E237" s="5" t="s">
        <v>1351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11" t="s">
        <v>46</v>
      </c>
      <c r="Q237" s="5">
        <v>104.2149</v>
      </c>
      <c r="R237" s="5">
        <f t="shared" si="3"/>
        <v>104.2149</v>
      </c>
      <c r="S237" s="5" t="s">
        <v>60</v>
      </c>
      <c r="T237" s="6">
        <v>234</v>
      </c>
      <c r="U237" s="246" t="s">
        <v>1352</v>
      </c>
      <c r="V237" s="232" t="s">
        <v>1349</v>
      </c>
      <c r="W237" s="232">
        <v>-7674.8</v>
      </c>
      <c r="X237" s="232">
        <v>4325.8999999999996</v>
      </c>
      <c r="Y237" s="233" t="s">
        <v>49</v>
      </c>
      <c r="Z237" s="87" t="s">
        <v>50</v>
      </c>
      <c r="AA237" s="233" t="s">
        <v>51</v>
      </c>
      <c r="AB237" s="234"/>
      <c r="AC237" s="233">
        <v>1</v>
      </c>
      <c r="AD237" s="233" t="s">
        <v>226</v>
      </c>
      <c r="AE237" s="234"/>
      <c r="AF237" s="234"/>
      <c r="AG237" s="234"/>
      <c r="AH237" s="233"/>
      <c r="AI237" s="233"/>
      <c r="AJ237" s="233"/>
      <c r="AK237" s="233"/>
      <c r="AL237" s="233"/>
      <c r="AM237" s="233"/>
      <c r="AN237" s="233"/>
      <c r="AO237" s="233"/>
      <c r="AP237" s="234"/>
      <c r="AQ237" s="234" t="s">
        <v>333</v>
      </c>
    </row>
    <row r="238" spans="1:43">
      <c r="A238" s="6">
        <v>235</v>
      </c>
      <c r="B238" s="21" t="s">
        <v>1353</v>
      </c>
      <c r="C238" s="5" t="s">
        <v>1354</v>
      </c>
      <c r="D238" s="5" t="s">
        <v>1355</v>
      </c>
      <c r="E238" s="5" t="s">
        <v>1356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11" t="s">
        <v>46</v>
      </c>
      <c r="Q238" s="5">
        <v>208.02799999999999</v>
      </c>
      <c r="R238" s="5">
        <f t="shared" si="3"/>
        <v>208.02799999999999</v>
      </c>
      <c r="S238" s="5" t="s">
        <v>395</v>
      </c>
      <c r="T238" s="6">
        <v>235</v>
      </c>
      <c r="U238" s="246" t="s">
        <v>1357</v>
      </c>
      <c r="V238" s="232" t="s">
        <v>1354</v>
      </c>
      <c r="W238" s="232">
        <v>-11455.4</v>
      </c>
      <c r="X238" s="232">
        <v>3798.6</v>
      </c>
      <c r="Y238" s="233" t="s">
        <v>49</v>
      </c>
      <c r="Z238" s="87" t="s">
        <v>50</v>
      </c>
      <c r="AA238" s="233" t="s">
        <v>51</v>
      </c>
      <c r="AB238" s="234"/>
      <c r="AC238" s="233">
        <v>1</v>
      </c>
      <c r="AD238" s="233" t="s">
        <v>226</v>
      </c>
      <c r="AE238" s="234"/>
      <c r="AF238" s="234"/>
      <c r="AG238" s="234"/>
      <c r="AH238" s="233"/>
      <c r="AI238" s="233"/>
      <c r="AJ238" s="233"/>
      <c r="AK238" s="233"/>
      <c r="AL238" s="233"/>
      <c r="AM238" s="233"/>
      <c r="AN238" s="233"/>
      <c r="AO238" s="233"/>
      <c r="AP238" s="234"/>
      <c r="AQ238" s="234" t="s">
        <v>333</v>
      </c>
    </row>
    <row r="239" spans="1:43">
      <c r="A239" s="6">
        <v>236</v>
      </c>
      <c r="B239" s="21" t="s">
        <v>1358</v>
      </c>
      <c r="C239" s="5" t="s">
        <v>1359</v>
      </c>
      <c r="D239" s="5" t="s">
        <v>1360</v>
      </c>
      <c r="E239" s="5" t="s">
        <v>1361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11" t="s">
        <v>46</v>
      </c>
      <c r="Q239" s="5">
        <v>102.50749999999999</v>
      </c>
      <c r="R239" s="5">
        <f t="shared" si="3"/>
        <v>102.50749999999999</v>
      </c>
      <c r="S239" s="5" t="s">
        <v>60</v>
      </c>
      <c r="T239" s="6">
        <v>236</v>
      </c>
      <c r="U239" s="246" t="s">
        <v>1362</v>
      </c>
      <c r="V239" s="232" t="s">
        <v>1359</v>
      </c>
      <c r="W239" s="232">
        <v>-8983.5</v>
      </c>
      <c r="X239" s="232">
        <v>4897.1000000000004</v>
      </c>
      <c r="Y239" s="233" t="s">
        <v>49</v>
      </c>
      <c r="Z239" s="87" t="s">
        <v>50</v>
      </c>
      <c r="AA239" s="233" t="s">
        <v>51</v>
      </c>
      <c r="AB239" s="234"/>
      <c r="AC239" s="233">
        <v>1</v>
      </c>
      <c r="AD239" s="233" t="s">
        <v>226</v>
      </c>
      <c r="AE239" s="234"/>
      <c r="AF239" s="234"/>
      <c r="AG239" s="234"/>
      <c r="AH239" s="233"/>
      <c r="AI239" s="233"/>
      <c r="AJ239" s="233"/>
      <c r="AK239" s="233"/>
      <c r="AL239" s="233"/>
      <c r="AM239" s="233"/>
      <c r="AN239" s="233"/>
      <c r="AO239" s="233"/>
      <c r="AP239" s="234"/>
      <c r="AQ239" s="234" t="s">
        <v>333</v>
      </c>
    </row>
    <row r="240" spans="1:43">
      <c r="A240" s="6">
        <v>237</v>
      </c>
      <c r="B240" s="21" t="s">
        <v>1363</v>
      </c>
      <c r="C240" s="5" t="s">
        <v>1364</v>
      </c>
      <c r="D240" s="5" t="s">
        <v>1365</v>
      </c>
      <c r="E240" s="5" t="s">
        <v>1366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11" t="s">
        <v>46</v>
      </c>
      <c r="Q240" s="5">
        <v>102.8171</v>
      </c>
      <c r="R240" s="5">
        <f t="shared" si="3"/>
        <v>102.8171</v>
      </c>
      <c r="S240" s="5" t="s">
        <v>60</v>
      </c>
      <c r="T240" s="6">
        <v>237</v>
      </c>
      <c r="U240" s="246" t="s">
        <v>1367</v>
      </c>
      <c r="V240" s="232" t="s">
        <v>1364</v>
      </c>
      <c r="W240" s="232">
        <v>-8272.2999999999993</v>
      </c>
      <c r="X240" s="232">
        <v>3258.8</v>
      </c>
      <c r="Y240" s="233" t="s">
        <v>49</v>
      </c>
      <c r="Z240" s="87" t="s">
        <v>50</v>
      </c>
      <c r="AA240" s="233" t="s">
        <v>51</v>
      </c>
      <c r="AB240" s="234"/>
      <c r="AC240" s="233">
        <v>1</v>
      </c>
      <c r="AD240" s="233" t="s">
        <v>226</v>
      </c>
      <c r="AE240" s="234"/>
      <c r="AF240" s="234"/>
      <c r="AG240" s="234"/>
      <c r="AH240" s="233"/>
      <c r="AI240" s="233"/>
      <c r="AJ240" s="233"/>
      <c r="AK240" s="233"/>
      <c r="AL240" s="233"/>
      <c r="AM240" s="233"/>
      <c r="AN240" s="233"/>
      <c r="AO240" s="233"/>
      <c r="AP240" s="234"/>
      <c r="AQ240" s="234" t="s">
        <v>333</v>
      </c>
    </row>
    <row r="241" spans="1:43">
      <c r="A241" s="6">
        <v>238</v>
      </c>
      <c r="B241" s="21" t="s">
        <v>1368</v>
      </c>
      <c r="C241" s="5" t="s">
        <v>1369</v>
      </c>
      <c r="D241" s="5" t="s">
        <v>1370</v>
      </c>
      <c r="E241" s="5" t="s">
        <v>1371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11" t="s">
        <v>46</v>
      </c>
      <c r="Q241" s="5">
        <v>143.3931</v>
      </c>
      <c r="R241" s="5">
        <f t="shared" si="3"/>
        <v>143.3931</v>
      </c>
      <c r="S241" s="5" t="s">
        <v>47</v>
      </c>
      <c r="T241" s="6">
        <v>238</v>
      </c>
      <c r="U241" s="246" t="s">
        <v>1372</v>
      </c>
      <c r="V241" s="232" t="s">
        <v>1369</v>
      </c>
      <c r="W241" s="232">
        <v>-9665.7000000000007</v>
      </c>
      <c r="X241" s="232">
        <v>3495</v>
      </c>
      <c r="Y241" s="233" t="s">
        <v>49</v>
      </c>
      <c r="Z241" s="87" t="s">
        <v>50</v>
      </c>
      <c r="AA241" s="233" t="s">
        <v>51</v>
      </c>
      <c r="AB241" s="234"/>
      <c r="AC241" s="233">
        <v>1</v>
      </c>
      <c r="AD241" s="233" t="s">
        <v>226</v>
      </c>
      <c r="AE241" s="234"/>
      <c r="AF241" s="234"/>
      <c r="AG241" s="234"/>
      <c r="AH241" s="233"/>
      <c r="AI241" s="233"/>
      <c r="AJ241" s="233"/>
      <c r="AK241" s="233"/>
      <c r="AL241" s="233"/>
      <c r="AM241" s="233"/>
      <c r="AN241" s="233"/>
      <c r="AO241" s="233"/>
      <c r="AP241" s="234"/>
      <c r="AQ241" s="234" t="s">
        <v>333</v>
      </c>
    </row>
    <row r="242" spans="1:43">
      <c r="A242" s="6">
        <v>239</v>
      </c>
      <c r="B242" s="21" t="s">
        <v>1373</v>
      </c>
      <c r="C242" s="5" t="s">
        <v>1374</v>
      </c>
      <c r="D242" s="5" t="s">
        <v>1375</v>
      </c>
      <c r="E242" s="5" t="s">
        <v>1376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11" t="s">
        <v>46</v>
      </c>
      <c r="Q242" s="5">
        <v>237.3502</v>
      </c>
      <c r="R242" s="5">
        <f t="shared" si="3"/>
        <v>237.3502</v>
      </c>
      <c r="S242" s="5" t="s">
        <v>685</v>
      </c>
      <c r="T242" s="6">
        <v>239</v>
      </c>
      <c r="U242" s="246" t="s">
        <v>1377</v>
      </c>
      <c r="V242" s="232" t="s">
        <v>1374</v>
      </c>
      <c r="W242" s="232">
        <v>-10289.299999999999</v>
      </c>
      <c r="X242" s="232">
        <v>5521.3</v>
      </c>
      <c r="Y242" s="233" t="s">
        <v>49</v>
      </c>
      <c r="Z242" s="87" t="s">
        <v>50</v>
      </c>
      <c r="AA242" s="233" t="s">
        <v>51</v>
      </c>
      <c r="AB242" s="234"/>
      <c r="AC242" s="233">
        <v>1</v>
      </c>
      <c r="AD242" s="233" t="s">
        <v>226</v>
      </c>
      <c r="AE242" s="234"/>
      <c r="AF242" s="234"/>
      <c r="AG242" s="234"/>
      <c r="AH242" s="233"/>
      <c r="AI242" s="233"/>
      <c r="AJ242" s="233"/>
      <c r="AK242" s="233"/>
      <c r="AL242" s="233"/>
      <c r="AM242" s="233"/>
      <c r="AN242" s="233"/>
      <c r="AO242" s="233"/>
      <c r="AP242" s="234"/>
      <c r="AQ242" s="234" t="s">
        <v>333</v>
      </c>
    </row>
    <row r="243" spans="1:43">
      <c r="A243" s="6">
        <v>240</v>
      </c>
      <c r="B243" s="21" t="s">
        <v>1378</v>
      </c>
      <c r="C243" s="5" t="s">
        <v>1379</v>
      </c>
      <c r="D243" s="5" t="s">
        <v>1380</v>
      </c>
      <c r="E243" s="5" t="s">
        <v>1381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11" t="s">
        <v>46</v>
      </c>
      <c r="Q243" s="5">
        <v>170.01509999999999</v>
      </c>
      <c r="R243" s="5">
        <f t="shared" si="3"/>
        <v>170.01509999999999</v>
      </c>
      <c r="S243" s="5" t="s">
        <v>74</v>
      </c>
      <c r="T243" s="6">
        <v>240</v>
      </c>
      <c r="U243" s="246" t="s">
        <v>1382</v>
      </c>
      <c r="V243" s="232" t="s">
        <v>1379</v>
      </c>
      <c r="W243" s="232">
        <v>-12702.5</v>
      </c>
      <c r="X243" s="232">
        <v>4926.3</v>
      </c>
      <c r="Y243" s="233" t="s">
        <v>49</v>
      </c>
      <c r="Z243" s="87" t="s">
        <v>50</v>
      </c>
      <c r="AA243" s="233" t="s">
        <v>51</v>
      </c>
      <c r="AB243" s="233" t="s">
        <v>934</v>
      </c>
      <c r="AC243" s="233">
        <v>1</v>
      </c>
      <c r="AD243" s="233" t="s">
        <v>226</v>
      </c>
      <c r="AE243" s="234"/>
      <c r="AF243" s="234"/>
      <c r="AG243" s="234"/>
      <c r="AH243" s="233"/>
      <c r="AI243" s="233"/>
      <c r="AJ243" s="233" t="s">
        <v>1167</v>
      </c>
      <c r="AK243" s="233">
        <v>1500</v>
      </c>
      <c r="AL243" s="233"/>
      <c r="AM243" s="233"/>
      <c r="AN243" s="233"/>
      <c r="AO243" s="233"/>
      <c r="AP243" s="234"/>
      <c r="AQ243" s="234" t="s">
        <v>936</v>
      </c>
    </row>
    <row r="244" spans="1:43">
      <c r="A244" s="6">
        <v>241</v>
      </c>
      <c r="B244" s="21" t="s">
        <v>1383</v>
      </c>
      <c r="C244" s="5" t="s">
        <v>1384</v>
      </c>
      <c r="D244" s="5" t="s">
        <v>1385</v>
      </c>
      <c r="E244" s="5" t="s">
        <v>1386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11" t="s">
        <v>46</v>
      </c>
      <c r="Q244" s="5">
        <v>175.8262</v>
      </c>
      <c r="R244" s="5">
        <f t="shared" si="3"/>
        <v>175.8262</v>
      </c>
      <c r="S244" s="5" t="s">
        <v>67</v>
      </c>
      <c r="T244" s="6">
        <v>241</v>
      </c>
      <c r="U244" s="246" t="s">
        <v>1387</v>
      </c>
      <c r="V244" s="232" t="s">
        <v>1384</v>
      </c>
      <c r="W244" s="232">
        <v>-12217.9</v>
      </c>
      <c r="X244" s="232">
        <v>4563.3999999999996</v>
      </c>
      <c r="Y244" s="233" t="s">
        <v>49</v>
      </c>
      <c r="Z244" s="87" t="s">
        <v>50</v>
      </c>
      <c r="AA244" s="233" t="s">
        <v>51</v>
      </c>
      <c r="AB244" s="233" t="s">
        <v>934</v>
      </c>
      <c r="AC244" s="233">
        <v>1</v>
      </c>
      <c r="AD244" s="233" t="s">
        <v>226</v>
      </c>
      <c r="AE244" s="234"/>
      <c r="AF244" s="234"/>
      <c r="AG244" s="234"/>
      <c r="AH244" s="233"/>
      <c r="AI244" s="233"/>
      <c r="AJ244" s="233" t="s">
        <v>1167</v>
      </c>
      <c r="AK244" s="233">
        <v>1500</v>
      </c>
      <c r="AL244" s="233"/>
      <c r="AM244" s="233"/>
      <c r="AN244" s="233"/>
      <c r="AO244" s="233"/>
      <c r="AP244" s="234"/>
      <c r="AQ244" s="234" t="s">
        <v>936</v>
      </c>
    </row>
    <row r="245" spans="1:43">
      <c r="A245" s="6">
        <v>242</v>
      </c>
      <c r="B245" s="21" t="s">
        <v>1388</v>
      </c>
      <c r="C245" s="5" t="s">
        <v>1389</v>
      </c>
      <c r="D245" s="5" t="s">
        <v>1390</v>
      </c>
      <c r="E245" s="5" t="s">
        <v>1391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11" t="s">
        <v>46</v>
      </c>
      <c r="Q245" s="5">
        <v>173.7852</v>
      </c>
      <c r="R245" s="5">
        <f t="shared" si="3"/>
        <v>173.7852</v>
      </c>
      <c r="S245" s="5" t="s">
        <v>74</v>
      </c>
      <c r="T245" s="6">
        <v>242</v>
      </c>
      <c r="U245" s="246" t="s">
        <v>1392</v>
      </c>
      <c r="V245" s="232" t="s">
        <v>1389</v>
      </c>
      <c r="W245" s="232">
        <v>-12285.7</v>
      </c>
      <c r="X245" s="232">
        <v>5587</v>
      </c>
      <c r="Y245" s="233" t="s">
        <v>49</v>
      </c>
      <c r="Z245" s="87" t="s">
        <v>50</v>
      </c>
      <c r="AA245" s="233" t="s">
        <v>51</v>
      </c>
      <c r="AB245" s="233" t="s">
        <v>934</v>
      </c>
      <c r="AC245" s="233">
        <v>1</v>
      </c>
      <c r="AD245" s="233" t="s">
        <v>226</v>
      </c>
      <c r="AE245" s="234"/>
      <c r="AF245" s="234"/>
      <c r="AG245" s="234"/>
      <c r="AH245" s="233"/>
      <c r="AI245" s="233"/>
      <c r="AJ245" s="233" t="s">
        <v>1167</v>
      </c>
      <c r="AK245" s="233">
        <v>1500</v>
      </c>
      <c r="AL245" s="233"/>
      <c r="AM245" s="233"/>
      <c r="AN245" s="233"/>
      <c r="AO245" s="233"/>
      <c r="AP245" s="234"/>
      <c r="AQ245" s="234" t="s">
        <v>936</v>
      </c>
    </row>
    <row r="246" spans="1:43">
      <c r="A246" s="6">
        <v>243</v>
      </c>
      <c r="B246" s="21" t="s">
        <v>1393</v>
      </c>
      <c r="C246" s="5" t="s">
        <v>1394</v>
      </c>
      <c r="D246" s="5" t="s">
        <v>1395</v>
      </c>
      <c r="E246" s="5" t="s">
        <v>1396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11" t="s">
        <v>46</v>
      </c>
      <c r="Q246" s="5">
        <v>186.1283</v>
      </c>
      <c r="R246" s="5">
        <f t="shared" si="3"/>
        <v>186.1283</v>
      </c>
      <c r="S246" s="5" t="s">
        <v>344</v>
      </c>
      <c r="T246" s="6">
        <v>243</v>
      </c>
      <c r="U246" s="247" t="s">
        <v>1397</v>
      </c>
      <c r="V246" s="232" t="s">
        <v>1394</v>
      </c>
      <c r="W246" s="232">
        <v>-8983.5</v>
      </c>
      <c r="X246" s="232">
        <v>3258.8</v>
      </c>
      <c r="Y246" s="233" t="s">
        <v>49</v>
      </c>
      <c r="Z246" s="87" t="s">
        <v>50</v>
      </c>
      <c r="AA246" s="233" t="s">
        <v>51</v>
      </c>
      <c r="AB246" s="233" t="s">
        <v>934</v>
      </c>
      <c r="AC246" s="233">
        <v>1</v>
      </c>
      <c r="AD246" s="233" t="s">
        <v>226</v>
      </c>
      <c r="AE246" s="234"/>
      <c r="AF246" s="234"/>
      <c r="AG246" s="234"/>
      <c r="AH246" s="233"/>
      <c r="AI246" s="233"/>
      <c r="AJ246" s="233" t="s">
        <v>935</v>
      </c>
      <c r="AK246" s="233">
        <v>1500</v>
      </c>
      <c r="AL246" s="233"/>
      <c r="AM246" s="233"/>
      <c r="AN246" s="233"/>
      <c r="AO246" s="233"/>
      <c r="AP246" s="234"/>
      <c r="AQ246" s="234" t="s">
        <v>936</v>
      </c>
    </row>
    <row r="247" spans="1:43">
      <c r="A247" s="6">
        <v>244</v>
      </c>
      <c r="B247" s="21" t="s">
        <v>1398</v>
      </c>
      <c r="C247" s="5" t="s">
        <v>1399</v>
      </c>
      <c r="D247" s="5" t="s">
        <v>1400</v>
      </c>
      <c r="E247" s="5" t="s">
        <v>1401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11" t="s">
        <v>46</v>
      </c>
      <c r="Q247" s="5">
        <v>196.99379999999999</v>
      </c>
      <c r="R247" s="5">
        <f t="shared" si="3"/>
        <v>196.99379999999999</v>
      </c>
      <c r="S247" s="5" t="s">
        <v>74</v>
      </c>
      <c r="T247" s="6">
        <v>244</v>
      </c>
      <c r="U247" s="247" t="s">
        <v>1402</v>
      </c>
      <c r="V247" s="232" t="s">
        <v>1399</v>
      </c>
      <c r="W247" s="232">
        <v>-7674.8</v>
      </c>
      <c r="X247" s="232">
        <v>3335.2</v>
      </c>
      <c r="Y247" s="233" t="s">
        <v>49</v>
      </c>
      <c r="Z247" s="87" t="s">
        <v>50</v>
      </c>
      <c r="AA247" s="233" t="s">
        <v>51</v>
      </c>
      <c r="AB247" s="233" t="s">
        <v>934</v>
      </c>
      <c r="AC247" s="233">
        <v>1</v>
      </c>
      <c r="AD247" s="233" t="s">
        <v>226</v>
      </c>
      <c r="AE247" s="234"/>
      <c r="AF247" s="234"/>
      <c r="AG247" s="234"/>
      <c r="AH247" s="233"/>
      <c r="AI247" s="233"/>
      <c r="AJ247" s="233" t="s">
        <v>935</v>
      </c>
      <c r="AK247" s="233">
        <v>1500</v>
      </c>
      <c r="AL247" s="233"/>
      <c r="AM247" s="233"/>
      <c r="AN247" s="233"/>
      <c r="AO247" s="233"/>
      <c r="AP247" s="234"/>
      <c r="AQ247" s="234" t="s">
        <v>936</v>
      </c>
    </row>
    <row r="248" spans="1:43">
      <c r="A248" s="6">
        <v>245</v>
      </c>
      <c r="B248" s="21" t="s">
        <v>1403</v>
      </c>
      <c r="C248" s="5" t="s">
        <v>1404</v>
      </c>
      <c r="D248" s="5" t="s">
        <v>1405</v>
      </c>
      <c r="E248" s="5" t="s">
        <v>1406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11" t="s">
        <v>46</v>
      </c>
      <c r="Q248" s="5">
        <v>200.90979999999999</v>
      </c>
      <c r="R248" s="5">
        <f t="shared" si="3"/>
        <v>200.90979999999999</v>
      </c>
      <c r="S248" s="5" t="s">
        <v>706</v>
      </c>
      <c r="T248" s="6">
        <v>245</v>
      </c>
      <c r="U248" s="247" t="s">
        <v>1407</v>
      </c>
      <c r="V248" s="232" t="s">
        <v>1404</v>
      </c>
      <c r="W248" s="232">
        <v>-11697.7</v>
      </c>
      <c r="X248" s="232">
        <v>2274.3000000000002</v>
      </c>
      <c r="Y248" s="233" t="s">
        <v>49</v>
      </c>
      <c r="Z248" s="87" t="s">
        <v>50</v>
      </c>
      <c r="AA248" s="233" t="s">
        <v>51</v>
      </c>
      <c r="AB248" s="233" t="s">
        <v>934</v>
      </c>
      <c r="AC248" s="233">
        <v>1</v>
      </c>
      <c r="AD248" s="233" t="s">
        <v>226</v>
      </c>
      <c r="AE248" s="234"/>
      <c r="AF248" s="234"/>
      <c r="AG248" s="234"/>
      <c r="AH248" s="233"/>
      <c r="AI248" s="233"/>
      <c r="AJ248" s="233" t="s">
        <v>935</v>
      </c>
      <c r="AK248" s="233">
        <v>1500</v>
      </c>
      <c r="AL248" s="233"/>
      <c r="AM248" s="233"/>
      <c r="AN248" s="233"/>
      <c r="AO248" s="233"/>
      <c r="AP248" s="234"/>
      <c r="AQ248" s="234" t="s">
        <v>936</v>
      </c>
    </row>
    <row r="249" spans="1:43">
      <c r="A249" s="6">
        <v>246</v>
      </c>
      <c r="B249" s="21" t="s">
        <v>1408</v>
      </c>
      <c r="C249" s="5" t="s">
        <v>1409</v>
      </c>
      <c r="D249" s="5" t="s">
        <v>1410</v>
      </c>
      <c r="E249" s="5" t="s">
        <v>1411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11" t="s">
        <v>46</v>
      </c>
      <c r="Q249" s="5">
        <v>186.55269999999999</v>
      </c>
      <c r="R249" s="5">
        <f t="shared" si="3"/>
        <v>186.55269999999999</v>
      </c>
      <c r="S249" s="5" t="s">
        <v>338</v>
      </c>
      <c r="T249" s="6">
        <v>246</v>
      </c>
      <c r="U249" s="247" t="s">
        <v>1412</v>
      </c>
      <c r="V249" s="232" t="s">
        <v>1409</v>
      </c>
      <c r="W249" s="232">
        <v>-12413</v>
      </c>
      <c r="X249" s="232">
        <v>1901.2</v>
      </c>
      <c r="Y249" s="233" t="s">
        <v>49</v>
      </c>
      <c r="Z249" s="87" t="s">
        <v>50</v>
      </c>
      <c r="AA249" s="233" t="s">
        <v>51</v>
      </c>
      <c r="AB249" s="233" t="s">
        <v>934</v>
      </c>
      <c r="AC249" s="233">
        <v>1</v>
      </c>
      <c r="AD249" s="233" t="s">
        <v>226</v>
      </c>
      <c r="AE249" s="234"/>
      <c r="AF249" s="234"/>
      <c r="AG249" s="234"/>
      <c r="AH249" s="233"/>
      <c r="AI249" s="233"/>
      <c r="AJ249" s="233" t="s">
        <v>935</v>
      </c>
      <c r="AK249" s="233">
        <v>1500</v>
      </c>
      <c r="AL249" s="233"/>
      <c r="AM249" s="233"/>
      <c r="AN249" s="233"/>
      <c r="AO249" s="233"/>
      <c r="AP249" s="234"/>
      <c r="AQ249" s="234" t="s">
        <v>936</v>
      </c>
    </row>
    <row r="250" spans="1:43">
      <c r="A250" s="6">
        <v>247</v>
      </c>
      <c r="B250" s="21" t="s">
        <v>1413</v>
      </c>
      <c r="C250" s="5" t="s">
        <v>1414</v>
      </c>
      <c r="D250" s="5" t="s">
        <v>1415</v>
      </c>
      <c r="E250" s="5" t="s">
        <v>1416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11" t="s">
        <v>46</v>
      </c>
      <c r="Q250" s="5">
        <v>185.98349999999999</v>
      </c>
      <c r="R250" s="5">
        <f t="shared" si="3"/>
        <v>185.98349999999999</v>
      </c>
      <c r="S250" s="5" t="s">
        <v>60</v>
      </c>
      <c r="T250" s="6">
        <v>247</v>
      </c>
      <c r="U250" s="247" t="s">
        <v>1417</v>
      </c>
      <c r="V250" s="232" t="s">
        <v>1414</v>
      </c>
      <c r="W250" s="232">
        <v>-12915.4</v>
      </c>
      <c r="X250" s="232">
        <v>1871</v>
      </c>
      <c r="Y250" s="233" t="s">
        <v>49</v>
      </c>
      <c r="Z250" s="87" t="s">
        <v>50</v>
      </c>
      <c r="AA250" s="233" t="s">
        <v>51</v>
      </c>
      <c r="AB250" s="233" t="s">
        <v>934</v>
      </c>
      <c r="AC250" s="233">
        <v>1</v>
      </c>
      <c r="AD250" s="233" t="s">
        <v>226</v>
      </c>
      <c r="AE250" s="234"/>
      <c r="AF250" s="234"/>
      <c r="AG250" s="234"/>
      <c r="AH250" s="233"/>
      <c r="AI250" s="233"/>
      <c r="AJ250" s="233" t="s">
        <v>935</v>
      </c>
      <c r="AK250" s="233">
        <v>1500</v>
      </c>
      <c r="AL250" s="233"/>
      <c r="AM250" s="233"/>
      <c r="AN250" s="233"/>
      <c r="AO250" s="233"/>
      <c r="AP250" s="234"/>
      <c r="AQ250" s="234" t="s">
        <v>936</v>
      </c>
    </row>
    <row r="251" spans="1:43">
      <c r="A251" s="6">
        <v>248</v>
      </c>
      <c r="B251" s="21" t="s">
        <v>1418</v>
      </c>
      <c r="C251" s="5" t="s">
        <v>1419</v>
      </c>
      <c r="D251" s="5" t="s">
        <v>1420</v>
      </c>
      <c r="E251" s="5" t="s">
        <v>1421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11" t="s">
        <v>46</v>
      </c>
      <c r="Q251" s="5">
        <v>186.99760000000001</v>
      </c>
      <c r="R251" s="5">
        <f t="shared" si="3"/>
        <v>186.99760000000001</v>
      </c>
      <c r="S251" s="5" t="s">
        <v>344</v>
      </c>
      <c r="T251" s="6">
        <v>248</v>
      </c>
      <c r="U251" s="247" t="s">
        <v>1422</v>
      </c>
      <c r="V251" s="232" t="s">
        <v>1419</v>
      </c>
      <c r="W251" s="232">
        <v>-11912.6</v>
      </c>
      <c r="X251" s="232">
        <v>1819.9</v>
      </c>
      <c r="Y251" s="233" t="s">
        <v>49</v>
      </c>
      <c r="Z251" s="87" t="s">
        <v>50</v>
      </c>
      <c r="AA251" s="233" t="s">
        <v>51</v>
      </c>
      <c r="AB251" s="233" t="s">
        <v>934</v>
      </c>
      <c r="AC251" s="233">
        <v>1</v>
      </c>
      <c r="AD251" s="233" t="s">
        <v>226</v>
      </c>
      <c r="AE251" s="234"/>
      <c r="AF251" s="234"/>
      <c r="AG251" s="234"/>
      <c r="AH251" s="233"/>
      <c r="AI251" s="233"/>
      <c r="AJ251" s="233" t="s">
        <v>935</v>
      </c>
      <c r="AK251" s="233">
        <v>1500</v>
      </c>
      <c r="AL251" s="233"/>
      <c r="AM251" s="233"/>
      <c r="AN251" s="233"/>
      <c r="AO251" s="233"/>
      <c r="AP251" s="234"/>
      <c r="AQ251" s="234" t="s">
        <v>936</v>
      </c>
    </row>
    <row r="252" spans="1:43">
      <c r="A252" s="6">
        <v>249</v>
      </c>
      <c r="B252" s="21" t="s">
        <v>1423</v>
      </c>
      <c r="C252" s="5" t="s">
        <v>1424</v>
      </c>
      <c r="D252" s="5" t="s">
        <v>1425</v>
      </c>
      <c r="E252" s="5" t="s">
        <v>1426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11" t="s">
        <v>46</v>
      </c>
      <c r="Q252" s="5">
        <v>189.37569999999999</v>
      </c>
      <c r="R252" s="5">
        <f t="shared" si="3"/>
        <v>189.37569999999999</v>
      </c>
      <c r="S252" s="5" t="s">
        <v>338</v>
      </c>
      <c r="T252" s="6">
        <v>249</v>
      </c>
      <c r="U252" s="247" t="s">
        <v>1427</v>
      </c>
      <c r="V252" s="232" t="s">
        <v>1424</v>
      </c>
      <c r="W252" s="232">
        <v>-11455.4</v>
      </c>
      <c r="X252" s="232">
        <v>1601.5</v>
      </c>
      <c r="Y252" s="233" t="s">
        <v>49</v>
      </c>
      <c r="Z252" s="87" t="s">
        <v>50</v>
      </c>
      <c r="AA252" s="233" t="s">
        <v>51</v>
      </c>
      <c r="AB252" s="233" t="s">
        <v>934</v>
      </c>
      <c r="AC252" s="233">
        <v>1</v>
      </c>
      <c r="AD252" s="233" t="s">
        <v>226</v>
      </c>
      <c r="AE252" s="234"/>
      <c r="AF252" s="234"/>
      <c r="AG252" s="234"/>
      <c r="AH252" s="233"/>
      <c r="AI252" s="233"/>
      <c r="AJ252" s="233" t="s">
        <v>935</v>
      </c>
      <c r="AK252" s="233">
        <v>1500</v>
      </c>
      <c r="AL252" s="233"/>
      <c r="AM252" s="233"/>
      <c r="AN252" s="233"/>
      <c r="AO252" s="233"/>
      <c r="AP252" s="234"/>
      <c r="AQ252" s="234" t="s">
        <v>936</v>
      </c>
    </row>
    <row r="253" spans="1:43">
      <c r="A253" s="6">
        <v>250</v>
      </c>
      <c r="B253" s="21" t="s">
        <v>1428</v>
      </c>
      <c r="C253" s="5" t="s">
        <v>1429</v>
      </c>
      <c r="D253" s="5" t="s">
        <v>1430</v>
      </c>
      <c r="E253" s="5" t="s">
        <v>1431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11" t="s">
        <v>46</v>
      </c>
      <c r="Q253" s="5">
        <v>188.50479999999999</v>
      </c>
      <c r="R253" s="5">
        <f t="shared" si="3"/>
        <v>188.50479999999999</v>
      </c>
      <c r="S253" s="5" t="s">
        <v>60</v>
      </c>
      <c r="T253" s="6">
        <v>250</v>
      </c>
      <c r="U253" s="247" t="s">
        <v>1432</v>
      </c>
      <c r="V253" s="232" t="s">
        <v>1429</v>
      </c>
      <c r="W253" s="232">
        <v>-12786.5</v>
      </c>
      <c r="X253" s="232">
        <v>1192.8</v>
      </c>
      <c r="Y253" s="233" t="s">
        <v>49</v>
      </c>
      <c r="Z253" s="87" t="s">
        <v>50</v>
      </c>
      <c r="AA253" s="233" t="s">
        <v>51</v>
      </c>
      <c r="AB253" s="233" t="s">
        <v>934</v>
      </c>
      <c r="AC253" s="233">
        <v>1</v>
      </c>
      <c r="AD253" s="233" t="s">
        <v>226</v>
      </c>
      <c r="AE253" s="234"/>
      <c r="AF253" s="234"/>
      <c r="AG253" s="234"/>
      <c r="AH253" s="233"/>
      <c r="AI253" s="233"/>
      <c r="AJ253" s="233" t="s">
        <v>935</v>
      </c>
      <c r="AK253" s="233">
        <v>1500</v>
      </c>
      <c r="AL253" s="233"/>
      <c r="AM253" s="233"/>
      <c r="AN253" s="233"/>
      <c r="AO253" s="233"/>
      <c r="AP253" s="234"/>
      <c r="AQ253" s="234" t="s">
        <v>936</v>
      </c>
    </row>
    <row r="254" spans="1:43">
      <c r="A254" s="6">
        <v>251</v>
      </c>
      <c r="B254" s="21" t="s">
        <v>1433</v>
      </c>
      <c r="C254" s="5" t="s">
        <v>1434</v>
      </c>
      <c r="D254" s="5" t="s">
        <v>1435</v>
      </c>
      <c r="E254" s="5" t="s">
        <v>1436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11" t="s">
        <v>46</v>
      </c>
      <c r="Q254" s="5">
        <v>193.7381</v>
      </c>
      <c r="R254" s="5">
        <f t="shared" si="3"/>
        <v>193.7381</v>
      </c>
      <c r="S254" s="5" t="s">
        <v>74</v>
      </c>
      <c r="T254" s="6">
        <v>251</v>
      </c>
      <c r="U254" s="247" t="s">
        <v>1437</v>
      </c>
      <c r="V254" s="232" t="s">
        <v>1434</v>
      </c>
      <c r="W254" s="232">
        <v>-12285.7</v>
      </c>
      <c r="X254" s="232">
        <v>1192.8</v>
      </c>
      <c r="Y254" s="233" t="s">
        <v>49</v>
      </c>
      <c r="Z254" s="87" t="s">
        <v>50</v>
      </c>
      <c r="AA254" s="233" t="s">
        <v>51</v>
      </c>
      <c r="AB254" s="233" t="s">
        <v>934</v>
      </c>
      <c r="AC254" s="233">
        <v>1</v>
      </c>
      <c r="AD254" s="233" t="s">
        <v>226</v>
      </c>
      <c r="AE254" s="234"/>
      <c r="AF254" s="234"/>
      <c r="AG254" s="234"/>
      <c r="AH254" s="233"/>
      <c r="AI254" s="233"/>
      <c r="AJ254" s="233" t="s">
        <v>935</v>
      </c>
      <c r="AK254" s="233">
        <v>1500</v>
      </c>
      <c r="AL254" s="233"/>
      <c r="AM254" s="233"/>
      <c r="AN254" s="233"/>
      <c r="AO254" s="233"/>
      <c r="AP254" s="234"/>
      <c r="AQ254" s="234" t="s">
        <v>936</v>
      </c>
    </row>
    <row r="255" spans="1:43">
      <c r="A255" s="6">
        <v>252</v>
      </c>
      <c r="B255" s="21" t="s">
        <v>1438</v>
      </c>
      <c r="C255" s="5" t="s">
        <v>1439</v>
      </c>
      <c r="D255" s="5" t="s">
        <v>1440</v>
      </c>
      <c r="E255" s="5" t="s">
        <v>1441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11" t="s">
        <v>46</v>
      </c>
      <c r="Q255" s="5">
        <v>200.3733</v>
      </c>
      <c r="R255" s="5">
        <f t="shared" ref="R255:R318" si="4">IF(AND(P255="",Q255=""),"",SUM(P255:Q255))</f>
        <v>200.3733</v>
      </c>
      <c r="S255" s="5" t="s">
        <v>706</v>
      </c>
      <c r="T255" s="6">
        <v>252</v>
      </c>
      <c r="U255" s="247" t="s">
        <v>1442</v>
      </c>
      <c r="V255" s="232" t="s">
        <v>1439</v>
      </c>
      <c r="W255" s="232">
        <v>-12159</v>
      </c>
      <c r="X255" s="232">
        <v>692.2</v>
      </c>
      <c r="Y255" s="233" t="s">
        <v>49</v>
      </c>
      <c r="Z255" s="87" t="s">
        <v>50</v>
      </c>
      <c r="AA255" s="233" t="s">
        <v>51</v>
      </c>
      <c r="AB255" s="233" t="s">
        <v>934</v>
      </c>
      <c r="AC255" s="233">
        <v>1</v>
      </c>
      <c r="AD255" s="233" t="s">
        <v>226</v>
      </c>
      <c r="AE255" s="234"/>
      <c r="AF255" s="234"/>
      <c r="AG255" s="234"/>
      <c r="AH255" s="233"/>
      <c r="AI255" s="233"/>
      <c r="AJ255" s="233" t="s">
        <v>935</v>
      </c>
      <c r="AK255" s="233">
        <v>1500</v>
      </c>
      <c r="AL255" s="233"/>
      <c r="AM255" s="233"/>
      <c r="AN255" s="233"/>
      <c r="AO255" s="233"/>
      <c r="AP255" s="234"/>
      <c r="AQ255" s="234" t="s">
        <v>936</v>
      </c>
    </row>
    <row r="256" spans="1:43">
      <c r="A256" s="6">
        <v>253</v>
      </c>
      <c r="B256" s="21" t="s">
        <v>1443</v>
      </c>
      <c r="C256" s="5" t="s">
        <v>1444</v>
      </c>
      <c r="D256" s="5" t="s">
        <v>1445</v>
      </c>
      <c r="E256" s="5" t="s">
        <v>1446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11" t="s">
        <v>46</v>
      </c>
      <c r="Q256" s="5">
        <v>189.60429999999999</v>
      </c>
      <c r="R256" s="5">
        <f t="shared" si="4"/>
        <v>189.60429999999999</v>
      </c>
      <c r="S256" s="5" t="s">
        <v>60</v>
      </c>
      <c r="T256" s="6">
        <v>253</v>
      </c>
      <c r="U256" s="247" t="s">
        <v>1447</v>
      </c>
      <c r="V256" s="232" t="s">
        <v>1444</v>
      </c>
      <c r="W256" s="232">
        <v>-12702.5</v>
      </c>
      <c r="X256" s="232">
        <v>532.1</v>
      </c>
      <c r="Y256" s="233" t="s">
        <v>49</v>
      </c>
      <c r="Z256" s="87" t="s">
        <v>50</v>
      </c>
      <c r="AA256" s="233" t="s">
        <v>51</v>
      </c>
      <c r="AB256" s="233" t="s">
        <v>934</v>
      </c>
      <c r="AC256" s="233">
        <v>1</v>
      </c>
      <c r="AD256" s="233" t="s">
        <v>226</v>
      </c>
      <c r="AE256" s="234"/>
      <c r="AF256" s="234"/>
      <c r="AG256" s="234"/>
      <c r="AH256" s="233"/>
      <c r="AI256" s="233"/>
      <c r="AJ256" s="233" t="s">
        <v>935</v>
      </c>
      <c r="AK256" s="233">
        <v>1500</v>
      </c>
      <c r="AL256" s="233"/>
      <c r="AM256" s="233"/>
      <c r="AN256" s="233"/>
      <c r="AO256" s="233"/>
      <c r="AP256" s="234"/>
      <c r="AQ256" s="234" t="s">
        <v>936</v>
      </c>
    </row>
    <row r="257" spans="1:43">
      <c r="A257" s="6">
        <v>254</v>
      </c>
      <c r="B257" s="21" t="s">
        <v>1448</v>
      </c>
      <c r="C257" s="5" t="s">
        <v>1449</v>
      </c>
      <c r="D257" s="5" t="s">
        <v>1450</v>
      </c>
      <c r="E257" s="5" t="s">
        <v>1451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11" t="s">
        <v>46</v>
      </c>
      <c r="Q257" s="5">
        <v>185.4349</v>
      </c>
      <c r="R257" s="5">
        <f t="shared" si="4"/>
        <v>185.4349</v>
      </c>
      <c r="S257" s="5" t="s">
        <v>60</v>
      </c>
      <c r="T257" s="6">
        <v>254</v>
      </c>
      <c r="U257" s="247" t="s">
        <v>1452</v>
      </c>
      <c r="V257" s="232" t="s">
        <v>1449</v>
      </c>
      <c r="W257" s="232">
        <v>-12397.7</v>
      </c>
      <c r="X257" s="232">
        <v>0</v>
      </c>
      <c r="Y257" s="233" t="s">
        <v>49</v>
      </c>
      <c r="Z257" s="87" t="s">
        <v>50</v>
      </c>
      <c r="AA257" s="233" t="s">
        <v>51</v>
      </c>
      <c r="AB257" s="233" t="s">
        <v>934</v>
      </c>
      <c r="AC257" s="233">
        <v>1</v>
      </c>
      <c r="AD257" s="233" t="s">
        <v>226</v>
      </c>
      <c r="AE257" s="234"/>
      <c r="AF257" s="234"/>
      <c r="AG257" s="234"/>
      <c r="AH257" s="233"/>
      <c r="AI257" s="233"/>
      <c r="AJ257" s="233" t="s">
        <v>935</v>
      </c>
      <c r="AK257" s="233">
        <v>1500</v>
      </c>
      <c r="AL257" s="233"/>
      <c r="AM257" s="233"/>
      <c r="AN257" s="233"/>
      <c r="AO257" s="233"/>
      <c r="AP257" s="234"/>
      <c r="AQ257" s="234" t="s">
        <v>936</v>
      </c>
    </row>
    <row r="258" spans="1:43">
      <c r="A258" s="6">
        <v>255</v>
      </c>
      <c r="B258" s="21" t="s">
        <v>1453</v>
      </c>
      <c r="C258" s="5" t="s">
        <v>1454</v>
      </c>
      <c r="D258" s="5" t="s">
        <v>1455</v>
      </c>
      <c r="E258" s="5" t="s">
        <v>1456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11" t="s">
        <v>46</v>
      </c>
      <c r="Q258" s="5">
        <v>179.11600000000001</v>
      </c>
      <c r="R258" s="5">
        <f t="shared" si="4"/>
        <v>179.11600000000001</v>
      </c>
      <c r="S258" s="5" t="s">
        <v>344</v>
      </c>
      <c r="T258" s="6">
        <v>255</v>
      </c>
      <c r="U258" s="247" t="s">
        <v>1457</v>
      </c>
      <c r="V258" s="232" t="s">
        <v>1454</v>
      </c>
      <c r="W258" s="232">
        <v>-10359.1</v>
      </c>
      <c r="X258" s="232">
        <v>2395.1999999999998</v>
      </c>
      <c r="Y258" s="233" t="s">
        <v>49</v>
      </c>
      <c r="Z258" s="87" t="s">
        <v>50</v>
      </c>
      <c r="AA258" s="233" t="s">
        <v>51</v>
      </c>
      <c r="AB258" s="233" t="s">
        <v>934</v>
      </c>
      <c r="AC258" s="233">
        <v>1</v>
      </c>
      <c r="AD258" s="233" t="s">
        <v>226</v>
      </c>
      <c r="AE258" s="234"/>
      <c r="AF258" s="234"/>
      <c r="AG258" s="234"/>
      <c r="AH258" s="233"/>
      <c r="AI258" s="233"/>
      <c r="AJ258" s="233"/>
      <c r="AK258" s="233"/>
      <c r="AL258" s="233"/>
      <c r="AM258" s="233"/>
      <c r="AN258" s="233"/>
      <c r="AO258" s="233"/>
      <c r="AP258" s="234"/>
      <c r="AQ258" s="234" t="s">
        <v>936</v>
      </c>
    </row>
    <row r="259" spans="1:43">
      <c r="A259" s="6">
        <v>256</v>
      </c>
      <c r="B259" s="21" t="s">
        <v>1458</v>
      </c>
      <c r="C259" s="5" t="s">
        <v>1459</v>
      </c>
      <c r="D259" s="5" t="s">
        <v>1460</v>
      </c>
      <c r="E259" s="5" t="s">
        <v>1461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11" t="s">
        <v>46</v>
      </c>
      <c r="Q259" s="5">
        <v>187.2474</v>
      </c>
      <c r="R259" s="5">
        <f t="shared" si="4"/>
        <v>187.2474</v>
      </c>
      <c r="S259" s="5" t="s">
        <v>338</v>
      </c>
      <c r="T259" s="6">
        <v>256</v>
      </c>
      <c r="U259" s="247" t="s">
        <v>1462</v>
      </c>
      <c r="V259" s="232" t="s">
        <v>1459</v>
      </c>
      <c r="W259" s="232">
        <v>-11047.5</v>
      </c>
      <c r="X259" s="232">
        <v>2585.6999999999998</v>
      </c>
      <c r="Y259" s="233" t="s">
        <v>49</v>
      </c>
      <c r="Z259" s="87" t="s">
        <v>50</v>
      </c>
      <c r="AA259" s="233" t="s">
        <v>51</v>
      </c>
      <c r="AB259" s="233" t="s">
        <v>934</v>
      </c>
      <c r="AC259" s="233">
        <v>1</v>
      </c>
      <c r="AD259" s="233" t="s">
        <v>226</v>
      </c>
      <c r="AE259" s="234"/>
      <c r="AF259" s="234"/>
      <c r="AG259" s="234"/>
      <c r="AH259" s="233"/>
      <c r="AI259" s="233"/>
      <c r="AJ259" s="233" t="s">
        <v>935</v>
      </c>
      <c r="AK259" s="233">
        <v>1500</v>
      </c>
      <c r="AL259" s="233"/>
      <c r="AM259" s="233"/>
      <c r="AN259" s="233"/>
      <c r="AO259" s="233"/>
      <c r="AP259" s="234"/>
      <c r="AQ259" s="234" t="s">
        <v>936</v>
      </c>
    </row>
    <row r="260" spans="1:43">
      <c r="A260" s="6">
        <v>257</v>
      </c>
      <c r="B260" s="21" t="s">
        <v>1463</v>
      </c>
      <c r="C260" s="5" t="s">
        <v>1464</v>
      </c>
      <c r="D260" s="5" t="s">
        <v>1465</v>
      </c>
      <c r="E260" s="5" t="s">
        <v>1466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11" t="s">
        <v>46</v>
      </c>
      <c r="Q260" s="5">
        <v>196.31899999999999</v>
      </c>
      <c r="R260" s="5">
        <f t="shared" si="4"/>
        <v>196.31899999999999</v>
      </c>
      <c r="S260" s="5" t="s">
        <v>74</v>
      </c>
      <c r="T260" s="6">
        <v>257</v>
      </c>
      <c r="U260" s="247" t="s">
        <v>1467</v>
      </c>
      <c r="V260" s="232" t="s">
        <v>1464</v>
      </c>
      <c r="W260" s="232">
        <v>-6950.9</v>
      </c>
      <c r="X260" s="232">
        <v>3335.2</v>
      </c>
      <c r="Y260" s="233" t="s">
        <v>49</v>
      </c>
      <c r="Z260" s="87" t="s">
        <v>50</v>
      </c>
      <c r="AA260" s="233" t="s">
        <v>51</v>
      </c>
      <c r="AB260" s="233" t="s">
        <v>934</v>
      </c>
      <c r="AC260" s="233">
        <v>1</v>
      </c>
      <c r="AD260" s="233" t="s">
        <v>226</v>
      </c>
      <c r="AE260" s="234"/>
      <c r="AF260" s="234"/>
      <c r="AG260" s="234"/>
      <c r="AH260" s="233"/>
      <c r="AI260" s="233"/>
      <c r="AJ260" s="233" t="s">
        <v>935</v>
      </c>
      <c r="AK260" s="233">
        <v>1500</v>
      </c>
      <c r="AL260" s="233"/>
      <c r="AM260" s="233"/>
      <c r="AN260" s="233"/>
      <c r="AO260" s="233"/>
      <c r="AP260" s="234"/>
      <c r="AQ260" s="234" t="s">
        <v>936</v>
      </c>
    </row>
    <row r="261" spans="1:43">
      <c r="A261" s="6">
        <v>258</v>
      </c>
      <c r="B261" s="21" t="s">
        <v>1468</v>
      </c>
      <c r="C261" s="5" t="s">
        <v>1469</v>
      </c>
      <c r="D261" s="5" t="s">
        <v>1470</v>
      </c>
      <c r="E261" s="5" t="s">
        <v>1471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11" t="s">
        <v>46</v>
      </c>
      <c r="Q261" s="5">
        <v>187.14060000000001</v>
      </c>
      <c r="R261" s="5">
        <f t="shared" si="4"/>
        <v>187.14060000000001</v>
      </c>
      <c r="S261" s="5" t="s">
        <v>67</v>
      </c>
      <c r="T261" s="6">
        <v>258</v>
      </c>
      <c r="U261" s="247" t="s">
        <v>1472</v>
      </c>
      <c r="V261" s="232" t="s">
        <v>1469</v>
      </c>
      <c r="W261" s="232">
        <v>-12786.5</v>
      </c>
      <c r="X261" s="232">
        <v>3389.9</v>
      </c>
      <c r="Y261" s="233" t="s">
        <v>49</v>
      </c>
      <c r="Z261" s="87" t="s">
        <v>50</v>
      </c>
      <c r="AA261" s="233" t="s">
        <v>51</v>
      </c>
      <c r="AB261" s="233" t="s">
        <v>934</v>
      </c>
      <c r="AC261" s="233">
        <v>1</v>
      </c>
      <c r="AD261" s="233" t="s">
        <v>226</v>
      </c>
      <c r="AE261" s="234"/>
      <c r="AF261" s="234"/>
      <c r="AG261" s="234"/>
      <c r="AH261" s="233"/>
      <c r="AI261" s="233"/>
      <c r="AJ261" s="233" t="s">
        <v>935</v>
      </c>
      <c r="AK261" s="233">
        <v>1500</v>
      </c>
      <c r="AL261" s="233"/>
      <c r="AM261" s="233"/>
      <c r="AN261" s="233"/>
      <c r="AO261" s="233"/>
      <c r="AP261" s="234"/>
      <c r="AQ261" s="234" t="s">
        <v>936</v>
      </c>
    </row>
    <row r="262" spans="1:43">
      <c r="A262" s="6">
        <v>259</v>
      </c>
      <c r="B262" s="21" t="s">
        <v>1473</v>
      </c>
      <c r="C262" s="5" t="s">
        <v>1474</v>
      </c>
      <c r="D262" s="5" t="s">
        <v>1475</v>
      </c>
      <c r="E262" s="5" t="s">
        <v>1476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11" t="s">
        <v>46</v>
      </c>
      <c r="Q262" s="5">
        <v>193.34950000000001</v>
      </c>
      <c r="R262" s="5">
        <f t="shared" si="4"/>
        <v>193.34950000000001</v>
      </c>
      <c r="S262" s="5" t="s">
        <v>74</v>
      </c>
      <c r="T262" s="6">
        <v>259</v>
      </c>
      <c r="U262" s="247" t="s">
        <v>1477</v>
      </c>
      <c r="V262" s="232" t="s">
        <v>1474</v>
      </c>
      <c r="W262" s="232">
        <v>-12285.7</v>
      </c>
      <c r="X262" s="232">
        <v>3389.9</v>
      </c>
      <c r="Y262" s="233" t="s">
        <v>49</v>
      </c>
      <c r="Z262" s="87" t="s">
        <v>50</v>
      </c>
      <c r="AA262" s="233" t="s">
        <v>51</v>
      </c>
      <c r="AB262" s="233" t="s">
        <v>934</v>
      </c>
      <c r="AC262" s="233">
        <v>1</v>
      </c>
      <c r="AD262" s="233" t="s">
        <v>226</v>
      </c>
      <c r="AE262" s="234"/>
      <c r="AF262" s="234"/>
      <c r="AG262" s="234"/>
      <c r="AH262" s="233"/>
      <c r="AI262" s="233"/>
      <c r="AJ262" s="233" t="s">
        <v>935</v>
      </c>
      <c r="AK262" s="233">
        <v>1500</v>
      </c>
      <c r="AL262" s="233"/>
      <c r="AM262" s="233"/>
      <c r="AN262" s="233"/>
      <c r="AO262" s="233"/>
      <c r="AP262" s="234"/>
      <c r="AQ262" s="234" t="s">
        <v>936</v>
      </c>
    </row>
    <row r="263" spans="1:43">
      <c r="A263" s="6">
        <v>260</v>
      </c>
      <c r="B263" s="21" t="s">
        <v>1478</v>
      </c>
      <c r="C263" s="5" t="s">
        <v>1479</v>
      </c>
      <c r="D263" s="5" t="s">
        <v>1480</v>
      </c>
      <c r="E263" s="5" t="s">
        <v>1481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11" t="s">
        <v>46</v>
      </c>
      <c r="Q263" s="5">
        <v>185.2544</v>
      </c>
      <c r="R263" s="5">
        <f t="shared" si="4"/>
        <v>185.2544</v>
      </c>
      <c r="S263" s="5" t="s">
        <v>344</v>
      </c>
      <c r="T263" s="6">
        <v>260</v>
      </c>
      <c r="U263" s="247" t="s">
        <v>1482</v>
      </c>
      <c r="V263" s="232" t="s">
        <v>1479</v>
      </c>
      <c r="W263" s="232">
        <v>-12159</v>
      </c>
      <c r="X263" s="232">
        <v>2882.9</v>
      </c>
      <c r="Y263" s="233" t="s">
        <v>49</v>
      </c>
      <c r="Z263" s="87" t="s">
        <v>50</v>
      </c>
      <c r="AA263" s="233" t="s">
        <v>51</v>
      </c>
      <c r="AB263" s="233" t="s">
        <v>934</v>
      </c>
      <c r="AC263" s="233">
        <v>1</v>
      </c>
      <c r="AD263" s="233" t="s">
        <v>226</v>
      </c>
      <c r="AE263" s="234"/>
      <c r="AF263" s="234"/>
      <c r="AG263" s="234"/>
      <c r="AH263" s="233"/>
      <c r="AI263" s="233"/>
      <c r="AJ263" s="233" t="s">
        <v>935</v>
      </c>
      <c r="AK263" s="233">
        <v>1500</v>
      </c>
      <c r="AL263" s="233"/>
      <c r="AM263" s="233"/>
      <c r="AN263" s="233"/>
      <c r="AO263" s="233"/>
      <c r="AP263" s="234"/>
      <c r="AQ263" s="234" t="s">
        <v>936</v>
      </c>
    </row>
    <row r="264" spans="1:43">
      <c r="A264" s="6">
        <v>261</v>
      </c>
      <c r="B264" s="21" t="s">
        <v>1483</v>
      </c>
      <c r="C264" s="5" t="s">
        <v>1484</v>
      </c>
      <c r="D264" s="5" t="s">
        <v>1485</v>
      </c>
      <c r="E264" s="5" t="s">
        <v>1486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11" t="s">
        <v>46</v>
      </c>
      <c r="Q264" s="5">
        <v>190.37370000000001</v>
      </c>
      <c r="R264" s="5">
        <f t="shared" si="4"/>
        <v>190.37370000000001</v>
      </c>
      <c r="S264" s="5" t="s">
        <v>60</v>
      </c>
      <c r="T264" s="6">
        <v>261</v>
      </c>
      <c r="U264" s="247" t="s">
        <v>1487</v>
      </c>
      <c r="V264" s="232" t="s">
        <v>1484</v>
      </c>
      <c r="W264" s="232">
        <v>-12702.5</v>
      </c>
      <c r="X264" s="232">
        <v>2729.2</v>
      </c>
      <c r="Y264" s="233" t="s">
        <v>49</v>
      </c>
      <c r="Z264" s="87" t="s">
        <v>50</v>
      </c>
      <c r="AA264" s="233" t="s">
        <v>51</v>
      </c>
      <c r="AB264" s="233" t="s">
        <v>934</v>
      </c>
      <c r="AC264" s="233">
        <v>1</v>
      </c>
      <c r="AD264" s="233" t="s">
        <v>226</v>
      </c>
      <c r="AE264" s="234"/>
      <c r="AF264" s="234"/>
      <c r="AG264" s="234"/>
      <c r="AH264" s="233"/>
      <c r="AI264" s="233"/>
      <c r="AJ264" s="233" t="s">
        <v>935</v>
      </c>
      <c r="AK264" s="233">
        <v>1500</v>
      </c>
      <c r="AL264" s="233"/>
      <c r="AM264" s="233"/>
      <c r="AN264" s="233"/>
      <c r="AO264" s="233"/>
      <c r="AP264" s="234"/>
      <c r="AQ264" s="234" t="s">
        <v>936</v>
      </c>
    </row>
    <row r="265" spans="1:43">
      <c r="A265" s="6">
        <v>262</v>
      </c>
      <c r="B265" s="21" t="s">
        <v>1488</v>
      </c>
      <c r="C265" s="5" t="s">
        <v>1489</v>
      </c>
      <c r="D265" s="5" t="s">
        <v>1490</v>
      </c>
      <c r="E265" s="5" t="s">
        <v>1491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11" t="s">
        <v>46</v>
      </c>
      <c r="Q265" s="5">
        <v>193.6157</v>
      </c>
      <c r="R265" s="5">
        <f t="shared" si="4"/>
        <v>193.6157</v>
      </c>
      <c r="S265" s="5" t="s">
        <v>74</v>
      </c>
      <c r="T265" s="6">
        <v>262</v>
      </c>
      <c r="U265" s="247" t="s">
        <v>1492</v>
      </c>
      <c r="V265" s="232" t="s">
        <v>1489</v>
      </c>
      <c r="W265" s="232">
        <v>-12217.9</v>
      </c>
      <c r="X265" s="232">
        <v>2366.3000000000002</v>
      </c>
      <c r="Y265" s="233" t="s">
        <v>49</v>
      </c>
      <c r="Z265" s="87" t="s">
        <v>50</v>
      </c>
      <c r="AA265" s="233" t="s">
        <v>51</v>
      </c>
      <c r="AB265" s="233" t="s">
        <v>934</v>
      </c>
      <c r="AC265" s="233">
        <v>1</v>
      </c>
      <c r="AD265" s="233" t="s">
        <v>226</v>
      </c>
      <c r="AE265" s="234"/>
      <c r="AF265" s="234"/>
      <c r="AG265" s="234"/>
      <c r="AH265" s="233"/>
      <c r="AI265" s="233"/>
      <c r="AJ265" s="233" t="s">
        <v>935</v>
      </c>
      <c r="AK265" s="233">
        <v>1500</v>
      </c>
      <c r="AL265" s="233"/>
      <c r="AM265" s="233"/>
      <c r="AN265" s="233"/>
      <c r="AO265" s="233"/>
      <c r="AP265" s="234"/>
      <c r="AQ265" s="234" t="s">
        <v>936</v>
      </c>
    </row>
    <row r="266" spans="1:43">
      <c r="A266" s="6">
        <v>263</v>
      </c>
      <c r="B266" s="21" t="s">
        <v>1493</v>
      </c>
      <c r="C266" s="5" t="s">
        <v>1494</v>
      </c>
      <c r="D266" s="5" t="s">
        <v>1495</v>
      </c>
      <c r="E266" s="5" t="s">
        <v>1496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11" t="s">
        <v>46</v>
      </c>
      <c r="Q266" s="5">
        <v>170.13820000000001</v>
      </c>
      <c r="R266" s="5">
        <f t="shared" si="4"/>
        <v>170.13820000000001</v>
      </c>
      <c r="S266" s="5" t="s">
        <v>395</v>
      </c>
      <c r="T266" s="6">
        <v>263</v>
      </c>
      <c r="U266" s="248" t="s">
        <v>1497</v>
      </c>
      <c r="V266" s="232" t="s">
        <v>1494</v>
      </c>
      <c r="W266" s="232">
        <v>8271.2999999999993</v>
      </c>
      <c r="X266" s="232">
        <v>-2014.2</v>
      </c>
      <c r="Y266" s="233" t="s">
        <v>49</v>
      </c>
      <c r="Z266" s="87" t="s">
        <v>50</v>
      </c>
      <c r="AA266" s="233" t="s">
        <v>51</v>
      </c>
      <c r="AB266" s="234"/>
      <c r="AC266" s="233">
        <v>1</v>
      </c>
      <c r="AD266" s="233" t="s">
        <v>226</v>
      </c>
      <c r="AE266" s="234"/>
      <c r="AF266" s="234"/>
      <c r="AG266" s="234"/>
      <c r="AH266" s="233"/>
      <c r="AI266" s="233"/>
      <c r="AJ266" s="233"/>
      <c r="AK266" s="233"/>
      <c r="AL266" s="233"/>
      <c r="AM266" s="233"/>
      <c r="AN266" s="233"/>
      <c r="AO266" s="233"/>
      <c r="AP266" s="234"/>
      <c r="AQ266" s="234" t="s">
        <v>333</v>
      </c>
    </row>
    <row r="267" spans="1:43">
      <c r="A267" s="6">
        <v>264</v>
      </c>
      <c r="B267" s="21" t="s">
        <v>1498</v>
      </c>
      <c r="C267" s="5" t="s">
        <v>1499</v>
      </c>
      <c r="D267" s="5" t="s">
        <v>1500</v>
      </c>
      <c r="E267" s="5" t="s">
        <v>1501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11" t="s">
        <v>46</v>
      </c>
      <c r="Q267" s="5">
        <v>234.31649999999999</v>
      </c>
      <c r="R267" s="5">
        <f t="shared" si="4"/>
        <v>234.31649999999999</v>
      </c>
      <c r="S267" s="5" t="s">
        <v>344</v>
      </c>
      <c r="T267" s="6">
        <v>264</v>
      </c>
      <c r="U267" s="248" t="s">
        <v>1502</v>
      </c>
      <c r="V267" s="232" t="s">
        <v>1499</v>
      </c>
      <c r="W267" s="232">
        <v>8982.5</v>
      </c>
      <c r="X267" s="232">
        <v>-2014.2</v>
      </c>
      <c r="Y267" s="233" t="s">
        <v>49</v>
      </c>
      <c r="Z267" s="87" t="s">
        <v>50</v>
      </c>
      <c r="AA267" s="233" t="s">
        <v>51</v>
      </c>
      <c r="AB267" s="234"/>
      <c r="AC267" s="233">
        <v>1</v>
      </c>
      <c r="AD267" s="233" t="s">
        <v>226</v>
      </c>
      <c r="AE267" s="234"/>
      <c r="AF267" s="234"/>
      <c r="AG267" s="234"/>
      <c r="AH267" s="233"/>
      <c r="AI267" s="233"/>
      <c r="AJ267" s="233"/>
      <c r="AK267" s="233"/>
      <c r="AL267" s="233"/>
      <c r="AM267" s="233"/>
      <c r="AN267" s="233"/>
      <c r="AO267" s="233"/>
      <c r="AP267" s="234"/>
      <c r="AQ267" s="234" t="s">
        <v>333</v>
      </c>
    </row>
    <row r="268" spans="1:43">
      <c r="A268" s="6">
        <v>265</v>
      </c>
      <c r="B268" s="21" t="s">
        <v>1503</v>
      </c>
      <c r="C268" s="5" t="s">
        <v>1504</v>
      </c>
      <c r="D268" s="5" t="s">
        <v>1505</v>
      </c>
      <c r="E268" s="5" t="s">
        <v>1506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11" t="s">
        <v>46</v>
      </c>
      <c r="Q268" s="5">
        <v>189.51060000000001</v>
      </c>
      <c r="R268" s="5">
        <f t="shared" si="4"/>
        <v>189.51060000000001</v>
      </c>
      <c r="S268" s="5" t="s">
        <v>732</v>
      </c>
      <c r="T268" s="6">
        <v>265</v>
      </c>
      <c r="U268" s="248" t="s">
        <v>1507</v>
      </c>
      <c r="V268" s="232" t="s">
        <v>1504</v>
      </c>
      <c r="W268" s="232">
        <v>12159</v>
      </c>
      <c r="X268" s="232">
        <v>-2882.9</v>
      </c>
      <c r="Y268" s="233" t="s">
        <v>49</v>
      </c>
      <c r="Z268" s="87" t="s">
        <v>50</v>
      </c>
      <c r="AA268" s="233" t="s">
        <v>51</v>
      </c>
      <c r="AB268" s="234"/>
      <c r="AC268" s="233">
        <v>1</v>
      </c>
      <c r="AD268" s="233" t="s">
        <v>226</v>
      </c>
      <c r="AE268" s="234"/>
      <c r="AF268" s="234"/>
      <c r="AG268" s="234"/>
      <c r="AH268" s="233"/>
      <c r="AI268" s="233"/>
      <c r="AJ268" s="233"/>
      <c r="AK268" s="233"/>
      <c r="AL268" s="233"/>
      <c r="AM268" s="233"/>
      <c r="AN268" s="233"/>
      <c r="AO268" s="233"/>
      <c r="AP268" s="234"/>
      <c r="AQ268" s="234" t="s">
        <v>333</v>
      </c>
    </row>
    <row r="269" spans="1:43">
      <c r="A269" s="6">
        <v>266</v>
      </c>
      <c r="B269" s="21" t="s">
        <v>1508</v>
      </c>
      <c r="C269" s="5" t="s">
        <v>1509</v>
      </c>
      <c r="D269" s="5" t="s">
        <v>1510</v>
      </c>
      <c r="E269" s="5" t="s">
        <v>1511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11" t="s">
        <v>46</v>
      </c>
      <c r="Q269" s="5">
        <v>133.0059</v>
      </c>
      <c r="R269" s="5">
        <f t="shared" si="4"/>
        <v>133.0059</v>
      </c>
      <c r="S269" s="5" t="s">
        <v>74</v>
      </c>
      <c r="T269" s="6">
        <v>266</v>
      </c>
      <c r="U269" s="248" t="s">
        <v>1512</v>
      </c>
      <c r="V269" s="232" t="s">
        <v>1509</v>
      </c>
      <c r="W269" s="232">
        <v>12702.5</v>
      </c>
      <c r="X269" s="232">
        <v>-2729.2</v>
      </c>
      <c r="Y269" s="233" t="s">
        <v>49</v>
      </c>
      <c r="Z269" s="87" t="s">
        <v>50</v>
      </c>
      <c r="AA269" s="233" t="s">
        <v>51</v>
      </c>
      <c r="AB269" s="234"/>
      <c r="AC269" s="233">
        <v>1</v>
      </c>
      <c r="AD269" s="233" t="s">
        <v>226</v>
      </c>
      <c r="AE269" s="234"/>
      <c r="AF269" s="234"/>
      <c r="AG269" s="234"/>
      <c r="AH269" s="233"/>
      <c r="AI269" s="233"/>
      <c r="AJ269" s="233"/>
      <c r="AK269" s="233"/>
      <c r="AL269" s="233"/>
      <c r="AM269" s="233"/>
      <c r="AN269" s="233"/>
      <c r="AO269" s="233"/>
      <c r="AP269" s="234"/>
      <c r="AQ269" s="234" t="s">
        <v>333</v>
      </c>
    </row>
    <row r="270" spans="1:43">
      <c r="A270" s="6">
        <v>267</v>
      </c>
      <c r="B270" s="21" t="s">
        <v>1513</v>
      </c>
      <c r="C270" s="5" t="s">
        <v>1514</v>
      </c>
      <c r="D270" s="5" t="s">
        <v>1515</v>
      </c>
      <c r="E270" s="5" t="s">
        <v>1516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11" t="s">
        <v>46</v>
      </c>
      <c r="Q270" s="5">
        <v>250.77869999999999</v>
      </c>
      <c r="R270" s="5">
        <f t="shared" si="4"/>
        <v>250.77869999999999</v>
      </c>
      <c r="S270" s="5" t="s">
        <v>344</v>
      </c>
      <c r="T270" s="6">
        <v>267</v>
      </c>
      <c r="U270" s="248" t="s">
        <v>1517</v>
      </c>
      <c r="V270" s="232" t="s">
        <v>1514</v>
      </c>
      <c r="W270" s="232">
        <v>11697.7</v>
      </c>
      <c r="X270" s="232">
        <v>-2274.3000000000002</v>
      </c>
      <c r="Y270" s="233" t="s">
        <v>49</v>
      </c>
      <c r="Z270" s="87" t="s">
        <v>50</v>
      </c>
      <c r="AA270" s="233" t="s">
        <v>51</v>
      </c>
      <c r="AB270" s="234"/>
      <c r="AC270" s="233">
        <v>1</v>
      </c>
      <c r="AD270" s="233" t="s">
        <v>226</v>
      </c>
      <c r="AE270" s="234"/>
      <c r="AF270" s="234"/>
      <c r="AG270" s="234"/>
      <c r="AH270" s="233"/>
      <c r="AI270" s="233"/>
      <c r="AJ270" s="233"/>
      <c r="AK270" s="233"/>
      <c r="AL270" s="233"/>
      <c r="AM270" s="233"/>
      <c r="AN270" s="233"/>
      <c r="AO270" s="233"/>
      <c r="AP270" s="234"/>
      <c r="AQ270" s="234" t="s">
        <v>333</v>
      </c>
    </row>
    <row r="271" spans="1:43">
      <c r="A271" s="6">
        <v>268</v>
      </c>
      <c r="B271" s="21" t="s">
        <v>1518</v>
      </c>
      <c r="C271" s="5" t="s">
        <v>1519</v>
      </c>
      <c r="D271" s="5" t="s">
        <v>1520</v>
      </c>
      <c r="E271" s="5" t="s">
        <v>1521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11" t="s">
        <v>46</v>
      </c>
      <c r="Q271" s="5">
        <v>137.8937</v>
      </c>
      <c r="R271" s="5">
        <f t="shared" si="4"/>
        <v>137.8937</v>
      </c>
      <c r="S271" s="5" t="s">
        <v>395</v>
      </c>
      <c r="T271" s="6">
        <v>268</v>
      </c>
      <c r="U271" s="248" t="s">
        <v>1522</v>
      </c>
      <c r="V271" s="232" t="s">
        <v>1519</v>
      </c>
      <c r="W271" s="232">
        <v>12217.9</v>
      </c>
      <c r="X271" s="232">
        <v>-2366.3000000000002</v>
      </c>
      <c r="Y271" s="233" t="s">
        <v>49</v>
      </c>
      <c r="Z271" s="87" t="s">
        <v>50</v>
      </c>
      <c r="AA271" s="233" t="s">
        <v>51</v>
      </c>
      <c r="AB271" s="234"/>
      <c r="AC271" s="233">
        <v>1</v>
      </c>
      <c r="AD271" s="233" t="s">
        <v>226</v>
      </c>
      <c r="AE271" s="234"/>
      <c r="AF271" s="234"/>
      <c r="AG271" s="234"/>
      <c r="AH271" s="233"/>
      <c r="AI271" s="233"/>
      <c r="AJ271" s="233"/>
      <c r="AK271" s="233"/>
      <c r="AL271" s="233"/>
      <c r="AM271" s="233"/>
      <c r="AN271" s="233"/>
      <c r="AO271" s="233"/>
      <c r="AP271" s="234"/>
      <c r="AQ271" s="234" t="s">
        <v>333</v>
      </c>
    </row>
    <row r="272" spans="1:43">
      <c r="A272" s="6">
        <v>269</v>
      </c>
      <c r="B272" s="21" t="s">
        <v>1523</v>
      </c>
      <c r="C272" s="5" t="s">
        <v>1524</v>
      </c>
      <c r="D272" s="5" t="s">
        <v>1525</v>
      </c>
      <c r="E272" s="5" t="s">
        <v>1526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11" t="s">
        <v>46</v>
      </c>
      <c r="Q272" s="5">
        <v>133.4581</v>
      </c>
      <c r="R272" s="5">
        <f t="shared" si="4"/>
        <v>133.4581</v>
      </c>
      <c r="S272" s="5" t="s">
        <v>74</v>
      </c>
      <c r="T272" s="6">
        <v>269</v>
      </c>
      <c r="U272" s="248" t="s">
        <v>1527</v>
      </c>
      <c r="V272" s="232" t="s">
        <v>1524</v>
      </c>
      <c r="W272" s="232">
        <v>12413</v>
      </c>
      <c r="X272" s="232">
        <v>-1901.2</v>
      </c>
      <c r="Y272" s="233" t="s">
        <v>49</v>
      </c>
      <c r="Z272" s="87" t="s">
        <v>50</v>
      </c>
      <c r="AA272" s="233" t="s">
        <v>51</v>
      </c>
      <c r="AB272" s="234"/>
      <c r="AC272" s="233">
        <v>1</v>
      </c>
      <c r="AD272" s="233" t="s">
        <v>226</v>
      </c>
      <c r="AE272" s="234"/>
      <c r="AF272" s="234"/>
      <c r="AG272" s="234"/>
      <c r="AH272" s="233"/>
      <c r="AI272" s="233"/>
      <c r="AJ272" s="233"/>
      <c r="AK272" s="233"/>
      <c r="AL272" s="233"/>
      <c r="AM272" s="233"/>
      <c r="AN272" s="233"/>
      <c r="AO272" s="233"/>
      <c r="AP272" s="234"/>
      <c r="AQ272" s="234" t="s">
        <v>333</v>
      </c>
    </row>
    <row r="273" spans="1:43">
      <c r="A273" s="6">
        <v>270</v>
      </c>
      <c r="B273" s="21" t="s">
        <v>1528</v>
      </c>
      <c r="C273" s="5" t="s">
        <v>1529</v>
      </c>
      <c r="D273" s="5" t="s">
        <v>1530</v>
      </c>
      <c r="E273" s="5" t="s">
        <v>1531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11" t="s">
        <v>46</v>
      </c>
      <c r="Q273" s="5">
        <v>164.5249</v>
      </c>
      <c r="R273" s="5">
        <f t="shared" si="4"/>
        <v>164.5249</v>
      </c>
      <c r="S273" s="5" t="s">
        <v>732</v>
      </c>
      <c r="T273" s="6">
        <v>270</v>
      </c>
      <c r="U273" s="248" t="s">
        <v>1532</v>
      </c>
      <c r="V273" s="232" t="s">
        <v>1529</v>
      </c>
      <c r="W273" s="232">
        <v>11912.6</v>
      </c>
      <c r="X273" s="232">
        <v>-1819.9</v>
      </c>
      <c r="Y273" s="233" t="s">
        <v>49</v>
      </c>
      <c r="Z273" s="87" t="s">
        <v>50</v>
      </c>
      <c r="AA273" s="233" t="s">
        <v>51</v>
      </c>
      <c r="AB273" s="234"/>
      <c r="AC273" s="233">
        <v>1</v>
      </c>
      <c r="AD273" s="233" t="s">
        <v>226</v>
      </c>
      <c r="AE273" s="234"/>
      <c r="AF273" s="234"/>
      <c r="AG273" s="234"/>
      <c r="AH273" s="233"/>
      <c r="AI273" s="233"/>
      <c r="AJ273" s="233"/>
      <c r="AK273" s="233"/>
      <c r="AL273" s="233"/>
      <c r="AM273" s="233"/>
      <c r="AN273" s="233"/>
      <c r="AO273" s="233"/>
      <c r="AP273" s="234"/>
      <c r="AQ273" s="234" t="s">
        <v>333</v>
      </c>
    </row>
    <row r="274" spans="1:43">
      <c r="A274" s="6">
        <v>271</v>
      </c>
      <c r="B274" s="21" t="s">
        <v>1533</v>
      </c>
      <c r="C274" s="5" t="s">
        <v>1534</v>
      </c>
      <c r="D274" s="5" t="s">
        <v>1535</v>
      </c>
      <c r="E274" s="5" t="s">
        <v>1536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11" t="s">
        <v>46</v>
      </c>
      <c r="Q274" s="5">
        <v>153.05779999999999</v>
      </c>
      <c r="R274" s="5">
        <f t="shared" si="4"/>
        <v>153.05779999999999</v>
      </c>
      <c r="S274" s="5" t="s">
        <v>395</v>
      </c>
      <c r="T274" s="6">
        <v>271</v>
      </c>
      <c r="U274" s="248" t="s">
        <v>1537</v>
      </c>
      <c r="V274" s="232" t="s">
        <v>1534</v>
      </c>
      <c r="W274" s="232">
        <v>12915.4</v>
      </c>
      <c r="X274" s="232">
        <v>-1871</v>
      </c>
      <c r="Y274" s="233" t="s">
        <v>49</v>
      </c>
      <c r="Z274" s="87" t="s">
        <v>50</v>
      </c>
      <c r="AA274" s="233" t="s">
        <v>51</v>
      </c>
      <c r="AB274" s="234"/>
      <c r="AC274" s="233">
        <v>1</v>
      </c>
      <c r="AD274" s="233" t="s">
        <v>226</v>
      </c>
      <c r="AE274" s="234"/>
      <c r="AF274" s="234"/>
      <c r="AG274" s="234"/>
      <c r="AH274" s="233"/>
      <c r="AI274" s="233"/>
      <c r="AJ274" s="233"/>
      <c r="AK274" s="233"/>
      <c r="AL274" s="233"/>
      <c r="AM274" s="233"/>
      <c r="AN274" s="233"/>
      <c r="AO274" s="233"/>
      <c r="AP274" s="234"/>
      <c r="AQ274" s="234" t="s">
        <v>333</v>
      </c>
    </row>
    <row r="275" spans="1:43">
      <c r="A275" s="6">
        <v>272</v>
      </c>
      <c r="B275" s="21" t="s">
        <v>1538</v>
      </c>
      <c r="C275" s="5" t="s">
        <v>1539</v>
      </c>
      <c r="D275" s="5" t="s">
        <v>1540</v>
      </c>
      <c r="E275" s="5" t="s">
        <v>1541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11" t="s">
        <v>46</v>
      </c>
      <c r="Q275" s="5">
        <v>229.9854</v>
      </c>
      <c r="R275" s="5">
        <f t="shared" si="4"/>
        <v>229.9854</v>
      </c>
      <c r="S275" s="5" t="s">
        <v>344</v>
      </c>
      <c r="T275" s="6">
        <v>272</v>
      </c>
      <c r="U275" s="248" t="s">
        <v>1542</v>
      </c>
      <c r="V275" s="232" t="s">
        <v>1539</v>
      </c>
      <c r="W275" s="232">
        <v>9602.2000000000007</v>
      </c>
      <c r="X275" s="232">
        <v>-579.1</v>
      </c>
      <c r="Y275" s="233" t="s">
        <v>49</v>
      </c>
      <c r="Z275" s="87" t="s">
        <v>50</v>
      </c>
      <c r="AA275" s="233" t="s">
        <v>51</v>
      </c>
      <c r="AB275" s="234"/>
      <c r="AC275" s="233">
        <v>1</v>
      </c>
      <c r="AD275" s="233" t="s">
        <v>226</v>
      </c>
      <c r="AE275" s="234"/>
      <c r="AF275" s="234"/>
      <c r="AG275" s="234"/>
      <c r="AH275" s="233"/>
      <c r="AI275" s="233"/>
      <c r="AJ275" s="233"/>
      <c r="AK275" s="233"/>
      <c r="AL275" s="233"/>
      <c r="AM275" s="233"/>
      <c r="AN275" s="233"/>
      <c r="AO275" s="233"/>
      <c r="AP275" s="234"/>
      <c r="AQ275" s="234" t="s">
        <v>333</v>
      </c>
    </row>
    <row r="276" spans="1:43">
      <c r="A276" s="6">
        <v>273</v>
      </c>
      <c r="B276" s="21" t="s">
        <v>1543</v>
      </c>
      <c r="C276" s="5" t="s">
        <v>1544</v>
      </c>
      <c r="D276" s="5" t="s">
        <v>1545</v>
      </c>
      <c r="E276" s="5" t="s">
        <v>1546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11" t="s">
        <v>46</v>
      </c>
      <c r="Q276" s="5">
        <v>254.24870000000001</v>
      </c>
      <c r="R276" s="5">
        <f t="shared" si="4"/>
        <v>254.24870000000001</v>
      </c>
      <c r="S276" s="5" t="s">
        <v>685</v>
      </c>
      <c r="T276" s="6">
        <v>273</v>
      </c>
      <c r="U276" s="248" t="s">
        <v>1547</v>
      </c>
      <c r="V276" s="232" t="s">
        <v>1544</v>
      </c>
      <c r="W276" s="232">
        <v>8891</v>
      </c>
      <c r="X276" s="232">
        <v>-579.1</v>
      </c>
      <c r="Y276" s="233" t="s">
        <v>49</v>
      </c>
      <c r="Z276" s="87" t="s">
        <v>50</v>
      </c>
      <c r="AA276" s="233" t="s">
        <v>51</v>
      </c>
      <c r="AB276" s="234"/>
      <c r="AC276" s="233">
        <v>1</v>
      </c>
      <c r="AD276" s="233" t="s">
        <v>226</v>
      </c>
      <c r="AE276" s="234"/>
      <c r="AF276" s="234"/>
      <c r="AG276" s="234"/>
      <c r="AH276" s="233"/>
      <c r="AI276" s="233"/>
      <c r="AJ276" s="233"/>
      <c r="AK276" s="233"/>
      <c r="AL276" s="233"/>
      <c r="AM276" s="233"/>
      <c r="AN276" s="233"/>
      <c r="AO276" s="233"/>
      <c r="AP276" s="234"/>
      <c r="AQ276" s="234" t="s">
        <v>333</v>
      </c>
    </row>
    <row r="277" spans="1:43">
      <c r="A277" s="6">
        <v>274</v>
      </c>
      <c r="B277" s="21" t="s">
        <v>1548</v>
      </c>
      <c r="C277" s="5" t="s">
        <v>1549</v>
      </c>
      <c r="D277" s="5" t="s">
        <v>1550</v>
      </c>
      <c r="E277" s="5" t="s">
        <v>1551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11" t="s">
        <v>46</v>
      </c>
      <c r="Q277" s="5">
        <v>178.11330000000001</v>
      </c>
      <c r="R277" s="5">
        <f t="shared" si="4"/>
        <v>178.11330000000001</v>
      </c>
      <c r="S277" s="5" t="s">
        <v>732</v>
      </c>
      <c r="T277" s="6">
        <v>274</v>
      </c>
      <c r="U277" s="248" t="s">
        <v>1552</v>
      </c>
      <c r="V277" s="232" t="s">
        <v>1549</v>
      </c>
      <c r="W277" s="232">
        <v>10313.4</v>
      </c>
      <c r="X277" s="232">
        <v>-579.1</v>
      </c>
      <c r="Y277" s="233" t="s">
        <v>49</v>
      </c>
      <c r="Z277" s="87" t="s">
        <v>50</v>
      </c>
      <c r="AA277" s="233" t="s">
        <v>51</v>
      </c>
      <c r="AB277" s="234"/>
      <c r="AC277" s="233">
        <v>1</v>
      </c>
      <c r="AD277" s="233" t="s">
        <v>226</v>
      </c>
      <c r="AE277" s="234"/>
      <c r="AF277" s="234"/>
      <c r="AG277" s="234"/>
      <c r="AH277" s="233"/>
      <c r="AI277" s="233"/>
      <c r="AJ277" s="233"/>
      <c r="AK277" s="233"/>
      <c r="AL277" s="233"/>
      <c r="AM277" s="233"/>
      <c r="AN277" s="233"/>
      <c r="AO277" s="233"/>
      <c r="AP277" s="234"/>
      <c r="AQ277" s="234" t="s">
        <v>333</v>
      </c>
    </row>
    <row r="278" spans="1:43">
      <c r="A278" s="6">
        <v>275</v>
      </c>
      <c r="B278" s="21" t="s">
        <v>1553</v>
      </c>
      <c r="C278" s="5" t="s">
        <v>1554</v>
      </c>
      <c r="D278" s="5" t="s">
        <v>1555</v>
      </c>
      <c r="E278" s="5" t="s">
        <v>1556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11" t="s">
        <v>46</v>
      </c>
      <c r="Q278" s="5">
        <v>166.2183</v>
      </c>
      <c r="R278" s="5">
        <f t="shared" si="4"/>
        <v>166.2183</v>
      </c>
      <c r="S278" s="5" t="s">
        <v>706</v>
      </c>
      <c r="T278" s="6">
        <v>275</v>
      </c>
      <c r="U278" s="248" t="s">
        <v>1557</v>
      </c>
      <c r="V278" s="232" t="s">
        <v>1554</v>
      </c>
      <c r="W278" s="232">
        <v>11024.6</v>
      </c>
      <c r="X278" s="232">
        <v>-579.1</v>
      </c>
      <c r="Y278" s="233" t="s">
        <v>49</v>
      </c>
      <c r="Z278" s="87" t="s">
        <v>50</v>
      </c>
      <c r="AA278" s="233" t="s">
        <v>51</v>
      </c>
      <c r="AB278" s="234"/>
      <c r="AC278" s="233">
        <v>1</v>
      </c>
      <c r="AD278" s="233" t="s">
        <v>226</v>
      </c>
      <c r="AE278" s="234"/>
      <c r="AF278" s="234"/>
      <c r="AG278" s="234"/>
      <c r="AH278" s="233"/>
      <c r="AI278" s="233"/>
      <c r="AJ278" s="233"/>
      <c r="AK278" s="233"/>
      <c r="AL278" s="233"/>
      <c r="AM278" s="233"/>
      <c r="AN278" s="233"/>
      <c r="AO278" s="233"/>
      <c r="AP278" s="234"/>
      <c r="AQ278" s="234" t="s">
        <v>333</v>
      </c>
    </row>
    <row r="279" spans="1:43">
      <c r="A279" s="6">
        <v>276</v>
      </c>
      <c r="B279" s="21" t="s">
        <v>1558</v>
      </c>
      <c r="C279" s="5" t="s">
        <v>1559</v>
      </c>
      <c r="D279" s="5" t="s">
        <v>1560</v>
      </c>
      <c r="E279" s="5" t="s">
        <v>1561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11" t="s">
        <v>46</v>
      </c>
      <c r="Q279" s="5">
        <v>139.34739999999999</v>
      </c>
      <c r="R279" s="5">
        <f t="shared" si="4"/>
        <v>139.34739999999999</v>
      </c>
      <c r="S279" s="5" t="s">
        <v>74</v>
      </c>
      <c r="T279" s="6">
        <v>276</v>
      </c>
      <c r="U279" s="248" t="s">
        <v>1562</v>
      </c>
      <c r="V279" s="232" t="s">
        <v>1559</v>
      </c>
      <c r="W279" s="232">
        <v>11912.6</v>
      </c>
      <c r="X279" s="232">
        <v>-4017</v>
      </c>
      <c r="Y279" s="233" t="s">
        <v>49</v>
      </c>
      <c r="Z279" s="87" t="s">
        <v>50</v>
      </c>
      <c r="AA279" s="233" t="s">
        <v>51</v>
      </c>
      <c r="AB279" s="234"/>
      <c r="AC279" s="233">
        <v>1</v>
      </c>
      <c r="AD279" s="233" t="s">
        <v>226</v>
      </c>
      <c r="AE279" s="234"/>
      <c r="AF279" s="234"/>
      <c r="AG279" s="234"/>
      <c r="AH279" s="233"/>
      <c r="AI279" s="233"/>
      <c r="AJ279" s="233"/>
      <c r="AK279" s="233"/>
      <c r="AL279" s="233"/>
      <c r="AM279" s="233"/>
      <c r="AN279" s="233"/>
      <c r="AO279" s="233"/>
      <c r="AP279" s="234"/>
      <c r="AQ279" s="234" t="s">
        <v>333</v>
      </c>
    </row>
    <row r="280" spans="1:43">
      <c r="A280" s="6">
        <v>277</v>
      </c>
      <c r="B280" s="21" t="s">
        <v>1563</v>
      </c>
      <c r="C280" s="5" t="s">
        <v>1564</v>
      </c>
      <c r="D280" s="5" t="s">
        <v>1565</v>
      </c>
      <c r="E280" s="5" t="s">
        <v>1566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11" t="s">
        <v>46</v>
      </c>
      <c r="Q280" s="5">
        <v>185.43469999999999</v>
      </c>
      <c r="R280" s="5">
        <f t="shared" si="4"/>
        <v>185.43469999999999</v>
      </c>
      <c r="S280" s="5" t="s">
        <v>732</v>
      </c>
      <c r="T280" s="6">
        <v>277</v>
      </c>
      <c r="U280" s="248" t="s">
        <v>1567</v>
      </c>
      <c r="V280" s="232" t="s">
        <v>1564</v>
      </c>
      <c r="W280" s="232">
        <v>12285.7</v>
      </c>
      <c r="X280" s="232">
        <v>-3389.9</v>
      </c>
      <c r="Y280" s="233" t="s">
        <v>49</v>
      </c>
      <c r="Z280" s="87" t="s">
        <v>50</v>
      </c>
      <c r="AA280" s="233" t="s">
        <v>51</v>
      </c>
      <c r="AB280" s="234"/>
      <c r="AC280" s="233">
        <v>1</v>
      </c>
      <c r="AD280" s="233" t="s">
        <v>226</v>
      </c>
      <c r="AE280" s="234"/>
      <c r="AF280" s="234"/>
      <c r="AG280" s="234"/>
      <c r="AH280" s="233"/>
      <c r="AI280" s="233"/>
      <c r="AJ280" s="233"/>
      <c r="AK280" s="233"/>
      <c r="AL280" s="233"/>
      <c r="AM280" s="233"/>
      <c r="AN280" s="233"/>
      <c r="AO280" s="233"/>
      <c r="AP280" s="234"/>
      <c r="AQ280" s="234" t="s">
        <v>333</v>
      </c>
    </row>
    <row r="281" spans="1:43">
      <c r="A281" s="6">
        <v>278</v>
      </c>
      <c r="B281" s="21" t="s">
        <v>1568</v>
      </c>
      <c r="C281" s="5" t="s">
        <v>1569</v>
      </c>
      <c r="D281" s="5" t="s">
        <v>1570</v>
      </c>
      <c r="E281" s="5" t="s">
        <v>1571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11" t="s">
        <v>46</v>
      </c>
      <c r="Q281" s="5">
        <v>151.81800000000001</v>
      </c>
      <c r="R281" s="5">
        <f t="shared" si="4"/>
        <v>151.81800000000001</v>
      </c>
      <c r="S281" s="5" t="s">
        <v>395</v>
      </c>
      <c r="T281" s="6">
        <v>278</v>
      </c>
      <c r="U281" s="248" t="s">
        <v>1572</v>
      </c>
      <c r="V281" s="232" t="s">
        <v>1569</v>
      </c>
      <c r="W281" s="232">
        <v>11455.4</v>
      </c>
      <c r="X281" s="232">
        <v>-3798.6</v>
      </c>
      <c r="Y281" s="233" t="s">
        <v>49</v>
      </c>
      <c r="Z281" s="87" t="s">
        <v>50</v>
      </c>
      <c r="AA281" s="233" t="s">
        <v>51</v>
      </c>
      <c r="AB281" s="234"/>
      <c r="AC281" s="233">
        <v>1</v>
      </c>
      <c r="AD281" s="233" t="s">
        <v>226</v>
      </c>
      <c r="AE281" s="234"/>
      <c r="AF281" s="234"/>
      <c r="AG281" s="234"/>
      <c r="AH281" s="233"/>
      <c r="AI281" s="233"/>
      <c r="AJ281" s="233"/>
      <c r="AK281" s="233"/>
      <c r="AL281" s="233"/>
      <c r="AM281" s="233"/>
      <c r="AN281" s="233"/>
      <c r="AO281" s="233"/>
      <c r="AP281" s="234"/>
      <c r="AQ281" s="234" t="s">
        <v>333</v>
      </c>
    </row>
    <row r="282" spans="1:43">
      <c r="A282" s="6">
        <v>279</v>
      </c>
      <c r="B282" s="21" t="s">
        <v>1573</v>
      </c>
      <c r="C282" s="5" t="s">
        <v>1574</v>
      </c>
      <c r="D282" s="5" t="s">
        <v>1575</v>
      </c>
      <c r="E282" s="5" t="s">
        <v>1576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11" t="s">
        <v>46</v>
      </c>
      <c r="Q282" s="5">
        <v>151.1721</v>
      </c>
      <c r="R282" s="5">
        <f t="shared" si="4"/>
        <v>151.1721</v>
      </c>
      <c r="S282" s="5" t="s">
        <v>395</v>
      </c>
      <c r="T282" s="6">
        <v>279</v>
      </c>
      <c r="U282" s="248" t="s">
        <v>1577</v>
      </c>
      <c r="V282" s="232" t="s">
        <v>1574</v>
      </c>
      <c r="W282" s="232">
        <v>12786.5</v>
      </c>
      <c r="X282" s="232">
        <v>-3389.9</v>
      </c>
      <c r="Y282" s="233" t="s">
        <v>49</v>
      </c>
      <c r="Z282" s="87" t="s">
        <v>50</v>
      </c>
      <c r="AA282" s="233" t="s">
        <v>51</v>
      </c>
      <c r="AB282" s="234"/>
      <c r="AC282" s="233">
        <v>1</v>
      </c>
      <c r="AD282" s="233" t="s">
        <v>226</v>
      </c>
      <c r="AE282" s="234"/>
      <c r="AF282" s="234"/>
      <c r="AG282" s="234"/>
      <c r="AH282" s="233"/>
      <c r="AI282" s="233"/>
      <c r="AJ282" s="233"/>
      <c r="AK282" s="233"/>
      <c r="AL282" s="233"/>
      <c r="AM282" s="233"/>
      <c r="AN282" s="233"/>
      <c r="AO282" s="233"/>
      <c r="AP282" s="234"/>
      <c r="AQ282" s="234" t="s">
        <v>333</v>
      </c>
    </row>
    <row r="283" spans="1:43">
      <c r="A283" s="6">
        <v>280</v>
      </c>
      <c r="B283" s="21" t="s">
        <v>1578</v>
      </c>
      <c r="C283" s="5" t="s">
        <v>1579</v>
      </c>
      <c r="D283" s="5" t="s">
        <v>1580</v>
      </c>
      <c r="E283" s="5" t="s">
        <v>1581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11" t="s">
        <v>46</v>
      </c>
      <c r="Q283" s="5">
        <v>105.9817</v>
      </c>
      <c r="R283" s="5">
        <f t="shared" si="4"/>
        <v>105.9817</v>
      </c>
      <c r="S283" s="5" t="s">
        <v>60</v>
      </c>
      <c r="T283" s="6">
        <v>280</v>
      </c>
      <c r="U283" s="249" t="s">
        <v>1582</v>
      </c>
      <c r="V283" s="232" t="s">
        <v>1579</v>
      </c>
      <c r="W283" s="232">
        <v>12786.5</v>
      </c>
      <c r="X283" s="232">
        <v>5587</v>
      </c>
      <c r="Y283" s="233" t="s">
        <v>49</v>
      </c>
      <c r="Z283" s="87" t="s">
        <v>50</v>
      </c>
      <c r="AA283" s="233" t="s">
        <v>51</v>
      </c>
      <c r="AB283" s="234"/>
      <c r="AC283" s="233">
        <v>1</v>
      </c>
      <c r="AD283" s="233" t="s">
        <v>226</v>
      </c>
      <c r="AE283" s="234"/>
      <c r="AF283" s="234"/>
      <c r="AG283" s="234"/>
      <c r="AH283" s="233"/>
      <c r="AI283" s="233"/>
      <c r="AJ283" s="233"/>
      <c r="AK283" s="233"/>
      <c r="AL283" s="233"/>
      <c r="AM283" s="233"/>
      <c r="AN283" s="233"/>
      <c r="AO283" s="233"/>
      <c r="AP283" s="234"/>
      <c r="AQ283" s="234" t="s">
        <v>333</v>
      </c>
    </row>
    <row r="284" spans="1:43">
      <c r="A284" s="6">
        <v>281</v>
      </c>
      <c r="B284" s="21" t="s">
        <v>1583</v>
      </c>
      <c r="C284" s="5" t="s">
        <v>1584</v>
      </c>
      <c r="D284" s="5" t="s">
        <v>1585</v>
      </c>
      <c r="E284" s="5" t="s">
        <v>1586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11" t="s">
        <v>46</v>
      </c>
      <c r="Q284" s="5">
        <v>127.6212</v>
      </c>
      <c r="R284" s="5">
        <f t="shared" si="4"/>
        <v>127.6212</v>
      </c>
      <c r="S284" s="5" t="s">
        <v>74</v>
      </c>
      <c r="T284" s="6">
        <v>281</v>
      </c>
      <c r="U284" s="249" t="s">
        <v>1587</v>
      </c>
      <c r="V284" s="232" t="s">
        <v>1584</v>
      </c>
      <c r="W284" s="232">
        <v>12159</v>
      </c>
      <c r="X284" s="232">
        <v>5080</v>
      </c>
      <c r="Y284" s="233" t="s">
        <v>49</v>
      </c>
      <c r="Z284" s="87" t="s">
        <v>50</v>
      </c>
      <c r="AA284" s="233" t="s">
        <v>51</v>
      </c>
      <c r="AB284" s="234"/>
      <c r="AC284" s="233">
        <v>1</v>
      </c>
      <c r="AD284" s="233" t="s">
        <v>226</v>
      </c>
      <c r="AE284" s="234"/>
      <c r="AF284" s="234"/>
      <c r="AG284" s="234"/>
      <c r="AH284" s="233"/>
      <c r="AI284" s="233"/>
      <c r="AJ284" s="233"/>
      <c r="AK284" s="233"/>
      <c r="AL284" s="233"/>
      <c r="AM284" s="233"/>
      <c r="AN284" s="233"/>
      <c r="AO284" s="233"/>
      <c r="AP284" s="234"/>
      <c r="AQ284" s="234" t="s">
        <v>333</v>
      </c>
    </row>
    <row r="285" spans="1:43">
      <c r="A285" s="6">
        <v>282</v>
      </c>
      <c r="B285" s="21" t="s">
        <v>1588</v>
      </c>
      <c r="C285" s="5" t="s">
        <v>1589</v>
      </c>
      <c r="D285" s="5" t="s">
        <v>1590</v>
      </c>
      <c r="E285" s="5" t="s">
        <v>1591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11" t="s">
        <v>46</v>
      </c>
      <c r="Q285" s="5">
        <v>111.17449999999999</v>
      </c>
      <c r="R285" s="5">
        <f t="shared" si="4"/>
        <v>111.17449999999999</v>
      </c>
      <c r="S285" s="5" t="s">
        <v>60</v>
      </c>
      <c r="T285" s="6">
        <v>282</v>
      </c>
      <c r="U285" s="249" t="s">
        <v>1592</v>
      </c>
      <c r="V285" s="232" t="s">
        <v>1589</v>
      </c>
      <c r="W285" s="232">
        <v>12915.4</v>
      </c>
      <c r="X285" s="232">
        <v>4068.1</v>
      </c>
      <c r="Y285" s="233" t="s">
        <v>49</v>
      </c>
      <c r="Z285" s="87" t="s">
        <v>50</v>
      </c>
      <c r="AA285" s="233" t="s">
        <v>51</v>
      </c>
      <c r="AB285" s="234"/>
      <c r="AC285" s="233">
        <v>1</v>
      </c>
      <c r="AD285" s="233" t="s">
        <v>226</v>
      </c>
      <c r="AE285" s="234"/>
      <c r="AF285" s="234"/>
      <c r="AG285" s="234"/>
      <c r="AH285" s="233"/>
      <c r="AI285" s="233"/>
      <c r="AJ285" s="233"/>
      <c r="AK285" s="233"/>
      <c r="AL285" s="233"/>
      <c r="AM285" s="233"/>
      <c r="AN285" s="233"/>
      <c r="AO285" s="233"/>
      <c r="AP285" s="234"/>
      <c r="AQ285" s="234" t="s">
        <v>333</v>
      </c>
    </row>
    <row r="286" spans="1:43">
      <c r="A286" s="6">
        <v>283</v>
      </c>
      <c r="B286" s="21" t="s">
        <v>1593</v>
      </c>
      <c r="C286" s="5" t="s">
        <v>1594</v>
      </c>
      <c r="D286" s="5" t="s">
        <v>1595</v>
      </c>
      <c r="E286" s="5" t="s">
        <v>1596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11" t="s">
        <v>46</v>
      </c>
      <c r="Q286" s="5">
        <v>164.35499999999999</v>
      </c>
      <c r="R286" s="5">
        <f t="shared" si="4"/>
        <v>164.35499999999999</v>
      </c>
      <c r="S286" s="5" t="s">
        <v>706</v>
      </c>
      <c r="T286" s="6">
        <v>283</v>
      </c>
      <c r="U286" s="249" t="s">
        <v>1597</v>
      </c>
      <c r="V286" s="232" t="s">
        <v>1594</v>
      </c>
      <c r="W286" s="232">
        <v>11697.7</v>
      </c>
      <c r="X286" s="232">
        <v>4471.3999999999996</v>
      </c>
      <c r="Y286" s="233" t="s">
        <v>49</v>
      </c>
      <c r="Z286" s="87" t="s">
        <v>50</v>
      </c>
      <c r="AA286" s="233" t="s">
        <v>51</v>
      </c>
      <c r="AB286" s="234"/>
      <c r="AC286" s="233">
        <v>1</v>
      </c>
      <c r="AD286" s="233" t="s">
        <v>226</v>
      </c>
      <c r="AE286" s="234"/>
      <c r="AF286" s="234"/>
      <c r="AG286" s="234"/>
      <c r="AH286" s="233"/>
      <c r="AI286" s="233"/>
      <c r="AJ286" s="233"/>
      <c r="AK286" s="233"/>
      <c r="AL286" s="233"/>
      <c r="AM286" s="233"/>
      <c r="AN286" s="233"/>
      <c r="AO286" s="233"/>
      <c r="AP286" s="234"/>
      <c r="AQ286" s="234" t="s">
        <v>333</v>
      </c>
    </row>
    <row r="287" spans="1:43">
      <c r="A287" s="6">
        <v>284</v>
      </c>
      <c r="B287" s="21" t="s">
        <v>1598</v>
      </c>
      <c r="C287" s="5" t="s">
        <v>1599</v>
      </c>
      <c r="D287" s="5" t="s">
        <v>1600</v>
      </c>
      <c r="E287" s="5" t="s">
        <v>1601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11" t="s">
        <v>46</v>
      </c>
      <c r="Q287" s="5">
        <v>230.91030000000001</v>
      </c>
      <c r="R287" s="5">
        <f t="shared" si="4"/>
        <v>230.91030000000001</v>
      </c>
      <c r="S287" s="5" t="s">
        <v>344</v>
      </c>
      <c r="T287" s="6">
        <v>284</v>
      </c>
      <c r="U287" s="249" t="s">
        <v>1602</v>
      </c>
      <c r="V287" s="232" t="s">
        <v>1599</v>
      </c>
      <c r="W287" s="232">
        <v>10289.299999999999</v>
      </c>
      <c r="X287" s="232">
        <v>5521.3</v>
      </c>
      <c r="Y287" s="233" t="s">
        <v>49</v>
      </c>
      <c r="Z287" s="87" t="s">
        <v>50</v>
      </c>
      <c r="AA287" s="233" t="s">
        <v>51</v>
      </c>
      <c r="AB287" s="234"/>
      <c r="AC287" s="233">
        <v>1</v>
      </c>
      <c r="AD287" s="233" t="s">
        <v>226</v>
      </c>
      <c r="AE287" s="234"/>
      <c r="AF287" s="234"/>
      <c r="AG287" s="234"/>
      <c r="AH287" s="233"/>
      <c r="AI287" s="233"/>
      <c r="AJ287" s="233"/>
      <c r="AK287" s="233"/>
      <c r="AL287" s="233"/>
      <c r="AM287" s="233"/>
      <c r="AN287" s="233"/>
      <c r="AO287" s="233"/>
      <c r="AP287" s="234"/>
      <c r="AQ287" s="234" t="s">
        <v>333</v>
      </c>
    </row>
    <row r="288" spans="1:43">
      <c r="A288" s="6">
        <v>285</v>
      </c>
      <c r="B288" s="21" t="s">
        <v>1603</v>
      </c>
      <c r="C288" s="5" t="s">
        <v>1604</v>
      </c>
      <c r="D288" s="5" t="s">
        <v>1605</v>
      </c>
      <c r="E288" s="5" t="s">
        <v>1606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11" t="s">
        <v>46</v>
      </c>
      <c r="Q288" s="5">
        <v>175.1037</v>
      </c>
      <c r="R288" s="5">
        <f t="shared" si="4"/>
        <v>175.1037</v>
      </c>
      <c r="S288" s="5" t="s">
        <v>732</v>
      </c>
      <c r="T288" s="6">
        <v>285</v>
      </c>
      <c r="U288" s="249" t="s">
        <v>1607</v>
      </c>
      <c r="V288" s="232" t="s">
        <v>1604</v>
      </c>
      <c r="W288" s="232">
        <v>9665.7000000000007</v>
      </c>
      <c r="X288" s="232">
        <v>5133.3</v>
      </c>
      <c r="Y288" s="233" t="s">
        <v>49</v>
      </c>
      <c r="Z288" s="87" t="s">
        <v>50</v>
      </c>
      <c r="AA288" s="233" t="s">
        <v>51</v>
      </c>
      <c r="AB288" s="234"/>
      <c r="AC288" s="233">
        <v>1</v>
      </c>
      <c r="AD288" s="233" t="s">
        <v>226</v>
      </c>
      <c r="AE288" s="234"/>
      <c r="AF288" s="234"/>
      <c r="AG288" s="234"/>
      <c r="AH288" s="233"/>
      <c r="AI288" s="233"/>
      <c r="AJ288" s="233"/>
      <c r="AK288" s="233"/>
      <c r="AL288" s="233"/>
      <c r="AM288" s="233"/>
      <c r="AN288" s="233"/>
      <c r="AO288" s="233"/>
      <c r="AP288" s="234"/>
      <c r="AQ288" s="234" t="s">
        <v>333</v>
      </c>
    </row>
    <row r="289" spans="1:43">
      <c r="A289" s="6">
        <v>286</v>
      </c>
      <c r="B289" s="21" t="s">
        <v>1608</v>
      </c>
      <c r="C289" s="5" t="s">
        <v>1609</v>
      </c>
      <c r="D289" s="5" t="s">
        <v>1610</v>
      </c>
      <c r="E289" s="5" t="s">
        <v>1611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11" t="s">
        <v>46</v>
      </c>
      <c r="Q289" s="5">
        <v>144.70509999999999</v>
      </c>
      <c r="R289" s="5">
        <f t="shared" si="4"/>
        <v>144.70509999999999</v>
      </c>
      <c r="S289" s="5" t="s">
        <v>395</v>
      </c>
      <c r="T289" s="6">
        <v>286</v>
      </c>
      <c r="U289" s="249" t="s">
        <v>1612</v>
      </c>
      <c r="V289" s="232" t="s">
        <v>1609</v>
      </c>
      <c r="W289" s="232">
        <v>8983.5</v>
      </c>
      <c r="X289" s="232">
        <v>4897.1000000000004</v>
      </c>
      <c r="Y289" s="233" t="s">
        <v>49</v>
      </c>
      <c r="Z289" s="87" t="s">
        <v>50</v>
      </c>
      <c r="AA289" s="233" t="s">
        <v>51</v>
      </c>
      <c r="AB289" s="234"/>
      <c r="AC289" s="233">
        <v>1</v>
      </c>
      <c r="AD289" s="233" t="s">
        <v>226</v>
      </c>
      <c r="AE289" s="234"/>
      <c r="AF289" s="234"/>
      <c r="AG289" s="234"/>
      <c r="AH289" s="233"/>
      <c r="AI289" s="233"/>
      <c r="AJ289" s="233"/>
      <c r="AK289" s="233"/>
      <c r="AL289" s="233"/>
      <c r="AM289" s="233"/>
      <c r="AN289" s="233"/>
      <c r="AO289" s="233"/>
      <c r="AP289" s="234"/>
      <c r="AQ289" s="234" t="s">
        <v>333</v>
      </c>
    </row>
    <row r="290" spans="1:43">
      <c r="A290" s="6">
        <v>287</v>
      </c>
      <c r="B290" s="21" t="s">
        <v>1613</v>
      </c>
      <c r="C290" s="5" t="s">
        <v>1614</v>
      </c>
      <c r="D290" s="5" t="s">
        <v>1615</v>
      </c>
      <c r="E290" s="5" t="s">
        <v>1616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11" t="s">
        <v>46</v>
      </c>
      <c r="Q290" s="5">
        <v>108.6001</v>
      </c>
      <c r="R290" s="5">
        <f t="shared" si="4"/>
        <v>108.6001</v>
      </c>
      <c r="S290" s="5" t="s">
        <v>67</v>
      </c>
      <c r="T290" s="6">
        <v>287</v>
      </c>
      <c r="U290" s="249" t="s">
        <v>1617</v>
      </c>
      <c r="V290" s="232" t="s">
        <v>1614</v>
      </c>
      <c r="W290" s="232">
        <v>6950.9</v>
      </c>
      <c r="X290" s="232">
        <v>5316.6</v>
      </c>
      <c r="Y290" s="233" t="s">
        <v>49</v>
      </c>
      <c r="Z290" s="87" t="s">
        <v>50</v>
      </c>
      <c r="AA290" s="233" t="s">
        <v>51</v>
      </c>
      <c r="AB290" s="234"/>
      <c r="AC290" s="233">
        <v>1</v>
      </c>
      <c r="AD290" s="233" t="s">
        <v>226</v>
      </c>
      <c r="AE290" s="234"/>
      <c r="AF290" s="234"/>
      <c r="AG290" s="234"/>
      <c r="AH290" s="233"/>
      <c r="AI290" s="233"/>
      <c r="AJ290" s="233"/>
      <c r="AK290" s="233"/>
      <c r="AL290" s="233"/>
      <c r="AM290" s="233"/>
      <c r="AN290" s="233"/>
      <c r="AO290" s="233"/>
      <c r="AP290" s="234"/>
      <c r="AQ290" s="234" t="s">
        <v>333</v>
      </c>
    </row>
    <row r="291" spans="1:43">
      <c r="A291" s="6">
        <v>288</v>
      </c>
      <c r="B291" s="21" t="s">
        <v>1618</v>
      </c>
      <c r="C291" s="5" t="s">
        <v>1619</v>
      </c>
      <c r="D291" s="5" t="s">
        <v>1620</v>
      </c>
      <c r="E291" s="5" t="s">
        <v>1621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11" t="s">
        <v>46</v>
      </c>
      <c r="Q291" s="5">
        <v>114.8323</v>
      </c>
      <c r="R291" s="5">
        <f t="shared" si="4"/>
        <v>114.8323</v>
      </c>
      <c r="S291" s="5" t="s">
        <v>74</v>
      </c>
      <c r="T291" s="6">
        <v>288</v>
      </c>
      <c r="U291" s="249" t="s">
        <v>1622</v>
      </c>
      <c r="V291" s="232" t="s">
        <v>1619</v>
      </c>
      <c r="W291" s="232">
        <v>7674.8</v>
      </c>
      <c r="X291" s="232">
        <v>5316.6</v>
      </c>
      <c r="Y291" s="233" t="s">
        <v>49</v>
      </c>
      <c r="Z291" s="87" t="s">
        <v>50</v>
      </c>
      <c r="AA291" s="233" t="s">
        <v>51</v>
      </c>
      <c r="AB291" s="234"/>
      <c r="AC291" s="233">
        <v>1</v>
      </c>
      <c r="AD291" s="233" t="s">
        <v>226</v>
      </c>
      <c r="AE291" s="234"/>
      <c r="AF291" s="234"/>
      <c r="AG291" s="234"/>
      <c r="AH291" s="233"/>
      <c r="AI291" s="233"/>
      <c r="AJ291" s="233"/>
      <c r="AK291" s="233"/>
      <c r="AL291" s="233"/>
      <c r="AM291" s="233"/>
      <c r="AN291" s="233"/>
      <c r="AO291" s="233"/>
      <c r="AP291" s="234"/>
      <c r="AQ291" s="234" t="s">
        <v>333</v>
      </c>
    </row>
    <row r="292" spans="1:43">
      <c r="A292" s="6">
        <v>289</v>
      </c>
      <c r="B292" s="21" t="s">
        <v>1623</v>
      </c>
      <c r="C292" s="5" t="s">
        <v>1624</v>
      </c>
      <c r="D292" s="5" t="s">
        <v>1625</v>
      </c>
      <c r="E292" s="5" t="s">
        <v>1626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11" t="s">
        <v>46</v>
      </c>
      <c r="Q292" s="5">
        <v>123.3223</v>
      </c>
      <c r="R292" s="5">
        <f t="shared" si="4"/>
        <v>123.3223</v>
      </c>
      <c r="S292" s="5" t="s">
        <v>67</v>
      </c>
      <c r="T292" s="6">
        <v>289</v>
      </c>
      <c r="U292" s="249" t="s">
        <v>1627</v>
      </c>
      <c r="V292" s="232" t="s">
        <v>1624</v>
      </c>
      <c r="W292" s="232">
        <v>12413</v>
      </c>
      <c r="X292" s="232">
        <v>4098.3</v>
      </c>
      <c r="Y292" s="233" t="s">
        <v>49</v>
      </c>
      <c r="Z292" s="87" t="s">
        <v>50</v>
      </c>
      <c r="AA292" s="233" t="s">
        <v>51</v>
      </c>
      <c r="AB292" s="234"/>
      <c r="AC292" s="233">
        <v>1</v>
      </c>
      <c r="AD292" s="233" t="s">
        <v>226</v>
      </c>
      <c r="AE292" s="234"/>
      <c r="AF292" s="234"/>
      <c r="AG292" s="234"/>
      <c r="AH292" s="233"/>
      <c r="AI292" s="233"/>
      <c r="AJ292" s="233"/>
      <c r="AK292" s="233"/>
      <c r="AL292" s="233"/>
      <c r="AM292" s="233"/>
      <c r="AN292" s="233"/>
      <c r="AO292" s="233"/>
      <c r="AP292" s="234"/>
      <c r="AQ292" s="234" t="s">
        <v>333</v>
      </c>
    </row>
    <row r="293" spans="1:43">
      <c r="A293" s="6">
        <v>290</v>
      </c>
      <c r="B293" s="21" t="s">
        <v>1628</v>
      </c>
      <c r="C293" s="5" t="s">
        <v>1629</v>
      </c>
      <c r="D293" s="5" t="s">
        <v>1630</v>
      </c>
      <c r="E293" s="5" t="s">
        <v>1631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11" t="s">
        <v>46</v>
      </c>
      <c r="Q293" s="5">
        <v>129.24209999999999</v>
      </c>
      <c r="R293" s="5">
        <f t="shared" si="4"/>
        <v>129.24209999999999</v>
      </c>
      <c r="S293" s="5" t="s">
        <v>395</v>
      </c>
      <c r="T293" s="6">
        <v>290</v>
      </c>
      <c r="U293" s="249" t="s">
        <v>1632</v>
      </c>
      <c r="V293" s="232" t="s">
        <v>1629</v>
      </c>
      <c r="W293" s="232">
        <v>12285.7</v>
      </c>
      <c r="X293" s="232">
        <v>5587</v>
      </c>
      <c r="Y293" s="233" t="s">
        <v>49</v>
      </c>
      <c r="Z293" s="87" t="s">
        <v>50</v>
      </c>
      <c r="AA293" s="233" t="s">
        <v>51</v>
      </c>
      <c r="AB293" s="234"/>
      <c r="AC293" s="233">
        <v>1</v>
      </c>
      <c r="AD293" s="233" t="s">
        <v>226</v>
      </c>
      <c r="AE293" s="234"/>
      <c r="AF293" s="234"/>
      <c r="AG293" s="234"/>
      <c r="AH293" s="233"/>
      <c r="AI293" s="233"/>
      <c r="AJ293" s="233"/>
      <c r="AK293" s="233"/>
      <c r="AL293" s="233"/>
      <c r="AM293" s="233"/>
      <c r="AN293" s="233"/>
      <c r="AO293" s="233"/>
      <c r="AP293" s="234"/>
      <c r="AQ293" s="234" t="s">
        <v>333</v>
      </c>
    </row>
    <row r="294" spans="1:43">
      <c r="A294" s="6">
        <v>291</v>
      </c>
      <c r="B294" s="21" t="s">
        <v>1633</v>
      </c>
      <c r="C294" s="5" t="s">
        <v>1634</v>
      </c>
      <c r="D294" s="5" t="s">
        <v>1635</v>
      </c>
      <c r="E294" s="5" t="s">
        <v>1636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11" t="s">
        <v>46</v>
      </c>
      <c r="Q294" s="5">
        <v>96.297799999999995</v>
      </c>
      <c r="R294" s="5">
        <f t="shared" si="4"/>
        <v>96.297799999999995</v>
      </c>
      <c r="S294" s="5" t="s">
        <v>60</v>
      </c>
      <c r="T294" s="6">
        <v>291</v>
      </c>
      <c r="U294" s="249" t="s">
        <v>1637</v>
      </c>
      <c r="V294" s="232" t="s">
        <v>1634</v>
      </c>
      <c r="W294" s="232">
        <v>6950.9</v>
      </c>
      <c r="X294" s="232">
        <v>4325.8999999999996</v>
      </c>
      <c r="Y294" s="233" t="s">
        <v>49</v>
      </c>
      <c r="Z294" s="87" t="s">
        <v>50</v>
      </c>
      <c r="AA294" s="233" t="s">
        <v>51</v>
      </c>
      <c r="AB294" s="234"/>
      <c r="AC294" s="233">
        <v>1</v>
      </c>
      <c r="AD294" s="233" t="s">
        <v>226</v>
      </c>
      <c r="AE294" s="234"/>
      <c r="AF294" s="234"/>
      <c r="AG294" s="234"/>
      <c r="AH294" s="233"/>
      <c r="AI294" s="233"/>
      <c r="AJ294" s="233"/>
      <c r="AK294" s="233"/>
      <c r="AL294" s="233"/>
      <c r="AM294" s="233"/>
      <c r="AN294" s="233"/>
      <c r="AO294" s="233"/>
      <c r="AP294" s="234"/>
      <c r="AQ294" s="234" t="s">
        <v>333</v>
      </c>
    </row>
    <row r="295" spans="1:43">
      <c r="A295" s="6">
        <v>292</v>
      </c>
      <c r="B295" s="21" t="s">
        <v>1638</v>
      </c>
      <c r="C295" s="5" t="s">
        <v>1639</v>
      </c>
      <c r="D295" s="5" t="s">
        <v>1640</v>
      </c>
      <c r="E295" s="5" t="s">
        <v>1641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11" t="s">
        <v>46</v>
      </c>
      <c r="Q295" s="5">
        <v>123.5389</v>
      </c>
      <c r="R295" s="5">
        <f t="shared" si="4"/>
        <v>123.5389</v>
      </c>
      <c r="S295" s="5" t="s">
        <v>67</v>
      </c>
      <c r="T295" s="6">
        <v>292</v>
      </c>
      <c r="U295" s="249" t="s">
        <v>1642</v>
      </c>
      <c r="V295" s="232" t="s">
        <v>1639</v>
      </c>
      <c r="W295" s="232">
        <v>7674.8</v>
      </c>
      <c r="X295" s="232">
        <v>4325.8999999999996</v>
      </c>
      <c r="Y295" s="233" t="s">
        <v>49</v>
      </c>
      <c r="Z295" s="87" t="s">
        <v>50</v>
      </c>
      <c r="AA295" s="233" t="s">
        <v>51</v>
      </c>
      <c r="AB295" s="234"/>
      <c r="AC295" s="233">
        <v>1</v>
      </c>
      <c r="AD295" s="233" t="s">
        <v>226</v>
      </c>
      <c r="AE295" s="234"/>
      <c r="AF295" s="234"/>
      <c r="AG295" s="234"/>
      <c r="AH295" s="233"/>
      <c r="AI295" s="233"/>
      <c r="AJ295" s="233"/>
      <c r="AK295" s="233"/>
      <c r="AL295" s="233"/>
      <c r="AM295" s="233"/>
      <c r="AN295" s="233"/>
      <c r="AO295" s="233"/>
      <c r="AP295" s="234"/>
      <c r="AQ295" s="234" t="s">
        <v>333</v>
      </c>
    </row>
    <row r="296" spans="1:43">
      <c r="A296" s="6">
        <v>293</v>
      </c>
      <c r="B296" s="21" t="s">
        <v>1643</v>
      </c>
      <c r="C296" s="5" t="s">
        <v>1644</v>
      </c>
      <c r="D296" s="5" t="s">
        <v>1645</v>
      </c>
      <c r="E296" s="5" t="s">
        <v>1646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11" t="s">
        <v>46</v>
      </c>
      <c r="Q296" s="5">
        <v>121.7196</v>
      </c>
      <c r="R296" s="5">
        <f t="shared" si="4"/>
        <v>121.7196</v>
      </c>
      <c r="S296" s="5" t="s">
        <v>74</v>
      </c>
      <c r="T296" s="6">
        <v>293</v>
      </c>
      <c r="U296" s="249" t="s">
        <v>1647</v>
      </c>
      <c r="V296" s="232" t="s">
        <v>1644</v>
      </c>
      <c r="W296" s="232">
        <v>12217.9</v>
      </c>
      <c r="X296" s="232">
        <v>4563.3999999999996</v>
      </c>
      <c r="Y296" s="233" t="s">
        <v>49</v>
      </c>
      <c r="Z296" s="87" t="s">
        <v>50</v>
      </c>
      <c r="AA296" s="233" t="s">
        <v>51</v>
      </c>
      <c r="AB296" s="234"/>
      <c r="AC296" s="233">
        <v>1</v>
      </c>
      <c r="AD296" s="233" t="s">
        <v>226</v>
      </c>
      <c r="AE296" s="234"/>
      <c r="AF296" s="234"/>
      <c r="AG296" s="234"/>
      <c r="AH296" s="233"/>
      <c r="AI296" s="233"/>
      <c r="AJ296" s="233"/>
      <c r="AK296" s="233"/>
      <c r="AL296" s="233"/>
      <c r="AM296" s="233"/>
      <c r="AN296" s="233"/>
      <c r="AO296" s="233"/>
      <c r="AP296" s="234"/>
      <c r="AQ296" s="234" t="s">
        <v>333</v>
      </c>
    </row>
    <row r="297" spans="1:43">
      <c r="A297" s="6">
        <v>294</v>
      </c>
      <c r="B297" s="21" t="s">
        <v>1648</v>
      </c>
      <c r="C297" s="5" t="s">
        <v>1649</v>
      </c>
      <c r="D297" s="5" t="s">
        <v>1650</v>
      </c>
      <c r="E297" s="5" t="s">
        <v>1651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11" t="s">
        <v>46</v>
      </c>
      <c r="Q297" s="5">
        <v>231.74600000000001</v>
      </c>
      <c r="R297" s="5">
        <f t="shared" si="4"/>
        <v>231.74600000000001</v>
      </c>
      <c r="S297" s="5" t="s">
        <v>344</v>
      </c>
      <c r="T297" s="6">
        <v>294</v>
      </c>
      <c r="U297" s="249" t="s">
        <v>1652</v>
      </c>
      <c r="V297" s="232" t="s">
        <v>1649</v>
      </c>
      <c r="W297" s="232">
        <v>11455.4</v>
      </c>
      <c r="X297" s="232">
        <v>5995.7</v>
      </c>
      <c r="Y297" s="233" t="s">
        <v>49</v>
      </c>
      <c r="Z297" s="87" t="s">
        <v>50</v>
      </c>
      <c r="AA297" s="233" t="s">
        <v>51</v>
      </c>
      <c r="AB297" s="234"/>
      <c r="AC297" s="233">
        <v>1</v>
      </c>
      <c r="AD297" s="233" t="s">
        <v>226</v>
      </c>
      <c r="AE297" s="234"/>
      <c r="AF297" s="234"/>
      <c r="AG297" s="234"/>
      <c r="AH297" s="233"/>
      <c r="AI297" s="233"/>
      <c r="AJ297" s="233"/>
      <c r="AK297" s="233"/>
      <c r="AL297" s="233"/>
      <c r="AM297" s="233"/>
      <c r="AN297" s="233"/>
      <c r="AO297" s="233"/>
      <c r="AP297" s="234"/>
      <c r="AQ297" s="234" t="s">
        <v>333</v>
      </c>
    </row>
    <row r="298" spans="1:43">
      <c r="A298" s="6">
        <v>295</v>
      </c>
      <c r="B298" s="21" t="s">
        <v>1653</v>
      </c>
      <c r="C298" s="5" t="s">
        <v>1654</v>
      </c>
      <c r="D298" s="5" t="s">
        <v>1655</v>
      </c>
      <c r="E298" s="5" t="s">
        <v>1656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11" t="s">
        <v>46</v>
      </c>
      <c r="Q298" s="5">
        <v>113.6777</v>
      </c>
      <c r="R298" s="5">
        <f t="shared" si="4"/>
        <v>113.6777</v>
      </c>
      <c r="S298" s="5" t="s">
        <v>67</v>
      </c>
      <c r="T298" s="6">
        <v>295</v>
      </c>
      <c r="U298" s="249" t="s">
        <v>1657</v>
      </c>
      <c r="V298" s="232" t="s">
        <v>1654</v>
      </c>
      <c r="W298" s="232">
        <v>12702.5</v>
      </c>
      <c r="X298" s="232">
        <v>4926.3</v>
      </c>
      <c r="Y298" s="233" t="s">
        <v>49</v>
      </c>
      <c r="Z298" s="87" t="s">
        <v>50</v>
      </c>
      <c r="AA298" s="233" t="s">
        <v>51</v>
      </c>
      <c r="AB298" s="234"/>
      <c r="AC298" s="233">
        <v>1</v>
      </c>
      <c r="AD298" s="233" t="s">
        <v>226</v>
      </c>
      <c r="AE298" s="234"/>
      <c r="AF298" s="234"/>
      <c r="AG298" s="234"/>
      <c r="AH298" s="233"/>
      <c r="AI298" s="233"/>
      <c r="AJ298" s="233"/>
      <c r="AK298" s="233"/>
      <c r="AL298" s="233"/>
      <c r="AM298" s="233"/>
      <c r="AN298" s="233"/>
      <c r="AO298" s="233"/>
      <c r="AP298" s="234"/>
      <c r="AQ298" s="234" t="s">
        <v>333</v>
      </c>
    </row>
    <row r="299" spans="1:43">
      <c r="A299" s="6">
        <v>296</v>
      </c>
      <c r="B299" s="21" t="s">
        <v>1658</v>
      </c>
      <c r="C299" s="5" t="s">
        <v>1659</v>
      </c>
      <c r="D299" s="5" t="s">
        <v>1660</v>
      </c>
      <c r="E299" s="5" t="s">
        <v>1661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11" t="s">
        <v>46</v>
      </c>
      <c r="Q299" s="5">
        <v>177.06389999999999</v>
      </c>
      <c r="R299" s="5">
        <f t="shared" si="4"/>
        <v>177.06389999999999</v>
      </c>
      <c r="S299" s="5" t="s">
        <v>732</v>
      </c>
      <c r="T299" s="6">
        <v>296</v>
      </c>
      <c r="U299" s="249" t="s">
        <v>1662</v>
      </c>
      <c r="V299" s="232" t="s">
        <v>1659</v>
      </c>
      <c r="W299" s="232">
        <v>10945.9</v>
      </c>
      <c r="X299" s="232">
        <v>4224</v>
      </c>
      <c r="Y299" s="233" t="s">
        <v>49</v>
      </c>
      <c r="Z299" s="87" t="s">
        <v>50</v>
      </c>
      <c r="AA299" s="233" t="s">
        <v>51</v>
      </c>
      <c r="AB299" s="234"/>
      <c r="AC299" s="233">
        <v>1</v>
      </c>
      <c r="AD299" s="233" t="s">
        <v>226</v>
      </c>
      <c r="AE299" s="234"/>
      <c r="AF299" s="234"/>
      <c r="AG299" s="234"/>
      <c r="AH299" s="233"/>
      <c r="AI299" s="233"/>
      <c r="AJ299" s="233"/>
      <c r="AK299" s="233"/>
      <c r="AL299" s="233"/>
      <c r="AM299" s="233"/>
      <c r="AN299" s="233"/>
      <c r="AO299" s="233"/>
      <c r="AP299" s="234"/>
      <c r="AQ299" s="234" t="s">
        <v>333</v>
      </c>
    </row>
    <row r="300" spans="1:43">
      <c r="A300" s="6">
        <v>297</v>
      </c>
      <c r="B300" s="21" t="s">
        <v>1663</v>
      </c>
      <c r="C300" s="5" t="s">
        <v>1664</v>
      </c>
      <c r="D300" s="5" t="s">
        <v>1665</v>
      </c>
      <c r="E300" s="5" t="s">
        <v>1666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11" t="s">
        <v>46</v>
      </c>
      <c r="Q300" s="5">
        <v>227.3648</v>
      </c>
      <c r="R300" s="5">
        <f t="shared" si="4"/>
        <v>227.3648</v>
      </c>
      <c r="S300" s="5" t="s">
        <v>685</v>
      </c>
      <c r="T300" s="6">
        <v>297</v>
      </c>
      <c r="U300" s="250" t="s">
        <v>1667</v>
      </c>
      <c r="V300" s="232" t="s">
        <v>1664</v>
      </c>
      <c r="W300" s="232">
        <v>-12159</v>
      </c>
      <c r="X300" s="232">
        <v>7277.1</v>
      </c>
      <c r="Y300" s="233" t="s">
        <v>49</v>
      </c>
      <c r="Z300" s="87" t="s">
        <v>50</v>
      </c>
      <c r="AA300" s="233" t="s">
        <v>51</v>
      </c>
      <c r="AB300" s="234"/>
      <c r="AC300" s="233">
        <v>1</v>
      </c>
      <c r="AD300" s="233" t="s">
        <v>226</v>
      </c>
      <c r="AE300" s="234"/>
      <c r="AF300" s="234"/>
      <c r="AG300" s="234"/>
      <c r="AH300" s="233"/>
      <c r="AI300" s="233"/>
      <c r="AJ300" s="233"/>
      <c r="AK300" s="233"/>
      <c r="AL300" s="233"/>
      <c r="AM300" s="233"/>
      <c r="AN300" s="233"/>
      <c r="AO300" s="233"/>
      <c r="AP300" s="234"/>
      <c r="AQ300" s="234" t="s">
        <v>333</v>
      </c>
    </row>
    <row r="301" spans="1:43">
      <c r="A301" s="6">
        <v>298</v>
      </c>
      <c r="B301" s="21" t="s">
        <v>1668</v>
      </c>
      <c r="C301" s="5" t="s">
        <v>1669</v>
      </c>
      <c r="D301" s="5" t="s">
        <v>1670</v>
      </c>
      <c r="E301" s="5" t="s">
        <v>1671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11" t="s">
        <v>46</v>
      </c>
      <c r="Q301" s="5">
        <v>185.0258</v>
      </c>
      <c r="R301" s="5">
        <f t="shared" si="4"/>
        <v>185.0258</v>
      </c>
      <c r="S301" s="5" t="s">
        <v>395</v>
      </c>
      <c r="T301" s="6">
        <v>298</v>
      </c>
      <c r="U301" s="250" t="s">
        <v>1672</v>
      </c>
      <c r="V301" s="232" t="s">
        <v>1669</v>
      </c>
      <c r="W301" s="232">
        <v>-12285.7</v>
      </c>
      <c r="X301" s="232">
        <v>7784.1</v>
      </c>
      <c r="Y301" s="233" t="s">
        <v>49</v>
      </c>
      <c r="Z301" s="87" t="s">
        <v>50</v>
      </c>
      <c r="AA301" s="233" t="s">
        <v>51</v>
      </c>
      <c r="AB301" s="234"/>
      <c r="AC301" s="233">
        <v>1</v>
      </c>
      <c r="AD301" s="233" t="s">
        <v>226</v>
      </c>
      <c r="AE301" s="234"/>
      <c r="AF301" s="234"/>
      <c r="AG301" s="234"/>
      <c r="AH301" s="233"/>
      <c r="AI301" s="233"/>
      <c r="AJ301" s="233"/>
      <c r="AK301" s="233"/>
      <c r="AL301" s="233"/>
      <c r="AM301" s="233"/>
      <c r="AN301" s="233"/>
      <c r="AO301" s="233"/>
      <c r="AP301" s="234"/>
      <c r="AQ301" s="234" t="s">
        <v>333</v>
      </c>
    </row>
    <row r="302" spans="1:43">
      <c r="A302" s="6">
        <v>299</v>
      </c>
      <c r="B302" s="21" t="s">
        <v>1673</v>
      </c>
      <c r="C302" s="5" t="s">
        <v>1674</v>
      </c>
      <c r="D302" s="5" t="s">
        <v>1675</v>
      </c>
      <c r="E302" s="5" t="s">
        <v>1676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11" t="s">
        <v>46</v>
      </c>
      <c r="Q302" s="5">
        <v>139.8056</v>
      </c>
      <c r="R302" s="5">
        <f t="shared" si="4"/>
        <v>139.8056</v>
      </c>
      <c r="S302" s="5" t="s">
        <v>74</v>
      </c>
      <c r="T302" s="6">
        <v>299</v>
      </c>
      <c r="U302" s="250" t="s">
        <v>1677</v>
      </c>
      <c r="V302" s="232" t="s">
        <v>1674</v>
      </c>
      <c r="W302" s="232">
        <v>-12702.5</v>
      </c>
      <c r="X302" s="232">
        <v>7123.4</v>
      </c>
      <c r="Y302" s="233" t="s">
        <v>49</v>
      </c>
      <c r="Z302" s="87" t="s">
        <v>50</v>
      </c>
      <c r="AA302" s="233" t="s">
        <v>51</v>
      </c>
      <c r="AB302" s="234"/>
      <c r="AC302" s="233">
        <v>1</v>
      </c>
      <c r="AD302" s="233" t="s">
        <v>226</v>
      </c>
      <c r="AE302" s="234"/>
      <c r="AF302" s="234"/>
      <c r="AG302" s="234"/>
      <c r="AH302" s="233"/>
      <c r="AI302" s="233"/>
      <c r="AJ302" s="233"/>
      <c r="AK302" s="233"/>
      <c r="AL302" s="233"/>
      <c r="AM302" s="233"/>
      <c r="AN302" s="233"/>
      <c r="AO302" s="233"/>
      <c r="AP302" s="234"/>
      <c r="AQ302" s="234" t="s">
        <v>333</v>
      </c>
    </row>
    <row r="303" spans="1:43">
      <c r="A303" s="6">
        <v>300</v>
      </c>
      <c r="B303" s="21" t="s">
        <v>1678</v>
      </c>
      <c r="C303" s="5" t="s">
        <v>1679</v>
      </c>
      <c r="D303" s="5" t="s">
        <v>1680</v>
      </c>
      <c r="E303" s="5" t="s">
        <v>1681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11" t="s">
        <v>46</v>
      </c>
      <c r="Q303" s="5">
        <v>140.72460000000001</v>
      </c>
      <c r="R303" s="5">
        <f t="shared" si="4"/>
        <v>140.72460000000001</v>
      </c>
      <c r="S303" s="5" t="s">
        <v>74</v>
      </c>
      <c r="T303" s="6">
        <v>300</v>
      </c>
      <c r="U303" s="250" t="s">
        <v>1682</v>
      </c>
      <c r="V303" s="232" t="s">
        <v>1679</v>
      </c>
      <c r="W303" s="232">
        <v>-12786.5</v>
      </c>
      <c r="X303" s="232">
        <v>7784.1</v>
      </c>
      <c r="Y303" s="233" t="s">
        <v>49</v>
      </c>
      <c r="Z303" s="87" t="s">
        <v>50</v>
      </c>
      <c r="AA303" s="233" t="s">
        <v>51</v>
      </c>
      <c r="AB303" s="234"/>
      <c r="AC303" s="233">
        <v>1</v>
      </c>
      <c r="AD303" s="233" t="s">
        <v>226</v>
      </c>
      <c r="AE303" s="234"/>
      <c r="AF303" s="234"/>
      <c r="AG303" s="234"/>
      <c r="AH303" s="233"/>
      <c r="AI303" s="233"/>
      <c r="AJ303" s="233"/>
      <c r="AK303" s="233"/>
      <c r="AL303" s="233"/>
      <c r="AM303" s="233"/>
      <c r="AN303" s="233"/>
      <c r="AO303" s="233"/>
      <c r="AP303" s="234"/>
      <c r="AQ303" s="234" t="s">
        <v>333</v>
      </c>
    </row>
    <row r="304" spans="1:43">
      <c r="A304" s="6">
        <v>301</v>
      </c>
      <c r="B304" s="21" t="s">
        <v>1683</v>
      </c>
      <c r="C304" s="5" t="s">
        <v>1684</v>
      </c>
      <c r="D304" s="5" t="s">
        <v>1685</v>
      </c>
      <c r="E304" s="5" t="s">
        <v>1686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11" t="s">
        <v>46</v>
      </c>
      <c r="Q304" s="5">
        <v>146.75489999999999</v>
      </c>
      <c r="R304" s="5">
        <f t="shared" si="4"/>
        <v>146.75489999999999</v>
      </c>
      <c r="S304" s="5" t="s">
        <v>47</v>
      </c>
      <c r="T304" s="6">
        <v>301</v>
      </c>
      <c r="U304" s="250" t="s">
        <v>1687</v>
      </c>
      <c r="V304" s="232" t="s">
        <v>1684</v>
      </c>
      <c r="W304" s="232">
        <v>-11455.4</v>
      </c>
      <c r="X304" s="232">
        <v>8192.7999999999993</v>
      </c>
      <c r="Y304" s="233" t="s">
        <v>49</v>
      </c>
      <c r="Z304" s="87" t="s">
        <v>50</v>
      </c>
      <c r="AA304" s="233" t="s">
        <v>51</v>
      </c>
      <c r="AB304" s="234"/>
      <c r="AC304" s="233">
        <v>1</v>
      </c>
      <c r="AD304" s="233" t="s">
        <v>226</v>
      </c>
      <c r="AE304" s="234"/>
      <c r="AF304" s="234"/>
      <c r="AG304" s="234"/>
      <c r="AH304" s="233"/>
      <c r="AI304" s="233"/>
      <c r="AJ304" s="233"/>
      <c r="AK304" s="233"/>
      <c r="AL304" s="233"/>
      <c r="AM304" s="233"/>
      <c r="AN304" s="233"/>
      <c r="AO304" s="233"/>
      <c r="AP304" s="234"/>
      <c r="AQ304" s="234" t="s">
        <v>333</v>
      </c>
    </row>
    <row r="305" spans="1:43">
      <c r="A305" s="6">
        <v>302</v>
      </c>
      <c r="B305" s="21" t="s">
        <v>1688</v>
      </c>
      <c r="C305" s="5" t="s">
        <v>1689</v>
      </c>
      <c r="D305" s="5" t="s">
        <v>1690</v>
      </c>
      <c r="E305" s="5" t="s">
        <v>1691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11" t="s">
        <v>46</v>
      </c>
      <c r="Q305" s="5">
        <v>194.4521</v>
      </c>
      <c r="R305" s="5">
        <f t="shared" si="4"/>
        <v>194.4521</v>
      </c>
      <c r="S305" s="5" t="s">
        <v>395</v>
      </c>
      <c r="T305" s="6">
        <v>302</v>
      </c>
      <c r="U305" s="250" t="s">
        <v>1692</v>
      </c>
      <c r="V305" s="232" t="s">
        <v>1689</v>
      </c>
      <c r="W305" s="232">
        <v>-12217.9</v>
      </c>
      <c r="X305" s="232">
        <v>6760.5</v>
      </c>
      <c r="Y305" s="233" t="s">
        <v>49</v>
      </c>
      <c r="Z305" s="87" t="s">
        <v>50</v>
      </c>
      <c r="AA305" s="233" t="s">
        <v>51</v>
      </c>
      <c r="AB305" s="234"/>
      <c r="AC305" s="233">
        <v>1</v>
      </c>
      <c r="AD305" s="233" t="s">
        <v>226</v>
      </c>
      <c r="AE305" s="234"/>
      <c r="AF305" s="234"/>
      <c r="AG305" s="234"/>
      <c r="AH305" s="233"/>
      <c r="AI305" s="233"/>
      <c r="AJ305" s="233"/>
      <c r="AK305" s="233"/>
      <c r="AL305" s="233"/>
      <c r="AM305" s="233"/>
      <c r="AN305" s="233"/>
      <c r="AO305" s="233"/>
      <c r="AP305" s="234"/>
      <c r="AQ305" s="234" t="s">
        <v>333</v>
      </c>
    </row>
    <row r="306" spans="1:43">
      <c r="A306" s="6">
        <v>303</v>
      </c>
      <c r="B306" s="21" t="s">
        <v>1693</v>
      </c>
      <c r="C306" s="5" t="s">
        <v>1694</v>
      </c>
      <c r="D306" s="5" t="s">
        <v>1695</v>
      </c>
      <c r="E306" s="5" t="s">
        <v>1696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11" t="s">
        <v>46</v>
      </c>
      <c r="Q306" s="5">
        <v>189.25450000000001</v>
      </c>
      <c r="R306" s="5">
        <f t="shared" si="4"/>
        <v>189.25450000000001</v>
      </c>
      <c r="S306" s="5" t="s">
        <v>395</v>
      </c>
      <c r="T306" s="6">
        <v>303</v>
      </c>
      <c r="U306" s="250" t="s">
        <v>1697</v>
      </c>
      <c r="V306" s="232" t="s">
        <v>1694</v>
      </c>
      <c r="W306" s="232">
        <v>-12413</v>
      </c>
      <c r="X306" s="232">
        <v>6295.4</v>
      </c>
      <c r="Y306" s="233" t="s">
        <v>49</v>
      </c>
      <c r="Z306" s="87" t="s">
        <v>50</v>
      </c>
      <c r="AA306" s="233" t="s">
        <v>51</v>
      </c>
      <c r="AB306" s="234"/>
      <c r="AC306" s="233">
        <v>1</v>
      </c>
      <c r="AD306" s="233" t="s">
        <v>226</v>
      </c>
      <c r="AE306" s="234"/>
      <c r="AF306" s="234"/>
      <c r="AG306" s="234"/>
      <c r="AH306" s="233"/>
      <c r="AI306" s="233"/>
      <c r="AJ306" s="233"/>
      <c r="AK306" s="233"/>
      <c r="AL306" s="233"/>
      <c r="AM306" s="233"/>
      <c r="AN306" s="233"/>
      <c r="AO306" s="233"/>
      <c r="AP306" s="234"/>
      <c r="AQ306" s="234" t="s">
        <v>333</v>
      </c>
    </row>
    <row r="307" spans="1:43">
      <c r="A307" s="6">
        <v>304</v>
      </c>
      <c r="B307" s="21" t="s">
        <v>1698</v>
      </c>
      <c r="C307" s="5" t="s">
        <v>1699</v>
      </c>
      <c r="D307" s="5" t="s">
        <v>1700</v>
      </c>
      <c r="E307" s="5" t="s">
        <v>1701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11" t="s">
        <v>46</v>
      </c>
      <c r="Q307" s="5">
        <v>236.92609999999999</v>
      </c>
      <c r="R307" s="5">
        <f t="shared" si="4"/>
        <v>236.92609999999999</v>
      </c>
      <c r="S307" s="5" t="s">
        <v>685</v>
      </c>
      <c r="T307" s="6">
        <v>304</v>
      </c>
      <c r="U307" s="250" t="s">
        <v>1702</v>
      </c>
      <c r="V307" s="232" t="s">
        <v>1699</v>
      </c>
      <c r="W307" s="232">
        <v>-11697.7</v>
      </c>
      <c r="X307" s="232">
        <v>6668.5</v>
      </c>
      <c r="Y307" s="233" t="s">
        <v>49</v>
      </c>
      <c r="Z307" s="87" t="s">
        <v>50</v>
      </c>
      <c r="AA307" s="233" t="s">
        <v>51</v>
      </c>
      <c r="AB307" s="234"/>
      <c r="AC307" s="233">
        <v>1</v>
      </c>
      <c r="AD307" s="233" t="s">
        <v>226</v>
      </c>
      <c r="AE307" s="234"/>
      <c r="AF307" s="234"/>
      <c r="AG307" s="234"/>
      <c r="AH307" s="233"/>
      <c r="AI307" s="233"/>
      <c r="AJ307" s="233"/>
      <c r="AK307" s="233"/>
      <c r="AL307" s="233"/>
      <c r="AM307" s="233"/>
      <c r="AN307" s="233"/>
      <c r="AO307" s="233"/>
      <c r="AP307" s="234"/>
      <c r="AQ307" s="234" t="s">
        <v>333</v>
      </c>
    </row>
    <row r="308" spans="1:43">
      <c r="A308" s="6">
        <v>305</v>
      </c>
      <c r="B308" s="21" t="s">
        <v>1703</v>
      </c>
      <c r="C308" s="5" t="s">
        <v>1704</v>
      </c>
      <c r="D308" s="5" t="s">
        <v>1705</v>
      </c>
      <c r="E308" s="5" t="s">
        <v>1706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11" t="s">
        <v>46</v>
      </c>
      <c r="Q308" s="5">
        <v>167.44730000000001</v>
      </c>
      <c r="R308" s="5">
        <f t="shared" si="4"/>
        <v>167.44730000000001</v>
      </c>
      <c r="S308" s="5" t="s">
        <v>732</v>
      </c>
      <c r="T308" s="6">
        <v>305</v>
      </c>
      <c r="U308" s="251" t="s">
        <v>1707</v>
      </c>
      <c r="V308" s="232" t="s">
        <v>1704</v>
      </c>
      <c r="W308" s="232">
        <v>10945.9</v>
      </c>
      <c r="X308" s="232">
        <v>7035.5</v>
      </c>
      <c r="Y308" s="233" t="s">
        <v>49</v>
      </c>
      <c r="Z308" s="87" t="s">
        <v>50</v>
      </c>
      <c r="AA308" s="233" t="s">
        <v>51</v>
      </c>
      <c r="AB308" s="234"/>
      <c r="AC308" s="233">
        <v>1</v>
      </c>
      <c r="AD308" s="233" t="s">
        <v>226</v>
      </c>
      <c r="AE308" s="234"/>
      <c r="AF308" s="234"/>
      <c r="AG308" s="234"/>
      <c r="AH308" s="233"/>
      <c r="AI308" s="233"/>
      <c r="AJ308" s="233"/>
      <c r="AK308" s="233"/>
      <c r="AL308" s="233"/>
      <c r="AM308" s="233"/>
      <c r="AN308" s="233"/>
      <c r="AO308" s="233"/>
      <c r="AP308" s="234"/>
      <c r="AQ308" s="234" t="s">
        <v>333</v>
      </c>
    </row>
    <row r="309" spans="1:43">
      <c r="A309" s="6">
        <v>306</v>
      </c>
      <c r="B309" s="21" t="s">
        <v>1708</v>
      </c>
      <c r="C309" s="5" t="s">
        <v>1709</v>
      </c>
      <c r="D309" s="5" t="s">
        <v>1710</v>
      </c>
      <c r="E309" s="5" t="s">
        <v>1711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11" t="s">
        <v>46</v>
      </c>
      <c r="Q309" s="5">
        <v>110.8462</v>
      </c>
      <c r="R309" s="5">
        <f t="shared" si="4"/>
        <v>110.8462</v>
      </c>
      <c r="S309" s="5" t="s">
        <v>67</v>
      </c>
      <c r="T309" s="6">
        <v>306</v>
      </c>
      <c r="U309" s="251" t="s">
        <v>1712</v>
      </c>
      <c r="V309" s="232" t="s">
        <v>1709</v>
      </c>
      <c r="W309" s="232">
        <v>12547</v>
      </c>
      <c r="X309" s="232">
        <v>8975.4</v>
      </c>
      <c r="Y309" s="233" t="s">
        <v>49</v>
      </c>
      <c r="Z309" s="87" t="s">
        <v>50</v>
      </c>
      <c r="AA309" s="233" t="s">
        <v>51</v>
      </c>
      <c r="AB309" s="234"/>
      <c r="AC309" s="233">
        <v>1</v>
      </c>
      <c r="AD309" s="233" t="s">
        <v>226</v>
      </c>
      <c r="AE309" s="234"/>
      <c r="AF309" s="234"/>
      <c r="AG309" s="234"/>
      <c r="AH309" s="233"/>
      <c r="AI309" s="233"/>
      <c r="AJ309" s="233"/>
      <c r="AK309" s="233"/>
      <c r="AL309" s="233"/>
      <c r="AM309" s="233"/>
      <c r="AN309" s="233"/>
      <c r="AO309" s="233"/>
      <c r="AP309" s="234"/>
      <c r="AQ309" s="234" t="s">
        <v>333</v>
      </c>
    </row>
    <row r="310" spans="1:43">
      <c r="A310" s="6">
        <v>307</v>
      </c>
      <c r="B310" s="21" t="s">
        <v>1713</v>
      </c>
      <c r="C310" s="5" t="s">
        <v>1714</v>
      </c>
      <c r="D310" s="5" t="s">
        <v>1715</v>
      </c>
      <c r="E310" s="5" t="s">
        <v>1716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11" t="s">
        <v>46</v>
      </c>
      <c r="Q310" s="5">
        <v>110.6627</v>
      </c>
      <c r="R310" s="5">
        <f t="shared" si="4"/>
        <v>110.6627</v>
      </c>
      <c r="S310" s="5" t="s">
        <v>60</v>
      </c>
      <c r="T310" s="6">
        <v>307</v>
      </c>
      <c r="U310" s="251" t="s">
        <v>1717</v>
      </c>
      <c r="V310" s="232" t="s">
        <v>1714</v>
      </c>
      <c r="W310" s="232">
        <v>12702.5</v>
      </c>
      <c r="X310" s="232">
        <v>7123.4</v>
      </c>
      <c r="Y310" s="233" t="s">
        <v>49</v>
      </c>
      <c r="Z310" s="87" t="s">
        <v>50</v>
      </c>
      <c r="AA310" s="233" t="s">
        <v>51</v>
      </c>
      <c r="AB310" s="234"/>
      <c r="AC310" s="233">
        <v>1</v>
      </c>
      <c r="AD310" s="233" t="s">
        <v>226</v>
      </c>
      <c r="AE310" s="234"/>
      <c r="AF310" s="234"/>
      <c r="AG310" s="234"/>
      <c r="AH310" s="233"/>
      <c r="AI310" s="233"/>
      <c r="AJ310" s="233"/>
      <c r="AK310" s="233"/>
      <c r="AL310" s="233"/>
      <c r="AM310" s="233"/>
      <c r="AN310" s="233"/>
      <c r="AO310" s="233"/>
      <c r="AP310" s="234"/>
      <c r="AQ310" s="234" t="s">
        <v>333</v>
      </c>
    </row>
    <row r="311" spans="1:43">
      <c r="A311" s="6">
        <v>308</v>
      </c>
      <c r="B311" s="21" t="s">
        <v>1718</v>
      </c>
      <c r="C311" s="5" t="s">
        <v>1719</v>
      </c>
      <c r="D311" s="5" t="s">
        <v>1720</v>
      </c>
      <c r="E311" s="5" t="s">
        <v>1721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11" t="s">
        <v>46</v>
      </c>
      <c r="Q311" s="5">
        <v>145.53149999999999</v>
      </c>
      <c r="R311" s="5">
        <f t="shared" si="4"/>
        <v>145.53149999999999</v>
      </c>
      <c r="S311" s="5" t="s">
        <v>395</v>
      </c>
      <c r="T311" s="6">
        <v>308</v>
      </c>
      <c r="U311" s="251" t="s">
        <v>1722</v>
      </c>
      <c r="V311" s="232" t="s">
        <v>1719</v>
      </c>
      <c r="W311" s="232">
        <v>12217.9</v>
      </c>
      <c r="X311" s="232">
        <v>6760.5</v>
      </c>
      <c r="Y311" s="233" t="s">
        <v>49</v>
      </c>
      <c r="Z311" s="87" t="s">
        <v>50</v>
      </c>
      <c r="AA311" s="233" t="s">
        <v>51</v>
      </c>
      <c r="AB311" s="234"/>
      <c r="AC311" s="233">
        <v>1</v>
      </c>
      <c r="AD311" s="233" t="s">
        <v>226</v>
      </c>
      <c r="AE311" s="234"/>
      <c r="AF311" s="234"/>
      <c r="AG311" s="234"/>
      <c r="AH311" s="233"/>
      <c r="AI311" s="233"/>
      <c r="AJ311" s="233"/>
      <c r="AK311" s="233"/>
      <c r="AL311" s="233"/>
      <c r="AM311" s="233"/>
      <c r="AN311" s="233"/>
      <c r="AO311" s="233"/>
      <c r="AP311" s="234"/>
      <c r="AQ311" s="234" t="s">
        <v>333</v>
      </c>
    </row>
    <row r="312" spans="1:43">
      <c r="A312" s="6">
        <v>309</v>
      </c>
      <c r="B312" s="21" t="s">
        <v>1723</v>
      </c>
      <c r="C312" s="5" t="s">
        <v>1724</v>
      </c>
      <c r="D312" s="5" t="s">
        <v>1725</v>
      </c>
      <c r="E312" s="5" t="s">
        <v>1726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11" t="s">
        <v>46</v>
      </c>
      <c r="Q312" s="5">
        <v>163.47640000000001</v>
      </c>
      <c r="R312" s="5">
        <f t="shared" si="4"/>
        <v>163.47640000000001</v>
      </c>
      <c r="S312" s="5" t="s">
        <v>732</v>
      </c>
      <c r="T312" s="6">
        <v>309</v>
      </c>
      <c r="U312" s="251" t="s">
        <v>1727</v>
      </c>
      <c r="V312" s="232" t="s">
        <v>1724</v>
      </c>
      <c r="W312" s="232">
        <v>11912.6</v>
      </c>
      <c r="X312" s="232">
        <v>6214.1</v>
      </c>
      <c r="Y312" s="233" t="s">
        <v>49</v>
      </c>
      <c r="Z312" s="87" t="s">
        <v>50</v>
      </c>
      <c r="AA312" s="233" t="s">
        <v>51</v>
      </c>
      <c r="AB312" s="234"/>
      <c r="AC312" s="233">
        <v>1</v>
      </c>
      <c r="AD312" s="233" t="s">
        <v>226</v>
      </c>
      <c r="AE312" s="234"/>
      <c r="AF312" s="234"/>
      <c r="AG312" s="234"/>
      <c r="AH312" s="233"/>
      <c r="AI312" s="233"/>
      <c r="AJ312" s="233"/>
      <c r="AK312" s="233"/>
      <c r="AL312" s="233"/>
      <c r="AM312" s="233"/>
      <c r="AN312" s="233"/>
      <c r="AO312" s="233"/>
      <c r="AP312" s="234"/>
      <c r="AQ312" s="234" t="s">
        <v>333</v>
      </c>
    </row>
    <row r="313" spans="1:43">
      <c r="A313" s="6">
        <v>310</v>
      </c>
      <c r="B313" s="21" t="s">
        <v>1728</v>
      </c>
      <c r="C313" s="5" t="s">
        <v>1729</v>
      </c>
      <c r="D313" s="5" t="s">
        <v>1730</v>
      </c>
      <c r="E313" s="5" t="s">
        <v>1731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11" t="s">
        <v>46</v>
      </c>
      <c r="Q313" s="5">
        <v>102.5193</v>
      </c>
      <c r="R313" s="5">
        <f t="shared" si="4"/>
        <v>102.5193</v>
      </c>
      <c r="S313" s="5" t="s">
        <v>74</v>
      </c>
      <c r="T313" s="6">
        <v>310</v>
      </c>
      <c r="U313" s="251" t="s">
        <v>1732</v>
      </c>
      <c r="V313" s="232" t="s">
        <v>1729</v>
      </c>
      <c r="W313" s="232">
        <v>12915.4</v>
      </c>
      <c r="X313" s="232">
        <v>8462.2999999999993</v>
      </c>
      <c r="Y313" s="233" t="s">
        <v>49</v>
      </c>
      <c r="Z313" s="87" t="s">
        <v>50</v>
      </c>
      <c r="AA313" s="233" t="s">
        <v>51</v>
      </c>
      <c r="AB313" s="234"/>
      <c r="AC313" s="233">
        <v>1</v>
      </c>
      <c r="AD313" s="233" t="s">
        <v>226</v>
      </c>
      <c r="AE313" s="234"/>
      <c r="AF313" s="234"/>
      <c r="AG313" s="234"/>
      <c r="AH313" s="233"/>
      <c r="AI313" s="233"/>
      <c r="AJ313" s="233"/>
      <c r="AK313" s="233"/>
      <c r="AL313" s="233"/>
      <c r="AM313" s="233"/>
      <c r="AN313" s="233"/>
      <c r="AO313" s="233"/>
      <c r="AP313" s="234"/>
      <c r="AQ313" s="234" t="s">
        <v>333</v>
      </c>
    </row>
    <row r="314" spans="1:43">
      <c r="A314" s="6">
        <v>311</v>
      </c>
      <c r="B314" s="21" t="s">
        <v>1733</v>
      </c>
      <c r="C314" s="5" t="s">
        <v>1734</v>
      </c>
      <c r="D314" s="5" t="s">
        <v>1735</v>
      </c>
      <c r="E314" s="5" t="s">
        <v>1736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11" t="s">
        <v>46</v>
      </c>
      <c r="Q314" s="5">
        <v>117.3415</v>
      </c>
      <c r="R314" s="5">
        <f t="shared" si="4"/>
        <v>117.3415</v>
      </c>
      <c r="S314" s="5" t="s">
        <v>395</v>
      </c>
      <c r="T314" s="6">
        <v>311</v>
      </c>
      <c r="U314" s="251" t="s">
        <v>1737</v>
      </c>
      <c r="V314" s="232" t="s">
        <v>1734</v>
      </c>
      <c r="W314" s="232">
        <v>12413</v>
      </c>
      <c r="X314" s="232">
        <v>8492.5</v>
      </c>
      <c r="Y314" s="233" t="s">
        <v>49</v>
      </c>
      <c r="Z314" s="87" t="s">
        <v>50</v>
      </c>
      <c r="AA314" s="233" t="s">
        <v>51</v>
      </c>
      <c r="AB314" s="234"/>
      <c r="AC314" s="233">
        <v>1</v>
      </c>
      <c r="AD314" s="233" t="s">
        <v>226</v>
      </c>
      <c r="AE314" s="234"/>
      <c r="AF314" s="234"/>
      <c r="AG314" s="234"/>
      <c r="AH314" s="233"/>
      <c r="AI314" s="233"/>
      <c r="AJ314" s="233"/>
      <c r="AK314" s="233"/>
      <c r="AL314" s="233"/>
      <c r="AM314" s="233"/>
      <c r="AN314" s="233"/>
      <c r="AO314" s="233"/>
      <c r="AP314" s="234"/>
      <c r="AQ314" s="234" t="s">
        <v>333</v>
      </c>
    </row>
    <row r="315" spans="1:43">
      <c r="A315" s="6">
        <v>312</v>
      </c>
      <c r="B315" s="21" t="s">
        <v>1738</v>
      </c>
      <c r="C315" s="5" t="s">
        <v>1739</v>
      </c>
      <c r="D315" s="5" t="s">
        <v>1740</v>
      </c>
      <c r="E315" s="5" t="s">
        <v>1741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11" t="s">
        <v>46</v>
      </c>
      <c r="Q315" s="5">
        <v>101.99930000000001</v>
      </c>
      <c r="R315" s="5">
        <f t="shared" si="4"/>
        <v>101.99930000000001</v>
      </c>
      <c r="S315" s="5" t="s">
        <v>60</v>
      </c>
      <c r="T315" s="6">
        <v>312</v>
      </c>
      <c r="U315" s="251" t="s">
        <v>1742</v>
      </c>
      <c r="V315" s="232" t="s">
        <v>1739</v>
      </c>
      <c r="W315" s="232">
        <v>12786.5</v>
      </c>
      <c r="X315" s="232">
        <v>7784.1</v>
      </c>
      <c r="Y315" s="233" t="s">
        <v>49</v>
      </c>
      <c r="Z315" s="87" t="s">
        <v>50</v>
      </c>
      <c r="AA315" s="233" t="s">
        <v>51</v>
      </c>
      <c r="AB315" s="234"/>
      <c r="AC315" s="233">
        <v>1</v>
      </c>
      <c r="AD315" s="233" t="s">
        <v>226</v>
      </c>
      <c r="AE315" s="234"/>
      <c r="AF315" s="234"/>
      <c r="AG315" s="234"/>
      <c r="AH315" s="233"/>
      <c r="AI315" s="233"/>
      <c r="AJ315" s="233"/>
      <c r="AK315" s="233"/>
      <c r="AL315" s="233"/>
      <c r="AM315" s="233"/>
      <c r="AN315" s="233"/>
      <c r="AO315" s="233"/>
      <c r="AP315" s="234"/>
      <c r="AQ315" s="234" t="s">
        <v>333</v>
      </c>
    </row>
    <row r="316" spans="1:43">
      <c r="A316" s="6">
        <v>313</v>
      </c>
      <c r="B316" s="21" t="s">
        <v>1743</v>
      </c>
      <c r="C316" s="5" t="s">
        <v>1744</v>
      </c>
      <c r="D316" s="5" t="s">
        <v>1745</v>
      </c>
      <c r="E316" s="5" t="s">
        <v>1746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11" t="s">
        <v>46</v>
      </c>
      <c r="Q316" s="5">
        <v>112.0039</v>
      </c>
      <c r="R316" s="5">
        <f t="shared" si="4"/>
        <v>112.0039</v>
      </c>
      <c r="S316" s="5" t="s">
        <v>67</v>
      </c>
      <c r="T316" s="6">
        <v>313</v>
      </c>
      <c r="U316" s="251" t="s">
        <v>1747</v>
      </c>
      <c r="V316" s="232" t="s">
        <v>1744</v>
      </c>
      <c r="W316" s="232">
        <v>12285.7</v>
      </c>
      <c r="X316" s="232">
        <v>7784.1</v>
      </c>
      <c r="Y316" s="233" t="s">
        <v>49</v>
      </c>
      <c r="Z316" s="87" t="s">
        <v>50</v>
      </c>
      <c r="AA316" s="233" t="s">
        <v>51</v>
      </c>
      <c r="AB316" s="234"/>
      <c r="AC316" s="233">
        <v>1</v>
      </c>
      <c r="AD316" s="233" t="s">
        <v>226</v>
      </c>
      <c r="AE316" s="234"/>
      <c r="AF316" s="234"/>
      <c r="AG316" s="234"/>
      <c r="AH316" s="233"/>
      <c r="AI316" s="233"/>
      <c r="AJ316" s="233"/>
      <c r="AK316" s="233"/>
      <c r="AL316" s="233"/>
      <c r="AM316" s="233"/>
      <c r="AN316" s="233"/>
      <c r="AO316" s="233"/>
      <c r="AP316" s="234"/>
      <c r="AQ316" s="234" t="s">
        <v>333</v>
      </c>
    </row>
    <row r="317" spans="1:43">
      <c r="A317" s="6">
        <v>314</v>
      </c>
      <c r="B317" s="21" t="s">
        <v>1748</v>
      </c>
      <c r="C317" s="5" t="s">
        <v>1749</v>
      </c>
      <c r="D317" s="5" t="s">
        <v>1750</v>
      </c>
      <c r="E317" s="5" t="s">
        <v>1751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11" t="s">
        <v>46</v>
      </c>
      <c r="Q317" s="5">
        <v>113.3573</v>
      </c>
      <c r="R317" s="5">
        <f t="shared" si="4"/>
        <v>113.3573</v>
      </c>
      <c r="S317" s="5" t="s">
        <v>74</v>
      </c>
      <c r="T317" s="6">
        <v>314</v>
      </c>
      <c r="U317" s="251" t="s">
        <v>1752</v>
      </c>
      <c r="V317" s="232" t="s">
        <v>1749</v>
      </c>
      <c r="W317" s="232">
        <v>12413</v>
      </c>
      <c r="X317" s="232">
        <v>6295.4</v>
      </c>
      <c r="Y317" s="233" t="s">
        <v>49</v>
      </c>
      <c r="Z317" s="87" t="s">
        <v>50</v>
      </c>
      <c r="AA317" s="233" t="s">
        <v>51</v>
      </c>
      <c r="AB317" s="234"/>
      <c r="AC317" s="233">
        <v>1</v>
      </c>
      <c r="AD317" s="233" t="s">
        <v>226</v>
      </c>
      <c r="AE317" s="234"/>
      <c r="AF317" s="234"/>
      <c r="AG317" s="234"/>
      <c r="AH317" s="233"/>
      <c r="AI317" s="233"/>
      <c r="AJ317" s="233"/>
      <c r="AK317" s="233"/>
      <c r="AL317" s="233"/>
      <c r="AM317" s="233"/>
      <c r="AN317" s="233"/>
      <c r="AO317" s="233"/>
      <c r="AP317" s="234"/>
      <c r="AQ317" s="234" t="s">
        <v>333</v>
      </c>
    </row>
    <row r="318" spans="1:43">
      <c r="A318" s="6">
        <v>315</v>
      </c>
      <c r="B318" s="21" t="s">
        <v>1753</v>
      </c>
      <c r="C318" s="5" t="s">
        <v>1754</v>
      </c>
      <c r="D318" s="5" t="s">
        <v>1755</v>
      </c>
      <c r="E318" s="5" t="s">
        <v>1756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11" t="s">
        <v>46</v>
      </c>
      <c r="Q318" s="5">
        <v>154.3271</v>
      </c>
      <c r="R318" s="5">
        <f t="shared" si="4"/>
        <v>154.3271</v>
      </c>
      <c r="S318" s="5" t="s">
        <v>706</v>
      </c>
      <c r="T318" s="6">
        <v>315</v>
      </c>
      <c r="U318" s="251" t="s">
        <v>1757</v>
      </c>
      <c r="V318" s="232" t="s">
        <v>1754</v>
      </c>
      <c r="W318" s="232">
        <v>10289.299999999999</v>
      </c>
      <c r="X318" s="232">
        <v>6694.5</v>
      </c>
      <c r="Y318" s="233" t="s">
        <v>49</v>
      </c>
      <c r="Z318" s="87" t="s">
        <v>50</v>
      </c>
      <c r="AA318" s="233" t="s">
        <v>51</v>
      </c>
      <c r="AB318" s="234"/>
      <c r="AC318" s="233">
        <v>1</v>
      </c>
      <c r="AD318" s="233" t="s">
        <v>226</v>
      </c>
      <c r="AE318" s="234"/>
      <c r="AF318" s="234"/>
      <c r="AG318" s="234"/>
      <c r="AH318" s="233"/>
      <c r="AI318" s="233"/>
      <c r="AJ318" s="233"/>
      <c r="AK318" s="233"/>
      <c r="AL318" s="233"/>
      <c r="AM318" s="233"/>
      <c r="AN318" s="233"/>
      <c r="AO318" s="233"/>
      <c r="AP318" s="234"/>
      <c r="AQ318" s="234" t="s">
        <v>333</v>
      </c>
    </row>
    <row r="319" spans="1:43">
      <c r="A319" s="6">
        <v>316</v>
      </c>
      <c r="B319" s="21" t="s">
        <v>1758</v>
      </c>
      <c r="C319" s="5" t="s">
        <v>1759</v>
      </c>
      <c r="D319" s="5" t="s">
        <v>1760</v>
      </c>
      <c r="E319" s="5" t="s">
        <v>1761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11" t="s">
        <v>46</v>
      </c>
      <c r="Q319" s="5">
        <v>111.6895</v>
      </c>
      <c r="R319" s="5">
        <f t="shared" ref="R319:R382" si="5">IF(AND(P319="",Q319=""),"",SUM(P319:Q319))</f>
        <v>111.6895</v>
      </c>
      <c r="S319" s="5" t="s">
        <v>67</v>
      </c>
      <c r="T319" s="6">
        <v>316</v>
      </c>
      <c r="U319" s="251" t="s">
        <v>1762</v>
      </c>
      <c r="V319" s="232" t="s">
        <v>1759</v>
      </c>
      <c r="W319" s="232">
        <v>12915.4</v>
      </c>
      <c r="X319" s="232">
        <v>6265.2</v>
      </c>
      <c r="Y319" s="233" t="s">
        <v>49</v>
      </c>
      <c r="Z319" s="87" t="s">
        <v>50</v>
      </c>
      <c r="AA319" s="233" t="s">
        <v>51</v>
      </c>
      <c r="AB319" s="234"/>
      <c r="AC319" s="233">
        <v>1</v>
      </c>
      <c r="AD319" s="233" t="s">
        <v>226</v>
      </c>
      <c r="AE319" s="234"/>
      <c r="AF319" s="234"/>
      <c r="AG319" s="234"/>
      <c r="AH319" s="233"/>
      <c r="AI319" s="233"/>
      <c r="AJ319" s="233"/>
      <c r="AK319" s="233"/>
      <c r="AL319" s="233"/>
      <c r="AM319" s="233"/>
      <c r="AN319" s="233"/>
      <c r="AO319" s="233"/>
      <c r="AP319" s="234"/>
      <c r="AQ319" s="234" t="s">
        <v>333</v>
      </c>
    </row>
    <row r="320" spans="1:43">
      <c r="A320" s="6">
        <v>317</v>
      </c>
      <c r="B320" s="21" t="s">
        <v>1763</v>
      </c>
      <c r="C320" s="5" t="s">
        <v>1764</v>
      </c>
      <c r="D320" s="5" t="s">
        <v>1765</v>
      </c>
      <c r="E320" s="5" t="s">
        <v>1766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11" t="s">
        <v>46</v>
      </c>
      <c r="Q320" s="5">
        <v>159.54249999999999</v>
      </c>
      <c r="R320" s="5">
        <f t="shared" si="5"/>
        <v>159.54249999999999</v>
      </c>
      <c r="S320" s="5" t="s">
        <v>706</v>
      </c>
      <c r="T320" s="6">
        <v>317</v>
      </c>
      <c r="U320" s="251" t="s">
        <v>1767</v>
      </c>
      <c r="V320" s="232" t="s">
        <v>1764</v>
      </c>
      <c r="W320" s="232">
        <v>11697.7</v>
      </c>
      <c r="X320" s="232">
        <v>6668.5</v>
      </c>
      <c r="Y320" s="233" t="s">
        <v>49</v>
      </c>
      <c r="Z320" s="87" t="s">
        <v>50</v>
      </c>
      <c r="AA320" s="233" t="s">
        <v>51</v>
      </c>
      <c r="AB320" s="234"/>
      <c r="AC320" s="233">
        <v>1</v>
      </c>
      <c r="AD320" s="233" t="s">
        <v>226</v>
      </c>
      <c r="AE320" s="234"/>
      <c r="AF320" s="234"/>
      <c r="AG320" s="234"/>
      <c r="AH320" s="233"/>
      <c r="AI320" s="233"/>
      <c r="AJ320" s="233"/>
      <c r="AK320" s="233"/>
      <c r="AL320" s="233"/>
      <c r="AM320" s="233"/>
      <c r="AN320" s="233"/>
      <c r="AO320" s="233"/>
      <c r="AP320" s="234"/>
      <c r="AQ320" s="234" t="s">
        <v>333</v>
      </c>
    </row>
    <row r="321" spans="1:43">
      <c r="A321" s="6">
        <v>318</v>
      </c>
      <c r="B321" s="21" t="s">
        <v>1768</v>
      </c>
      <c r="C321" s="5" t="s">
        <v>1769</v>
      </c>
      <c r="D321" s="5" t="s">
        <v>1770</v>
      </c>
      <c r="E321" s="5" t="s">
        <v>1771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11" t="s">
        <v>46</v>
      </c>
      <c r="Q321" s="5">
        <v>148.3442</v>
      </c>
      <c r="R321" s="5">
        <f t="shared" si="5"/>
        <v>148.3442</v>
      </c>
      <c r="S321" s="5" t="s">
        <v>67</v>
      </c>
      <c r="T321" s="6">
        <v>318</v>
      </c>
      <c r="U321" s="252" t="s">
        <v>1772</v>
      </c>
      <c r="V321" s="232" t="s">
        <v>1769</v>
      </c>
      <c r="W321" s="232">
        <v>-8411.2000000000007</v>
      </c>
      <c r="X321" s="232">
        <v>9662.5</v>
      </c>
      <c r="Y321" s="233" t="s">
        <v>49</v>
      </c>
      <c r="Z321" s="87" t="s">
        <v>50</v>
      </c>
      <c r="AA321" s="233" t="s">
        <v>51</v>
      </c>
      <c r="AB321" s="234"/>
      <c r="AC321" s="233">
        <v>1</v>
      </c>
      <c r="AD321" s="233" t="s">
        <v>226</v>
      </c>
      <c r="AE321" s="234"/>
      <c r="AF321" s="234"/>
      <c r="AG321" s="234"/>
      <c r="AH321" s="233"/>
      <c r="AI321" s="233"/>
      <c r="AJ321" s="233"/>
      <c r="AK321" s="233"/>
      <c r="AL321" s="233"/>
      <c r="AM321" s="233"/>
      <c r="AN321" s="233"/>
      <c r="AO321" s="233"/>
      <c r="AP321" s="234"/>
      <c r="AQ321" s="234" t="s">
        <v>333</v>
      </c>
    </row>
    <row r="322" spans="1:43">
      <c r="A322" s="6">
        <v>319</v>
      </c>
      <c r="B322" s="21" t="s">
        <v>1773</v>
      </c>
      <c r="C322" s="5" t="s">
        <v>1774</v>
      </c>
      <c r="D322" s="5" t="s">
        <v>1775</v>
      </c>
      <c r="E322" s="5" t="s">
        <v>1776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11" t="s">
        <v>46</v>
      </c>
      <c r="Q322" s="5">
        <v>96.871099999999998</v>
      </c>
      <c r="R322" s="5">
        <f t="shared" si="5"/>
        <v>96.871099999999998</v>
      </c>
      <c r="S322" s="5" t="s">
        <v>60</v>
      </c>
      <c r="T322" s="6">
        <v>319</v>
      </c>
      <c r="U322" s="252" t="s">
        <v>1777</v>
      </c>
      <c r="V322" s="232" t="s">
        <v>1774</v>
      </c>
      <c r="W322" s="232">
        <v>-8269</v>
      </c>
      <c r="X322" s="232">
        <v>11189</v>
      </c>
      <c r="Y322" s="233" t="s">
        <v>49</v>
      </c>
      <c r="Z322" s="87" t="s">
        <v>50</v>
      </c>
      <c r="AA322" s="233" t="s">
        <v>51</v>
      </c>
      <c r="AB322" s="234"/>
      <c r="AC322" s="233">
        <v>1</v>
      </c>
      <c r="AD322" s="233" t="s">
        <v>226</v>
      </c>
      <c r="AE322" s="234"/>
      <c r="AF322" s="234"/>
      <c r="AG322" s="234"/>
      <c r="AH322" s="233"/>
      <c r="AI322" s="233"/>
      <c r="AJ322" s="233"/>
      <c r="AK322" s="233"/>
      <c r="AL322" s="233"/>
      <c r="AM322" s="233"/>
      <c r="AN322" s="233"/>
      <c r="AO322" s="233"/>
      <c r="AP322" s="234"/>
      <c r="AQ322" s="234" t="s">
        <v>333</v>
      </c>
    </row>
    <row r="323" spans="1:43">
      <c r="A323" s="6">
        <v>320</v>
      </c>
      <c r="B323" s="21" t="s">
        <v>1778</v>
      </c>
      <c r="C323" s="5" t="s">
        <v>1779</v>
      </c>
      <c r="D323" s="5" t="s">
        <v>1780</v>
      </c>
      <c r="E323" s="5" t="s">
        <v>1781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11" t="s">
        <v>46</v>
      </c>
      <c r="Q323" s="5">
        <v>163.10849999999999</v>
      </c>
      <c r="R323" s="5">
        <f t="shared" si="5"/>
        <v>163.10849999999999</v>
      </c>
      <c r="S323" s="5" t="s">
        <v>67</v>
      </c>
      <c r="T323" s="6">
        <v>320</v>
      </c>
      <c r="U323" s="252" t="s">
        <v>1782</v>
      </c>
      <c r="V323" s="232" t="s">
        <v>1779</v>
      </c>
      <c r="W323" s="232">
        <v>-8462.2999999999993</v>
      </c>
      <c r="X323" s="232">
        <v>10665.3</v>
      </c>
      <c r="Y323" s="233" t="s">
        <v>49</v>
      </c>
      <c r="Z323" s="87" t="s">
        <v>50</v>
      </c>
      <c r="AA323" s="233" t="s">
        <v>51</v>
      </c>
      <c r="AB323" s="234"/>
      <c r="AC323" s="233">
        <v>1</v>
      </c>
      <c r="AD323" s="233" t="s">
        <v>226</v>
      </c>
      <c r="AE323" s="234"/>
      <c r="AF323" s="234"/>
      <c r="AG323" s="234"/>
      <c r="AH323" s="233"/>
      <c r="AI323" s="233"/>
      <c r="AJ323" s="233"/>
      <c r="AK323" s="233"/>
      <c r="AL323" s="233"/>
      <c r="AM323" s="233"/>
      <c r="AN323" s="233"/>
      <c r="AO323" s="233"/>
      <c r="AP323" s="234"/>
      <c r="AQ323" s="234" t="s">
        <v>333</v>
      </c>
    </row>
    <row r="324" spans="1:43">
      <c r="A324" s="6">
        <v>321</v>
      </c>
      <c r="B324" s="21" t="s">
        <v>1783</v>
      </c>
      <c r="C324" s="5" t="s">
        <v>1784</v>
      </c>
      <c r="D324" s="5" t="s">
        <v>1785</v>
      </c>
      <c r="E324" s="5" t="s">
        <v>1786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11" t="s">
        <v>46</v>
      </c>
      <c r="Q324" s="5">
        <v>99.896500000000003</v>
      </c>
      <c r="R324" s="5">
        <f t="shared" si="5"/>
        <v>99.896500000000003</v>
      </c>
      <c r="S324" s="5" t="s">
        <v>74</v>
      </c>
      <c r="T324" s="6">
        <v>321</v>
      </c>
      <c r="U324" s="252" t="s">
        <v>1787</v>
      </c>
      <c r="V324" s="232" t="s">
        <v>1784</v>
      </c>
      <c r="W324" s="232">
        <v>-8492.5</v>
      </c>
      <c r="X324" s="232">
        <v>10162.9</v>
      </c>
      <c r="Y324" s="233" t="s">
        <v>49</v>
      </c>
      <c r="Z324" s="87" t="s">
        <v>50</v>
      </c>
      <c r="AA324" s="233" t="s">
        <v>51</v>
      </c>
      <c r="AB324" s="234"/>
      <c r="AC324" s="233">
        <v>1</v>
      </c>
      <c r="AD324" s="233" t="s">
        <v>226</v>
      </c>
      <c r="AE324" s="234"/>
      <c r="AF324" s="234"/>
      <c r="AG324" s="234"/>
      <c r="AH324" s="233"/>
      <c r="AI324" s="233"/>
      <c r="AJ324" s="233"/>
      <c r="AK324" s="233"/>
      <c r="AL324" s="233"/>
      <c r="AM324" s="233"/>
      <c r="AN324" s="233"/>
      <c r="AO324" s="233"/>
      <c r="AP324" s="234"/>
      <c r="AQ324" s="234" t="s">
        <v>333</v>
      </c>
    </row>
    <row r="325" spans="1:43">
      <c r="A325" s="6">
        <v>322</v>
      </c>
      <c r="B325" s="21" t="s">
        <v>1788</v>
      </c>
      <c r="C325" s="5" t="s">
        <v>1789</v>
      </c>
      <c r="D325" s="5" t="s">
        <v>1790</v>
      </c>
      <c r="E325" s="5" t="s">
        <v>1791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11" t="s">
        <v>46</v>
      </c>
      <c r="Q325" s="5">
        <v>87.703800000000001</v>
      </c>
      <c r="R325" s="5">
        <f t="shared" si="5"/>
        <v>87.703800000000001</v>
      </c>
      <c r="S325" s="5" t="s">
        <v>60</v>
      </c>
      <c r="T325" s="6">
        <v>322</v>
      </c>
      <c r="U325" s="252" t="s">
        <v>1792</v>
      </c>
      <c r="V325" s="232" t="s">
        <v>1789</v>
      </c>
      <c r="W325" s="232">
        <v>-8957.6</v>
      </c>
      <c r="X325" s="232">
        <v>9967.7999999999993</v>
      </c>
      <c r="Y325" s="233" t="s">
        <v>49</v>
      </c>
      <c r="Z325" s="87" t="s">
        <v>50</v>
      </c>
      <c r="AA325" s="233" t="s">
        <v>51</v>
      </c>
      <c r="AB325" s="234"/>
      <c r="AC325" s="233">
        <v>1</v>
      </c>
      <c r="AD325" s="233" t="s">
        <v>226</v>
      </c>
      <c r="AE325" s="234"/>
      <c r="AF325" s="234"/>
      <c r="AG325" s="234"/>
      <c r="AH325" s="233"/>
      <c r="AI325" s="233"/>
      <c r="AJ325" s="233"/>
      <c r="AK325" s="233"/>
      <c r="AL325" s="233"/>
      <c r="AM325" s="233"/>
      <c r="AN325" s="233"/>
      <c r="AO325" s="233"/>
      <c r="AP325" s="234"/>
      <c r="AQ325" s="234" t="s">
        <v>333</v>
      </c>
    </row>
    <row r="326" spans="1:43">
      <c r="A326" s="6">
        <v>323</v>
      </c>
      <c r="B326" s="21" t="s">
        <v>1793</v>
      </c>
      <c r="C326" s="5" t="s">
        <v>1794</v>
      </c>
      <c r="D326" s="5" t="s">
        <v>1795</v>
      </c>
      <c r="E326" s="5" t="s">
        <v>1796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11" t="s">
        <v>46</v>
      </c>
      <c r="Q326" s="5">
        <v>189.11269999999999</v>
      </c>
      <c r="R326" s="5">
        <f t="shared" si="5"/>
        <v>189.11269999999999</v>
      </c>
      <c r="S326" s="5" t="s">
        <v>395</v>
      </c>
      <c r="T326" s="6">
        <v>323</v>
      </c>
      <c r="U326" s="252" t="s">
        <v>1797</v>
      </c>
      <c r="V326" s="232" t="s">
        <v>1794</v>
      </c>
      <c r="W326" s="232">
        <v>-8865.6</v>
      </c>
      <c r="X326" s="232">
        <v>9447.6</v>
      </c>
      <c r="Y326" s="233" t="s">
        <v>49</v>
      </c>
      <c r="Z326" s="87" t="s">
        <v>50</v>
      </c>
      <c r="AA326" s="233" t="s">
        <v>51</v>
      </c>
      <c r="AB326" s="234"/>
      <c r="AC326" s="233">
        <v>1</v>
      </c>
      <c r="AD326" s="233" t="s">
        <v>226</v>
      </c>
      <c r="AE326" s="234"/>
      <c r="AF326" s="234"/>
      <c r="AG326" s="234"/>
      <c r="AH326" s="233"/>
      <c r="AI326" s="233"/>
      <c r="AJ326" s="233"/>
      <c r="AK326" s="233"/>
      <c r="AL326" s="233"/>
      <c r="AM326" s="233"/>
      <c r="AN326" s="233"/>
      <c r="AO326" s="233"/>
      <c r="AP326" s="234"/>
      <c r="AQ326" s="234" t="s">
        <v>333</v>
      </c>
    </row>
    <row r="327" spans="1:43">
      <c r="A327" s="6">
        <v>324</v>
      </c>
      <c r="B327" s="21" t="s">
        <v>1798</v>
      </c>
      <c r="C327" s="5" t="s">
        <v>1799</v>
      </c>
      <c r="D327" s="5" t="s">
        <v>1800</v>
      </c>
      <c r="E327" s="5" t="s">
        <v>1801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11" t="s">
        <v>46</v>
      </c>
      <c r="Q327" s="5">
        <v>137.5624</v>
      </c>
      <c r="R327" s="5">
        <f t="shared" si="5"/>
        <v>137.5624</v>
      </c>
      <c r="S327" s="5" t="s">
        <v>67</v>
      </c>
      <c r="T327" s="6">
        <v>324</v>
      </c>
      <c r="U327" s="252" t="s">
        <v>1802</v>
      </c>
      <c r="V327" s="232" t="s">
        <v>1799</v>
      </c>
      <c r="W327" s="232">
        <v>-9320.5</v>
      </c>
      <c r="X327" s="232">
        <v>10452.4</v>
      </c>
      <c r="Y327" s="233" t="s">
        <v>49</v>
      </c>
      <c r="Z327" s="87" t="s">
        <v>50</v>
      </c>
      <c r="AA327" s="233" t="s">
        <v>51</v>
      </c>
      <c r="AB327" s="234"/>
      <c r="AC327" s="233">
        <v>1</v>
      </c>
      <c r="AD327" s="233" t="s">
        <v>226</v>
      </c>
      <c r="AE327" s="234"/>
      <c r="AF327" s="234"/>
      <c r="AG327" s="234"/>
      <c r="AH327" s="233"/>
      <c r="AI327" s="233"/>
      <c r="AJ327" s="233"/>
      <c r="AK327" s="233"/>
      <c r="AL327" s="233"/>
      <c r="AM327" s="233"/>
      <c r="AN327" s="233"/>
      <c r="AO327" s="233"/>
      <c r="AP327" s="234"/>
      <c r="AQ327" s="234" t="s">
        <v>333</v>
      </c>
    </row>
    <row r="328" spans="1:43">
      <c r="A328" s="6">
        <v>325</v>
      </c>
      <c r="B328" s="21" t="s">
        <v>1803</v>
      </c>
      <c r="C328" s="5" t="s">
        <v>1804</v>
      </c>
      <c r="D328" s="5" t="s">
        <v>1805</v>
      </c>
      <c r="E328" s="5" t="s">
        <v>1806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11" t="s">
        <v>46</v>
      </c>
      <c r="Q328" s="5">
        <v>102.5347</v>
      </c>
      <c r="R328" s="5">
        <f t="shared" si="5"/>
        <v>102.5347</v>
      </c>
      <c r="S328" s="5" t="s">
        <v>74</v>
      </c>
      <c r="T328" s="6">
        <v>325</v>
      </c>
      <c r="U328" s="252" t="s">
        <v>1807</v>
      </c>
      <c r="V328" s="232" t="s">
        <v>1804</v>
      </c>
      <c r="W328" s="232">
        <v>-9480.6</v>
      </c>
      <c r="X328" s="232">
        <v>9908.9</v>
      </c>
      <c r="Y328" s="233" t="s">
        <v>49</v>
      </c>
      <c r="Z328" s="87" t="s">
        <v>50</v>
      </c>
      <c r="AA328" s="233" t="s">
        <v>51</v>
      </c>
      <c r="AB328" s="234"/>
      <c r="AC328" s="233">
        <v>1</v>
      </c>
      <c r="AD328" s="233" t="s">
        <v>226</v>
      </c>
      <c r="AE328" s="234"/>
      <c r="AF328" s="234"/>
      <c r="AG328" s="234"/>
      <c r="AH328" s="233"/>
      <c r="AI328" s="233"/>
      <c r="AJ328" s="233"/>
      <c r="AK328" s="233"/>
      <c r="AL328" s="233"/>
      <c r="AM328" s="233"/>
      <c r="AN328" s="233"/>
      <c r="AO328" s="233"/>
      <c r="AP328" s="234"/>
      <c r="AQ328" s="234" t="s">
        <v>333</v>
      </c>
    </row>
    <row r="329" spans="1:43">
      <c r="A329" s="6">
        <v>326</v>
      </c>
      <c r="B329" s="21" t="s">
        <v>1808</v>
      </c>
      <c r="C329" s="5" t="s">
        <v>1809</v>
      </c>
      <c r="D329" s="5" t="s">
        <v>1810</v>
      </c>
      <c r="E329" s="5" t="s">
        <v>1811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11" t="s">
        <v>46</v>
      </c>
      <c r="Q329" s="5">
        <v>211.03039999999999</v>
      </c>
      <c r="R329" s="5">
        <f t="shared" si="5"/>
        <v>211.03039999999999</v>
      </c>
      <c r="S329" s="5" t="s">
        <v>338</v>
      </c>
      <c r="T329" s="6">
        <v>326</v>
      </c>
      <c r="U329" s="253" t="s">
        <v>1812</v>
      </c>
      <c r="V329" s="232" t="s">
        <v>1809</v>
      </c>
      <c r="W329" s="232">
        <v>6950.9</v>
      </c>
      <c r="X329" s="232">
        <v>1353.8</v>
      </c>
      <c r="Y329" s="233" t="s">
        <v>49</v>
      </c>
      <c r="Z329" s="87" t="s">
        <v>50</v>
      </c>
      <c r="AA329" s="233" t="s">
        <v>51</v>
      </c>
      <c r="AB329" s="234"/>
      <c r="AC329" s="233">
        <v>1</v>
      </c>
      <c r="AD329" s="233" t="s">
        <v>52</v>
      </c>
      <c r="AE329" s="234"/>
      <c r="AF329" s="233"/>
      <c r="AG329" s="234"/>
      <c r="AH329" s="233"/>
      <c r="AI329" s="233"/>
      <c r="AJ329" s="233"/>
      <c r="AK329" s="233"/>
      <c r="AL329" s="233"/>
      <c r="AM329" s="233"/>
      <c r="AN329" s="233"/>
      <c r="AO329" s="233"/>
      <c r="AP329" s="234"/>
      <c r="AQ329" s="234" t="s">
        <v>333</v>
      </c>
    </row>
    <row r="330" spans="1:43">
      <c r="A330" s="6">
        <v>327</v>
      </c>
      <c r="B330" s="21" t="s">
        <v>1813</v>
      </c>
      <c r="C330" s="5" t="s">
        <v>1814</v>
      </c>
      <c r="D330" s="5" t="s">
        <v>1815</v>
      </c>
      <c r="E330" s="5" t="s">
        <v>1816</v>
      </c>
      <c r="F330" s="5" t="s">
        <v>1817</v>
      </c>
      <c r="G330" s="5"/>
      <c r="H330" s="5"/>
      <c r="I330" s="5"/>
      <c r="J330" s="5"/>
      <c r="K330" s="5"/>
      <c r="L330" s="5"/>
      <c r="M330" s="5"/>
      <c r="N330" s="5"/>
      <c r="O330" s="5"/>
      <c r="P330" s="11" t="s">
        <v>46</v>
      </c>
      <c r="Q330" s="5">
        <v>257.85989999999998</v>
      </c>
      <c r="R330" s="5">
        <f t="shared" si="5"/>
        <v>257.85989999999998</v>
      </c>
      <c r="S330" s="5" t="s">
        <v>1818</v>
      </c>
      <c r="T330" s="6">
        <v>327</v>
      </c>
      <c r="U330" s="253" t="s">
        <v>1819</v>
      </c>
      <c r="V330" s="232" t="s">
        <v>1814</v>
      </c>
      <c r="W330" s="232">
        <v>12702.5</v>
      </c>
      <c r="X330" s="232">
        <v>-532.1</v>
      </c>
      <c r="Y330" s="233" t="s">
        <v>49</v>
      </c>
      <c r="Z330" s="87" t="s">
        <v>50</v>
      </c>
      <c r="AA330" s="233" t="s">
        <v>51</v>
      </c>
      <c r="AB330" s="234"/>
      <c r="AC330" s="233">
        <v>1</v>
      </c>
      <c r="AD330" s="233" t="s">
        <v>226</v>
      </c>
      <c r="AE330" s="234"/>
      <c r="AF330" s="233">
        <v>18000</v>
      </c>
      <c r="AG330" s="234"/>
      <c r="AH330" s="233"/>
      <c r="AI330" s="233"/>
      <c r="AJ330" s="233" t="s">
        <v>1820</v>
      </c>
      <c r="AK330" s="233">
        <v>250</v>
      </c>
      <c r="AL330" s="233"/>
      <c r="AM330" s="233"/>
      <c r="AN330" s="233"/>
      <c r="AO330" s="233"/>
      <c r="AP330" s="234"/>
      <c r="AQ330" s="254" t="s">
        <v>1821</v>
      </c>
    </row>
    <row r="331" spans="1:43">
      <c r="A331" s="6">
        <v>328</v>
      </c>
      <c r="B331" s="21" t="s">
        <v>1822</v>
      </c>
      <c r="C331" s="5" t="s">
        <v>1823</v>
      </c>
      <c r="D331" s="5" t="s">
        <v>1824</v>
      </c>
      <c r="E331" s="5" t="s">
        <v>1825</v>
      </c>
      <c r="F331" s="5" t="s">
        <v>1826</v>
      </c>
      <c r="G331" s="5"/>
      <c r="H331" s="5"/>
      <c r="I331" s="5"/>
      <c r="J331" s="5"/>
      <c r="K331" s="5"/>
      <c r="L331" s="5"/>
      <c r="M331" s="5"/>
      <c r="N331" s="5"/>
      <c r="O331" s="5"/>
      <c r="P331" s="11" t="s">
        <v>46</v>
      </c>
      <c r="Q331" s="5">
        <v>257.83479999999997</v>
      </c>
      <c r="R331" s="5">
        <f t="shared" si="5"/>
        <v>257.83479999999997</v>
      </c>
      <c r="S331" s="5" t="s">
        <v>1827</v>
      </c>
      <c r="T331" s="6">
        <v>328</v>
      </c>
      <c r="U331" s="253" t="s">
        <v>1828</v>
      </c>
      <c r="V331" s="232" t="s">
        <v>1823</v>
      </c>
      <c r="W331" s="232">
        <v>12786.5</v>
      </c>
      <c r="X331" s="232">
        <v>-1192.8</v>
      </c>
      <c r="Y331" s="233" t="s">
        <v>49</v>
      </c>
      <c r="Z331" s="87" t="s">
        <v>50</v>
      </c>
      <c r="AA331" s="233" t="s">
        <v>51</v>
      </c>
      <c r="AB331" s="234"/>
      <c r="AC331" s="233">
        <v>1</v>
      </c>
      <c r="AD331" s="233" t="s">
        <v>226</v>
      </c>
      <c r="AE331" s="234"/>
      <c r="AF331" s="233">
        <v>18000</v>
      </c>
      <c r="AG331" s="234"/>
      <c r="AH331" s="233"/>
      <c r="AI331" s="233"/>
      <c r="AJ331" s="233" t="s">
        <v>1820</v>
      </c>
      <c r="AK331" s="233">
        <v>250</v>
      </c>
      <c r="AL331" s="233"/>
      <c r="AM331" s="233"/>
      <c r="AN331" s="233"/>
      <c r="AO331" s="233"/>
      <c r="AP331" s="234"/>
      <c r="AQ331" s="254" t="s">
        <v>1821</v>
      </c>
    </row>
    <row r="332" spans="1:43">
      <c r="A332" s="6">
        <v>329</v>
      </c>
      <c r="B332" s="21" t="s">
        <v>1829</v>
      </c>
      <c r="C332" s="5" t="s">
        <v>1830</v>
      </c>
      <c r="D332" s="5" t="s">
        <v>1831</v>
      </c>
      <c r="E332" s="5" t="s">
        <v>1832</v>
      </c>
      <c r="F332" s="5" t="s">
        <v>1833</v>
      </c>
      <c r="G332" s="5"/>
      <c r="H332" s="5"/>
      <c r="I332" s="5"/>
      <c r="J332" s="5"/>
      <c r="K332" s="5"/>
      <c r="L332" s="5"/>
      <c r="M332" s="5"/>
      <c r="N332" s="5"/>
      <c r="O332" s="5"/>
      <c r="P332" s="11" t="s">
        <v>46</v>
      </c>
      <c r="Q332" s="5">
        <v>257.83699999999999</v>
      </c>
      <c r="R332" s="5">
        <f t="shared" si="5"/>
        <v>257.83699999999999</v>
      </c>
      <c r="S332" s="5" t="s">
        <v>1834</v>
      </c>
      <c r="T332" s="6">
        <v>329</v>
      </c>
      <c r="U332" s="253" t="s">
        <v>1835</v>
      </c>
      <c r="V332" s="232" t="s">
        <v>1830</v>
      </c>
      <c r="W332" s="232">
        <v>12285.7</v>
      </c>
      <c r="X332" s="232">
        <v>-1192.8</v>
      </c>
      <c r="Y332" s="233" t="s">
        <v>49</v>
      </c>
      <c r="Z332" s="87" t="s">
        <v>50</v>
      </c>
      <c r="AA332" s="233" t="s">
        <v>51</v>
      </c>
      <c r="AB332" s="234"/>
      <c r="AC332" s="233">
        <v>1</v>
      </c>
      <c r="AD332" s="233" t="s">
        <v>226</v>
      </c>
      <c r="AE332" s="234"/>
      <c r="AF332" s="233">
        <v>18000</v>
      </c>
      <c r="AG332" s="234"/>
      <c r="AH332" s="233"/>
      <c r="AI332" s="233"/>
      <c r="AJ332" s="233" t="s">
        <v>1820</v>
      </c>
      <c r="AK332" s="233">
        <v>250</v>
      </c>
      <c r="AL332" s="233"/>
      <c r="AM332" s="233"/>
      <c r="AN332" s="233"/>
      <c r="AO332" s="233"/>
      <c r="AP332" s="234"/>
      <c r="AQ332" s="254" t="s">
        <v>1821</v>
      </c>
    </row>
    <row r="333" spans="1:43">
      <c r="A333" s="6">
        <v>330</v>
      </c>
      <c r="B333" s="21" t="s">
        <v>1836</v>
      </c>
      <c r="C333" s="5" t="s">
        <v>1837</v>
      </c>
      <c r="D333" s="5" t="s">
        <v>1838</v>
      </c>
      <c r="E333" s="5" t="s">
        <v>1839</v>
      </c>
      <c r="F333" s="5" t="s">
        <v>1840</v>
      </c>
      <c r="G333" s="5"/>
      <c r="H333" s="5"/>
      <c r="I333" s="5"/>
      <c r="J333" s="5"/>
      <c r="K333" s="5"/>
      <c r="L333" s="5"/>
      <c r="M333" s="5"/>
      <c r="N333" s="5"/>
      <c r="O333" s="5"/>
      <c r="P333" s="11" t="s">
        <v>46</v>
      </c>
      <c r="Q333" s="5">
        <v>257.82190000000003</v>
      </c>
      <c r="R333" s="5">
        <f t="shared" si="5"/>
        <v>257.82190000000003</v>
      </c>
      <c r="S333" s="5" t="s">
        <v>1841</v>
      </c>
      <c r="T333" s="6">
        <v>330</v>
      </c>
      <c r="U333" s="253" t="s">
        <v>1842</v>
      </c>
      <c r="V333" s="232" t="s">
        <v>1837</v>
      </c>
      <c r="W333" s="232">
        <v>12159</v>
      </c>
      <c r="X333" s="232">
        <v>-692.2</v>
      </c>
      <c r="Y333" s="233" t="s">
        <v>49</v>
      </c>
      <c r="Z333" s="87" t="s">
        <v>50</v>
      </c>
      <c r="AA333" s="233" t="s">
        <v>51</v>
      </c>
      <c r="AB333" s="234"/>
      <c r="AC333" s="233">
        <v>1</v>
      </c>
      <c r="AD333" s="233" t="s">
        <v>226</v>
      </c>
      <c r="AE333" s="234"/>
      <c r="AF333" s="233">
        <v>18000</v>
      </c>
      <c r="AG333" s="234"/>
      <c r="AH333" s="233"/>
      <c r="AI333" s="233"/>
      <c r="AJ333" s="233" t="s">
        <v>1820</v>
      </c>
      <c r="AK333" s="233">
        <v>250</v>
      </c>
      <c r="AL333" s="233"/>
      <c r="AM333" s="233"/>
      <c r="AN333" s="233"/>
      <c r="AO333" s="233"/>
      <c r="AP333" s="234"/>
      <c r="AQ333" s="254" t="s">
        <v>1821</v>
      </c>
    </row>
    <row r="334" spans="1:43">
      <c r="A334" s="6">
        <v>331</v>
      </c>
      <c r="B334" s="21" t="s">
        <v>1843</v>
      </c>
      <c r="C334" s="5" t="s">
        <v>1844</v>
      </c>
      <c r="D334" s="5" t="s">
        <v>1845</v>
      </c>
      <c r="E334" s="5" t="s">
        <v>1846</v>
      </c>
      <c r="F334" s="5" t="s">
        <v>1847</v>
      </c>
      <c r="G334" s="5"/>
      <c r="H334" s="5"/>
      <c r="I334" s="5"/>
      <c r="J334" s="5"/>
      <c r="K334" s="5"/>
      <c r="L334" s="5"/>
      <c r="M334" s="5"/>
      <c r="N334" s="5"/>
      <c r="O334" s="5"/>
      <c r="P334" s="11" t="s">
        <v>46</v>
      </c>
      <c r="Q334" s="5">
        <v>257.8972</v>
      </c>
      <c r="R334" s="5">
        <f t="shared" si="5"/>
        <v>257.8972</v>
      </c>
      <c r="S334" s="5" t="s">
        <v>1848</v>
      </c>
      <c r="T334" s="6">
        <v>331</v>
      </c>
      <c r="U334" s="253" t="s">
        <v>1849</v>
      </c>
      <c r="V334" s="232" t="s">
        <v>1844</v>
      </c>
      <c r="W334" s="232">
        <v>12905.7</v>
      </c>
      <c r="X334" s="232">
        <v>0</v>
      </c>
      <c r="Y334" s="233" t="s">
        <v>49</v>
      </c>
      <c r="Z334" s="87" t="s">
        <v>50</v>
      </c>
      <c r="AA334" s="233" t="s">
        <v>51</v>
      </c>
      <c r="AB334" s="234"/>
      <c r="AC334" s="233">
        <v>1</v>
      </c>
      <c r="AD334" s="233" t="s">
        <v>226</v>
      </c>
      <c r="AE334" s="234"/>
      <c r="AF334" s="233">
        <v>18000</v>
      </c>
      <c r="AG334" s="234"/>
      <c r="AH334" s="233"/>
      <c r="AI334" s="233"/>
      <c r="AJ334" s="233" t="s">
        <v>1820</v>
      </c>
      <c r="AK334" s="233">
        <v>250</v>
      </c>
      <c r="AL334" s="233"/>
      <c r="AM334" s="233"/>
      <c r="AN334" s="233"/>
      <c r="AO334" s="233"/>
      <c r="AP334" s="234"/>
      <c r="AQ334" s="254" t="s">
        <v>1821</v>
      </c>
    </row>
    <row r="335" spans="1:43">
      <c r="A335" s="6">
        <v>332</v>
      </c>
      <c r="B335" s="21" t="s">
        <v>1850</v>
      </c>
      <c r="C335" s="5" t="s">
        <v>1851</v>
      </c>
      <c r="D335" s="5" t="s">
        <v>1852</v>
      </c>
      <c r="E335" s="5" t="s">
        <v>1853</v>
      </c>
      <c r="F335" s="5" t="s">
        <v>1854</v>
      </c>
      <c r="G335" s="5"/>
      <c r="H335" s="5"/>
      <c r="I335" s="5"/>
      <c r="J335" s="5"/>
      <c r="K335" s="5"/>
      <c r="L335" s="5"/>
      <c r="M335" s="5"/>
      <c r="N335" s="5"/>
      <c r="O335" s="5"/>
      <c r="P335" s="11" t="s">
        <v>46</v>
      </c>
      <c r="Q335" s="5">
        <v>159.5351</v>
      </c>
      <c r="R335" s="5">
        <f t="shared" si="5"/>
        <v>159.5351</v>
      </c>
      <c r="S335" s="5" t="s">
        <v>1855</v>
      </c>
      <c r="T335" s="6">
        <v>332</v>
      </c>
      <c r="U335" s="238" t="s">
        <v>1856</v>
      </c>
      <c r="V335" s="239" t="s">
        <v>1851</v>
      </c>
      <c r="W335" s="239"/>
      <c r="X335" s="239"/>
      <c r="Y335" s="240" t="s">
        <v>49</v>
      </c>
      <c r="Z335" s="240"/>
      <c r="AA335" s="240" t="s">
        <v>51</v>
      </c>
      <c r="AB335" s="238"/>
      <c r="AC335" s="240">
        <v>1</v>
      </c>
      <c r="AD335" s="240" t="s">
        <v>52</v>
      </c>
      <c r="AE335" s="238"/>
      <c r="AF335" s="238"/>
      <c r="AG335" s="238"/>
      <c r="AH335" s="240"/>
      <c r="AI335" s="240"/>
      <c r="AJ335" s="240"/>
      <c r="AK335" s="240"/>
      <c r="AL335" s="240"/>
      <c r="AM335" s="240"/>
      <c r="AN335" s="240"/>
      <c r="AO335" s="240"/>
      <c r="AP335" s="238"/>
      <c r="AQ335" s="238" t="s">
        <v>1857</v>
      </c>
    </row>
    <row r="336" spans="1:43">
      <c r="A336" s="6">
        <v>333</v>
      </c>
      <c r="B336" s="21" t="s">
        <v>1858</v>
      </c>
      <c r="C336" s="5" t="s">
        <v>1859</v>
      </c>
      <c r="D336" s="5" t="s">
        <v>1860</v>
      </c>
      <c r="E336" s="5" t="s">
        <v>1861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11" t="s">
        <v>46</v>
      </c>
      <c r="Q336" s="5">
        <v>238.20349999999999</v>
      </c>
      <c r="R336" s="5">
        <f t="shared" si="5"/>
        <v>238.20349999999999</v>
      </c>
      <c r="S336" s="5" t="s">
        <v>338</v>
      </c>
      <c r="T336" s="6">
        <v>333</v>
      </c>
      <c r="U336" s="253" t="s">
        <v>1862</v>
      </c>
      <c r="V336" s="232" t="s">
        <v>1859</v>
      </c>
      <c r="W336" s="232">
        <v>12786.5</v>
      </c>
      <c r="X336" s="232">
        <v>3389.9</v>
      </c>
      <c r="Y336" s="233" t="s">
        <v>49</v>
      </c>
      <c r="Z336" s="87" t="s">
        <v>50</v>
      </c>
      <c r="AA336" s="233" t="s">
        <v>51</v>
      </c>
      <c r="AB336" s="234"/>
      <c r="AC336" s="233">
        <v>1</v>
      </c>
      <c r="AD336" s="233" t="s">
        <v>52</v>
      </c>
      <c r="AE336" s="234"/>
      <c r="AF336" s="234"/>
      <c r="AG336" s="234"/>
      <c r="AH336" s="233"/>
      <c r="AI336" s="233"/>
      <c r="AJ336" s="233"/>
      <c r="AK336" s="233"/>
      <c r="AL336" s="233"/>
      <c r="AM336" s="233"/>
      <c r="AN336" s="233"/>
      <c r="AO336" s="233"/>
      <c r="AP336" s="234"/>
      <c r="AQ336" s="234" t="s">
        <v>333</v>
      </c>
    </row>
    <row r="337" spans="1:43">
      <c r="A337" s="6">
        <v>334</v>
      </c>
      <c r="B337" s="21" t="s">
        <v>1863</v>
      </c>
      <c r="C337" s="5" t="s">
        <v>1864</v>
      </c>
      <c r="D337" s="5" t="s">
        <v>1865</v>
      </c>
      <c r="E337" s="5" t="s">
        <v>1866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11" t="s">
        <v>46</v>
      </c>
      <c r="Q337" s="5">
        <v>226.05879999999999</v>
      </c>
      <c r="R337" s="5">
        <f t="shared" si="5"/>
        <v>226.05879999999999</v>
      </c>
      <c r="S337" s="5" t="s">
        <v>338</v>
      </c>
      <c r="T337" s="6">
        <v>334</v>
      </c>
      <c r="U337" s="253" t="s">
        <v>1867</v>
      </c>
      <c r="V337" s="232" t="s">
        <v>1864</v>
      </c>
      <c r="W337" s="232">
        <v>11455.4</v>
      </c>
      <c r="X337" s="232">
        <v>3798.6</v>
      </c>
      <c r="Y337" s="233" t="s">
        <v>49</v>
      </c>
      <c r="Z337" s="87" t="s">
        <v>50</v>
      </c>
      <c r="AA337" s="233" t="s">
        <v>51</v>
      </c>
      <c r="AB337" s="234"/>
      <c r="AC337" s="233">
        <v>1</v>
      </c>
      <c r="AD337" s="233" t="s">
        <v>52</v>
      </c>
      <c r="AE337" s="234"/>
      <c r="AF337" s="234"/>
      <c r="AG337" s="234"/>
      <c r="AH337" s="233"/>
      <c r="AI337" s="233"/>
      <c r="AJ337" s="233"/>
      <c r="AK337" s="233"/>
      <c r="AL337" s="233"/>
      <c r="AM337" s="233"/>
      <c r="AN337" s="233"/>
      <c r="AO337" s="233"/>
      <c r="AP337" s="234"/>
      <c r="AQ337" s="234" t="s">
        <v>333</v>
      </c>
    </row>
    <row r="338" spans="1:43">
      <c r="A338" s="6">
        <v>335</v>
      </c>
      <c r="B338" s="21" t="s">
        <v>1868</v>
      </c>
      <c r="C338" s="5" t="s">
        <v>1869</v>
      </c>
      <c r="D338" s="5" t="s">
        <v>1870</v>
      </c>
      <c r="E338" s="5" t="s">
        <v>1871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11" t="s">
        <v>46</v>
      </c>
      <c r="Q338" s="5">
        <v>151.5522</v>
      </c>
      <c r="R338" s="5">
        <f t="shared" si="5"/>
        <v>151.5522</v>
      </c>
      <c r="S338" s="5" t="s">
        <v>60</v>
      </c>
      <c r="T338" s="6">
        <v>335</v>
      </c>
      <c r="U338" s="253" t="s">
        <v>1872</v>
      </c>
      <c r="V338" s="232" t="s">
        <v>1869</v>
      </c>
      <c r="W338" s="232">
        <v>-7674.8</v>
      </c>
      <c r="X338" s="232">
        <v>1353.8</v>
      </c>
      <c r="Y338" s="233" t="s">
        <v>49</v>
      </c>
      <c r="Z338" s="87" t="s">
        <v>50</v>
      </c>
      <c r="AA338" s="233" t="s">
        <v>51</v>
      </c>
      <c r="AB338" s="234"/>
      <c r="AC338" s="233">
        <v>1</v>
      </c>
      <c r="AD338" s="233" t="s">
        <v>52</v>
      </c>
      <c r="AE338" s="234"/>
      <c r="AF338" s="234"/>
      <c r="AG338" s="234"/>
      <c r="AH338" s="233"/>
      <c r="AI338" s="233"/>
      <c r="AJ338" s="233"/>
      <c r="AK338" s="233"/>
      <c r="AL338" s="233"/>
      <c r="AM338" s="233"/>
      <c r="AN338" s="233"/>
      <c r="AO338" s="233"/>
      <c r="AP338" s="234"/>
      <c r="AQ338" s="234" t="s">
        <v>333</v>
      </c>
    </row>
    <row r="339" spans="1:43">
      <c r="A339" s="6">
        <v>336</v>
      </c>
      <c r="B339" s="21" t="s">
        <v>1873</v>
      </c>
      <c r="C339" s="5" t="s">
        <v>1874</v>
      </c>
      <c r="D339" s="5" t="s">
        <v>605</v>
      </c>
      <c r="E339" s="5" t="s">
        <v>605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11" t="s">
        <v>46</v>
      </c>
      <c r="Q339" s="5" t="s">
        <v>46</v>
      </c>
      <c r="R339" s="5" t="str">
        <f t="shared" si="5"/>
        <v/>
      </c>
      <c r="S339" s="5" t="s">
        <v>46</v>
      </c>
      <c r="T339" s="6">
        <v>336</v>
      </c>
      <c r="U339" s="253" t="s">
        <v>1875</v>
      </c>
      <c r="V339" s="232" t="s">
        <v>1874</v>
      </c>
      <c r="W339" s="232">
        <v>-3275.1</v>
      </c>
      <c r="X339" s="232">
        <v>4151.3999999999996</v>
      </c>
      <c r="Y339" s="87" t="s">
        <v>668</v>
      </c>
      <c r="Z339" s="87" t="s">
        <v>50</v>
      </c>
      <c r="AA339" s="233" t="s">
        <v>669</v>
      </c>
      <c r="AB339" s="234"/>
      <c r="AC339" s="233"/>
      <c r="AD339" s="234"/>
      <c r="AE339" s="234"/>
      <c r="AF339" s="234"/>
      <c r="AG339" s="234"/>
      <c r="AH339" s="233"/>
      <c r="AI339" s="233"/>
      <c r="AJ339" s="233"/>
      <c r="AK339" s="233"/>
      <c r="AL339" s="233"/>
      <c r="AM339" s="233"/>
      <c r="AN339" s="233"/>
      <c r="AO339" s="233"/>
      <c r="AP339" s="234"/>
      <c r="AQ339" s="235" t="s">
        <v>1876</v>
      </c>
    </row>
    <row r="340" spans="1:43">
      <c r="A340" s="6">
        <v>337</v>
      </c>
      <c r="B340" s="21" t="s">
        <v>1877</v>
      </c>
      <c r="C340" s="5" t="s">
        <v>1878</v>
      </c>
      <c r="D340" s="5" t="s">
        <v>605</v>
      </c>
      <c r="E340" s="5" t="s">
        <v>605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11" t="s">
        <v>46</v>
      </c>
      <c r="Q340" s="5" t="s">
        <v>46</v>
      </c>
      <c r="R340" s="5" t="str">
        <f t="shared" si="5"/>
        <v/>
      </c>
      <c r="S340" s="5" t="s">
        <v>46</v>
      </c>
      <c r="T340" s="6">
        <v>337</v>
      </c>
      <c r="U340" s="253" t="s">
        <v>1879</v>
      </c>
      <c r="V340" s="232" t="s">
        <v>1878</v>
      </c>
      <c r="W340" s="232">
        <v>-3275.1</v>
      </c>
      <c r="X340" s="232">
        <v>4862.6000000000004</v>
      </c>
      <c r="Y340" s="87" t="s">
        <v>668</v>
      </c>
      <c r="Z340" s="87" t="s">
        <v>50</v>
      </c>
      <c r="AA340" s="233" t="s">
        <v>669</v>
      </c>
      <c r="AB340" s="234"/>
      <c r="AC340" s="233"/>
      <c r="AD340" s="234"/>
      <c r="AE340" s="234"/>
      <c r="AF340" s="234"/>
      <c r="AG340" s="234"/>
      <c r="AH340" s="233"/>
      <c r="AI340" s="233"/>
      <c r="AJ340" s="233"/>
      <c r="AK340" s="233"/>
      <c r="AL340" s="233"/>
      <c r="AM340" s="233"/>
      <c r="AN340" s="233"/>
      <c r="AO340" s="233"/>
      <c r="AP340" s="234"/>
      <c r="AQ340" s="235" t="s">
        <v>1880</v>
      </c>
    </row>
    <row r="341" spans="1:43">
      <c r="A341" s="6">
        <v>338</v>
      </c>
      <c r="B341" s="21" t="s">
        <v>1881</v>
      </c>
      <c r="C341" s="5" t="s">
        <v>1882</v>
      </c>
      <c r="D341" s="5" t="s">
        <v>1883</v>
      </c>
      <c r="E341" s="5" t="s">
        <v>1884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11" t="s">
        <v>46</v>
      </c>
      <c r="Q341" s="5">
        <v>145.48519999999999</v>
      </c>
      <c r="R341" s="5">
        <f t="shared" si="5"/>
        <v>145.48519999999999</v>
      </c>
      <c r="S341" s="5" t="s">
        <v>67</v>
      </c>
      <c r="T341" s="6">
        <v>338</v>
      </c>
      <c r="U341" s="253" t="s">
        <v>1885</v>
      </c>
      <c r="V341" s="232" t="s">
        <v>1882</v>
      </c>
      <c r="W341" s="232">
        <v>7674.8</v>
      </c>
      <c r="X341" s="232">
        <v>1353.8</v>
      </c>
      <c r="Y341" s="233" t="s">
        <v>49</v>
      </c>
      <c r="Z341" s="87" t="s">
        <v>50</v>
      </c>
      <c r="AA341" s="233" t="s">
        <v>51</v>
      </c>
      <c r="AB341" s="234"/>
      <c r="AC341" s="233">
        <v>1</v>
      </c>
      <c r="AD341" s="233" t="s">
        <v>226</v>
      </c>
      <c r="AE341" s="234"/>
      <c r="AF341" s="234"/>
      <c r="AG341" s="234"/>
      <c r="AH341" s="233"/>
      <c r="AI341" s="233"/>
      <c r="AJ341" s="233"/>
      <c r="AK341" s="233"/>
      <c r="AL341" s="233"/>
      <c r="AM341" s="233"/>
      <c r="AN341" s="233"/>
      <c r="AO341" s="233"/>
      <c r="AP341" s="234"/>
      <c r="AQ341" s="234" t="s">
        <v>333</v>
      </c>
    </row>
    <row r="342" spans="1:43">
      <c r="A342" s="6">
        <v>339</v>
      </c>
      <c r="B342" s="21" t="s">
        <v>1886</v>
      </c>
      <c r="C342" s="5" t="s">
        <v>1887</v>
      </c>
      <c r="D342" s="5" t="s">
        <v>1888</v>
      </c>
      <c r="E342" s="5" t="s">
        <v>1889</v>
      </c>
      <c r="F342" s="5" t="s">
        <v>1890</v>
      </c>
      <c r="G342" s="5" t="s">
        <v>1891</v>
      </c>
      <c r="H342" s="11" t="s">
        <v>1892</v>
      </c>
      <c r="I342" s="5"/>
      <c r="J342" s="5"/>
      <c r="K342" s="5"/>
      <c r="L342" s="5"/>
      <c r="M342" s="5"/>
      <c r="N342" s="5"/>
      <c r="O342" s="5"/>
      <c r="P342" s="11">
        <v>258.04790000000003</v>
      </c>
      <c r="Q342" s="5">
        <v>55.334499999999998</v>
      </c>
      <c r="R342" s="5">
        <f t="shared" si="5"/>
        <v>313.38240000000002</v>
      </c>
      <c r="S342" s="5" t="s">
        <v>1893</v>
      </c>
      <c r="T342" s="6">
        <v>339</v>
      </c>
      <c r="U342" s="255" t="s">
        <v>1894</v>
      </c>
      <c r="V342" s="232" t="s">
        <v>1887</v>
      </c>
      <c r="W342" s="232">
        <v>4911.8999999999996</v>
      </c>
      <c r="X342" s="232">
        <v>8418.6</v>
      </c>
      <c r="Y342" s="233" t="s">
        <v>49</v>
      </c>
      <c r="Z342" s="87" t="s">
        <v>50</v>
      </c>
      <c r="AA342" s="233" t="s">
        <v>51</v>
      </c>
      <c r="AB342" s="234"/>
      <c r="AC342" s="233">
        <v>1</v>
      </c>
      <c r="AD342" s="233" t="s">
        <v>226</v>
      </c>
      <c r="AE342" s="233"/>
      <c r="AF342" s="233"/>
      <c r="AG342" s="233" t="s">
        <v>1895</v>
      </c>
      <c r="AH342" s="233">
        <v>5</v>
      </c>
      <c r="AI342" s="233">
        <v>85</v>
      </c>
      <c r="AJ342" s="233" t="s">
        <v>432</v>
      </c>
      <c r="AK342" s="233">
        <v>100</v>
      </c>
      <c r="AL342" s="233"/>
      <c r="AM342" s="233" t="s">
        <v>1896</v>
      </c>
      <c r="AN342" s="233"/>
      <c r="AO342" s="233"/>
      <c r="AP342" s="234" t="s">
        <v>1897</v>
      </c>
      <c r="AQ342" s="234" t="s">
        <v>408</v>
      </c>
    </row>
    <row r="343" spans="1:43">
      <c r="A343" s="6">
        <v>340</v>
      </c>
      <c r="B343" s="21" t="s">
        <v>1898</v>
      </c>
      <c r="C343" s="5" t="s">
        <v>1899</v>
      </c>
      <c r="D343" s="5" t="s">
        <v>1900</v>
      </c>
      <c r="E343" s="5" t="s">
        <v>1901</v>
      </c>
      <c r="F343" s="5" t="s">
        <v>1902</v>
      </c>
      <c r="G343" s="5" t="s">
        <v>1903</v>
      </c>
      <c r="H343" s="11" t="s">
        <v>1904</v>
      </c>
      <c r="I343" s="5"/>
      <c r="J343" s="5"/>
      <c r="K343" s="5"/>
      <c r="L343" s="5"/>
      <c r="M343" s="5"/>
      <c r="N343" s="5"/>
      <c r="O343" s="5"/>
      <c r="P343" s="11">
        <v>258.0462</v>
      </c>
      <c r="Q343" s="5">
        <v>55.330300000000001</v>
      </c>
      <c r="R343" s="5">
        <f t="shared" si="5"/>
        <v>313.37650000000002</v>
      </c>
      <c r="S343" s="5" t="s">
        <v>1893</v>
      </c>
      <c r="T343" s="6">
        <v>340</v>
      </c>
      <c r="U343" s="255" t="s">
        <v>1905</v>
      </c>
      <c r="V343" s="232" t="s">
        <v>1899</v>
      </c>
      <c r="W343" s="232">
        <v>4911.8999999999996</v>
      </c>
      <c r="X343" s="232">
        <v>9129.7999999999993</v>
      </c>
      <c r="Y343" s="233" t="s">
        <v>49</v>
      </c>
      <c r="Z343" s="87" t="s">
        <v>50</v>
      </c>
      <c r="AA343" s="233" t="s">
        <v>51</v>
      </c>
      <c r="AB343" s="234"/>
      <c r="AC343" s="233">
        <v>1</v>
      </c>
      <c r="AD343" s="233" t="s">
        <v>226</v>
      </c>
      <c r="AE343" s="233"/>
      <c r="AF343" s="233"/>
      <c r="AG343" s="233" t="s">
        <v>1895</v>
      </c>
      <c r="AH343" s="233">
        <v>5</v>
      </c>
      <c r="AI343" s="233">
        <v>85</v>
      </c>
      <c r="AJ343" s="233" t="s">
        <v>432</v>
      </c>
      <c r="AK343" s="233">
        <v>100</v>
      </c>
      <c r="AL343" s="233"/>
      <c r="AM343" s="233" t="s">
        <v>1906</v>
      </c>
      <c r="AN343" s="233"/>
      <c r="AO343" s="233"/>
      <c r="AP343" s="234" t="s">
        <v>1897</v>
      </c>
      <c r="AQ343" s="234" t="s">
        <v>408</v>
      </c>
    </row>
    <row r="344" spans="1:43">
      <c r="A344" s="6">
        <v>341</v>
      </c>
      <c r="B344" s="21" t="s">
        <v>1907</v>
      </c>
      <c r="C344" s="5" t="s">
        <v>1908</v>
      </c>
      <c r="D344" s="5" t="s">
        <v>1909</v>
      </c>
      <c r="E344" s="5" t="s">
        <v>1910</v>
      </c>
      <c r="F344" s="5" t="s">
        <v>1911</v>
      </c>
      <c r="G344" s="5" t="s">
        <v>1912</v>
      </c>
      <c r="H344" s="11" t="s">
        <v>1913</v>
      </c>
      <c r="I344" s="5"/>
      <c r="J344" s="5"/>
      <c r="K344" s="5"/>
      <c r="L344" s="5"/>
      <c r="M344" s="5"/>
      <c r="N344" s="5"/>
      <c r="O344" s="5"/>
      <c r="P344" s="11">
        <v>258.03829999999999</v>
      </c>
      <c r="Q344" s="5">
        <v>54.676900000000003</v>
      </c>
      <c r="R344" s="5">
        <f t="shared" si="5"/>
        <v>312.71519999999998</v>
      </c>
      <c r="S344" s="5" t="s">
        <v>1914</v>
      </c>
      <c r="T344" s="6">
        <v>341</v>
      </c>
      <c r="U344" s="255" t="s">
        <v>1915</v>
      </c>
      <c r="V344" s="232" t="s">
        <v>1908</v>
      </c>
      <c r="W344" s="232">
        <v>5708.2</v>
      </c>
      <c r="X344" s="232">
        <v>11190</v>
      </c>
      <c r="Y344" s="233" t="s">
        <v>49</v>
      </c>
      <c r="Z344" s="87" t="s">
        <v>50</v>
      </c>
      <c r="AA344" s="233" t="s">
        <v>51</v>
      </c>
      <c r="AB344" s="234"/>
      <c r="AC344" s="233">
        <v>1</v>
      </c>
      <c r="AD344" s="233" t="s">
        <v>226</v>
      </c>
      <c r="AE344" s="233"/>
      <c r="AF344" s="233"/>
      <c r="AG344" s="233" t="s">
        <v>1895</v>
      </c>
      <c r="AH344" s="233">
        <v>5</v>
      </c>
      <c r="AI344" s="233">
        <v>85</v>
      </c>
      <c r="AJ344" s="233" t="s">
        <v>432</v>
      </c>
      <c r="AK344" s="233">
        <v>100</v>
      </c>
      <c r="AL344" s="233"/>
      <c r="AM344" s="233" t="s">
        <v>1896</v>
      </c>
      <c r="AN344" s="233"/>
      <c r="AO344" s="233"/>
      <c r="AP344" s="234" t="s">
        <v>1897</v>
      </c>
      <c r="AQ344" s="234" t="s">
        <v>408</v>
      </c>
    </row>
    <row r="345" spans="1:43">
      <c r="A345" s="6">
        <v>342</v>
      </c>
      <c r="B345" s="21" t="s">
        <v>1916</v>
      </c>
      <c r="C345" s="5" t="s">
        <v>1917</v>
      </c>
      <c r="D345" s="5" t="s">
        <v>1918</v>
      </c>
      <c r="E345" s="5" t="s">
        <v>1919</v>
      </c>
      <c r="F345" s="5" t="s">
        <v>1920</v>
      </c>
      <c r="G345" s="5" t="s">
        <v>1921</v>
      </c>
      <c r="H345" s="11" t="s">
        <v>1922</v>
      </c>
      <c r="I345" s="5"/>
      <c r="J345" s="5"/>
      <c r="K345" s="5"/>
      <c r="L345" s="5"/>
      <c r="M345" s="5"/>
      <c r="N345" s="5"/>
      <c r="O345" s="5"/>
      <c r="P345" s="11">
        <v>258.01519999999999</v>
      </c>
      <c r="Q345" s="5">
        <v>54.688600000000001</v>
      </c>
      <c r="R345" s="5">
        <f t="shared" si="5"/>
        <v>312.7038</v>
      </c>
      <c r="S345" s="5" t="s">
        <v>1914</v>
      </c>
      <c r="T345" s="6">
        <v>342</v>
      </c>
      <c r="U345" s="255" t="s">
        <v>1923</v>
      </c>
      <c r="V345" s="232" t="s">
        <v>1917</v>
      </c>
      <c r="W345" s="232">
        <v>5207.8</v>
      </c>
      <c r="X345" s="232">
        <v>11190</v>
      </c>
      <c r="Y345" s="233" t="s">
        <v>49</v>
      </c>
      <c r="Z345" s="87" t="s">
        <v>50</v>
      </c>
      <c r="AA345" s="233" t="s">
        <v>51</v>
      </c>
      <c r="AB345" s="234"/>
      <c r="AC345" s="233">
        <v>1</v>
      </c>
      <c r="AD345" s="233" t="s">
        <v>226</v>
      </c>
      <c r="AE345" s="233"/>
      <c r="AF345" s="233"/>
      <c r="AG345" s="233" t="s">
        <v>1895</v>
      </c>
      <c r="AH345" s="233">
        <v>5</v>
      </c>
      <c r="AI345" s="233">
        <v>85</v>
      </c>
      <c r="AJ345" s="233" t="s">
        <v>432</v>
      </c>
      <c r="AK345" s="233">
        <v>100</v>
      </c>
      <c r="AL345" s="233"/>
      <c r="AM345" s="233" t="s">
        <v>1906</v>
      </c>
      <c r="AN345" s="233"/>
      <c r="AO345" s="233"/>
      <c r="AP345" s="234" t="s">
        <v>1897</v>
      </c>
      <c r="AQ345" s="234" t="s">
        <v>408</v>
      </c>
    </row>
    <row r="346" spans="1:43">
      <c r="A346" s="6">
        <v>343</v>
      </c>
      <c r="B346" s="21" t="s">
        <v>1924</v>
      </c>
      <c r="C346" s="5" t="s">
        <v>1925</v>
      </c>
      <c r="D346" s="5" t="s">
        <v>1926</v>
      </c>
      <c r="E346" s="5" t="s">
        <v>1927</v>
      </c>
      <c r="F346" s="5" t="s">
        <v>1928</v>
      </c>
      <c r="G346" s="5" t="s">
        <v>1929</v>
      </c>
      <c r="H346" s="11" t="s">
        <v>1930</v>
      </c>
      <c r="I346" s="5"/>
      <c r="J346" s="5"/>
      <c r="K346" s="5"/>
      <c r="L346" s="5"/>
      <c r="M346" s="5"/>
      <c r="N346" s="5"/>
      <c r="O346" s="5"/>
      <c r="P346" s="11">
        <v>258.06540000000001</v>
      </c>
      <c r="Q346" s="5">
        <v>54.610900000000001</v>
      </c>
      <c r="R346" s="5">
        <f t="shared" si="5"/>
        <v>312.67630000000003</v>
      </c>
      <c r="S346" s="5" t="s">
        <v>1931</v>
      </c>
      <c r="T346" s="6">
        <v>343</v>
      </c>
      <c r="U346" s="255" t="s">
        <v>1932</v>
      </c>
      <c r="V346" s="232" t="s">
        <v>1925</v>
      </c>
      <c r="W346" s="232">
        <v>-546.1</v>
      </c>
      <c r="X346" s="232">
        <v>6285</v>
      </c>
      <c r="Y346" s="233" t="s">
        <v>49</v>
      </c>
      <c r="Z346" s="87" t="s">
        <v>50</v>
      </c>
      <c r="AA346" s="233" t="s">
        <v>51</v>
      </c>
      <c r="AB346" s="234"/>
      <c r="AC346" s="233">
        <v>1</v>
      </c>
      <c r="AD346" s="233" t="s">
        <v>226</v>
      </c>
      <c r="AE346" s="233"/>
      <c r="AF346" s="233"/>
      <c r="AG346" s="233" t="s">
        <v>1933</v>
      </c>
      <c r="AH346" s="233">
        <v>5</v>
      </c>
      <c r="AI346" s="233">
        <v>85</v>
      </c>
      <c r="AJ346" s="233" t="s">
        <v>432</v>
      </c>
      <c r="AK346" s="233">
        <v>100</v>
      </c>
      <c r="AL346" s="233"/>
      <c r="AM346" s="233" t="s">
        <v>1934</v>
      </c>
      <c r="AN346" s="233"/>
      <c r="AO346" s="233"/>
      <c r="AP346" s="234" t="s">
        <v>1897</v>
      </c>
      <c r="AQ346" s="234" t="s">
        <v>408</v>
      </c>
    </row>
    <row r="347" spans="1:43">
      <c r="A347" s="6">
        <v>344</v>
      </c>
      <c r="B347" s="21" t="s">
        <v>1935</v>
      </c>
      <c r="C347" s="5" t="s">
        <v>1936</v>
      </c>
      <c r="D347" s="5" t="s">
        <v>1937</v>
      </c>
      <c r="E347" s="5" t="s">
        <v>1938</v>
      </c>
      <c r="F347" s="5" t="s">
        <v>1939</v>
      </c>
      <c r="G347" s="5" t="s">
        <v>1940</v>
      </c>
      <c r="H347" s="11" t="s">
        <v>1941</v>
      </c>
      <c r="I347" s="5"/>
      <c r="J347" s="5"/>
      <c r="K347" s="5"/>
      <c r="L347" s="5"/>
      <c r="M347" s="5"/>
      <c r="N347" s="5"/>
      <c r="O347" s="5"/>
      <c r="P347" s="11">
        <v>258.09629999999999</v>
      </c>
      <c r="Q347" s="5">
        <v>54.626399999999997</v>
      </c>
      <c r="R347" s="5">
        <f t="shared" si="5"/>
        <v>312.72269999999997</v>
      </c>
      <c r="S347" s="5" t="s">
        <v>1931</v>
      </c>
      <c r="T347" s="6">
        <v>344</v>
      </c>
      <c r="U347" s="255" t="s">
        <v>1942</v>
      </c>
      <c r="V347" s="232" t="s">
        <v>1936</v>
      </c>
      <c r="W347" s="232">
        <v>-546.1</v>
      </c>
      <c r="X347" s="232">
        <v>6996.2</v>
      </c>
      <c r="Y347" s="233" t="s">
        <v>49</v>
      </c>
      <c r="Z347" s="87" t="s">
        <v>50</v>
      </c>
      <c r="AA347" s="233" t="s">
        <v>51</v>
      </c>
      <c r="AB347" s="234"/>
      <c r="AC347" s="233">
        <v>1</v>
      </c>
      <c r="AD347" s="233" t="s">
        <v>226</v>
      </c>
      <c r="AE347" s="233"/>
      <c r="AF347" s="233"/>
      <c r="AG347" s="233" t="s">
        <v>1933</v>
      </c>
      <c r="AH347" s="233">
        <v>5</v>
      </c>
      <c r="AI347" s="233">
        <v>85</v>
      </c>
      <c r="AJ347" s="233" t="s">
        <v>432</v>
      </c>
      <c r="AK347" s="233">
        <v>100</v>
      </c>
      <c r="AL347" s="233"/>
      <c r="AM347" s="233" t="s">
        <v>1943</v>
      </c>
      <c r="AN347" s="233"/>
      <c r="AO347" s="233"/>
      <c r="AP347" s="234" t="s">
        <v>1897</v>
      </c>
      <c r="AQ347" s="234" t="s">
        <v>408</v>
      </c>
    </row>
    <row r="348" spans="1:43">
      <c r="A348" s="6">
        <v>345</v>
      </c>
      <c r="B348" s="21" t="s">
        <v>1944</v>
      </c>
      <c r="C348" s="5" t="s">
        <v>1945</v>
      </c>
      <c r="D348" s="5" t="s">
        <v>1946</v>
      </c>
      <c r="E348" s="5" t="s">
        <v>1947</v>
      </c>
      <c r="F348" s="5" t="s">
        <v>1948</v>
      </c>
      <c r="G348" s="5" t="s">
        <v>1949</v>
      </c>
      <c r="H348" s="11" t="s">
        <v>1950</v>
      </c>
      <c r="I348" s="5"/>
      <c r="J348" s="5"/>
      <c r="K348" s="5"/>
      <c r="L348" s="5"/>
      <c r="M348" s="5"/>
      <c r="N348" s="5"/>
      <c r="O348" s="5"/>
      <c r="P348" s="11">
        <v>258.02890000000002</v>
      </c>
      <c r="Q348" s="5">
        <v>54.688400000000001</v>
      </c>
      <c r="R348" s="5">
        <f t="shared" si="5"/>
        <v>312.71730000000002</v>
      </c>
      <c r="S348" s="5" t="s">
        <v>452</v>
      </c>
      <c r="T348" s="6">
        <v>345</v>
      </c>
      <c r="U348" s="255" t="s">
        <v>1951</v>
      </c>
      <c r="V348" s="232" t="s">
        <v>1945</v>
      </c>
      <c r="W348" s="232">
        <v>-432</v>
      </c>
      <c r="X348" s="232">
        <v>10380.6</v>
      </c>
      <c r="Y348" s="233" t="s">
        <v>49</v>
      </c>
      <c r="Z348" s="87" t="s">
        <v>50</v>
      </c>
      <c r="AA348" s="233" t="s">
        <v>51</v>
      </c>
      <c r="AB348" s="234"/>
      <c r="AC348" s="233">
        <v>1</v>
      </c>
      <c r="AD348" s="233" t="s">
        <v>226</v>
      </c>
      <c r="AE348" s="233"/>
      <c r="AF348" s="233"/>
      <c r="AG348" s="233" t="s">
        <v>1933</v>
      </c>
      <c r="AH348" s="233">
        <v>5</v>
      </c>
      <c r="AI348" s="233">
        <v>85</v>
      </c>
      <c r="AJ348" s="233" t="s">
        <v>432</v>
      </c>
      <c r="AK348" s="233">
        <v>100</v>
      </c>
      <c r="AL348" s="233"/>
      <c r="AM348" s="233" t="s">
        <v>1934</v>
      </c>
      <c r="AN348" s="233"/>
      <c r="AO348" s="233"/>
      <c r="AP348" s="234" t="s">
        <v>1897</v>
      </c>
      <c r="AQ348" s="234" t="s">
        <v>408</v>
      </c>
    </row>
    <row r="349" spans="1:43">
      <c r="A349" s="6">
        <v>346</v>
      </c>
      <c r="B349" s="21" t="s">
        <v>1952</v>
      </c>
      <c r="C349" s="5" t="s">
        <v>1953</v>
      </c>
      <c r="D349" s="5" t="s">
        <v>1954</v>
      </c>
      <c r="E349" s="5" t="s">
        <v>1955</v>
      </c>
      <c r="F349" s="5" t="s">
        <v>1956</v>
      </c>
      <c r="G349" s="5" t="s">
        <v>1957</v>
      </c>
      <c r="H349" s="11" t="s">
        <v>1958</v>
      </c>
      <c r="I349" s="5"/>
      <c r="J349" s="5"/>
      <c r="K349" s="5"/>
      <c r="L349" s="5"/>
      <c r="M349" s="5"/>
      <c r="N349" s="5"/>
      <c r="O349" s="5"/>
      <c r="P349" s="11">
        <v>258.01139999999998</v>
      </c>
      <c r="Q349" s="5">
        <v>54.714599999999997</v>
      </c>
      <c r="R349" s="5">
        <f t="shared" si="5"/>
        <v>312.726</v>
      </c>
      <c r="S349" s="5" t="s">
        <v>452</v>
      </c>
      <c r="T349" s="6">
        <v>346</v>
      </c>
      <c r="U349" s="255" t="s">
        <v>1959</v>
      </c>
      <c r="V349" s="232" t="s">
        <v>1953</v>
      </c>
      <c r="W349" s="232">
        <v>-932.4</v>
      </c>
      <c r="X349" s="232">
        <v>10380.6</v>
      </c>
      <c r="Y349" s="233" t="s">
        <v>49</v>
      </c>
      <c r="Z349" s="87" t="s">
        <v>50</v>
      </c>
      <c r="AA349" s="233" t="s">
        <v>51</v>
      </c>
      <c r="AB349" s="234"/>
      <c r="AC349" s="233">
        <v>1</v>
      </c>
      <c r="AD349" s="233" t="s">
        <v>226</v>
      </c>
      <c r="AE349" s="233"/>
      <c r="AF349" s="233"/>
      <c r="AG349" s="233" t="s">
        <v>1933</v>
      </c>
      <c r="AH349" s="233">
        <v>5</v>
      </c>
      <c r="AI349" s="233">
        <v>85</v>
      </c>
      <c r="AJ349" s="233" t="s">
        <v>432</v>
      </c>
      <c r="AK349" s="233">
        <v>100</v>
      </c>
      <c r="AL349" s="233"/>
      <c r="AM349" s="233" t="s">
        <v>1943</v>
      </c>
      <c r="AN349" s="233"/>
      <c r="AO349" s="233"/>
      <c r="AP349" s="234" t="s">
        <v>1897</v>
      </c>
      <c r="AQ349" s="234" t="s">
        <v>408</v>
      </c>
    </row>
    <row r="350" spans="1:43">
      <c r="A350" s="6">
        <v>347</v>
      </c>
      <c r="B350" s="21" t="s">
        <v>1960</v>
      </c>
      <c r="C350" s="5" t="s">
        <v>1961</v>
      </c>
      <c r="D350" s="5" t="s">
        <v>1962</v>
      </c>
      <c r="E350" s="5" t="s">
        <v>1963</v>
      </c>
      <c r="F350" s="5" t="s">
        <v>1964</v>
      </c>
      <c r="G350" s="5" t="s">
        <v>1965</v>
      </c>
      <c r="H350" s="11" t="s">
        <v>1966</v>
      </c>
      <c r="I350" s="5"/>
      <c r="J350" s="5"/>
      <c r="K350" s="5"/>
      <c r="L350" s="5"/>
      <c r="M350" s="5"/>
      <c r="N350" s="5"/>
      <c r="O350" s="5"/>
      <c r="P350" s="11">
        <v>258.00380000000001</v>
      </c>
      <c r="Q350" s="5">
        <v>54.685400000000001</v>
      </c>
      <c r="R350" s="5">
        <f t="shared" si="5"/>
        <v>312.68920000000003</v>
      </c>
      <c r="S350" s="5" t="s">
        <v>1967</v>
      </c>
      <c r="T350" s="6">
        <v>347</v>
      </c>
      <c r="U350" s="255" t="s">
        <v>1968</v>
      </c>
      <c r="V350" s="232" t="s">
        <v>1961</v>
      </c>
      <c r="W350" s="232">
        <v>-1903.4</v>
      </c>
      <c r="X350" s="232">
        <v>6996.2</v>
      </c>
      <c r="Y350" s="233" t="s">
        <v>49</v>
      </c>
      <c r="Z350" s="87" t="s">
        <v>50</v>
      </c>
      <c r="AA350" s="233" t="s">
        <v>51</v>
      </c>
      <c r="AB350" s="234"/>
      <c r="AC350" s="233">
        <v>1</v>
      </c>
      <c r="AD350" s="233" t="s">
        <v>226</v>
      </c>
      <c r="AE350" s="233"/>
      <c r="AF350" s="233"/>
      <c r="AG350" s="233" t="s">
        <v>1969</v>
      </c>
      <c r="AH350" s="233">
        <v>5</v>
      </c>
      <c r="AI350" s="233">
        <v>85</v>
      </c>
      <c r="AJ350" s="233" t="s">
        <v>432</v>
      </c>
      <c r="AK350" s="233">
        <v>100</v>
      </c>
      <c r="AL350" s="233"/>
      <c r="AM350" s="233" t="s">
        <v>1970</v>
      </c>
      <c r="AN350" s="233"/>
      <c r="AO350" s="233"/>
      <c r="AP350" s="234" t="s">
        <v>1897</v>
      </c>
      <c r="AQ350" s="234" t="s">
        <v>408</v>
      </c>
    </row>
    <row r="351" spans="1:43">
      <c r="A351" s="6">
        <v>348</v>
      </c>
      <c r="B351" s="21" t="s">
        <v>1971</v>
      </c>
      <c r="C351" s="5" t="s">
        <v>1972</v>
      </c>
      <c r="D351" s="5" t="s">
        <v>1973</v>
      </c>
      <c r="E351" s="5" t="s">
        <v>1974</v>
      </c>
      <c r="F351" s="5" t="s">
        <v>1975</v>
      </c>
      <c r="G351" s="5" t="s">
        <v>1976</v>
      </c>
      <c r="H351" s="11" t="s">
        <v>1977</v>
      </c>
      <c r="I351" s="5"/>
      <c r="J351" s="5"/>
      <c r="K351" s="5"/>
      <c r="L351" s="5"/>
      <c r="M351" s="5"/>
      <c r="N351" s="5"/>
      <c r="O351" s="5"/>
      <c r="P351" s="11">
        <v>257.99799999999999</v>
      </c>
      <c r="Q351" s="5">
        <v>54.683799999999998</v>
      </c>
      <c r="R351" s="5">
        <f t="shared" si="5"/>
        <v>312.68180000000001</v>
      </c>
      <c r="S351" s="5" t="s">
        <v>1967</v>
      </c>
      <c r="T351" s="6">
        <v>348</v>
      </c>
      <c r="U351" s="255" t="s">
        <v>1978</v>
      </c>
      <c r="V351" s="232" t="s">
        <v>1972</v>
      </c>
      <c r="W351" s="232">
        <v>-1903.4</v>
      </c>
      <c r="X351" s="232">
        <v>7707.4</v>
      </c>
      <c r="Y351" s="233" t="s">
        <v>49</v>
      </c>
      <c r="Z351" s="87" t="s">
        <v>50</v>
      </c>
      <c r="AA351" s="233" t="s">
        <v>51</v>
      </c>
      <c r="AB351" s="234"/>
      <c r="AC351" s="233">
        <v>1</v>
      </c>
      <c r="AD351" s="233" t="s">
        <v>226</v>
      </c>
      <c r="AE351" s="233"/>
      <c r="AF351" s="233"/>
      <c r="AG351" s="233" t="s">
        <v>1969</v>
      </c>
      <c r="AH351" s="233">
        <v>5</v>
      </c>
      <c r="AI351" s="233">
        <v>85</v>
      </c>
      <c r="AJ351" s="233" t="s">
        <v>432</v>
      </c>
      <c r="AK351" s="233">
        <v>100</v>
      </c>
      <c r="AL351" s="233"/>
      <c r="AM351" s="233" t="s">
        <v>1979</v>
      </c>
      <c r="AN351" s="233"/>
      <c r="AO351" s="233"/>
      <c r="AP351" s="234" t="s">
        <v>1897</v>
      </c>
      <c r="AQ351" s="234" t="s">
        <v>408</v>
      </c>
    </row>
    <row r="352" spans="1:43">
      <c r="A352" s="6">
        <v>349</v>
      </c>
      <c r="B352" s="21" t="s">
        <v>1980</v>
      </c>
      <c r="C352" s="5" t="s">
        <v>1981</v>
      </c>
      <c r="D352" s="5" t="s">
        <v>1982</v>
      </c>
      <c r="E352" s="5" t="s">
        <v>1983</v>
      </c>
      <c r="F352" s="5" t="s">
        <v>1984</v>
      </c>
      <c r="G352" s="5" t="s">
        <v>1985</v>
      </c>
      <c r="H352" s="11" t="s">
        <v>1986</v>
      </c>
      <c r="I352" s="5"/>
      <c r="J352" s="5"/>
      <c r="K352" s="5"/>
      <c r="L352" s="5"/>
      <c r="M352" s="5"/>
      <c r="N352" s="5"/>
      <c r="O352" s="5"/>
      <c r="P352" s="11">
        <v>258.00200000000001</v>
      </c>
      <c r="Q352" s="5">
        <v>54.530500000000004</v>
      </c>
      <c r="R352" s="5">
        <f t="shared" si="5"/>
        <v>312.53250000000003</v>
      </c>
      <c r="S352" s="5" t="s">
        <v>465</v>
      </c>
      <c r="T352" s="6">
        <v>349</v>
      </c>
      <c r="U352" s="255" t="s">
        <v>1987</v>
      </c>
      <c r="V352" s="232" t="s">
        <v>1981</v>
      </c>
      <c r="W352" s="232">
        <v>-1114.3</v>
      </c>
      <c r="X352" s="232">
        <v>11190</v>
      </c>
      <c r="Y352" s="233" t="s">
        <v>49</v>
      </c>
      <c r="Z352" s="87" t="s">
        <v>50</v>
      </c>
      <c r="AA352" s="233" t="s">
        <v>51</v>
      </c>
      <c r="AB352" s="234"/>
      <c r="AC352" s="233">
        <v>1</v>
      </c>
      <c r="AD352" s="233" t="s">
        <v>226</v>
      </c>
      <c r="AE352" s="233"/>
      <c r="AF352" s="233"/>
      <c r="AG352" s="233" t="s">
        <v>1969</v>
      </c>
      <c r="AH352" s="233">
        <v>5</v>
      </c>
      <c r="AI352" s="233">
        <v>85</v>
      </c>
      <c r="AJ352" s="233" t="s">
        <v>432</v>
      </c>
      <c r="AK352" s="233">
        <v>100</v>
      </c>
      <c r="AL352" s="233"/>
      <c r="AM352" s="233" t="s">
        <v>1970</v>
      </c>
      <c r="AN352" s="233"/>
      <c r="AO352" s="233"/>
      <c r="AP352" s="234" t="s">
        <v>1897</v>
      </c>
      <c r="AQ352" s="234" t="s">
        <v>408</v>
      </c>
    </row>
    <row r="353" spans="1:43">
      <c r="A353" s="6">
        <v>350</v>
      </c>
      <c r="B353" s="21" t="s">
        <v>1988</v>
      </c>
      <c r="C353" s="5" t="s">
        <v>1989</v>
      </c>
      <c r="D353" s="5" t="s">
        <v>1990</v>
      </c>
      <c r="E353" s="5" t="s">
        <v>1991</v>
      </c>
      <c r="F353" s="5" t="s">
        <v>1992</v>
      </c>
      <c r="G353" s="5" t="s">
        <v>1993</v>
      </c>
      <c r="H353" s="11" t="s">
        <v>1994</v>
      </c>
      <c r="I353" s="5"/>
      <c r="J353" s="5"/>
      <c r="K353" s="5"/>
      <c r="L353" s="5"/>
      <c r="M353" s="5"/>
      <c r="N353" s="5"/>
      <c r="O353" s="5"/>
      <c r="P353" s="11">
        <v>258.00009999999997</v>
      </c>
      <c r="Q353" s="5">
        <v>54.4923</v>
      </c>
      <c r="R353" s="5">
        <f t="shared" si="5"/>
        <v>312.49239999999998</v>
      </c>
      <c r="S353" s="5" t="s">
        <v>465</v>
      </c>
      <c r="T353" s="6">
        <v>350</v>
      </c>
      <c r="U353" s="255" t="s">
        <v>1995</v>
      </c>
      <c r="V353" s="232" t="s">
        <v>1989</v>
      </c>
      <c r="W353" s="232">
        <v>-1614.7</v>
      </c>
      <c r="X353" s="232">
        <v>11190</v>
      </c>
      <c r="Y353" s="233" t="s">
        <v>49</v>
      </c>
      <c r="Z353" s="87" t="s">
        <v>50</v>
      </c>
      <c r="AA353" s="233" t="s">
        <v>51</v>
      </c>
      <c r="AB353" s="234"/>
      <c r="AC353" s="233">
        <v>1</v>
      </c>
      <c r="AD353" s="233" t="s">
        <v>226</v>
      </c>
      <c r="AE353" s="233"/>
      <c r="AF353" s="233"/>
      <c r="AG353" s="233" t="s">
        <v>1969</v>
      </c>
      <c r="AH353" s="233">
        <v>5</v>
      </c>
      <c r="AI353" s="233">
        <v>85</v>
      </c>
      <c r="AJ353" s="233" t="s">
        <v>432</v>
      </c>
      <c r="AK353" s="233">
        <v>100</v>
      </c>
      <c r="AL353" s="233"/>
      <c r="AM353" s="233" t="s">
        <v>1979</v>
      </c>
      <c r="AN353" s="233"/>
      <c r="AO353" s="233"/>
      <c r="AP353" s="234" t="s">
        <v>1897</v>
      </c>
      <c r="AQ353" s="234" t="s">
        <v>408</v>
      </c>
    </row>
    <row r="354" spans="1:43">
      <c r="A354" s="6">
        <v>351</v>
      </c>
      <c r="B354" s="21" t="s">
        <v>1996</v>
      </c>
      <c r="C354" s="5" t="s">
        <v>1997</v>
      </c>
      <c r="D354" s="5" t="s">
        <v>1998</v>
      </c>
      <c r="E354" s="5" t="s">
        <v>1999</v>
      </c>
      <c r="F354" s="5" t="s">
        <v>2000</v>
      </c>
      <c r="G354" s="5" t="s">
        <v>2001</v>
      </c>
      <c r="H354" s="11" t="s">
        <v>2002</v>
      </c>
      <c r="I354" s="5"/>
      <c r="J354" s="5"/>
      <c r="K354" s="5"/>
      <c r="L354" s="5"/>
      <c r="M354" s="5"/>
      <c r="N354" s="5"/>
      <c r="O354" s="5"/>
      <c r="P354" s="11">
        <v>258.02510000000001</v>
      </c>
      <c r="Q354" s="5">
        <v>54.689900000000002</v>
      </c>
      <c r="R354" s="5">
        <f t="shared" si="5"/>
        <v>312.71500000000003</v>
      </c>
      <c r="S354" s="5" t="s">
        <v>2003</v>
      </c>
      <c r="T354" s="6">
        <v>351</v>
      </c>
      <c r="U354" s="255" t="s">
        <v>2004</v>
      </c>
      <c r="V354" s="232" t="s">
        <v>1997</v>
      </c>
      <c r="W354" s="232">
        <v>-1903.4</v>
      </c>
      <c r="X354" s="232">
        <v>4862.6000000000004</v>
      </c>
      <c r="Y354" s="233" t="s">
        <v>49</v>
      </c>
      <c r="Z354" s="87" t="s">
        <v>50</v>
      </c>
      <c r="AA354" s="233" t="s">
        <v>51</v>
      </c>
      <c r="AB354" s="234"/>
      <c r="AC354" s="233">
        <v>1</v>
      </c>
      <c r="AD354" s="233" t="s">
        <v>226</v>
      </c>
      <c r="AE354" s="233"/>
      <c r="AF354" s="233"/>
      <c r="AG354" s="233" t="s">
        <v>2005</v>
      </c>
      <c r="AH354" s="233">
        <v>5</v>
      </c>
      <c r="AI354" s="233">
        <v>85</v>
      </c>
      <c r="AJ354" s="233" t="s">
        <v>432</v>
      </c>
      <c r="AK354" s="233">
        <v>100</v>
      </c>
      <c r="AL354" s="233"/>
      <c r="AM354" s="233" t="s">
        <v>2006</v>
      </c>
      <c r="AN354" s="233"/>
      <c r="AO354" s="233"/>
      <c r="AP354" s="234" t="s">
        <v>1897</v>
      </c>
      <c r="AQ354" s="234" t="s">
        <v>408</v>
      </c>
    </row>
    <row r="355" spans="1:43">
      <c r="A355" s="6">
        <v>352</v>
      </c>
      <c r="B355" s="21" t="s">
        <v>2007</v>
      </c>
      <c r="C355" s="5" t="s">
        <v>2008</v>
      </c>
      <c r="D355" s="5" t="s">
        <v>2009</v>
      </c>
      <c r="E355" s="5" t="s">
        <v>2010</v>
      </c>
      <c r="F355" s="5" t="s">
        <v>2011</v>
      </c>
      <c r="G355" s="5" t="s">
        <v>2012</v>
      </c>
      <c r="H355" s="11" t="s">
        <v>2013</v>
      </c>
      <c r="I355" s="5"/>
      <c r="J355" s="5"/>
      <c r="K355" s="5"/>
      <c r="L355" s="5"/>
      <c r="M355" s="5"/>
      <c r="N355" s="5"/>
      <c r="O355" s="5"/>
      <c r="P355" s="11">
        <v>258.02280000000002</v>
      </c>
      <c r="Q355" s="5">
        <v>54.689900000000002</v>
      </c>
      <c r="R355" s="5">
        <f t="shared" si="5"/>
        <v>312.71270000000004</v>
      </c>
      <c r="S355" s="5" t="s">
        <v>2003</v>
      </c>
      <c r="T355" s="6">
        <v>352</v>
      </c>
      <c r="U355" s="255" t="s">
        <v>2014</v>
      </c>
      <c r="V355" s="232" t="s">
        <v>2008</v>
      </c>
      <c r="W355" s="232">
        <v>-1903.4</v>
      </c>
      <c r="X355" s="232">
        <v>5573.8</v>
      </c>
      <c r="Y355" s="233" t="s">
        <v>49</v>
      </c>
      <c r="Z355" s="87" t="s">
        <v>50</v>
      </c>
      <c r="AA355" s="233" t="s">
        <v>51</v>
      </c>
      <c r="AB355" s="234"/>
      <c r="AC355" s="233">
        <v>1</v>
      </c>
      <c r="AD355" s="233" t="s">
        <v>226</v>
      </c>
      <c r="AE355" s="233"/>
      <c r="AF355" s="233"/>
      <c r="AG355" s="233" t="s">
        <v>2005</v>
      </c>
      <c r="AH355" s="233">
        <v>5</v>
      </c>
      <c r="AI355" s="233">
        <v>85</v>
      </c>
      <c r="AJ355" s="233" t="s">
        <v>432</v>
      </c>
      <c r="AK355" s="233">
        <v>100</v>
      </c>
      <c r="AL355" s="233"/>
      <c r="AM355" s="233" t="s">
        <v>2015</v>
      </c>
      <c r="AN355" s="233"/>
      <c r="AO355" s="233"/>
      <c r="AP355" s="234" t="s">
        <v>1897</v>
      </c>
      <c r="AQ355" s="234" t="s">
        <v>408</v>
      </c>
    </row>
    <row r="356" spans="1:43">
      <c r="A356" s="6">
        <v>353</v>
      </c>
      <c r="B356" s="21" t="s">
        <v>2016</v>
      </c>
      <c r="C356" s="5" t="s">
        <v>2017</v>
      </c>
      <c r="D356" s="5" t="s">
        <v>2018</v>
      </c>
      <c r="E356" s="5" t="s">
        <v>2019</v>
      </c>
      <c r="F356" s="5" t="s">
        <v>2020</v>
      </c>
      <c r="G356" s="5" t="s">
        <v>2021</v>
      </c>
      <c r="H356" s="11" t="s">
        <v>2022</v>
      </c>
      <c r="I356" s="5"/>
      <c r="J356" s="5"/>
      <c r="K356" s="5"/>
      <c r="L356" s="5"/>
      <c r="M356" s="5"/>
      <c r="N356" s="5"/>
      <c r="O356" s="5"/>
      <c r="P356" s="11">
        <v>258.0478</v>
      </c>
      <c r="Q356" s="5">
        <v>54.641500000000001</v>
      </c>
      <c r="R356" s="5">
        <f t="shared" si="5"/>
        <v>312.6893</v>
      </c>
      <c r="S356" s="5" t="s">
        <v>1893</v>
      </c>
      <c r="T356" s="6">
        <v>353</v>
      </c>
      <c r="U356" s="255" t="s">
        <v>2023</v>
      </c>
      <c r="V356" s="232" t="s">
        <v>2017</v>
      </c>
      <c r="W356" s="232">
        <v>-1796.6</v>
      </c>
      <c r="X356" s="232">
        <v>10380.6</v>
      </c>
      <c r="Y356" s="233" t="s">
        <v>49</v>
      </c>
      <c r="Z356" s="87" t="s">
        <v>50</v>
      </c>
      <c r="AA356" s="233" t="s">
        <v>51</v>
      </c>
      <c r="AB356" s="234"/>
      <c r="AC356" s="233">
        <v>1</v>
      </c>
      <c r="AD356" s="233" t="s">
        <v>226</v>
      </c>
      <c r="AE356" s="233"/>
      <c r="AF356" s="233"/>
      <c r="AG356" s="233" t="s">
        <v>2005</v>
      </c>
      <c r="AH356" s="233">
        <v>5</v>
      </c>
      <c r="AI356" s="233">
        <v>85</v>
      </c>
      <c r="AJ356" s="233" t="s">
        <v>432</v>
      </c>
      <c r="AK356" s="233">
        <v>100</v>
      </c>
      <c r="AL356" s="233"/>
      <c r="AM356" s="233" t="s">
        <v>2006</v>
      </c>
      <c r="AN356" s="233"/>
      <c r="AO356" s="233"/>
      <c r="AP356" s="234" t="s">
        <v>1897</v>
      </c>
      <c r="AQ356" s="234" t="s">
        <v>408</v>
      </c>
    </row>
    <row r="357" spans="1:43">
      <c r="A357" s="6">
        <v>354</v>
      </c>
      <c r="B357" s="21" t="s">
        <v>2024</v>
      </c>
      <c r="C357" s="5" t="s">
        <v>2025</v>
      </c>
      <c r="D357" s="5" t="s">
        <v>2026</v>
      </c>
      <c r="E357" s="5" t="s">
        <v>2027</v>
      </c>
      <c r="F357" s="5" t="s">
        <v>2028</v>
      </c>
      <c r="G357" s="5" t="s">
        <v>2029</v>
      </c>
      <c r="H357" s="11" t="s">
        <v>2030</v>
      </c>
      <c r="I357" s="5"/>
      <c r="J357" s="5"/>
      <c r="K357" s="5"/>
      <c r="L357" s="5"/>
      <c r="M357" s="5"/>
      <c r="N357" s="5"/>
      <c r="O357" s="5"/>
      <c r="P357" s="11">
        <v>258.04790000000003</v>
      </c>
      <c r="Q357" s="5">
        <v>54.636600000000001</v>
      </c>
      <c r="R357" s="5">
        <f t="shared" si="5"/>
        <v>312.68450000000001</v>
      </c>
      <c r="S357" s="5" t="s">
        <v>1893</v>
      </c>
      <c r="T357" s="6">
        <v>354</v>
      </c>
      <c r="U357" s="255" t="s">
        <v>2031</v>
      </c>
      <c r="V357" s="232" t="s">
        <v>2025</v>
      </c>
      <c r="W357" s="232">
        <v>-2297</v>
      </c>
      <c r="X357" s="232">
        <v>10380.6</v>
      </c>
      <c r="Y357" s="233" t="s">
        <v>49</v>
      </c>
      <c r="Z357" s="87" t="s">
        <v>50</v>
      </c>
      <c r="AA357" s="233" t="s">
        <v>51</v>
      </c>
      <c r="AB357" s="234"/>
      <c r="AC357" s="233">
        <v>1</v>
      </c>
      <c r="AD357" s="233" t="s">
        <v>226</v>
      </c>
      <c r="AE357" s="233"/>
      <c r="AF357" s="233"/>
      <c r="AG357" s="233" t="s">
        <v>2005</v>
      </c>
      <c r="AH357" s="233">
        <v>5</v>
      </c>
      <c r="AI357" s="233">
        <v>85</v>
      </c>
      <c r="AJ357" s="233" t="s">
        <v>432</v>
      </c>
      <c r="AK357" s="233">
        <v>100</v>
      </c>
      <c r="AL357" s="233"/>
      <c r="AM357" s="233" t="s">
        <v>2015</v>
      </c>
      <c r="AN357" s="233"/>
      <c r="AO357" s="233"/>
      <c r="AP357" s="234" t="s">
        <v>1897</v>
      </c>
      <c r="AQ357" s="234" t="s">
        <v>408</v>
      </c>
    </row>
    <row r="358" spans="1:43">
      <c r="A358" s="6">
        <v>355</v>
      </c>
      <c r="B358" s="21" t="s">
        <v>2032</v>
      </c>
      <c r="C358" s="5" t="s">
        <v>2033</v>
      </c>
      <c r="D358" s="5" t="s">
        <v>2034</v>
      </c>
      <c r="E358" s="5" t="s">
        <v>2035</v>
      </c>
      <c r="F358" s="5" t="s">
        <v>2036</v>
      </c>
      <c r="G358" s="5" t="s">
        <v>2037</v>
      </c>
      <c r="H358" s="11" t="s">
        <v>2038</v>
      </c>
      <c r="I358" s="5"/>
      <c r="J358" s="5"/>
      <c r="K358" s="5"/>
      <c r="L358" s="5"/>
      <c r="M358" s="5"/>
      <c r="N358" s="5"/>
      <c r="O358" s="5"/>
      <c r="P358" s="11">
        <v>258.05700000000002</v>
      </c>
      <c r="Q358" s="5">
        <v>54.660600000000002</v>
      </c>
      <c r="R358" s="5">
        <f t="shared" si="5"/>
        <v>312.7176</v>
      </c>
      <c r="S358" s="5" t="s">
        <v>1827</v>
      </c>
      <c r="T358" s="6">
        <v>355</v>
      </c>
      <c r="U358" s="255" t="s">
        <v>2039</v>
      </c>
      <c r="V358" s="232" t="s">
        <v>2033</v>
      </c>
      <c r="W358" s="232">
        <v>-3275.1</v>
      </c>
      <c r="X358" s="232">
        <v>8418.6</v>
      </c>
      <c r="Y358" s="233" t="s">
        <v>49</v>
      </c>
      <c r="Z358" s="87" t="s">
        <v>50</v>
      </c>
      <c r="AA358" s="233" t="s">
        <v>51</v>
      </c>
      <c r="AB358" s="234"/>
      <c r="AC358" s="233">
        <v>1</v>
      </c>
      <c r="AD358" s="233" t="s">
        <v>226</v>
      </c>
      <c r="AE358" s="233"/>
      <c r="AF358" s="233"/>
      <c r="AG358" s="233" t="s">
        <v>2040</v>
      </c>
      <c r="AH358" s="233">
        <v>5</v>
      </c>
      <c r="AI358" s="233">
        <v>85</v>
      </c>
      <c r="AJ358" s="233" t="s">
        <v>432</v>
      </c>
      <c r="AK358" s="233">
        <v>100</v>
      </c>
      <c r="AL358" s="233"/>
      <c r="AM358" s="233" t="s">
        <v>2041</v>
      </c>
      <c r="AN358" s="233"/>
      <c r="AO358" s="233"/>
      <c r="AP358" s="234" t="s">
        <v>1897</v>
      </c>
      <c r="AQ358" s="234" t="s">
        <v>408</v>
      </c>
    </row>
    <row r="359" spans="1:43">
      <c r="A359" s="6">
        <v>356</v>
      </c>
      <c r="B359" s="21" t="s">
        <v>2042</v>
      </c>
      <c r="C359" s="5" t="s">
        <v>2043</v>
      </c>
      <c r="D359" s="5" t="s">
        <v>2044</v>
      </c>
      <c r="E359" s="5" t="s">
        <v>2045</v>
      </c>
      <c r="F359" s="5" t="s">
        <v>2046</v>
      </c>
      <c r="G359" s="5" t="s">
        <v>2047</v>
      </c>
      <c r="H359" s="11" t="s">
        <v>2048</v>
      </c>
      <c r="I359" s="5"/>
      <c r="J359" s="5"/>
      <c r="K359" s="5"/>
      <c r="L359" s="5"/>
      <c r="M359" s="5"/>
      <c r="N359" s="5"/>
      <c r="O359" s="5"/>
      <c r="P359" s="11">
        <v>258.02789999999999</v>
      </c>
      <c r="Q359" s="5">
        <v>54.6631</v>
      </c>
      <c r="R359" s="5">
        <f t="shared" si="5"/>
        <v>312.69099999999997</v>
      </c>
      <c r="S359" s="5" t="s">
        <v>1827</v>
      </c>
      <c r="T359" s="6">
        <v>356</v>
      </c>
      <c r="U359" s="255" t="s">
        <v>2049</v>
      </c>
      <c r="V359" s="232" t="s">
        <v>2043</v>
      </c>
      <c r="W359" s="232">
        <v>-3275.1</v>
      </c>
      <c r="X359" s="232">
        <v>9129.7999999999993</v>
      </c>
      <c r="Y359" s="233" t="s">
        <v>49</v>
      </c>
      <c r="Z359" s="87" t="s">
        <v>50</v>
      </c>
      <c r="AA359" s="233" t="s">
        <v>51</v>
      </c>
      <c r="AB359" s="234"/>
      <c r="AC359" s="233">
        <v>1</v>
      </c>
      <c r="AD359" s="233" t="s">
        <v>226</v>
      </c>
      <c r="AE359" s="233"/>
      <c r="AF359" s="233"/>
      <c r="AG359" s="233" t="s">
        <v>2040</v>
      </c>
      <c r="AH359" s="233">
        <v>5</v>
      </c>
      <c r="AI359" s="233">
        <v>85</v>
      </c>
      <c r="AJ359" s="233" t="s">
        <v>432</v>
      </c>
      <c r="AK359" s="233">
        <v>100</v>
      </c>
      <c r="AL359" s="233"/>
      <c r="AM359" s="233" t="s">
        <v>2050</v>
      </c>
      <c r="AN359" s="233"/>
      <c r="AO359" s="233"/>
      <c r="AP359" s="234" t="s">
        <v>1897</v>
      </c>
      <c r="AQ359" s="234" t="s">
        <v>408</v>
      </c>
    </row>
    <row r="360" spans="1:43">
      <c r="A360" s="6">
        <v>357</v>
      </c>
      <c r="B360" s="21" t="s">
        <v>2051</v>
      </c>
      <c r="C360" s="5" t="s">
        <v>2052</v>
      </c>
      <c r="D360" s="5" t="s">
        <v>2053</v>
      </c>
      <c r="E360" s="5" t="s">
        <v>2054</v>
      </c>
      <c r="F360" s="5" t="s">
        <v>2055</v>
      </c>
      <c r="G360" s="5" t="s">
        <v>2056</v>
      </c>
      <c r="H360" s="11" t="s">
        <v>2057</v>
      </c>
      <c r="I360" s="5"/>
      <c r="J360" s="5"/>
      <c r="K360" s="5"/>
      <c r="L360" s="5"/>
      <c r="M360" s="5"/>
      <c r="N360" s="5"/>
      <c r="O360" s="5"/>
      <c r="P360" s="11">
        <v>258.07510000000002</v>
      </c>
      <c r="Q360" s="5">
        <v>54.652700000000003</v>
      </c>
      <c r="R360" s="5">
        <f t="shared" si="5"/>
        <v>312.7278</v>
      </c>
      <c r="S360" s="5" t="s">
        <v>2058</v>
      </c>
      <c r="T360" s="6">
        <v>357</v>
      </c>
      <c r="U360" s="255" t="s">
        <v>2059</v>
      </c>
      <c r="V360" s="232" t="s">
        <v>2052</v>
      </c>
      <c r="W360" s="232">
        <v>-2478.8000000000002</v>
      </c>
      <c r="X360" s="232">
        <v>11190</v>
      </c>
      <c r="Y360" s="233" t="s">
        <v>49</v>
      </c>
      <c r="Z360" s="87" t="s">
        <v>50</v>
      </c>
      <c r="AA360" s="233" t="s">
        <v>51</v>
      </c>
      <c r="AB360" s="234"/>
      <c r="AC360" s="233">
        <v>1</v>
      </c>
      <c r="AD360" s="233" t="s">
        <v>226</v>
      </c>
      <c r="AE360" s="233"/>
      <c r="AF360" s="233"/>
      <c r="AG360" s="233" t="s">
        <v>2040</v>
      </c>
      <c r="AH360" s="233">
        <v>5</v>
      </c>
      <c r="AI360" s="233">
        <v>85</v>
      </c>
      <c r="AJ360" s="233" t="s">
        <v>432</v>
      </c>
      <c r="AK360" s="233">
        <v>100</v>
      </c>
      <c r="AL360" s="233"/>
      <c r="AM360" s="233" t="s">
        <v>2041</v>
      </c>
      <c r="AN360" s="233"/>
      <c r="AO360" s="233"/>
      <c r="AP360" s="234" t="s">
        <v>1897</v>
      </c>
      <c r="AQ360" s="234" t="s">
        <v>408</v>
      </c>
    </row>
    <row r="361" spans="1:43">
      <c r="A361" s="6">
        <v>358</v>
      </c>
      <c r="B361" s="21" t="s">
        <v>2060</v>
      </c>
      <c r="C361" s="5" t="s">
        <v>2061</v>
      </c>
      <c r="D361" s="5" t="s">
        <v>2062</v>
      </c>
      <c r="E361" s="5" t="s">
        <v>2063</v>
      </c>
      <c r="F361" s="5" t="s">
        <v>2064</v>
      </c>
      <c r="G361" s="5" t="s">
        <v>2065</v>
      </c>
      <c r="H361" s="11" t="s">
        <v>2066</v>
      </c>
      <c r="I361" s="5"/>
      <c r="J361" s="5"/>
      <c r="K361" s="5"/>
      <c r="L361" s="5"/>
      <c r="M361" s="5"/>
      <c r="N361" s="5"/>
      <c r="O361" s="5"/>
      <c r="P361" s="11">
        <v>258.07839999999999</v>
      </c>
      <c r="Q361" s="5">
        <v>54.698300000000003</v>
      </c>
      <c r="R361" s="5">
        <f t="shared" si="5"/>
        <v>312.77670000000001</v>
      </c>
      <c r="S361" s="5" t="s">
        <v>2058</v>
      </c>
      <c r="T361" s="6">
        <v>358</v>
      </c>
      <c r="U361" s="255" t="s">
        <v>2067</v>
      </c>
      <c r="V361" s="232" t="s">
        <v>2061</v>
      </c>
      <c r="W361" s="232">
        <v>-2979.2</v>
      </c>
      <c r="X361" s="232">
        <v>11190</v>
      </c>
      <c r="Y361" s="233" t="s">
        <v>49</v>
      </c>
      <c r="Z361" s="87" t="s">
        <v>50</v>
      </c>
      <c r="AA361" s="233" t="s">
        <v>51</v>
      </c>
      <c r="AB361" s="234"/>
      <c r="AC361" s="233">
        <v>1</v>
      </c>
      <c r="AD361" s="233" t="s">
        <v>226</v>
      </c>
      <c r="AE361" s="233"/>
      <c r="AF361" s="233"/>
      <c r="AG361" s="233" t="s">
        <v>2040</v>
      </c>
      <c r="AH361" s="233">
        <v>5</v>
      </c>
      <c r="AI361" s="233">
        <v>85</v>
      </c>
      <c r="AJ361" s="233" t="s">
        <v>432</v>
      </c>
      <c r="AK361" s="233">
        <v>100</v>
      </c>
      <c r="AL361" s="233"/>
      <c r="AM361" s="233" t="s">
        <v>2050</v>
      </c>
      <c r="AN361" s="233"/>
      <c r="AO361" s="233"/>
      <c r="AP361" s="234" t="s">
        <v>1897</v>
      </c>
      <c r="AQ361" s="234" t="s">
        <v>408</v>
      </c>
    </row>
    <row r="362" spans="1:43">
      <c r="A362" s="6">
        <v>359</v>
      </c>
      <c r="B362" s="21" t="s">
        <v>2068</v>
      </c>
      <c r="C362" s="5" t="s">
        <v>2069</v>
      </c>
      <c r="D362" s="5" t="s">
        <v>2070</v>
      </c>
      <c r="E362" s="5" t="s">
        <v>2071</v>
      </c>
      <c r="F362" s="5" t="s">
        <v>2072</v>
      </c>
      <c r="G362" s="5" t="s">
        <v>2073</v>
      </c>
      <c r="H362" s="11" t="s">
        <v>2074</v>
      </c>
      <c r="I362" s="5"/>
      <c r="J362" s="5"/>
      <c r="K362" s="5"/>
      <c r="L362" s="5"/>
      <c r="M362" s="5"/>
      <c r="N362" s="5"/>
      <c r="O362" s="5"/>
      <c r="P362" s="11">
        <v>258.0061</v>
      </c>
      <c r="Q362" s="5">
        <v>54.841099999999997</v>
      </c>
      <c r="R362" s="5">
        <f t="shared" si="5"/>
        <v>312.84719999999999</v>
      </c>
      <c r="S362" s="5" t="s">
        <v>441</v>
      </c>
      <c r="T362" s="6">
        <v>359</v>
      </c>
      <c r="U362" s="255" t="s">
        <v>2075</v>
      </c>
      <c r="V362" s="232" t="s">
        <v>2069</v>
      </c>
      <c r="W362" s="232">
        <v>-3275.1</v>
      </c>
      <c r="X362" s="232">
        <v>6285</v>
      </c>
      <c r="Y362" s="233" t="s">
        <v>49</v>
      </c>
      <c r="Z362" s="87" t="s">
        <v>50</v>
      </c>
      <c r="AA362" s="233" t="s">
        <v>51</v>
      </c>
      <c r="AB362" s="234"/>
      <c r="AC362" s="233">
        <v>1</v>
      </c>
      <c r="AD362" s="233" t="s">
        <v>226</v>
      </c>
      <c r="AE362" s="233"/>
      <c r="AF362" s="233"/>
      <c r="AG362" s="233" t="s">
        <v>2076</v>
      </c>
      <c r="AH362" s="233">
        <v>5</v>
      </c>
      <c r="AI362" s="233">
        <v>85</v>
      </c>
      <c r="AJ362" s="233" t="s">
        <v>432</v>
      </c>
      <c r="AK362" s="233">
        <v>100</v>
      </c>
      <c r="AL362" s="233"/>
      <c r="AM362" s="233" t="s">
        <v>2077</v>
      </c>
      <c r="AN362" s="233"/>
      <c r="AO362" s="233"/>
      <c r="AP362" s="234" t="s">
        <v>1897</v>
      </c>
      <c r="AQ362" s="234" t="s">
        <v>408</v>
      </c>
    </row>
    <row r="363" spans="1:43">
      <c r="A363" s="6">
        <v>360</v>
      </c>
      <c r="B363" s="21" t="s">
        <v>2078</v>
      </c>
      <c r="C363" s="5" t="s">
        <v>2079</v>
      </c>
      <c r="D363" s="5" t="s">
        <v>2080</v>
      </c>
      <c r="E363" s="5" t="s">
        <v>2081</v>
      </c>
      <c r="F363" s="5" t="s">
        <v>2082</v>
      </c>
      <c r="G363" s="5" t="s">
        <v>2083</v>
      </c>
      <c r="H363" s="11" t="s">
        <v>2084</v>
      </c>
      <c r="I363" s="5"/>
      <c r="J363" s="5"/>
      <c r="K363" s="5"/>
      <c r="L363" s="5"/>
      <c r="M363" s="5"/>
      <c r="N363" s="5"/>
      <c r="O363" s="5"/>
      <c r="P363" s="11">
        <v>258.01479999999998</v>
      </c>
      <c r="Q363" s="5">
        <v>54.826599999999999</v>
      </c>
      <c r="R363" s="5">
        <f t="shared" si="5"/>
        <v>312.84139999999996</v>
      </c>
      <c r="S363" s="5" t="s">
        <v>441</v>
      </c>
      <c r="T363" s="6">
        <v>360</v>
      </c>
      <c r="U363" s="255" t="s">
        <v>2085</v>
      </c>
      <c r="V363" s="232" t="s">
        <v>2079</v>
      </c>
      <c r="W363" s="232">
        <v>-3275.1</v>
      </c>
      <c r="X363" s="232">
        <v>6996.2</v>
      </c>
      <c r="Y363" s="233" t="s">
        <v>49</v>
      </c>
      <c r="Z363" s="87" t="s">
        <v>50</v>
      </c>
      <c r="AA363" s="233" t="s">
        <v>51</v>
      </c>
      <c r="AB363" s="234"/>
      <c r="AC363" s="233">
        <v>1</v>
      </c>
      <c r="AD363" s="233" t="s">
        <v>226</v>
      </c>
      <c r="AE363" s="233"/>
      <c r="AF363" s="233"/>
      <c r="AG363" s="233" t="s">
        <v>2076</v>
      </c>
      <c r="AH363" s="233">
        <v>5</v>
      </c>
      <c r="AI363" s="233">
        <v>85</v>
      </c>
      <c r="AJ363" s="233" t="s">
        <v>432</v>
      </c>
      <c r="AK363" s="233">
        <v>100</v>
      </c>
      <c r="AL363" s="233"/>
      <c r="AM363" s="233" t="s">
        <v>2086</v>
      </c>
      <c r="AN363" s="233"/>
      <c r="AO363" s="233"/>
      <c r="AP363" s="234" t="s">
        <v>1897</v>
      </c>
      <c r="AQ363" s="234" t="s">
        <v>408</v>
      </c>
    </row>
    <row r="364" spans="1:43">
      <c r="A364" s="6">
        <v>361</v>
      </c>
      <c r="B364" s="21" t="s">
        <v>2087</v>
      </c>
      <c r="C364" s="5" t="s">
        <v>2088</v>
      </c>
      <c r="D364" s="5" t="s">
        <v>2089</v>
      </c>
      <c r="E364" s="5" t="s">
        <v>2090</v>
      </c>
      <c r="F364" s="5" t="s">
        <v>2091</v>
      </c>
      <c r="G364" s="5" t="s">
        <v>2092</v>
      </c>
      <c r="H364" s="11" t="s">
        <v>2093</v>
      </c>
      <c r="I364" s="5"/>
      <c r="J364" s="5"/>
      <c r="K364" s="5"/>
      <c r="L364" s="5"/>
      <c r="M364" s="5"/>
      <c r="N364" s="5"/>
      <c r="O364" s="5"/>
      <c r="P364" s="11">
        <v>258.01929999999999</v>
      </c>
      <c r="Q364" s="5">
        <v>54.639800000000001</v>
      </c>
      <c r="R364" s="5">
        <f t="shared" si="5"/>
        <v>312.65909999999997</v>
      </c>
      <c r="S364" s="5" t="s">
        <v>317</v>
      </c>
      <c r="T364" s="6">
        <v>361</v>
      </c>
      <c r="U364" s="255" t="s">
        <v>2094</v>
      </c>
      <c r="V364" s="232" t="s">
        <v>2088</v>
      </c>
      <c r="W364" s="232">
        <v>-3161</v>
      </c>
      <c r="X364" s="232">
        <v>10380.6</v>
      </c>
      <c r="Y364" s="233" t="s">
        <v>49</v>
      </c>
      <c r="Z364" s="87" t="s">
        <v>50</v>
      </c>
      <c r="AA364" s="233" t="s">
        <v>51</v>
      </c>
      <c r="AB364" s="234"/>
      <c r="AC364" s="233">
        <v>1</v>
      </c>
      <c r="AD364" s="233" t="s">
        <v>226</v>
      </c>
      <c r="AE364" s="233"/>
      <c r="AF364" s="233"/>
      <c r="AG364" s="233" t="s">
        <v>2076</v>
      </c>
      <c r="AH364" s="233">
        <v>5</v>
      </c>
      <c r="AI364" s="233">
        <v>85</v>
      </c>
      <c r="AJ364" s="233" t="s">
        <v>432</v>
      </c>
      <c r="AK364" s="233">
        <v>100</v>
      </c>
      <c r="AL364" s="233"/>
      <c r="AM364" s="233" t="s">
        <v>2077</v>
      </c>
      <c r="AN364" s="233"/>
      <c r="AO364" s="233"/>
      <c r="AP364" s="234" t="s">
        <v>1897</v>
      </c>
      <c r="AQ364" s="234" t="s">
        <v>408</v>
      </c>
    </row>
    <row r="365" spans="1:43">
      <c r="A365" s="6">
        <v>362</v>
      </c>
      <c r="B365" s="21" t="s">
        <v>2095</v>
      </c>
      <c r="C365" s="5" t="s">
        <v>2096</v>
      </c>
      <c r="D365" s="5" t="s">
        <v>2097</v>
      </c>
      <c r="E365" s="5" t="s">
        <v>2098</v>
      </c>
      <c r="F365" s="5" t="s">
        <v>2099</v>
      </c>
      <c r="G365" s="5" t="s">
        <v>2100</v>
      </c>
      <c r="H365" s="11" t="s">
        <v>2101</v>
      </c>
      <c r="I365" s="5"/>
      <c r="J365" s="5"/>
      <c r="K365" s="5"/>
      <c r="L365" s="5"/>
      <c r="M365" s="5"/>
      <c r="N365" s="5"/>
      <c r="O365" s="5"/>
      <c r="P365" s="11">
        <v>258.04109999999997</v>
      </c>
      <c r="Q365" s="5">
        <v>54.599600000000002</v>
      </c>
      <c r="R365" s="5">
        <f t="shared" si="5"/>
        <v>312.64069999999998</v>
      </c>
      <c r="S365" s="5" t="s">
        <v>317</v>
      </c>
      <c r="T365" s="6">
        <v>362</v>
      </c>
      <c r="U365" s="255" t="s">
        <v>2102</v>
      </c>
      <c r="V365" s="232" t="s">
        <v>2096</v>
      </c>
      <c r="W365" s="232">
        <v>-3661.4</v>
      </c>
      <c r="X365" s="232">
        <v>10380.6</v>
      </c>
      <c r="Y365" s="233" t="s">
        <v>49</v>
      </c>
      <c r="Z365" s="87" t="s">
        <v>50</v>
      </c>
      <c r="AA365" s="233" t="s">
        <v>51</v>
      </c>
      <c r="AB365" s="234"/>
      <c r="AC365" s="233">
        <v>1</v>
      </c>
      <c r="AD365" s="233" t="s">
        <v>226</v>
      </c>
      <c r="AE365" s="233"/>
      <c r="AF365" s="233"/>
      <c r="AG365" s="233" t="s">
        <v>2076</v>
      </c>
      <c r="AH365" s="233">
        <v>5</v>
      </c>
      <c r="AI365" s="233">
        <v>85</v>
      </c>
      <c r="AJ365" s="233" t="s">
        <v>432</v>
      </c>
      <c r="AK365" s="233">
        <v>100</v>
      </c>
      <c r="AL365" s="233"/>
      <c r="AM365" s="233" t="s">
        <v>2086</v>
      </c>
      <c r="AN365" s="233"/>
      <c r="AO365" s="233"/>
      <c r="AP365" s="234" t="s">
        <v>1897</v>
      </c>
      <c r="AQ365" s="234" t="s">
        <v>408</v>
      </c>
    </row>
    <row r="366" spans="1:43">
      <c r="A366" s="6">
        <v>363</v>
      </c>
      <c r="B366" s="21" t="s">
        <v>2103</v>
      </c>
      <c r="C366" s="5" t="s">
        <v>2104</v>
      </c>
      <c r="D366" s="5" t="s">
        <v>2105</v>
      </c>
      <c r="E366" s="5" t="s">
        <v>2106</v>
      </c>
      <c r="F366" s="5" t="s">
        <v>2107</v>
      </c>
      <c r="G366" s="5" t="s">
        <v>2108</v>
      </c>
      <c r="H366" s="11" t="s">
        <v>2109</v>
      </c>
      <c r="I366" s="5"/>
      <c r="J366" s="5"/>
      <c r="K366" s="5"/>
      <c r="L366" s="5"/>
      <c r="M366" s="5"/>
      <c r="N366" s="5"/>
      <c r="O366" s="5"/>
      <c r="P366" s="11">
        <v>258.06150000000002</v>
      </c>
      <c r="Q366" s="5">
        <v>54.772599999999997</v>
      </c>
      <c r="R366" s="5">
        <f t="shared" si="5"/>
        <v>312.83410000000003</v>
      </c>
      <c r="S366" s="5" t="s">
        <v>224</v>
      </c>
      <c r="T366" s="6">
        <v>363</v>
      </c>
      <c r="U366" s="255" t="s">
        <v>2110</v>
      </c>
      <c r="V366" s="232" t="s">
        <v>2104</v>
      </c>
      <c r="W366" s="232">
        <v>-4632.3999999999996</v>
      </c>
      <c r="X366" s="232">
        <v>6996.2</v>
      </c>
      <c r="Y366" s="233" t="s">
        <v>49</v>
      </c>
      <c r="Z366" s="87" t="s">
        <v>50</v>
      </c>
      <c r="AA366" s="233" t="s">
        <v>51</v>
      </c>
      <c r="AB366" s="234"/>
      <c r="AC366" s="233">
        <v>1</v>
      </c>
      <c r="AD366" s="233" t="s">
        <v>226</v>
      </c>
      <c r="AE366" s="233"/>
      <c r="AF366" s="233"/>
      <c r="AG366" s="233" t="s">
        <v>2111</v>
      </c>
      <c r="AH366" s="233">
        <v>5</v>
      </c>
      <c r="AI366" s="233">
        <v>85</v>
      </c>
      <c r="AJ366" s="233" t="s">
        <v>432</v>
      </c>
      <c r="AK366" s="233">
        <v>100</v>
      </c>
      <c r="AL366" s="233"/>
      <c r="AM366" s="233" t="s">
        <v>2112</v>
      </c>
      <c r="AN366" s="233"/>
      <c r="AO366" s="233"/>
      <c r="AP366" s="234" t="s">
        <v>1897</v>
      </c>
      <c r="AQ366" s="234" t="s">
        <v>408</v>
      </c>
    </row>
    <row r="367" spans="1:43">
      <c r="A367" s="6">
        <v>364</v>
      </c>
      <c r="B367" s="21" t="s">
        <v>2113</v>
      </c>
      <c r="C367" s="5" t="s">
        <v>2114</v>
      </c>
      <c r="D367" s="5" t="s">
        <v>2115</v>
      </c>
      <c r="E367" s="5" t="s">
        <v>2116</v>
      </c>
      <c r="F367" s="5" t="s">
        <v>2117</v>
      </c>
      <c r="G367" s="5" t="s">
        <v>2118</v>
      </c>
      <c r="H367" s="11" t="s">
        <v>2119</v>
      </c>
      <c r="I367" s="5"/>
      <c r="J367" s="5"/>
      <c r="K367" s="5"/>
      <c r="L367" s="5"/>
      <c r="M367" s="5"/>
      <c r="N367" s="5"/>
      <c r="O367" s="5"/>
      <c r="P367" s="11">
        <v>258.05900000000003</v>
      </c>
      <c r="Q367" s="5">
        <v>54.778599999999997</v>
      </c>
      <c r="R367" s="5">
        <f t="shared" si="5"/>
        <v>312.83760000000001</v>
      </c>
      <c r="S367" s="5" t="s">
        <v>224</v>
      </c>
      <c r="T367" s="6">
        <v>364</v>
      </c>
      <c r="U367" s="255" t="s">
        <v>2120</v>
      </c>
      <c r="V367" s="232" t="s">
        <v>2114</v>
      </c>
      <c r="W367" s="232">
        <v>-4632.3999999999996</v>
      </c>
      <c r="X367" s="232">
        <v>7707.4</v>
      </c>
      <c r="Y367" s="233" t="s">
        <v>49</v>
      </c>
      <c r="Z367" s="87" t="s">
        <v>50</v>
      </c>
      <c r="AA367" s="233" t="s">
        <v>51</v>
      </c>
      <c r="AB367" s="234"/>
      <c r="AC367" s="233">
        <v>1</v>
      </c>
      <c r="AD367" s="233" t="s">
        <v>226</v>
      </c>
      <c r="AE367" s="233"/>
      <c r="AF367" s="233"/>
      <c r="AG367" s="233" t="s">
        <v>2111</v>
      </c>
      <c r="AH367" s="233">
        <v>5</v>
      </c>
      <c r="AI367" s="233">
        <v>85</v>
      </c>
      <c r="AJ367" s="233" t="s">
        <v>432</v>
      </c>
      <c r="AK367" s="233">
        <v>100</v>
      </c>
      <c r="AL367" s="233"/>
      <c r="AM367" s="233" t="s">
        <v>2121</v>
      </c>
      <c r="AN367" s="233"/>
      <c r="AO367" s="233"/>
      <c r="AP367" s="234" t="s">
        <v>1897</v>
      </c>
      <c r="AQ367" s="234" t="s">
        <v>408</v>
      </c>
    </row>
    <row r="368" spans="1:43">
      <c r="A368" s="6">
        <v>365</v>
      </c>
      <c r="B368" s="21" t="s">
        <v>2122</v>
      </c>
      <c r="C368" s="5" t="s">
        <v>2123</v>
      </c>
      <c r="D368" s="5" t="s">
        <v>2124</v>
      </c>
      <c r="E368" s="5" t="s">
        <v>2125</v>
      </c>
      <c r="F368" s="5" t="s">
        <v>2126</v>
      </c>
      <c r="G368" s="5" t="s">
        <v>2127</v>
      </c>
      <c r="H368" s="11" t="s">
        <v>2128</v>
      </c>
      <c r="I368" s="5"/>
      <c r="J368" s="5"/>
      <c r="K368" s="5"/>
      <c r="L368" s="5"/>
      <c r="M368" s="5"/>
      <c r="N368" s="5"/>
      <c r="O368" s="5"/>
      <c r="P368" s="11">
        <v>257.99740000000003</v>
      </c>
      <c r="Q368" s="5">
        <v>54.786999999999999</v>
      </c>
      <c r="R368" s="5">
        <f t="shared" si="5"/>
        <v>312.78440000000001</v>
      </c>
      <c r="S368" s="5" t="s">
        <v>452</v>
      </c>
      <c r="T368" s="6">
        <v>365</v>
      </c>
      <c r="U368" s="255" t="s">
        <v>2129</v>
      </c>
      <c r="V368" s="232" t="s">
        <v>2123</v>
      </c>
      <c r="W368" s="232">
        <v>-3843.3</v>
      </c>
      <c r="X368" s="232">
        <v>11190</v>
      </c>
      <c r="Y368" s="233" t="s">
        <v>49</v>
      </c>
      <c r="Z368" s="87" t="s">
        <v>50</v>
      </c>
      <c r="AA368" s="233" t="s">
        <v>51</v>
      </c>
      <c r="AB368" s="234"/>
      <c r="AC368" s="233">
        <v>1</v>
      </c>
      <c r="AD368" s="233" t="s">
        <v>226</v>
      </c>
      <c r="AE368" s="233"/>
      <c r="AF368" s="233"/>
      <c r="AG368" s="233" t="s">
        <v>2111</v>
      </c>
      <c r="AH368" s="233">
        <v>5</v>
      </c>
      <c r="AI368" s="233">
        <v>85</v>
      </c>
      <c r="AJ368" s="233" t="s">
        <v>432</v>
      </c>
      <c r="AK368" s="233">
        <v>100</v>
      </c>
      <c r="AL368" s="233"/>
      <c r="AM368" s="233" t="s">
        <v>2112</v>
      </c>
      <c r="AN368" s="233"/>
      <c r="AO368" s="233"/>
      <c r="AP368" s="234" t="s">
        <v>1897</v>
      </c>
      <c r="AQ368" s="234" t="s">
        <v>408</v>
      </c>
    </row>
    <row r="369" spans="1:43">
      <c r="A369" s="6">
        <v>366</v>
      </c>
      <c r="B369" s="21" t="s">
        <v>2130</v>
      </c>
      <c r="C369" s="5" t="s">
        <v>2131</v>
      </c>
      <c r="D369" s="5" t="s">
        <v>2132</v>
      </c>
      <c r="E369" s="5" t="s">
        <v>2133</v>
      </c>
      <c r="F369" s="5" t="s">
        <v>2134</v>
      </c>
      <c r="G369" s="5" t="s">
        <v>2135</v>
      </c>
      <c r="H369" s="11" t="s">
        <v>2136</v>
      </c>
      <c r="I369" s="5"/>
      <c r="J369" s="5"/>
      <c r="K369" s="5"/>
      <c r="L369" s="5"/>
      <c r="M369" s="5"/>
      <c r="N369" s="5"/>
      <c r="O369" s="5"/>
      <c r="P369" s="11">
        <v>258.00819999999999</v>
      </c>
      <c r="Q369" s="5">
        <v>54.770800000000001</v>
      </c>
      <c r="R369" s="5">
        <f t="shared" si="5"/>
        <v>312.779</v>
      </c>
      <c r="S369" s="5" t="s">
        <v>452</v>
      </c>
      <c r="T369" s="6">
        <v>366</v>
      </c>
      <c r="U369" s="255" t="s">
        <v>2137</v>
      </c>
      <c r="V369" s="232" t="s">
        <v>2131</v>
      </c>
      <c r="W369" s="232">
        <v>-4343.7</v>
      </c>
      <c r="X369" s="232">
        <v>11190</v>
      </c>
      <c r="Y369" s="233" t="s">
        <v>49</v>
      </c>
      <c r="Z369" s="87" t="s">
        <v>50</v>
      </c>
      <c r="AA369" s="233" t="s">
        <v>51</v>
      </c>
      <c r="AB369" s="234"/>
      <c r="AC369" s="233">
        <v>1</v>
      </c>
      <c r="AD369" s="233" t="s">
        <v>226</v>
      </c>
      <c r="AE369" s="233"/>
      <c r="AF369" s="233"/>
      <c r="AG369" s="233" t="s">
        <v>2111</v>
      </c>
      <c r="AH369" s="233">
        <v>5</v>
      </c>
      <c r="AI369" s="233">
        <v>85</v>
      </c>
      <c r="AJ369" s="233" t="s">
        <v>432</v>
      </c>
      <c r="AK369" s="233">
        <v>100</v>
      </c>
      <c r="AL369" s="233"/>
      <c r="AM369" s="233" t="s">
        <v>2121</v>
      </c>
      <c r="AN369" s="233"/>
      <c r="AO369" s="233"/>
      <c r="AP369" s="234" t="s">
        <v>1897</v>
      </c>
      <c r="AQ369" s="234" t="s">
        <v>408</v>
      </c>
    </row>
    <row r="370" spans="1:43">
      <c r="A370" s="6">
        <v>367</v>
      </c>
      <c r="B370" s="21" t="s">
        <v>2138</v>
      </c>
      <c r="C370" s="5" t="s">
        <v>2139</v>
      </c>
      <c r="D370" s="5" t="s">
        <v>2140</v>
      </c>
      <c r="E370" s="5" t="s">
        <v>2141</v>
      </c>
      <c r="F370" s="5" t="s">
        <v>2142</v>
      </c>
      <c r="G370" s="5" t="s">
        <v>2143</v>
      </c>
      <c r="H370" s="11" t="s">
        <v>2144</v>
      </c>
      <c r="I370" s="5"/>
      <c r="J370" s="5"/>
      <c r="K370" s="5"/>
      <c r="L370" s="5"/>
      <c r="M370" s="5"/>
      <c r="N370" s="5"/>
      <c r="O370" s="5"/>
      <c r="P370" s="11">
        <v>258.05779999999999</v>
      </c>
      <c r="Q370" s="5">
        <v>54.549599999999998</v>
      </c>
      <c r="R370" s="5">
        <f t="shared" si="5"/>
        <v>312.60739999999998</v>
      </c>
      <c r="S370" s="5" t="s">
        <v>2003</v>
      </c>
      <c r="T370" s="6">
        <v>367</v>
      </c>
      <c r="U370" s="255" t="s">
        <v>2145</v>
      </c>
      <c r="V370" s="232" t="s">
        <v>2139</v>
      </c>
      <c r="W370" s="232">
        <v>-4632.3999999999996</v>
      </c>
      <c r="X370" s="232">
        <v>4862.6000000000004</v>
      </c>
      <c r="Y370" s="233" t="s">
        <v>49</v>
      </c>
      <c r="Z370" s="87" t="s">
        <v>50</v>
      </c>
      <c r="AA370" s="233" t="s">
        <v>51</v>
      </c>
      <c r="AB370" s="234"/>
      <c r="AC370" s="233">
        <v>1</v>
      </c>
      <c r="AD370" s="233" t="s">
        <v>226</v>
      </c>
      <c r="AE370" s="233"/>
      <c r="AF370" s="233"/>
      <c r="AG370" s="233" t="s">
        <v>2146</v>
      </c>
      <c r="AH370" s="233">
        <v>5</v>
      </c>
      <c r="AI370" s="233">
        <v>85</v>
      </c>
      <c r="AJ370" s="233" t="s">
        <v>432</v>
      </c>
      <c r="AK370" s="233">
        <v>100</v>
      </c>
      <c r="AL370" s="233"/>
      <c r="AM370" s="233" t="s">
        <v>2147</v>
      </c>
      <c r="AN370" s="233"/>
      <c r="AO370" s="233"/>
      <c r="AP370" s="234" t="s">
        <v>1897</v>
      </c>
      <c r="AQ370" s="234" t="s">
        <v>408</v>
      </c>
    </row>
    <row r="371" spans="1:43">
      <c r="A371" s="6">
        <v>368</v>
      </c>
      <c r="B371" s="21" t="s">
        <v>2148</v>
      </c>
      <c r="C371" s="5" t="s">
        <v>2149</v>
      </c>
      <c r="D371" s="5" t="s">
        <v>2150</v>
      </c>
      <c r="E371" s="5" t="s">
        <v>2151</v>
      </c>
      <c r="F371" s="5" t="s">
        <v>2152</v>
      </c>
      <c r="G371" s="5" t="s">
        <v>2153</v>
      </c>
      <c r="H371" s="11" t="s">
        <v>2154</v>
      </c>
      <c r="I371" s="5"/>
      <c r="J371" s="5"/>
      <c r="K371" s="5"/>
      <c r="L371" s="5"/>
      <c r="M371" s="5"/>
      <c r="N371" s="5"/>
      <c r="O371" s="5"/>
      <c r="P371" s="11">
        <v>258.06180000000001</v>
      </c>
      <c r="Q371" s="5">
        <v>54.553600000000003</v>
      </c>
      <c r="R371" s="5">
        <f t="shared" si="5"/>
        <v>312.61540000000002</v>
      </c>
      <c r="S371" s="5" t="s">
        <v>2003</v>
      </c>
      <c r="T371" s="6">
        <v>368</v>
      </c>
      <c r="U371" s="255" t="s">
        <v>2155</v>
      </c>
      <c r="V371" s="232" t="s">
        <v>2149</v>
      </c>
      <c r="W371" s="232">
        <v>-4632.3999999999996</v>
      </c>
      <c r="X371" s="232">
        <v>5573.8</v>
      </c>
      <c r="Y371" s="233" t="s">
        <v>49</v>
      </c>
      <c r="Z371" s="87" t="s">
        <v>50</v>
      </c>
      <c r="AA371" s="233" t="s">
        <v>51</v>
      </c>
      <c r="AB371" s="234"/>
      <c r="AC371" s="233">
        <v>1</v>
      </c>
      <c r="AD371" s="233" t="s">
        <v>226</v>
      </c>
      <c r="AE371" s="233"/>
      <c r="AF371" s="233"/>
      <c r="AG371" s="233" t="s">
        <v>2146</v>
      </c>
      <c r="AH371" s="233">
        <v>5</v>
      </c>
      <c r="AI371" s="233">
        <v>85</v>
      </c>
      <c r="AJ371" s="233" t="s">
        <v>432</v>
      </c>
      <c r="AK371" s="233">
        <v>100</v>
      </c>
      <c r="AL371" s="233"/>
      <c r="AM371" s="233" t="s">
        <v>2156</v>
      </c>
      <c r="AN371" s="233"/>
      <c r="AO371" s="233"/>
      <c r="AP371" s="234" t="s">
        <v>1897</v>
      </c>
      <c r="AQ371" s="234" t="s">
        <v>408</v>
      </c>
    </row>
    <row r="372" spans="1:43">
      <c r="A372" s="6">
        <v>369</v>
      </c>
      <c r="B372" s="21" t="s">
        <v>2157</v>
      </c>
      <c r="C372" s="5" t="s">
        <v>2158</v>
      </c>
      <c r="D372" s="5" t="s">
        <v>2159</v>
      </c>
      <c r="E372" s="5" t="s">
        <v>2160</v>
      </c>
      <c r="F372" s="5" t="s">
        <v>2161</v>
      </c>
      <c r="G372" s="5" t="s">
        <v>2162</v>
      </c>
      <c r="H372" s="11" t="s">
        <v>2163</v>
      </c>
      <c r="I372" s="5"/>
      <c r="J372" s="5"/>
      <c r="K372" s="5"/>
      <c r="L372" s="5"/>
      <c r="M372" s="5"/>
      <c r="N372" s="5"/>
      <c r="O372" s="5"/>
      <c r="P372" s="11">
        <v>258.01179999999999</v>
      </c>
      <c r="Q372" s="5">
        <v>54.666600000000003</v>
      </c>
      <c r="R372" s="5">
        <f t="shared" si="5"/>
        <v>312.67840000000001</v>
      </c>
      <c r="S372" s="5" t="s">
        <v>441</v>
      </c>
      <c r="T372" s="6">
        <v>369</v>
      </c>
      <c r="U372" s="255" t="s">
        <v>2164</v>
      </c>
      <c r="V372" s="232" t="s">
        <v>2158</v>
      </c>
      <c r="W372" s="232">
        <v>-4525.6000000000004</v>
      </c>
      <c r="X372" s="232">
        <v>10380.6</v>
      </c>
      <c r="Y372" s="233" t="s">
        <v>49</v>
      </c>
      <c r="Z372" s="87" t="s">
        <v>50</v>
      </c>
      <c r="AA372" s="233" t="s">
        <v>51</v>
      </c>
      <c r="AB372" s="234"/>
      <c r="AC372" s="233">
        <v>1</v>
      </c>
      <c r="AD372" s="233" t="s">
        <v>226</v>
      </c>
      <c r="AE372" s="233"/>
      <c r="AF372" s="233"/>
      <c r="AG372" s="233" t="s">
        <v>2146</v>
      </c>
      <c r="AH372" s="233">
        <v>5</v>
      </c>
      <c r="AI372" s="233">
        <v>85</v>
      </c>
      <c r="AJ372" s="233" t="s">
        <v>432</v>
      </c>
      <c r="AK372" s="233">
        <v>100</v>
      </c>
      <c r="AL372" s="233"/>
      <c r="AM372" s="233" t="s">
        <v>2147</v>
      </c>
      <c r="AN372" s="233"/>
      <c r="AO372" s="233"/>
      <c r="AP372" s="234" t="s">
        <v>1897</v>
      </c>
      <c r="AQ372" s="234" t="s">
        <v>408</v>
      </c>
    </row>
    <row r="373" spans="1:43">
      <c r="A373" s="6">
        <v>370</v>
      </c>
      <c r="B373" s="21" t="s">
        <v>2165</v>
      </c>
      <c r="C373" s="5" t="s">
        <v>2166</v>
      </c>
      <c r="D373" s="5" t="s">
        <v>2167</v>
      </c>
      <c r="E373" s="5" t="s">
        <v>2168</v>
      </c>
      <c r="F373" s="5" t="s">
        <v>2169</v>
      </c>
      <c r="G373" s="5" t="s">
        <v>2170</v>
      </c>
      <c r="H373" s="11" t="s">
        <v>2171</v>
      </c>
      <c r="I373" s="5"/>
      <c r="J373" s="5"/>
      <c r="K373" s="5"/>
      <c r="L373" s="5"/>
      <c r="M373" s="5"/>
      <c r="N373" s="5"/>
      <c r="O373" s="5"/>
      <c r="P373" s="11">
        <v>258.01889999999997</v>
      </c>
      <c r="Q373" s="5">
        <v>54.676000000000002</v>
      </c>
      <c r="R373" s="5">
        <f t="shared" si="5"/>
        <v>312.69489999999996</v>
      </c>
      <c r="S373" s="5" t="s">
        <v>441</v>
      </c>
      <c r="T373" s="6">
        <v>370</v>
      </c>
      <c r="U373" s="255" t="s">
        <v>2172</v>
      </c>
      <c r="V373" s="232" t="s">
        <v>2166</v>
      </c>
      <c r="W373" s="232">
        <v>-5026</v>
      </c>
      <c r="X373" s="232">
        <v>10380.6</v>
      </c>
      <c r="Y373" s="233" t="s">
        <v>49</v>
      </c>
      <c r="Z373" s="87" t="s">
        <v>50</v>
      </c>
      <c r="AA373" s="233" t="s">
        <v>51</v>
      </c>
      <c r="AB373" s="234"/>
      <c r="AC373" s="233">
        <v>1</v>
      </c>
      <c r="AD373" s="233" t="s">
        <v>226</v>
      </c>
      <c r="AE373" s="233"/>
      <c r="AF373" s="233"/>
      <c r="AG373" s="233" t="s">
        <v>2146</v>
      </c>
      <c r="AH373" s="233">
        <v>5</v>
      </c>
      <c r="AI373" s="233">
        <v>85</v>
      </c>
      <c r="AJ373" s="233" t="s">
        <v>432</v>
      </c>
      <c r="AK373" s="233">
        <v>100</v>
      </c>
      <c r="AL373" s="233"/>
      <c r="AM373" s="233" t="s">
        <v>2156</v>
      </c>
      <c r="AN373" s="233"/>
      <c r="AO373" s="233"/>
      <c r="AP373" s="234" t="s">
        <v>1897</v>
      </c>
      <c r="AQ373" s="234" t="s">
        <v>408</v>
      </c>
    </row>
    <row r="374" spans="1:43">
      <c r="A374" s="6">
        <v>371</v>
      </c>
      <c r="B374" s="21" t="s">
        <v>2173</v>
      </c>
      <c r="C374" s="5" t="s">
        <v>2174</v>
      </c>
      <c r="D374" s="5" t="s">
        <v>2175</v>
      </c>
      <c r="E374" s="5" t="s">
        <v>2176</v>
      </c>
      <c r="F374" s="5" t="s">
        <v>2177</v>
      </c>
      <c r="G374" s="5" t="s">
        <v>2178</v>
      </c>
      <c r="H374" s="11" t="s">
        <v>2179</v>
      </c>
      <c r="I374" s="5"/>
      <c r="J374" s="5"/>
      <c r="K374" s="5"/>
      <c r="L374" s="5"/>
      <c r="M374" s="5"/>
      <c r="N374" s="5"/>
      <c r="O374" s="5"/>
      <c r="P374" s="11">
        <v>258.0745</v>
      </c>
      <c r="Q374" s="5">
        <v>54.532499999999999</v>
      </c>
      <c r="R374" s="5">
        <f t="shared" si="5"/>
        <v>312.60699999999997</v>
      </c>
      <c r="S374" s="5" t="s">
        <v>224</v>
      </c>
      <c r="T374" s="6">
        <v>371</v>
      </c>
      <c r="U374" s="255" t="s">
        <v>2180</v>
      </c>
      <c r="V374" s="232" t="s">
        <v>2174</v>
      </c>
      <c r="W374" s="232">
        <v>-6004.1</v>
      </c>
      <c r="X374" s="232">
        <v>8418.6</v>
      </c>
      <c r="Y374" s="233" t="s">
        <v>49</v>
      </c>
      <c r="Z374" s="87" t="s">
        <v>50</v>
      </c>
      <c r="AA374" s="233" t="s">
        <v>51</v>
      </c>
      <c r="AB374" s="234"/>
      <c r="AC374" s="233">
        <v>1</v>
      </c>
      <c r="AD374" s="233" t="s">
        <v>226</v>
      </c>
      <c r="AE374" s="233"/>
      <c r="AF374" s="233"/>
      <c r="AG374" s="233" t="s">
        <v>2181</v>
      </c>
      <c r="AH374" s="233">
        <v>5</v>
      </c>
      <c r="AI374" s="233">
        <v>85</v>
      </c>
      <c r="AJ374" s="233" t="s">
        <v>432</v>
      </c>
      <c r="AK374" s="233">
        <v>100</v>
      </c>
      <c r="AL374" s="233"/>
      <c r="AM374" s="233" t="s">
        <v>2182</v>
      </c>
      <c r="AN374" s="233"/>
      <c r="AO374" s="233"/>
      <c r="AP374" s="234" t="s">
        <v>1897</v>
      </c>
      <c r="AQ374" s="234" t="s">
        <v>408</v>
      </c>
    </row>
    <row r="375" spans="1:43">
      <c r="A375" s="6">
        <v>372</v>
      </c>
      <c r="B375" s="21" t="s">
        <v>2183</v>
      </c>
      <c r="C375" s="5" t="s">
        <v>2184</v>
      </c>
      <c r="D375" s="5" t="s">
        <v>2185</v>
      </c>
      <c r="E375" s="5" t="s">
        <v>2186</v>
      </c>
      <c r="F375" s="5" t="s">
        <v>2187</v>
      </c>
      <c r="G375" s="5" t="s">
        <v>2188</v>
      </c>
      <c r="H375" s="11" t="s">
        <v>2189</v>
      </c>
      <c r="I375" s="5"/>
      <c r="J375" s="5"/>
      <c r="K375" s="5"/>
      <c r="L375" s="5"/>
      <c r="M375" s="5"/>
      <c r="N375" s="5"/>
      <c r="O375" s="5"/>
      <c r="P375" s="11">
        <v>258.06540000000001</v>
      </c>
      <c r="Q375" s="5">
        <v>54.535299999999999</v>
      </c>
      <c r="R375" s="5">
        <f t="shared" si="5"/>
        <v>312.60070000000002</v>
      </c>
      <c r="S375" s="5" t="s">
        <v>224</v>
      </c>
      <c r="T375" s="6">
        <v>372</v>
      </c>
      <c r="U375" s="255" t="s">
        <v>2190</v>
      </c>
      <c r="V375" s="232" t="s">
        <v>2184</v>
      </c>
      <c r="W375" s="232">
        <v>-6004.1</v>
      </c>
      <c r="X375" s="232">
        <v>9129.7999999999993</v>
      </c>
      <c r="Y375" s="233" t="s">
        <v>49</v>
      </c>
      <c r="Z375" s="87" t="s">
        <v>50</v>
      </c>
      <c r="AA375" s="233" t="s">
        <v>51</v>
      </c>
      <c r="AB375" s="234"/>
      <c r="AC375" s="233">
        <v>1</v>
      </c>
      <c r="AD375" s="233" t="s">
        <v>226</v>
      </c>
      <c r="AE375" s="233"/>
      <c r="AF375" s="233"/>
      <c r="AG375" s="233" t="s">
        <v>2181</v>
      </c>
      <c r="AH375" s="233">
        <v>5</v>
      </c>
      <c r="AI375" s="233">
        <v>85</v>
      </c>
      <c r="AJ375" s="233" t="s">
        <v>432</v>
      </c>
      <c r="AK375" s="233">
        <v>100</v>
      </c>
      <c r="AL375" s="233"/>
      <c r="AM375" s="233" t="s">
        <v>2191</v>
      </c>
      <c r="AN375" s="233"/>
      <c r="AO375" s="233"/>
      <c r="AP375" s="234" t="s">
        <v>1897</v>
      </c>
      <c r="AQ375" s="234" t="s">
        <v>408</v>
      </c>
    </row>
    <row r="376" spans="1:43">
      <c r="A376" s="6">
        <v>373</v>
      </c>
      <c r="B376" s="21" t="s">
        <v>2192</v>
      </c>
      <c r="C376" s="5" t="s">
        <v>2193</v>
      </c>
      <c r="D376" s="5" t="s">
        <v>2194</v>
      </c>
      <c r="E376" s="5" t="s">
        <v>2195</v>
      </c>
      <c r="F376" s="5" t="s">
        <v>2196</v>
      </c>
      <c r="G376" s="5" t="s">
        <v>2197</v>
      </c>
      <c r="H376" s="11" t="s">
        <v>2198</v>
      </c>
      <c r="I376" s="5"/>
      <c r="J376" s="5"/>
      <c r="K376" s="5"/>
      <c r="L376" s="5"/>
      <c r="M376" s="5"/>
      <c r="N376" s="5"/>
      <c r="O376" s="5"/>
      <c r="P376" s="11">
        <v>258.00450000000001</v>
      </c>
      <c r="Q376" s="5">
        <v>54.859000000000002</v>
      </c>
      <c r="R376" s="5">
        <f t="shared" si="5"/>
        <v>312.86349999999999</v>
      </c>
      <c r="S376" s="5" t="s">
        <v>2199</v>
      </c>
      <c r="T376" s="6">
        <v>373</v>
      </c>
      <c r="U376" s="255" t="s">
        <v>2200</v>
      </c>
      <c r="V376" s="232" t="s">
        <v>2193</v>
      </c>
      <c r="W376" s="232">
        <v>-5207.8</v>
      </c>
      <c r="X376" s="232">
        <v>11190</v>
      </c>
      <c r="Y376" s="233" t="s">
        <v>49</v>
      </c>
      <c r="Z376" s="87" t="s">
        <v>50</v>
      </c>
      <c r="AA376" s="233" t="s">
        <v>51</v>
      </c>
      <c r="AB376" s="234"/>
      <c r="AC376" s="233">
        <v>1</v>
      </c>
      <c r="AD376" s="233" t="s">
        <v>226</v>
      </c>
      <c r="AE376" s="233"/>
      <c r="AF376" s="233"/>
      <c r="AG376" s="233" t="s">
        <v>2181</v>
      </c>
      <c r="AH376" s="233">
        <v>5</v>
      </c>
      <c r="AI376" s="233">
        <v>85</v>
      </c>
      <c r="AJ376" s="233" t="s">
        <v>432</v>
      </c>
      <c r="AK376" s="233">
        <v>100</v>
      </c>
      <c r="AL376" s="233"/>
      <c r="AM376" s="233" t="s">
        <v>2182</v>
      </c>
      <c r="AN376" s="233"/>
      <c r="AO376" s="233"/>
      <c r="AP376" s="234" t="s">
        <v>1897</v>
      </c>
      <c r="AQ376" s="234" t="s">
        <v>408</v>
      </c>
    </row>
    <row r="377" spans="1:43">
      <c r="A377" s="6">
        <v>374</v>
      </c>
      <c r="B377" s="21" t="s">
        <v>2201</v>
      </c>
      <c r="C377" s="5" t="s">
        <v>2202</v>
      </c>
      <c r="D377" s="5" t="s">
        <v>2203</v>
      </c>
      <c r="E377" s="5" t="s">
        <v>2204</v>
      </c>
      <c r="F377" s="5" t="s">
        <v>2205</v>
      </c>
      <c r="G377" s="5" t="s">
        <v>2206</v>
      </c>
      <c r="H377" s="11" t="s">
        <v>2207</v>
      </c>
      <c r="I377" s="5"/>
      <c r="J377" s="5"/>
      <c r="K377" s="5"/>
      <c r="L377" s="5"/>
      <c r="M377" s="5"/>
      <c r="N377" s="5"/>
      <c r="O377" s="5"/>
      <c r="P377" s="11">
        <v>258.00319999999999</v>
      </c>
      <c r="Q377" s="5">
        <v>54.853200000000001</v>
      </c>
      <c r="R377" s="5">
        <f t="shared" si="5"/>
        <v>312.85640000000001</v>
      </c>
      <c r="S377" s="5" t="s">
        <v>2199</v>
      </c>
      <c r="T377" s="6">
        <v>374</v>
      </c>
      <c r="U377" s="255" t="s">
        <v>2208</v>
      </c>
      <c r="V377" s="232" t="s">
        <v>2202</v>
      </c>
      <c r="W377" s="232">
        <v>-5708.2</v>
      </c>
      <c r="X377" s="232">
        <v>11190</v>
      </c>
      <c r="Y377" s="233" t="s">
        <v>49</v>
      </c>
      <c r="Z377" s="87" t="s">
        <v>50</v>
      </c>
      <c r="AA377" s="233" t="s">
        <v>51</v>
      </c>
      <c r="AB377" s="234"/>
      <c r="AC377" s="233">
        <v>1</v>
      </c>
      <c r="AD377" s="233" t="s">
        <v>226</v>
      </c>
      <c r="AE377" s="233"/>
      <c r="AF377" s="233"/>
      <c r="AG377" s="233" t="s">
        <v>2181</v>
      </c>
      <c r="AH377" s="233">
        <v>5</v>
      </c>
      <c r="AI377" s="233">
        <v>85</v>
      </c>
      <c r="AJ377" s="233" t="s">
        <v>432</v>
      </c>
      <c r="AK377" s="233">
        <v>100</v>
      </c>
      <c r="AL377" s="233"/>
      <c r="AM377" s="233" t="s">
        <v>2191</v>
      </c>
      <c r="AN377" s="233"/>
      <c r="AO377" s="233"/>
      <c r="AP377" s="234" t="s">
        <v>1897</v>
      </c>
      <c r="AQ377" s="234" t="s">
        <v>408</v>
      </c>
    </row>
    <row r="378" spans="1:43">
      <c r="A378" s="6">
        <v>375</v>
      </c>
      <c r="B378" s="21" t="s">
        <v>2209</v>
      </c>
      <c r="C378" s="5" t="s">
        <v>2210</v>
      </c>
      <c r="D378" s="5" t="s">
        <v>2211</v>
      </c>
      <c r="E378" s="5" t="s">
        <v>2212</v>
      </c>
      <c r="F378" s="5" t="s">
        <v>2213</v>
      </c>
      <c r="G378" s="5" t="s">
        <v>2214</v>
      </c>
      <c r="H378" s="11" t="s">
        <v>2215</v>
      </c>
      <c r="I378" s="5"/>
      <c r="J378" s="5"/>
      <c r="K378" s="5"/>
      <c r="L378" s="5"/>
      <c r="M378" s="5"/>
      <c r="N378" s="5"/>
      <c r="O378" s="5"/>
      <c r="P378" s="11">
        <v>258.03980000000001</v>
      </c>
      <c r="Q378" s="5">
        <v>54.4514</v>
      </c>
      <c r="R378" s="5">
        <f t="shared" si="5"/>
        <v>312.49119999999999</v>
      </c>
      <c r="S378" s="5" t="s">
        <v>1827</v>
      </c>
      <c r="T378" s="6">
        <v>375</v>
      </c>
      <c r="U378" s="255" t="s">
        <v>2216</v>
      </c>
      <c r="V378" s="232" t="s">
        <v>2210</v>
      </c>
      <c r="W378" s="232">
        <v>-6004.1</v>
      </c>
      <c r="X378" s="232">
        <v>6285</v>
      </c>
      <c r="Y378" s="233" t="s">
        <v>49</v>
      </c>
      <c r="Z378" s="87" t="s">
        <v>50</v>
      </c>
      <c r="AA378" s="233" t="s">
        <v>51</v>
      </c>
      <c r="AB378" s="234"/>
      <c r="AC378" s="233">
        <v>1</v>
      </c>
      <c r="AD378" s="233" t="s">
        <v>226</v>
      </c>
      <c r="AE378" s="233"/>
      <c r="AF378" s="233"/>
      <c r="AG378" s="233" t="s">
        <v>2217</v>
      </c>
      <c r="AH378" s="233">
        <v>5</v>
      </c>
      <c r="AI378" s="233">
        <v>85</v>
      </c>
      <c r="AJ378" s="233" t="s">
        <v>432</v>
      </c>
      <c r="AK378" s="233">
        <v>100</v>
      </c>
      <c r="AL378" s="233"/>
      <c r="AM378" s="233" t="s">
        <v>2218</v>
      </c>
      <c r="AN378" s="233"/>
      <c r="AO378" s="233"/>
      <c r="AP378" s="234" t="s">
        <v>1897</v>
      </c>
      <c r="AQ378" s="234" t="s">
        <v>408</v>
      </c>
    </row>
    <row r="379" spans="1:43">
      <c r="A379" s="6">
        <v>376</v>
      </c>
      <c r="B379" s="21" t="s">
        <v>2219</v>
      </c>
      <c r="C379" s="5" t="s">
        <v>2220</v>
      </c>
      <c r="D379" s="5" t="s">
        <v>2221</v>
      </c>
      <c r="E379" s="5" t="s">
        <v>2222</v>
      </c>
      <c r="F379" s="5" t="s">
        <v>2223</v>
      </c>
      <c r="G379" s="5" t="s">
        <v>2224</v>
      </c>
      <c r="H379" s="11" t="s">
        <v>2225</v>
      </c>
      <c r="I379" s="5"/>
      <c r="J379" s="5"/>
      <c r="K379" s="5"/>
      <c r="L379" s="5"/>
      <c r="M379" s="5"/>
      <c r="N379" s="5"/>
      <c r="O379" s="5"/>
      <c r="P379" s="11">
        <v>258.01049999999998</v>
      </c>
      <c r="Q379" s="5">
        <v>54.471699999999998</v>
      </c>
      <c r="R379" s="5">
        <f t="shared" si="5"/>
        <v>312.48219999999998</v>
      </c>
      <c r="S379" s="5" t="s">
        <v>1827</v>
      </c>
      <c r="T379" s="6">
        <v>376</v>
      </c>
      <c r="U379" s="255" t="s">
        <v>2226</v>
      </c>
      <c r="V379" s="232" t="s">
        <v>2220</v>
      </c>
      <c r="W379" s="232">
        <v>-6004.1</v>
      </c>
      <c r="X379" s="232">
        <v>6996.2</v>
      </c>
      <c r="Y379" s="233" t="s">
        <v>49</v>
      </c>
      <c r="Z379" s="87" t="s">
        <v>50</v>
      </c>
      <c r="AA379" s="233" t="s">
        <v>51</v>
      </c>
      <c r="AB379" s="234"/>
      <c r="AC379" s="233">
        <v>1</v>
      </c>
      <c r="AD379" s="233" t="s">
        <v>226</v>
      </c>
      <c r="AE379" s="233"/>
      <c r="AF379" s="233"/>
      <c r="AG379" s="233" t="s">
        <v>2217</v>
      </c>
      <c r="AH379" s="233">
        <v>5</v>
      </c>
      <c r="AI379" s="233">
        <v>85</v>
      </c>
      <c r="AJ379" s="233" t="s">
        <v>432</v>
      </c>
      <c r="AK379" s="233">
        <v>100</v>
      </c>
      <c r="AL379" s="233"/>
      <c r="AM379" s="233" t="s">
        <v>2227</v>
      </c>
      <c r="AN379" s="233"/>
      <c r="AO379" s="233"/>
      <c r="AP379" s="234" t="s">
        <v>1897</v>
      </c>
      <c r="AQ379" s="234" t="s">
        <v>408</v>
      </c>
    </row>
    <row r="380" spans="1:43">
      <c r="A380" s="6">
        <v>377</v>
      </c>
      <c r="B380" s="21" t="s">
        <v>2228</v>
      </c>
      <c r="C380" s="5" t="s">
        <v>2229</v>
      </c>
      <c r="D380" s="5" t="s">
        <v>2230</v>
      </c>
      <c r="E380" s="5" t="s">
        <v>2231</v>
      </c>
      <c r="F380" s="5" t="s">
        <v>2232</v>
      </c>
      <c r="G380" s="5" t="s">
        <v>2233</v>
      </c>
      <c r="H380" s="11" t="s">
        <v>2234</v>
      </c>
      <c r="I380" s="5"/>
      <c r="J380" s="5"/>
      <c r="K380" s="5"/>
      <c r="L380" s="5"/>
      <c r="M380" s="5"/>
      <c r="N380" s="5"/>
      <c r="O380" s="5"/>
      <c r="P380" s="11">
        <v>258.04399999999998</v>
      </c>
      <c r="Q380" s="5">
        <v>54.564599999999999</v>
      </c>
      <c r="R380" s="5">
        <f t="shared" si="5"/>
        <v>312.60859999999997</v>
      </c>
      <c r="S380" s="5" t="s">
        <v>452</v>
      </c>
      <c r="T380" s="6">
        <v>377</v>
      </c>
      <c r="U380" s="255" t="s">
        <v>2235</v>
      </c>
      <c r="V380" s="232" t="s">
        <v>2229</v>
      </c>
      <c r="W380" s="232">
        <v>-5890</v>
      </c>
      <c r="X380" s="232">
        <v>10380.6</v>
      </c>
      <c r="Y380" s="233" t="s">
        <v>49</v>
      </c>
      <c r="Z380" s="87" t="s">
        <v>50</v>
      </c>
      <c r="AA380" s="233" t="s">
        <v>51</v>
      </c>
      <c r="AB380" s="234"/>
      <c r="AC380" s="233">
        <v>1</v>
      </c>
      <c r="AD380" s="233" t="s">
        <v>226</v>
      </c>
      <c r="AE380" s="233"/>
      <c r="AF380" s="233"/>
      <c r="AG380" s="233" t="s">
        <v>2217</v>
      </c>
      <c r="AH380" s="233">
        <v>5</v>
      </c>
      <c r="AI380" s="233">
        <v>85</v>
      </c>
      <c r="AJ380" s="233" t="s">
        <v>432</v>
      </c>
      <c r="AK380" s="233">
        <v>100</v>
      </c>
      <c r="AL380" s="233"/>
      <c r="AM380" s="233" t="s">
        <v>2218</v>
      </c>
      <c r="AN380" s="233"/>
      <c r="AO380" s="233"/>
      <c r="AP380" s="234" t="s">
        <v>1897</v>
      </c>
      <c r="AQ380" s="234" t="s">
        <v>408</v>
      </c>
    </row>
    <row r="381" spans="1:43">
      <c r="A381" s="6">
        <v>378</v>
      </c>
      <c r="B381" s="21" t="s">
        <v>2236</v>
      </c>
      <c r="C381" s="5" t="s">
        <v>2237</v>
      </c>
      <c r="D381" s="5" t="s">
        <v>2238</v>
      </c>
      <c r="E381" s="5" t="s">
        <v>2239</v>
      </c>
      <c r="F381" s="5" t="s">
        <v>2240</v>
      </c>
      <c r="G381" s="5" t="s">
        <v>2241</v>
      </c>
      <c r="H381" s="11" t="s">
        <v>2242</v>
      </c>
      <c r="I381" s="5"/>
      <c r="J381" s="5"/>
      <c r="K381" s="5"/>
      <c r="L381" s="5"/>
      <c r="M381" s="5"/>
      <c r="N381" s="5"/>
      <c r="O381" s="5"/>
      <c r="P381" s="11">
        <v>258.05360000000002</v>
      </c>
      <c r="Q381" s="5">
        <v>54.555900000000001</v>
      </c>
      <c r="R381" s="5">
        <f t="shared" si="5"/>
        <v>312.60950000000003</v>
      </c>
      <c r="S381" s="5" t="s">
        <v>452</v>
      </c>
      <c r="T381" s="6">
        <v>378</v>
      </c>
      <c r="U381" s="255" t="s">
        <v>2243</v>
      </c>
      <c r="V381" s="232" t="s">
        <v>2237</v>
      </c>
      <c r="W381" s="232">
        <v>-6390.4</v>
      </c>
      <c r="X381" s="232">
        <v>10380.6</v>
      </c>
      <c r="Y381" s="233" t="s">
        <v>49</v>
      </c>
      <c r="Z381" s="87" t="s">
        <v>50</v>
      </c>
      <c r="AA381" s="233" t="s">
        <v>51</v>
      </c>
      <c r="AB381" s="234"/>
      <c r="AC381" s="233">
        <v>1</v>
      </c>
      <c r="AD381" s="233" t="s">
        <v>226</v>
      </c>
      <c r="AE381" s="233"/>
      <c r="AF381" s="233"/>
      <c r="AG381" s="233" t="s">
        <v>2217</v>
      </c>
      <c r="AH381" s="233">
        <v>5</v>
      </c>
      <c r="AI381" s="233">
        <v>85</v>
      </c>
      <c r="AJ381" s="233" t="s">
        <v>432</v>
      </c>
      <c r="AK381" s="233">
        <v>100</v>
      </c>
      <c r="AL381" s="233"/>
      <c r="AM381" s="233" t="s">
        <v>2227</v>
      </c>
      <c r="AN381" s="233"/>
      <c r="AO381" s="233"/>
      <c r="AP381" s="234" t="s">
        <v>1897</v>
      </c>
      <c r="AQ381" s="234" t="s">
        <v>408</v>
      </c>
    </row>
    <row r="382" spans="1:43">
      <c r="A382" s="6">
        <v>379</v>
      </c>
      <c r="B382" s="21" t="s">
        <v>2244</v>
      </c>
      <c r="C382" s="5" t="s">
        <v>2245</v>
      </c>
      <c r="D382" s="5" t="s">
        <v>2246</v>
      </c>
      <c r="E382" s="5" t="s">
        <v>2247</v>
      </c>
      <c r="F382" s="5" t="s">
        <v>2248</v>
      </c>
      <c r="G382" s="5" t="s">
        <v>2249</v>
      </c>
      <c r="H382" s="11" t="s">
        <v>2250</v>
      </c>
      <c r="I382" s="5"/>
      <c r="J382" s="5"/>
      <c r="K382" s="5"/>
      <c r="L382" s="5"/>
      <c r="M382" s="5"/>
      <c r="N382" s="5"/>
      <c r="O382" s="5"/>
      <c r="P382" s="11">
        <v>257.98110000000003</v>
      </c>
      <c r="Q382" s="5">
        <v>54.710500000000003</v>
      </c>
      <c r="R382" s="5">
        <f t="shared" si="5"/>
        <v>312.69160000000005</v>
      </c>
      <c r="S382" s="5" t="s">
        <v>429</v>
      </c>
      <c r="T382" s="6">
        <v>379</v>
      </c>
      <c r="U382" s="255" t="s">
        <v>2251</v>
      </c>
      <c r="V382" s="232" t="s">
        <v>2245</v>
      </c>
      <c r="W382" s="232">
        <v>-7361.4</v>
      </c>
      <c r="X382" s="232">
        <v>6996.2</v>
      </c>
      <c r="Y382" s="233" t="s">
        <v>49</v>
      </c>
      <c r="Z382" s="87" t="s">
        <v>50</v>
      </c>
      <c r="AA382" s="233" t="s">
        <v>51</v>
      </c>
      <c r="AB382" s="234"/>
      <c r="AC382" s="233">
        <v>1</v>
      </c>
      <c r="AD382" s="233" t="s">
        <v>226</v>
      </c>
      <c r="AE382" s="233"/>
      <c r="AF382" s="233"/>
      <c r="AG382" s="233" t="s">
        <v>2252</v>
      </c>
      <c r="AH382" s="233">
        <v>5</v>
      </c>
      <c r="AI382" s="233">
        <v>85</v>
      </c>
      <c r="AJ382" s="233" t="s">
        <v>432</v>
      </c>
      <c r="AK382" s="233">
        <v>100</v>
      </c>
      <c r="AL382" s="233"/>
      <c r="AM382" s="233" t="s">
        <v>2253</v>
      </c>
      <c r="AN382" s="233"/>
      <c r="AO382" s="233"/>
      <c r="AP382" s="234" t="s">
        <v>1897</v>
      </c>
      <c r="AQ382" s="234" t="s">
        <v>408</v>
      </c>
    </row>
    <row r="383" spans="1:43">
      <c r="A383" s="6">
        <v>380</v>
      </c>
      <c r="B383" s="21" t="s">
        <v>2254</v>
      </c>
      <c r="C383" s="5" t="s">
        <v>2255</v>
      </c>
      <c r="D383" s="5" t="s">
        <v>2256</v>
      </c>
      <c r="E383" s="5" t="s">
        <v>2257</v>
      </c>
      <c r="F383" s="5" t="s">
        <v>2258</v>
      </c>
      <c r="G383" s="5" t="s">
        <v>2259</v>
      </c>
      <c r="H383" s="11" t="s">
        <v>2260</v>
      </c>
      <c r="I383" s="5"/>
      <c r="J383" s="5"/>
      <c r="K383" s="5"/>
      <c r="L383" s="5"/>
      <c r="M383" s="5"/>
      <c r="N383" s="5"/>
      <c r="O383" s="5"/>
      <c r="P383" s="11">
        <v>257.98790000000002</v>
      </c>
      <c r="Q383" s="5">
        <v>54.712800000000001</v>
      </c>
      <c r="R383" s="5">
        <f t="shared" ref="R383:R446" si="6">IF(AND(P383="",Q383=""),"",SUM(P383:Q383))</f>
        <v>312.70070000000004</v>
      </c>
      <c r="S383" s="5" t="s">
        <v>429</v>
      </c>
      <c r="T383" s="6">
        <v>380</v>
      </c>
      <c r="U383" s="255" t="s">
        <v>2261</v>
      </c>
      <c r="V383" s="232" t="s">
        <v>2255</v>
      </c>
      <c r="W383" s="232">
        <v>-7361.4</v>
      </c>
      <c r="X383" s="232">
        <v>7707.4</v>
      </c>
      <c r="Y383" s="233" t="s">
        <v>49</v>
      </c>
      <c r="Z383" s="87" t="s">
        <v>50</v>
      </c>
      <c r="AA383" s="233" t="s">
        <v>51</v>
      </c>
      <c r="AB383" s="234"/>
      <c r="AC383" s="233">
        <v>1</v>
      </c>
      <c r="AD383" s="233" t="s">
        <v>226</v>
      </c>
      <c r="AE383" s="233"/>
      <c r="AF383" s="233"/>
      <c r="AG383" s="233" t="s">
        <v>2252</v>
      </c>
      <c r="AH383" s="233">
        <v>5</v>
      </c>
      <c r="AI383" s="233">
        <v>85</v>
      </c>
      <c r="AJ383" s="233" t="s">
        <v>432</v>
      </c>
      <c r="AK383" s="233">
        <v>100</v>
      </c>
      <c r="AL383" s="233"/>
      <c r="AM383" s="233" t="s">
        <v>2262</v>
      </c>
      <c r="AN383" s="233"/>
      <c r="AO383" s="233"/>
      <c r="AP383" s="234" t="s">
        <v>1897</v>
      </c>
      <c r="AQ383" s="234" t="s">
        <v>408</v>
      </c>
    </row>
    <row r="384" spans="1:43">
      <c r="A384" s="6">
        <v>381</v>
      </c>
      <c r="B384" s="21" t="s">
        <v>2263</v>
      </c>
      <c r="C384" s="5" t="s">
        <v>2264</v>
      </c>
      <c r="D384" s="5" t="s">
        <v>2265</v>
      </c>
      <c r="E384" s="5" t="s">
        <v>2266</v>
      </c>
      <c r="F384" s="5" t="s">
        <v>2267</v>
      </c>
      <c r="G384" s="5" t="s">
        <v>2268</v>
      </c>
      <c r="H384" s="11" t="s">
        <v>2269</v>
      </c>
      <c r="I384" s="5"/>
      <c r="J384" s="5"/>
      <c r="K384" s="5"/>
      <c r="L384" s="5"/>
      <c r="M384" s="5"/>
      <c r="N384" s="5"/>
      <c r="O384" s="5"/>
      <c r="P384" s="11">
        <v>258.00720000000001</v>
      </c>
      <c r="Q384" s="5">
        <v>54.679699999999997</v>
      </c>
      <c r="R384" s="5">
        <f t="shared" si="6"/>
        <v>312.68690000000004</v>
      </c>
      <c r="S384" s="5" t="s">
        <v>2270</v>
      </c>
      <c r="T384" s="6">
        <v>381</v>
      </c>
      <c r="U384" s="255" t="s">
        <v>2271</v>
      </c>
      <c r="V384" s="232" t="s">
        <v>2264</v>
      </c>
      <c r="W384" s="232">
        <v>-6572.3</v>
      </c>
      <c r="X384" s="232">
        <v>11190</v>
      </c>
      <c r="Y384" s="233" t="s">
        <v>49</v>
      </c>
      <c r="Z384" s="87" t="s">
        <v>50</v>
      </c>
      <c r="AA384" s="233" t="s">
        <v>51</v>
      </c>
      <c r="AB384" s="234"/>
      <c r="AC384" s="233">
        <v>1</v>
      </c>
      <c r="AD384" s="233" t="s">
        <v>226</v>
      </c>
      <c r="AE384" s="233"/>
      <c r="AF384" s="233"/>
      <c r="AG384" s="233" t="s">
        <v>2252</v>
      </c>
      <c r="AH384" s="233">
        <v>5</v>
      </c>
      <c r="AI384" s="233">
        <v>85</v>
      </c>
      <c r="AJ384" s="233" t="s">
        <v>432</v>
      </c>
      <c r="AK384" s="233">
        <v>100</v>
      </c>
      <c r="AL384" s="233"/>
      <c r="AM384" s="233" t="s">
        <v>2253</v>
      </c>
      <c r="AN384" s="233"/>
      <c r="AO384" s="233"/>
      <c r="AP384" s="234" t="s">
        <v>1897</v>
      </c>
      <c r="AQ384" s="234" t="s">
        <v>408</v>
      </c>
    </row>
    <row r="385" spans="1:43">
      <c r="A385" s="6">
        <v>382</v>
      </c>
      <c r="B385" s="21" t="s">
        <v>2272</v>
      </c>
      <c r="C385" s="5" t="s">
        <v>2273</v>
      </c>
      <c r="D385" s="5" t="s">
        <v>2274</v>
      </c>
      <c r="E385" s="5" t="s">
        <v>2275</v>
      </c>
      <c r="F385" s="5" t="s">
        <v>2276</v>
      </c>
      <c r="G385" s="5" t="s">
        <v>2277</v>
      </c>
      <c r="H385" s="11" t="s">
        <v>2278</v>
      </c>
      <c r="I385" s="5"/>
      <c r="J385" s="5"/>
      <c r="K385" s="5"/>
      <c r="L385" s="5"/>
      <c r="M385" s="5"/>
      <c r="N385" s="5"/>
      <c r="O385" s="5"/>
      <c r="P385" s="11">
        <v>257.99770000000001</v>
      </c>
      <c r="Q385" s="5">
        <v>54.6586</v>
      </c>
      <c r="R385" s="5">
        <f t="shared" si="6"/>
        <v>312.65629999999999</v>
      </c>
      <c r="S385" s="5" t="s">
        <v>2270</v>
      </c>
      <c r="T385" s="6">
        <v>382</v>
      </c>
      <c r="U385" s="255" t="s">
        <v>2279</v>
      </c>
      <c r="V385" s="232" t="s">
        <v>2273</v>
      </c>
      <c r="W385" s="232">
        <v>-7072.7</v>
      </c>
      <c r="X385" s="232">
        <v>11190</v>
      </c>
      <c r="Y385" s="233" t="s">
        <v>49</v>
      </c>
      <c r="Z385" s="87" t="s">
        <v>50</v>
      </c>
      <c r="AA385" s="233" t="s">
        <v>51</v>
      </c>
      <c r="AB385" s="234"/>
      <c r="AC385" s="233">
        <v>1</v>
      </c>
      <c r="AD385" s="233" t="s">
        <v>226</v>
      </c>
      <c r="AE385" s="233"/>
      <c r="AF385" s="233"/>
      <c r="AG385" s="233" t="s">
        <v>2252</v>
      </c>
      <c r="AH385" s="233">
        <v>5</v>
      </c>
      <c r="AI385" s="233">
        <v>85</v>
      </c>
      <c r="AJ385" s="233" t="s">
        <v>432</v>
      </c>
      <c r="AK385" s="233">
        <v>100</v>
      </c>
      <c r="AL385" s="233"/>
      <c r="AM385" s="233" t="s">
        <v>2262</v>
      </c>
      <c r="AN385" s="233"/>
      <c r="AO385" s="233"/>
      <c r="AP385" s="234" t="s">
        <v>1897</v>
      </c>
      <c r="AQ385" s="234" t="s">
        <v>408</v>
      </c>
    </row>
    <row r="386" spans="1:43">
      <c r="A386" s="6">
        <v>383</v>
      </c>
      <c r="B386" s="21" t="s">
        <v>2280</v>
      </c>
      <c r="C386" s="5" t="s">
        <v>2281</v>
      </c>
      <c r="D386" s="5" t="s">
        <v>2282</v>
      </c>
      <c r="E386" s="5" t="s">
        <v>2283</v>
      </c>
      <c r="F386" s="5" t="s">
        <v>2284</v>
      </c>
      <c r="G386" s="5" t="s">
        <v>2285</v>
      </c>
      <c r="H386" s="11" t="s">
        <v>2286</v>
      </c>
      <c r="I386" s="5"/>
      <c r="J386" s="5"/>
      <c r="K386" s="5"/>
      <c r="L386" s="5"/>
      <c r="M386" s="5"/>
      <c r="N386" s="5"/>
      <c r="O386" s="5"/>
      <c r="P386" s="11">
        <v>258.02359999999999</v>
      </c>
      <c r="Q386" s="5">
        <v>54.421100000000003</v>
      </c>
      <c r="R386" s="5">
        <f t="shared" si="6"/>
        <v>312.44470000000001</v>
      </c>
      <c r="S386" s="5" t="s">
        <v>429</v>
      </c>
      <c r="T386" s="6">
        <v>383</v>
      </c>
      <c r="U386" s="255" t="s">
        <v>2287</v>
      </c>
      <c r="V386" s="232" t="s">
        <v>2281</v>
      </c>
      <c r="W386" s="232">
        <v>4911.8999999999996</v>
      </c>
      <c r="X386" s="232">
        <v>4862.6000000000004</v>
      </c>
      <c r="Y386" s="233" t="s">
        <v>49</v>
      </c>
      <c r="Z386" s="87" t="s">
        <v>50</v>
      </c>
      <c r="AA386" s="233" t="s">
        <v>51</v>
      </c>
      <c r="AB386" s="234"/>
      <c r="AC386" s="233">
        <v>1</v>
      </c>
      <c r="AD386" s="233" t="s">
        <v>226</v>
      </c>
      <c r="AE386" s="233"/>
      <c r="AF386" s="233"/>
      <c r="AG386" s="233" t="s">
        <v>2288</v>
      </c>
      <c r="AH386" s="233">
        <v>5</v>
      </c>
      <c r="AI386" s="233">
        <v>85</v>
      </c>
      <c r="AJ386" s="233" t="s">
        <v>432</v>
      </c>
      <c r="AK386" s="233">
        <v>100</v>
      </c>
      <c r="AL386" s="233"/>
      <c r="AM386" s="233" t="s">
        <v>2289</v>
      </c>
      <c r="AN386" s="233"/>
      <c r="AO386" s="233"/>
      <c r="AP386" s="234" t="s">
        <v>1897</v>
      </c>
      <c r="AQ386" s="234" t="s">
        <v>408</v>
      </c>
    </row>
    <row r="387" spans="1:43">
      <c r="A387" s="6">
        <v>384</v>
      </c>
      <c r="B387" s="21" t="s">
        <v>2290</v>
      </c>
      <c r="C387" s="5" t="s">
        <v>2291</v>
      </c>
      <c r="D387" s="5" t="s">
        <v>2292</v>
      </c>
      <c r="E387" s="5" t="s">
        <v>2293</v>
      </c>
      <c r="F387" s="5" t="s">
        <v>2294</v>
      </c>
      <c r="G387" s="5" t="s">
        <v>2295</v>
      </c>
      <c r="H387" s="11" t="s">
        <v>2296</v>
      </c>
      <c r="I387" s="5"/>
      <c r="J387" s="5"/>
      <c r="K387" s="5"/>
      <c r="L387" s="5"/>
      <c r="M387" s="5"/>
      <c r="N387" s="5"/>
      <c r="O387" s="5"/>
      <c r="P387" s="11">
        <v>258.0249</v>
      </c>
      <c r="Q387" s="5">
        <v>54.438499999999998</v>
      </c>
      <c r="R387" s="5">
        <f t="shared" si="6"/>
        <v>312.46339999999998</v>
      </c>
      <c r="S387" s="5" t="s">
        <v>429</v>
      </c>
      <c r="T387" s="6">
        <v>384</v>
      </c>
      <c r="U387" s="255" t="s">
        <v>2297</v>
      </c>
      <c r="V387" s="232" t="s">
        <v>2291</v>
      </c>
      <c r="W387" s="232">
        <v>4911.8999999999996</v>
      </c>
      <c r="X387" s="232">
        <v>5573.8</v>
      </c>
      <c r="Y387" s="233" t="s">
        <v>49</v>
      </c>
      <c r="Z387" s="87" t="s">
        <v>50</v>
      </c>
      <c r="AA387" s="233" t="s">
        <v>51</v>
      </c>
      <c r="AB387" s="234"/>
      <c r="AC387" s="233">
        <v>1</v>
      </c>
      <c r="AD387" s="233" t="s">
        <v>226</v>
      </c>
      <c r="AE387" s="233"/>
      <c r="AF387" s="233"/>
      <c r="AG387" s="233" t="s">
        <v>2288</v>
      </c>
      <c r="AH387" s="233">
        <v>5</v>
      </c>
      <c r="AI387" s="233">
        <v>85</v>
      </c>
      <c r="AJ387" s="233" t="s">
        <v>432</v>
      </c>
      <c r="AK387" s="233">
        <v>100</v>
      </c>
      <c r="AL387" s="233"/>
      <c r="AM387" s="233" t="s">
        <v>2298</v>
      </c>
      <c r="AN387" s="233"/>
      <c r="AO387" s="233"/>
      <c r="AP387" s="234" t="s">
        <v>1897</v>
      </c>
      <c r="AQ387" s="234" t="s">
        <v>408</v>
      </c>
    </row>
    <row r="388" spans="1:43">
      <c r="A388" s="6">
        <v>385</v>
      </c>
      <c r="B388" s="21" t="s">
        <v>2299</v>
      </c>
      <c r="C388" s="5" t="s">
        <v>2300</v>
      </c>
      <c r="D388" s="5" t="s">
        <v>2301</v>
      </c>
      <c r="E388" s="5" t="s">
        <v>2302</v>
      </c>
      <c r="F388" s="5" t="s">
        <v>2303</v>
      </c>
      <c r="G388" s="5" t="s">
        <v>2304</v>
      </c>
      <c r="H388" s="11" t="s">
        <v>2305</v>
      </c>
      <c r="I388" s="5"/>
      <c r="J388" s="5"/>
      <c r="K388" s="5"/>
      <c r="L388" s="5"/>
      <c r="M388" s="5"/>
      <c r="N388" s="5"/>
      <c r="O388" s="5"/>
      <c r="P388" s="11">
        <v>258.03280000000001</v>
      </c>
      <c r="Q388" s="5">
        <v>54.4726</v>
      </c>
      <c r="R388" s="5">
        <f t="shared" si="6"/>
        <v>312.50540000000001</v>
      </c>
      <c r="S388" s="5" t="s">
        <v>2306</v>
      </c>
      <c r="T388" s="6">
        <v>385</v>
      </c>
      <c r="U388" s="255" t="s">
        <v>2307</v>
      </c>
      <c r="V388" s="232" t="s">
        <v>2300</v>
      </c>
      <c r="W388" s="232">
        <v>5026</v>
      </c>
      <c r="X388" s="232">
        <v>10380.6</v>
      </c>
      <c r="Y388" s="233" t="s">
        <v>49</v>
      </c>
      <c r="Z388" s="87" t="s">
        <v>50</v>
      </c>
      <c r="AA388" s="233" t="s">
        <v>51</v>
      </c>
      <c r="AB388" s="234"/>
      <c r="AC388" s="233">
        <v>1</v>
      </c>
      <c r="AD388" s="233" t="s">
        <v>226</v>
      </c>
      <c r="AE388" s="233"/>
      <c r="AF388" s="233"/>
      <c r="AG388" s="233" t="s">
        <v>2288</v>
      </c>
      <c r="AH388" s="233">
        <v>5</v>
      </c>
      <c r="AI388" s="233">
        <v>85</v>
      </c>
      <c r="AJ388" s="233" t="s">
        <v>432</v>
      </c>
      <c r="AK388" s="233">
        <v>100</v>
      </c>
      <c r="AL388" s="233"/>
      <c r="AM388" s="233" t="s">
        <v>2289</v>
      </c>
      <c r="AN388" s="233"/>
      <c r="AO388" s="233"/>
      <c r="AP388" s="234" t="s">
        <v>1897</v>
      </c>
      <c r="AQ388" s="234" t="s">
        <v>408</v>
      </c>
    </row>
    <row r="389" spans="1:43">
      <c r="A389" s="6">
        <v>386</v>
      </c>
      <c r="B389" s="21" t="s">
        <v>2308</v>
      </c>
      <c r="C389" s="5" t="s">
        <v>2309</v>
      </c>
      <c r="D389" s="5" t="s">
        <v>2310</v>
      </c>
      <c r="E389" s="5" t="s">
        <v>2311</v>
      </c>
      <c r="F389" s="5" t="s">
        <v>2312</v>
      </c>
      <c r="G389" s="5" t="s">
        <v>2313</v>
      </c>
      <c r="H389" s="11" t="s">
        <v>2314</v>
      </c>
      <c r="I389" s="5"/>
      <c r="J389" s="5"/>
      <c r="K389" s="5"/>
      <c r="L389" s="5"/>
      <c r="M389" s="5"/>
      <c r="N389" s="5"/>
      <c r="O389" s="5"/>
      <c r="P389" s="11">
        <v>258.03210000000001</v>
      </c>
      <c r="Q389" s="5">
        <v>54.468600000000002</v>
      </c>
      <c r="R389" s="5">
        <f t="shared" si="6"/>
        <v>312.50069999999999</v>
      </c>
      <c r="S389" s="5" t="s">
        <v>2306</v>
      </c>
      <c r="T389" s="6">
        <v>386</v>
      </c>
      <c r="U389" s="255" t="s">
        <v>2315</v>
      </c>
      <c r="V389" s="232" t="s">
        <v>2309</v>
      </c>
      <c r="W389" s="232">
        <v>4525.6000000000004</v>
      </c>
      <c r="X389" s="232">
        <v>10380.6</v>
      </c>
      <c r="Y389" s="233" t="s">
        <v>49</v>
      </c>
      <c r="Z389" s="87" t="s">
        <v>50</v>
      </c>
      <c r="AA389" s="233" t="s">
        <v>51</v>
      </c>
      <c r="AB389" s="234"/>
      <c r="AC389" s="233">
        <v>1</v>
      </c>
      <c r="AD389" s="233" t="s">
        <v>226</v>
      </c>
      <c r="AE389" s="233"/>
      <c r="AF389" s="233"/>
      <c r="AG389" s="233" t="s">
        <v>2288</v>
      </c>
      <c r="AH389" s="233">
        <v>5</v>
      </c>
      <c r="AI389" s="233">
        <v>85</v>
      </c>
      <c r="AJ389" s="233" t="s">
        <v>432</v>
      </c>
      <c r="AK389" s="233">
        <v>100</v>
      </c>
      <c r="AL389" s="233"/>
      <c r="AM389" s="233" t="s">
        <v>2298</v>
      </c>
      <c r="AN389" s="233"/>
      <c r="AO389" s="233"/>
      <c r="AP389" s="234" t="s">
        <v>1897</v>
      </c>
      <c r="AQ389" s="234" t="s">
        <v>408</v>
      </c>
    </row>
    <row r="390" spans="1:43">
      <c r="A390" s="6">
        <v>387</v>
      </c>
      <c r="B390" s="21" t="s">
        <v>2316</v>
      </c>
      <c r="C390" s="5" t="s">
        <v>2317</v>
      </c>
      <c r="D390" s="5" t="s">
        <v>2318</v>
      </c>
      <c r="E390" s="5" t="s">
        <v>2319</v>
      </c>
      <c r="F390" s="5" t="s">
        <v>2320</v>
      </c>
      <c r="G390" s="5" t="s">
        <v>2321</v>
      </c>
      <c r="H390" s="11" t="s">
        <v>2322</v>
      </c>
      <c r="I390" s="5"/>
      <c r="J390" s="5"/>
      <c r="K390" s="5"/>
      <c r="L390" s="5"/>
      <c r="M390" s="5"/>
      <c r="N390" s="5"/>
      <c r="O390" s="5"/>
      <c r="P390" s="11">
        <v>258.04570000000001</v>
      </c>
      <c r="Q390" s="5">
        <v>54.523200000000003</v>
      </c>
      <c r="R390" s="5">
        <f t="shared" si="6"/>
        <v>312.56889999999999</v>
      </c>
      <c r="S390" s="5" t="s">
        <v>224</v>
      </c>
      <c r="T390" s="6">
        <v>387</v>
      </c>
      <c r="U390" s="255" t="s">
        <v>2323</v>
      </c>
      <c r="V390" s="232" t="s">
        <v>2317</v>
      </c>
      <c r="W390" s="232">
        <v>-7361.4</v>
      </c>
      <c r="X390" s="232">
        <v>4862.6000000000004</v>
      </c>
      <c r="Y390" s="233" t="s">
        <v>49</v>
      </c>
      <c r="Z390" s="87" t="s">
        <v>50</v>
      </c>
      <c r="AA390" s="233" t="s">
        <v>51</v>
      </c>
      <c r="AB390" s="234"/>
      <c r="AC390" s="233">
        <v>1</v>
      </c>
      <c r="AD390" s="233" t="s">
        <v>226</v>
      </c>
      <c r="AE390" s="233"/>
      <c r="AF390" s="233"/>
      <c r="AG390" s="233" t="s">
        <v>2324</v>
      </c>
      <c r="AH390" s="233">
        <v>5</v>
      </c>
      <c r="AI390" s="233">
        <v>85</v>
      </c>
      <c r="AJ390" s="233" t="s">
        <v>432</v>
      </c>
      <c r="AK390" s="233">
        <v>100</v>
      </c>
      <c r="AL390" s="233"/>
      <c r="AM390" s="233" t="s">
        <v>2325</v>
      </c>
      <c r="AN390" s="233"/>
      <c r="AO390" s="233"/>
      <c r="AP390" s="234" t="s">
        <v>1897</v>
      </c>
      <c r="AQ390" s="234" t="s">
        <v>408</v>
      </c>
    </row>
    <row r="391" spans="1:43">
      <c r="A391" s="6">
        <v>388</v>
      </c>
      <c r="B391" s="21" t="s">
        <v>2326</v>
      </c>
      <c r="C391" s="5" t="s">
        <v>2327</v>
      </c>
      <c r="D391" s="5" t="s">
        <v>2328</v>
      </c>
      <c r="E391" s="5" t="s">
        <v>2329</v>
      </c>
      <c r="F391" s="5" t="s">
        <v>2330</v>
      </c>
      <c r="G391" s="5" t="s">
        <v>2331</v>
      </c>
      <c r="H391" s="11" t="s">
        <v>2332</v>
      </c>
      <c r="I391" s="5"/>
      <c r="J391" s="5"/>
      <c r="K391" s="5"/>
      <c r="L391" s="5"/>
      <c r="M391" s="5"/>
      <c r="N391" s="5"/>
      <c r="O391" s="5"/>
      <c r="P391" s="11">
        <v>258.0453</v>
      </c>
      <c r="Q391" s="5">
        <v>54.524000000000001</v>
      </c>
      <c r="R391" s="5">
        <f t="shared" si="6"/>
        <v>312.5693</v>
      </c>
      <c r="S391" s="5" t="s">
        <v>224</v>
      </c>
      <c r="T391" s="6">
        <v>388</v>
      </c>
      <c r="U391" s="255" t="s">
        <v>2333</v>
      </c>
      <c r="V391" s="232" t="s">
        <v>2327</v>
      </c>
      <c r="W391" s="232">
        <v>-7361.4</v>
      </c>
      <c r="X391" s="232">
        <v>5573.8</v>
      </c>
      <c r="Y391" s="233" t="s">
        <v>49</v>
      </c>
      <c r="Z391" s="87" t="s">
        <v>50</v>
      </c>
      <c r="AA391" s="233" t="s">
        <v>51</v>
      </c>
      <c r="AB391" s="234"/>
      <c r="AC391" s="233">
        <v>1</v>
      </c>
      <c r="AD391" s="233" t="s">
        <v>226</v>
      </c>
      <c r="AE391" s="233"/>
      <c r="AF391" s="233"/>
      <c r="AG391" s="233" t="s">
        <v>2324</v>
      </c>
      <c r="AH391" s="233">
        <v>5</v>
      </c>
      <c r="AI391" s="233">
        <v>85</v>
      </c>
      <c r="AJ391" s="233" t="s">
        <v>432</v>
      </c>
      <c r="AK391" s="233">
        <v>100</v>
      </c>
      <c r="AL391" s="233"/>
      <c r="AM391" s="233" t="s">
        <v>2334</v>
      </c>
      <c r="AN391" s="233"/>
      <c r="AO391" s="233"/>
      <c r="AP391" s="234" t="s">
        <v>1897</v>
      </c>
      <c r="AQ391" s="234" t="s">
        <v>408</v>
      </c>
    </row>
    <row r="392" spans="1:43">
      <c r="A392" s="6">
        <v>389</v>
      </c>
      <c r="B392" s="21" t="s">
        <v>2335</v>
      </c>
      <c r="C392" s="5" t="s">
        <v>2336</v>
      </c>
      <c r="D392" s="5" t="s">
        <v>2337</v>
      </c>
      <c r="E392" s="5" t="s">
        <v>2338</v>
      </c>
      <c r="F392" s="5" t="s">
        <v>2339</v>
      </c>
      <c r="G392" s="5" t="s">
        <v>2340</v>
      </c>
      <c r="H392" s="11" t="s">
        <v>2341</v>
      </c>
      <c r="I392" s="5"/>
      <c r="J392" s="5"/>
      <c r="K392" s="5"/>
      <c r="L392" s="5"/>
      <c r="M392" s="5"/>
      <c r="N392" s="5"/>
      <c r="O392" s="5"/>
      <c r="P392" s="11">
        <v>258.0412</v>
      </c>
      <c r="Q392" s="5">
        <v>54.716900000000003</v>
      </c>
      <c r="R392" s="5">
        <f t="shared" si="6"/>
        <v>312.75810000000001</v>
      </c>
      <c r="S392" s="5" t="s">
        <v>2199</v>
      </c>
      <c r="T392" s="6">
        <v>389</v>
      </c>
      <c r="U392" s="255" t="s">
        <v>2342</v>
      </c>
      <c r="V392" s="232" t="s">
        <v>2336</v>
      </c>
      <c r="W392" s="232">
        <v>-7254.6</v>
      </c>
      <c r="X392" s="232">
        <v>10380.6</v>
      </c>
      <c r="Y392" s="233" t="s">
        <v>49</v>
      </c>
      <c r="Z392" s="87" t="s">
        <v>50</v>
      </c>
      <c r="AA392" s="233" t="s">
        <v>51</v>
      </c>
      <c r="AB392" s="234"/>
      <c r="AC392" s="233">
        <v>1</v>
      </c>
      <c r="AD392" s="233" t="s">
        <v>226</v>
      </c>
      <c r="AE392" s="233"/>
      <c r="AF392" s="233"/>
      <c r="AG392" s="233" t="s">
        <v>2324</v>
      </c>
      <c r="AH392" s="233">
        <v>5</v>
      </c>
      <c r="AI392" s="233">
        <v>85</v>
      </c>
      <c r="AJ392" s="233" t="s">
        <v>432</v>
      </c>
      <c r="AK392" s="233">
        <v>100</v>
      </c>
      <c r="AL392" s="233"/>
      <c r="AM392" s="233" t="s">
        <v>2325</v>
      </c>
      <c r="AN392" s="233"/>
      <c r="AO392" s="233"/>
      <c r="AP392" s="234" t="s">
        <v>1897</v>
      </c>
      <c r="AQ392" s="234" t="s">
        <v>408</v>
      </c>
    </row>
    <row r="393" spans="1:43">
      <c r="A393" s="6">
        <v>390</v>
      </c>
      <c r="B393" s="21" t="s">
        <v>2343</v>
      </c>
      <c r="C393" s="5" t="s">
        <v>2344</v>
      </c>
      <c r="D393" s="5" t="s">
        <v>2345</v>
      </c>
      <c r="E393" s="5" t="s">
        <v>2346</v>
      </c>
      <c r="F393" s="5" t="s">
        <v>2347</v>
      </c>
      <c r="G393" s="5" t="s">
        <v>2348</v>
      </c>
      <c r="H393" s="11" t="s">
        <v>2349</v>
      </c>
      <c r="I393" s="5"/>
      <c r="J393" s="5"/>
      <c r="K393" s="5"/>
      <c r="L393" s="5"/>
      <c r="M393" s="5"/>
      <c r="N393" s="5"/>
      <c r="O393" s="5"/>
      <c r="P393" s="11">
        <v>258.04539999999997</v>
      </c>
      <c r="Q393" s="5">
        <v>54.7211</v>
      </c>
      <c r="R393" s="5">
        <f t="shared" si="6"/>
        <v>312.76649999999995</v>
      </c>
      <c r="S393" s="5" t="s">
        <v>2199</v>
      </c>
      <c r="T393" s="6">
        <v>390</v>
      </c>
      <c r="U393" s="255" t="s">
        <v>2350</v>
      </c>
      <c r="V393" s="232" t="s">
        <v>2344</v>
      </c>
      <c r="W393" s="232">
        <v>-7755</v>
      </c>
      <c r="X393" s="232">
        <v>10380.6</v>
      </c>
      <c r="Y393" s="233" t="s">
        <v>49</v>
      </c>
      <c r="Z393" s="87" t="s">
        <v>50</v>
      </c>
      <c r="AA393" s="233" t="s">
        <v>51</v>
      </c>
      <c r="AB393" s="234"/>
      <c r="AC393" s="233">
        <v>1</v>
      </c>
      <c r="AD393" s="233" t="s">
        <v>226</v>
      </c>
      <c r="AE393" s="233"/>
      <c r="AF393" s="233"/>
      <c r="AG393" s="233" t="s">
        <v>2324</v>
      </c>
      <c r="AH393" s="233">
        <v>5</v>
      </c>
      <c r="AI393" s="233">
        <v>85</v>
      </c>
      <c r="AJ393" s="233" t="s">
        <v>432</v>
      </c>
      <c r="AK393" s="233">
        <v>100</v>
      </c>
      <c r="AL393" s="233"/>
      <c r="AM393" s="233" t="s">
        <v>2334</v>
      </c>
      <c r="AN393" s="233"/>
      <c r="AO393" s="233"/>
      <c r="AP393" s="234" t="s">
        <v>1897</v>
      </c>
      <c r="AQ393" s="234" t="s">
        <v>408</v>
      </c>
    </row>
    <row r="394" spans="1:43">
      <c r="A394" s="6">
        <v>391</v>
      </c>
      <c r="B394" s="21" t="s">
        <v>2351</v>
      </c>
      <c r="C394" s="5" t="s">
        <v>2352</v>
      </c>
      <c r="D394" s="5" t="s">
        <v>2353</v>
      </c>
      <c r="E394" s="5" t="s">
        <v>2354</v>
      </c>
      <c r="F394" s="5" t="s">
        <v>2355</v>
      </c>
      <c r="G394" s="5" t="s">
        <v>2356</v>
      </c>
      <c r="H394" s="11" t="s">
        <v>2357</v>
      </c>
      <c r="I394" s="5"/>
      <c r="J394" s="5"/>
      <c r="K394" s="5"/>
      <c r="L394" s="5"/>
      <c r="M394" s="5"/>
      <c r="N394" s="5"/>
      <c r="O394" s="5"/>
      <c r="P394" s="11">
        <v>258.005</v>
      </c>
      <c r="Q394" s="5">
        <v>54.633099999999999</v>
      </c>
      <c r="R394" s="5">
        <f t="shared" si="6"/>
        <v>312.63810000000001</v>
      </c>
      <c r="S394" s="5" t="s">
        <v>1914</v>
      </c>
      <c r="T394" s="6">
        <v>391</v>
      </c>
      <c r="U394" s="255" t="s">
        <v>2358</v>
      </c>
      <c r="V394" s="232" t="s">
        <v>2352</v>
      </c>
      <c r="W394" s="232">
        <v>-825.6</v>
      </c>
      <c r="X394" s="232">
        <v>-5573.8</v>
      </c>
      <c r="Y394" s="233" t="s">
        <v>49</v>
      </c>
      <c r="Z394" s="87" t="s">
        <v>50</v>
      </c>
      <c r="AA394" s="233" t="s">
        <v>51</v>
      </c>
      <c r="AB394" s="234"/>
      <c r="AC394" s="233">
        <v>1</v>
      </c>
      <c r="AD394" s="233" t="s">
        <v>226</v>
      </c>
      <c r="AE394" s="233"/>
      <c r="AF394" s="233"/>
      <c r="AG394" s="233" t="s">
        <v>2359</v>
      </c>
      <c r="AH394" s="233">
        <v>5</v>
      </c>
      <c r="AI394" s="233">
        <v>85</v>
      </c>
      <c r="AJ394" s="233" t="s">
        <v>432</v>
      </c>
      <c r="AK394" s="233">
        <v>100</v>
      </c>
      <c r="AL394" s="233"/>
      <c r="AM394" s="233" t="s">
        <v>2360</v>
      </c>
      <c r="AN394" s="233"/>
      <c r="AO394" s="233"/>
      <c r="AP394" s="234" t="s">
        <v>1897</v>
      </c>
      <c r="AQ394" s="234" t="s">
        <v>408</v>
      </c>
    </row>
    <row r="395" spans="1:43">
      <c r="A395" s="6">
        <v>392</v>
      </c>
      <c r="B395" s="21" t="s">
        <v>2361</v>
      </c>
      <c r="C395" s="5" t="s">
        <v>2362</v>
      </c>
      <c r="D395" s="5" t="s">
        <v>2363</v>
      </c>
      <c r="E395" s="5" t="s">
        <v>2364</v>
      </c>
      <c r="F395" s="5" t="s">
        <v>2365</v>
      </c>
      <c r="G395" s="5" t="s">
        <v>2366</v>
      </c>
      <c r="H395" s="11" t="s">
        <v>2367</v>
      </c>
      <c r="I395" s="5"/>
      <c r="J395" s="5"/>
      <c r="K395" s="5"/>
      <c r="L395" s="5"/>
      <c r="M395" s="5"/>
      <c r="N395" s="5"/>
      <c r="O395" s="5"/>
      <c r="P395" s="11">
        <v>258.01010000000002</v>
      </c>
      <c r="Q395" s="5">
        <v>54.632199999999997</v>
      </c>
      <c r="R395" s="5">
        <f t="shared" si="6"/>
        <v>312.64230000000003</v>
      </c>
      <c r="S395" s="5" t="s">
        <v>1914</v>
      </c>
      <c r="T395" s="6">
        <v>392</v>
      </c>
      <c r="U395" s="255" t="s">
        <v>2368</v>
      </c>
      <c r="V395" s="232" t="s">
        <v>2362</v>
      </c>
      <c r="W395" s="232">
        <v>-825.6</v>
      </c>
      <c r="X395" s="232">
        <v>-4862.6000000000004</v>
      </c>
      <c r="Y395" s="233" t="s">
        <v>49</v>
      </c>
      <c r="Z395" s="87" t="s">
        <v>50</v>
      </c>
      <c r="AA395" s="233" t="s">
        <v>51</v>
      </c>
      <c r="AB395" s="234"/>
      <c r="AC395" s="233">
        <v>1</v>
      </c>
      <c r="AD395" s="233" t="s">
        <v>226</v>
      </c>
      <c r="AE395" s="233"/>
      <c r="AF395" s="233"/>
      <c r="AG395" s="233" t="s">
        <v>2359</v>
      </c>
      <c r="AH395" s="233">
        <v>5</v>
      </c>
      <c r="AI395" s="233">
        <v>85</v>
      </c>
      <c r="AJ395" s="233" t="s">
        <v>432</v>
      </c>
      <c r="AK395" s="233">
        <v>100</v>
      </c>
      <c r="AL395" s="233"/>
      <c r="AM395" s="233" t="s">
        <v>2369</v>
      </c>
      <c r="AN395" s="233"/>
      <c r="AO395" s="233"/>
      <c r="AP395" s="234" t="s">
        <v>1897</v>
      </c>
      <c r="AQ395" s="234" t="s">
        <v>408</v>
      </c>
    </row>
    <row r="396" spans="1:43">
      <c r="A396" s="6">
        <v>393</v>
      </c>
      <c r="B396" s="21" t="s">
        <v>2370</v>
      </c>
      <c r="C396" s="5" t="s">
        <v>2371</v>
      </c>
      <c r="D396" s="5" t="s">
        <v>2372</v>
      </c>
      <c r="E396" s="5" t="s">
        <v>2373</v>
      </c>
      <c r="F396" s="5" t="s">
        <v>2374</v>
      </c>
      <c r="G396" s="5" t="s">
        <v>2375</v>
      </c>
      <c r="H396" s="11" t="s">
        <v>2376</v>
      </c>
      <c r="I396" s="5"/>
      <c r="J396" s="5"/>
      <c r="K396" s="5"/>
      <c r="L396" s="5"/>
      <c r="M396" s="5"/>
      <c r="N396" s="5"/>
      <c r="O396" s="5"/>
      <c r="P396" s="11">
        <v>258.08999999999997</v>
      </c>
      <c r="Q396" s="5">
        <v>54.576099999999997</v>
      </c>
      <c r="R396" s="5">
        <f t="shared" si="6"/>
        <v>312.66609999999997</v>
      </c>
      <c r="S396" s="5" t="s">
        <v>264</v>
      </c>
      <c r="T396" s="6">
        <v>393</v>
      </c>
      <c r="U396" s="255" t="s">
        <v>2377</v>
      </c>
      <c r="V396" s="232" t="s">
        <v>2371</v>
      </c>
      <c r="W396" s="232">
        <v>-2979.2</v>
      </c>
      <c r="X396" s="232">
        <v>-11190</v>
      </c>
      <c r="Y396" s="233" t="s">
        <v>49</v>
      </c>
      <c r="Z396" s="87" t="s">
        <v>50</v>
      </c>
      <c r="AA396" s="233" t="s">
        <v>51</v>
      </c>
      <c r="AB396" s="234"/>
      <c r="AC396" s="233">
        <v>1</v>
      </c>
      <c r="AD396" s="233" t="s">
        <v>226</v>
      </c>
      <c r="AE396" s="233"/>
      <c r="AF396" s="233"/>
      <c r="AG396" s="233" t="s">
        <v>2359</v>
      </c>
      <c r="AH396" s="233">
        <v>5</v>
      </c>
      <c r="AI396" s="233">
        <v>85</v>
      </c>
      <c r="AJ396" s="233" t="s">
        <v>432</v>
      </c>
      <c r="AK396" s="233">
        <v>100</v>
      </c>
      <c r="AL396" s="233"/>
      <c r="AM396" s="233" t="s">
        <v>2360</v>
      </c>
      <c r="AN396" s="233"/>
      <c r="AO396" s="233"/>
      <c r="AP396" s="234" t="s">
        <v>1897</v>
      </c>
      <c r="AQ396" s="234" t="s">
        <v>408</v>
      </c>
    </row>
    <row r="397" spans="1:43">
      <c r="A397" s="6">
        <v>394</v>
      </c>
      <c r="B397" s="21" t="s">
        <v>2378</v>
      </c>
      <c r="C397" s="5" t="s">
        <v>2379</v>
      </c>
      <c r="D397" s="5" t="s">
        <v>2380</v>
      </c>
      <c r="E397" s="5" t="s">
        <v>2381</v>
      </c>
      <c r="F397" s="5" t="s">
        <v>2382</v>
      </c>
      <c r="G397" s="5" t="s">
        <v>2383</v>
      </c>
      <c r="H397" s="11" t="s">
        <v>2384</v>
      </c>
      <c r="I397" s="5"/>
      <c r="J397" s="5"/>
      <c r="K397" s="5"/>
      <c r="L397" s="5"/>
      <c r="M397" s="5"/>
      <c r="N397" s="5"/>
      <c r="O397" s="5"/>
      <c r="P397" s="11">
        <v>258.04719999999998</v>
      </c>
      <c r="Q397" s="5">
        <v>54.584299999999999</v>
      </c>
      <c r="R397" s="5">
        <f t="shared" si="6"/>
        <v>312.63149999999996</v>
      </c>
      <c r="S397" s="5" t="s">
        <v>264</v>
      </c>
      <c r="T397" s="6">
        <v>394</v>
      </c>
      <c r="U397" s="255" t="s">
        <v>2385</v>
      </c>
      <c r="V397" s="232" t="s">
        <v>2379</v>
      </c>
      <c r="W397" s="232">
        <v>-2478.8000000000002</v>
      </c>
      <c r="X397" s="232">
        <v>-11190</v>
      </c>
      <c r="Y397" s="233" t="s">
        <v>49</v>
      </c>
      <c r="Z397" s="87" t="s">
        <v>50</v>
      </c>
      <c r="AA397" s="233" t="s">
        <v>51</v>
      </c>
      <c r="AB397" s="234"/>
      <c r="AC397" s="233">
        <v>1</v>
      </c>
      <c r="AD397" s="233" t="s">
        <v>226</v>
      </c>
      <c r="AE397" s="233"/>
      <c r="AF397" s="233"/>
      <c r="AG397" s="233" t="s">
        <v>2359</v>
      </c>
      <c r="AH397" s="233">
        <v>5</v>
      </c>
      <c r="AI397" s="233">
        <v>85</v>
      </c>
      <c r="AJ397" s="233" t="s">
        <v>432</v>
      </c>
      <c r="AK397" s="233">
        <v>100</v>
      </c>
      <c r="AL397" s="233"/>
      <c r="AM397" s="233" t="s">
        <v>2369</v>
      </c>
      <c r="AN397" s="233"/>
      <c r="AO397" s="233"/>
      <c r="AP397" s="234" t="s">
        <v>1897</v>
      </c>
      <c r="AQ397" s="234" t="s">
        <v>408</v>
      </c>
    </row>
    <row r="398" spans="1:43">
      <c r="A398" s="6">
        <v>395</v>
      </c>
      <c r="B398" s="21" t="s">
        <v>2386</v>
      </c>
      <c r="C398" s="5" t="s">
        <v>2387</v>
      </c>
      <c r="D398" s="5" t="s">
        <v>2388</v>
      </c>
      <c r="E398" s="5" t="s">
        <v>2389</v>
      </c>
      <c r="F398" s="5" t="s">
        <v>2390</v>
      </c>
      <c r="G398" s="5" t="s">
        <v>2391</v>
      </c>
      <c r="H398" s="11" t="s">
        <v>2392</v>
      </c>
      <c r="I398" s="5"/>
      <c r="J398" s="5"/>
      <c r="K398" s="5"/>
      <c r="L398" s="5"/>
      <c r="M398" s="5"/>
      <c r="N398" s="5"/>
      <c r="O398" s="5"/>
      <c r="P398" s="11">
        <v>257.99779999999998</v>
      </c>
      <c r="Q398" s="5">
        <v>54.7044</v>
      </c>
      <c r="R398" s="5">
        <f t="shared" si="6"/>
        <v>312.7022</v>
      </c>
      <c r="S398" s="5" t="s">
        <v>1967</v>
      </c>
      <c r="T398" s="6">
        <v>395</v>
      </c>
      <c r="U398" s="255" t="s">
        <v>2393</v>
      </c>
      <c r="V398" s="232" t="s">
        <v>2387</v>
      </c>
      <c r="W398" s="232">
        <v>-825.6</v>
      </c>
      <c r="X398" s="232">
        <v>-7707.4</v>
      </c>
      <c r="Y398" s="233" t="s">
        <v>49</v>
      </c>
      <c r="Z398" s="87" t="s">
        <v>50</v>
      </c>
      <c r="AA398" s="233" t="s">
        <v>51</v>
      </c>
      <c r="AB398" s="234"/>
      <c r="AC398" s="233">
        <v>1</v>
      </c>
      <c r="AD398" s="233" t="s">
        <v>226</v>
      </c>
      <c r="AE398" s="233"/>
      <c r="AF398" s="233"/>
      <c r="AG398" s="233" t="s">
        <v>2394</v>
      </c>
      <c r="AH398" s="233">
        <v>5</v>
      </c>
      <c r="AI398" s="233">
        <v>85</v>
      </c>
      <c r="AJ398" s="233" t="s">
        <v>432</v>
      </c>
      <c r="AK398" s="233">
        <v>100</v>
      </c>
      <c r="AL398" s="233"/>
      <c r="AM398" s="233" t="s">
        <v>2395</v>
      </c>
      <c r="AN398" s="233"/>
      <c r="AO398" s="233"/>
      <c r="AP398" s="234" t="s">
        <v>1897</v>
      </c>
      <c r="AQ398" s="234" t="s">
        <v>408</v>
      </c>
    </row>
    <row r="399" spans="1:43">
      <c r="A399" s="6">
        <v>396</v>
      </c>
      <c r="B399" s="21" t="s">
        <v>2396</v>
      </c>
      <c r="C399" s="5" t="s">
        <v>2397</v>
      </c>
      <c r="D399" s="5" t="s">
        <v>2398</v>
      </c>
      <c r="E399" s="5" t="s">
        <v>2399</v>
      </c>
      <c r="F399" s="5" t="s">
        <v>2400</v>
      </c>
      <c r="G399" s="5" t="s">
        <v>2401</v>
      </c>
      <c r="H399" s="11" t="s">
        <v>2402</v>
      </c>
      <c r="I399" s="5"/>
      <c r="J399" s="5"/>
      <c r="K399" s="5"/>
      <c r="L399" s="5"/>
      <c r="M399" s="5"/>
      <c r="N399" s="5"/>
      <c r="O399" s="5"/>
      <c r="P399" s="11">
        <v>258.0068</v>
      </c>
      <c r="Q399" s="5">
        <v>54.716500000000003</v>
      </c>
      <c r="R399" s="5">
        <f t="shared" si="6"/>
        <v>312.72329999999999</v>
      </c>
      <c r="S399" s="5" t="s">
        <v>1967</v>
      </c>
      <c r="T399" s="6">
        <v>396</v>
      </c>
      <c r="U399" s="255" t="s">
        <v>2403</v>
      </c>
      <c r="V399" s="232" t="s">
        <v>2397</v>
      </c>
      <c r="W399" s="232">
        <v>-825.6</v>
      </c>
      <c r="X399" s="232">
        <v>-6996.2</v>
      </c>
      <c r="Y399" s="233" t="s">
        <v>49</v>
      </c>
      <c r="Z399" s="87" t="s">
        <v>50</v>
      </c>
      <c r="AA399" s="233" t="s">
        <v>51</v>
      </c>
      <c r="AB399" s="234"/>
      <c r="AC399" s="233">
        <v>1</v>
      </c>
      <c r="AD399" s="233" t="s">
        <v>226</v>
      </c>
      <c r="AE399" s="233"/>
      <c r="AF399" s="233"/>
      <c r="AG399" s="233" t="s">
        <v>2394</v>
      </c>
      <c r="AH399" s="233">
        <v>5</v>
      </c>
      <c r="AI399" s="233">
        <v>85</v>
      </c>
      <c r="AJ399" s="233" t="s">
        <v>432</v>
      </c>
      <c r="AK399" s="233">
        <v>100</v>
      </c>
      <c r="AL399" s="233"/>
      <c r="AM399" s="233" t="s">
        <v>760</v>
      </c>
      <c r="AN399" s="233"/>
      <c r="AO399" s="233"/>
      <c r="AP399" s="234" t="s">
        <v>1897</v>
      </c>
      <c r="AQ399" s="234" t="s">
        <v>408</v>
      </c>
    </row>
    <row r="400" spans="1:43">
      <c r="A400" s="6">
        <v>397</v>
      </c>
      <c r="B400" s="21" t="s">
        <v>2404</v>
      </c>
      <c r="C400" s="5" t="s">
        <v>2405</v>
      </c>
      <c r="D400" s="5" t="s">
        <v>2406</v>
      </c>
      <c r="E400" s="5" t="s">
        <v>2407</v>
      </c>
      <c r="F400" s="5" t="s">
        <v>2408</v>
      </c>
      <c r="G400" s="5" t="s">
        <v>2409</v>
      </c>
      <c r="H400" s="11" t="s">
        <v>2410</v>
      </c>
      <c r="I400" s="5"/>
      <c r="J400" s="5"/>
      <c r="K400" s="5"/>
      <c r="L400" s="5"/>
      <c r="M400" s="5"/>
      <c r="N400" s="5"/>
      <c r="O400" s="5"/>
      <c r="P400" s="11">
        <v>258.00529999999998</v>
      </c>
      <c r="Q400" s="5">
        <v>54.796599999999998</v>
      </c>
      <c r="R400" s="5">
        <f t="shared" si="6"/>
        <v>312.80189999999999</v>
      </c>
      <c r="S400" s="5" t="s">
        <v>2411</v>
      </c>
      <c r="T400" s="6">
        <v>397</v>
      </c>
      <c r="U400" s="255" t="s">
        <v>2412</v>
      </c>
      <c r="V400" s="232" t="s">
        <v>2405</v>
      </c>
      <c r="W400" s="232">
        <v>-3661.5</v>
      </c>
      <c r="X400" s="232">
        <v>-10380.6</v>
      </c>
      <c r="Y400" s="233" t="s">
        <v>49</v>
      </c>
      <c r="Z400" s="87" t="s">
        <v>50</v>
      </c>
      <c r="AA400" s="233" t="s">
        <v>51</v>
      </c>
      <c r="AB400" s="234"/>
      <c r="AC400" s="233">
        <v>1</v>
      </c>
      <c r="AD400" s="233" t="s">
        <v>226</v>
      </c>
      <c r="AE400" s="233"/>
      <c r="AF400" s="233"/>
      <c r="AG400" s="233" t="s">
        <v>2394</v>
      </c>
      <c r="AH400" s="233">
        <v>5</v>
      </c>
      <c r="AI400" s="233">
        <v>85</v>
      </c>
      <c r="AJ400" s="233" t="s">
        <v>432</v>
      </c>
      <c r="AK400" s="233">
        <v>100</v>
      </c>
      <c r="AL400" s="233"/>
      <c r="AM400" s="233" t="s">
        <v>2395</v>
      </c>
      <c r="AN400" s="233"/>
      <c r="AO400" s="233"/>
      <c r="AP400" s="234" t="s">
        <v>1897</v>
      </c>
      <c r="AQ400" s="234" t="s">
        <v>408</v>
      </c>
    </row>
    <row r="401" spans="1:43">
      <c r="A401" s="6">
        <v>398</v>
      </c>
      <c r="B401" s="21" t="s">
        <v>2413</v>
      </c>
      <c r="C401" s="5" t="s">
        <v>2414</v>
      </c>
      <c r="D401" s="5" t="s">
        <v>2415</v>
      </c>
      <c r="E401" s="5" t="s">
        <v>2416</v>
      </c>
      <c r="F401" s="5" t="s">
        <v>2417</v>
      </c>
      <c r="G401" s="5" t="s">
        <v>2418</v>
      </c>
      <c r="H401" s="11" t="s">
        <v>2419</v>
      </c>
      <c r="I401" s="5"/>
      <c r="J401" s="5"/>
      <c r="K401" s="5"/>
      <c r="L401" s="5"/>
      <c r="M401" s="5"/>
      <c r="N401" s="5"/>
      <c r="O401" s="5"/>
      <c r="P401" s="11">
        <v>258.00549999999998</v>
      </c>
      <c r="Q401" s="5">
        <v>54.845399999999998</v>
      </c>
      <c r="R401" s="5">
        <f t="shared" si="6"/>
        <v>312.85089999999997</v>
      </c>
      <c r="S401" s="5" t="s">
        <v>2411</v>
      </c>
      <c r="T401" s="6">
        <v>398</v>
      </c>
      <c r="U401" s="255" t="s">
        <v>2420</v>
      </c>
      <c r="V401" s="232" t="s">
        <v>2414</v>
      </c>
      <c r="W401" s="232">
        <v>-3160.9</v>
      </c>
      <c r="X401" s="232">
        <v>-10380.6</v>
      </c>
      <c r="Y401" s="233" t="s">
        <v>49</v>
      </c>
      <c r="Z401" s="87" t="s">
        <v>50</v>
      </c>
      <c r="AA401" s="233" t="s">
        <v>51</v>
      </c>
      <c r="AB401" s="234"/>
      <c r="AC401" s="233">
        <v>1</v>
      </c>
      <c r="AD401" s="233" t="s">
        <v>226</v>
      </c>
      <c r="AE401" s="233"/>
      <c r="AF401" s="233"/>
      <c r="AG401" s="233" t="s">
        <v>2394</v>
      </c>
      <c r="AH401" s="233">
        <v>5</v>
      </c>
      <c r="AI401" s="233">
        <v>85</v>
      </c>
      <c r="AJ401" s="233" t="s">
        <v>432</v>
      </c>
      <c r="AK401" s="233">
        <v>100</v>
      </c>
      <c r="AL401" s="233"/>
      <c r="AM401" s="233" t="s">
        <v>760</v>
      </c>
      <c r="AN401" s="233"/>
      <c r="AO401" s="233"/>
      <c r="AP401" s="234" t="s">
        <v>1897</v>
      </c>
      <c r="AQ401" s="234" t="s">
        <v>408</v>
      </c>
    </row>
    <row r="402" spans="1:43">
      <c r="A402" s="6">
        <v>399</v>
      </c>
      <c r="B402" s="21" t="s">
        <v>2421</v>
      </c>
      <c r="C402" s="5" t="s">
        <v>2422</v>
      </c>
      <c r="D402" s="5" t="s">
        <v>2423</v>
      </c>
      <c r="E402" s="5" t="s">
        <v>2424</v>
      </c>
      <c r="F402" s="5" t="s">
        <v>2425</v>
      </c>
      <c r="G402" s="5" t="s">
        <v>2426</v>
      </c>
      <c r="H402" s="11" t="s">
        <v>2427</v>
      </c>
      <c r="I402" s="5"/>
      <c r="J402" s="5"/>
      <c r="K402" s="5"/>
      <c r="L402" s="5"/>
      <c r="M402" s="5"/>
      <c r="N402" s="5"/>
      <c r="O402" s="5"/>
      <c r="P402" s="11">
        <v>258.00330000000002</v>
      </c>
      <c r="Q402" s="5">
        <v>54.823700000000002</v>
      </c>
      <c r="R402" s="5">
        <f t="shared" si="6"/>
        <v>312.827</v>
      </c>
      <c r="S402" s="5" t="s">
        <v>2058</v>
      </c>
      <c r="T402" s="6">
        <v>399</v>
      </c>
      <c r="U402" s="255" t="s">
        <v>2428</v>
      </c>
      <c r="V402" s="232" t="s">
        <v>2422</v>
      </c>
      <c r="W402" s="232">
        <v>-2182.9</v>
      </c>
      <c r="X402" s="232">
        <v>-6996.2</v>
      </c>
      <c r="Y402" s="233" t="s">
        <v>49</v>
      </c>
      <c r="Z402" s="87" t="s">
        <v>50</v>
      </c>
      <c r="AA402" s="233" t="s">
        <v>51</v>
      </c>
      <c r="AB402" s="234"/>
      <c r="AC402" s="233">
        <v>1</v>
      </c>
      <c r="AD402" s="233" t="s">
        <v>226</v>
      </c>
      <c r="AE402" s="233"/>
      <c r="AF402" s="233"/>
      <c r="AG402" s="233" t="s">
        <v>2429</v>
      </c>
      <c r="AH402" s="233">
        <v>5</v>
      </c>
      <c r="AI402" s="233">
        <v>85</v>
      </c>
      <c r="AJ402" s="233" t="s">
        <v>432</v>
      </c>
      <c r="AK402" s="233">
        <v>100</v>
      </c>
      <c r="AL402" s="233"/>
      <c r="AM402" s="233" t="s">
        <v>770</v>
      </c>
      <c r="AN402" s="233"/>
      <c r="AO402" s="233"/>
      <c r="AP402" s="234" t="s">
        <v>1897</v>
      </c>
      <c r="AQ402" s="234" t="s">
        <v>408</v>
      </c>
    </row>
    <row r="403" spans="1:43">
      <c r="A403" s="6">
        <v>400</v>
      </c>
      <c r="B403" s="21" t="s">
        <v>2430</v>
      </c>
      <c r="C403" s="5" t="s">
        <v>2431</v>
      </c>
      <c r="D403" s="5" t="s">
        <v>2432</v>
      </c>
      <c r="E403" s="5" t="s">
        <v>2433</v>
      </c>
      <c r="F403" s="5" t="s">
        <v>2434</v>
      </c>
      <c r="G403" s="5" t="s">
        <v>2435</v>
      </c>
      <c r="H403" s="11" t="s">
        <v>2436</v>
      </c>
      <c r="I403" s="5"/>
      <c r="J403" s="5"/>
      <c r="K403" s="5"/>
      <c r="L403" s="5"/>
      <c r="M403" s="5"/>
      <c r="N403" s="5"/>
      <c r="O403" s="5"/>
      <c r="P403" s="11">
        <v>258.00409999999999</v>
      </c>
      <c r="Q403" s="5">
        <v>54.821100000000001</v>
      </c>
      <c r="R403" s="5">
        <f t="shared" si="6"/>
        <v>312.8252</v>
      </c>
      <c r="S403" s="5" t="s">
        <v>2058</v>
      </c>
      <c r="T403" s="6">
        <v>400</v>
      </c>
      <c r="U403" s="255" t="s">
        <v>2437</v>
      </c>
      <c r="V403" s="232" t="s">
        <v>2431</v>
      </c>
      <c r="W403" s="232">
        <v>-2182.9</v>
      </c>
      <c r="X403" s="232">
        <v>-6285</v>
      </c>
      <c r="Y403" s="233" t="s">
        <v>49</v>
      </c>
      <c r="Z403" s="87" t="s">
        <v>50</v>
      </c>
      <c r="AA403" s="233" t="s">
        <v>51</v>
      </c>
      <c r="AB403" s="234"/>
      <c r="AC403" s="233">
        <v>1</v>
      </c>
      <c r="AD403" s="233" t="s">
        <v>226</v>
      </c>
      <c r="AE403" s="233"/>
      <c r="AF403" s="233"/>
      <c r="AG403" s="233" t="s">
        <v>2429</v>
      </c>
      <c r="AH403" s="233">
        <v>5</v>
      </c>
      <c r="AI403" s="233">
        <v>85</v>
      </c>
      <c r="AJ403" s="233" t="s">
        <v>432</v>
      </c>
      <c r="AK403" s="233">
        <v>100</v>
      </c>
      <c r="AL403" s="233"/>
      <c r="AM403" s="233" t="s">
        <v>2438</v>
      </c>
      <c r="AN403" s="233"/>
      <c r="AO403" s="233"/>
      <c r="AP403" s="234" t="s">
        <v>1897</v>
      </c>
      <c r="AQ403" s="234" t="s">
        <v>408</v>
      </c>
    </row>
    <row r="404" spans="1:43">
      <c r="A404" s="6">
        <v>401</v>
      </c>
      <c r="B404" s="21" t="s">
        <v>2439</v>
      </c>
      <c r="C404" s="5" t="s">
        <v>2440</v>
      </c>
      <c r="D404" s="5" t="s">
        <v>2441</v>
      </c>
      <c r="E404" s="5" t="s">
        <v>2442</v>
      </c>
      <c r="F404" s="5" t="s">
        <v>2443</v>
      </c>
      <c r="G404" s="5" t="s">
        <v>2444</v>
      </c>
      <c r="H404" s="11" t="s">
        <v>2445</v>
      </c>
      <c r="I404" s="5"/>
      <c r="J404" s="5"/>
      <c r="K404" s="5"/>
      <c r="L404" s="5"/>
      <c r="M404" s="5"/>
      <c r="N404" s="5"/>
      <c r="O404" s="5"/>
      <c r="P404" s="11">
        <v>258.07080000000002</v>
      </c>
      <c r="Q404" s="5">
        <v>54.742899999999999</v>
      </c>
      <c r="R404" s="5">
        <f t="shared" si="6"/>
        <v>312.81370000000004</v>
      </c>
      <c r="S404" s="5" t="s">
        <v>282</v>
      </c>
      <c r="T404" s="6">
        <v>401</v>
      </c>
      <c r="U404" s="255" t="s">
        <v>2446</v>
      </c>
      <c r="V404" s="232" t="s">
        <v>2440</v>
      </c>
      <c r="W404" s="232">
        <v>-4343.7</v>
      </c>
      <c r="X404" s="232">
        <v>-11190</v>
      </c>
      <c r="Y404" s="233" t="s">
        <v>49</v>
      </c>
      <c r="Z404" s="87" t="s">
        <v>50</v>
      </c>
      <c r="AA404" s="233" t="s">
        <v>51</v>
      </c>
      <c r="AB404" s="234"/>
      <c r="AC404" s="233">
        <v>1</v>
      </c>
      <c r="AD404" s="233" t="s">
        <v>226</v>
      </c>
      <c r="AE404" s="233"/>
      <c r="AF404" s="233"/>
      <c r="AG404" s="233" t="s">
        <v>2429</v>
      </c>
      <c r="AH404" s="233">
        <v>5</v>
      </c>
      <c r="AI404" s="233">
        <v>85</v>
      </c>
      <c r="AJ404" s="233" t="s">
        <v>432</v>
      </c>
      <c r="AK404" s="233">
        <v>100</v>
      </c>
      <c r="AL404" s="233"/>
      <c r="AM404" s="233" t="s">
        <v>770</v>
      </c>
      <c r="AN404" s="233"/>
      <c r="AO404" s="233"/>
      <c r="AP404" s="234" t="s">
        <v>1897</v>
      </c>
      <c r="AQ404" s="234" t="s">
        <v>408</v>
      </c>
    </row>
    <row r="405" spans="1:43">
      <c r="A405" s="6">
        <v>402</v>
      </c>
      <c r="B405" s="21" t="s">
        <v>2447</v>
      </c>
      <c r="C405" s="5" t="s">
        <v>2448</v>
      </c>
      <c r="D405" s="5" t="s">
        <v>2449</v>
      </c>
      <c r="E405" s="5" t="s">
        <v>2450</v>
      </c>
      <c r="F405" s="5" t="s">
        <v>2451</v>
      </c>
      <c r="G405" s="5" t="s">
        <v>2452</v>
      </c>
      <c r="H405" s="11" t="s">
        <v>2453</v>
      </c>
      <c r="I405" s="5"/>
      <c r="J405" s="5"/>
      <c r="K405" s="5"/>
      <c r="L405" s="5"/>
      <c r="M405" s="5"/>
      <c r="N405" s="5"/>
      <c r="O405" s="5"/>
      <c r="P405" s="11">
        <v>258.07690000000002</v>
      </c>
      <c r="Q405" s="5">
        <v>54.731999999999999</v>
      </c>
      <c r="R405" s="5">
        <f t="shared" si="6"/>
        <v>312.80889999999999</v>
      </c>
      <c r="S405" s="5" t="s">
        <v>282</v>
      </c>
      <c r="T405" s="6">
        <v>402</v>
      </c>
      <c r="U405" s="255" t="s">
        <v>2454</v>
      </c>
      <c r="V405" s="232" t="s">
        <v>2448</v>
      </c>
      <c r="W405" s="232">
        <v>-3843.3</v>
      </c>
      <c r="X405" s="232">
        <v>-11190</v>
      </c>
      <c r="Y405" s="233" t="s">
        <v>49</v>
      </c>
      <c r="Z405" s="87" t="s">
        <v>50</v>
      </c>
      <c r="AA405" s="233" t="s">
        <v>51</v>
      </c>
      <c r="AB405" s="234"/>
      <c r="AC405" s="233">
        <v>1</v>
      </c>
      <c r="AD405" s="233" t="s">
        <v>226</v>
      </c>
      <c r="AE405" s="233"/>
      <c r="AF405" s="233"/>
      <c r="AG405" s="233" t="s">
        <v>2429</v>
      </c>
      <c r="AH405" s="233">
        <v>5</v>
      </c>
      <c r="AI405" s="233">
        <v>85</v>
      </c>
      <c r="AJ405" s="233" t="s">
        <v>432</v>
      </c>
      <c r="AK405" s="233">
        <v>100</v>
      </c>
      <c r="AL405" s="233"/>
      <c r="AM405" s="233" t="s">
        <v>2438</v>
      </c>
      <c r="AN405" s="233"/>
      <c r="AO405" s="233"/>
      <c r="AP405" s="234" t="s">
        <v>1897</v>
      </c>
      <c r="AQ405" s="234" t="s">
        <v>408</v>
      </c>
    </row>
    <row r="406" spans="1:43">
      <c r="A406" s="6">
        <v>403</v>
      </c>
      <c r="B406" s="21" t="s">
        <v>2455</v>
      </c>
      <c r="C406" s="5" t="s">
        <v>2456</v>
      </c>
      <c r="D406" s="5" t="s">
        <v>2457</v>
      </c>
      <c r="E406" s="5" t="s">
        <v>2458</v>
      </c>
      <c r="F406" s="5" t="s">
        <v>2459</v>
      </c>
      <c r="G406" s="5" t="s">
        <v>2460</v>
      </c>
      <c r="H406" s="11" t="s">
        <v>2461</v>
      </c>
      <c r="I406" s="5"/>
      <c r="J406" s="5"/>
      <c r="K406" s="5"/>
      <c r="L406" s="5"/>
      <c r="M406" s="5"/>
      <c r="N406" s="5"/>
      <c r="O406" s="5"/>
      <c r="P406" s="11">
        <v>258.06029999999998</v>
      </c>
      <c r="Q406" s="5">
        <v>54.557099999999998</v>
      </c>
      <c r="R406" s="5">
        <f t="shared" si="6"/>
        <v>312.61739999999998</v>
      </c>
      <c r="S406" s="5" t="s">
        <v>2462</v>
      </c>
      <c r="T406" s="6">
        <v>403</v>
      </c>
      <c r="U406" s="255" t="s">
        <v>2463</v>
      </c>
      <c r="V406" s="232" t="s">
        <v>2456</v>
      </c>
      <c r="W406" s="232">
        <v>-2182.9</v>
      </c>
      <c r="X406" s="232">
        <v>-9129.7999999999993</v>
      </c>
      <c r="Y406" s="233" t="s">
        <v>49</v>
      </c>
      <c r="Z406" s="87" t="s">
        <v>50</v>
      </c>
      <c r="AA406" s="233" t="s">
        <v>51</v>
      </c>
      <c r="AB406" s="234"/>
      <c r="AC406" s="233">
        <v>1</v>
      </c>
      <c r="AD406" s="233" t="s">
        <v>226</v>
      </c>
      <c r="AE406" s="233"/>
      <c r="AF406" s="233"/>
      <c r="AG406" s="233" t="s">
        <v>2464</v>
      </c>
      <c r="AH406" s="233">
        <v>5</v>
      </c>
      <c r="AI406" s="233">
        <v>85</v>
      </c>
      <c r="AJ406" s="233" t="s">
        <v>432</v>
      </c>
      <c r="AK406" s="233">
        <v>100</v>
      </c>
      <c r="AL406" s="233"/>
      <c r="AM406" s="233" t="s">
        <v>2465</v>
      </c>
      <c r="AN406" s="233"/>
      <c r="AO406" s="233"/>
      <c r="AP406" s="234" t="s">
        <v>1897</v>
      </c>
      <c r="AQ406" s="234" t="s">
        <v>408</v>
      </c>
    </row>
    <row r="407" spans="1:43">
      <c r="A407" s="6">
        <v>404</v>
      </c>
      <c r="B407" s="21" t="s">
        <v>2466</v>
      </c>
      <c r="C407" s="5" t="s">
        <v>2467</v>
      </c>
      <c r="D407" s="5" t="s">
        <v>2468</v>
      </c>
      <c r="E407" s="5" t="s">
        <v>2469</v>
      </c>
      <c r="F407" s="5" t="s">
        <v>2470</v>
      </c>
      <c r="G407" s="5" t="s">
        <v>2471</v>
      </c>
      <c r="H407" s="11" t="s">
        <v>2472</v>
      </c>
      <c r="I407" s="5"/>
      <c r="J407" s="5"/>
      <c r="K407" s="5"/>
      <c r="L407" s="5"/>
      <c r="M407" s="5"/>
      <c r="N407" s="5"/>
      <c r="O407" s="5"/>
      <c r="P407" s="11">
        <v>258.06619999999998</v>
      </c>
      <c r="Q407" s="5">
        <v>54.55</v>
      </c>
      <c r="R407" s="5">
        <f t="shared" si="6"/>
        <v>312.61619999999999</v>
      </c>
      <c r="S407" s="5" t="s">
        <v>2462</v>
      </c>
      <c r="T407" s="6">
        <v>404</v>
      </c>
      <c r="U407" s="255" t="s">
        <v>2473</v>
      </c>
      <c r="V407" s="232" t="s">
        <v>2467</v>
      </c>
      <c r="W407" s="232">
        <v>-2182.9</v>
      </c>
      <c r="X407" s="232">
        <v>-8418.6</v>
      </c>
      <c r="Y407" s="233" t="s">
        <v>49</v>
      </c>
      <c r="Z407" s="87" t="s">
        <v>50</v>
      </c>
      <c r="AA407" s="233" t="s">
        <v>51</v>
      </c>
      <c r="AB407" s="234"/>
      <c r="AC407" s="233">
        <v>1</v>
      </c>
      <c r="AD407" s="233" t="s">
        <v>226</v>
      </c>
      <c r="AE407" s="233"/>
      <c r="AF407" s="233"/>
      <c r="AG407" s="233" t="s">
        <v>2464</v>
      </c>
      <c r="AH407" s="233">
        <v>5</v>
      </c>
      <c r="AI407" s="233">
        <v>85</v>
      </c>
      <c r="AJ407" s="233" t="s">
        <v>432</v>
      </c>
      <c r="AK407" s="233">
        <v>100</v>
      </c>
      <c r="AL407" s="233"/>
      <c r="AM407" s="233" t="s">
        <v>2474</v>
      </c>
      <c r="AN407" s="233"/>
      <c r="AO407" s="233"/>
      <c r="AP407" s="234" t="s">
        <v>1897</v>
      </c>
      <c r="AQ407" s="234" t="s">
        <v>408</v>
      </c>
    </row>
    <row r="408" spans="1:43">
      <c r="A408" s="6">
        <v>405</v>
      </c>
      <c r="B408" s="21" t="s">
        <v>2475</v>
      </c>
      <c r="C408" s="5" t="s">
        <v>2476</v>
      </c>
      <c r="D408" s="5" t="s">
        <v>2477</v>
      </c>
      <c r="E408" s="5" t="s">
        <v>2478</v>
      </c>
      <c r="F408" s="5" t="s">
        <v>2479</v>
      </c>
      <c r="G408" s="5" t="s">
        <v>2480</v>
      </c>
      <c r="H408" s="11" t="s">
        <v>2481</v>
      </c>
      <c r="I408" s="5"/>
      <c r="J408" s="5"/>
      <c r="K408" s="5"/>
      <c r="L408" s="5"/>
      <c r="M408" s="5"/>
      <c r="N408" s="5"/>
      <c r="O408" s="5"/>
      <c r="P408" s="11">
        <v>258.00069999999999</v>
      </c>
      <c r="Q408" s="5">
        <v>54.648699999999998</v>
      </c>
      <c r="R408" s="5">
        <f t="shared" si="6"/>
        <v>312.64940000000001</v>
      </c>
      <c r="S408" s="5" t="s">
        <v>465</v>
      </c>
      <c r="T408" s="6">
        <v>405</v>
      </c>
      <c r="U408" s="255" t="s">
        <v>2482</v>
      </c>
      <c r="V408" s="232" t="s">
        <v>2476</v>
      </c>
      <c r="W408" s="232">
        <v>-5026</v>
      </c>
      <c r="X408" s="232">
        <v>-10380.6</v>
      </c>
      <c r="Y408" s="233" t="s">
        <v>49</v>
      </c>
      <c r="Z408" s="87" t="s">
        <v>50</v>
      </c>
      <c r="AA408" s="233" t="s">
        <v>51</v>
      </c>
      <c r="AB408" s="234"/>
      <c r="AC408" s="233">
        <v>1</v>
      </c>
      <c r="AD408" s="233" t="s">
        <v>226</v>
      </c>
      <c r="AE408" s="233"/>
      <c r="AF408" s="233"/>
      <c r="AG408" s="233" t="s">
        <v>2464</v>
      </c>
      <c r="AH408" s="233">
        <v>5</v>
      </c>
      <c r="AI408" s="233">
        <v>85</v>
      </c>
      <c r="AJ408" s="233" t="s">
        <v>432</v>
      </c>
      <c r="AK408" s="233">
        <v>100</v>
      </c>
      <c r="AL408" s="233"/>
      <c r="AM408" s="233" t="s">
        <v>2465</v>
      </c>
      <c r="AN408" s="233"/>
      <c r="AO408" s="233"/>
      <c r="AP408" s="234" t="s">
        <v>1897</v>
      </c>
      <c r="AQ408" s="234" t="s">
        <v>408</v>
      </c>
    </row>
    <row r="409" spans="1:43">
      <c r="A409" s="6">
        <v>406</v>
      </c>
      <c r="B409" s="21" t="s">
        <v>2483</v>
      </c>
      <c r="C409" s="5" t="s">
        <v>2484</v>
      </c>
      <c r="D409" s="5" t="s">
        <v>2485</v>
      </c>
      <c r="E409" s="5" t="s">
        <v>2486</v>
      </c>
      <c r="F409" s="5" t="s">
        <v>2487</v>
      </c>
      <c r="G409" s="5" t="s">
        <v>2488</v>
      </c>
      <c r="H409" s="11" t="s">
        <v>2489</v>
      </c>
      <c r="I409" s="5"/>
      <c r="J409" s="5"/>
      <c r="K409" s="5"/>
      <c r="L409" s="5"/>
      <c r="M409" s="5"/>
      <c r="N409" s="5"/>
      <c r="O409" s="5"/>
      <c r="P409" s="11">
        <v>258.00720000000001</v>
      </c>
      <c r="Q409" s="5">
        <v>54.641199999999998</v>
      </c>
      <c r="R409" s="5">
        <f t="shared" si="6"/>
        <v>312.64840000000004</v>
      </c>
      <c r="S409" s="5" t="s">
        <v>465</v>
      </c>
      <c r="T409" s="6">
        <v>406</v>
      </c>
      <c r="U409" s="255" t="s">
        <v>2490</v>
      </c>
      <c r="V409" s="232" t="s">
        <v>2484</v>
      </c>
      <c r="W409" s="232">
        <v>-4525.3999999999996</v>
      </c>
      <c r="X409" s="232">
        <v>-10380.6</v>
      </c>
      <c r="Y409" s="233" t="s">
        <v>49</v>
      </c>
      <c r="Z409" s="87" t="s">
        <v>50</v>
      </c>
      <c r="AA409" s="233" t="s">
        <v>51</v>
      </c>
      <c r="AB409" s="234"/>
      <c r="AC409" s="233">
        <v>1</v>
      </c>
      <c r="AD409" s="233" t="s">
        <v>226</v>
      </c>
      <c r="AE409" s="233"/>
      <c r="AF409" s="233"/>
      <c r="AG409" s="233" t="s">
        <v>2464</v>
      </c>
      <c r="AH409" s="233">
        <v>5</v>
      </c>
      <c r="AI409" s="233">
        <v>85</v>
      </c>
      <c r="AJ409" s="233" t="s">
        <v>432</v>
      </c>
      <c r="AK409" s="233">
        <v>100</v>
      </c>
      <c r="AL409" s="233"/>
      <c r="AM409" s="233" t="s">
        <v>2474</v>
      </c>
      <c r="AN409" s="233"/>
      <c r="AO409" s="233"/>
      <c r="AP409" s="234" t="s">
        <v>1897</v>
      </c>
      <c r="AQ409" s="234" t="s">
        <v>408</v>
      </c>
    </row>
    <row r="410" spans="1:43">
      <c r="A410" s="6">
        <v>407</v>
      </c>
      <c r="B410" s="21" t="s">
        <v>2491</v>
      </c>
      <c r="C410" s="5" t="s">
        <v>2492</v>
      </c>
      <c r="D410" s="5" t="s">
        <v>2493</v>
      </c>
      <c r="E410" s="5" t="s">
        <v>2494</v>
      </c>
      <c r="F410" s="5" t="s">
        <v>2495</v>
      </c>
      <c r="G410" s="5" t="s">
        <v>2496</v>
      </c>
      <c r="H410" s="11" t="s">
        <v>2497</v>
      </c>
      <c r="I410" s="5"/>
      <c r="J410" s="5"/>
      <c r="K410" s="5"/>
      <c r="L410" s="5"/>
      <c r="M410" s="5"/>
      <c r="N410" s="5"/>
      <c r="O410" s="5"/>
      <c r="P410" s="11">
        <v>258.00369999999998</v>
      </c>
      <c r="Q410" s="5">
        <v>54.795999999999999</v>
      </c>
      <c r="R410" s="5">
        <f t="shared" si="6"/>
        <v>312.79969999999997</v>
      </c>
      <c r="S410" s="5" t="s">
        <v>2003</v>
      </c>
      <c r="T410" s="6">
        <v>407</v>
      </c>
      <c r="U410" s="255" t="s">
        <v>2498</v>
      </c>
      <c r="V410" s="232" t="s">
        <v>2492</v>
      </c>
      <c r="W410" s="232">
        <v>3554.6</v>
      </c>
      <c r="X410" s="232">
        <v>6996.2</v>
      </c>
      <c r="Y410" s="233" t="s">
        <v>49</v>
      </c>
      <c r="Z410" s="87" t="s">
        <v>50</v>
      </c>
      <c r="AA410" s="233" t="s">
        <v>51</v>
      </c>
      <c r="AB410" s="234"/>
      <c r="AC410" s="233">
        <v>1</v>
      </c>
      <c r="AD410" s="233" t="s">
        <v>226</v>
      </c>
      <c r="AE410" s="233"/>
      <c r="AF410" s="233"/>
      <c r="AG410" s="233" t="s">
        <v>2499</v>
      </c>
      <c r="AH410" s="233">
        <v>5</v>
      </c>
      <c r="AI410" s="233">
        <v>85</v>
      </c>
      <c r="AJ410" s="233" t="s">
        <v>432</v>
      </c>
      <c r="AK410" s="233">
        <v>100</v>
      </c>
      <c r="AL410" s="233"/>
      <c r="AM410" s="233" t="s">
        <v>2500</v>
      </c>
      <c r="AN410" s="233"/>
      <c r="AO410" s="233"/>
      <c r="AP410" s="234" t="s">
        <v>1897</v>
      </c>
      <c r="AQ410" s="234" t="s">
        <v>408</v>
      </c>
    </row>
    <row r="411" spans="1:43">
      <c r="A411" s="6">
        <v>408</v>
      </c>
      <c r="B411" s="21" t="s">
        <v>2501</v>
      </c>
      <c r="C411" s="5" t="s">
        <v>2502</v>
      </c>
      <c r="D411" s="5" t="s">
        <v>2503</v>
      </c>
      <c r="E411" s="5" t="s">
        <v>2504</v>
      </c>
      <c r="F411" s="5" t="s">
        <v>2505</v>
      </c>
      <c r="G411" s="5" t="s">
        <v>2506</v>
      </c>
      <c r="H411" s="11" t="s">
        <v>2507</v>
      </c>
      <c r="I411" s="5"/>
      <c r="J411" s="5"/>
      <c r="K411" s="5"/>
      <c r="L411" s="5"/>
      <c r="M411" s="5"/>
      <c r="N411" s="5"/>
      <c r="O411" s="5"/>
      <c r="P411" s="11">
        <v>258.00369999999998</v>
      </c>
      <c r="Q411" s="5">
        <v>54.8078</v>
      </c>
      <c r="R411" s="5">
        <f t="shared" si="6"/>
        <v>312.81149999999997</v>
      </c>
      <c r="S411" s="5" t="s">
        <v>2003</v>
      </c>
      <c r="T411" s="6">
        <v>408</v>
      </c>
      <c r="U411" s="255" t="s">
        <v>2508</v>
      </c>
      <c r="V411" s="232" t="s">
        <v>2502</v>
      </c>
      <c r="W411" s="232">
        <v>3554.6</v>
      </c>
      <c r="X411" s="232">
        <v>7707.4</v>
      </c>
      <c r="Y411" s="233" t="s">
        <v>49</v>
      </c>
      <c r="Z411" s="87" t="s">
        <v>50</v>
      </c>
      <c r="AA411" s="233" t="s">
        <v>51</v>
      </c>
      <c r="AB411" s="234"/>
      <c r="AC411" s="233">
        <v>1</v>
      </c>
      <c r="AD411" s="233" t="s">
        <v>226</v>
      </c>
      <c r="AE411" s="233"/>
      <c r="AF411" s="233"/>
      <c r="AG411" s="233" t="s">
        <v>2499</v>
      </c>
      <c r="AH411" s="233">
        <v>5</v>
      </c>
      <c r="AI411" s="233">
        <v>85</v>
      </c>
      <c r="AJ411" s="233" t="s">
        <v>432</v>
      </c>
      <c r="AK411" s="233">
        <v>100</v>
      </c>
      <c r="AL411" s="233"/>
      <c r="AM411" s="233" t="s">
        <v>2509</v>
      </c>
      <c r="AN411" s="233"/>
      <c r="AO411" s="233"/>
      <c r="AP411" s="234" t="s">
        <v>1897</v>
      </c>
      <c r="AQ411" s="234" t="s">
        <v>408</v>
      </c>
    </row>
    <row r="412" spans="1:43">
      <c r="A412" s="6">
        <v>409</v>
      </c>
      <c r="B412" s="21" t="s">
        <v>2510</v>
      </c>
      <c r="C412" s="5" t="s">
        <v>2511</v>
      </c>
      <c r="D412" s="5" t="s">
        <v>2512</v>
      </c>
      <c r="E412" s="5" t="s">
        <v>2513</v>
      </c>
      <c r="F412" s="5" t="s">
        <v>2514</v>
      </c>
      <c r="G412" s="5" t="s">
        <v>2515</v>
      </c>
      <c r="H412" s="11" t="s">
        <v>2516</v>
      </c>
      <c r="I412" s="5"/>
      <c r="J412" s="5"/>
      <c r="K412" s="5"/>
      <c r="L412" s="5"/>
      <c r="M412" s="5"/>
      <c r="N412" s="5"/>
      <c r="O412" s="5"/>
      <c r="P412" s="11">
        <v>258.0806</v>
      </c>
      <c r="Q412" s="5">
        <v>54.584800000000001</v>
      </c>
      <c r="R412" s="5">
        <f t="shared" si="6"/>
        <v>312.66539999999998</v>
      </c>
      <c r="S412" s="5" t="s">
        <v>2270</v>
      </c>
      <c r="T412" s="6">
        <v>409</v>
      </c>
      <c r="U412" s="255" t="s">
        <v>2517</v>
      </c>
      <c r="V412" s="232" t="s">
        <v>2511</v>
      </c>
      <c r="W412" s="232">
        <v>4343.7</v>
      </c>
      <c r="X412" s="232">
        <v>11190</v>
      </c>
      <c r="Y412" s="233" t="s">
        <v>49</v>
      </c>
      <c r="Z412" s="87" t="s">
        <v>50</v>
      </c>
      <c r="AA412" s="233" t="s">
        <v>51</v>
      </c>
      <c r="AB412" s="234"/>
      <c r="AC412" s="233">
        <v>1</v>
      </c>
      <c r="AD412" s="233" t="s">
        <v>226</v>
      </c>
      <c r="AE412" s="233"/>
      <c r="AF412" s="233"/>
      <c r="AG412" s="233" t="s">
        <v>2499</v>
      </c>
      <c r="AH412" s="233">
        <v>5</v>
      </c>
      <c r="AI412" s="233">
        <v>85</v>
      </c>
      <c r="AJ412" s="233" t="s">
        <v>432</v>
      </c>
      <c r="AK412" s="233">
        <v>100</v>
      </c>
      <c r="AL412" s="233"/>
      <c r="AM412" s="233" t="s">
        <v>2500</v>
      </c>
      <c r="AN412" s="233"/>
      <c r="AO412" s="233"/>
      <c r="AP412" s="234" t="s">
        <v>1897</v>
      </c>
      <c r="AQ412" s="234" t="s">
        <v>408</v>
      </c>
    </row>
    <row r="413" spans="1:43">
      <c r="A413" s="6">
        <v>410</v>
      </c>
      <c r="B413" s="21" t="s">
        <v>2518</v>
      </c>
      <c r="C413" s="5" t="s">
        <v>2519</v>
      </c>
      <c r="D413" s="5" t="s">
        <v>2520</v>
      </c>
      <c r="E413" s="5" t="s">
        <v>2521</v>
      </c>
      <c r="F413" s="5" t="s">
        <v>2522</v>
      </c>
      <c r="G413" s="5" t="s">
        <v>2523</v>
      </c>
      <c r="H413" s="11" t="s">
        <v>2524</v>
      </c>
      <c r="I413" s="5"/>
      <c r="J413" s="5"/>
      <c r="K413" s="5"/>
      <c r="L413" s="5"/>
      <c r="M413" s="5"/>
      <c r="N413" s="5"/>
      <c r="O413" s="5"/>
      <c r="P413" s="11">
        <v>258.07100000000003</v>
      </c>
      <c r="Q413" s="5">
        <v>54.582599999999999</v>
      </c>
      <c r="R413" s="5">
        <f t="shared" si="6"/>
        <v>312.65360000000004</v>
      </c>
      <c r="S413" s="5" t="s">
        <v>2270</v>
      </c>
      <c r="T413" s="6">
        <v>410</v>
      </c>
      <c r="U413" s="255" t="s">
        <v>2525</v>
      </c>
      <c r="V413" s="232" t="s">
        <v>2519</v>
      </c>
      <c r="W413" s="232">
        <v>3843.3</v>
      </c>
      <c r="X413" s="232">
        <v>11190</v>
      </c>
      <c r="Y413" s="233" t="s">
        <v>49</v>
      </c>
      <c r="Z413" s="87" t="s">
        <v>50</v>
      </c>
      <c r="AA413" s="233" t="s">
        <v>51</v>
      </c>
      <c r="AB413" s="234"/>
      <c r="AC413" s="233">
        <v>1</v>
      </c>
      <c r="AD413" s="233" t="s">
        <v>226</v>
      </c>
      <c r="AE413" s="233"/>
      <c r="AF413" s="233"/>
      <c r="AG413" s="233" t="s">
        <v>2499</v>
      </c>
      <c r="AH413" s="233">
        <v>5</v>
      </c>
      <c r="AI413" s="233">
        <v>85</v>
      </c>
      <c r="AJ413" s="233" t="s">
        <v>432</v>
      </c>
      <c r="AK413" s="233">
        <v>100</v>
      </c>
      <c r="AL413" s="233"/>
      <c r="AM413" s="233" t="s">
        <v>2509</v>
      </c>
      <c r="AN413" s="233"/>
      <c r="AO413" s="233"/>
      <c r="AP413" s="234" t="s">
        <v>1897</v>
      </c>
      <c r="AQ413" s="234" t="s">
        <v>408</v>
      </c>
    </row>
    <row r="414" spans="1:43">
      <c r="A414" s="6">
        <v>411</v>
      </c>
      <c r="B414" s="21" t="s">
        <v>2526</v>
      </c>
      <c r="C414" s="5" t="s">
        <v>2527</v>
      </c>
      <c r="D414" s="5" t="s">
        <v>2528</v>
      </c>
      <c r="E414" s="5" t="s">
        <v>2529</v>
      </c>
      <c r="F414" s="5" t="s">
        <v>2530</v>
      </c>
      <c r="G414" s="5" t="s">
        <v>2531</v>
      </c>
      <c r="H414" s="11" t="s">
        <v>2532</v>
      </c>
      <c r="I414" s="5"/>
      <c r="J414" s="5"/>
      <c r="K414" s="5"/>
      <c r="L414" s="5"/>
      <c r="M414" s="5"/>
      <c r="N414" s="5"/>
      <c r="O414" s="5"/>
      <c r="P414" s="11">
        <v>258.00360000000001</v>
      </c>
      <c r="Q414" s="5">
        <v>54.465400000000002</v>
      </c>
      <c r="R414" s="5">
        <f t="shared" si="6"/>
        <v>312.46899999999999</v>
      </c>
      <c r="S414" s="5" t="s">
        <v>2462</v>
      </c>
      <c r="T414" s="6">
        <v>411</v>
      </c>
      <c r="U414" s="255" t="s">
        <v>2533</v>
      </c>
      <c r="V414" s="232" t="s">
        <v>2527</v>
      </c>
      <c r="W414" s="232">
        <v>3554.6</v>
      </c>
      <c r="X414" s="232">
        <v>4862.6000000000004</v>
      </c>
      <c r="Y414" s="233" t="s">
        <v>49</v>
      </c>
      <c r="Z414" s="87" t="s">
        <v>50</v>
      </c>
      <c r="AA414" s="233" t="s">
        <v>51</v>
      </c>
      <c r="AB414" s="234"/>
      <c r="AC414" s="233">
        <v>1</v>
      </c>
      <c r="AD414" s="233" t="s">
        <v>226</v>
      </c>
      <c r="AE414" s="233"/>
      <c r="AF414" s="233"/>
      <c r="AG414" s="233" t="s">
        <v>2534</v>
      </c>
      <c r="AH414" s="233">
        <v>5</v>
      </c>
      <c r="AI414" s="233">
        <v>85</v>
      </c>
      <c r="AJ414" s="233" t="s">
        <v>432</v>
      </c>
      <c r="AK414" s="233">
        <v>100</v>
      </c>
      <c r="AL414" s="233"/>
      <c r="AM414" s="233" t="s">
        <v>2535</v>
      </c>
      <c r="AN414" s="233"/>
      <c r="AO414" s="233"/>
      <c r="AP414" s="234" t="s">
        <v>1897</v>
      </c>
      <c r="AQ414" s="234" t="s">
        <v>408</v>
      </c>
    </row>
    <row r="415" spans="1:43">
      <c r="A415" s="6">
        <v>412</v>
      </c>
      <c r="B415" s="21" t="s">
        <v>2536</v>
      </c>
      <c r="C415" s="5" t="s">
        <v>2537</v>
      </c>
      <c r="D415" s="5" t="s">
        <v>2538</v>
      </c>
      <c r="E415" s="5" t="s">
        <v>2539</v>
      </c>
      <c r="F415" s="5" t="s">
        <v>2540</v>
      </c>
      <c r="G415" s="5" t="s">
        <v>2541</v>
      </c>
      <c r="H415" s="11" t="s">
        <v>2542</v>
      </c>
      <c r="I415" s="5"/>
      <c r="J415" s="5"/>
      <c r="K415" s="5"/>
      <c r="L415" s="5"/>
      <c r="M415" s="5"/>
      <c r="N415" s="5"/>
      <c r="O415" s="5"/>
      <c r="P415" s="11">
        <v>258.0034</v>
      </c>
      <c r="Q415" s="5">
        <v>54.456000000000003</v>
      </c>
      <c r="R415" s="5">
        <f t="shared" si="6"/>
        <v>312.45940000000002</v>
      </c>
      <c r="S415" s="5" t="s">
        <v>2462</v>
      </c>
      <c r="T415" s="6">
        <v>412</v>
      </c>
      <c r="U415" s="255" t="s">
        <v>2543</v>
      </c>
      <c r="V415" s="232" t="s">
        <v>2537</v>
      </c>
      <c r="W415" s="232">
        <v>3554.6</v>
      </c>
      <c r="X415" s="232">
        <v>5573.8</v>
      </c>
      <c r="Y415" s="233" t="s">
        <v>49</v>
      </c>
      <c r="Z415" s="87" t="s">
        <v>50</v>
      </c>
      <c r="AA415" s="233" t="s">
        <v>51</v>
      </c>
      <c r="AB415" s="234"/>
      <c r="AC415" s="233">
        <v>1</v>
      </c>
      <c r="AD415" s="233" t="s">
        <v>226</v>
      </c>
      <c r="AE415" s="233"/>
      <c r="AF415" s="233"/>
      <c r="AG415" s="233" t="s">
        <v>2534</v>
      </c>
      <c r="AH415" s="233">
        <v>5</v>
      </c>
      <c r="AI415" s="233">
        <v>85</v>
      </c>
      <c r="AJ415" s="233" t="s">
        <v>432</v>
      </c>
      <c r="AK415" s="233">
        <v>100</v>
      </c>
      <c r="AL415" s="233"/>
      <c r="AM415" s="233" t="s">
        <v>2544</v>
      </c>
      <c r="AN415" s="233"/>
      <c r="AO415" s="233"/>
      <c r="AP415" s="234" t="s">
        <v>1897</v>
      </c>
      <c r="AQ415" s="234" t="s">
        <v>408</v>
      </c>
    </row>
    <row r="416" spans="1:43">
      <c r="A416" s="6">
        <v>413</v>
      </c>
      <c r="B416" s="21" t="s">
        <v>2545</v>
      </c>
      <c r="C416" s="5" t="s">
        <v>2546</v>
      </c>
      <c r="D416" s="5" t="s">
        <v>2547</v>
      </c>
      <c r="E416" s="5" t="s">
        <v>2548</v>
      </c>
      <c r="F416" s="5" t="s">
        <v>2549</v>
      </c>
      <c r="G416" s="5" t="s">
        <v>2550</v>
      </c>
      <c r="H416" s="11" t="s">
        <v>2551</v>
      </c>
      <c r="I416" s="5"/>
      <c r="J416" s="5"/>
      <c r="K416" s="5"/>
      <c r="L416" s="5"/>
      <c r="M416" s="5"/>
      <c r="N416" s="5"/>
      <c r="O416" s="5"/>
      <c r="P416" s="11">
        <v>258.00459999999998</v>
      </c>
      <c r="Q416" s="5">
        <v>54.565100000000001</v>
      </c>
      <c r="R416" s="5">
        <f t="shared" si="6"/>
        <v>312.56970000000001</v>
      </c>
      <c r="S416" s="5" t="s">
        <v>317</v>
      </c>
      <c r="T416" s="6">
        <v>413</v>
      </c>
      <c r="U416" s="255" t="s">
        <v>2552</v>
      </c>
      <c r="V416" s="232" t="s">
        <v>2546</v>
      </c>
      <c r="W416" s="232">
        <v>3661.4</v>
      </c>
      <c r="X416" s="232">
        <v>10380.6</v>
      </c>
      <c r="Y416" s="233" t="s">
        <v>49</v>
      </c>
      <c r="Z416" s="87" t="s">
        <v>50</v>
      </c>
      <c r="AA416" s="233" t="s">
        <v>51</v>
      </c>
      <c r="AB416" s="234"/>
      <c r="AC416" s="233">
        <v>1</v>
      </c>
      <c r="AD416" s="233" t="s">
        <v>226</v>
      </c>
      <c r="AE416" s="233"/>
      <c r="AF416" s="233"/>
      <c r="AG416" s="233" t="s">
        <v>2534</v>
      </c>
      <c r="AH416" s="233">
        <v>5</v>
      </c>
      <c r="AI416" s="233">
        <v>85</v>
      </c>
      <c r="AJ416" s="233" t="s">
        <v>432</v>
      </c>
      <c r="AK416" s="233">
        <v>100</v>
      </c>
      <c r="AL416" s="233"/>
      <c r="AM416" s="233" t="s">
        <v>2535</v>
      </c>
      <c r="AN416" s="233"/>
      <c r="AO416" s="233"/>
      <c r="AP416" s="234" t="s">
        <v>1897</v>
      </c>
      <c r="AQ416" s="234" t="s">
        <v>408</v>
      </c>
    </row>
    <row r="417" spans="1:43">
      <c r="A417" s="6">
        <v>414</v>
      </c>
      <c r="B417" s="21" t="s">
        <v>2553</v>
      </c>
      <c r="C417" s="5" t="s">
        <v>2554</v>
      </c>
      <c r="D417" s="5" t="s">
        <v>2555</v>
      </c>
      <c r="E417" s="5" t="s">
        <v>2556</v>
      </c>
      <c r="F417" s="5" t="s">
        <v>2557</v>
      </c>
      <c r="G417" s="5" t="s">
        <v>2558</v>
      </c>
      <c r="H417" s="11" t="s">
        <v>2559</v>
      </c>
      <c r="I417" s="5"/>
      <c r="J417" s="5"/>
      <c r="K417" s="5"/>
      <c r="L417" s="5"/>
      <c r="M417" s="5"/>
      <c r="N417" s="5"/>
      <c r="O417" s="5"/>
      <c r="P417" s="11">
        <v>258.00810000000001</v>
      </c>
      <c r="Q417" s="5">
        <v>54.520699999999998</v>
      </c>
      <c r="R417" s="5">
        <f t="shared" si="6"/>
        <v>312.52879999999999</v>
      </c>
      <c r="S417" s="5" t="s">
        <v>317</v>
      </c>
      <c r="T417" s="6">
        <v>414</v>
      </c>
      <c r="U417" s="255" t="s">
        <v>2560</v>
      </c>
      <c r="V417" s="232" t="s">
        <v>2554</v>
      </c>
      <c r="W417" s="232">
        <v>3161</v>
      </c>
      <c r="X417" s="232">
        <v>10380.6</v>
      </c>
      <c r="Y417" s="233" t="s">
        <v>49</v>
      </c>
      <c r="Z417" s="87" t="s">
        <v>50</v>
      </c>
      <c r="AA417" s="233" t="s">
        <v>51</v>
      </c>
      <c r="AB417" s="234"/>
      <c r="AC417" s="233">
        <v>1</v>
      </c>
      <c r="AD417" s="233" t="s">
        <v>226</v>
      </c>
      <c r="AE417" s="233"/>
      <c r="AF417" s="233"/>
      <c r="AG417" s="233" t="s">
        <v>2534</v>
      </c>
      <c r="AH417" s="233">
        <v>5</v>
      </c>
      <c r="AI417" s="233">
        <v>85</v>
      </c>
      <c r="AJ417" s="233" t="s">
        <v>432</v>
      </c>
      <c r="AK417" s="233">
        <v>100</v>
      </c>
      <c r="AL417" s="233"/>
      <c r="AM417" s="233" t="s">
        <v>2544</v>
      </c>
      <c r="AN417" s="233"/>
      <c r="AO417" s="233"/>
      <c r="AP417" s="234" t="s">
        <v>1897</v>
      </c>
      <c r="AQ417" s="234" t="s">
        <v>408</v>
      </c>
    </row>
    <row r="418" spans="1:43">
      <c r="A418" s="6">
        <v>415</v>
      </c>
      <c r="B418" s="21" t="s">
        <v>2561</v>
      </c>
      <c r="C418" s="5" t="s">
        <v>2562</v>
      </c>
      <c r="D418" s="5" t="s">
        <v>2563</v>
      </c>
      <c r="E418" s="5" t="s">
        <v>2564</v>
      </c>
      <c r="F418" s="5" t="s">
        <v>2565</v>
      </c>
      <c r="G418" s="5" t="s">
        <v>2566</v>
      </c>
      <c r="H418" s="11" t="s">
        <v>2567</v>
      </c>
      <c r="I418" s="5"/>
      <c r="J418" s="5"/>
      <c r="K418" s="5"/>
      <c r="L418" s="5"/>
      <c r="M418" s="5"/>
      <c r="N418" s="5"/>
      <c r="O418" s="5"/>
      <c r="P418" s="11">
        <v>258.06819999999999</v>
      </c>
      <c r="Q418" s="5">
        <v>54.633000000000003</v>
      </c>
      <c r="R418" s="5">
        <f t="shared" si="6"/>
        <v>312.70119999999997</v>
      </c>
      <c r="S418" s="5" t="s">
        <v>2568</v>
      </c>
      <c r="T418" s="6">
        <v>415</v>
      </c>
      <c r="U418" s="255" t="s">
        <v>2569</v>
      </c>
      <c r="V418" s="232" t="s">
        <v>2562</v>
      </c>
      <c r="W418" s="232">
        <v>2182.9</v>
      </c>
      <c r="X418" s="232">
        <v>8418.6</v>
      </c>
      <c r="Y418" s="233" t="s">
        <v>49</v>
      </c>
      <c r="Z418" s="87" t="s">
        <v>50</v>
      </c>
      <c r="AA418" s="233" t="s">
        <v>51</v>
      </c>
      <c r="AB418" s="234"/>
      <c r="AC418" s="233">
        <v>1</v>
      </c>
      <c r="AD418" s="233" t="s">
        <v>226</v>
      </c>
      <c r="AE418" s="233"/>
      <c r="AF418" s="233"/>
      <c r="AG418" s="233" t="s">
        <v>2570</v>
      </c>
      <c r="AH418" s="233">
        <v>5</v>
      </c>
      <c r="AI418" s="233">
        <v>85</v>
      </c>
      <c r="AJ418" s="233" t="s">
        <v>432</v>
      </c>
      <c r="AK418" s="233">
        <v>100</v>
      </c>
      <c r="AL418" s="233"/>
      <c r="AM418" s="233" t="s">
        <v>2571</v>
      </c>
      <c r="AN418" s="233"/>
      <c r="AO418" s="233"/>
      <c r="AP418" s="234" t="s">
        <v>1897</v>
      </c>
      <c r="AQ418" s="234" t="s">
        <v>408</v>
      </c>
    </row>
    <row r="419" spans="1:43">
      <c r="A419" s="6">
        <v>416</v>
      </c>
      <c r="B419" s="21" t="s">
        <v>2572</v>
      </c>
      <c r="C419" s="5" t="s">
        <v>2573</v>
      </c>
      <c r="D419" s="5" t="s">
        <v>2574</v>
      </c>
      <c r="E419" s="5" t="s">
        <v>2575</v>
      </c>
      <c r="F419" s="5" t="s">
        <v>2576</v>
      </c>
      <c r="G419" s="5" t="s">
        <v>2577</v>
      </c>
      <c r="H419" s="11" t="s">
        <v>2578</v>
      </c>
      <c r="I419" s="5"/>
      <c r="J419" s="5"/>
      <c r="K419" s="5"/>
      <c r="L419" s="5"/>
      <c r="M419" s="5"/>
      <c r="N419" s="5"/>
      <c r="O419" s="5"/>
      <c r="P419" s="11">
        <v>258.04649999999998</v>
      </c>
      <c r="Q419" s="5">
        <v>54.626600000000003</v>
      </c>
      <c r="R419" s="5">
        <f t="shared" si="6"/>
        <v>312.67309999999998</v>
      </c>
      <c r="S419" s="5" t="s">
        <v>2568</v>
      </c>
      <c r="T419" s="6">
        <v>416</v>
      </c>
      <c r="U419" s="255" t="s">
        <v>2579</v>
      </c>
      <c r="V419" s="232" t="s">
        <v>2573</v>
      </c>
      <c r="W419" s="232">
        <v>2182.9</v>
      </c>
      <c r="X419" s="232">
        <v>9129.7999999999993</v>
      </c>
      <c r="Y419" s="233" t="s">
        <v>49</v>
      </c>
      <c r="Z419" s="87" t="s">
        <v>50</v>
      </c>
      <c r="AA419" s="233" t="s">
        <v>51</v>
      </c>
      <c r="AB419" s="234"/>
      <c r="AC419" s="233">
        <v>1</v>
      </c>
      <c r="AD419" s="233" t="s">
        <v>226</v>
      </c>
      <c r="AE419" s="233"/>
      <c r="AF419" s="233"/>
      <c r="AG419" s="233" t="s">
        <v>2570</v>
      </c>
      <c r="AH419" s="233">
        <v>5</v>
      </c>
      <c r="AI419" s="233">
        <v>85</v>
      </c>
      <c r="AJ419" s="233" t="s">
        <v>432</v>
      </c>
      <c r="AK419" s="233">
        <v>100</v>
      </c>
      <c r="AL419" s="233"/>
      <c r="AM419" s="233" t="s">
        <v>2580</v>
      </c>
      <c r="AN419" s="233"/>
      <c r="AO419" s="233"/>
      <c r="AP419" s="234" t="s">
        <v>1897</v>
      </c>
      <c r="AQ419" s="234" t="s">
        <v>408</v>
      </c>
    </row>
    <row r="420" spans="1:43">
      <c r="A420" s="6">
        <v>417</v>
      </c>
      <c r="B420" s="21" t="s">
        <v>2581</v>
      </c>
      <c r="C420" s="5" t="s">
        <v>2582</v>
      </c>
      <c r="D420" s="5" t="s">
        <v>2583</v>
      </c>
      <c r="E420" s="5" t="s">
        <v>2584</v>
      </c>
      <c r="F420" s="5" t="s">
        <v>2585</v>
      </c>
      <c r="G420" s="5" t="s">
        <v>2586</v>
      </c>
      <c r="H420" s="11" t="s">
        <v>2587</v>
      </c>
      <c r="I420" s="5"/>
      <c r="J420" s="5"/>
      <c r="K420" s="5"/>
      <c r="L420" s="5"/>
      <c r="M420" s="5"/>
      <c r="N420" s="5"/>
      <c r="O420" s="5"/>
      <c r="P420" s="11">
        <v>258.00319999999999</v>
      </c>
      <c r="Q420" s="5">
        <v>54.673699999999997</v>
      </c>
      <c r="R420" s="5">
        <f t="shared" si="6"/>
        <v>312.67689999999999</v>
      </c>
      <c r="S420" s="5" t="s">
        <v>465</v>
      </c>
      <c r="T420" s="6">
        <v>417</v>
      </c>
      <c r="U420" s="255" t="s">
        <v>2588</v>
      </c>
      <c r="V420" s="232" t="s">
        <v>2582</v>
      </c>
      <c r="W420" s="232">
        <v>2979.2</v>
      </c>
      <c r="X420" s="232">
        <v>11190</v>
      </c>
      <c r="Y420" s="233" t="s">
        <v>49</v>
      </c>
      <c r="Z420" s="87" t="s">
        <v>50</v>
      </c>
      <c r="AA420" s="233" t="s">
        <v>51</v>
      </c>
      <c r="AB420" s="234"/>
      <c r="AC420" s="233">
        <v>1</v>
      </c>
      <c r="AD420" s="233" t="s">
        <v>226</v>
      </c>
      <c r="AE420" s="233"/>
      <c r="AF420" s="233"/>
      <c r="AG420" s="233" t="s">
        <v>2570</v>
      </c>
      <c r="AH420" s="233">
        <v>5</v>
      </c>
      <c r="AI420" s="233">
        <v>85</v>
      </c>
      <c r="AJ420" s="233" t="s">
        <v>432</v>
      </c>
      <c r="AK420" s="233">
        <v>100</v>
      </c>
      <c r="AL420" s="233"/>
      <c r="AM420" s="233" t="s">
        <v>2571</v>
      </c>
      <c r="AN420" s="233"/>
      <c r="AO420" s="233"/>
      <c r="AP420" s="234" t="s">
        <v>1897</v>
      </c>
      <c r="AQ420" s="234" t="s">
        <v>408</v>
      </c>
    </row>
    <row r="421" spans="1:43">
      <c r="A421" s="6">
        <v>418</v>
      </c>
      <c r="B421" s="21" t="s">
        <v>2589</v>
      </c>
      <c r="C421" s="5" t="s">
        <v>2590</v>
      </c>
      <c r="D421" s="5" t="s">
        <v>2591</v>
      </c>
      <c r="E421" s="5" t="s">
        <v>2592</v>
      </c>
      <c r="F421" s="5" t="s">
        <v>2593</v>
      </c>
      <c r="G421" s="5" t="s">
        <v>2594</v>
      </c>
      <c r="H421" s="11" t="s">
        <v>2595</v>
      </c>
      <c r="I421" s="5"/>
      <c r="J421" s="5"/>
      <c r="K421" s="5"/>
      <c r="L421" s="5"/>
      <c r="M421" s="5"/>
      <c r="N421" s="5"/>
      <c r="O421" s="5"/>
      <c r="P421" s="11">
        <v>258.00330000000002</v>
      </c>
      <c r="Q421" s="5">
        <v>54.677599999999998</v>
      </c>
      <c r="R421" s="5">
        <f t="shared" si="6"/>
        <v>312.68090000000001</v>
      </c>
      <c r="S421" s="5" t="s">
        <v>465</v>
      </c>
      <c r="T421" s="6">
        <v>418</v>
      </c>
      <c r="U421" s="255" t="s">
        <v>2596</v>
      </c>
      <c r="V421" s="232" t="s">
        <v>2590</v>
      </c>
      <c r="W421" s="232">
        <v>2478.8000000000002</v>
      </c>
      <c r="X421" s="232">
        <v>11190</v>
      </c>
      <c r="Y421" s="233" t="s">
        <v>49</v>
      </c>
      <c r="Z421" s="87" t="s">
        <v>50</v>
      </c>
      <c r="AA421" s="233" t="s">
        <v>51</v>
      </c>
      <c r="AB421" s="234"/>
      <c r="AC421" s="233">
        <v>1</v>
      </c>
      <c r="AD421" s="233" t="s">
        <v>226</v>
      </c>
      <c r="AE421" s="233"/>
      <c r="AF421" s="233"/>
      <c r="AG421" s="233" t="s">
        <v>2570</v>
      </c>
      <c r="AH421" s="233">
        <v>5</v>
      </c>
      <c r="AI421" s="233">
        <v>85</v>
      </c>
      <c r="AJ421" s="233" t="s">
        <v>432</v>
      </c>
      <c r="AK421" s="233">
        <v>100</v>
      </c>
      <c r="AL421" s="233"/>
      <c r="AM421" s="233" t="s">
        <v>2580</v>
      </c>
      <c r="AN421" s="233"/>
      <c r="AO421" s="233"/>
      <c r="AP421" s="234" t="s">
        <v>1897</v>
      </c>
      <c r="AQ421" s="234" t="s">
        <v>408</v>
      </c>
    </row>
    <row r="422" spans="1:43">
      <c r="A422" s="6">
        <v>419</v>
      </c>
      <c r="B422" s="21" t="s">
        <v>2597</v>
      </c>
      <c r="C422" s="5" t="s">
        <v>2598</v>
      </c>
      <c r="D422" s="5" t="s">
        <v>2599</v>
      </c>
      <c r="E422" s="5" t="s">
        <v>2600</v>
      </c>
      <c r="F422" s="5" t="s">
        <v>2601</v>
      </c>
      <c r="G422" s="5" t="s">
        <v>2602</v>
      </c>
      <c r="H422" s="11" t="s">
        <v>2603</v>
      </c>
      <c r="I422" s="5"/>
      <c r="J422" s="5"/>
      <c r="K422" s="5"/>
      <c r="L422" s="5"/>
      <c r="M422" s="5"/>
      <c r="N422" s="5"/>
      <c r="O422" s="5"/>
      <c r="P422" s="11">
        <v>258.041</v>
      </c>
      <c r="Q422" s="5">
        <v>54.618600000000001</v>
      </c>
      <c r="R422" s="5">
        <f t="shared" si="6"/>
        <v>312.65960000000001</v>
      </c>
      <c r="S422" s="5" t="s">
        <v>2003</v>
      </c>
      <c r="T422" s="6">
        <v>419</v>
      </c>
      <c r="U422" s="255" t="s">
        <v>2604</v>
      </c>
      <c r="V422" s="232" t="s">
        <v>2598</v>
      </c>
      <c r="W422" s="232">
        <v>2182.9</v>
      </c>
      <c r="X422" s="232">
        <v>6285</v>
      </c>
      <c r="Y422" s="233" t="s">
        <v>49</v>
      </c>
      <c r="Z422" s="87" t="s">
        <v>50</v>
      </c>
      <c r="AA422" s="233" t="s">
        <v>51</v>
      </c>
      <c r="AB422" s="234"/>
      <c r="AC422" s="233">
        <v>1</v>
      </c>
      <c r="AD422" s="233" t="s">
        <v>226</v>
      </c>
      <c r="AE422" s="233"/>
      <c r="AF422" s="233"/>
      <c r="AG422" s="233" t="s">
        <v>2605</v>
      </c>
      <c r="AH422" s="233">
        <v>5</v>
      </c>
      <c r="AI422" s="233">
        <v>85</v>
      </c>
      <c r="AJ422" s="233" t="s">
        <v>432</v>
      </c>
      <c r="AK422" s="233">
        <v>100</v>
      </c>
      <c r="AL422" s="233"/>
      <c r="AM422" s="233" t="s">
        <v>2606</v>
      </c>
      <c r="AN422" s="233"/>
      <c r="AO422" s="233"/>
      <c r="AP422" s="234" t="s">
        <v>1897</v>
      </c>
      <c r="AQ422" s="234" t="s">
        <v>408</v>
      </c>
    </row>
    <row r="423" spans="1:43">
      <c r="A423" s="6">
        <v>420</v>
      </c>
      <c r="B423" s="21" t="s">
        <v>2607</v>
      </c>
      <c r="C423" s="5" t="s">
        <v>2608</v>
      </c>
      <c r="D423" s="5" t="s">
        <v>2609</v>
      </c>
      <c r="E423" s="5" t="s">
        <v>2610</v>
      </c>
      <c r="F423" s="5" t="s">
        <v>2611</v>
      </c>
      <c r="G423" s="5" t="s">
        <v>2612</v>
      </c>
      <c r="H423" s="11" t="s">
        <v>2613</v>
      </c>
      <c r="I423" s="5"/>
      <c r="J423" s="5"/>
      <c r="K423" s="5"/>
      <c r="L423" s="5"/>
      <c r="M423" s="5"/>
      <c r="N423" s="5"/>
      <c r="O423" s="5"/>
      <c r="P423" s="11">
        <v>258.03930000000003</v>
      </c>
      <c r="Q423" s="5">
        <v>54.623399999999997</v>
      </c>
      <c r="R423" s="5">
        <f t="shared" si="6"/>
        <v>312.66270000000003</v>
      </c>
      <c r="S423" s="5" t="s">
        <v>2003</v>
      </c>
      <c r="T423" s="6">
        <v>420</v>
      </c>
      <c r="U423" s="255" t="s">
        <v>2614</v>
      </c>
      <c r="V423" s="232" t="s">
        <v>2608</v>
      </c>
      <c r="W423" s="232">
        <v>2182.9</v>
      </c>
      <c r="X423" s="232">
        <v>6996.2</v>
      </c>
      <c r="Y423" s="233" t="s">
        <v>49</v>
      </c>
      <c r="Z423" s="87" t="s">
        <v>50</v>
      </c>
      <c r="AA423" s="233" t="s">
        <v>51</v>
      </c>
      <c r="AB423" s="234"/>
      <c r="AC423" s="233">
        <v>1</v>
      </c>
      <c r="AD423" s="233" t="s">
        <v>226</v>
      </c>
      <c r="AE423" s="233"/>
      <c r="AF423" s="233"/>
      <c r="AG423" s="233" t="s">
        <v>2605</v>
      </c>
      <c r="AH423" s="233">
        <v>5</v>
      </c>
      <c r="AI423" s="233">
        <v>85</v>
      </c>
      <c r="AJ423" s="233" t="s">
        <v>432</v>
      </c>
      <c r="AK423" s="233">
        <v>100</v>
      </c>
      <c r="AL423" s="233"/>
      <c r="AM423" s="233" t="s">
        <v>2615</v>
      </c>
      <c r="AN423" s="233"/>
      <c r="AO423" s="233"/>
      <c r="AP423" s="234" t="s">
        <v>1897</v>
      </c>
      <c r="AQ423" s="234" t="s">
        <v>408</v>
      </c>
    </row>
    <row r="424" spans="1:43">
      <c r="A424" s="6">
        <v>421</v>
      </c>
      <c r="B424" s="21" t="s">
        <v>2616</v>
      </c>
      <c r="C424" s="5" t="s">
        <v>2617</v>
      </c>
      <c r="D424" s="5" t="s">
        <v>2618</v>
      </c>
      <c r="E424" s="5" t="s">
        <v>2619</v>
      </c>
      <c r="F424" s="5" t="s">
        <v>2620</v>
      </c>
      <c r="G424" s="5" t="s">
        <v>2621</v>
      </c>
      <c r="H424" s="11" t="s">
        <v>2622</v>
      </c>
      <c r="I424" s="5"/>
      <c r="J424" s="5"/>
      <c r="K424" s="5"/>
      <c r="L424" s="5"/>
      <c r="M424" s="5"/>
      <c r="N424" s="5"/>
      <c r="O424" s="5"/>
      <c r="P424" s="11">
        <v>258.0247</v>
      </c>
      <c r="Q424" s="5">
        <v>54.9953</v>
      </c>
      <c r="R424" s="5">
        <f t="shared" si="6"/>
        <v>313.02</v>
      </c>
      <c r="S424" s="5" t="s">
        <v>2270</v>
      </c>
      <c r="T424" s="6">
        <v>421</v>
      </c>
      <c r="U424" s="255" t="s">
        <v>2623</v>
      </c>
      <c r="V424" s="232" t="s">
        <v>2617</v>
      </c>
      <c r="W424" s="232">
        <v>2297</v>
      </c>
      <c r="X424" s="232">
        <v>10380.6</v>
      </c>
      <c r="Y424" s="233" t="s">
        <v>49</v>
      </c>
      <c r="Z424" s="87" t="s">
        <v>50</v>
      </c>
      <c r="AA424" s="233" t="s">
        <v>51</v>
      </c>
      <c r="AB424" s="234"/>
      <c r="AC424" s="233">
        <v>1</v>
      </c>
      <c r="AD424" s="233" t="s">
        <v>226</v>
      </c>
      <c r="AE424" s="233"/>
      <c r="AF424" s="233"/>
      <c r="AG424" s="233" t="s">
        <v>2605</v>
      </c>
      <c r="AH424" s="233">
        <v>5</v>
      </c>
      <c r="AI424" s="233">
        <v>85</v>
      </c>
      <c r="AJ424" s="233" t="s">
        <v>432</v>
      </c>
      <c r="AK424" s="233">
        <v>100</v>
      </c>
      <c r="AL424" s="233"/>
      <c r="AM424" s="233" t="s">
        <v>2606</v>
      </c>
      <c r="AN424" s="233"/>
      <c r="AO424" s="233"/>
      <c r="AP424" s="234" t="s">
        <v>1897</v>
      </c>
      <c r="AQ424" s="234" t="s">
        <v>408</v>
      </c>
    </row>
    <row r="425" spans="1:43">
      <c r="A425" s="6">
        <v>422</v>
      </c>
      <c r="B425" s="21" t="s">
        <v>2624</v>
      </c>
      <c r="C425" s="5" t="s">
        <v>2625</v>
      </c>
      <c r="D425" s="5" t="s">
        <v>2626</v>
      </c>
      <c r="E425" s="5" t="s">
        <v>2627</v>
      </c>
      <c r="F425" s="5" t="s">
        <v>2628</v>
      </c>
      <c r="G425" s="5" t="s">
        <v>2629</v>
      </c>
      <c r="H425" s="11" t="s">
        <v>2630</v>
      </c>
      <c r="I425" s="5"/>
      <c r="J425" s="5"/>
      <c r="K425" s="5"/>
      <c r="L425" s="5"/>
      <c r="M425" s="5"/>
      <c r="N425" s="5"/>
      <c r="O425" s="5"/>
      <c r="P425" s="11">
        <v>258.02280000000002</v>
      </c>
      <c r="Q425" s="5">
        <v>54.996600000000001</v>
      </c>
      <c r="R425" s="5">
        <f t="shared" si="6"/>
        <v>313.01940000000002</v>
      </c>
      <c r="S425" s="5" t="s">
        <v>2270</v>
      </c>
      <c r="T425" s="6">
        <v>422</v>
      </c>
      <c r="U425" s="255" t="s">
        <v>2631</v>
      </c>
      <c r="V425" s="232" t="s">
        <v>2625</v>
      </c>
      <c r="W425" s="232">
        <v>1796.6</v>
      </c>
      <c r="X425" s="232">
        <v>10380.6</v>
      </c>
      <c r="Y425" s="233" t="s">
        <v>49</v>
      </c>
      <c r="Z425" s="87" t="s">
        <v>50</v>
      </c>
      <c r="AA425" s="233" t="s">
        <v>51</v>
      </c>
      <c r="AB425" s="234"/>
      <c r="AC425" s="233">
        <v>1</v>
      </c>
      <c r="AD425" s="233" t="s">
        <v>226</v>
      </c>
      <c r="AE425" s="233"/>
      <c r="AF425" s="233"/>
      <c r="AG425" s="233" t="s">
        <v>2605</v>
      </c>
      <c r="AH425" s="233">
        <v>5</v>
      </c>
      <c r="AI425" s="233">
        <v>85</v>
      </c>
      <c r="AJ425" s="233" t="s">
        <v>432</v>
      </c>
      <c r="AK425" s="233">
        <v>100</v>
      </c>
      <c r="AL425" s="233"/>
      <c r="AM425" s="233" t="s">
        <v>2615</v>
      </c>
      <c r="AN425" s="233"/>
      <c r="AO425" s="233"/>
      <c r="AP425" s="234" t="s">
        <v>1897</v>
      </c>
      <c r="AQ425" s="234" t="s">
        <v>408</v>
      </c>
    </row>
    <row r="426" spans="1:43">
      <c r="A426" s="6">
        <v>423</v>
      </c>
      <c r="B426" s="21" t="s">
        <v>2632</v>
      </c>
      <c r="C426" s="5" t="s">
        <v>2633</v>
      </c>
      <c r="D426" s="5" t="s">
        <v>2634</v>
      </c>
      <c r="E426" s="5" t="s">
        <v>2635</v>
      </c>
      <c r="F426" s="5" t="s">
        <v>2636</v>
      </c>
      <c r="G426" s="5" t="s">
        <v>2637</v>
      </c>
      <c r="H426" s="11" t="s">
        <v>2638</v>
      </c>
      <c r="I426" s="5"/>
      <c r="J426" s="5"/>
      <c r="K426" s="5"/>
      <c r="L426" s="5"/>
      <c r="M426" s="5"/>
      <c r="N426" s="5"/>
      <c r="O426" s="5"/>
      <c r="P426" s="11">
        <v>258.05180000000001</v>
      </c>
      <c r="Q426" s="5">
        <v>54.887999999999998</v>
      </c>
      <c r="R426" s="5">
        <f t="shared" si="6"/>
        <v>312.93979999999999</v>
      </c>
      <c r="S426" s="5" t="s">
        <v>2306</v>
      </c>
      <c r="T426" s="6">
        <v>423</v>
      </c>
      <c r="U426" s="255" t="s">
        <v>2639</v>
      </c>
      <c r="V426" s="232" t="s">
        <v>2633</v>
      </c>
      <c r="W426" s="232">
        <v>825.6</v>
      </c>
      <c r="X426" s="232">
        <v>6996.2</v>
      </c>
      <c r="Y426" s="233" t="s">
        <v>49</v>
      </c>
      <c r="Z426" s="87" t="s">
        <v>50</v>
      </c>
      <c r="AA426" s="233" t="s">
        <v>51</v>
      </c>
      <c r="AB426" s="234"/>
      <c r="AC426" s="233">
        <v>1</v>
      </c>
      <c r="AD426" s="233" t="s">
        <v>226</v>
      </c>
      <c r="AE426" s="233"/>
      <c r="AF426" s="233"/>
      <c r="AG426" s="233" t="s">
        <v>2640</v>
      </c>
      <c r="AH426" s="233">
        <v>5</v>
      </c>
      <c r="AI426" s="233">
        <v>85</v>
      </c>
      <c r="AJ426" s="233" t="s">
        <v>432</v>
      </c>
      <c r="AK426" s="233">
        <v>100</v>
      </c>
      <c r="AL426" s="233"/>
      <c r="AM426" s="233" t="s">
        <v>2641</v>
      </c>
      <c r="AN426" s="233"/>
      <c r="AO426" s="233"/>
      <c r="AP426" s="234" t="s">
        <v>1897</v>
      </c>
      <c r="AQ426" s="234" t="s">
        <v>408</v>
      </c>
    </row>
    <row r="427" spans="1:43">
      <c r="A427" s="6">
        <v>424</v>
      </c>
      <c r="B427" s="21" t="s">
        <v>2642</v>
      </c>
      <c r="C427" s="5" t="s">
        <v>2643</v>
      </c>
      <c r="D427" s="5" t="s">
        <v>2644</v>
      </c>
      <c r="E427" s="5" t="s">
        <v>2645</v>
      </c>
      <c r="F427" s="5" t="s">
        <v>2646</v>
      </c>
      <c r="G427" s="5" t="s">
        <v>2647</v>
      </c>
      <c r="H427" s="11" t="s">
        <v>2648</v>
      </c>
      <c r="I427" s="5"/>
      <c r="J427" s="5"/>
      <c r="K427" s="5"/>
      <c r="L427" s="5"/>
      <c r="M427" s="5"/>
      <c r="N427" s="5"/>
      <c r="O427" s="5"/>
      <c r="P427" s="11">
        <v>258.05110000000002</v>
      </c>
      <c r="Q427" s="5">
        <v>54.871000000000002</v>
      </c>
      <c r="R427" s="5">
        <f t="shared" si="6"/>
        <v>312.9221</v>
      </c>
      <c r="S427" s="5" t="s">
        <v>2306</v>
      </c>
      <c r="T427" s="6">
        <v>424</v>
      </c>
      <c r="U427" s="255" t="s">
        <v>2649</v>
      </c>
      <c r="V427" s="232" t="s">
        <v>2643</v>
      </c>
      <c r="W427" s="232">
        <v>825.6</v>
      </c>
      <c r="X427" s="232">
        <v>7707.4</v>
      </c>
      <c r="Y427" s="233" t="s">
        <v>49</v>
      </c>
      <c r="Z427" s="87" t="s">
        <v>50</v>
      </c>
      <c r="AA427" s="233" t="s">
        <v>51</v>
      </c>
      <c r="AB427" s="234"/>
      <c r="AC427" s="233">
        <v>1</v>
      </c>
      <c r="AD427" s="233" t="s">
        <v>226</v>
      </c>
      <c r="AE427" s="233"/>
      <c r="AF427" s="233"/>
      <c r="AG427" s="233" t="s">
        <v>2640</v>
      </c>
      <c r="AH427" s="233">
        <v>5</v>
      </c>
      <c r="AI427" s="233">
        <v>85</v>
      </c>
      <c r="AJ427" s="233" t="s">
        <v>432</v>
      </c>
      <c r="AK427" s="233">
        <v>100</v>
      </c>
      <c r="AL427" s="233"/>
      <c r="AM427" s="233" t="s">
        <v>2650</v>
      </c>
      <c r="AN427" s="233"/>
      <c r="AO427" s="233"/>
      <c r="AP427" s="234" t="s">
        <v>1897</v>
      </c>
      <c r="AQ427" s="234" t="s">
        <v>408</v>
      </c>
    </row>
    <row r="428" spans="1:43">
      <c r="A428" s="6">
        <v>425</v>
      </c>
      <c r="B428" s="21" t="s">
        <v>2651</v>
      </c>
      <c r="C428" s="5" t="s">
        <v>2652</v>
      </c>
      <c r="D428" s="5" t="s">
        <v>2653</v>
      </c>
      <c r="E428" s="5" t="s">
        <v>2654</v>
      </c>
      <c r="F428" s="5" t="s">
        <v>2655</v>
      </c>
      <c r="G428" s="5" t="s">
        <v>2656</v>
      </c>
      <c r="H428" s="11" t="s">
        <v>2657</v>
      </c>
      <c r="I428" s="5"/>
      <c r="J428" s="5"/>
      <c r="K428" s="5"/>
      <c r="L428" s="5"/>
      <c r="M428" s="5"/>
      <c r="N428" s="5"/>
      <c r="O428" s="5"/>
      <c r="P428" s="11">
        <v>258.08109999999999</v>
      </c>
      <c r="Q428" s="5">
        <v>54.514499999999998</v>
      </c>
      <c r="R428" s="5">
        <f t="shared" si="6"/>
        <v>312.59559999999999</v>
      </c>
      <c r="S428" s="5" t="s">
        <v>317</v>
      </c>
      <c r="T428" s="6">
        <v>425</v>
      </c>
      <c r="U428" s="255" t="s">
        <v>2658</v>
      </c>
      <c r="V428" s="232" t="s">
        <v>2652</v>
      </c>
      <c r="W428" s="232">
        <v>1614.7</v>
      </c>
      <c r="X428" s="232">
        <v>11190</v>
      </c>
      <c r="Y428" s="233" t="s">
        <v>49</v>
      </c>
      <c r="Z428" s="87" t="s">
        <v>50</v>
      </c>
      <c r="AA428" s="233" t="s">
        <v>51</v>
      </c>
      <c r="AB428" s="234"/>
      <c r="AC428" s="233">
        <v>1</v>
      </c>
      <c r="AD428" s="233" t="s">
        <v>226</v>
      </c>
      <c r="AE428" s="233"/>
      <c r="AF428" s="233"/>
      <c r="AG428" s="233" t="s">
        <v>2640</v>
      </c>
      <c r="AH428" s="233">
        <v>5</v>
      </c>
      <c r="AI428" s="233">
        <v>85</v>
      </c>
      <c r="AJ428" s="233" t="s">
        <v>432</v>
      </c>
      <c r="AK428" s="233">
        <v>100</v>
      </c>
      <c r="AL428" s="233"/>
      <c r="AM428" s="233" t="s">
        <v>2641</v>
      </c>
      <c r="AN428" s="233"/>
      <c r="AO428" s="233"/>
      <c r="AP428" s="234" t="s">
        <v>1897</v>
      </c>
      <c r="AQ428" s="234" t="s">
        <v>408</v>
      </c>
    </row>
    <row r="429" spans="1:43">
      <c r="A429" s="6">
        <v>426</v>
      </c>
      <c r="B429" s="21" t="s">
        <v>2659</v>
      </c>
      <c r="C429" s="5" t="s">
        <v>2660</v>
      </c>
      <c r="D429" s="5" t="s">
        <v>2661</v>
      </c>
      <c r="E429" s="5" t="s">
        <v>2662</v>
      </c>
      <c r="F429" s="5" t="s">
        <v>2663</v>
      </c>
      <c r="G429" s="5" t="s">
        <v>2664</v>
      </c>
      <c r="H429" s="11" t="s">
        <v>2665</v>
      </c>
      <c r="I429" s="5"/>
      <c r="J429" s="5"/>
      <c r="K429" s="5"/>
      <c r="L429" s="5"/>
      <c r="M429" s="5"/>
      <c r="N429" s="5"/>
      <c r="O429" s="5"/>
      <c r="P429" s="11">
        <v>258.03480000000002</v>
      </c>
      <c r="Q429" s="5">
        <v>54.493499999999997</v>
      </c>
      <c r="R429" s="5">
        <f t="shared" si="6"/>
        <v>312.5283</v>
      </c>
      <c r="S429" s="5" t="s">
        <v>317</v>
      </c>
      <c r="T429" s="6">
        <v>426</v>
      </c>
      <c r="U429" s="255" t="s">
        <v>2666</v>
      </c>
      <c r="V429" s="232" t="s">
        <v>2660</v>
      </c>
      <c r="W429" s="232">
        <v>1114.3</v>
      </c>
      <c r="X429" s="232">
        <v>11190</v>
      </c>
      <c r="Y429" s="233" t="s">
        <v>49</v>
      </c>
      <c r="Z429" s="87" t="s">
        <v>50</v>
      </c>
      <c r="AA429" s="233" t="s">
        <v>51</v>
      </c>
      <c r="AB429" s="234"/>
      <c r="AC429" s="233">
        <v>1</v>
      </c>
      <c r="AD429" s="233" t="s">
        <v>226</v>
      </c>
      <c r="AE429" s="233"/>
      <c r="AF429" s="233"/>
      <c r="AG429" s="233" t="s">
        <v>2640</v>
      </c>
      <c r="AH429" s="233">
        <v>5</v>
      </c>
      <c r="AI429" s="233">
        <v>85</v>
      </c>
      <c r="AJ429" s="233" t="s">
        <v>432</v>
      </c>
      <c r="AK429" s="233">
        <v>100</v>
      </c>
      <c r="AL429" s="233"/>
      <c r="AM429" s="233" t="s">
        <v>2650</v>
      </c>
      <c r="AN429" s="233"/>
      <c r="AO429" s="233"/>
      <c r="AP429" s="234" t="s">
        <v>1897</v>
      </c>
      <c r="AQ429" s="234" t="s">
        <v>408</v>
      </c>
    </row>
    <row r="430" spans="1:43">
      <c r="A430" s="6">
        <v>427</v>
      </c>
      <c r="B430" s="21" t="s">
        <v>2667</v>
      </c>
      <c r="C430" s="5" t="s">
        <v>2668</v>
      </c>
      <c r="D430" s="5" t="s">
        <v>2669</v>
      </c>
      <c r="E430" s="5" t="s">
        <v>2670</v>
      </c>
      <c r="F430" s="5" t="s">
        <v>2671</v>
      </c>
      <c r="G430" s="5" t="s">
        <v>2672</v>
      </c>
      <c r="H430" s="11" t="s">
        <v>2673</v>
      </c>
      <c r="I430" s="5"/>
      <c r="J430" s="5"/>
      <c r="K430" s="5"/>
      <c r="L430" s="5"/>
      <c r="M430" s="5"/>
      <c r="N430" s="5"/>
      <c r="O430" s="5"/>
      <c r="P430" s="11">
        <v>258.01710000000003</v>
      </c>
      <c r="Q430" s="5">
        <v>54.616799999999998</v>
      </c>
      <c r="R430" s="5">
        <f t="shared" si="6"/>
        <v>312.63390000000004</v>
      </c>
      <c r="S430" s="5" t="s">
        <v>299</v>
      </c>
      <c r="T430" s="6">
        <v>427</v>
      </c>
      <c r="U430" s="255" t="s">
        <v>2674</v>
      </c>
      <c r="V430" s="232" t="s">
        <v>2668</v>
      </c>
      <c r="W430" s="232">
        <v>825.6</v>
      </c>
      <c r="X430" s="232">
        <v>4862.6000000000004</v>
      </c>
      <c r="Y430" s="233" t="s">
        <v>49</v>
      </c>
      <c r="Z430" s="87" t="s">
        <v>50</v>
      </c>
      <c r="AA430" s="233" t="s">
        <v>51</v>
      </c>
      <c r="AB430" s="234"/>
      <c r="AC430" s="233">
        <v>1</v>
      </c>
      <c r="AD430" s="233" t="s">
        <v>226</v>
      </c>
      <c r="AE430" s="233"/>
      <c r="AF430" s="233"/>
      <c r="AG430" s="233" t="s">
        <v>2675</v>
      </c>
      <c r="AH430" s="233">
        <v>5</v>
      </c>
      <c r="AI430" s="233">
        <v>85</v>
      </c>
      <c r="AJ430" s="233" t="s">
        <v>432</v>
      </c>
      <c r="AK430" s="233">
        <v>100</v>
      </c>
      <c r="AL430" s="233"/>
      <c r="AM430" s="233" t="s">
        <v>2676</v>
      </c>
      <c r="AN430" s="233"/>
      <c r="AO430" s="233"/>
      <c r="AP430" s="234" t="s">
        <v>1897</v>
      </c>
      <c r="AQ430" s="234" t="s">
        <v>408</v>
      </c>
    </row>
    <row r="431" spans="1:43">
      <c r="A431" s="6">
        <v>428</v>
      </c>
      <c r="B431" s="21" t="s">
        <v>2677</v>
      </c>
      <c r="C431" s="5" t="s">
        <v>2678</v>
      </c>
      <c r="D431" s="5" t="s">
        <v>2679</v>
      </c>
      <c r="E431" s="5" t="s">
        <v>2680</v>
      </c>
      <c r="F431" s="5" t="s">
        <v>2681</v>
      </c>
      <c r="G431" s="5" t="s">
        <v>2682</v>
      </c>
      <c r="H431" s="11" t="s">
        <v>2683</v>
      </c>
      <c r="I431" s="5"/>
      <c r="J431" s="5"/>
      <c r="K431" s="5"/>
      <c r="L431" s="5"/>
      <c r="M431" s="5"/>
      <c r="N431" s="5"/>
      <c r="O431" s="5"/>
      <c r="P431" s="11">
        <v>258.00810000000001</v>
      </c>
      <c r="Q431" s="5">
        <v>54.611600000000003</v>
      </c>
      <c r="R431" s="5">
        <f t="shared" si="6"/>
        <v>312.61970000000002</v>
      </c>
      <c r="S431" s="5" t="s">
        <v>299</v>
      </c>
      <c r="T431" s="6">
        <v>428</v>
      </c>
      <c r="U431" s="255" t="s">
        <v>2684</v>
      </c>
      <c r="V431" s="232" t="s">
        <v>2678</v>
      </c>
      <c r="W431" s="232">
        <v>825.6</v>
      </c>
      <c r="X431" s="232">
        <v>5573.8</v>
      </c>
      <c r="Y431" s="233" t="s">
        <v>49</v>
      </c>
      <c r="Z431" s="87" t="s">
        <v>50</v>
      </c>
      <c r="AA431" s="233" t="s">
        <v>51</v>
      </c>
      <c r="AB431" s="234"/>
      <c r="AC431" s="233">
        <v>1</v>
      </c>
      <c r="AD431" s="233" t="s">
        <v>226</v>
      </c>
      <c r="AE431" s="233"/>
      <c r="AF431" s="233"/>
      <c r="AG431" s="233" t="s">
        <v>2675</v>
      </c>
      <c r="AH431" s="233">
        <v>5</v>
      </c>
      <c r="AI431" s="233">
        <v>85</v>
      </c>
      <c r="AJ431" s="233" t="s">
        <v>432</v>
      </c>
      <c r="AK431" s="233">
        <v>100</v>
      </c>
      <c r="AL431" s="233"/>
      <c r="AM431" s="233" t="s">
        <v>2685</v>
      </c>
      <c r="AN431" s="233"/>
      <c r="AO431" s="233"/>
      <c r="AP431" s="234" t="s">
        <v>1897</v>
      </c>
      <c r="AQ431" s="234" t="s">
        <v>408</v>
      </c>
    </row>
    <row r="432" spans="1:43">
      <c r="A432" s="6">
        <v>429</v>
      </c>
      <c r="B432" s="21" t="s">
        <v>2686</v>
      </c>
      <c r="C432" s="5" t="s">
        <v>2687</v>
      </c>
      <c r="D432" s="5" t="s">
        <v>2688</v>
      </c>
      <c r="E432" s="5" t="s">
        <v>2689</v>
      </c>
      <c r="F432" s="5" t="s">
        <v>2690</v>
      </c>
      <c r="G432" s="5" t="s">
        <v>2691</v>
      </c>
      <c r="H432" s="11" t="s">
        <v>2692</v>
      </c>
      <c r="I432" s="5"/>
      <c r="J432" s="5"/>
      <c r="K432" s="5"/>
      <c r="L432" s="5"/>
      <c r="M432" s="5"/>
      <c r="N432" s="5"/>
      <c r="O432" s="5"/>
      <c r="P432" s="11">
        <v>258.03289999999998</v>
      </c>
      <c r="Q432" s="5">
        <v>54.4664</v>
      </c>
      <c r="R432" s="5">
        <f t="shared" si="6"/>
        <v>312.49930000000001</v>
      </c>
      <c r="S432" s="5" t="s">
        <v>488</v>
      </c>
      <c r="T432" s="6">
        <v>429</v>
      </c>
      <c r="U432" s="255" t="s">
        <v>2693</v>
      </c>
      <c r="V432" s="232" t="s">
        <v>2687</v>
      </c>
      <c r="W432" s="232">
        <v>932.4</v>
      </c>
      <c r="X432" s="232">
        <v>10380.6</v>
      </c>
      <c r="Y432" s="233" t="s">
        <v>49</v>
      </c>
      <c r="Z432" s="87" t="s">
        <v>50</v>
      </c>
      <c r="AA432" s="233" t="s">
        <v>51</v>
      </c>
      <c r="AB432" s="234"/>
      <c r="AC432" s="233">
        <v>1</v>
      </c>
      <c r="AD432" s="233" t="s">
        <v>226</v>
      </c>
      <c r="AE432" s="233"/>
      <c r="AF432" s="233"/>
      <c r="AG432" s="233" t="s">
        <v>2675</v>
      </c>
      <c r="AH432" s="233">
        <v>5</v>
      </c>
      <c r="AI432" s="233">
        <v>85</v>
      </c>
      <c r="AJ432" s="233" t="s">
        <v>432</v>
      </c>
      <c r="AK432" s="233">
        <v>100</v>
      </c>
      <c r="AL432" s="233"/>
      <c r="AM432" s="233" t="s">
        <v>2676</v>
      </c>
      <c r="AN432" s="233"/>
      <c r="AO432" s="233"/>
      <c r="AP432" s="234" t="s">
        <v>1897</v>
      </c>
      <c r="AQ432" s="234" t="s">
        <v>408</v>
      </c>
    </row>
    <row r="433" spans="1:43">
      <c r="A433" s="6">
        <v>430</v>
      </c>
      <c r="B433" s="21" t="s">
        <v>2694</v>
      </c>
      <c r="C433" s="5" t="s">
        <v>2695</v>
      </c>
      <c r="D433" s="5" t="s">
        <v>2696</v>
      </c>
      <c r="E433" s="5" t="s">
        <v>2697</v>
      </c>
      <c r="F433" s="5" t="s">
        <v>2698</v>
      </c>
      <c r="G433" s="5" t="s">
        <v>2699</v>
      </c>
      <c r="H433" s="11" t="s">
        <v>2700</v>
      </c>
      <c r="I433" s="5"/>
      <c r="J433" s="5"/>
      <c r="K433" s="5"/>
      <c r="L433" s="5"/>
      <c r="M433" s="5"/>
      <c r="N433" s="5"/>
      <c r="O433" s="5"/>
      <c r="P433" s="11">
        <v>258.03730000000002</v>
      </c>
      <c r="Q433" s="5">
        <v>54.439599999999999</v>
      </c>
      <c r="R433" s="5">
        <f t="shared" si="6"/>
        <v>312.4769</v>
      </c>
      <c r="S433" s="5" t="s">
        <v>488</v>
      </c>
      <c r="T433" s="6">
        <v>430</v>
      </c>
      <c r="U433" s="255" t="s">
        <v>2701</v>
      </c>
      <c r="V433" s="232" t="s">
        <v>2695</v>
      </c>
      <c r="W433" s="232">
        <v>432</v>
      </c>
      <c r="X433" s="232">
        <v>10380.6</v>
      </c>
      <c r="Y433" s="233" t="s">
        <v>49</v>
      </c>
      <c r="Z433" s="87" t="s">
        <v>50</v>
      </c>
      <c r="AA433" s="233" t="s">
        <v>51</v>
      </c>
      <c r="AB433" s="234"/>
      <c r="AC433" s="233">
        <v>1</v>
      </c>
      <c r="AD433" s="233" t="s">
        <v>226</v>
      </c>
      <c r="AE433" s="233"/>
      <c r="AF433" s="233"/>
      <c r="AG433" s="233" t="s">
        <v>2675</v>
      </c>
      <c r="AH433" s="233">
        <v>5</v>
      </c>
      <c r="AI433" s="233">
        <v>85</v>
      </c>
      <c r="AJ433" s="233" t="s">
        <v>432</v>
      </c>
      <c r="AK433" s="233">
        <v>100</v>
      </c>
      <c r="AL433" s="233"/>
      <c r="AM433" s="233" t="s">
        <v>2685</v>
      </c>
      <c r="AN433" s="233"/>
      <c r="AO433" s="233"/>
      <c r="AP433" s="234" t="s">
        <v>1897</v>
      </c>
      <c r="AQ433" s="234" t="s">
        <v>408</v>
      </c>
    </row>
    <row r="434" spans="1:43">
      <c r="A434" s="6">
        <v>431</v>
      </c>
      <c r="B434" s="21" t="s">
        <v>2702</v>
      </c>
      <c r="C434" s="5" t="s">
        <v>2703</v>
      </c>
      <c r="D434" s="5" t="s">
        <v>2704</v>
      </c>
      <c r="E434" s="5" t="s">
        <v>2705</v>
      </c>
      <c r="F434" s="5" t="s">
        <v>2706</v>
      </c>
      <c r="G434" s="5" t="s">
        <v>2707</v>
      </c>
      <c r="H434" s="11" t="s">
        <v>2708</v>
      </c>
      <c r="I434" s="5"/>
      <c r="J434" s="5"/>
      <c r="K434" s="5"/>
      <c r="L434" s="5"/>
      <c r="M434" s="5"/>
      <c r="N434" s="5"/>
      <c r="O434" s="5"/>
      <c r="P434" s="11">
        <v>258.01400000000001</v>
      </c>
      <c r="Q434" s="5">
        <v>54.768099999999997</v>
      </c>
      <c r="R434" s="5">
        <f t="shared" si="6"/>
        <v>312.78210000000001</v>
      </c>
      <c r="S434" s="5" t="s">
        <v>2003</v>
      </c>
      <c r="T434" s="6">
        <v>431</v>
      </c>
      <c r="U434" s="255" t="s">
        <v>2709</v>
      </c>
      <c r="V434" s="232" t="s">
        <v>2703</v>
      </c>
      <c r="W434" s="232">
        <v>-546.1</v>
      </c>
      <c r="X434" s="232">
        <v>8418.6</v>
      </c>
      <c r="Y434" s="233" t="s">
        <v>49</v>
      </c>
      <c r="Z434" s="87" t="s">
        <v>50</v>
      </c>
      <c r="AA434" s="233" t="s">
        <v>51</v>
      </c>
      <c r="AB434" s="234"/>
      <c r="AC434" s="233">
        <v>1</v>
      </c>
      <c r="AD434" s="233" t="s">
        <v>226</v>
      </c>
      <c r="AE434" s="233"/>
      <c r="AF434" s="233"/>
      <c r="AG434" s="233" t="s">
        <v>2710</v>
      </c>
      <c r="AH434" s="233">
        <v>5</v>
      </c>
      <c r="AI434" s="233">
        <v>85</v>
      </c>
      <c r="AJ434" s="233" t="s">
        <v>432</v>
      </c>
      <c r="AK434" s="233">
        <v>100</v>
      </c>
      <c r="AL434" s="233"/>
      <c r="AM434" s="233" t="s">
        <v>2711</v>
      </c>
      <c r="AN434" s="233"/>
      <c r="AO434" s="233"/>
      <c r="AP434" s="234" t="s">
        <v>1897</v>
      </c>
      <c r="AQ434" s="234" t="s">
        <v>408</v>
      </c>
    </row>
    <row r="435" spans="1:43">
      <c r="A435" s="6">
        <v>432</v>
      </c>
      <c r="B435" s="21" t="s">
        <v>2712</v>
      </c>
      <c r="C435" s="5" t="s">
        <v>2713</v>
      </c>
      <c r="D435" s="5" t="s">
        <v>2714</v>
      </c>
      <c r="E435" s="5" t="s">
        <v>2715</v>
      </c>
      <c r="F435" s="5" t="s">
        <v>2716</v>
      </c>
      <c r="G435" s="5" t="s">
        <v>2717</v>
      </c>
      <c r="H435" s="11" t="s">
        <v>2718</v>
      </c>
      <c r="I435" s="5"/>
      <c r="J435" s="5"/>
      <c r="K435" s="5"/>
      <c r="L435" s="5"/>
      <c r="M435" s="5"/>
      <c r="N435" s="5"/>
      <c r="O435" s="5"/>
      <c r="P435" s="11">
        <v>258.01420000000002</v>
      </c>
      <c r="Q435" s="5">
        <v>54.776400000000002</v>
      </c>
      <c r="R435" s="5">
        <f t="shared" si="6"/>
        <v>312.79060000000004</v>
      </c>
      <c r="S435" s="5" t="s">
        <v>2003</v>
      </c>
      <c r="T435" s="6">
        <v>432</v>
      </c>
      <c r="U435" s="255" t="s">
        <v>2719</v>
      </c>
      <c r="V435" s="232" t="s">
        <v>2713</v>
      </c>
      <c r="W435" s="232">
        <v>-546.1</v>
      </c>
      <c r="X435" s="232">
        <v>9129.7999999999993</v>
      </c>
      <c r="Y435" s="233" t="s">
        <v>49</v>
      </c>
      <c r="Z435" s="87" t="s">
        <v>50</v>
      </c>
      <c r="AA435" s="233" t="s">
        <v>51</v>
      </c>
      <c r="AB435" s="234"/>
      <c r="AC435" s="233">
        <v>1</v>
      </c>
      <c r="AD435" s="233" t="s">
        <v>226</v>
      </c>
      <c r="AE435" s="233"/>
      <c r="AF435" s="233"/>
      <c r="AG435" s="233" t="s">
        <v>2710</v>
      </c>
      <c r="AH435" s="233">
        <v>5</v>
      </c>
      <c r="AI435" s="233">
        <v>85</v>
      </c>
      <c r="AJ435" s="233" t="s">
        <v>432</v>
      </c>
      <c r="AK435" s="233">
        <v>100</v>
      </c>
      <c r="AL435" s="233"/>
      <c r="AM435" s="233" t="s">
        <v>2720</v>
      </c>
      <c r="AN435" s="233"/>
      <c r="AO435" s="233"/>
      <c r="AP435" s="234" t="s">
        <v>1897</v>
      </c>
      <c r="AQ435" s="234" t="s">
        <v>408</v>
      </c>
    </row>
    <row r="436" spans="1:43">
      <c r="A436" s="6">
        <v>433</v>
      </c>
      <c r="B436" s="21" t="s">
        <v>2721</v>
      </c>
      <c r="C436" s="5" t="s">
        <v>2722</v>
      </c>
      <c r="D436" s="5" t="s">
        <v>2723</v>
      </c>
      <c r="E436" s="5" t="s">
        <v>2724</v>
      </c>
      <c r="F436" s="5" t="s">
        <v>2725</v>
      </c>
      <c r="G436" s="5" t="s">
        <v>2726</v>
      </c>
      <c r="H436" s="11" t="s">
        <v>2727</v>
      </c>
      <c r="I436" s="5"/>
      <c r="J436" s="5"/>
      <c r="K436" s="5"/>
      <c r="L436" s="5"/>
      <c r="M436" s="5"/>
      <c r="N436" s="5"/>
      <c r="O436" s="5"/>
      <c r="P436" s="11">
        <v>258.05160000000001</v>
      </c>
      <c r="Q436" s="5">
        <v>54.8339</v>
      </c>
      <c r="R436" s="5">
        <f t="shared" si="6"/>
        <v>312.88549999999998</v>
      </c>
      <c r="S436" s="5" t="s">
        <v>2199</v>
      </c>
      <c r="T436" s="6">
        <v>433</v>
      </c>
      <c r="U436" s="255" t="s">
        <v>2728</v>
      </c>
      <c r="V436" s="232" t="s">
        <v>2722</v>
      </c>
      <c r="W436" s="232">
        <v>250.2</v>
      </c>
      <c r="X436" s="232">
        <v>11190</v>
      </c>
      <c r="Y436" s="233" t="s">
        <v>49</v>
      </c>
      <c r="Z436" s="87" t="s">
        <v>50</v>
      </c>
      <c r="AA436" s="233" t="s">
        <v>51</v>
      </c>
      <c r="AB436" s="234"/>
      <c r="AC436" s="233">
        <v>1</v>
      </c>
      <c r="AD436" s="233" t="s">
        <v>226</v>
      </c>
      <c r="AE436" s="233"/>
      <c r="AF436" s="233"/>
      <c r="AG436" s="233" t="s">
        <v>2710</v>
      </c>
      <c r="AH436" s="233">
        <v>5</v>
      </c>
      <c r="AI436" s="233">
        <v>85</v>
      </c>
      <c r="AJ436" s="233" t="s">
        <v>432</v>
      </c>
      <c r="AK436" s="233">
        <v>100</v>
      </c>
      <c r="AL436" s="233"/>
      <c r="AM436" s="233" t="s">
        <v>2711</v>
      </c>
      <c r="AN436" s="233"/>
      <c r="AO436" s="233"/>
      <c r="AP436" s="234" t="s">
        <v>1897</v>
      </c>
      <c r="AQ436" s="234" t="s">
        <v>408</v>
      </c>
    </row>
    <row r="437" spans="1:43">
      <c r="A437" s="6">
        <v>434</v>
      </c>
      <c r="B437" s="21" t="s">
        <v>2729</v>
      </c>
      <c r="C437" s="5" t="s">
        <v>2730</v>
      </c>
      <c r="D437" s="5" t="s">
        <v>2731</v>
      </c>
      <c r="E437" s="5" t="s">
        <v>2732</v>
      </c>
      <c r="F437" s="5" t="s">
        <v>2733</v>
      </c>
      <c r="G437" s="5" t="s">
        <v>2734</v>
      </c>
      <c r="H437" s="11" t="s">
        <v>2735</v>
      </c>
      <c r="I437" s="5"/>
      <c r="J437" s="5"/>
      <c r="K437" s="5"/>
      <c r="L437" s="5"/>
      <c r="M437" s="5"/>
      <c r="N437" s="5"/>
      <c r="O437" s="5"/>
      <c r="P437" s="11">
        <v>258.05560000000003</v>
      </c>
      <c r="Q437" s="5">
        <v>54.814999999999998</v>
      </c>
      <c r="R437" s="5">
        <f t="shared" si="6"/>
        <v>312.87060000000002</v>
      </c>
      <c r="S437" s="5" t="s">
        <v>2199</v>
      </c>
      <c r="T437" s="6">
        <v>434</v>
      </c>
      <c r="U437" s="255" t="s">
        <v>2736</v>
      </c>
      <c r="V437" s="232" t="s">
        <v>2730</v>
      </c>
      <c r="W437" s="232">
        <v>-250.2</v>
      </c>
      <c r="X437" s="232">
        <v>11190</v>
      </c>
      <c r="Y437" s="233" t="s">
        <v>49</v>
      </c>
      <c r="Z437" s="87" t="s">
        <v>50</v>
      </c>
      <c r="AA437" s="233" t="s">
        <v>51</v>
      </c>
      <c r="AB437" s="234"/>
      <c r="AC437" s="233">
        <v>1</v>
      </c>
      <c r="AD437" s="233" t="s">
        <v>226</v>
      </c>
      <c r="AE437" s="233"/>
      <c r="AF437" s="233"/>
      <c r="AG437" s="233" t="s">
        <v>2710</v>
      </c>
      <c r="AH437" s="233">
        <v>5</v>
      </c>
      <c r="AI437" s="233">
        <v>85</v>
      </c>
      <c r="AJ437" s="233" t="s">
        <v>432</v>
      </c>
      <c r="AK437" s="233">
        <v>100</v>
      </c>
      <c r="AL437" s="233"/>
      <c r="AM437" s="233" t="s">
        <v>2720</v>
      </c>
      <c r="AN437" s="233"/>
      <c r="AO437" s="233"/>
      <c r="AP437" s="234" t="s">
        <v>1897</v>
      </c>
      <c r="AQ437" s="234" t="s">
        <v>408</v>
      </c>
    </row>
    <row r="438" spans="1:43">
      <c r="A438" s="6">
        <v>435</v>
      </c>
      <c r="B438" s="21" t="s">
        <v>2737</v>
      </c>
      <c r="C438" s="5" t="s">
        <v>2738</v>
      </c>
      <c r="D438" s="5" t="s">
        <v>2739</v>
      </c>
      <c r="E438" s="5" t="s">
        <v>2740</v>
      </c>
      <c r="F438" s="5" t="s">
        <v>2741</v>
      </c>
      <c r="G438" s="5"/>
      <c r="H438" s="5"/>
      <c r="I438" s="5"/>
      <c r="J438" s="5"/>
      <c r="K438" s="5"/>
      <c r="L438" s="5"/>
      <c r="M438" s="5"/>
      <c r="N438" s="5"/>
      <c r="O438" s="5"/>
      <c r="P438" s="11" t="s">
        <v>46</v>
      </c>
      <c r="Q438" s="5">
        <v>312.3965</v>
      </c>
      <c r="R438" s="5">
        <f t="shared" si="6"/>
        <v>312.3965</v>
      </c>
      <c r="S438" s="5" t="s">
        <v>1818</v>
      </c>
      <c r="T438" s="6">
        <v>435</v>
      </c>
      <c r="U438" s="253" t="s">
        <v>2742</v>
      </c>
      <c r="V438" s="232" t="s">
        <v>2738</v>
      </c>
      <c r="W438" s="232">
        <v>-546.1</v>
      </c>
      <c r="X438" s="232">
        <v>4151.3999999999996</v>
      </c>
      <c r="Y438" s="233" t="s">
        <v>49</v>
      </c>
      <c r="Z438" s="87" t="s">
        <v>50</v>
      </c>
      <c r="AA438" s="233" t="s">
        <v>51</v>
      </c>
      <c r="AB438" s="234"/>
      <c r="AC438" s="233">
        <v>1</v>
      </c>
      <c r="AD438" s="233" t="s">
        <v>226</v>
      </c>
      <c r="AE438" s="233"/>
      <c r="AF438" s="233"/>
      <c r="AG438" s="233" t="s">
        <v>2743</v>
      </c>
      <c r="AH438" s="233">
        <v>5</v>
      </c>
      <c r="AI438" s="233">
        <v>85</v>
      </c>
      <c r="AJ438" s="233" t="s">
        <v>432</v>
      </c>
      <c r="AK438" s="233"/>
      <c r="AL438" s="233"/>
      <c r="AM438" s="233"/>
      <c r="AN438" s="233"/>
      <c r="AO438" s="233" t="s">
        <v>636</v>
      </c>
      <c r="AP438" s="234" t="s">
        <v>2744</v>
      </c>
      <c r="AQ438" s="234" t="s">
        <v>653</v>
      </c>
    </row>
    <row r="439" spans="1:43">
      <c r="A439" s="6">
        <v>436</v>
      </c>
      <c r="B439" s="21" t="s">
        <v>2745</v>
      </c>
      <c r="C439" s="5" t="s">
        <v>2746</v>
      </c>
      <c r="D439" s="5" t="s">
        <v>2747</v>
      </c>
      <c r="E439" s="5" t="s">
        <v>2748</v>
      </c>
      <c r="F439" s="5" t="s">
        <v>2749</v>
      </c>
      <c r="G439" s="5"/>
      <c r="H439" s="5"/>
      <c r="I439" s="5"/>
      <c r="J439" s="5"/>
      <c r="K439" s="5"/>
      <c r="L439" s="5"/>
      <c r="M439" s="5"/>
      <c r="N439" s="5"/>
      <c r="O439" s="5"/>
      <c r="P439" s="11" t="s">
        <v>46</v>
      </c>
      <c r="Q439" s="5">
        <v>312.39260000000002</v>
      </c>
      <c r="R439" s="5">
        <f t="shared" si="6"/>
        <v>312.39260000000002</v>
      </c>
      <c r="S439" s="5" t="s">
        <v>1818</v>
      </c>
      <c r="T439" s="6">
        <v>436</v>
      </c>
      <c r="U439" s="253" t="s">
        <v>2750</v>
      </c>
      <c r="V439" s="232" t="s">
        <v>2746</v>
      </c>
      <c r="W439" s="232">
        <v>-546.1</v>
      </c>
      <c r="X439" s="232">
        <v>4862.6000000000004</v>
      </c>
      <c r="Y439" s="233" t="s">
        <v>49</v>
      </c>
      <c r="Z439" s="87" t="s">
        <v>50</v>
      </c>
      <c r="AA439" s="233" t="s">
        <v>51</v>
      </c>
      <c r="AB439" s="234"/>
      <c r="AC439" s="233">
        <v>1</v>
      </c>
      <c r="AD439" s="233" t="s">
        <v>226</v>
      </c>
      <c r="AE439" s="233"/>
      <c r="AF439" s="233"/>
      <c r="AG439" s="233" t="s">
        <v>2743</v>
      </c>
      <c r="AH439" s="233">
        <v>5</v>
      </c>
      <c r="AI439" s="233">
        <v>85</v>
      </c>
      <c r="AJ439" s="233" t="s">
        <v>432</v>
      </c>
      <c r="AK439" s="233"/>
      <c r="AL439" s="233"/>
      <c r="AM439" s="233"/>
      <c r="AN439" s="233"/>
      <c r="AO439" s="233" t="s">
        <v>636</v>
      </c>
      <c r="AP439" s="234" t="s">
        <v>2744</v>
      </c>
      <c r="AQ439" s="234" t="s">
        <v>653</v>
      </c>
    </row>
    <row r="440" spans="1:43">
      <c r="A440" s="6">
        <v>437</v>
      </c>
      <c r="B440" s="21" t="s">
        <v>2751</v>
      </c>
      <c r="C440" s="5" t="s">
        <v>2752</v>
      </c>
      <c r="D440" s="5" t="s">
        <v>605</v>
      </c>
      <c r="E440" s="5" t="s">
        <v>605</v>
      </c>
      <c r="F440" s="5" t="s">
        <v>2753</v>
      </c>
      <c r="G440" s="5"/>
      <c r="H440" s="5"/>
      <c r="I440" s="5"/>
      <c r="J440" s="5"/>
      <c r="K440" s="5"/>
      <c r="L440" s="5"/>
      <c r="M440" s="5"/>
      <c r="N440" s="5"/>
      <c r="O440" s="5"/>
      <c r="P440" s="11" t="s">
        <v>46</v>
      </c>
      <c r="Q440" s="5">
        <v>7.4503000000000004</v>
      </c>
      <c r="R440" s="5">
        <f t="shared" si="6"/>
        <v>7.4503000000000004</v>
      </c>
      <c r="S440" s="5" t="s">
        <v>74</v>
      </c>
      <c r="T440" s="6">
        <v>437</v>
      </c>
      <c r="U440" s="253" t="s">
        <v>2754</v>
      </c>
      <c r="V440" s="232" t="s">
        <v>2752</v>
      </c>
      <c r="W440" s="232">
        <v>11467.2</v>
      </c>
      <c r="X440" s="232">
        <v>10357.200000000001</v>
      </c>
      <c r="Y440" s="233" t="s">
        <v>49</v>
      </c>
      <c r="Z440" s="87" t="s">
        <v>50</v>
      </c>
      <c r="AA440" s="233"/>
      <c r="AB440" s="234"/>
      <c r="AC440" s="233"/>
      <c r="AD440" s="234"/>
      <c r="AE440" s="234"/>
      <c r="AF440" s="234"/>
      <c r="AG440" s="234"/>
      <c r="AH440" s="233"/>
      <c r="AI440" s="233"/>
      <c r="AJ440" s="233"/>
      <c r="AK440" s="233"/>
      <c r="AL440" s="233"/>
      <c r="AM440" s="233"/>
      <c r="AN440" s="233"/>
      <c r="AO440" s="233"/>
      <c r="AP440" s="234"/>
      <c r="AQ440" s="234" t="s">
        <v>608</v>
      </c>
    </row>
    <row r="441" spans="1:43">
      <c r="A441" s="6">
        <v>438</v>
      </c>
      <c r="B441" s="21" t="s">
        <v>2755</v>
      </c>
      <c r="C441" s="5" t="s">
        <v>2756</v>
      </c>
      <c r="D441" s="5" t="s">
        <v>605</v>
      </c>
      <c r="E441" s="5" t="s">
        <v>605</v>
      </c>
      <c r="F441" s="5" t="s">
        <v>2757</v>
      </c>
      <c r="G441" s="5"/>
      <c r="H441" s="5"/>
      <c r="I441" s="5"/>
      <c r="J441" s="5"/>
      <c r="K441" s="5"/>
      <c r="L441" s="5"/>
      <c r="M441" s="5"/>
      <c r="N441" s="5"/>
      <c r="O441" s="5"/>
      <c r="P441" s="11" t="s">
        <v>46</v>
      </c>
      <c r="Q441" s="5">
        <v>6.9175000000000004</v>
      </c>
      <c r="R441" s="5">
        <f t="shared" si="6"/>
        <v>6.9175000000000004</v>
      </c>
      <c r="S441" s="5" t="s">
        <v>67</v>
      </c>
      <c r="T441" s="6">
        <v>438</v>
      </c>
      <c r="U441" s="253" t="s">
        <v>2758</v>
      </c>
      <c r="V441" s="232" t="s">
        <v>2756</v>
      </c>
      <c r="W441" s="232">
        <v>11181.6</v>
      </c>
      <c r="X441" s="232">
        <v>10770.7</v>
      </c>
      <c r="Y441" s="233" t="s">
        <v>49</v>
      </c>
      <c r="Z441" s="87" t="s">
        <v>50</v>
      </c>
      <c r="AA441" s="233"/>
      <c r="AB441" s="234"/>
      <c r="AC441" s="233"/>
      <c r="AD441" s="234"/>
      <c r="AE441" s="234"/>
      <c r="AF441" s="234"/>
      <c r="AG441" s="234"/>
      <c r="AH441" s="233"/>
      <c r="AI441" s="233"/>
      <c r="AJ441" s="233"/>
      <c r="AK441" s="233"/>
      <c r="AL441" s="233"/>
      <c r="AM441" s="233"/>
      <c r="AN441" s="233"/>
      <c r="AO441" s="233"/>
      <c r="AP441" s="234"/>
      <c r="AQ441" s="234" t="s">
        <v>608</v>
      </c>
    </row>
    <row r="442" spans="1:43">
      <c r="A442" s="6">
        <v>439</v>
      </c>
      <c r="B442" s="21" t="s">
        <v>2759</v>
      </c>
      <c r="C442" s="5" t="s">
        <v>2760</v>
      </c>
      <c r="D442" s="5" t="s">
        <v>2761</v>
      </c>
      <c r="E442" s="5" t="s">
        <v>2762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11" t="s">
        <v>46</v>
      </c>
      <c r="Q442" s="5">
        <v>122.9524</v>
      </c>
      <c r="R442" s="5">
        <f t="shared" si="6"/>
        <v>122.9524</v>
      </c>
      <c r="S442" s="5" t="s">
        <v>67</v>
      </c>
      <c r="T442" s="6">
        <v>439</v>
      </c>
      <c r="U442" s="253" t="s">
        <v>2763</v>
      </c>
      <c r="V442" s="232" t="s">
        <v>2760</v>
      </c>
      <c r="W442" s="232">
        <v>12159</v>
      </c>
      <c r="X442" s="232">
        <v>2882.9</v>
      </c>
      <c r="Y442" s="233" t="s">
        <v>49</v>
      </c>
      <c r="Z442" s="87" t="s">
        <v>50</v>
      </c>
      <c r="AA442" s="233" t="s">
        <v>51</v>
      </c>
      <c r="AB442" s="234"/>
      <c r="AC442" s="233">
        <v>1</v>
      </c>
      <c r="AD442" s="233" t="s">
        <v>226</v>
      </c>
      <c r="AE442" s="234"/>
      <c r="AF442" s="234"/>
      <c r="AG442" s="234"/>
      <c r="AH442" s="233"/>
      <c r="AI442" s="233"/>
      <c r="AJ442" s="233"/>
      <c r="AK442" s="233"/>
      <c r="AL442" s="233"/>
      <c r="AM442" s="233"/>
      <c r="AN442" s="233"/>
      <c r="AO442" s="233"/>
      <c r="AP442" s="234"/>
      <c r="AQ442" s="234" t="s">
        <v>333</v>
      </c>
    </row>
    <row r="443" spans="1:43">
      <c r="A443" s="6">
        <v>440</v>
      </c>
      <c r="B443" s="21" t="s">
        <v>2764</v>
      </c>
      <c r="C443" s="5" t="s">
        <v>2765</v>
      </c>
      <c r="D443" s="5" t="s">
        <v>2766</v>
      </c>
      <c r="E443" s="5" t="s">
        <v>2767</v>
      </c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11" t="s">
        <v>46</v>
      </c>
      <c r="Q443" s="5">
        <v>189.21539999999999</v>
      </c>
      <c r="R443" s="5">
        <f t="shared" si="6"/>
        <v>189.21539999999999</v>
      </c>
      <c r="S443" s="5" t="s">
        <v>706</v>
      </c>
      <c r="T443" s="6">
        <v>440</v>
      </c>
      <c r="U443" s="253" t="s">
        <v>2768</v>
      </c>
      <c r="V443" s="232" t="s">
        <v>2765</v>
      </c>
      <c r="W443" s="232">
        <v>12285.7</v>
      </c>
      <c r="X443" s="232">
        <v>3389.9</v>
      </c>
      <c r="Y443" s="233" t="s">
        <v>49</v>
      </c>
      <c r="Z443" s="87" t="s">
        <v>50</v>
      </c>
      <c r="AA443" s="233" t="s">
        <v>51</v>
      </c>
      <c r="AB443" s="234"/>
      <c r="AC443" s="233">
        <v>1</v>
      </c>
      <c r="AD443" s="233" t="s">
        <v>226</v>
      </c>
      <c r="AE443" s="234"/>
      <c r="AF443" s="234"/>
      <c r="AG443" s="234"/>
      <c r="AH443" s="233"/>
      <c r="AI443" s="233"/>
      <c r="AJ443" s="233"/>
      <c r="AK443" s="233"/>
      <c r="AL443" s="233"/>
      <c r="AM443" s="233"/>
      <c r="AN443" s="233"/>
      <c r="AO443" s="233"/>
      <c r="AP443" s="234"/>
      <c r="AQ443" s="234" t="s">
        <v>333</v>
      </c>
    </row>
    <row r="444" spans="1:43">
      <c r="A444" s="6">
        <v>441</v>
      </c>
      <c r="B444" s="21" t="s">
        <v>2769</v>
      </c>
      <c r="C444" s="5" t="s">
        <v>2770</v>
      </c>
      <c r="D444" s="5" t="s">
        <v>2771</v>
      </c>
      <c r="E444" s="5" t="s">
        <v>2772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11" t="s">
        <v>46</v>
      </c>
      <c r="Q444" s="5">
        <v>254.5564</v>
      </c>
      <c r="R444" s="5">
        <f t="shared" si="6"/>
        <v>254.5564</v>
      </c>
      <c r="S444" s="5" t="s">
        <v>60</v>
      </c>
      <c r="T444" s="6">
        <v>441</v>
      </c>
      <c r="U444" s="238" t="s">
        <v>2773</v>
      </c>
      <c r="V444" s="239" t="s">
        <v>2770</v>
      </c>
      <c r="W444" s="239"/>
      <c r="X444" s="239"/>
      <c r="Y444" s="240" t="s">
        <v>49</v>
      </c>
      <c r="Z444" s="240"/>
      <c r="AA444" s="240" t="s">
        <v>51</v>
      </c>
      <c r="AB444" s="238"/>
      <c r="AC444" s="240">
        <v>1</v>
      </c>
      <c r="AD444" s="240" t="s">
        <v>52</v>
      </c>
      <c r="AE444" s="238"/>
      <c r="AF444" s="238"/>
      <c r="AG444" s="238"/>
      <c r="AH444" s="240"/>
      <c r="AI444" s="240"/>
      <c r="AJ444" s="240"/>
      <c r="AK444" s="240"/>
      <c r="AL444" s="240"/>
      <c r="AM444" s="240"/>
      <c r="AN444" s="240"/>
      <c r="AO444" s="240"/>
      <c r="AP444" s="238"/>
      <c r="AQ444" s="238" t="s">
        <v>2774</v>
      </c>
    </row>
    <row r="445" spans="1:43">
      <c r="A445" s="6">
        <v>442</v>
      </c>
      <c r="B445" s="21" t="s">
        <v>2775</v>
      </c>
      <c r="C445" s="5" t="s">
        <v>2776</v>
      </c>
      <c r="D445" s="5" t="s">
        <v>2777</v>
      </c>
      <c r="E445" s="5" t="s">
        <v>2778</v>
      </c>
      <c r="F445" s="5" t="s">
        <v>2779</v>
      </c>
      <c r="G445" s="5"/>
      <c r="H445" s="5"/>
      <c r="I445" s="5"/>
      <c r="J445" s="5"/>
      <c r="K445" s="5"/>
      <c r="L445" s="5"/>
      <c r="M445" s="5"/>
      <c r="N445" s="5"/>
      <c r="O445" s="5"/>
      <c r="P445" s="11" t="s">
        <v>46</v>
      </c>
      <c r="Q445" s="5">
        <v>257.8904</v>
      </c>
      <c r="R445" s="5">
        <f t="shared" si="6"/>
        <v>257.8904</v>
      </c>
      <c r="S445" s="5" t="s">
        <v>1848</v>
      </c>
      <c r="T445" s="6">
        <v>442</v>
      </c>
      <c r="U445" s="253" t="s">
        <v>2780</v>
      </c>
      <c r="V445" s="232" t="s">
        <v>2776</v>
      </c>
      <c r="W445" s="232">
        <v>9602.2000000000007</v>
      </c>
      <c r="X445" s="232">
        <v>579.1</v>
      </c>
      <c r="Y445" s="233" t="s">
        <v>49</v>
      </c>
      <c r="Z445" s="87" t="s">
        <v>50</v>
      </c>
      <c r="AA445" s="233" t="s">
        <v>51</v>
      </c>
      <c r="AB445" s="234"/>
      <c r="AC445" s="233">
        <v>1</v>
      </c>
      <c r="AD445" s="233" t="s">
        <v>226</v>
      </c>
      <c r="AE445" s="234"/>
      <c r="AF445" s="233">
        <v>18000</v>
      </c>
      <c r="AG445" s="234"/>
      <c r="AH445" s="233"/>
      <c r="AI445" s="233"/>
      <c r="AJ445" s="233" t="s">
        <v>1820</v>
      </c>
      <c r="AK445" s="233">
        <v>250</v>
      </c>
      <c r="AL445" s="233"/>
      <c r="AM445" s="233"/>
      <c r="AN445" s="233"/>
      <c r="AO445" s="233"/>
      <c r="AP445" s="234"/>
      <c r="AQ445" s="254" t="s">
        <v>1821</v>
      </c>
    </row>
    <row r="446" spans="1:43">
      <c r="A446" s="6">
        <v>443</v>
      </c>
      <c r="B446" s="21" t="s">
        <v>2781</v>
      </c>
      <c r="C446" s="5" t="s">
        <v>2782</v>
      </c>
      <c r="D446" s="5" t="s">
        <v>2783</v>
      </c>
      <c r="E446" s="5" t="s">
        <v>2784</v>
      </c>
      <c r="F446" s="5" t="s">
        <v>2785</v>
      </c>
      <c r="G446" s="5"/>
      <c r="H446" s="5"/>
      <c r="I446" s="5"/>
      <c r="J446" s="5"/>
      <c r="K446" s="5"/>
      <c r="L446" s="5"/>
      <c r="M446" s="5"/>
      <c r="N446" s="5"/>
      <c r="O446" s="5"/>
      <c r="P446" s="11" t="s">
        <v>46</v>
      </c>
      <c r="Q446" s="5">
        <v>257.86259999999999</v>
      </c>
      <c r="R446" s="5">
        <f t="shared" si="6"/>
        <v>257.86259999999999</v>
      </c>
      <c r="S446" s="5" t="s">
        <v>1841</v>
      </c>
      <c r="T446" s="6">
        <v>443</v>
      </c>
      <c r="U446" s="253" t="s">
        <v>2786</v>
      </c>
      <c r="V446" s="232" t="s">
        <v>2782</v>
      </c>
      <c r="W446" s="232">
        <v>10313.4</v>
      </c>
      <c r="X446" s="232">
        <v>579.1</v>
      </c>
      <c r="Y446" s="233" t="s">
        <v>49</v>
      </c>
      <c r="Z446" s="87" t="s">
        <v>50</v>
      </c>
      <c r="AA446" s="233" t="s">
        <v>51</v>
      </c>
      <c r="AB446" s="234"/>
      <c r="AC446" s="233">
        <v>1</v>
      </c>
      <c r="AD446" s="233" t="s">
        <v>226</v>
      </c>
      <c r="AE446" s="234"/>
      <c r="AF446" s="233">
        <v>18000</v>
      </c>
      <c r="AG446" s="234"/>
      <c r="AH446" s="233"/>
      <c r="AI446" s="233"/>
      <c r="AJ446" s="233" t="s">
        <v>1820</v>
      </c>
      <c r="AK446" s="233">
        <v>250</v>
      </c>
      <c r="AL446" s="233"/>
      <c r="AM446" s="233"/>
      <c r="AN446" s="233"/>
      <c r="AO446" s="233"/>
      <c r="AP446" s="234"/>
      <c r="AQ446" s="254" t="s">
        <v>1821</v>
      </c>
    </row>
    <row r="447" spans="1:43">
      <c r="A447" s="6">
        <v>444</v>
      </c>
      <c r="B447" s="21" t="s">
        <v>2787</v>
      </c>
      <c r="C447" s="5" t="s">
        <v>2788</v>
      </c>
      <c r="D447" s="5" t="s">
        <v>2789</v>
      </c>
      <c r="E447" s="5" t="s">
        <v>2790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11" t="s">
        <v>46</v>
      </c>
      <c r="Q447" s="5">
        <v>242.83709999999999</v>
      </c>
      <c r="R447" s="5">
        <f t="shared" ref="R447:R510" si="7">IF(AND(P447="",Q447=""),"",SUM(P447:Q447))</f>
        <v>242.83709999999999</v>
      </c>
      <c r="S447" s="5" t="s">
        <v>395</v>
      </c>
      <c r="T447" s="6">
        <v>444</v>
      </c>
      <c r="U447" s="253" t="s">
        <v>2791</v>
      </c>
      <c r="V447" s="232" t="s">
        <v>2788</v>
      </c>
      <c r="W447" s="232">
        <v>-11455.4</v>
      </c>
      <c r="X447" s="232">
        <v>-8192.7999999999993</v>
      </c>
      <c r="Y447" s="233" t="s">
        <v>49</v>
      </c>
      <c r="Z447" s="87" t="s">
        <v>50</v>
      </c>
      <c r="AA447" s="233" t="s">
        <v>51</v>
      </c>
      <c r="AB447" s="234"/>
      <c r="AC447" s="233">
        <v>1</v>
      </c>
      <c r="AD447" s="233" t="s">
        <v>226</v>
      </c>
      <c r="AE447" s="234"/>
      <c r="AF447" s="234"/>
      <c r="AG447" s="234"/>
      <c r="AH447" s="233"/>
      <c r="AI447" s="233"/>
      <c r="AJ447" s="233"/>
      <c r="AK447" s="233"/>
      <c r="AL447" s="233"/>
      <c r="AM447" s="233"/>
      <c r="AN447" s="233"/>
      <c r="AO447" s="233"/>
      <c r="AP447" s="234"/>
      <c r="AQ447" s="234" t="s">
        <v>333</v>
      </c>
    </row>
    <row r="448" spans="1:43">
      <c r="A448" s="6">
        <v>445</v>
      </c>
      <c r="B448" s="21" t="s">
        <v>2792</v>
      </c>
      <c r="C448" s="5" t="s">
        <v>2793</v>
      </c>
      <c r="D448" s="5" t="s">
        <v>2794</v>
      </c>
      <c r="E448" s="5" t="s">
        <v>2795</v>
      </c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11" t="s">
        <v>46</v>
      </c>
      <c r="Q448" s="5">
        <v>171.351</v>
      </c>
      <c r="R448" s="5">
        <f t="shared" si="7"/>
        <v>171.351</v>
      </c>
      <c r="S448" s="5" t="s">
        <v>732</v>
      </c>
      <c r="T448" s="6">
        <v>445</v>
      </c>
      <c r="U448" s="253" t="s">
        <v>2796</v>
      </c>
      <c r="V448" s="232" t="s">
        <v>2793</v>
      </c>
      <c r="W448" s="232">
        <v>11912.6</v>
      </c>
      <c r="X448" s="232">
        <v>4017</v>
      </c>
      <c r="Y448" s="233" t="s">
        <v>49</v>
      </c>
      <c r="Z448" s="87" t="s">
        <v>50</v>
      </c>
      <c r="AA448" s="233" t="s">
        <v>51</v>
      </c>
      <c r="AB448" s="234"/>
      <c r="AC448" s="233">
        <v>1</v>
      </c>
      <c r="AD448" s="233" t="s">
        <v>226</v>
      </c>
      <c r="AE448" s="234"/>
      <c r="AF448" s="234"/>
      <c r="AG448" s="234"/>
      <c r="AH448" s="233"/>
      <c r="AI448" s="233"/>
      <c r="AJ448" s="233"/>
      <c r="AK448" s="233"/>
      <c r="AL448" s="233"/>
      <c r="AM448" s="233"/>
      <c r="AN448" s="233"/>
      <c r="AO448" s="233"/>
      <c r="AP448" s="234"/>
      <c r="AQ448" s="234" t="s">
        <v>333</v>
      </c>
    </row>
    <row r="449" spans="1:43">
      <c r="A449" s="6">
        <v>446</v>
      </c>
      <c r="B449" s="21" t="s">
        <v>2797</v>
      </c>
      <c r="C449" s="5" t="s">
        <v>2798</v>
      </c>
      <c r="D449" s="5" t="s">
        <v>2799</v>
      </c>
      <c r="E449" s="5" t="s">
        <v>2800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11" t="s">
        <v>46</v>
      </c>
      <c r="Q449" s="5">
        <v>166.8887</v>
      </c>
      <c r="R449" s="5">
        <f t="shared" si="7"/>
        <v>166.8887</v>
      </c>
      <c r="S449" s="5" t="s">
        <v>706</v>
      </c>
      <c r="T449" s="6">
        <v>446</v>
      </c>
      <c r="U449" s="253" t="s">
        <v>2801</v>
      </c>
      <c r="V449" s="232" t="s">
        <v>2798</v>
      </c>
      <c r="W449" s="232">
        <v>11024.6</v>
      </c>
      <c r="X449" s="232">
        <v>579.1</v>
      </c>
      <c r="Y449" s="233" t="s">
        <v>49</v>
      </c>
      <c r="Z449" s="87" t="s">
        <v>50</v>
      </c>
      <c r="AA449" s="233" t="s">
        <v>51</v>
      </c>
      <c r="AB449" s="234"/>
      <c r="AC449" s="233">
        <v>1</v>
      </c>
      <c r="AD449" s="233" t="s">
        <v>226</v>
      </c>
      <c r="AE449" s="234"/>
      <c r="AF449" s="234"/>
      <c r="AG449" s="234"/>
      <c r="AH449" s="233"/>
      <c r="AI449" s="233"/>
      <c r="AJ449" s="233"/>
      <c r="AK449" s="233"/>
      <c r="AL449" s="233"/>
      <c r="AM449" s="233"/>
      <c r="AN449" s="233"/>
      <c r="AO449" s="233"/>
      <c r="AP449" s="234"/>
      <c r="AQ449" s="234" t="s">
        <v>333</v>
      </c>
    </row>
    <row r="450" spans="1:43">
      <c r="A450" s="6">
        <v>447</v>
      </c>
      <c r="B450" s="21" t="s">
        <v>2802</v>
      </c>
      <c r="C450" s="5" t="s">
        <v>2803</v>
      </c>
      <c r="D450" s="5" t="s">
        <v>2804</v>
      </c>
      <c r="E450" s="5" t="s">
        <v>2805</v>
      </c>
      <c r="F450" s="5" t="s">
        <v>2806</v>
      </c>
      <c r="G450" s="5"/>
      <c r="H450" s="5"/>
      <c r="I450" s="5"/>
      <c r="J450" s="5"/>
      <c r="K450" s="5"/>
      <c r="L450" s="5"/>
      <c r="M450" s="5"/>
      <c r="N450" s="5"/>
      <c r="O450" s="5"/>
      <c r="P450" s="11" t="s">
        <v>46</v>
      </c>
      <c r="Q450" s="5">
        <v>161.4282</v>
      </c>
      <c r="R450" s="5">
        <f t="shared" si="7"/>
        <v>161.4282</v>
      </c>
      <c r="S450" s="5" t="s">
        <v>47</v>
      </c>
      <c r="T450" s="6">
        <v>447</v>
      </c>
      <c r="U450" s="253" t="s">
        <v>2807</v>
      </c>
      <c r="V450" s="232" t="s">
        <v>2803</v>
      </c>
      <c r="W450" s="232">
        <v>11455.4</v>
      </c>
      <c r="X450" s="232">
        <v>8192.7999999999993</v>
      </c>
      <c r="Y450" s="233" t="s">
        <v>49</v>
      </c>
      <c r="Z450" s="87" t="s">
        <v>50</v>
      </c>
      <c r="AA450" s="233" t="s">
        <v>51</v>
      </c>
      <c r="AB450" s="234"/>
      <c r="AC450" s="233">
        <v>1</v>
      </c>
      <c r="AD450" s="233" t="s">
        <v>52</v>
      </c>
      <c r="AE450" s="234"/>
      <c r="AF450" s="234"/>
      <c r="AG450" s="234"/>
      <c r="AH450" s="233"/>
      <c r="AI450" s="233"/>
      <c r="AJ450" s="233" t="s">
        <v>2808</v>
      </c>
      <c r="AK450" s="233">
        <v>10</v>
      </c>
      <c r="AL450" s="233"/>
      <c r="AM450" s="233"/>
      <c r="AN450" s="17"/>
      <c r="AO450" s="233"/>
      <c r="AP450" s="233"/>
      <c r="AQ450" s="254" t="s">
        <v>2809</v>
      </c>
    </row>
    <row r="451" spans="1:43">
      <c r="A451" s="6">
        <v>448</v>
      </c>
      <c r="B451" s="21" t="s">
        <v>2810</v>
      </c>
      <c r="C451" s="5" t="s">
        <v>2811</v>
      </c>
      <c r="D451" s="5" t="s">
        <v>2812</v>
      </c>
      <c r="E451" s="5" t="s">
        <v>2813</v>
      </c>
      <c r="F451" s="5" t="s">
        <v>2814</v>
      </c>
      <c r="G451" s="5"/>
      <c r="H451" s="5"/>
      <c r="I451" s="5"/>
      <c r="J451" s="5"/>
      <c r="K451" s="5"/>
      <c r="L451" s="5"/>
      <c r="M451" s="5"/>
      <c r="N451" s="5"/>
      <c r="O451" s="5"/>
      <c r="P451" s="11" t="s">
        <v>46</v>
      </c>
      <c r="Q451" s="5">
        <v>161.41380000000001</v>
      </c>
      <c r="R451" s="5">
        <f t="shared" si="7"/>
        <v>161.41380000000001</v>
      </c>
      <c r="S451" s="5" t="s">
        <v>47</v>
      </c>
      <c r="T451" s="6">
        <v>448</v>
      </c>
      <c r="U451" s="253" t="s">
        <v>2815</v>
      </c>
      <c r="V451" s="232" t="s">
        <v>2811</v>
      </c>
      <c r="W451" s="232">
        <v>11912.6</v>
      </c>
      <c r="X451" s="232">
        <v>8411.2000000000007</v>
      </c>
      <c r="Y451" s="233" t="s">
        <v>49</v>
      </c>
      <c r="Z451" s="87" t="s">
        <v>50</v>
      </c>
      <c r="AA451" s="233" t="s">
        <v>51</v>
      </c>
      <c r="AB451" s="234"/>
      <c r="AC451" s="233">
        <v>1</v>
      </c>
      <c r="AD451" s="233" t="s">
        <v>52</v>
      </c>
      <c r="AE451" s="234"/>
      <c r="AF451" s="234"/>
      <c r="AG451" s="234"/>
      <c r="AH451" s="233"/>
      <c r="AI451" s="233"/>
      <c r="AJ451" s="233" t="s">
        <v>2808</v>
      </c>
      <c r="AK451" s="233">
        <v>10</v>
      </c>
      <c r="AL451" s="233"/>
      <c r="AM451" s="233"/>
      <c r="AN451" s="17"/>
      <c r="AO451" s="233"/>
      <c r="AP451" s="233"/>
      <c r="AQ451" s="254" t="s">
        <v>2809</v>
      </c>
    </row>
    <row r="452" spans="1:43">
      <c r="A452" s="6">
        <v>449</v>
      </c>
      <c r="B452" s="21" t="s">
        <v>2816</v>
      </c>
      <c r="C452" s="5" t="s">
        <v>2817</v>
      </c>
      <c r="D452" s="5" t="s">
        <v>2818</v>
      </c>
      <c r="E452" s="5" t="s">
        <v>2819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11" t="s">
        <v>46</v>
      </c>
      <c r="Q452" s="5">
        <v>107.7146</v>
      </c>
      <c r="R452" s="5">
        <f t="shared" si="7"/>
        <v>107.7146</v>
      </c>
      <c r="S452" s="5" t="s">
        <v>74</v>
      </c>
      <c r="T452" s="6">
        <v>449</v>
      </c>
      <c r="U452" s="253" t="s">
        <v>2820</v>
      </c>
      <c r="V452" s="232" t="s">
        <v>2817</v>
      </c>
      <c r="W452" s="232">
        <v>12159</v>
      </c>
      <c r="X452" s="232">
        <v>7277.1</v>
      </c>
      <c r="Y452" s="233" t="s">
        <v>49</v>
      </c>
      <c r="Z452" s="87" t="s">
        <v>50</v>
      </c>
      <c r="AA452" s="233" t="s">
        <v>51</v>
      </c>
      <c r="AB452" s="234"/>
      <c r="AC452" s="233">
        <v>1</v>
      </c>
      <c r="AD452" s="233" t="s">
        <v>226</v>
      </c>
      <c r="AE452" s="234"/>
      <c r="AF452" s="234"/>
      <c r="AG452" s="234"/>
      <c r="AH452" s="233"/>
      <c r="AI452" s="233"/>
      <c r="AJ452" s="233"/>
      <c r="AK452" s="233"/>
      <c r="AL452" s="233"/>
      <c r="AM452" s="233"/>
      <c r="AN452" s="233"/>
      <c r="AO452" s="233"/>
      <c r="AP452" s="234"/>
      <c r="AQ452" s="234" t="s">
        <v>333</v>
      </c>
    </row>
    <row r="453" spans="1:43">
      <c r="A453" s="6">
        <v>450</v>
      </c>
      <c r="B453" s="21" t="s">
        <v>2821</v>
      </c>
      <c r="C453" s="5" t="s">
        <v>2822</v>
      </c>
      <c r="D453" s="5" t="s">
        <v>2823</v>
      </c>
      <c r="E453" s="5" t="s">
        <v>2824</v>
      </c>
      <c r="F453" s="5" t="s">
        <v>2825</v>
      </c>
      <c r="G453" s="5"/>
      <c r="H453" s="5"/>
      <c r="I453" s="5"/>
      <c r="J453" s="5"/>
      <c r="K453" s="5"/>
      <c r="L453" s="5"/>
      <c r="M453" s="5"/>
      <c r="N453" s="5"/>
      <c r="O453" s="5"/>
      <c r="P453" s="11" t="s">
        <v>46</v>
      </c>
      <c r="Q453" s="5">
        <v>32.440100000000001</v>
      </c>
      <c r="R453" s="5">
        <f t="shared" si="7"/>
        <v>32.440100000000001</v>
      </c>
      <c r="S453" s="5" t="s">
        <v>60</v>
      </c>
      <c r="T453" s="6">
        <v>450</v>
      </c>
      <c r="U453" s="238" t="s">
        <v>2826</v>
      </c>
      <c r="V453" s="239" t="s">
        <v>2822</v>
      </c>
      <c r="W453" s="239"/>
      <c r="X453" s="239"/>
      <c r="Y453" s="240" t="s">
        <v>49</v>
      </c>
      <c r="Z453" s="240"/>
      <c r="AA453" s="240" t="s">
        <v>51</v>
      </c>
      <c r="AB453" s="238"/>
      <c r="AC453" s="240">
        <v>1</v>
      </c>
      <c r="AD453" s="240" t="s">
        <v>52</v>
      </c>
      <c r="AE453" s="238"/>
      <c r="AF453" s="238"/>
      <c r="AG453" s="238"/>
      <c r="AH453" s="240"/>
      <c r="AI453" s="240"/>
      <c r="AJ453" s="240"/>
      <c r="AK453" s="240"/>
      <c r="AL453" s="240"/>
      <c r="AM453" s="240"/>
      <c r="AN453" s="240"/>
      <c r="AO453" s="240"/>
      <c r="AP453" s="238"/>
      <c r="AQ453" s="238" t="s">
        <v>2827</v>
      </c>
    </row>
    <row r="454" spans="1:43">
      <c r="A454" s="6">
        <v>451</v>
      </c>
      <c r="B454" s="21" t="s">
        <v>2828</v>
      </c>
      <c r="C454" s="5" t="s">
        <v>2829</v>
      </c>
      <c r="D454" s="5" t="s">
        <v>2830</v>
      </c>
      <c r="E454" s="5" t="s">
        <v>2831</v>
      </c>
      <c r="F454" s="5" t="s">
        <v>2832</v>
      </c>
      <c r="G454" s="5"/>
      <c r="H454" s="5"/>
      <c r="I454" s="5"/>
      <c r="J454" s="5"/>
      <c r="K454" s="5"/>
      <c r="L454" s="5"/>
      <c r="M454" s="5"/>
      <c r="N454" s="5"/>
      <c r="O454" s="5"/>
      <c r="P454" s="11" t="s">
        <v>46</v>
      </c>
      <c r="Q454" s="5">
        <v>38.3294</v>
      </c>
      <c r="R454" s="5">
        <f t="shared" si="7"/>
        <v>38.3294</v>
      </c>
      <c r="S454" s="5" t="s">
        <v>47</v>
      </c>
      <c r="T454" s="6">
        <v>451</v>
      </c>
      <c r="U454" s="238" t="s">
        <v>2833</v>
      </c>
      <c r="V454" s="239" t="s">
        <v>2829</v>
      </c>
      <c r="W454" s="239"/>
      <c r="X454" s="239"/>
      <c r="Y454" s="240" t="s">
        <v>49</v>
      </c>
      <c r="Z454" s="240"/>
      <c r="AA454" s="240" t="s">
        <v>51</v>
      </c>
      <c r="AB454" s="238"/>
      <c r="AC454" s="240">
        <v>1</v>
      </c>
      <c r="AD454" s="240" t="s">
        <v>226</v>
      </c>
      <c r="AE454" s="238"/>
      <c r="AF454" s="238"/>
      <c r="AG454" s="238"/>
      <c r="AH454" s="240"/>
      <c r="AI454" s="240"/>
      <c r="AJ454" s="240"/>
      <c r="AK454" s="240"/>
      <c r="AL454" s="240"/>
      <c r="AM454" s="240"/>
      <c r="AN454" s="240"/>
      <c r="AO454" s="240"/>
      <c r="AP454" s="238"/>
      <c r="AQ454" s="238" t="s">
        <v>2834</v>
      </c>
    </row>
    <row r="455" spans="1:43">
      <c r="A455" s="6">
        <v>452</v>
      </c>
      <c r="B455" s="21" t="s">
        <v>2835</v>
      </c>
      <c r="C455" s="5" t="s">
        <v>2836</v>
      </c>
      <c r="D455" s="5" t="s">
        <v>2837</v>
      </c>
      <c r="E455" s="5" t="s">
        <v>2838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11" t="s">
        <v>46</v>
      </c>
      <c r="Q455" s="5">
        <v>146.06800000000001</v>
      </c>
      <c r="R455" s="5">
        <f t="shared" si="7"/>
        <v>146.06800000000001</v>
      </c>
      <c r="S455" s="5" t="s">
        <v>395</v>
      </c>
      <c r="T455" s="6">
        <v>452</v>
      </c>
      <c r="U455" s="253" t="s">
        <v>2839</v>
      </c>
      <c r="V455" s="232" t="s">
        <v>2836</v>
      </c>
      <c r="W455" s="232">
        <v>12915.4</v>
      </c>
      <c r="X455" s="232">
        <v>1871</v>
      </c>
      <c r="Y455" s="233" t="s">
        <v>49</v>
      </c>
      <c r="Z455" s="87" t="s">
        <v>50</v>
      </c>
      <c r="AA455" s="233" t="s">
        <v>51</v>
      </c>
      <c r="AB455" s="234"/>
      <c r="AC455" s="233">
        <v>1</v>
      </c>
      <c r="AD455" s="233" t="s">
        <v>226</v>
      </c>
      <c r="AE455" s="234"/>
      <c r="AF455" s="234"/>
      <c r="AG455" s="234"/>
      <c r="AH455" s="233"/>
      <c r="AI455" s="233"/>
      <c r="AJ455" s="233"/>
      <c r="AK455" s="233"/>
      <c r="AL455" s="233"/>
      <c r="AM455" s="233"/>
      <c r="AN455" s="233"/>
      <c r="AO455" s="233"/>
      <c r="AP455" s="234"/>
      <c r="AQ455" s="234" t="s">
        <v>333</v>
      </c>
    </row>
    <row r="456" spans="1:43">
      <c r="A456" s="6">
        <v>453</v>
      </c>
      <c r="B456" s="21" t="s">
        <v>2840</v>
      </c>
      <c r="C456" s="5" t="s">
        <v>2841</v>
      </c>
      <c r="D456" s="5" t="s">
        <v>2842</v>
      </c>
      <c r="E456" s="5" t="s">
        <v>2843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11" t="s">
        <v>46</v>
      </c>
      <c r="Q456" s="5">
        <v>249.47720000000001</v>
      </c>
      <c r="R456" s="5">
        <f t="shared" si="7"/>
        <v>249.47720000000001</v>
      </c>
      <c r="S456" s="5" t="s">
        <v>685</v>
      </c>
      <c r="T456" s="6">
        <v>453</v>
      </c>
      <c r="U456" s="253" t="s">
        <v>2844</v>
      </c>
      <c r="V456" s="232" t="s">
        <v>2841</v>
      </c>
      <c r="W456" s="232">
        <v>11912.6</v>
      </c>
      <c r="X456" s="232">
        <v>1819.9</v>
      </c>
      <c r="Y456" s="233" t="s">
        <v>49</v>
      </c>
      <c r="Z456" s="87" t="s">
        <v>50</v>
      </c>
      <c r="AA456" s="233" t="s">
        <v>51</v>
      </c>
      <c r="AB456" s="234"/>
      <c r="AC456" s="233">
        <v>1</v>
      </c>
      <c r="AD456" s="233" t="s">
        <v>226</v>
      </c>
      <c r="AE456" s="234"/>
      <c r="AF456" s="234"/>
      <c r="AG456" s="234"/>
      <c r="AH456" s="233"/>
      <c r="AI456" s="233"/>
      <c r="AJ456" s="233"/>
      <c r="AK456" s="233"/>
      <c r="AL456" s="233"/>
      <c r="AM456" s="233"/>
      <c r="AN456" s="233"/>
      <c r="AO456" s="233"/>
      <c r="AP456" s="234"/>
      <c r="AQ456" s="234" t="s">
        <v>333</v>
      </c>
    </row>
    <row r="457" spans="1:43">
      <c r="A457" s="6">
        <v>454</v>
      </c>
      <c r="B457" s="21" t="s">
        <v>2845</v>
      </c>
      <c r="C457" s="5" t="s">
        <v>2846</v>
      </c>
      <c r="D457" s="5" t="s">
        <v>605</v>
      </c>
      <c r="E457" s="5" t="s">
        <v>605</v>
      </c>
      <c r="F457" s="5" t="s">
        <v>2847</v>
      </c>
      <c r="G457" s="5"/>
      <c r="H457" s="5"/>
      <c r="I457" s="5"/>
      <c r="J457" s="5"/>
      <c r="K457" s="5"/>
      <c r="L457" s="5"/>
      <c r="M457" s="5"/>
      <c r="N457" s="5"/>
      <c r="O457" s="5"/>
      <c r="P457" s="11" t="s">
        <v>46</v>
      </c>
      <c r="Q457" s="5">
        <v>7.1464999999999996</v>
      </c>
      <c r="R457" s="5">
        <f t="shared" si="7"/>
        <v>7.1464999999999996</v>
      </c>
      <c r="S457" s="5" t="s">
        <v>67</v>
      </c>
      <c r="T457" s="6">
        <v>454</v>
      </c>
      <c r="U457" s="253" t="s">
        <v>2848</v>
      </c>
      <c r="V457" s="232" t="s">
        <v>2846</v>
      </c>
      <c r="W457" s="232">
        <v>-12547</v>
      </c>
      <c r="X457" s="232">
        <v>8975.4</v>
      </c>
      <c r="Y457" s="233" t="s">
        <v>49</v>
      </c>
      <c r="Z457" s="87" t="s">
        <v>50</v>
      </c>
      <c r="AA457" s="233"/>
      <c r="AB457" s="234"/>
      <c r="AC457" s="233"/>
      <c r="AD457" s="234"/>
      <c r="AE457" s="234"/>
      <c r="AF457" s="234"/>
      <c r="AG457" s="234"/>
      <c r="AH457" s="233"/>
      <c r="AI457" s="233"/>
      <c r="AJ457" s="233"/>
      <c r="AK457" s="233"/>
      <c r="AL457" s="233"/>
      <c r="AM457" s="233"/>
      <c r="AN457" s="233"/>
      <c r="AO457" s="233"/>
      <c r="AP457" s="234"/>
      <c r="AQ457" s="234" t="s">
        <v>608</v>
      </c>
    </row>
    <row r="458" spans="1:43">
      <c r="A458" s="6">
        <v>455</v>
      </c>
      <c r="B458" s="21" t="s">
        <v>2849</v>
      </c>
      <c r="C458" s="5" t="s">
        <v>2850</v>
      </c>
      <c r="D458" s="5" t="s">
        <v>2851</v>
      </c>
      <c r="E458" s="5" t="s">
        <v>2852</v>
      </c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11" t="s">
        <v>46</v>
      </c>
      <c r="Q458" s="5">
        <v>199.4436</v>
      </c>
      <c r="R458" s="5">
        <f t="shared" si="7"/>
        <v>199.4436</v>
      </c>
      <c r="S458" s="5" t="s">
        <v>395</v>
      </c>
      <c r="T458" s="6">
        <v>455</v>
      </c>
      <c r="U458" s="253" t="s">
        <v>2853</v>
      </c>
      <c r="V458" s="232" t="s">
        <v>2850</v>
      </c>
      <c r="W458" s="232">
        <v>-10313.4</v>
      </c>
      <c r="X458" s="232">
        <v>579.1</v>
      </c>
      <c r="Y458" s="233" t="s">
        <v>49</v>
      </c>
      <c r="Z458" s="87" t="s">
        <v>50</v>
      </c>
      <c r="AA458" s="233" t="s">
        <v>51</v>
      </c>
      <c r="AB458" s="234"/>
      <c r="AC458" s="233">
        <v>1</v>
      </c>
      <c r="AD458" s="233" t="s">
        <v>226</v>
      </c>
      <c r="AE458" s="234"/>
      <c r="AF458" s="234"/>
      <c r="AG458" s="234"/>
      <c r="AH458" s="233"/>
      <c r="AI458" s="233"/>
      <c r="AJ458" s="233"/>
      <c r="AK458" s="233"/>
      <c r="AL458" s="233"/>
      <c r="AM458" s="233"/>
      <c r="AN458" s="233"/>
      <c r="AO458" s="233"/>
      <c r="AP458" s="234"/>
      <c r="AQ458" s="234" t="s">
        <v>333</v>
      </c>
    </row>
    <row r="459" spans="1:43">
      <c r="A459" s="6">
        <v>456</v>
      </c>
      <c r="B459" s="21" t="s">
        <v>2854</v>
      </c>
      <c r="C459" s="5" t="s">
        <v>2855</v>
      </c>
      <c r="D459" s="5" t="s">
        <v>2856</v>
      </c>
      <c r="E459" s="5" t="s">
        <v>2857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11" t="s">
        <v>46</v>
      </c>
      <c r="Q459" s="5">
        <v>186.38290000000001</v>
      </c>
      <c r="R459" s="5">
        <f t="shared" si="7"/>
        <v>186.38290000000001</v>
      </c>
      <c r="S459" s="5" t="s">
        <v>67</v>
      </c>
      <c r="T459" s="6">
        <v>456</v>
      </c>
      <c r="U459" s="253" t="s">
        <v>2858</v>
      </c>
      <c r="V459" s="232" t="s">
        <v>2855</v>
      </c>
      <c r="W459" s="232">
        <v>-11024.6</v>
      </c>
      <c r="X459" s="232">
        <v>579.1</v>
      </c>
      <c r="Y459" s="233" t="s">
        <v>49</v>
      </c>
      <c r="Z459" s="87" t="s">
        <v>50</v>
      </c>
      <c r="AA459" s="233" t="s">
        <v>51</v>
      </c>
      <c r="AB459" s="234"/>
      <c r="AC459" s="233">
        <v>1</v>
      </c>
      <c r="AD459" s="233" t="s">
        <v>226</v>
      </c>
      <c r="AE459" s="234"/>
      <c r="AF459" s="234"/>
      <c r="AG459" s="234"/>
      <c r="AH459" s="233"/>
      <c r="AI459" s="233"/>
      <c r="AJ459" s="233"/>
      <c r="AK459" s="233"/>
      <c r="AL459" s="233"/>
      <c r="AM459" s="233"/>
      <c r="AN459" s="233"/>
      <c r="AO459" s="233"/>
      <c r="AP459" s="234"/>
      <c r="AQ459" s="234" t="s">
        <v>333</v>
      </c>
    </row>
    <row r="460" spans="1:43">
      <c r="A460" s="6">
        <v>457</v>
      </c>
      <c r="B460" s="21" t="s">
        <v>2859</v>
      </c>
      <c r="C460" s="5" t="s">
        <v>2860</v>
      </c>
      <c r="D460" s="5" t="s">
        <v>2861</v>
      </c>
      <c r="E460" s="5" t="s">
        <v>2862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11" t="s">
        <v>46</v>
      </c>
      <c r="Q460" s="5">
        <v>167.2081</v>
      </c>
      <c r="R460" s="5">
        <f t="shared" si="7"/>
        <v>167.2081</v>
      </c>
      <c r="S460" s="5" t="s">
        <v>395</v>
      </c>
      <c r="T460" s="6">
        <v>457</v>
      </c>
      <c r="U460" s="253" t="s">
        <v>2863</v>
      </c>
      <c r="V460" s="232" t="s">
        <v>2860</v>
      </c>
      <c r="W460" s="232">
        <v>-6950.9</v>
      </c>
      <c r="X460" s="232">
        <v>1353.8</v>
      </c>
      <c r="Y460" s="233" t="s">
        <v>49</v>
      </c>
      <c r="Z460" s="87" t="s">
        <v>50</v>
      </c>
      <c r="AA460" s="233" t="s">
        <v>51</v>
      </c>
      <c r="AB460" s="234"/>
      <c r="AC460" s="233">
        <v>1</v>
      </c>
      <c r="AD460" s="233" t="s">
        <v>226</v>
      </c>
      <c r="AE460" s="234"/>
      <c r="AF460" s="234"/>
      <c r="AG460" s="234"/>
      <c r="AH460" s="233"/>
      <c r="AI460" s="233"/>
      <c r="AJ460" s="233"/>
      <c r="AK460" s="233"/>
      <c r="AL460" s="233"/>
      <c r="AM460" s="233"/>
      <c r="AN460" s="233"/>
      <c r="AO460" s="233"/>
      <c r="AP460" s="234"/>
      <c r="AQ460" s="234" t="s">
        <v>333</v>
      </c>
    </row>
    <row r="461" spans="1:43">
      <c r="A461" s="6">
        <v>458</v>
      </c>
      <c r="B461" s="21" t="s">
        <v>2864</v>
      </c>
      <c r="C461" s="5" t="s">
        <v>2865</v>
      </c>
      <c r="D461" s="5" t="s">
        <v>2866</v>
      </c>
      <c r="E461" s="5" t="s">
        <v>2867</v>
      </c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11" t="s">
        <v>46</v>
      </c>
      <c r="Q461" s="5">
        <v>215.22819999999999</v>
      </c>
      <c r="R461" s="5">
        <f t="shared" si="7"/>
        <v>215.22819999999999</v>
      </c>
      <c r="S461" s="5" t="s">
        <v>395</v>
      </c>
      <c r="T461" s="6">
        <v>458</v>
      </c>
      <c r="U461" s="253" t="s">
        <v>2868</v>
      </c>
      <c r="V461" s="232" t="s">
        <v>2865</v>
      </c>
      <c r="W461" s="232">
        <v>-9670.7999999999993</v>
      </c>
      <c r="X461" s="232">
        <v>2204.6999999999998</v>
      </c>
      <c r="Y461" s="233" t="s">
        <v>49</v>
      </c>
      <c r="Z461" s="87" t="s">
        <v>50</v>
      </c>
      <c r="AA461" s="233" t="s">
        <v>51</v>
      </c>
      <c r="AB461" s="234"/>
      <c r="AC461" s="233">
        <v>1</v>
      </c>
      <c r="AD461" s="233" t="s">
        <v>226</v>
      </c>
      <c r="AE461" s="234"/>
      <c r="AF461" s="234"/>
      <c r="AG461" s="234"/>
      <c r="AH461" s="233"/>
      <c r="AI461" s="233"/>
      <c r="AJ461" s="233"/>
      <c r="AK461" s="233"/>
      <c r="AL461" s="233"/>
      <c r="AM461" s="233"/>
      <c r="AN461" s="233"/>
      <c r="AO461" s="233"/>
      <c r="AP461" s="234"/>
      <c r="AQ461" s="234" t="s">
        <v>333</v>
      </c>
    </row>
    <row r="462" spans="1:43">
      <c r="A462" s="6">
        <v>459</v>
      </c>
      <c r="B462" s="21" t="s">
        <v>2869</v>
      </c>
      <c r="C462" s="5" t="s">
        <v>2870</v>
      </c>
      <c r="D462" s="5" t="s">
        <v>2871</v>
      </c>
      <c r="E462" s="5" t="s">
        <v>2872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11" t="s">
        <v>46</v>
      </c>
      <c r="Q462" s="5">
        <v>138.66999999999999</v>
      </c>
      <c r="R462" s="5">
        <f t="shared" si="7"/>
        <v>138.66999999999999</v>
      </c>
      <c r="S462" s="5" t="s">
        <v>67</v>
      </c>
      <c r="T462" s="6">
        <v>459</v>
      </c>
      <c r="U462" s="253" t="s">
        <v>2873</v>
      </c>
      <c r="V462" s="232" t="s">
        <v>2870</v>
      </c>
      <c r="W462" s="232">
        <v>-8982.5</v>
      </c>
      <c r="X462" s="232">
        <v>2014.2</v>
      </c>
      <c r="Y462" s="233" t="s">
        <v>49</v>
      </c>
      <c r="Z462" s="87" t="s">
        <v>50</v>
      </c>
      <c r="AA462" s="233" t="s">
        <v>51</v>
      </c>
      <c r="AB462" s="234"/>
      <c r="AC462" s="233">
        <v>1</v>
      </c>
      <c r="AD462" s="233" t="s">
        <v>226</v>
      </c>
      <c r="AE462" s="234"/>
      <c r="AF462" s="234"/>
      <c r="AG462" s="234"/>
      <c r="AH462" s="233"/>
      <c r="AI462" s="233"/>
      <c r="AJ462" s="233"/>
      <c r="AK462" s="233"/>
      <c r="AL462" s="233"/>
      <c r="AM462" s="233"/>
      <c r="AN462" s="233"/>
      <c r="AO462" s="233"/>
      <c r="AP462" s="234"/>
      <c r="AQ462" s="234" t="s">
        <v>333</v>
      </c>
    </row>
    <row r="463" spans="1:43">
      <c r="A463" s="6">
        <v>460</v>
      </c>
      <c r="B463" s="21" t="s">
        <v>2874</v>
      </c>
      <c r="C463" s="5" t="s">
        <v>2875</v>
      </c>
      <c r="D463" s="5" t="s">
        <v>2876</v>
      </c>
      <c r="E463" s="5" t="s">
        <v>2877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11" t="s">
        <v>46</v>
      </c>
      <c r="Q463" s="5">
        <v>105.6863</v>
      </c>
      <c r="R463" s="5">
        <f t="shared" si="7"/>
        <v>105.6863</v>
      </c>
      <c r="S463" s="5" t="s">
        <v>60</v>
      </c>
      <c r="T463" s="6">
        <v>460</v>
      </c>
      <c r="U463" s="253" t="s">
        <v>2878</v>
      </c>
      <c r="V463" s="232" t="s">
        <v>2875</v>
      </c>
      <c r="W463" s="232">
        <v>-6950.9</v>
      </c>
      <c r="X463" s="232">
        <v>2344.5</v>
      </c>
      <c r="Y463" s="233" t="s">
        <v>49</v>
      </c>
      <c r="Z463" s="87" t="s">
        <v>50</v>
      </c>
      <c r="AA463" s="233" t="s">
        <v>51</v>
      </c>
      <c r="AB463" s="234"/>
      <c r="AC463" s="233">
        <v>1</v>
      </c>
      <c r="AD463" s="233" t="s">
        <v>226</v>
      </c>
      <c r="AE463" s="234"/>
      <c r="AF463" s="234"/>
      <c r="AG463" s="234"/>
      <c r="AH463" s="233"/>
      <c r="AI463" s="233"/>
      <c r="AJ463" s="233"/>
      <c r="AK463" s="233"/>
      <c r="AL463" s="233"/>
      <c r="AM463" s="233"/>
      <c r="AN463" s="233"/>
      <c r="AO463" s="233"/>
      <c r="AP463" s="234"/>
      <c r="AQ463" s="234" t="s">
        <v>333</v>
      </c>
    </row>
    <row r="464" spans="1:43">
      <c r="A464" s="6">
        <v>461</v>
      </c>
      <c r="B464" s="21" t="s">
        <v>2879</v>
      </c>
      <c r="C464" s="5" t="s">
        <v>2880</v>
      </c>
      <c r="D464" s="5" t="s">
        <v>2881</v>
      </c>
      <c r="E464" s="5" t="s">
        <v>2882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11" t="s">
        <v>46</v>
      </c>
      <c r="Q464" s="5">
        <v>154.10409999999999</v>
      </c>
      <c r="R464" s="5">
        <f t="shared" si="7"/>
        <v>154.10409999999999</v>
      </c>
      <c r="S464" s="5" t="s">
        <v>47</v>
      </c>
      <c r="T464" s="6">
        <v>461</v>
      </c>
      <c r="U464" s="253" t="s">
        <v>2883</v>
      </c>
      <c r="V464" s="232" t="s">
        <v>2880</v>
      </c>
      <c r="W464" s="232">
        <v>-7674.8</v>
      </c>
      <c r="X464" s="232">
        <v>2344.5</v>
      </c>
      <c r="Y464" s="233" t="s">
        <v>49</v>
      </c>
      <c r="Z464" s="87" t="s">
        <v>50</v>
      </c>
      <c r="AA464" s="233" t="s">
        <v>51</v>
      </c>
      <c r="AB464" s="234"/>
      <c r="AC464" s="233">
        <v>1</v>
      </c>
      <c r="AD464" s="233" t="s">
        <v>226</v>
      </c>
      <c r="AE464" s="234"/>
      <c r="AF464" s="234"/>
      <c r="AG464" s="234"/>
      <c r="AH464" s="233"/>
      <c r="AI464" s="233"/>
      <c r="AJ464" s="233"/>
      <c r="AK464" s="233"/>
      <c r="AL464" s="233"/>
      <c r="AM464" s="233"/>
      <c r="AN464" s="233"/>
      <c r="AO464" s="233"/>
      <c r="AP464" s="234"/>
      <c r="AQ464" s="234" t="s">
        <v>333</v>
      </c>
    </row>
    <row r="465" spans="1:43">
      <c r="A465" s="6">
        <v>462</v>
      </c>
      <c r="B465" s="21" t="s">
        <v>2884</v>
      </c>
      <c r="C465" s="5" t="s">
        <v>2885</v>
      </c>
      <c r="D465" s="5" t="s">
        <v>2886</v>
      </c>
      <c r="E465" s="5" t="s">
        <v>2887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11" t="s">
        <v>46</v>
      </c>
      <c r="Q465" s="5">
        <v>223.60830000000001</v>
      </c>
      <c r="R465" s="5">
        <f t="shared" si="7"/>
        <v>223.60830000000001</v>
      </c>
      <c r="S465" s="5" t="s">
        <v>685</v>
      </c>
      <c r="T465" s="6">
        <v>462</v>
      </c>
      <c r="U465" s="253" t="s">
        <v>2888</v>
      </c>
      <c r="V465" s="232" t="s">
        <v>2885</v>
      </c>
      <c r="W465" s="232">
        <v>-9602.2000000000007</v>
      </c>
      <c r="X465" s="232">
        <v>579.1</v>
      </c>
      <c r="Y465" s="233" t="s">
        <v>49</v>
      </c>
      <c r="Z465" s="87" t="s">
        <v>50</v>
      </c>
      <c r="AA465" s="233" t="s">
        <v>51</v>
      </c>
      <c r="AB465" s="234"/>
      <c r="AC465" s="233">
        <v>1</v>
      </c>
      <c r="AD465" s="233" t="s">
        <v>226</v>
      </c>
      <c r="AE465" s="234"/>
      <c r="AF465" s="234"/>
      <c r="AG465" s="234"/>
      <c r="AH465" s="233"/>
      <c r="AI465" s="233"/>
      <c r="AJ465" s="233"/>
      <c r="AK465" s="233"/>
      <c r="AL465" s="233"/>
      <c r="AM465" s="233"/>
      <c r="AN465" s="233"/>
      <c r="AO465" s="233"/>
      <c r="AP465" s="234"/>
      <c r="AQ465" s="234" t="s">
        <v>333</v>
      </c>
    </row>
    <row r="466" spans="1:43">
      <c r="A466" s="6">
        <v>463</v>
      </c>
      <c r="B466" s="21" t="s">
        <v>2889</v>
      </c>
      <c r="C466" s="5" t="s">
        <v>2890</v>
      </c>
      <c r="D466" s="5" t="s">
        <v>2891</v>
      </c>
      <c r="E466" s="5" t="s">
        <v>2892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11" t="s">
        <v>46</v>
      </c>
      <c r="Q466" s="5">
        <v>127.17910000000001</v>
      </c>
      <c r="R466" s="5">
        <f t="shared" si="7"/>
        <v>127.17910000000001</v>
      </c>
      <c r="S466" s="5" t="s">
        <v>74</v>
      </c>
      <c r="T466" s="6">
        <v>463</v>
      </c>
      <c r="U466" s="253" t="s">
        <v>2893</v>
      </c>
      <c r="V466" s="232" t="s">
        <v>2890</v>
      </c>
      <c r="W466" s="232">
        <v>8891</v>
      </c>
      <c r="X466" s="232">
        <v>579.1</v>
      </c>
      <c r="Y466" s="233" t="s">
        <v>49</v>
      </c>
      <c r="Z466" s="87" t="s">
        <v>50</v>
      </c>
      <c r="AA466" s="233" t="s">
        <v>51</v>
      </c>
      <c r="AB466" s="234"/>
      <c r="AC466" s="233">
        <v>1</v>
      </c>
      <c r="AD466" s="233" t="s">
        <v>226</v>
      </c>
      <c r="AE466" s="234"/>
      <c r="AF466" s="234"/>
      <c r="AG466" s="234"/>
      <c r="AH466" s="233"/>
      <c r="AI466" s="233"/>
      <c r="AJ466" s="233"/>
      <c r="AK466" s="233"/>
      <c r="AL466" s="233"/>
      <c r="AM466" s="233"/>
      <c r="AN466" s="233"/>
      <c r="AO466" s="233"/>
      <c r="AP466" s="234"/>
      <c r="AQ466" s="234" t="s">
        <v>333</v>
      </c>
    </row>
    <row r="467" spans="1:43">
      <c r="A467" s="6">
        <v>464</v>
      </c>
      <c r="B467" s="21" t="s">
        <v>1850</v>
      </c>
      <c r="C467" s="5" t="s">
        <v>2894</v>
      </c>
      <c r="D467" s="5" t="s">
        <v>2895</v>
      </c>
      <c r="E467" s="5" t="s">
        <v>2896</v>
      </c>
      <c r="F467" s="5" t="s">
        <v>1854</v>
      </c>
      <c r="G467" s="5"/>
      <c r="H467" s="5"/>
      <c r="I467" s="5"/>
      <c r="J467" s="5"/>
      <c r="K467" s="5"/>
      <c r="L467" s="5"/>
      <c r="M467" s="5"/>
      <c r="N467" s="5"/>
      <c r="O467" s="5"/>
      <c r="P467" s="11" t="s">
        <v>46</v>
      </c>
      <c r="Q467" s="5">
        <v>159.5351</v>
      </c>
      <c r="R467" s="5">
        <f t="shared" si="7"/>
        <v>159.5351</v>
      </c>
      <c r="S467" s="5" t="s">
        <v>1855</v>
      </c>
      <c r="T467" s="6">
        <v>464</v>
      </c>
      <c r="U467" s="238" t="s">
        <v>2897</v>
      </c>
      <c r="V467" s="239" t="s">
        <v>2894</v>
      </c>
      <c r="W467" s="239"/>
      <c r="X467" s="239"/>
      <c r="Y467" s="240" t="s">
        <v>49</v>
      </c>
      <c r="Z467" s="240"/>
      <c r="AA467" s="240" t="s">
        <v>51</v>
      </c>
      <c r="AB467" s="238"/>
      <c r="AC467" s="240">
        <v>1</v>
      </c>
      <c r="AD467" s="240" t="s">
        <v>226</v>
      </c>
      <c r="AE467" s="238"/>
      <c r="AF467" s="238"/>
      <c r="AG467" s="238"/>
      <c r="AH467" s="240"/>
      <c r="AI467" s="240"/>
      <c r="AJ467" s="240"/>
      <c r="AK467" s="240"/>
      <c r="AL467" s="240"/>
      <c r="AM467" s="240"/>
      <c r="AN467" s="240"/>
      <c r="AO467" s="240"/>
      <c r="AP467" s="238"/>
      <c r="AQ467" s="238" t="s">
        <v>2834</v>
      </c>
    </row>
    <row r="468" spans="1:43">
      <c r="A468" s="6">
        <v>465</v>
      </c>
      <c r="B468" s="21" t="s">
        <v>2898</v>
      </c>
      <c r="C468" s="5" t="s">
        <v>2899</v>
      </c>
      <c r="D468" s="5" t="s">
        <v>2900</v>
      </c>
      <c r="E468" s="5" t="s">
        <v>2901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11" t="s">
        <v>46</v>
      </c>
      <c r="Q468" s="5">
        <v>140.60050000000001</v>
      </c>
      <c r="R468" s="5">
        <f t="shared" si="7"/>
        <v>140.60050000000001</v>
      </c>
      <c r="S468" s="5" t="s">
        <v>47</v>
      </c>
      <c r="T468" s="6">
        <v>465</v>
      </c>
      <c r="U468" s="253" t="s">
        <v>2902</v>
      </c>
      <c r="V468" s="232" t="s">
        <v>2899</v>
      </c>
      <c r="W468" s="232">
        <v>-8891</v>
      </c>
      <c r="X468" s="232">
        <v>579.1</v>
      </c>
      <c r="Y468" s="233" t="s">
        <v>49</v>
      </c>
      <c r="Z468" s="87" t="s">
        <v>50</v>
      </c>
      <c r="AA468" s="233" t="s">
        <v>51</v>
      </c>
      <c r="AB468" s="234"/>
      <c r="AC468" s="233">
        <v>1</v>
      </c>
      <c r="AD468" s="233" t="s">
        <v>226</v>
      </c>
      <c r="AE468" s="234"/>
      <c r="AF468" s="234"/>
      <c r="AG468" s="234"/>
      <c r="AH468" s="233"/>
      <c r="AI468" s="233"/>
      <c r="AJ468" s="233"/>
      <c r="AK468" s="233"/>
      <c r="AL468" s="233"/>
      <c r="AM468" s="233"/>
      <c r="AN468" s="233"/>
      <c r="AO468" s="233"/>
      <c r="AP468" s="234"/>
      <c r="AQ468" s="234" t="s">
        <v>333</v>
      </c>
    </row>
    <row r="469" spans="1:43">
      <c r="A469" s="6">
        <v>466</v>
      </c>
      <c r="B469" s="21" t="s">
        <v>2903</v>
      </c>
      <c r="C469" s="5" t="s">
        <v>2904</v>
      </c>
      <c r="D469" s="268" t="s">
        <v>2905</v>
      </c>
      <c r="E469" s="268" t="s">
        <v>2906</v>
      </c>
      <c r="F469" s="5" t="s">
        <v>2907</v>
      </c>
      <c r="G469" s="5" t="s">
        <v>2908</v>
      </c>
      <c r="H469" s="5" t="s">
        <v>2909</v>
      </c>
      <c r="I469" s="5" t="s">
        <v>2910</v>
      </c>
      <c r="J469" s="11" t="s">
        <v>2911</v>
      </c>
      <c r="K469" s="5"/>
      <c r="L469" s="5"/>
      <c r="M469" s="5"/>
      <c r="N469" s="5"/>
      <c r="O469" s="5"/>
      <c r="P469" s="269">
        <v>207.06800000000001</v>
      </c>
      <c r="Q469" s="5">
        <v>59.296199999999999</v>
      </c>
      <c r="R469" s="268">
        <f t="shared" si="7"/>
        <v>266.36419999999998</v>
      </c>
      <c r="S469" s="268" t="s">
        <v>1827</v>
      </c>
      <c r="T469" s="6">
        <v>466</v>
      </c>
      <c r="U469" s="253" t="s">
        <v>2912</v>
      </c>
      <c r="V469" s="232" t="s">
        <v>2904</v>
      </c>
      <c r="W469" s="232">
        <v>-2182.9</v>
      </c>
      <c r="X469" s="232">
        <v>-4151.3999999999996</v>
      </c>
      <c r="Y469" s="233" t="s">
        <v>49</v>
      </c>
      <c r="Z469" s="87" t="s">
        <v>50</v>
      </c>
      <c r="AA469" s="233" t="s">
        <v>51</v>
      </c>
      <c r="AB469" s="234"/>
      <c r="AC469" s="233">
        <v>2</v>
      </c>
      <c r="AD469" s="233" t="s">
        <v>226</v>
      </c>
      <c r="AE469" s="234"/>
      <c r="AF469" s="234"/>
      <c r="AG469" s="234"/>
      <c r="AH469" s="233"/>
      <c r="AI469" s="233"/>
      <c r="AJ469" s="233"/>
      <c r="AK469" s="233"/>
      <c r="AL469" s="233"/>
      <c r="AM469" s="233"/>
      <c r="AN469" s="233"/>
      <c r="AO469" s="233"/>
      <c r="AP469" s="234"/>
      <c r="AQ469" s="234" t="s">
        <v>2913</v>
      </c>
    </row>
    <row r="470" spans="1:43">
      <c r="A470" s="6">
        <v>467</v>
      </c>
      <c r="B470" s="21" t="s">
        <v>2914</v>
      </c>
      <c r="C470" s="5" t="s">
        <v>2915</v>
      </c>
      <c r="D470" s="5" t="s">
        <v>2916</v>
      </c>
      <c r="E470" s="5" t="s">
        <v>2917</v>
      </c>
      <c r="F470" s="5" t="s">
        <v>2918</v>
      </c>
      <c r="G470" s="5" t="s">
        <v>2919</v>
      </c>
      <c r="H470" s="5" t="s">
        <v>2920</v>
      </c>
      <c r="I470" s="5" t="s">
        <v>2921</v>
      </c>
      <c r="J470" s="11" t="s">
        <v>2922</v>
      </c>
      <c r="K470" s="5"/>
      <c r="L470" s="5"/>
      <c r="M470" s="5"/>
      <c r="N470" s="5"/>
      <c r="O470" s="5"/>
      <c r="P470" s="269">
        <v>207.26769999999999</v>
      </c>
      <c r="Q470" s="5">
        <v>59.270400000000002</v>
      </c>
      <c r="R470" s="268">
        <f t="shared" si="7"/>
        <v>266.53809999999999</v>
      </c>
      <c r="S470" s="5" t="s">
        <v>1827</v>
      </c>
      <c r="T470" s="6">
        <v>467</v>
      </c>
      <c r="U470" s="253" t="s">
        <v>2923</v>
      </c>
      <c r="V470" s="232" t="s">
        <v>2915</v>
      </c>
      <c r="W470" s="232">
        <v>-2182.9</v>
      </c>
      <c r="X470" s="232">
        <v>-4862.6000000000004</v>
      </c>
      <c r="Y470" s="233" t="s">
        <v>49</v>
      </c>
      <c r="Z470" s="87" t="s">
        <v>50</v>
      </c>
      <c r="AA470" s="233" t="s">
        <v>51</v>
      </c>
      <c r="AB470" s="234"/>
      <c r="AC470" s="233">
        <v>2</v>
      </c>
      <c r="AD470" s="233" t="s">
        <v>226</v>
      </c>
      <c r="AE470" s="234"/>
      <c r="AF470" s="234"/>
      <c r="AG470" s="234"/>
      <c r="AH470" s="233"/>
      <c r="AI470" s="233"/>
      <c r="AJ470" s="233"/>
      <c r="AK470" s="233"/>
      <c r="AL470" s="233"/>
      <c r="AM470" s="233"/>
      <c r="AN470" s="233"/>
      <c r="AO470" s="233"/>
      <c r="AP470" s="234"/>
      <c r="AQ470" s="234" t="s">
        <v>2913</v>
      </c>
    </row>
    <row r="471" spans="1:43">
      <c r="A471" s="6">
        <v>468</v>
      </c>
      <c r="B471" s="21" t="s">
        <v>2924</v>
      </c>
      <c r="C471" s="5" t="s">
        <v>2925</v>
      </c>
      <c r="D471" s="5" t="s">
        <v>2926</v>
      </c>
      <c r="E471" s="5" t="s">
        <v>2927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11" t="s">
        <v>46</v>
      </c>
      <c r="Q471" s="5">
        <v>145.65799999999999</v>
      </c>
      <c r="R471" s="5">
        <f t="shared" si="7"/>
        <v>145.65799999999999</v>
      </c>
      <c r="S471" s="5" t="s">
        <v>47</v>
      </c>
      <c r="T471" s="6">
        <v>468</v>
      </c>
      <c r="U471" s="253" t="s">
        <v>2928</v>
      </c>
      <c r="V471" s="232" t="s">
        <v>2925</v>
      </c>
      <c r="W471" s="232">
        <v>-4779.2</v>
      </c>
      <c r="X471" s="232">
        <v>-3335.2</v>
      </c>
      <c r="Y471" s="233" t="s">
        <v>49</v>
      </c>
      <c r="Z471" s="87" t="s">
        <v>50</v>
      </c>
      <c r="AA471" s="233" t="s">
        <v>51</v>
      </c>
      <c r="AB471" s="234"/>
      <c r="AC471" s="233">
        <v>1</v>
      </c>
      <c r="AD471" s="233" t="s">
        <v>226</v>
      </c>
      <c r="AE471" s="234"/>
      <c r="AF471" s="234"/>
      <c r="AG471" s="234"/>
      <c r="AH471" s="233"/>
      <c r="AI471" s="233"/>
      <c r="AJ471" s="233"/>
      <c r="AK471" s="233"/>
      <c r="AL471" s="233"/>
      <c r="AM471" s="233"/>
      <c r="AN471" s="233"/>
      <c r="AO471" s="233"/>
      <c r="AP471" s="234"/>
      <c r="AQ471" s="234" t="s">
        <v>333</v>
      </c>
    </row>
    <row r="472" spans="1:43">
      <c r="A472" s="6">
        <v>469</v>
      </c>
      <c r="B472" s="21" t="s">
        <v>2929</v>
      </c>
      <c r="C472" s="5" t="s">
        <v>2930</v>
      </c>
      <c r="D472" s="5" t="s">
        <v>2931</v>
      </c>
      <c r="E472" s="5" t="s">
        <v>2932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11" t="s">
        <v>46</v>
      </c>
      <c r="Q472" s="5">
        <v>132.84639999999999</v>
      </c>
      <c r="R472" s="5">
        <f t="shared" si="7"/>
        <v>132.84639999999999</v>
      </c>
      <c r="S472" s="5" t="s">
        <v>67</v>
      </c>
      <c r="T472" s="6">
        <v>469</v>
      </c>
      <c r="U472" s="253" t="s">
        <v>2933</v>
      </c>
      <c r="V472" s="232" t="s">
        <v>2930</v>
      </c>
      <c r="W472" s="232">
        <v>12285.7</v>
      </c>
      <c r="X472" s="232">
        <v>1192.8</v>
      </c>
      <c r="Y472" s="233" t="s">
        <v>49</v>
      </c>
      <c r="Z472" s="87" t="s">
        <v>50</v>
      </c>
      <c r="AA472" s="233" t="s">
        <v>51</v>
      </c>
      <c r="AB472" s="234"/>
      <c r="AC472" s="233">
        <v>1</v>
      </c>
      <c r="AD472" s="233" t="s">
        <v>226</v>
      </c>
      <c r="AE472" s="234"/>
      <c r="AF472" s="234"/>
      <c r="AG472" s="234"/>
      <c r="AH472" s="233"/>
      <c r="AI472" s="233"/>
      <c r="AJ472" s="233"/>
      <c r="AK472" s="233"/>
      <c r="AL472" s="233"/>
      <c r="AM472" s="233"/>
      <c r="AN472" s="233"/>
      <c r="AO472" s="233"/>
      <c r="AP472" s="234"/>
      <c r="AQ472" s="234" t="s">
        <v>2934</v>
      </c>
    </row>
    <row r="473" spans="1:43">
      <c r="A473" s="6">
        <v>470</v>
      </c>
      <c r="B473" s="21" t="s">
        <v>2935</v>
      </c>
      <c r="C473" s="5" t="s">
        <v>2936</v>
      </c>
      <c r="D473" s="5" t="s">
        <v>2937</v>
      </c>
      <c r="E473" s="5" t="s">
        <v>2938</v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11" t="s">
        <v>46</v>
      </c>
      <c r="Q473" s="5">
        <v>125.0804</v>
      </c>
      <c r="R473" s="5">
        <f t="shared" si="7"/>
        <v>125.0804</v>
      </c>
      <c r="S473" s="5" t="s">
        <v>74</v>
      </c>
      <c r="T473" s="6">
        <v>470</v>
      </c>
      <c r="U473" s="253" t="s">
        <v>2939</v>
      </c>
      <c r="V473" s="232" t="s">
        <v>2936</v>
      </c>
      <c r="W473" s="232">
        <v>12159</v>
      </c>
      <c r="X473" s="232">
        <v>692.2</v>
      </c>
      <c r="Y473" s="233" t="s">
        <v>49</v>
      </c>
      <c r="Z473" s="87" t="s">
        <v>50</v>
      </c>
      <c r="AA473" s="233" t="s">
        <v>51</v>
      </c>
      <c r="AB473" s="234"/>
      <c r="AC473" s="233">
        <v>1</v>
      </c>
      <c r="AD473" s="233" t="s">
        <v>226</v>
      </c>
      <c r="AE473" s="234"/>
      <c r="AF473" s="234"/>
      <c r="AG473" s="234"/>
      <c r="AH473" s="233"/>
      <c r="AI473" s="233"/>
      <c r="AJ473" s="233"/>
      <c r="AK473" s="233"/>
      <c r="AL473" s="233"/>
      <c r="AM473" s="233"/>
      <c r="AN473" s="233"/>
      <c r="AO473" s="233"/>
      <c r="AP473" s="234"/>
      <c r="AQ473" s="234" t="s">
        <v>2934</v>
      </c>
    </row>
    <row r="474" spans="1:43">
      <c r="A474" s="6">
        <v>471</v>
      </c>
      <c r="B474" s="21" t="s">
        <v>2940</v>
      </c>
      <c r="C474" s="5" t="s">
        <v>2941</v>
      </c>
      <c r="D474" s="5" t="s">
        <v>2942</v>
      </c>
      <c r="E474" s="5" t="s">
        <v>2943</v>
      </c>
      <c r="F474" s="5" t="s">
        <v>2944</v>
      </c>
      <c r="G474" s="5"/>
      <c r="H474" s="5"/>
      <c r="I474" s="5"/>
      <c r="J474" s="5"/>
      <c r="K474" s="5"/>
      <c r="L474" s="5"/>
      <c r="M474" s="5"/>
      <c r="N474" s="5"/>
      <c r="O474" s="5"/>
      <c r="P474" s="11" t="s">
        <v>46</v>
      </c>
      <c r="Q474" s="5">
        <v>209.2877</v>
      </c>
      <c r="R474" s="5">
        <f t="shared" si="7"/>
        <v>209.2877</v>
      </c>
      <c r="S474" s="5" t="s">
        <v>1818</v>
      </c>
      <c r="T474" s="6">
        <v>471</v>
      </c>
      <c r="U474" s="253" t="s">
        <v>2945</v>
      </c>
      <c r="V474" s="232" t="s">
        <v>2941</v>
      </c>
      <c r="W474" s="232">
        <v>2182.9</v>
      </c>
      <c r="X474" s="232">
        <v>4151.3999999999996</v>
      </c>
      <c r="Y474" s="233" t="s">
        <v>49</v>
      </c>
      <c r="Z474" s="87" t="s">
        <v>50</v>
      </c>
      <c r="AA474" s="233" t="s">
        <v>51</v>
      </c>
      <c r="AB474" s="234"/>
      <c r="AC474" s="233">
        <v>1</v>
      </c>
      <c r="AD474" s="233" t="s">
        <v>226</v>
      </c>
      <c r="AE474" s="233"/>
      <c r="AF474" s="233"/>
      <c r="AG474" s="233" t="s">
        <v>2946</v>
      </c>
      <c r="AH474" s="233">
        <v>5</v>
      </c>
      <c r="AI474" s="233">
        <v>85</v>
      </c>
      <c r="AJ474" s="233"/>
      <c r="AK474" s="233"/>
      <c r="AL474" s="233"/>
      <c r="AM474" s="233"/>
      <c r="AN474" s="233"/>
      <c r="AO474" s="233" t="s">
        <v>636</v>
      </c>
      <c r="AP474" s="234"/>
      <c r="AQ474" s="234" t="s">
        <v>653</v>
      </c>
    </row>
    <row r="475" spans="1:43">
      <c r="A475" s="6">
        <v>472</v>
      </c>
      <c r="B475" s="21" t="s">
        <v>2947</v>
      </c>
      <c r="C475" s="5" t="s">
        <v>2948</v>
      </c>
      <c r="D475" s="5" t="s">
        <v>2949</v>
      </c>
      <c r="E475" s="5" t="s">
        <v>2950</v>
      </c>
      <c r="F475" s="5" t="s">
        <v>2951</v>
      </c>
      <c r="G475" s="5"/>
      <c r="H475" s="5"/>
      <c r="I475" s="5"/>
      <c r="J475" s="5"/>
      <c r="K475" s="5"/>
      <c r="L475" s="5"/>
      <c r="M475" s="5"/>
      <c r="N475" s="5"/>
      <c r="O475" s="5"/>
      <c r="P475" s="11" t="s">
        <v>46</v>
      </c>
      <c r="Q475" s="5">
        <v>209.28280000000001</v>
      </c>
      <c r="R475" s="5">
        <f t="shared" si="7"/>
        <v>209.28280000000001</v>
      </c>
      <c r="S475" s="5" t="s">
        <v>1818</v>
      </c>
      <c r="T475" s="6">
        <v>472</v>
      </c>
      <c r="U475" s="253" t="s">
        <v>2952</v>
      </c>
      <c r="V475" s="232" t="s">
        <v>2948</v>
      </c>
      <c r="W475" s="232">
        <v>2182.9</v>
      </c>
      <c r="X475" s="232">
        <v>4862.6000000000004</v>
      </c>
      <c r="Y475" s="233" t="s">
        <v>49</v>
      </c>
      <c r="Z475" s="87" t="s">
        <v>50</v>
      </c>
      <c r="AA475" s="233" t="s">
        <v>51</v>
      </c>
      <c r="AB475" s="234"/>
      <c r="AC475" s="233">
        <v>1</v>
      </c>
      <c r="AD475" s="233" t="s">
        <v>226</v>
      </c>
      <c r="AE475" s="233"/>
      <c r="AF475" s="233"/>
      <c r="AG475" s="233" t="s">
        <v>2946</v>
      </c>
      <c r="AH475" s="233">
        <v>5</v>
      </c>
      <c r="AI475" s="233">
        <v>85</v>
      </c>
      <c r="AJ475" s="233"/>
      <c r="AK475" s="233"/>
      <c r="AL475" s="233"/>
      <c r="AM475" s="233"/>
      <c r="AN475" s="233"/>
      <c r="AO475" s="233" t="s">
        <v>636</v>
      </c>
      <c r="AP475" s="234"/>
      <c r="AQ475" s="234" t="s">
        <v>653</v>
      </c>
    </row>
    <row r="476" spans="1:43">
      <c r="A476" s="6">
        <v>473</v>
      </c>
      <c r="B476" s="21" t="s">
        <v>2953</v>
      </c>
      <c r="C476" s="5" t="s">
        <v>2954</v>
      </c>
      <c r="D476" s="5" t="s">
        <v>2955</v>
      </c>
      <c r="E476" s="5" t="s">
        <v>2956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11" t="s">
        <v>46</v>
      </c>
      <c r="Q476" s="5">
        <v>231.101</v>
      </c>
      <c r="R476" s="5">
        <f t="shared" si="7"/>
        <v>231.101</v>
      </c>
      <c r="S476" s="5" t="s">
        <v>685</v>
      </c>
      <c r="T476" s="6">
        <v>473</v>
      </c>
      <c r="U476" s="256" t="s">
        <v>2957</v>
      </c>
      <c r="V476" s="232" t="s">
        <v>2954</v>
      </c>
      <c r="W476" s="232">
        <v>9981.2000000000007</v>
      </c>
      <c r="X476" s="232">
        <v>-10536.4</v>
      </c>
      <c r="Y476" s="233" t="s">
        <v>49</v>
      </c>
      <c r="Z476" s="87" t="s">
        <v>50</v>
      </c>
      <c r="AA476" s="233" t="s">
        <v>51</v>
      </c>
      <c r="AB476" s="234"/>
      <c r="AC476" s="233">
        <v>1</v>
      </c>
      <c r="AD476" s="233" t="s">
        <v>226</v>
      </c>
      <c r="AE476" s="234"/>
      <c r="AF476" s="234"/>
      <c r="AG476" s="234"/>
      <c r="AH476" s="233"/>
      <c r="AI476" s="233"/>
      <c r="AJ476" s="233"/>
      <c r="AK476" s="233"/>
      <c r="AL476" s="233"/>
      <c r="AM476" s="233"/>
      <c r="AN476" s="233"/>
      <c r="AO476" s="233"/>
      <c r="AP476" s="234"/>
      <c r="AQ476" s="234" t="s">
        <v>333</v>
      </c>
    </row>
    <row r="477" spans="1:43">
      <c r="A477" s="6">
        <v>474</v>
      </c>
      <c r="B477" s="21" t="s">
        <v>2958</v>
      </c>
      <c r="C477" s="5" t="s">
        <v>2959</v>
      </c>
      <c r="D477" s="5" t="s">
        <v>2960</v>
      </c>
      <c r="E477" s="5" t="s">
        <v>2961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11" t="s">
        <v>46</v>
      </c>
      <c r="Q477" s="5">
        <v>228.10069999999999</v>
      </c>
      <c r="R477" s="5">
        <f t="shared" si="7"/>
        <v>228.10069999999999</v>
      </c>
      <c r="S477" s="5" t="s">
        <v>685</v>
      </c>
      <c r="T477" s="6">
        <v>474</v>
      </c>
      <c r="U477" s="256" t="s">
        <v>2962</v>
      </c>
      <c r="V477" s="232" t="s">
        <v>2959</v>
      </c>
      <c r="W477" s="232">
        <v>9981.2000000000007</v>
      </c>
      <c r="X477" s="232">
        <v>-10035.6</v>
      </c>
      <c r="Y477" s="233" t="s">
        <v>49</v>
      </c>
      <c r="Z477" s="87" t="s">
        <v>50</v>
      </c>
      <c r="AA477" s="233" t="s">
        <v>51</v>
      </c>
      <c r="AB477" s="234"/>
      <c r="AC477" s="233">
        <v>1</v>
      </c>
      <c r="AD477" s="233" t="s">
        <v>226</v>
      </c>
      <c r="AE477" s="234"/>
      <c r="AF477" s="234"/>
      <c r="AG477" s="234"/>
      <c r="AH477" s="233"/>
      <c r="AI477" s="233"/>
      <c r="AJ477" s="233"/>
      <c r="AK477" s="233"/>
      <c r="AL477" s="233"/>
      <c r="AM477" s="233"/>
      <c r="AN477" s="233"/>
      <c r="AO477" s="233"/>
      <c r="AP477" s="234"/>
      <c r="AQ477" s="234" t="s">
        <v>333</v>
      </c>
    </row>
    <row r="478" spans="1:43">
      <c r="A478" s="6">
        <v>475</v>
      </c>
      <c r="B478" s="21" t="s">
        <v>2963</v>
      </c>
      <c r="C478" s="5" t="s">
        <v>2964</v>
      </c>
      <c r="D478" s="5" t="s">
        <v>605</v>
      </c>
      <c r="E478" s="5" t="s">
        <v>605</v>
      </c>
      <c r="F478" s="5" t="s">
        <v>2965</v>
      </c>
      <c r="G478" s="5"/>
      <c r="H478" s="5"/>
      <c r="I478" s="5"/>
      <c r="J478" s="5"/>
      <c r="K478" s="5"/>
      <c r="L478" s="5"/>
      <c r="M478" s="5"/>
      <c r="N478" s="5"/>
      <c r="O478" s="5"/>
      <c r="P478" s="11" t="s">
        <v>46</v>
      </c>
      <c r="Q478" s="5">
        <v>10.221299999999999</v>
      </c>
      <c r="R478" s="5">
        <f t="shared" si="7"/>
        <v>10.221299999999999</v>
      </c>
      <c r="S478" s="5" t="s">
        <v>74</v>
      </c>
      <c r="T478" s="6">
        <v>475</v>
      </c>
      <c r="U478" s="256" t="s">
        <v>2966</v>
      </c>
      <c r="V478" s="232" t="s">
        <v>2964</v>
      </c>
      <c r="W478" s="232">
        <v>10389.9</v>
      </c>
      <c r="X478" s="232">
        <v>-9205.2999999999993</v>
      </c>
      <c r="Y478" s="233" t="s">
        <v>49</v>
      </c>
      <c r="Z478" s="87" t="s">
        <v>50</v>
      </c>
      <c r="AA478" s="234"/>
      <c r="AB478" s="234"/>
      <c r="AC478" s="233"/>
      <c r="AD478" s="234"/>
      <c r="AE478" s="234"/>
      <c r="AF478" s="234"/>
      <c r="AG478" s="234"/>
      <c r="AH478" s="233"/>
      <c r="AI478" s="233"/>
      <c r="AJ478" s="233"/>
      <c r="AK478" s="233"/>
      <c r="AL478" s="233"/>
      <c r="AM478" s="233"/>
      <c r="AN478" s="233" t="s">
        <v>2967</v>
      </c>
      <c r="AO478" s="233"/>
      <c r="AP478" s="234"/>
      <c r="AQ478" s="234" t="s">
        <v>608</v>
      </c>
    </row>
    <row r="479" spans="1:43">
      <c r="A479" s="6">
        <v>476</v>
      </c>
      <c r="B479" s="21" t="s">
        <v>2968</v>
      </c>
      <c r="C479" s="5" t="s">
        <v>2969</v>
      </c>
      <c r="D479" s="5" t="s">
        <v>605</v>
      </c>
      <c r="E479" s="5" t="s">
        <v>605</v>
      </c>
      <c r="F479" s="5" t="s">
        <v>2970</v>
      </c>
      <c r="G479" s="5"/>
      <c r="H479" s="5"/>
      <c r="I479" s="5"/>
      <c r="J479" s="5"/>
      <c r="K479" s="5"/>
      <c r="L479" s="5"/>
      <c r="M479" s="5"/>
      <c r="N479" s="5"/>
      <c r="O479" s="5"/>
      <c r="P479" s="11" t="s">
        <v>46</v>
      </c>
      <c r="Q479" s="5">
        <v>8.4528999999999996</v>
      </c>
      <c r="R479" s="5">
        <f t="shared" si="7"/>
        <v>8.4528999999999996</v>
      </c>
      <c r="S479" s="5" t="s">
        <v>67</v>
      </c>
      <c r="T479" s="6">
        <v>476</v>
      </c>
      <c r="U479" s="256" t="s">
        <v>2971</v>
      </c>
      <c r="V479" s="232" t="s">
        <v>2969</v>
      </c>
      <c r="W479" s="232">
        <v>10608.3</v>
      </c>
      <c r="X479" s="232">
        <v>-9662.5</v>
      </c>
      <c r="Y479" s="233" t="s">
        <v>49</v>
      </c>
      <c r="Z479" s="87" t="s">
        <v>50</v>
      </c>
      <c r="AA479" s="234"/>
      <c r="AB479" s="234"/>
      <c r="AC479" s="233"/>
      <c r="AD479" s="234"/>
      <c r="AE479" s="234"/>
      <c r="AF479" s="234"/>
      <c r="AG479" s="234"/>
      <c r="AH479" s="233"/>
      <c r="AI479" s="233"/>
      <c r="AJ479" s="233"/>
      <c r="AK479" s="233"/>
      <c r="AL479" s="233"/>
      <c r="AM479" s="233"/>
      <c r="AN479" s="233" t="s">
        <v>2972</v>
      </c>
      <c r="AO479" s="233"/>
      <c r="AP479" s="234"/>
      <c r="AQ479" s="234" t="s">
        <v>608</v>
      </c>
    </row>
    <row r="480" spans="1:43">
      <c r="A480" s="6">
        <v>477</v>
      </c>
      <c r="B480" s="21" t="s">
        <v>2973</v>
      </c>
      <c r="C480" s="5" t="s">
        <v>2974</v>
      </c>
      <c r="D480" s="5" t="s">
        <v>2975</v>
      </c>
      <c r="E480" s="5" t="s">
        <v>2976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11" t="s">
        <v>46</v>
      </c>
      <c r="Q480" s="5">
        <v>232.6036</v>
      </c>
      <c r="R480" s="5">
        <f t="shared" si="7"/>
        <v>232.6036</v>
      </c>
      <c r="S480" s="5" t="s">
        <v>395</v>
      </c>
      <c r="T480" s="6">
        <v>477</v>
      </c>
      <c r="U480" s="256" t="s">
        <v>2977</v>
      </c>
      <c r="V480" s="232" t="s">
        <v>2974</v>
      </c>
      <c r="W480" s="232">
        <v>6295.4</v>
      </c>
      <c r="X480" s="232">
        <v>-10162.9</v>
      </c>
      <c r="Y480" s="233" t="s">
        <v>49</v>
      </c>
      <c r="Z480" s="87" t="s">
        <v>50</v>
      </c>
      <c r="AA480" s="233" t="s">
        <v>51</v>
      </c>
      <c r="AB480" s="234"/>
      <c r="AC480" s="233">
        <v>1</v>
      </c>
      <c r="AD480" s="233" t="s">
        <v>226</v>
      </c>
      <c r="AE480" s="233"/>
      <c r="AF480" s="233"/>
      <c r="AG480" s="233" t="s">
        <v>2978</v>
      </c>
      <c r="AH480" s="233">
        <v>5</v>
      </c>
      <c r="AI480" s="233">
        <v>100</v>
      </c>
      <c r="AJ480" s="257" t="s">
        <v>2979</v>
      </c>
      <c r="AK480" s="233">
        <v>20</v>
      </c>
      <c r="AL480" s="233"/>
      <c r="AM480" s="233"/>
      <c r="AN480" s="233"/>
      <c r="AO480" s="233"/>
      <c r="AP480" s="234" t="s">
        <v>2980</v>
      </c>
      <c r="AQ480" s="234" t="s">
        <v>333</v>
      </c>
    </row>
    <row r="481" spans="1:43">
      <c r="A481" s="6">
        <v>478</v>
      </c>
      <c r="B481" s="21" t="s">
        <v>2981</v>
      </c>
      <c r="C481" s="5" t="s">
        <v>2982</v>
      </c>
      <c r="D481" s="5" t="s">
        <v>2983</v>
      </c>
      <c r="E481" s="5" t="s">
        <v>2984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11" t="s">
        <v>46</v>
      </c>
      <c r="Q481" s="5">
        <v>232.66499999999999</v>
      </c>
      <c r="R481" s="5">
        <f t="shared" si="7"/>
        <v>232.66499999999999</v>
      </c>
      <c r="S481" s="5" t="s">
        <v>732</v>
      </c>
      <c r="T481" s="6">
        <v>478</v>
      </c>
      <c r="U481" s="256" t="s">
        <v>2985</v>
      </c>
      <c r="V481" s="232" t="s">
        <v>2982</v>
      </c>
      <c r="W481" s="232">
        <v>7278.6</v>
      </c>
      <c r="X481" s="232">
        <v>-7469.1</v>
      </c>
      <c r="Y481" s="233" t="s">
        <v>49</v>
      </c>
      <c r="Z481" s="87" t="s">
        <v>50</v>
      </c>
      <c r="AA481" s="233" t="s">
        <v>51</v>
      </c>
      <c r="AB481" s="234"/>
      <c r="AC481" s="233">
        <v>1</v>
      </c>
      <c r="AD481" s="233" t="s">
        <v>226</v>
      </c>
      <c r="AE481" s="233"/>
      <c r="AF481" s="233"/>
      <c r="AG481" s="233" t="s">
        <v>2986</v>
      </c>
      <c r="AH481" s="233">
        <v>5</v>
      </c>
      <c r="AI481" s="233">
        <v>100</v>
      </c>
      <c r="AJ481" s="257" t="s">
        <v>2979</v>
      </c>
      <c r="AK481" s="233">
        <v>20</v>
      </c>
      <c r="AL481" s="233"/>
      <c r="AM481" s="233"/>
      <c r="AN481" s="233"/>
      <c r="AO481" s="233"/>
      <c r="AP481" s="234" t="s">
        <v>2980</v>
      </c>
      <c r="AQ481" s="234" t="s">
        <v>333</v>
      </c>
    </row>
    <row r="482" spans="1:43">
      <c r="A482" s="6">
        <v>479</v>
      </c>
      <c r="B482" s="21" t="s">
        <v>2987</v>
      </c>
      <c r="C482" s="5" t="s">
        <v>2988</v>
      </c>
      <c r="D482" s="5" t="s">
        <v>2989</v>
      </c>
      <c r="E482" s="5" t="s">
        <v>2990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11" t="s">
        <v>46</v>
      </c>
      <c r="Q482" s="5">
        <v>232.6857</v>
      </c>
      <c r="R482" s="5">
        <f t="shared" si="7"/>
        <v>232.6857</v>
      </c>
      <c r="S482" s="5" t="s">
        <v>732</v>
      </c>
      <c r="T482" s="6">
        <v>479</v>
      </c>
      <c r="U482" s="256" t="s">
        <v>2991</v>
      </c>
      <c r="V482" s="232" t="s">
        <v>2988</v>
      </c>
      <c r="W482" s="232">
        <v>7639.2</v>
      </c>
      <c r="X482" s="232">
        <v>-8086.2</v>
      </c>
      <c r="Y482" s="233" t="s">
        <v>49</v>
      </c>
      <c r="Z482" s="87" t="s">
        <v>50</v>
      </c>
      <c r="AA482" s="233" t="s">
        <v>51</v>
      </c>
      <c r="AB482" s="234"/>
      <c r="AC482" s="233">
        <v>1</v>
      </c>
      <c r="AD482" s="233" t="s">
        <v>226</v>
      </c>
      <c r="AE482" s="233"/>
      <c r="AF482" s="233"/>
      <c r="AG482" s="233" t="s">
        <v>2992</v>
      </c>
      <c r="AH482" s="233">
        <v>5</v>
      </c>
      <c r="AI482" s="233">
        <v>100</v>
      </c>
      <c r="AJ482" s="257" t="s">
        <v>2979</v>
      </c>
      <c r="AK482" s="233">
        <v>20</v>
      </c>
      <c r="AL482" s="233"/>
      <c r="AM482" s="233"/>
      <c r="AN482" s="233"/>
      <c r="AO482" s="233"/>
      <c r="AP482" s="234" t="s">
        <v>2980</v>
      </c>
      <c r="AQ482" s="234" t="s">
        <v>333</v>
      </c>
    </row>
    <row r="483" spans="1:43">
      <c r="A483" s="6">
        <v>480</v>
      </c>
      <c r="B483" s="21" t="s">
        <v>2993</v>
      </c>
      <c r="C483" s="5" t="s">
        <v>2994</v>
      </c>
      <c r="D483" s="5" t="s">
        <v>2995</v>
      </c>
      <c r="E483" s="5" t="s">
        <v>2996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11" t="s">
        <v>46</v>
      </c>
      <c r="Q483" s="5">
        <v>232.8287</v>
      </c>
      <c r="R483" s="5">
        <f t="shared" si="7"/>
        <v>232.8287</v>
      </c>
      <c r="S483" s="5" t="s">
        <v>395</v>
      </c>
      <c r="T483" s="6">
        <v>480</v>
      </c>
      <c r="U483" s="256" t="s">
        <v>2997</v>
      </c>
      <c r="V483" s="232" t="s">
        <v>2994</v>
      </c>
      <c r="W483" s="232">
        <v>9217.2000000000007</v>
      </c>
      <c r="X483" s="232">
        <v>-8793.7999999999993</v>
      </c>
      <c r="Y483" s="233" t="s">
        <v>49</v>
      </c>
      <c r="Z483" s="87" t="s">
        <v>50</v>
      </c>
      <c r="AA483" s="233" t="s">
        <v>51</v>
      </c>
      <c r="AB483" s="234"/>
      <c r="AC483" s="233">
        <v>1</v>
      </c>
      <c r="AD483" s="233" t="s">
        <v>226</v>
      </c>
      <c r="AE483" s="233"/>
      <c r="AF483" s="233"/>
      <c r="AG483" s="233" t="s">
        <v>2998</v>
      </c>
      <c r="AH483" s="233">
        <v>5</v>
      </c>
      <c r="AI483" s="233">
        <v>100</v>
      </c>
      <c r="AJ483" s="257" t="s">
        <v>2979</v>
      </c>
      <c r="AK483" s="233">
        <v>20</v>
      </c>
      <c r="AL483" s="233"/>
      <c r="AM483" s="233"/>
      <c r="AN483" s="233"/>
      <c r="AO483" s="233"/>
      <c r="AP483" s="234" t="s">
        <v>2980</v>
      </c>
      <c r="AQ483" s="234" t="s">
        <v>333</v>
      </c>
    </row>
    <row r="484" spans="1:43">
      <c r="A484" s="6">
        <v>481</v>
      </c>
      <c r="B484" s="21" t="s">
        <v>2999</v>
      </c>
      <c r="C484" s="5" t="s">
        <v>3000</v>
      </c>
      <c r="D484" s="5" t="s">
        <v>3001</v>
      </c>
      <c r="E484" s="5" t="s">
        <v>3002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11" t="s">
        <v>46</v>
      </c>
      <c r="Q484" s="5">
        <v>232.66540000000001</v>
      </c>
      <c r="R484" s="5">
        <f t="shared" si="7"/>
        <v>232.66540000000001</v>
      </c>
      <c r="S484" s="5" t="s">
        <v>732</v>
      </c>
      <c r="T484" s="6">
        <v>481</v>
      </c>
      <c r="U484" s="256" t="s">
        <v>3003</v>
      </c>
      <c r="V484" s="232" t="s">
        <v>3000</v>
      </c>
      <c r="W484" s="232">
        <v>8865.6</v>
      </c>
      <c r="X484" s="232">
        <v>-9447.6</v>
      </c>
      <c r="Y484" s="233" t="s">
        <v>49</v>
      </c>
      <c r="Z484" s="87" t="s">
        <v>50</v>
      </c>
      <c r="AA484" s="233" t="s">
        <v>51</v>
      </c>
      <c r="AB484" s="234"/>
      <c r="AC484" s="233">
        <v>1</v>
      </c>
      <c r="AD484" s="233" t="s">
        <v>226</v>
      </c>
      <c r="AE484" s="233"/>
      <c r="AF484" s="233"/>
      <c r="AG484" s="233" t="s">
        <v>3004</v>
      </c>
      <c r="AH484" s="233">
        <v>5</v>
      </c>
      <c r="AI484" s="233">
        <v>100</v>
      </c>
      <c r="AJ484" s="257" t="s">
        <v>2979</v>
      </c>
      <c r="AK484" s="233">
        <v>20</v>
      </c>
      <c r="AL484" s="233"/>
      <c r="AM484" s="233"/>
      <c r="AN484" s="233"/>
      <c r="AO484" s="233"/>
      <c r="AP484" s="234" t="s">
        <v>2980</v>
      </c>
      <c r="AQ484" s="234" t="s">
        <v>333</v>
      </c>
    </row>
    <row r="485" spans="1:43">
      <c r="A485" s="6">
        <v>482</v>
      </c>
      <c r="B485" s="21" t="s">
        <v>3005</v>
      </c>
      <c r="C485" s="5" t="s">
        <v>3006</v>
      </c>
      <c r="D485" s="5" t="s">
        <v>3007</v>
      </c>
      <c r="E485" s="5" t="s">
        <v>3008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11" t="s">
        <v>46</v>
      </c>
      <c r="Q485" s="5">
        <v>232.65690000000001</v>
      </c>
      <c r="R485" s="5">
        <f t="shared" si="7"/>
        <v>232.65690000000001</v>
      </c>
      <c r="S485" s="5" t="s">
        <v>706</v>
      </c>
      <c r="T485" s="6">
        <v>482</v>
      </c>
      <c r="U485" s="256" t="s">
        <v>3009</v>
      </c>
      <c r="V485" s="232" t="s">
        <v>3006</v>
      </c>
      <c r="W485" s="232">
        <v>8272.2999999999993</v>
      </c>
      <c r="X485" s="232">
        <v>-6110.3</v>
      </c>
      <c r="Y485" s="233" t="s">
        <v>49</v>
      </c>
      <c r="Z485" s="87" t="s">
        <v>50</v>
      </c>
      <c r="AA485" s="233" t="s">
        <v>51</v>
      </c>
      <c r="AB485" s="234"/>
      <c r="AC485" s="233">
        <v>1</v>
      </c>
      <c r="AD485" s="233" t="s">
        <v>226</v>
      </c>
      <c r="AE485" s="233"/>
      <c r="AF485" s="233"/>
      <c r="AG485" s="233" t="s">
        <v>3010</v>
      </c>
      <c r="AH485" s="233">
        <v>5</v>
      </c>
      <c r="AI485" s="233">
        <v>100</v>
      </c>
      <c r="AJ485" s="257" t="s">
        <v>2979</v>
      </c>
      <c r="AK485" s="233">
        <v>20</v>
      </c>
      <c r="AL485" s="233"/>
      <c r="AM485" s="233"/>
      <c r="AN485" s="233"/>
      <c r="AO485" s="233"/>
      <c r="AP485" s="234" t="s">
        <v>2980</v>
      </c>
      <c r="AQ485" s="234" t="s">
        <v>333</v>
      </c>
    </row>
    <row r="486" spans="1:43">
      <c r="A486" s="6">
        <v>483</v>
      </c>
      <c r="B486" s="21" t="s">
        <v>3011</v>
      </c>
      <c r="C486" s="5" t="s">
        <v>3012</v>
      </c>
      <c r="D486" s="5" t="s">
        <v>3013</v>
      </c>
      <c r="E486" s="5" t="s">
        <v>3014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11" t="s">
        <v>46</v>
      </c>
      <c r="Q486" s="5">
        <v>232.5564</v>
      </c>
      <c r="R486" s="5">
        <f t="shared" si="7"/>
        <v>232.5564</v>
      </c>
      <c r="S486" s="5" t="s">
        <v>344</v>
      </c>
      <c r="T486" s="6">
        <v>483</v>
      </c>
      <c r="U486" s="256" t="s">
        <v>3015</v>
      </c>
      <c r="V486" s="232" t="s">
        <v>3012</v>
      </c>
      <c r="W486" s="232">
        <v>6668.5</v>
      </c>
      <c r="X486" s="232">
        <v>-9447.6</v>
      </c>
      <c r="Y486" s="233" t="s">
        <v>49</v>
      </c>
      <c r="Z486" s="87" t="s">
        <v>50</v>
      </c>
      <c r="AA486" s="233" t="s">
        <v>51</v>
      </c>
      <c r="AB486" s="234"/>
      <c r="AC486" s="233">
        <v>1</v>
      </c>
      <c r="AD486" s="233" t="s">
        <v>226</v>
      </c>
      <c r="AE486" s="233"/>
      <c r="AF486" s="233"/>
      <c r="AG486" s="233" t="s">
        <v>3016</v>
      </c>
      <c r="AH486" s="233">
        <v>5</v>
      </c>
      <c r="AI486" s="233">
        <v>100</v>
      </c>
      <c r="AJ486" s="257" t="s">
        <v>2979</v>
      </c>
      <c r="AK486" s="233">
        <v>20</v>
      </c>
      <c r="AL486" s="233"/>
      <c r="AM486" s="233"/>
      <c r="AN486" s="233"/>
      <c r="AO486" s="233"/>
      <c r="AP486" s="234" t="s">
        <v>2980</v>
      </c>
      <c r="AQ486" s="234" t="s">
        <v>333</v>
      </c>
    </row>
    <row r="487" spans="1:43">
      <c r="A487" s="6">
        <v>484</v>
      </c>
      <c r="B487" s="21" t="s">
        <v>3017</v>
      </c>
      <c r="C487" s="5" t="s">
        <v>3018</v>
      </c>
      <c r="D487" s="5" t="s">
        <v>3019</v>
      </c>
      <c r="E487" s="5" t="s">
        <v>3020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11" t="s">
        <v>46</v>
      </c>
      <c r="Q487" s="5">
        <v>232.7559</v>
      </c>
      <c r="R487" s="5">
        <f t="shared" si="7"/>
        <v>232.7559</v>
      </c>
      <c r="S487" s="5" t="s">
        <v>706</v>
      </c>
      <c r="T487" s="6">
        <v>484</v>
      </c>
      <c r="U487" s="256" t="s">
        <v>3021</v>
      </c>
      <c r="V487" s="232" t="s">
        <v>3018</v>
      </c>
      <c r="W487" s="232">
        <v>7283.5</v>
      </c>
      <c r="X487" s="232">
        <v>-9908.9</v>
      </c>
      <c r="Y487" s="233" t="s">
        <v>49</v>
      </c>
      <c r="Z487" s="87" t="s">
        <v>50</v>
      </c>
      <c r="AA487" s="233" t="s">
        <v>51</v>
      </c>
      <c r="AB487" s="234"/>
      <c r="AC487" s="233">
        <v>1</v>
      </c>
      <c r="AD487" s="233" t="s">
        <v>226</v>
      </c>
      <c r="AE487" s="233"/>
      <c r="AF487" s="233"/>
      <c r="AG487" s="233" t="s">
        <v>3022</v>
      </c>
      <c r="AH487" s="233">
        <v>5</v>
      </c>
      <c r="AI487" s="233">
        <v>100</v>
      </c>
      <c r="AJ487" s="257" t="s">
        <v>2979</v>
      </c>
      <c r="AK487" s="233">
        <v>20</v>
      </c>
      <c r="AL487" s="233"/>
      <c r="AM487" s="233"/>
      <c r="AN487" s="233"/>
      <c r="AO487" s="233"/>
      <c r="AP487" s="234" t="s">
        <v>2980</v>
      </c>
      <c r="AQ487" s="234" t="s">
        <v>333</v>
      </c>
    </row>
    <row r="488" spans="1:43">
      <c r="A488" s="6">
        <v>485</v>
      </c>
      <c r="B488" s="21" t="s">
        <v>3023</v>
      </c>
      <c r="C488" s="5" t="s">
        <v>3024</v>
      </c>
      <c r="D488" s="5" t="s">
        <v>3025</v>
      </c>
      <c r="E488" s="5" t="s">
        <v>3026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11" t="s">
        <v>46</v>
      </c>
      <c r="Q488" s="5">
        <v>232.71940000000001</v>
      </c>
      <c r="R488" s="5">
        <f t="shared" si="7"/>
        <v>232.71940000000001</v>
      </c>
      <c r="S488" s="5" t="s">
        <v>395</v>
      </c>
      <c r="T488" s="6">
        <v>485</v>
      </c>
      <c r="U488" s="256" t="s">
        <v>3027</v>
      </c>
      <c r="V488" s="232" t="s">
        <v>3024</v>
      </c>
      <c r="W488" s="232">
        <v>7784.1</v>
      </c>
      <c r="X488" s="232">
        <v>-10536.4</v>
      </c>
      <c r="Y488" s="233" t="s">
        <v>49</v>
      </c>
      <c r="Z488" s="87" t="s">
        <v>50</v>
      </c>
      <c r="AA488" s="233" t="s">
        <v>51</v>
      </c>
      <c r="AB488" s="234"/>
      <c r="AC488" s="233">
        <v>1</v>
      </c>
      <c r="AD488" s="233" t="s">
        <v>226</v>
      </c>
      <c r="AE488" s="233"/>
      <c r="AF488" s="233"/>
      <c r="AG488" s="233" t="s">
        <v>3028</v>
      </c>
      <c r="AH488" s="233">
        <v>5</v>
      </c>
      <c r="AI488" s="233">
        <v>100</v>
      </c>
      <c r="AJ488" s="257" t="s">
        <v>2979</v>
      </c>
      <c r="AK488" s="233">
        <v>20</v>
      </c>
      <c r="AL488" s="233"/>
      <c r="AM488" s="233"/>
      <c r="AN488" s="233"/>
      <c r="AO488" s="233"/>
      <c r="AP488" s="234" t="s">
        <v>2980</v>
      </c>
      <c r="AQ488" s="234" t="s">
        <v>333</v>
      </c>
    </row>
    <row r="489" spans="1:43">
      <c r="A489" s="6">
        <v>486</v>
      </c>
      <c r="B489" s="21" t="s">
        <v>3029</v>
      </c>
      <c r="C489" s="5" t="s">
        <v>3030</v>
      </c>
      <c r="D489" s="5" t="s">
        <v>3031</v>
      </c>
      <c r="E489" s="5" t="s">
        <v>3032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11" t="s">
        <v>46</v>
      </c>
      <c r="Q489" s="5">
        <v>232.87639999999999</v>
      </c>
      <c r="R489" s="5">
        <f t="shared" si="7"/>
        <v>232.87639999999999</v>
      </c>
      <c r="S489" s="5" t="s">
        <v>344</v>
      </c>
      <c r="T489" s="6">
        <v>486</v>
      </c>
      <c r="U489" s="256" t="s">
        <v>3033</v>
      </c>
      <c r="V489" s="232" t="s">
        <v>3030</v>
      </c>
      <c r="W489" s="232">
        <v>8411.2000000000007</v>
      </c>
      <c r="X489" s="232">
        <v>-9662.5</v>
      </c>
      <c r="Y489" s="233" t="s">
        <v>49</v>
      </c>
      <c r="Z489" s="87" t="s">
        <v>50</v>
      </c>
      <c r="AA489" s="233" t="s">
        <v>51</v>
      </c>
      <c r="AB489" s="234"/>
      <c r="AC489" s="233">
        <v>1</v>
      </c>
      <c r="AD489" s="233" t="s">
        <v>226</v>
      </c>
      <c r="AE489" s="233"/>
      <c r="AF489" s="233"/>
      <c r="AG489" s="233" t="s">
        <v>3034</v>
      </c>
      <c r="AH489" s="233">
        <v>5</v>
      </c>
      <c r="AI489" s="233">
        <v>100</v>
      </c>
      <c r="AJ489" s="257" t="s">
        <v>2979</v>
      </c>
      <c r="AK489" s="233">
        <v>20</v>
      </c>
      <c r="AL489" s="233"/>
      <c r="AM489" s="233"/>
      <c r="AN489" s="233"/>
      <c r="AO489" s="233"/>
      <c r="AP489" s="234" t="s">
        <v>2980</v>
      </c>
      <c r="AQ489" s="234" t="s">
        <v>333</v>
      </c>
    </row>
    <row r="490" spans="1:43">
      <c r="A490" s="6">
        <v>487</v>
      </c>
      <c r="B490" s="21" t="s">
        <v>3035</v>
      </c>
      <c r="C490" s="5" t="s">
        <v>3036</v>
      </c>
      <c r="D490" s="5" t="s">
        <v>3037</v>
      </c>
      <c r="E490" s="5" t="s">
        <v>3038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11" t="s">
        <v>46</v>
      </c>
      <c r="Q490" s="5">
        <v>232.76689999999999</v>
      </c>
      <c r="R490" s="5">
        <f t="shared" si="7"/>
        <v>232.76689999999999</v>
      </c>
      <c r="S490" s="5" t="s">
        <v>344</v>
      </c>
      <c r="T490" s="6">
        <v>487</v>
      </c>
      <c r="U490" s="256" t="s">
        <v>3039</v>
      </c>
      <c r="V490" s="232" t="s">
        <v>3036</v>
      </c>
      <c r="W490" s="232">
        <v>8492.5</v>
      </c>
      <c r="X490" s="232">
        <v>-10162.9</v>
      </c>
      <c r="Y490" s="233" t="s">
        <v>49</v>
      </c>
      <c r="Z490" s="87" t="s">
        <v>50</v>
      </c>
      <c r="AA490" s="233" t="s">
        <v>51</v>
      </c>
      <c r="AB490" s="234"/>
      <c r="AC490" s="233">
        <v>1</v>
      </c>
      <c r="AD490" s="233" t="s">
        <v>226</v>
      </c>
      <c r="AE490" s="233"/>
      <c r="AF490" s="233"/>
      <c r="AG490" s="233" t="s">
        <v>3040</v>
      </c>
      <c r="AH490" s="233">
        <v>5</v>
      </c>
      <c r="AI490" s="233">
        <v>100</v>
      </c>
      <c r="AJ490" s="257" t="s">
        <v>2979</v>
      </c>
      <c r="AK490" s="233">
        <v>20</v>
      </c>
      <c r="AL490" s="233"/>
      <c r="AM490" s="233"/>
      <c r="AN490" s="233"/>
      <c r="AO490" s="233"/>
      <c r="AP490" s="234" t="s">
        <v>2980</v>
      </c>
      <c r="AQ490" s="234" t="s">
        <v>333</v>
      </c>
    </row>
    <row r="491" spans="1:43">
      <c r="A491" s="6">
        <v>488</v>
      </c>
      <c r="B491" s="21" t="s">
        <v>3041</v>
      </c>
      <c r="C491" s="5" t="s">
        <v>3042</v>
      </c>
      <c r="D491" s="5" t="s">
        <v>3043</v>
      </c>
      <c r="E491" s="5" t="s">
        <v>3044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11" t="s">
        <v>46</v>
      </c>
      <c r="Q491" s="5">
        <v>232.57830000000001</v>
      </c>
      <c r="R491" s="5">
        <f t="shared" si="7"/>
        <v>232.57830000000001</v>
      </c>
      <c r="S491" s="5" t="s">
        <v>395</v>
      </c>
      <c r="T491" s="6">
        <v>488</v>
      </c>
      <c r="U491" s="256" t="s">
        <v>3045</v>
      </c>
      <c r="V491" s="232" t="s">
        <v>3042</v>
      </c>
      <c r="W491" s="232">
        <v>11374.8</v>
      </c>
      <c r="X491" s="232">
        <v>-9478.2000000000007</v>
      </c>
      <c r="Y491" s="233" t="s">
        <v>49</v>
      </c>
      <c r="Z491" s="87" t="s">
        <v>50</v>
      </c>
      <c r="AA491" s="233" t="s">
        <v>51</v>
      </c>
      <c r="AB491" s="234"/>
      <c r="AC491" s="233">
        <v>1</v>
      </c>
      <c r="AD491" s="233" t="s">
        <v>226</v>
      </c>
      <c r="AE491" s="233"/>
      <c r="AF491" s="233"/>
      <c r="AG491" s="233" t="s">
        <v>3046</v>
      </c>
      <c r="AH491" s="233">
        <v>5</v>
      </c>
      <c r="AI491" s="233">
        <v>100</v>
      </c>
      <c r="AJ491" s="257" t="s">
        <v>2979</v>
      </c>
      <c r="AK491" s="233">
        <v>20</v>
      </c>
      <c r="AL491" s="233"/>
      <c r="AM491" s="233"/>
      <c r="AN491" s="233"/>
      <c r="AO491" s="233"/>
      <c r="AP491" s="234" t="s">
        <v>2980</v>
      </c>
      <c r="AQ491" s="234" t="s">
        <v>333</v>
      </c>
    </row>
    <row r="492" spans="1:43">
      <c r="A492" s="6">
        <v>489</v>
      </c>
      <c r="B492" s="21" t="s">
        <v>3047</v>
      </c>
      <c r="C492" s="5" t="s">
        <v>3048</v>
      </c>
      <c r="D492" s="5" t="s">
        <v>3049</v>
      </c>
      <c r="E492" s="5" t="s">
        <v>3050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11" t="s">
        <v>46</v>
      </c>
      <c r="Q492" s="5">
        <v>232.57560000000001</v>
      </c>
      <c r="R492" s="5">
        <f t="shared" si="7"/>
        <v>232.57560000000001</v>
      </c>
      <c r="S492" s="5" t="s">
        <v>395</v>
      </c>
      <c r="T492" s="6">
        <v>489</v>
      </c>
      <c r="U492" s="256" t="s">
        <v>3051</v>
      </c>
      <c r="V492" s="232" t="s">
        <v>3048</v>
      </c>
      <c r="W492" s="232">
        <v>9480.6</v>
      </c>
      <c r="X492" s="232">
        <v>-9908.9</v>
      </c>
      <c r="Y492" s="233" t="s">
        <v>49</v>
      </c>
      <c r="Z492" s="87" t="s">
        <v>50</v>
      </c>
      <c r="AA492" s="233" t="s">
        <v>51</v>
      </c>
      <c r="AB492" s="234"/>
      <c r="AC492" s="233">
        <v>1</v>
      </c>
      <c r="AD492" s="233" t="s">
        <v>226</v>
      </c>
      <c r="AE492" s="233"/>
      <c r="AF492" s="233"/>
      <c r="AG492" s="233" t="s">
        <v>3052</v>
      </c>
      <c r="AH492" s="233">
        <v>5</v>
      </c>
      <c r="AI492" s="233">
        <v>100</v>
      </c>
      <c r="AJ492" s="257" t="s">
        <v>2979</v>
      </c>
      <c r="AK492" s="233">
        <v>20</v>
      </c>
      <c r="AL492" s="233"/>
      <c r="AM492" s="233"/>
      <c r="AN492" s="233"/>
      <c r="AO492" s="233"/>
      <c r="AP492" s="234" t="s">
        <v>2980</v>
      </c>
      <c r="AQ492" s="234" t="s">
        <v>333</v>
      </c>
    </row>
    <row r="493" spans="1:43">
      <c r="A493" s="6">
        <v>490</v>
      </c>
      <c r="B493" s="21" t="s">
        <v>3053</v>
      </c>
      <c r="C493" s="5" t="s">
        <v>3054</v>
      </c>
      <c r="D493" s="5" t="s">
        <v>3055</v>
      </c>
      <c r="E493" s="5" t="s">
        <v>3056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11" t="s">
        <v>46</v>
      </c>
      <c r="Q493" s="5">
        <v>232.69890000000001</v>
      </c>
      <c r="R493" s="5">
        <f t="shared" si="7"/>
        <v>232.69890000000001</v>
      </c>
      <c r="S493" s="5" t="s">
        <v>706</v>
      </c>
      <c r="T493" s="6">
        <v>490</v>
      </c>
      <c r="U493" s="256" t="s">
        <v>3057</v>
      </c>
      <c r="V493" s="232" t="s">
        <v>3054</v>
      </c>
      <c r="W493" s="232">
        <v>6454.6</v>
      </c>
      <c r="X493" s="232">
        <v>-8048.1</v>
      </c>
      <c r="Y493" s="233" t="s">
        <v>49</v>
      </c>
      <c r="Z493" s="87" t="s">
        <v>50</v>
      </c>
      <c r="AA493" s="233" t="s">
        <v>51</v>
      </c>
      <c r="AB493" s="234"/>
      <c r="AC493" s="233">
        <v>1</v>
      </c>
      <c r="AD493" s="233" t="s">
        <v>226</v>
      </c>
      <c r="AE493" s="233"/>
      <c r="AF493" s="233"/>
      <c r="AG493" s="233" t="s">
        <v>3058</v>
      </c>
      <c r="AH493" s="233">
        <v>5</v>
      </c>
      <c r="AI493" s="233">
        <v>100</v>
      </c>
      <c r="AJ493" s="257" t="s">
        <v>2979</v>
      </c>
      <c r="AK493" s="233">
        <v>20</v>
      </c>
      <c r="AL493" s="233"/>
      <c r="AM493" s="233"/>
      <c r="AN493" s="233"/>
      <c r="AO493" s="233"/>
      <c r="AP493" s="234" t="s">
        <v>2980</v>
      </c>
      <c r="AQ493" s="234" t="s">
        <v>333</v>
      </c>
    </row>
    <row r="494" spans="1:43">
      <c r="A494" s="6">
        <v>491</v>
      </c>
      <c r="B494" s="21" t="s">
        <v>3059</v>
      </c>
      <c r="C494" s="5" t="s">
        <v>3060</v>
      </c>
      <c r="D494" s="5" t="s">
        <v>3061</v>
      </c>
      <c r="E494" s="5" t="s">
        <v>3062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11" t="s">
        <v>46</v>
      </c>
      <c r="Q494" s="5">
        <v>232.52189999999999</v>
      </c>
      <c r="R494" s="5">
        <f t="shared" si="7"/>
        <v>232.52189999999999</v>
      </c>
      <c r="S494" s="5" t="s">
        <v>395</v>
      </c>
      <c r="T494" s="6">
        <v>491</v>
      </c>
      <c r="U494" s="256" t="s">
        <v>3063</v>
      </c>
      <c r="V494" s="232" t="s">
        <v>3060</v>
      </c>
      <c r="W494" s="232">
        <v>6265.2</v>
      </c>
      <c r="X494" s="232">
        <v>-10665.3</v>
      </c>
      <c r="Y494" s="233" t="s">
        <v>49</v>
      </c>
      <c r="Z494" s="87" t="s">
        <v>50</v>
      </c>
      <c r="AA494" s="233" t="s">
        <v>51</v>
      </c>
      <c r="AB494" s="234"/>
      <c r="AC494" s="233">
        <v>1</v>
      </c>
      <c r="AD494" s="233" t="s">
        <v>226</v>
      </c>
      <c r="AE494" s="233"/>
      <c r="AF494" s="233"/>
      <c r="AG494" s="233" t="s">
        <v>2978</v>
      </c>
      <c r="AH494" s="233">
        <v>5</v>
      </c>
      <c r="AI494" s="233">
        <v>100</v>
      </c>
      <c r="AJ494" s="257" t="s">
        <v>2979</v>
      </c>
      <c r="AK494" s="233">
        <v>20</v>
      </c>
      <c r="AL494" s="233"/>
      <c r="AM494" s="233"/>
      <c r="AN494" s="233"/>
      <c r="AO494" s="233"/>
      <c r="AP494" s="234" t="s">
        <v>2980</v>
      </c>
      <c r="AQ494" s="234" t="s">
        <v>333</v>
      </c>
    </row>
    <row r="495" spans="1:43">
      <c r="A495" s="6">
        <v>492</v>
      </c>
      <c r="B495" s="21" t="s">
        <v>3064</v>
      </c>
      <c r="C495" s="5" t="s">
        <v>2298</v>
      </c>
      <c r="D495" s="5" t="s">
        <v>3065</v>
      </c>
      <c r="E495" s="5" t="s">
        <v>3066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11" t="s">
        <v>46</v>
      </c>
      <c r="Q495" s="5">
        <v>232.75739999999999</v>
      </c>
      <c r="R495" s="5">
        <f t="shared" si="7"/>
        <v>232.75739999999999</v>
      </c>
      <c r="S495" s="5" t="s">
        <v>732</v>
      </c>
      <c r="T495" s="6">
        <v>492</v>
      </c>
      <c r="U495" s="256" t="s">
        <v>3067</v>
      </c>
      <c r="V495" s="232" t="s">
        <v>2298</v>
      </c>
      <c r="W495" s="232">
        <v>6950.9</v>
      </c>
      <c r="X495" s="232">
        <v>-6558.1</v>
      </c>
      <c r="Y495" s="233" t="s">
        <v>49</v>
      </c>
      <c r="Z495" s="87" t="s">
        <v>50</v>
      </c>
      <c r="AA495" s="233" t="s">
        <v>51</v>
      </c>
      <c r="AB495" s="234"/>
      <c r="AC495" s="233">
        <v>1</v>
      </c>
      <c r="AD495" s="233" t="s">
        <v>226</v>
      </c>
      <c r="AE495" s="233"/>
      <c r="AF495" s="233"/>
      <c r="AG495" s="233" t="s">
        <v>2986</v>
      </c>
      <c r="AH495" s="233">
        <v>5</v>
      </c>
      <c r="AI495" s="233">
        <v>100</v>
      </c>
      <c r="AJ495" s="257" t="s">
        <v>2979</v>
      </c>
      <c r="AK495" s="233">
        <v>20</v>
      </c>
      <c r="AL495" s="233"/>
      <c r="AM495" s="233"/>
      <c r="AN495" s="233"/>
      <c r="AO495" s="233"/>
      <c r="AP495" s="234" t="s">
        <v>2980</v>
      </c>
      <c r="AQ495" s="234" t="s">
        <v>333</v>
      </c>
    </row>
    <row r="496" spans="1:43">
      <c r="A496" s="6">
        <v>493</v>
      </c>
      <c r="B496" s="21" t="s">
        <v>3068</v>
      </c>
      <c r="C496" s="5" t="s">
        <v>3069</v>
      </c>
      <c r="D496" s="5" t="s">
        <v>3070</v>
      </c>
      <c r="E496" s="5" t="s">
        <v>3071</v>
      </c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11" t="s">
        <v>46</v>
      </c>
      <c r="Q496" s="5">
        <v>232.69040000000001</v>
      </c>
      <c r="R496" s="5">
        <f t="shared" si="7"/>
        <v>232.69040000000001</v>
      </c>
      <c r="S496" s="5" t="s">
        <v>732</v>
      </c>
      <c r="T496" s="6">
        <v>493</v>
      </c>
      <c r="U496" s="256" t="s">
        <v>3072</v>
      </c>
      <c r="V496" s="232" t="s">
        <v>3069</v>
      </c>
      <c r="W496" s="232">
        <v>8005.6</v>
      </c>
      <c r="X496" s="232">
        <v>-8695.7999999999993</v>
      </c>
      <c r="Y496" s="233" t="s">
        <v>49</v>
      </c>
      <c r="Z496" s="87" t="s">
        <v>50</v>
      </c>
      <c r="AA496" s="233" t="s">
        <v>51</v>
      </c>
      <c r="AB496" s="234"/>
      <c r="AC496" s="233">
        <v>1</v>
      </c>
      <c r="AD496" s="233" t="s">
        <v>226</v>
      </c>
      <c r="AE496" s="233"/>
      <c r="AF496" s="233"/>
      <c r="AG496" s="233" t="s">
        <v>2992</v>
      </c>
      <c r="AH496" s="233">
        <v>5</v>
      </c>
      <c r="AI496" s="233">
        <v>100</v>
      </c>
      <c r="AJ496" s="257" t="s">
        <v>2979</v>
      </c>
      <c r="AK496" s="233">
        <v>20</v>
      </c>
      <c r="AL496" s="233"/>
      <c r="AM496" s="233"/>
      <c r="AN496" s="233"/>
      <c r="AO496" s="233"/>
      <c r="AP496" s="234" t="s">
        <v>2980</v>
      </c>
      <c r="AQ496" s="234" t="s">
        <v>333</v>
      </c>
    </row>
    <row r="497" spans="1:43">
      <c r="A497" s="6">
        <v>494</v>
      </c>
      <c r="B497" s="21" t="s">
        <v>3073</v>
      </c>
      <c r="C497" s="5" t="s">
        <v>3074</v>
      </c>
      <c r="D497" s="5" t="s">
        <v>3075</v>
      </c>
      <c r="E497" s="5" t="s">
        <v>3076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11" t="s">
        <v>46</v>
      </c>
      <c r="Q497" s="5">
        <v>232.8681</v>
      </c>
      <c r="R497" s="5">
        <f t="shared" si="7"/>
        <v>232.8681</v>
      </c>
      <c r="S497" s="5" t="s">
        <v>395</v>
      </c>
      <c r="T497" s="6">
        <v>494</v>
      </c>
      <c r="U497" s="256" t="s">
        <v>3077</v>
      </c>
      <c r="V497" s="232" t="s">
        <v>3074</v>
      </c>
      <c r="W497" s="232">
        <v>8883.7999999999993</v>
      </c>
      <c r="X497" s="232">
        <v>-8165.2</v>
      </c>
      <c r="Y497" s="233" t="s">
        <v>49</v>
      </c>
      <c r="Z497" s="87" t="s">
        <v>50</v>
      </c>
      <c r="AA497" s="233" t="s">
        <v>51</v>
      </c>
      <c r="AB497" s="234"/>
      <c r="AC497" s="233">
        <v>1</v>
      </c>
      <c r="AD497" s="233" t="s">
        <v>226</v>
      </c>
      <c r="AE497" s="233"/>
      <c r="AF497" s="233"/>
      <c r="AG497" s="233" t="s">
        <v>2998</v>
      </c>
      <c r="AH497" s="233">
        <v>5</v>
      </c>
      <c r="AI497" s="233">
        <v>100</v>
      </c>
      <c r="AJ497" s="257" t="s">
        <v>2979</v>
      </c>
      <c r="AK497" s="233">
        <v>20</v>
      </c>
      <c r="AL497" s="233"/>
      <c r="AM497" s="233"/>
      <c r="AN497" s="233"/>
      <c r="AO497" s="233"/>
      <c r="AP497" s="234" t="s">
        <v>2980</v>
      </c>
      <c r="AQ497" s="234" t="s">
        <v>333</v>
      </c>
    </row>
    <row r="498" spans="1:43">
      <c r="A498" s="6">
        <v>495</v>
      </c>
      <c r="B498" s="21" t="s">
        <v>3078</v>
      </c>
      <c r="C498" s="5" t="s">
        <v>3079</v>
      </c>
      <c r="D498" s="5" t="s">
        <v>3080</v>
      </c>
      <c r="E498" s="5" t="s">
        <v>3081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11" t="s">
        <v>46</v>
      </c>
      <c r="Q498" s="5">
        <v>232.66050000000001</v>
      </c>
      <c r="R498" s="5">
        <f t="shared" si="7"/>
        <v>232.66050000000001</v>
      </c>
      <c r="S498" s="5" t="s">
        <v>732</v>
      </c>
      <c r="T498" s="6">
        <v>495</v>
      </c>
      <c r="U498" s="256" t="s">
        <v>3082</v>
      </c>
      <c r="V498" s="232" t="s">
        <v>3079</v>
      </c>
      <c r="W498" s="232">
        <v>8957.6</v>
      </c>
      <c r="X498" s="232">
        <v>-9967.7999999999993</v>
      </c>
      <c r="Y498" s="233" t="s">
        <v>49</v>
      </c>
      <c r="Z498" s="87" t="s">
        <v>50</v>
      </c>
      <c r="AA498" s="233" t="s">
        <v>51</v>
      </c>
      <c r="AB498" s="234"/>
      <c r="AC498" s="233">
        <v>1</v>
      </c>
      <c r="AD498" s="233" t="s">
        <v>226</v>
      </c>
      <c r="AE498" s="233"/>
      <c r="AF498" s="233"/>
      <c r="AG498" s="233" t="s">
        <v>3004</v>
      </c>
      <c r="AH498" s="233">
        <v>5</v>
      </c>
      <c r="AI498" s="233">
        <v>100</v>
      </c>
      <c r="AJ498" s="257" t="s">
        <v>2979</v>
      </c>
      <c r="AK498" s="233">
        <v>20</v>
      </c>
      <c r="AL498" s="233"/>
      <c r="AM498" s="233"/>
      <c r="AN498" s="233"/>
      <c r="AO498" s="233"/>
      <c r="AP498" s="234" t="s">
        <v>2980</v>
      </c>
      <c r="AQ498" s="234" t="s">
        <v>333</v>
      </c>
    </row>
    <row r="499" spans="1:43">
      <c r="A499" s="6">
        <v>496</v>
      </c>
      <c r="B499" s="21" t="s">
        <v>3083</v>
      </c>
      <c r="C499" s="5" t="s">
        <v>228</v>
      </c>
      <c r="D499" s="5" t="s">
        <v>3084</v>
      </c>
      <c r="E499" s="5" t="s">
        <v>3085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11" t="s">
        <v>46</v>
      </c>
      <c r="Q499" s="5">
        <v>232.64859999999999</v>
      </c>
      <c r="R499" s="5">
        <f t="shared" si="7"/>
        <v>232.64859999999999</v>
      </c>
      <c r="S499" s="5" t="s">
        <v>706</v>
      </c>
      <c r="T499" s="6">
        <v>496</v>
      </c>
      <c r="U499" s="256" t="s">
        <v>3086</v>
      </c>
      <c r="V499" s="232" t="s">
        <v>228</v>
      </c>
      <c r="W499" s="232">
        <v>8983.5</v>
      </c>
      <c r="X499" s="232">
        <v>-6110.3</v>
      </c>
      <c r="Y499" s="233" t="s">
        <v>49</v>
      </c>
      <c r="Z499" s="87" t="s">
        <v>50</v>
      </c>
      <c r="AA499" s="233" t="s">
        <v>51</v>
      </c>
      <c r="AB499" s="234"/>
      <c r="AC499" s="233">
        <v>1</v>
      </c>
      <c r="AD499" s="233" t="s">
        <v>226</v>
      </c>
      <c r="AE499" s="233"/>
      <c r="AF499" s="233"/>
      <c r="AG499" s="233" t="s">
        <v>3010</v>
      </c>
      <c r="AH499" s="233">
        <v>5</v>
      </c>
      <c r="AI499" s="233">
        <v>100</v>
      </c>
      <c r="AJ499" s="257" t="s">
        <v>2979</v>
      </c>
      <c r="AK499" s="233">
        <v>20</v>
      </c>
      <c r="AL499" s="233"/>
      <c r="AM499" s="233"/>
      <c r="AN499" s="233"/>
      <c r="AO499" s="233"/>
      <c r="AP499" s="234" t="s">
        <v>2980</v>
      </c>
      <c r="AQ499" s="234" t="s">
        <v>333</v>
      </c>
    </row>
    <row r="500" spans="1:43">
      <c r="A500" s="6">
        <v>497</v>
      </c>
      <c r="B500" s="21" t="s">
        <v>3087</v>
      </c>
      <c r="C500" s="5" t="s">
        <v>3088</v>
      </c>
      <c r="D500" s="5" t="s">
        <v>3089</v>
      </c>
      <c r="E500" s="5" t="s">
        <v>3090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11" t="s">
        <v>46</v>
      </c>
      <c r="Q500" s="5">
        <v>232.6422</v>
      </c>
      <c r="R500" s="5">
        <f t="shared" si="7"/>
        <v>232.6422</v>
      </c>
      <c r="S500" s="5" t="s">
        <v>344</v>
      </c>
      <c r="T500" s="6">
        <v>497</v>
      </c>
      <c r="U500" s="256" t="s">
        <v>3091</v>
      </c>
      <c r="V500" s="232" t="s">
        <v>3088</v>
      </c>
      <c r="W500" s="232">
        <v>6760.5</v>
      </c>
      <c r="X500" s="232">
        <v>-9967.7999999999993</v>
      </c>
      <c r="Y500" s="233" t="s">
        <v>49</v>
      </c>
      <c r="Z500" s="87" t="s">
        <v>50</v>
      </c>
      <c r="AA500" s="233" t="s">
        <v>51</v>
      </c>
      <c r="AB500" s="234"/>
      <c r="AC500" s="233">
        <v>1</v>
      </c>
      <c r="AD500" s="233" t="s">
        <v>226</v>
      </c>
      <c r="AE500" s="233"/>
      <c r="AF500" s="233"/>
      <c r="AG500" s="233" t="s">
        <v>3016</v>
      </c>
      <c r="AH500" s="233">
        <v>5</v>
      </c>
      <c r="AI500" s="233">
        <v>100</v>
      </c>
      <c r="AJ500" s="257" t="s">
        <v>2979</v>
      </c>
      <c r="AK500" s="233">
        <v>20</v>
      </c>
      <c r="AL500" s="233"/>
      <c r="AM500" s="233"/>
      <c r="AN500" s="233"/>
      <c r="AO500" s="233"/>
      <c r="AP500" s="234" t="s">
        <v>2980</v>
      </c>
      <c r="AQ500" s="234" t="s">
        <v>333</v>
      </c>
    </row>
    <row r="501" spans="1:43">
      <c r="A501" s="6">
        <v>498</v>
      </c>
      <c r="B501" s="21" t="s">
        <v>3092</v>
      </c>
      <c r="C501" s="5" t="s">
        <v>3093</v>
      </c>
      <c r="D501" s="5" t="s">
        <v>3094</v>
      </c>
      <c r="E501" s="5" t="s">
        <v>3095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11" t="s">
        <v>46</v>
      </c>
      <c r="Q501" s="5">
        <v>232.74889999999999</v>
      </c>
      <c r="R501" s="5">
        <f t="shared" si="7"/>
        <v>232.74889999999999</v>
      </c>
      <c r="S501" s="5" t="s">
        <v>706</v>
      </c>
      <c r="T501" s="6">
        <v>498</v>
      </c>
      <c r="U501" s="256" t="s">
        <v>3096</v>
      </c>
      <c r="V501" s="232" t="s">
        <v>3093</v>
      </c>
      <c r="W501" s="232">
        <v>7123.4</v>
      </c>
      <c r="X501" s="232">
        <v>-10452.4</v>
      </c>
      <c r="Y501" s="233" t="s">
        <v>49</v>
      </c>
      <c r="Z501" s="87" t="s">
        <v>50</v>
      </c>
      <c r="AA501" s="233" t="s">
        <v>51</v>
      </c>
      <c r="AB501" s="234"/>
      <c r="AC501" s="233">
        <v>1</v>
      </c>
      <c r="AD501" s="233" t="s">
        <v>226</v>
      </c>
      <c r="AE501" s="233"/>
      <c r="AF501" s="233"/>
      <c r="AG501" s="233" t="s">
        <v>3022</v>
      </c>
      <c r="AH501" s="233">
        <v>5</v>
      </c>
      <c r="AI501" s="233">
        <v>100</v>
      </c>
      <c r="AJ501" s="257" t="s">
        <v>2979</v>
      </c>
      <c r="AK501" s="233">
        <v>20</v>
      </c>
      <c r="AL501" s="233"/>
      <c r="AM501" s="233"/>
      <c r="AN501" s="233"/>
      <c r="AO501" s="233"/>
      <c r="AP501" s="234" t="s">
        <v>2980</v>
      </c>
      <c r="AQ501" s="234" t="s">
        <v>333</v>
      </c>
    </row>
    <row r="502" spans="1:43">
      <c r="A502" s="6">
        <v>499</v>
      </c>
      <c r="B502" s="21" t="s">
        <v>3097</v>
      </c>
      <c r="C502" s="5" t="s">
        <v>3098</v>
      </c>
      <c r="D502" s="5" t="s">
        <v>3099</v>
      </c>
      <c r="E502" s="5" t="s">
        <v>3100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11" t="s">
        <v>46</v>
      </c>
      <c r="Q502" s="5">
        <v>232.74250000000001</v>
      </c>
      <c r="R502" s="5">
        <f t="shared" si="7"/>
        <v>232.74250000000001</v>
      </c>
      <c r="S502" s="5" t="s">
        <v>395</v>
      </c>
      <c r="T502" s="6">
        <v>499</v>
      </c>
      <c r="U502" s="256" t="s">
        <v>3101</v>
      </c>
      <c r="V502" s="232" t="s">
        <v>3098</v>
      </c>
      <c r="W502" s="232">
        <v>7784.1</v>
      </c>
      <c r="X502" s="232">
        <v>-10035.6</v>
      </c>
      <c r="Y502" s="233" t="s">
        <v>49</v>
      </c>
      <c r="Z502" s="87" t="s">
        <v>50</v>
      </c>
      <c r="AA502" s="233" t="s">
        <v>51</v>
      </c>
      <c r="AB502" s="234"/>
      <c r="AC502" s="233">
        <v>1</v>
      </c>
      <c r="AD502" s="233" t="s">
        <v>226</v>
      </c>
      <c r="AE502" s="233"/>
      <c r="AF502" s="233"/>
      <c r="AG502" s="233" t="s">
        <v>3028</v>
      </c>
      <c r="AH502" s="233">
        <v>5</v>
      </c>
      <c r="AI502" s="233">
        <v>100</v>
      </c>
      <c r="AJ502" s="257" t="s">
        <v>2979</v>
      </c>
      <c r="AK502" s="233">
        <v>20</v>
      </c>
      <c r="AL502" s="233"/>
      <c r="AM502" s="233"/>
      <c r="AN502" s="233"/>
      <c r="AO502" s="233"/>
      <c r="AP502" s="234" t="s">
        <v>2980</v>
      </c>
      <c r="AQ502" s="234" t="s">
        <v>333</v>
      </c>
    </row>
    <row r="503" spans="1:43">
      <c r="A503" s="6">
        <v>500</v>
      </c>
      <c r="B503" s="21" t="s">
        <v>3102</v>
      </c>
      <c r="C503" s="5" t="s">
        <v>3103</v>
      </c>
      <c r="D503" s="5" t="s">
        <v>3104</v>
      </c>
      <c r="E503" s="5" t="s">
        <v>3105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11" t="s">
        <v>46</v>
      </c>
      <c r="Q503" s="5">
        <v>232.9015</v>
      </c>
      <c r="R503" s="5">
        <f t="shared" si="7"/>
        <v>232.9015</v>
      </c>
      <c r="S503" s="5" t="s">
        <v>344</v>
      </c>
      <c r="T503" s="6">
        <v>500</v>
      </c>
      <c r="U503" s="256" t="s">
        <v>3106</v>
      </c>
      <c r="V503" s="232" t="s">
        <v>3103</v>
      </c>
      <c r="W503" s="232">
        <v>8192.7999999999993</v>
      </c>
      <c r="X503" s="232">
        <v>-9205.2999999999993</v>
      </c>
      <c r="Y503" s="233" t="s">
        <v>49</v>
      </c>
      <c r="Z503" s="87" t="s">
        <v>50</v>
      </c>
      <c r="AA503" s="233" t="s">
        <v>51</v>
      </c>
      <c r="AB503" s="234"/>
      <c r="AC503" s="233">
        <v>1</v>
      </c>
      <c r="AD503" s="233" t="s">
        <v>226</v>
      </c>
      <c r="AE503" s="233"/>
      <c r="AF503" s="233"/>
      <c r="AG503" s="233" t="s">
        <v>3034</v>
      </c>
      <c r="AH503" s="233">
        <v>5</v>
      </c>
      <c r="AI503" s="233">
        <v>100</v>
      </c>
      <c r="AJ503" s="257" t="s">
        <v>2979</v>
      </c>
      <c r="AK503" s="233">
        <v>20</v>
      </c>
      <c r="AL503" s="233"/>
      <c r="AM503" s="233"/>
      <c r="AN503" s="233"/>
      <c r="AO503" s="233"/>
      <c r="AP503" s="234" t="s">
        <v>2980</v>
      </c>
      <c r="AQ503" s="234" t="s">
        <v>333</v>
      </c>
    </row>
    <row r="504" spans="1:43">
      <c r="A504" s="6">
        <v>501</v>
      </c>
      <c r="B504" s="21" t="s">
        <v>3107</v>
      </c>
      <c r="C504" s="5" t="s">
        <v>3108</v>
      </c>
      <c r="D504" s="5" t="s">
        <v>3109</v>
      </c>
      <c r="E504" s="5" t="s">
        <v>3110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11" t="s">
        <v>46</v>
      </c>
      <c r="Q504" s="5">
        <v>232.74850000000001</v>
      </c>
      <c r="R504" s="5">
        <f t="shared" si="7"/>
        <v>232.74850000000001</v>
      </c>
      <c r="S504" s="5" t="s">
        <v>344</v>
      </c>
      <c r="T504" s="6">
        <v>501</v>
      </c>
      <c r="U504" s="256" t="s">
        <v>3111</v>
      </c>
      <c r="V504" s="232" t="s">
        <v>3108</v>
      </c>
      <c r="W504" s="232">
        <v>8462.2999999999993</v>
      </c>
      <c r="X504" s="232">
        <v>-10665.3</v>
      </c>
      <c r="Y504" s="233" t="s">
        <v>49</v>
      </c>
      <c r="Z504" s="87" t="s">
        <v>50</v>
      </c>
      <c r="AA504" s="233" t="s">
        <v>51</v>
      </c>
      <c r="AB504" s="234"/>
      <c r="AC504" s="233">
        <v>1</v>
      </c>
      <c r="AD504" s="233" t="s">
        <v>226</v>
      </c>
      <c r="AE504" s="233"/>
      <c r="AF504" s="233"/>
      <c r="AG504" s="233" t="s">
        <v>3040</v>
      </c>
      <c r="AH504" s="233">
        <v>5</v>
      </c>
      <c r="AI504" s="233">
        <v>100</v>
      </c>
      <c r="AJ504" s="257" t="s">
        <v>2979</v>
      </c>
      <c r="AK504" s="233">
        <v>20</v>
      </c>
      <c r="AL504" s="233"/>
      <c r="AM504" s="233"/>
      <c r="AN504" s="233"/>
      <c r="AO504" s="233"/>
      <c r="AP504" s="234" t="s">
        <v>2980</v>
      </c>
      <c r="AQ504" s="234" t="s">
        <v>333</v>
      </c>
    </row>
    <row r="505" spans="1:43">
      <c r="A505" s="6">
        <v>502</v>
      </c>
      <c r="B505" s="21" t="s">
        <v>3112</v>
      </c>
      <c r="C505" s="5" t="s">
        <v>3113</v>
      </c>
      <c r="D505" s="5" t="s">
        <v>3114</v>
      </c>
      <c r="E505" s="5" t="s">
        <v>3115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11" t="s">
        <v>46</v>
      </c>
      <c r="Q505" s="5">
        <v>232.57980000000001</v>
      </c>
      <c r="R505" s="5">
        <f t="shared" si="7"/>
        <v>232.57980000000001</v>
      </c>
      <c r="S505" s="5" t="s">
        <v>395</v>
      </c>
      <c r="T505" s="6">
        <v>502</v>
      </c>
      <c r="U505" s="256" t="s">
        <v>3116</v>
      </c>
      <c r="V505" s="232" t="s">
        <v>3113</v>
      </c>
      <c r="W505" s="232">
        <v>11787</v>
      </c>
      <c r="X505" s="232">
        <v>-9771.9</v>
      </c>
      <c r="Y505" s="233" t="s">
        <v>49</v>
      </c>
      <c r="Z505" s="87" t="s">
        <v>50</v>
      </c>
      <c r="AA505" s="233" t="s">
        <v>51</v>
      </c>
      <c r="AB505" s="234"/>
      <c r="AC505" s="233">
        <v>1</v>
      </c>
      <c r="AD505" s="233" t="s">
        <v>226</v>
      </c>
      <c r="AE505" s="233"/>
      <c r="AF505" s="233"/>
      <c r="AG505" s="233" t="s">
        <v>3046</v>
      </c>
      <c r="AH505" s="233">
        <v>5</v>
      </c>
      <c r="AI505" s="233">
        <v>100</v>
      </c>
      <c r="AJ505" s="257" t="s">
        <v>2979</v>
      </c>
      <c r="AK505" s="233">
        <v>20</v>
      </c>
      <c r="AL505" s="233"/>
      <c r="AM505" s="233"/>
      <c r="AN505" s="233"/>
      <c r="AO505" s="233"/>
      <c r="AP505" s="234" t="s">
        <v>2980</v>
      </c>
      <c r="AQ505" s="234" t="s">
        <v>333</v>
      </c>
    </row>
    <row r="506" spans="1:43">
      <c r="A506" s="6">
        <v>503</v>
      </c>
      <c r="B506" s="21" t="s">
        <v>3117</v>
      </c>
      <c r="C506" s="5" t="s">
        <v>3118</v>
      </c>
      <c r="D506" s="5" t="s">
        <v>3119</v>
      </c>
      <c r="E506" s="5" t="s">
        <v>3120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11" t="s">
        <v>46</v>
      </c>
      <c r="Q506" s="5">
        <v>232.6754</v>
      </c>
      <c r="R506" s="5">
        <f t="shared" si="7"/>
        <v>232.6754</v>
      </c>
      <c r="S506" s="5" t="s">
        <v>395</v>
      </c>
      <c r="T506" s="6">
        <v>503</v>
      </c>
      <c r="U506" s="256" t="s">
        <v>3121</v>
      </c>
      <c r="V506" s="232" t="s">
        <v>3118</v>
      </c>
      <c r="W506" s="232">
        <v>9320.5</v>
      </c>
      <c r="X506" s="232">
        <v>-10452.4</v>
      </c>
      <c r="Y506" s="233" t="s">
        <v>49</v>
      </c>
      <c r="Z506" s="87" t="s">
        <v>50</v>
      </c>
      <c r="AA506" s="233" t="s">
        <v>51</v>
      </c>
      <c r="AB506" s="234"/>
      <c r="AC506" s="233">
        <v>1</v>
      </c>
      <c r="AD506" s="233" t="s">
        <v>226</v>
      </c>
      <c r="AE506" s="233"/>
      <c r="AF506" s="233"/>
      <c r="AG506" s="233" t="s">
        <v>3052</v>
      </c>
      <c r="AH506" s="233">
        <v>5</v>
      </c>
      <c r="AI506" s="233">
        <v>100</v>
      </c>
      <c r="AJ506" s="257" t="s">
        <v>2979</v>
      </c>
      <c r="AK506" s="233">
        <v>20</v>
      </c>
      <c r="AL506" s="233"/>
      <c r="AM506" s="233"/>
      <c r="AN506" s="233"/>
      <c r="AO506" s="233"/>
      <c r="AP506" s="234" t="s">
        <v>2980</v>
      </c>
      <c r="AQ506" s="234" t="s">
        <v>333</v>
      </c>
    </row>
    <row r="507" spans="1:43">
      <c r="A507" s="6">
        <v>504</v>
      </c>
      <c r="B507" s="21" t="s">
        <v>3122</v>
      </c>
      <c r="C507" s="5" t="s">
        <v>3123</v>
      </c>
      <c r="D507" s="5" t="s">
        <v>3124</v>
      </c>
      <c r="E507" s="5" t="s">
        <v>3125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11" t="s">
        <v>46</v>
      </c>
      <c r="Q507" s="5">
        <v>232.6978</v>
      </c>
      <c r="R507" s="5">
        <f t="shared" si="7"/>
        <v>232.6978</v>
      </c>
      <c r="S507" s="5" t="s">
        <v>706</v>
      </c>
      <c r="T507" s="6">
        <v>504</v>
      </c>
      <c r="U507" s="256" t="s">
        <v>3126</v>
      </c>
      <c r="V507" s="232" t="s">
        <v>3123</v>
      </c>
      <c r="W507" s="232">
        <v>6821</v>
      </c>
      <c r="X507" s="232">
        <v>-8695.7999999999993</v>
      </c>
      <c r="Y507" s="233" t="s">
        <v>49</v>
      </c>
      <c r="Z507" s="87" t="s">
        <v>50</v>
      </c>
      <c r="AA507" s="233" t="s">
        <v>51</v>
      </c>
      <c r="AB507" s="234"/>
      <c r="AC507" s="233">
        <v>1</v>
      </c>
      <c r="AD507" s="233" t="s">
        <v>226</v>
      </c>
      <c r="AE507" s="233"/>
      <c r="AF507" s="233"/>
      <c r="AG507" s="233" t="s">
        <v>3058</v>
      </c>
      <c r="AH507" s="233">
        <v>5</v>
      </c>
      <c r="AI507" s="233">
        <v>100</v>
      </c>
      <c r="AJ507" s="257" t="s">
        <v>2979</v>
      </c>
      <c r="AK507" s="233">
        <v>20</v>
      </c>
      <c r="AL507" s="233"/>
      <c r="AM507" s="233"/>
      <c r="AN507" s="233"/>
      <c r="AO507" s="233"/>
      <c r="AP507" s="234" t="s">
        <v>2980</v>
      </c>
      <c r="AQ507" s="234" t="s">
        <v>333</v>
      </c>
    </row>
    <row r="508" spans="1:43">
      <c r="A508" s="6">
        <v>505</v>
      </c>
      <c r="B508" s="21" t="s">
        <v>3127</v>
      </c>
      <c r="C508" s="5" t="s">
        <v>3128</v>
      </c>
      <c r="D508" s="5" t="s">
        <v>605</v>
      </c>
      <c r="E508" s="5" t="s">
        <v>605</v>
      </c>
      <c r="F508" s="5" t="s">
        <v>3129</v>
      </c>
      <c r="G508" s="5"/>
      <c r="H508" s="5"/>
      <c r="I508" s="5"/>
      <c r="J508" s="5"/>
      <c r="K508" s="5"/>
      <c r="L508" s="5"/>
      <c r="M508" s="5"/>
      <c r="N508" s="5"/>
      <c r="O508" s="5"/>
      <c r="P508" s="11" t="s">
        <v>46</v>
      </c>
      <c r="Q508" s="5">
        <v>3.8258999999999999</v>
      </c>
      <c r="R508" s="5">
        <f t="shared" si="7"/>
        <v>3.8258999999999999</v>
      </c>
      <c r="S508" s="5" t="s">
        <v>74</v>
      </c>
      <c r="T508" s="6">
        <v>505</v>
      </c>
      <c r="U508" s="253" t="s">
        <v>3130</v>
      </c>
      <c r="V508" s="232" t="s">
        <v>3128</v>
      </c>
      <c r="W508" s="232">
        <v>-1614.7</v>
      </c>
      <c r="X508" s="232">
        <v>-11190</v>
      </c>
      <c r="Y508" s="233" t="s">
        <v>49</v>
      </c>
      <c r="Z508" s="87" t="s">
        <v>50</v>
      </c>
      <c r="AA508" s="233"/>
      <c r="AB508" s="234"/>
      <c r="AC508" s="233"/>
      <c r="AD508" s="234"/>
      <c r="AE508" s="234"/>
      <c r="AF508" s="234"/>
      <c r="AG508" s="234"/>
      <c r="AH508" s="233"/>
      <c r="AI508" s="233"/>
      <c r="AJ508" s="233"/>
      <c r="AK508" s="233"/>
      <c r="AL508" s="233"/>
      <c r="AM508" s="233"/>
      <c r="AN508" s="233"/>
      <c r="AO508" s="233"/>
      <c r="AP508" s="234"/>
      <c r="AQ508" s="234" t="s">
        <v>608</v>
      </c>
    </row>
    <row r="509" spans="1:43">
      <c r="A509" s="6">
        <v>506</v>
      </c>
      <c r="B509" s="21" t="s">
        <v>3131</v>
      </c>
      <c r="C509" s="5" t="s">
        <v>3132</v>
      </c>
      <c r="D509" s="5" t="s">
        <v>3133</v>
      </c>
      <c r="E509" s="5" t="s">
        <v>3134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11" t="s">
        <v>46</v>
      </c>
      <c r="Q509" s="5">
        <v>312.30869999999999</v>
      </c>
      <c r="R509" s="5">
        <f t="shared" si="7"/>
        <v>312.30869999999999</v>
      </c>
      <c r="S509" s="5" t="s">
        <v>60</v>
      </c>
      <c r="T509" s="6">
        <v>506</v>
      </c>
      <c r="U509" s="253" t="s">
        <v>3135</v>
      </c>
      <c r="V509" s="232" t="s">
        <v>3132</v>
      </c>
      <c r="W509" s="232">
        <v>3275.1</v>
      </c>
      <c r="X509" s="232">
        <v>-4862.6000000000004</v>
      </c>
      <c r="Y509" s="233" t="s">
        <v>49</v>
      </c>
      <c r="Z509" s="87" t="s">
        <v>50</v>
      </c>
      <c r="AA509" s="233" t="s">
        <v>51</v>
      </c>
      <c r="AB509" s="234"/>
      <c r="AC509" s="233">
        <v>1</v>
      </c>
      <c r="AD509" s="233" t="s">
        <v>226</v>
      </c>
      <c r="AE509" s="233"/>
      <c r="AF509" s="233"/>
      <c r="AG509" s="233" t="s">
        <v>3136</v>
      </c>
      <c r="AH509" s="233">
        <v>5</v>
      </c>
      <c r="AI509" s="233">
        <v>100</v>
      </c>
      <c r="AJ509" s="233" t="s">
        <v>432</v>
      </c>
      <c r="AK509" s="233">
        <v>100</v>
      </c>
      <c r="AL509" s="233"/>
      <c r="AM509" s="233"/>
      <c r="AN509" s="233"/>
      <c r="AO509" s="233"/>
      <c r="AP509" s="234"/>
      <c r="AQ509" s="234" t="s">
        <v>333</v>
      </c>
    </row>
    <row r="510" spans="1:43">
      <c r="A510" s="6">
        <v>507</v>
      </c>
      <c r="B510" s="21" t="s">
        <v>3137</v>
      </c>
      <c r="C510" s="5" t="s">
        <v>3138</v>
      </c>
      <c r="D510" s="5" t="s">
        <v>3139</v>
      </c>
      <c r="E510" s="5" t="s">
        <v>3140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11" t="s">
        <v>46</v>
      </c>
      <c r="Q510" s="5">
        <v>312.31900000000002</v>
      </c>
      <c r="R510" s="5">
        <f t="shared" si="7"/>
        <v>312.31900000000002</v>
      </c>
      <c r="S510" s="5" t="s">
        <v>60</v>
      </c>
      <c r="T510" s="6">
        <v>507</v>
      </c>
      <c r="U510" s="253" t="s">
        <v>3141</v>
      </c>
      <c r="V510" s="232" t="s">
        <v>3138</v>
      </c>
      <c r="W510" s="232">
        <v>3275.1</v>
      </c>
      <c r="X510" s="232">
        <v>-4151.3999999999996</v>
      </c>
      <c r="Y510" s="233" t="s">
        <v>49</v>
      </c>
      <c r="Z510" s="87" t="s">
        <v>50</v>
      </c>
      <c r="AA510" s="233" t="s">
        <v>51</v>
      </c>
      <c r="AB510" s="234"/>
      <c r="AC510" s="233">
        <v>1</v>
      </c>
      <c r="AD510" s="233" t="s">
        <v>226</v>
      </c>
      <c r="AE510" s="233"/>
      <c r="AF510" s="233"/>
      <c r="AG510" s="233" t="s">
        <v>3136</v>
      </c>
      <c r="AH510" s="233">
        <v>5</v>
      </c>
      <c r="AI510" s="233">
        <v>100</v>
      </c>
      <c r="AJ510" s="233" t="s">
        <v>432</v>
      </c>
      <c r="AK510" s="233">
        <v>100</v>
      </c>
      <c r="AL510" s="233"/>
      <c r="AM510" s="233"/>
      <c r="AN510" s="233"/>
      <c r="AO510" s="233"/>
      <c r="AP510" s="234"/>
      <c r="AQ510" s="234" t="s">
        <v>333</v>
      </c>
    </row>
    <row r="511" spans="1:43">
      <c r="A511" s="6">
        <v>508</v>
      </c>
      <c r="B511" s="21" t="s">
        <v>3142</v>
      </c>
      <c r="C511" s="5" t="s">
        <v>3143</v>
      </c>
      <c r="D511" s="5" t="s">
        <v>3144</v>
      </c>
      <c r="E511" s="5" t="s">
        <v>3145</v>
      </c>
      <c r="F511" s="5" t="s">
        <v>3146</v>
      </c>
      <c r="G511" s="5" t="s">
        <v>3147</v>
      </c>
      <c r="H511" s="11" t="s">
        <v>3148</v>
      </c>
      <c r="I511" s="5"/>
      <c r="J511" s="5"/>
      <c r="K511" s="5"/>
      <c r="L511" s="5"/>
      <c r="M511" s="5"/>
      <c r="N511" s="5"/>
      <c r="O511" s="5"/>
      <c r="P511" s="11">
        <v>258.03989999999999</v>
      </c>
      <c r="Q511" s="5">
        <v>54.685600000000001</v>
      </c>
      <c r="R511" s="5">
        <f t="shared" ref="R511:R574" si="8">IF(AND(P511="",Q511=""),"",SUM(P511:Q511))</f>
        <v>312.72550000000001</v>
      </c>
      <c r="S511" s="5" t="s">
        <v>2462</v>
      </c>
      <c r="T511" s="6">
        <v>508</v>
      </c>
      <c r="U511" s="258" t="s">
        <v>3149</v>
      </c>
      <c r="V511" s="232" t="s">
        <v>3143</v>
      </c>
      <c r="W511" s="232">
        <v>6004.1</v>
      </c>
      <c r="X511" s="232">
        <v>-6285</v>
      </c>
      <c r="Y511" s="233" t="s">
        <v>49</v>
      </c>
      <c r="Z511" s="87" t="s">
        <v>50</v>
      </c>
      <c r="AA511" s="233" t="s">
        <v>51</v>
      </c>
      <c r="AB511" s="234"/>
      <c r="AC511" s="233">
        <v>1</v>
      </c>
      <c r="AD511" s="233" t="s">
        <v>226</v>
      </c>
      <c r="AE511" s="233"/>
      <c r="AF511" s="233"/>
      <c r="AG511" s="233" t="s">
        <v>3150</v>
      </c>
      <c r="AH511" s="233">
        <v>5</v>
      </c>
      <c r="AI511" s="233">
        <v>85</v>
      </c>
      <c r="AJ511" s="233" t="s">
        <v>432</v>
      </c>
      <c r="AK511" s="233">
        <v>100</v>
      </c>
      <c r="AL511" s="233"/>
      <c r="AM511" s="233" t="s">
        <v>3151</v>
      </c>
      <c r="AN511" s="233"/>
      <c r="AO511" s="233"/>
      <c r="AP511" s="234" t="s">
        <v>434</v>
      </c>
      <c r="AQ511" s="234" t="s">
        <v>408</v>
      </c>
    </row>
    <row r="512" spans="1:43">
      <c r="A512" s="6">
        <v>509</v>
      </c>
      <c r="B512" s="21" t="s">
        <v>3152</v>
      </c>
      <c r="C512" s="5" t="s">
        <v>3153</v>
      </c>
      <c r="D512" s="5" t="s">
        <v>3154</v>
      </c>
      <c r="E512" s="5" t="s">
        <v>3155</v>
      </c>
      <c r="F512" s="5" t="s">
        <v>3156</v>
      </c>
      <c r="G512" s="5" t="s">
        <v>3157</v>
      </c>
      <c r="H512" s="11" t="s">
        <v>3158</v>
      </c>
      <c r="I512" s="5"/>
      <c r="J512" s="5"/>
      <c r="K512" s="5"/>
      <c r="L512" s="5"/>
      <c r="M512" s="5"/>
      <c r="N512" s="5"/>
      <c r="O512" s="5"/>
      <c r="P512" s="11">
        <v>258.0061</v>
      </c>
      <c r="Q512" s="5">
        <v>54.685099999999998</v>
      </c>
      <c r="R512" s="5">
        <f t="shared" si="8"/>
        <v>312.69119999999998</v>
      </c>
      <c r="S512" s="5" t="s">
        <v>2462</v>
      </c>
      <c r="T512" s="6">
        <v>509</v>
      </c>
      <c r="U512" s="258" t="s">
        <v>3159</v>
      </c>
      <c r="V512" s="232" t="s">
        <v>3153</v>
      </c>
      <c r="W512" s="232">
        <v>6004.1</v>
      </c>
      <c r="X512" s="232">
        <v>-6996.2</v>
      </c>
      <c r="Y512" s="233" t="s">
        <v>49</v>
      </c>
      <c r="Z512" s="87" t="s">
        <v>50</v>
      </c>
      <c r="AA512" s="233" t="s">
        <v>51</v>
      </c>
      <c r="AB512" s="234"/>
      <c r="AC512" s="233">
        <v>1</v>
      </c>
      <c r="AD512" s="233" t="s">
        <v>226</v>
      </c>
      <c r="AE512" s="233"/>
      <c r="AF512" s="233"/>
      <c r="AG512" s="233" t="s">
        <v>3150</v>
      </c>
      <c r="AH512" s="233">
        <v>5</v>
      </c>
      <c r="AI512" s="233">
        <v>85</v>
      </c>
      <c r="AJ512" s="233" t="s">
        <v>432</v>
      </c>
      <c r="AK512" s="233">
        <v>100</v>
      </c>
      <c r="AL512" s="233"/>
      <c r="AM512" s="233" t="s">
        <v>3160</v>
      </c>
      <c r="AN512" s="233"/>
      <c r="AO512" s="233"/>
      <c r="AP512" s="234" t="s">
        <v>434</v>
      </c>
      <c r="AQ512" s="234" t="s">
        <v>408</v>
      </c>
    </row>
    <row r="513" spans="1:43">
      <c r="A513" s="6">
        <v>510</v>
      </c>
      <c r="B513" s="21" t="s">
        <v>3161</v>
      </c>
      <c r="C513" s="5" t="s">
        <v>3162</v>
      </c>
      <c r="D513" s="5" t="s">
        <v>3163</v>
      </c>
      <c r="E513" s="5" t="s">
        <v>3164</v>
      </c>
      <c r="F513" s="5" t="s">
        <v>3165</v>
      </c>
      <c r="G513" s="5" t="s">
        <v>3166</v>
      </c>
      <c r="H513" s="11" t="s">
        <v>3167</v>
      </c>
      <c r="I513" s="5"/>
      <c r="J513" s="5"/>
      <c r="K513" s="5"/>
      <c r="L513" s="5"/>
      <c r="M513" s="5"/>
      <c r="N513" s="5"/>
      <c r="O513" s="5"/>
      <c r="P513" s="11">
        <v>258.0421</v>
      </c>
      <c r="Q513" s="5">
        <v>54.770400000000002</v>
      </c>
      <c r="R513" s="5">
        <f t="shared" si="8"/>
        <v>312.8125</v>
      </c>
      <c r="S513" s="5" t="s">
        <v>1931</v>
      </c>
      <c r="T513" s="6">
        <v>510</v>
      </c>
      <c r="U513" s="258" t="s">
        <v>3168</v>
      </c>
      <c r="V513" s="232" t="s">
        <v>3162</v>
      </c>
      <c r="W513" s="232">
        <v>5708.2</v>
      </c>
      <c r="X513" s="232">
        <v>-11190</v>
      </c>
      <c r="Y513" s="233" t="s">
        <v>49</v>
      </c>
      <c r="Z513" s="87" t="s">
        <v>50</v>
      </c>
      <c r="AA513" s="233" t="s">
        <v>51</v>
      </c>
      <c r="AB513" s="234"/>
      <c r="AC513" s="233">
        <v>1</v>
      </c>
      <c r="AD513" s="233" t="s">
        <v>226</v>
      </c>
      <c r="AE513" s="233"/>
      <c r="AF513" s="233"/>
      <c r="AG513" s="233" t="s">
        <v>3150</v>
      </c>
      <c r="AH513" s="233">
        <v>5</v>
      </c>
      <c r="AI513" s="233">
        <v>85</v>
      </c>
      <c r="AJ513" s="233" t="s">
        <v>432</v>
      </c>
      <c r="AK513" s="233">
        <v>100</v>
      </c>
      <c r="AL513" s="233"/>
      <c r="AM513" s="233" t="s">
        <v>3151</v>
      </c>
      <c r="AN513" s="233"/>
      <c r="AO513" s="233"/>
      <c r="AP513" s="234" t="s">
        <v>434</v>
      </c>
      <c r="AQ513" s="234" t="s">
        <v>408</v>
      </c>
    </row>
    <row r="514" spans="1:43">
      <c r="A514" s="6">
        <v>511</v>
      </c>
      <c r="B514" s="21" t="s">
        <v>3169</v>
      </c>
      <c r="C514" s="5" t="s">
        <v>3170</v>
      </c>
      <c r="D514" s="5" t="s">
        <v>3171</v>
      </c>
      <c r="E514" s="5" t="s">
        <v>3172</v>
      </c>
      <c r="F514" s="5" t="s">
        <v>3173</v>
      </c>
      <c r="G514" s="5" t="s">
        <v>3174</v>
      </c>
      <c r="H514" s="11" t="s">
        <v>3175</v>
      </c>
      <c r="I514" s="5"/>
      <c r="J514" s="5"/>
      <c r="K514" s="5"/>
      <c r="L514" s="5"/>
      <c r="M514" s="5"/>
      <c r="N514" s="5"/>
      <c r="O514" s="5"/>
      <c r="P514" s="11">
        <v>258.07549999999998</v>
      </c>
      <c r="Q514" s="5">
        <v>54.783099999999997</v>
      </c>
      <c r="R514" s="5">
        <f t="shared" si="8"/>
        <v>312.85859999999997</v>
      </c>
      <c r="S514" s="5" t="s">
        <v>1931</v>
      </c>
      <c r="T514" s="6">
        <v>511</v>
      </c>
      <c r="U514" s="258" t="s">
        <v>3176</v>
      </c>
      <c r="V514" s="232" t="s">
        <v>3170</v>
      </c>
      <c r="W514" s="232">
        <v>5207.8</v>
      </c>
      <c r="X514" s="232">
        <v>-11190</v>
      </c>
      <c r="Y514" s="233" t="s">
        <v>49</v>
      </c>
      <c r="Z514" s="87" t="s">
        <v>50</v>
      </c>
      <c r="AA514" s="233" t="s">
        <v>51</v>
      </c>
      <c r="AB514" s="234"/>
      <c r="AC514" s="233">
        <v>1</v>
      </c>
      <c r="AD514" s="233" t="s">
        <v>226</v>
      </c>
      <c r="AE514" s="233"/>
      <c r="AF514" s="233"/>
      <c r="AG514" s="233" t="s">
        <v>3150</v>
      </c>
      <c r="AH514" s="233">
        <v>5</v>
      </c>
      <c r="AI514" s="233">
        <v>85</v>
      </c>
      <c r="AJ514" s="233" t="s">
        <v>432</v>
      </c>
      <c r="AK514" s="233">
        <v>100</v>
      </c>
      <c r="AL514" s="233"/>
      <c r="AM514" s="233" t="s">
        <v>3160</v>
      </c>
      <c r="AN514" s="233"/>
      <c r="AO514" s="233"/>
      <c r="AP514" s="234" t="s">
        <v>434</v>
      </c>
      <c r="AQ514" s="234" t="s">
        <v>408</v>
      </c>
    </row>
    <row r="515" spans="1:43">
      <c r="A515" s="6">
        <v>512</v>
      </c>
      <c r="B515" s="21" t="s">
        <v>3177</v>
      </c>
      <c r="C515" s="5" t="s">
        <v>3178</v>
      </c>
      <c r="D515" s="5" t="s">
        <v>3179</v>
      </c>
      <c r="E515" s="5" t="s">
        <v>3180</v>
      </c>
      <c r="F515" s="5" t="s">
        <v>3181</v>
      </c>
      <c r="G515" s="5" t="s">
        <v>3182</v>
      </c>
      <c r="H515" s="11" t="s">
        <v>3183</v>
      </c>
      <c r="I515" s="5"/>
      <c r="J515" s="5"/>
      <c r="K515" s="5"/>
      <c r="L515" s="5"/>
      <c r="M515" s="5"/>
      <c r="N515" s="5"/>
      <c r="O515" s="5"/>
      <c r="P515" s="11">
        <v>258.01889999999997</v>
      </c>
      <c r="Q515" s="5">
        <v>54.597299999999997</v>
      </c>
      <c r="R515" s="5">
        <f t="shared" si="8"/>
        <v>312.61619999999999</v>
      </c>
      <c r="S515" s="5" t="s">
        <v>2270</v>
      </c>
      <c r="T515" s="6">
        <v>512</v>
      </c>
      <c r="U515" s="258" t="s">
        <v>3184</v>
      </c>
      <c r="V515" s="232" t="s">
        <v>3178</v>
      </c>
      <c r="W515" s="232">
        <v>546.1</v>
      </c>
      <c r="X515" s="232">
        <v>-9129.7999999999993</v>
      </c>
      <c r="Y515" s="233" t="s">
        <v>49</v>
      </c>
      <c r="Z515" s="87" t="s">
        <v>50</v>
      </c>
      <c r="AA515" s="233" t="s">
        <v>51</v>
      </c>
      <c r="AB515" s="234"/>
      <c r="AC515" s="233">
        <v>1</v>
      </c>
      <c r="AD515" s="233" t="s">
        <v>226</v>
      </c>
      <c r="AE515" s="233"/>
      <c r="AF515" s="233"/>
      <c r="AG515" s="233" t="s">
        <v>3185</v>
      </c>
      <c r="AH515" s="233">
        <v>5</v>
      </c>
      <c r="AI515" s="233">
        <v>85</v>
      </c>
      <c r="AJ515" s="233" t="s">
        <v>432</v>
      </c>
      <c r="AK515" s="233">
        <v>100</v>
      </c>
      <c r="AL515" s="233"/>
      <c r="AM515" s="233" t="s">
        <v>3186</v>
      </c>
      <c r="AN515" s="233"/>
      <c r="AO515" s="233"/>
      <c r="AP515" s="234" t="s">
        <v>434</v>
      </c>
      <c r="AQ515" s="234" t="s">
        <v>408</v>
      </c>
    </row>
    <row r="516" spans="1:43">
      <c r="A516" s="6">
        <v>513</v>
      </c>
      <c r="B516" s="21" t="s">
        <v>3187</v>
      </c>
      <c r="C516" s="5" t="s">
        <v>3188</v>
      </c>
      <c r="D516" s="5" t="s">
        <v>3189</v>
      </c>
      <c r="E516" s="5" t="s">
        <v>3190</v>
      </c>
      <c r="F516" s="5" t="s">
        <v>3191</v>
      </c>
      <c r="G516" s="5" t="s">
        <v>3192</v>
      </c>
      <c r="H516" s="11" t="s">
        <v>3193</v>
      </c>
      <c r="I516" s="5"/>
      <c r="J516" s="5"/>
      <c r="K516" s="5"/>
      <c r="L516" s="5"/>
      <c r="M516" s="5"/>
      <c r="N516" s="5"/>
      <c r="O516" s="5"/>
      <c r="P516" s="11">
        <v>258.01299999999998</v>
      </c>
      <c r="Q516" s="5">
        <v>54.606999999999999</v>
      </c>
      <c r="R516" s="5">
        <f t="shared" si="8"/>
        <v>312.62</v>
      </c>
      <c r="S516" s="5" t="s">
        <v>2270</v>
      </c>
      <c r="T516" s="6">
        <v>513</v>
      </c>
      <c r="U516" s="258" t="s">
        <v>3194</v>
      </c>
      <c r="V516" s="232" t="s">
        <v>3188</v>
      </c>
      <c r="W516" s="232">
        <v>546.1</v>
      </c>
      <c r="X516" s="232">
        <v>-8418.6</v>
      </c>
      <c r="Y516" s="233" t="s">
        <v>49</v>
      </c>
      <c r="Z516" s="87" t="s">
        <v>50</v>
      </c>
      <c r="AA516" s="233" t="s">
        <v>51</v>
      </c>
      <c r="AB516" s="234"/>
      <c r="AC516" s="233">
        <v>1</v>
      </c>
      <c r="AD516" s="233" t="s">
        <v>226</v>
      </c>
      <c r="AE516" s="233"/>
      <c r="AF516" s="233"/>
      <c r="AG516" s="233" t="s">
        <v>3185</v>
      </c>
      <c r="AH516" s="233">
        <v>5</v>
      </c>
      <c r="AI516" s="233">
        <v>85</v>
      </c>
      <c r="AJ516" s="233" t="s">
        <v>432</v>
      </c>
      <c r="AK516" s="233">
        <v>100</v>
      </c>
      <c r="AL516" s="233"/>
      <c r="AM516" s="233" t="s">
        <v>3195</v>
      </c>
      <c r="AN516" s="233"/>
      <c r="AO516" s="233"/>
      <c r="AP516" s="234" t="s">
        <v>434</v>
      </c>
      <c r="AQ516" s="234" t="s">
        <v>408</v>
      </c>
    </row>
    <row r="517" spans="1:43">
      <c r="A517" s="6">
        <v>546</v>
      </c>
      <c r="B517" s="21" t="s">
        <v>3196</v>
      </c>
      <c r="C517" s="5" t="s">
        <v>3197</v>
      </c>
      <c r="D517" s="5" t="s">
        <v>3198</v>
      </c>
      <c r="E517" s="5" t="s">
        <v>3199</v>
      </c>
      <c r="F517" s="5" t="s">
        <v>3200</v>
      </c>
      <c r="G517" s="5" t="s">
        <v>3201</v>
      </c>
      <c r="H517" s="11" t="s">
        <v>3202</v>
      </c>
      <c r="I517" s="5"/>
      <c r="J517" s="5"/>
      <c r="K517" s="5"/>
      <c r="L517" s="5"/>
      <c r="M517" s="5"/>
      <c r="N517" s="5"/>
      <c r="O517" s="5"/>
      <c r="P517" s="11">
        <v>257.99599999999998</v>
      </c>
      <c r="Q517" s="5">
        <v>54.759300000000003</v>
      </c>
      <c r="R517" s="5">
        <f t="shared" si="8"/>
        <v>312.75529999999998</v>
      </c>
      <c r="S517" s="5" t="s">
        <v>1827</v>
      </c>
      <c r="T517" s="6">
        <v>546</v>
      </c>
      <c r="U517" s="258" t="s">
        <v>3203</v>
      </c>
      <c r="V517" s="232" t="s">
        <v>3197</v>
      </c>
      <c r="W517" s="232">
        <v>-250.2</v>
      </c>
      <c r="X517" s="232">
        <v>-11190</v>
      </c>
      <c r="Y517" s="233" t="s">
        <v>49</v>
      </c>
      <c r="Z517" s="87" t="s">
        <v>50</v>
      </c>
      <c r="AA517" s="233" t="s">
        <v>51</v>
      </c>
      <c r="AB517" s="234"/>
      <c r="AC517" s="233">
        <v>1</v>
      </c>
      <c r="AD517" s="233" t="s">
        <v>226</v>
      </c>
      <c r="AE517" s="233"/>
      <c r="AF517" s="233"/>
      <c r="AG517" s="233" t="s">
        <v>454</v>
      </c>
      <c r="AH517" s="233">
        <v>5</v>
      </c>
      <c r="AI517" s="233">
        <v>85</v>
      </c>
      <c r="AJ517" s="233" t="s">
        <v>432</v>
      </c>
      <c r="AK517" s="233">
        <v>100</v>
      </c>
      <c r="AL517" s="233"/>
      <c r="AM517" s="233" t="s">
        <v>3204</v>
      </c>
      <c r="AN517" s="233"/>
      <c r="AO517" s="233"/>
      <c r="AP517" s="234" t="s">
        <v>434</v>
      </c>
      <c r="AQ517" s="234" t="s">
        <v>408</v>
      </c>
    </row>
    <row r="518" spans="1:43">
      <c r="A518" s="6">
        <v>515</v>
      </c>
      <c r="B518" s="21" t="s">
        <v>3205</v>
      </c>
      <c r="C518" s="5" t="s">
        <v>3206</v>
      </c>
      <c r="D518" s="5" t="s">
        <v>3207</v>
      </c>
      <c r="E518" s="5" t="s">
        <v>3208</v>
      </c>
      <c r="F518" s="5" t="s">
        <v>3209</v>
      </c>
      <c r="G518" s="5" t="s">
        <v>3210</v>
      </c>
      <c r="H518" s="11" t="s">
        <v>3211</v>
      </c>
      <c r="I518" s="5"/>
      <c r="J518" s="5"/>
      <c r="K518" s="5"/>
      <c r="L518" s="5"/>
      <c r="M518" s="5"/>
      <c r="N518" s="5"/>
      <c r="O518" s="5"/>
      <c r="P518" s="11">
        <v>258.05509999999998</v>
      </c>
      <c r="Q518" s="5">
        <v>54.7333</v>
      </c>
      <c r="R518" s="5">
        <f t="shared" si="8"/>
        <v>312.78839999999997</v>
      </c>
      <c r="S518" s="5" t="s">
        <v>2568</v>
      </c>
      <c r="T518" s="6">
        <v>515</v>
      </c>
      <c r="U518" s="258" t="s">
        <v>3212</v>
      </c>
      <c r="V518" s="232" t="s">
        <v>3206</v>
      </c>
      <c r="W518" s="232">
        <v>-932.5</v>
      </c>
      <c r="X518" s="232">
        <v>-10380.6</v>
      </c>
      <c r="Y518" s="233" t="s">
        <v>49</v>
      </c>
      <c r="Z518" s="87" t="s">
        <v>50</v>
      </c>
      <c r="AA518" s="233" t="s">
        <v>51</v>
      </c>
      <c r="AB518" s="234"/>
      <c r="AC518" s="233">
        <v>1</v>
      </c>
      <c r="AD518" s="233" t="s">
        <v>226</v>
      </c>
      <c r="AE518" s="233"/>
      <c r="AF518" s="233"/>
      <c r="AG518" s="233" t="s">
        <v>3185</v>
      </c>
      <c r="AH518" s="233">
        <v>5</v>
      </c>
      <c r="AI518" s="233">
        <v>85</v>
      </c>
      <c r="AJ518" s="233" t="s">
        <v>432</v>
      </c>
      <c r="AK518" s="233">
        <v>100</v>
      </c>
      <c r="AL518" s="233"/>
      <c r="AM518" s="233" t="s">
        <v>3195</v>
      </c>
      <c r="AN518" s="233"/>
      <c r="AO518" s="233"/>
      <c r="AP518" s="234" t="s">
        <v>434</v>
      </c>
      <c r="AQ518" s="234" t="s">
        <v>408</v>
      </c>
    </row>
    <row r="519" spans="1:43">
      <c r="A519" s="6">
        <v>516</v>
      </c>
      <c r="B519" s="21" t="s">
        <v>3213</v>
      </c>
      <c r="C519" s="5" t="s">
        <v>3214</v>
      </c>
      <c r="D519" s="5" t="s">
        <v>3215</v>
      </c>
      <c r="E519" s="5" t="s">
        <v>3216</v>
      </c>
      <c r="F519" s="5" t="s">
        <v>3217</v>
      </c>
      <c r="G519" s="5" t="s">
        <v>3218</v>
      </c>
      <c r="H519" s="11" t="s">
        <v>3219</v>
      </c>
      <c r="I519" s="5"/>
      <c r="J519" s="5"/>
      <c r="K519" s="5"/>
      <c r="L519" s="5"/>
      <c r="M519" s="5"/>
      <c r="N519" s="5"/>
      <c r="O519" s="5"/>
      <c r="P519" s="11">
        <v>258.06259999999997</v>
      </c>
      <c r="Q519" s="5">
        <v>54.938000000000002</v>
      </c>
      <c r="R519" s="5">
        <f t="shared" si="8"/>
        <v>313.00059999999996</v>
      </c>
      <c r="S519" s="5" t="s">
        <v>2306</v>
      </c>
      <c r="T519" s="6">
        <v>516</v>
      </c>
      <c r="U519" s="258" t="s">
        <v>3220</v>
      </c>
      <c r="V519" s="232" t="s">
        <v>3214</v>
      </c>
      <c r="W519" s="232">
        <v>6004.1</v>
      </c>
      <c r="X519" s="232">
        <v>-9129.7999999999993</v>
      </c>
      <c r="Y519" s="233" t="s">
        <v>49</v>
      </c>
      <c r="Z519" s="87" t="s">
        <v>50</v>
      </c>
      <c r="AA519" s="233" t="s">
        <v>51</v>
      </c>
      <c r="AB519" s="234"/>
      <c r="AC519" s="233">
        <v>1</v>
      </c>
      <c r="AD519" s="233" t="s">
        <v>226</v>
      </c>
      <c r="AE519" s="233"/>
      <c r="AF519" s="233"/>
      <c r="AG519" s="233" t="s">
        <v>3221</v>
      </c>
      <c r="AH519" s="233">
        <v>5</v>
      </c>
      <c r="AI519" s="233">
        <v>85</v>
      </c>
      <c r="AJ519" s="233" t="s">
        <v>432</v>
      </c>
      <c r="AK519" s="233">
        <v>100</v>
      </c>
      <c r="AL519" s="233"/>
      <c r="AM519" s="233" t="s">
        <v>3222</v>
      </c>
      <c r="AN519" s="233"/>
      <c r="AO519" s="233"/>
      <c r="AP519" s="234" t="s">
        <v>434</v>
      </c>
      <c r="AQ519" s="234" t="s">
        <v>408</v>
      </c>
    </row>
    <row r="520" spans="1:43">
      <c r="A520" s="6">
        <v>517</v>
      </c>
      <c r="B520" s="21" t="s">
        <v>3223</v>
      </c>
      <c r="C520" s="5" t="s">
        <v>3224</v>
      </c>
      <c r="D520" s="5" t="s">
        <v>3225</v>
      </c>
      <c r="E520" s="5" t="s">
        <v>3226</v>
      </c>
      <c r="F520" s="5" t="s">
        <v>3227</v>
      </c>
      <c r="G520" s="5" t="s">
        <v>3228</v>
      </c>
      <c r="H520" s="11" t="s">
        <v>3229</v>
      </c>
      <c r="I520" s="5"/>
      <c r="J520" s="5"/>
      <c r="K520" s="5"/>
      <c r="L520" s="5"/>
      <c r="M520" s="5"/>
      <c r="N520" s="5"/>
      <c r="O520" s="5"/>
      <c r="P520" s="11">
        <v>258.06490000000002</v>
      </c>
      <c r="Q520" s="5">
        <v>54.939300000000003</v>
      </c>
      <c r="R520" s="5">
        <f t="shared" si="8"/>
        <v>313.00420000000003</v>
      </c>
      <c r="S520" s="5" t="s">
        <v>2306</v>
      </c>
      <c r="T520" s="6">
        <v>517</v>
      </c>
      <c r="U520" s="258" t="s">
        <v>3230</v>
      </c>
      <c r="V520" s="232" t="s">
        <v>3224</v>
      </c>
      <c r="W520" s="232">
        <v>6004.1</v>
      </c>
      <c r="X520" s="232">
        <v>-8418.6</v>
      </c>
      <c r="Y520" s="233" t="s">
        <v>49</v>
      </c>
      <c r="Z520" s="87" t="s">
        <v>50</v>
      </c>
      <c r="AA520" s="233" t="s">
        <v>51</v>
      </c>
      <c r="AB520" s="234"/>
      <c r="AC520" s="233">
        <v>1</v>
      </c>
      <c r="AD520" s="233" t="s">
        <v>226</v>
      </c>
      <c r="AE520" s="233"/>
      <c r="AF520" s="233"/>
      <c r="AG520" s="233" t="s">
        <v>3221</v>
      </c>
      <c r="AH520" s="233">
        <v>5</v>
      </c>
      <c r="AI520" s="233">
        <v>85</v>
      </c>
      <c r="AJ520" s="233" t="s">
        <v>432</v>
      </c>
      <c r="AK520" s="233">
        <v>100</v>
      </c>
      <c r="AL520" s="233"/>
      <c r="AM520" s="233" t="s">
        <v>3231</v>
      </c>
      <c r="AN520" s="233"/>
      <c r="AO520" s="233"/>
      <c r="AP520" s="234" t="s">
        <v>434</v>
      </c>
      <c r="AQ520" s="234" t="s">
        <v>408</v>
      </c>
    </row>
    <row r="521" spans="1:43">
      <c r="A521" s="6">
        <v>518</v>
      </c>
      <c r="B521" s="21" t="s">
        <v>3232</v>
      </c>
      <c r="C521" s="5" t="s">
        <v>3233</v>
      </c>
      <c r="D521" s="5" t="s">
        <v>3234</v>
      </c>
      <c r="E521" s="5" t="s">
        <v>3235</v>
      </c>
      <c r="F521" s="5" t="s">
        <v>3236</v>
      </c>
      <c r="G521" s="5" t="s">
        <v>3237</v>
      </c>
      <c r="H521" s="11" t="s">
        <v>3238</v>
      </c>
      <c r="I521" s="5"/>
      <c r="J521" s="5"/>
      <c r="K521" s="5"/>
      <c r="L521" s="5"/>
      <c r="M521" s="5"/>
      <c r="N521" s="5"/>
      <c r="O521" s="5"/>
      <c r="P521" s="11">
        <v>258.03339999999997</v>
      </c>
      <c r="Q521" s="5">
        <v>54.445500000000003</v>
      </c>
      <c r="R521" s="5">
        <f t="shared" si="8"/>
        <v>312.47889999999995</v>
      </c>
      <c r="S521" s="5" t="s">
        <v>2199</v>
      </c>
      <c r="T521" s="6">
        <v>518</v>
      </c>
      <c r="U521" s="258" t="s">
        <v>3239</v>
      </c>
      <c r="V521" s="232" t="s">
        <v>3233</v>
      </c>
      <c r="W521" s="232">
        <v>5026.1000000000004</v>
      </c>
      <c r="X521" s="232">
        <v>-10380.6</v>
      </c>
      <c r="Y521" s="233" t="s">
        <v>49</v>
      </c>
      <c r="Z521" s="87" t="s">
        <v>50</v>
      </c>
      <c r="AA521" s="233" t="s">
        <v>51</v>
      </c>
      <c r="AB521" s="234"/>
      <c r="AC521" s="233">
        <v>1</v>
      </c>
      <c r="AD521" s="233" t="s">
        <v>226</v>
      </c>
      <c r="AE521" s="233"/>
      <c r="AF521" s="233"/>
      <c r="AG521" s="233" t="s">
        <v>3221</v>
      </c>
      <c r="AH521" s="233">
        <v>5</v>
      </c>
      <c r="AI521" s="233">
        <v>85</v>
      </c>
      <c r="AJ521" s="233" t="s">
        <v>432</v>
      </c>
      <c r="AK521" s="233">
        <v>100</v>
      </c>
      <c r="AL521" s="233"/>
      <c r="AM521" s="233" t="s">
        <v>3222</v>
      </c>
      <c r="AN521" s="233"/>
      <c r="AO521" s="233"/>
      <c r="AP521" s="234" t="s">
        <v>434</v>
      </c>
      <c r="AQ521" s="234" t="s">
        <v>408</v>
      </c>
    </row>
    <row r="522" spans="1:43">
      <c r="A522" s="6">
        <v>519</v>
      </c>
      <c r="B522" s="21" t="s">
        <v>3240</v>
      </c>
      <c r="C522" s="5" t="s">
        <v>3241</v>
      </c>
      <c r="D522" s="5" t="s">
        <v>3242</v>
      </c>
      <c r="E522" s="5" t="s">
        <v>3243</v>
      </c>
      <c r="F522" s="5" t="s">
        <v>3244</v>
      </c>
      <c r="G522" s="5" t="s">
        <v>3245</v>
      </c>
      <c r="H522" s="11" t="s">
        <v>3246</v>
      </c>
      <c r="I522" s="5"/>
      <c r="J522" s="5"/>
      <c r="K522" s="5"/>
      <c r="L522" s="5"/>
      <c r="M522" s="5"/>
      <c r="N522" s="5"/>
      <c r="O522" s="5"/>
      <c r="P522" s="11">
        <v>258.03620000000001</v>
      </c>
      <c r="Q522" s="5">
        <v>54.4527</v>
      </c>
      <c r="R522" s="5">
        <f t="shared" si="8"/>
        <v>312.4889</v>
      </c>
      <c r="S522" s="5" t="s">
        <v>2199</v>
      </c>
      <c r="T522" s="6">
        <v>519</v>
      </c>
      <c r="U522" s="258" t="s">
        <v>3247</v>
      </c>
      <c r="V522" s="232" t="s">
        <v>3241</v>
      </c>
      <c r="W522" s="232">
        <v>4525.5</v>
      </c>
      <c r="X522" s="232">
        <v>-10380.6</v>
      </c>
      <c r="Y522" s="233" t="s">
        <v>49</v>
      </c>
      <c r="Z522" s="87" t="s">
        <v>50</v>
      </c>
      <c r="AA522" s="233" t="s">
        <v>51</v>
      </c>
      <c r="AB522" s="234"/>
      <c r="AC522" s="233">
        <v>1</v>
      </c>
      <c r="AD522" s="233" t="s">
        <v>226</v>
      </c>
      <c r="AE522" s="233"/>
      <c r="AF522" s="233"/>
      <c r="AG522" s="233" t="s">
        <v>3221</v>
      </c>
      <c r="AH522" s="233">
        <v>5</v>
      </c>
      <c r="AI522" s="233">
        <v>85</v>
      </c>
      <c r="AJ522" s="233" t="s">
        <v>432</v>
      </c>
      <c r="AK522" s="233">
        <v>100</v>
      </c>
      <c r="AL522" s="233"/>
      <c r="AM522" s="233" t="s">
        <v>3231</v>
      </c>
      <c r="AN522" s="233"/>
      <c r="AO522" s="233"/>
      <c r="AP522" s="234" t="s">
        <v>434</v>
      </c>
      <c r="AQ522" s="234" t="s">
        <v>408</v>
      </c>
    </row>
    <row r="523" spans="1:43">
      <c r="A523" s="6">
        <v>520</v>
      </c>
      <c r="B523" s="21" t="s">
        <v>3248</v>
      </c>
      <c r="C523" s="5" t="s">
        <v>3249</v>
      </c>
      <c r="D523" s="5" t="s">
        <v>3250</v>
      </c>
      <c r="E523" s="5" t="s">
        <v>3251</v>
      </c>
      <c r="F523" s="5" t="s">
        <v>3252</v>
      </c>
      <c r="G523" s="5" t="s">
        <v>3253</v>
      </c>
      <c r="H523" s="11" t="s">
        <v>3254</v>
      </c>
      <c r="I523" s="5"/>
      <c r="J523" s="5"/>
      <c r="K523" s="5"/>
      <c r="L523" s="5"/>
      <c r="M523" s="5"/>
      <c r="N523" s="5"/>
      <c r="O523" s="5"/>
      <c r="P523" s="11">
        <v>258.05259999999998</v>
      </c>
      <c r="Q523" s="5">
        <v>54.781300000000002</v>
      </c>
      <c r="R523" s="5">
        <f t="shared" si="8"/>
        <v>312.83389999999997</v>
      </c>
      <c r="S523" s="5" t="s">
        <v>2199</v>
      </c>
      <c r="T523" s="6">
        <v>520</v>
      </c>
      <c r="U523" s="258" t="s">
        <v>3255</v>
      </c>
      <c r="V523" s="232" t="s">
        <v>3249</v>
      </c>
      <c r="W523" s="232">
        <v>4632.3999999999996</v>
      </c>
      <c r="X523" s="232">
        <v>-5573.8</v>
      </c>
      <c r="Y523" s="233" t="s">
        <v>49</v>
      </c>
      <c r="Z523" s="87" t="s">
        <v>50</v>
      </c>
      <c r="AA523" s="233" t="s">
        <v>51</v>
      </c>
      <c r="AB523" s="234"/>
      <c r="AC523" s="233">
        <v>1</v>
      </c>
      <c r="AD523" s="233" t="s">
        <v>226</v>
      </c>
      <c r="AE523" s="233"/>
      <c r="AF523" s="233"/>
      <c r="AG523" s="233" t="s">
        <v>3256</v>
      </c>
      <c r="AH523" s="233">
        <v>5</v>
      </c>
      <c r="AI523" s="233">
        <v>85</v>
      </c>
      <c r="AJ523" s="233" t="s">
        <v>432</v>
      </c>
      <c r="AK523" s="233">
        <v>100</v>
      </c>
      <c r="AL523" s="233"/>
      <c r="AM523" s="233" t="s">
        <v>3257</v>
      </c>
      <c r="AN523" s="233"/>
      <c r="AO523" s="233"/>
      <c r="AP523" s="234" t="s">
        <v>434</v>
      </c>
      <c r="AQ523" s="234" t="s">
        <v>408</v>
      </c>
    </row>
    <row r="524" spans="1:43">
      <c r="A524" s="6">
        <v>521</v>
      </c>
      <c r="B524" s="21" t="s">
        <v>3258</v>
      </c>
      <c r="C524" s="5" t="s">
        <v>3259</v>
      </c>
      <c r="D524" s="5" t="s">
        <v>3260</v>
      </c>
      <c r="E524" s="5" t="s">
        <v>3261</v>
      </c>
      <c r="F524" s="5" t="s">
        <v>3262</v>
      </c>
      <c r="G524" s="5" t="s">
        <v>3263</v>
      </c>
      <c r="H524" s="11" t="s">
        <v>3264</v>
      </c>
      <c r="I524" s="5"/>
      <c r="J524" s="5"/>
      <c r="K524" s="5"/>
      <c r="L524" s="5"/>
      <c r="M524" s="5"/>
      <c r="N524" s="5"/>
      <c r="O524" s="5"/>
      <c r="P524" s="11">
        <v>258.0455</v>
      </c>
      <c r="Q524" s="5">
        <v>54.771700000000003</v>
      </c>
      <c r="R524" s="5">
        <f t="shared" si="8"/>
        <v>312.81720000000001</v>
      </c>
      <c r="S524" s="5" t="s">
        <v>2199</v>
      </c>
      <c r="T524" s="6">
        <v>521</v>
      </c>
      <c r="U524" s="258" t="s">
        <v>3265</v>
      </c>
      <c r="V524" s="232" t="s">
        <v>3259</v>
      </c>
      <c r="W524" s="232">
        <v>4632.3999999999996</v>
      </c>
      <c r="X524" s="232">
        <v>-4862.6000000000004</v>
      </c>
      <c r="Y524" s="233" t="s">
        <v>49</v>
      </c>
      <c r="Z524" s="87" t="s">
        <v>50</v>
      </c>
      <c r="AA524" s="233" t="s">
        <v>51</v>
      </c>
      <c r="AB524" s="234"/>
      <c r="AC524" s="233">
        <v>1</v>
      </c>
      <c r="AD524" s="233" t="s">
        <v>226</v>
      </c>
      <c r="AE524" s="233"/>
      <c r="AF524" s="233"/>
      <c r="AG524" s="233" t="s">
        <v>3256</v>
      </c>
      <c r="AH524" s="233">
        <v>5</v>
      </c>
      <c r="AI524" s="233">
        <v>85</v>
      </c>
      <c r="AJ524" s="233" t="s">
        <v>432</v>
      </c>
      <c r="AK524" s="233">
        <v>100</v>
      </c>
      <c r="AL524" s="233"/>
      <c r="AM524" s="233" t="s">
        <v>3266</v>
      </c>
      <c r="AN524" s="233"/>
      <c r="AO524" s="233"/>
      <c r="AP524" s="234" t="s">
        <v>434</v>
      </c>
      <c r="AQ524" s="234" t="s">
        <v>408</v>
      </c>
    </row>
    <row r="525" spans="1:43">
      <c r="A525" s="6">
        <v>522</v>
      </c>
      <c r="B525" s="21" t="s">
        <v>3267</v>
      </c>
      <c r="C525" s="5" t="s">
        <v>3268</v>
      </c>
      <c r="D525" s="5" t="s">
        <v>3269</v>
      </c>
      <c r="E525" s="5" t="s">
        <v>3270</v>
      </c>
      <c r="F525" s="5" t="s">
        <v>3271</v>
      </c>
      <c r="G525" s="5" t="s">
        <v>3272</v>
      </c>
      <c r="H525" s="11" t="s">
        <v>3273</v>
      </c>
      <c r="I525" s="5"/>
      <c r="J525" s="5"/>
      <c r="K525" s="5"/>
      <c r="L525" s="5"/>
      <c r="M525" s="5"/>
      <c r="N525" s="5"/>
      <c r="O525" s="5"/>
      <c r="P525" s="11">
        <v>258.00400000000002</v>
      </c>
      <c r="Q525" s="5">
        <v>54.887300000000003</v>
      </c>
      <c r="R525" s="5">
        <f t="shared" si="8"/>
        <v>312.8913</v>
      </c>
      <c r="S525" s="5" t="s">
        <v>1931</v>
      </c>
      <c r="T525" s="6">
        <v>522</v>
      </c>
      <c r="U525" s="258" t="s">
        <v>3274</v>
      </c>
      <c r="V525" s="232" t="s">
        <v>3268</v>
      </c>
      <c r="W525" s="232">
        <v>3843.3</v>
      </c>
      <c r="X525" s="232">
        <v>-11190</v>
      </c>
      <c r="Y525" s="233" t="s">
        <v>49</v>
      </c>
      <c r="Z525" s="87" t="s">
        <v>50</v>
      </c>
      <c r="AA525" s="233" t="s">
        <v>51</v>
      </c>
      <c r="AB525" s="234"/>
      <c r="AC525" s="233">
        <v>1</v>
      </c>
      <c r="AD525" s="233" t="s">
        <v>226</v>
      </c>
      <c r="AE525" s="233"/>
      <c r="AF525" s="233"/>
      <c r="AG525" s="233" t="s">
        <v>3256</v>
      </c>
      <c r="AH525" s="233">
        <v>5</v>
      </c>
      <c r="AI525" s="233">
        <v>85</v>
      </c>
      <c r="AJ525" s="233" t="s">
        <v>432</v>
      </c>
      <c r="AK525" s="233">
        <v>100</v>
      </c>
      <c r="AL525" s="233"/>
      <c r="AM525" s="233" t="s">
        <v>3257</v>
      </c>
      <c r="AN525" s="233"/>
      <c r="AO525" s="233"/>
      <c r="AP525" s="234" t="s">
        <v>434</v>
      </c>
      <c r="AQ525" s="234" t="s">
        <v>408</v>
      </c>
    </row>
    <row r="526" spans="1:43">
      <c r="A526" s="6">
        <v>523</v>
      </c>
      <c r="B526" s="21" t="s">
        <v>3275</v>
      </c>
      <c r="C526" s="5" t="s">
        <v>3276</v>
      </c>
      <c r="D526" s="5" t="s">
        <v>3277</v>
      </c>
      <c r="E526" s="5" t="s">
        <v>3278</v>
      </c>
      <c r="F526" s="5" t="s">
        <v>3279</v>
      </c>
      <c r="G526" s="5" t="s">
        <v>3280</v>
      </c>
      <c r="H526" s="11" t="s">
        <v>3281</v>
      </c>
      <c r="I526" s="5"/>
      <c r="J526" s="5"/>
      <c r="K526" s="5"/>
      <c r="L526" s="5"/>
      <c r="M526" s="5"/>
      <c r="N526" s="5"/>
      <c r="O526" s="5"/>
      <c r="P526" s="11">
        <v>258.00259999999997</v>
      </c>
      <c r="Q526" s="5">
        <v>54.876600000000003</v>
      </c>
      <c r="R526" s="5">
        <f t="shared" si="8"/>
        <v>312.87919999999997</v>
      </c>
      <c r="S526" s="5" t="s">
        <v>1931</v>
      </c>
      <c r="T526" s="6">
        <v>523</v>
      </c>
      <c r="U526" s="258" t="s">
        <v>3282</v>
      </c>
      <c r="V526" s="232" t="s">
        <v>3276</v>
      </c>
      <c r="W526" s="232">
        <v>4343.7</v>
      </c>
      <c r="X526" s="232">
        <v>-11190</v>
      </c>
      <c r="Y526" s="233" t="s">
        <v>49</v>
      </c>
      <c r="Z526" s="87" t="s">
        <v>50</v>
      </c>
      <c r="AA526" s="233" t="s">
        <v>51</v>
      </c>
      <c r="AB526" s="234"/>
      <c r="AC526" s="233">
        <v>1</v>
      </c>
      <c r="AD526" s="233" t="s">
        <v>226</v>
      </c>
      <c r="AE526" s="233"/>
      <c r="AF526" s="233"/>
      <c r="AG526" s="233" t="s">
        <v>3256</v>
      </c>
      <c r="AH526" s="233">
        <v>5</v>
      </c>
      <c r="AI526" s="233">
        <v>85</v>
      </c>
      <c r="AJ526" s="233" t="s">
        <v>432</v>
      </c>
      <c r="AK526" s="233">
        <v>100</v>
      </c>
      <c r="AL526" s="233"/>
      <c r="AM526" s="233" t="s">
        <v>3266</v>
      </c>
      <c r="AN526" s="233"/>
      <c r="AO526" s="233"/>
      <c r="AP526" s="234" t="s">
        <v>434</v>
      </c>
      <c r="AQ526" s="234" t="s">
        <v>408</v>
      </c>
    </row>
    <row r="527" spans="1:43">
      <c r="A527" s="6">
        <v>524</v>
      </c>
      <c r="B527" s="21" t="s">
        <v>3283</v>
      </c>
      <c r="C527" s="5" t="s">
        <v>3284</v>
      </c>
      <c r="D527" s="5" t="s">
        <v>3285</v>
      </c>
      <c r="E527" s="5" t="s">
        <v>3286</v>
      </c>
      <c r="F527" s="5" t="s">
        <v>3287</v>
      </c>
      <c r="G527" s="5" t="s">
        <v>3288</v>
      </c>
      <c r="H527" s="11" t="s">
        <v>3289</v>
      </c>
      <c r="I527" s="5"/>
      <c r="J527" s="5"/>
      <c r="K527" s="5"/>
      <c r="L527" s="5"/>
      <c r="M527" s="5"/>
      <c r="N527" s="5"/>
      <c r="O527" s="5"/>
      <c r="P527" s="11">
        <v>258.00569999999999</v>
      </c>
      <c r="Q527" s="5">
        <v>54.6691</v>
      </c>
      <c r="R527" s="5">
        <f t="shared" si="8"/>
        <v>312.6748</v>
      </c>
      <c r="S527" s="5" t="s">
        <v>1967</v>
      </c>
      <c r="T527" s="6">
        <v>524</v>
      </c>
      <c r="U527" s="258" t="s">
        <v>3290</v>
      </c>
      <c r="V527" s="232" t="s">
        <v>3284</v>
      </c>
      <c r="W527" s="232">
        <v>4632.3999999999996</v>
      </c>
      <c r="X527" s="232">
        <v>-6996.2</v>
      </c>
      <c r="Y527" s="233" t="s">
        <v>49</v>
      </c>
      <c r="Z527" s="87" t="s">
        <v>50</v>
      </c>
      <c r="AA527" s="233" t="s">
        <v>51</v>
      </c>
      <c r="AB527" s="234"/>
      <c r="AC527" s="233">
        <v>1</v>
      </c>
      <c r="AD527" s="233" t="s">
        <v>226</v>
      </c>
      <c r="AE527" s="233"/>
      <c r="AF527" s="233"/>
      <c r="AG527" s="233" t="s">
        <v>3291</v>
      </c>
      <c r="AH527" s="233">
        <v>5</v>
      </c>
      <c r="AI527" s="233">
        <v>85</v>
      </c>
      <c r="AJ527" s="233" t="s">
        <v>432</v>
      </c>
      <c r="AK527" s="233">
        <v>100</v>
      </c>
      <c r="AL527" s="233"/>
      <c r="AM527" s="233" t="s">
        <v>3292</v>
      </c>
      <c r="AN527" s="233"/>
      <c r="AO527" s="233"/>
      <c r="AP527" s="234" t="s">
        <v>434</v>
      </c>
      <c r="AQ527" s="234" t="s">
        <v>408</v>
      </c>
    </row>
    <row r="528" spans="1:43">
      <c r="A528" s="6">
        <v>525</v>
      </c>
      <c r="B528" s="21" t="s">
        <v>3293</v>
      </c>
      <c r="C528" s="5" t="s">
        <v>3294</v>
      </c>
      <c r="D528" s="5" t="s">
        <v>3295</v>
      </c>
      <c r="E528" s="5" t="s">
        <v>3296</v>
      </c>
      <c r="F528" s="5" t="s">
        <v>3297</v>
      </c>
      <c r="G528" s="5" t="s">
        <v>3298</v>
      </c>
      <c r="H528" s="11" t="s">
        <v>3299</v>
      </c>
      <c r="I528" s="5"/>
      <c r="J528" s="5"/>
      <c r="K528" s="5"/>
      <c r="L528" s="5"/>
      <c r="M528" s="5"/>
      <c r="N528" s="5"/>
      <c r="O528" s="5"/>
      <c r="P528" s="11">
        <v>257.99630000000002</v>
      </c>
      <c r="Q528" s="5">
        <v>54.678400000000003</v>
      </c>
      <c r="R528" s="5">
        <f t="shared" si="8"/>
        <v>312.67470000000003</v>
      </c>
      <c r="S528" s="5" t="s">
        <v>1967</v>
      </c>
      <c r="T528" s="6">
        <v>525</v>
      </c>
      <c r="U528" s="258" t="s">
        <v>3300</v>
      </c>
      <c r="V528" s="232" t="s">
        <v>3294</v>
      </c>
      <c r="W528" s="232">
        <v>4632.3999999999996</v>
      </c>
      <c r="X528" s="232">
        <v>-7707.4</v>
      </c>
      <c r="Y528" s="233" t="s">
        <v>49</v>
      </c>
      <c r="Z528" s="87" t="s">
        <v>50</v>
      </c>
      <c r="AA528" s="233" t="s">
        <v>51</v>
      </c>
      <c r="AB528" s="234"/>
      <c r="AC528" s="233">
        <v>1</v>
      </c>
      <c r="AD528" s="233" t="s">
        <v>226</v>
      </c>
      <c r="AE528" s="233"/>
      <c r="AF528" s="233"/>
      <c r="AG528" s="233" t="s">
        <v>3291</v>
      </c>
      <c r="AH528" s="233">
        <v>5</v>
      </c>
      <c r="AI528" s="233">
        <v>85</v>
      </c>
      <c r="AJ528" s="233" t="s">
        <v>432</v>
      </c>
      <c r="AK528" s="233">
        <v>100</v>
      </c>
      <c r="AL528" s="233"/>
      <c r="AM528" s="233" t="s">
        <v>3301</v>
      </c>
      <c r="AN528" s="233"/>
      <c r="AO528" s="233"/>
      <c r="AP528" s="234" t="s">
        <v>434</v>
      </c>
      <c r="AQ528" s="234" t="s">
        <v>408</v>
      </c>
    </row>
    <row r="529" spans="1:43">
      <c r="A529" s="6">
        <v>526</v>
      </c>
      <c r="B529" s="21" t="s">
        <v>3302</v>
      </c>
      <c r="C529" s="5" t="s">
        <v>3303</v>
      </c>
      <c r="D529" s="5" t="s">
        <v>3304</v>
      </c>
      <c r="E529" s="5" t="s">
        <v>3305</v>
      </c>
      <c r="F529" s="5" t="s">
        <v>3306</v>
      </c>
      <c r="G529" s="5" t="s">
        <v>3307</v>
      </c>
      <c r="H529" s="11" t="s">
        <v>3308</v>
      </c>
      <c r="I529" s="5"/>
      <c r="J529" s="5"/>
      <c r="K529" s="5"/>
      <c r="L529" s="5"/>
      <c r="M529" s="5"/>
      <c r="N529" s="5"/>
      <c r="O529" s="5"/>
      <c r="P529" s="11">
        <v>257.9966</v>
      </c>
      <c r="Q529" s="5">
        <v>54.782899999999998</v>
      </c>
      <c r="R529" s="5">
        <f t="shared" si="8"/>
        <v>312.77949999999998</v>
      </c>
      <c r="S529" s="5" t="s">
        <v>429</v>
      </c>
      <c r="T529" s="6">
        <v>526</v>
      </c>
      <c r="U529" s="258" t="s">
        <v>3309</v>
      </c>
      <c r="V529" s="232" t="s">
        <v>3303</v>
      </c>
      <c r="W529" s="232">
        <v>3661.6</v>
      </c>
      <c r="X529" s="232">
        <v>-10380.6</v>
      </c>
      <c r="Y529" s="233" t="s">
        <v>49</v>
      </c>
      <c r="Z529" s="87" t="s">
        <v>50</v>
      </c>
      <c r="AA529" s="233" t="s">
        <v>51</v>
      </c>
      <c r="AB529" s="234"/>
      <c r="AC529" s="233">
        <v>1</v>
      </c>
      <c r="AD529" s="233" t="s">
        <v>226</v>
      </c>
      <c r="AE529" s="233"/>
      <c r="AF529" s="233"/>
      <c r="AG529" s="233" t="s">
        <v>3291</v>
      </c>
      <c r="AH529" s="233">
        <v>5</v>
      </c>
      <c r="AI529" s="233">
        <v>85</v>
      </c>
      <c r="AJ529" s="233" t="s">
        <v>432</v>
      </c>
      <c r="AK529" s="233">
        <v>100</v>
      </c>
      <c r="AL529" s="233"/>
      <c r="AM529" s="233" t="s">
        <v>3292</v>
      </c>
      <c r="AN529" s="233"/>
      <c r="AO529" s="233"/>
      <c r="AP529" s="234" t="s">
        <v>434</v>
      </c>
      <c r="AQ529" s="234" t="s">
        <v>408</v>
      </c>
    </row>
    <row r="530" spans="1:43">
      <c r="A530" s="6">
        <v>527</v>
      </c>
      <c r="B530" s="21" t="s">
        <v>3310</v>
      </c>
      <c r="C530" s="5" t="s">
        <v>3311</v>
      </c>
      <c r="D530" s="5" t="s">
        <v>3312</v>
      </c>
      <c r="E530" s="5" t="s">
        <v>3313</v>
      </c>
      <c r="F530" s="5" t="s">
        <v>3314</v>
      </c>
      <c r="G530" s="5" t="s">
        <v>3315</v>
      </c>
      <c r="H530" s="11" t="s">
        <v>3316</v>
      </c>
      <c r="I530" s="5"/>
      <c r="J530" s="5"/>
      <c r="K530" s="5"/>
      <c r="L530" s="5"/>
      <c r="M530" s="5"/>
      <c r="N530" s="5"/>
      <c r="O530" s="5"/>
      <c r="P530" s="11">
        <v>258.02569999999997</v>
      </c>
      <c r="Q530" s="5">
        <v>54.793399999999998</v>
      </c>
      <c r="R530" s="5">
        <f t="shared" si="8"/>
        <v>312.81909999999999</v>
      </c>
      <c r="S530" s="5" t="s">
        <v>429</v>
      </c>
      <c r="T530" s="6">
        <v>527</v>
      </c>
      <c r="U530" s="258" t="s">
        <v>3317</v>
      </c>
      <c r="V530" s="232" t="s">
        <v>3311</v>
      </c>
      <c r="W530" s="232">
        <v>3161</v>
      </c>
      <c r="X530" s="232">
        <v>-10380.6</v>
      </c>
      <c r="Y530" s="233" t="s">
        <v>49</v>
      </c>
      <c r="Z530" s="87" t="s">
        <v>50</v>
      </c>
      <c r="AA530" s="233" t="s">
        <v>51</v>
      </c>
      <c r="AB530" s="234"/>
      <c r="AC530" s="233">
        <v>1</v>
      </c>
      <c r="AD530" s="233" t="s">
        <v>226</v>
      </c>
      <c r="AE530" s="233"/>
      <c r="AF530" s="233"/>
      <c r="AG530" s="233" t="s">
        <v>3291</v>
      </c>
      <c r="AH530" s="233">
        <v>5</v>
      </c>
      <c r="AI530" s="233">
        <v>85</v>
      </c>
      <c r="AJ530" s="233" t="s">
        <v>432</v>
      </c>
      <c r="AK530" s="233">
        <v>100</v>
      </c>
      <c r="AL530" s="233"/>
      <c r="AM530" s="233" t="s">
        <v>3301</v>
      </c>
      <c r="AN530" s="233"/>
      <c r="AO530" s="233"/>
      <c r="AP530" s="234" t="s">
        <v>434</v>
      </c>
      <c r="AQ530" s="234" t="s">
        <v>408</v>
      </c>
    </row>
    <row r="531" spans="1:43">
      <c r="A531" s="6">
        <v>528</v>
      </c>
      <c r="B531" s="21" t="s">
        <v>3318</v>
      </c>
      <c r="C531" s="5" t="s">
        <v>3319</v>
      </c>
      <c r="D531" s="5" t="s">
        <v>3320</v>
      </c>
      <c r="E531" s="5" t="s">
        <v>3321</v>
      </c>
      <c r="F531" s="5" t="s">
        <v>3322</v>
      </c>
      <c r="G531" s="5" t="s">
        <v>3323</v>
      </c>
      <c r="H531" s="11" t="s">
        <v>3324</v>
      </c>
      <c r="I531" s="5"/>
      <c r="J531" s="5"/>
      <c r="K531" s="5"/>
      <c r="L531" s="5"/>
      <c r="M531" s="5"/>
      <c r="N531" s="5"/>
      <c r="O531" s="5"/>
      <c r="P531" s="11">
        <v>258.07589999999999</v>
      </c>
      <c r="Q531" s="5">
        <v>54.610300000000002</v>
      </c>
      <c r="R531" s="5">
        <f t="shared" si="8"/>
        <v>312.68619999999999</v>
      </c>
      <c r="S531" s="5" t="s">
        <v>1914</v>
      </c>
      <c r="T531" s="6">
        <v>528</v>
      </c>
      <c r="U531" s="258" t="s">
        <v>3325</v>
      </c>
      <c r="V531" s="232" t="s">
        <v>3319</v>
      </c>
      <c r="W531" s="232">
        <v>3275.1</v>
      </c>
      <c r="X531" s="232">
        <v>-6996.2</v>
      </c>
      <c r="Y531" s="233" t="s">
        <v>49</v>
      </c>
      <c r="Z531" s="87" t="s">
        <v>50</v>
      </c>
      <c r="AA531" s="233" t="s">
        <v>51</v>
      </c>
      <c r="AB531" s="234"/>
      <c r="AC531" s="233">
        <v>1</v>
      </c>
      <c r="AD531" s="233" t="s">
        <v>226</v>
      </c>
      <c r="AE531" s="233"/>
      <c r="AF531" s="233"/>
      <c r="AG531" s="233" t="s">
        <v>3326</v>
      </c>
      <c r="AH531" s="233">
        <v>5</v>
      </c>
      <c r="AI531" s="233">
        <v>85</v>
      </c>
      <c r="AJ531" s="233" t="s">
        <v>432</v>
      </c>
      <c r="AK531" s="233">
        <v>100</v>
      </c>
      <c r="AL531" s="233"/>
      <c r="AM531" s="233" t="s">
        <v>3327</v>
      </c>
      <c r="AN531" s="233"/>
      <c r="AO531" s="233"/>
      <c r="AP531" s="234" t="s">
        <v>434</v>
      </c>
      <c r="AQ531" s="234" t="s">
        <v>408</v>
      </c>
    </row>
    <row r="532" spans="1:43">
      <c r="A532" s="6">
        <v>529</v>
      </c>
      <c r="B532" s="21" t="s">
        <v>3328</v>
      </c>
      <c r="C532" s="5" t="s">
        <v>3329</v>
      </c>
      <c r="D532" s="5" t="s">
        <v>3330</v>
      </c>
      <c r="E532" s="5" t="s">
        <v>3331</v>
      </c>
      <c r="F532" s="5" t="s">
        <v>3332</v>
      </c>
      <c r="G532" s="5" t="s">
        <v>3333</v>
      </c>
      <c r="H532" s="11" t="s">
        <v>3334</v>
      </c>
      <c r="I532" s="5"/>
      <c r="J532" s="5"/>
      <c r="K532" s="5"/>
      <c r="L532" s="5"/>
      <c r="M532" s="5"/>
      <c r="N532" s="5"/>
      <c r="O532" s="5"/>
      <c r="P532" s="11">
        <v>258.05610000000001</v>
      </c>
      <c r="Q532" s="5">
        <v>54.613</v>
      </c>
      <c r="R532" s="5">
        <f t="shared" si="8"/>
        <v>312.66910000000001</v>
      </c>
      <c r="S532" s="5" t="s">
        <v>1914</v>
      </c>
      <c r="T532" s="6">
        <v>529</v>
      </c>
      <c r="U532" s="258" t="s">
        <v>3335</v>
      </c>
      <c r="V532" s="232" t="s">
        <v>3329</v>
      </c>
      <c r="W532" s="232">
        <v>3275.1</v>
      </c>
      <c r="X532" s="232">
        <v>-6285</v>
      </c>
      <c r="Y532" s="233" t="s">
        <v>49</v>
      </c>
      <c r="Z532" s="87" t="s">
        <v>50</v>
      </c>
      <c r="AA532" s="233" t="s">
        <v>51</v>
      </c>
      <c r="AB532" s="234"/>
      <c r="AC532" s="233">
        <v>1</v>
      </c>
      <c r="AD532" s="233" t="s">
        <v>226</v>
      </c>
      <c r="AE532" s="233"/>
      <c r="AF532" s="233"/>
      <c r="AG532" s="233" t="s">
        <v>3326</v>
      </c>
      <c r="AH532" s="233">
        <v>5</v>
      </c>
      <c r="AI532" s="233">
        <v>85</v>
      </c>
      <c r="AJ532" s="233" t="s">
        <v>432</v>
      </c>
      <c r="AK532" s="233">
        <v>100</v>
      </c>
      <c r="AL532" s="233"/>
      <c r="AM532" s="233" t="s">
        <v>3336</v>
      </c>
      <c r="AN532" s="233"/>
      <c r="AO532" s="233"/>
      <c r="AP532" s="234" t="s">
        <v>434</v>
      </c>
      <c r="AQ532" s="234" t="s">
        <v>408</v>
      </c>
    </row>
    <row r="533" spans="1:43">
      <c r="A533" s="6">
        <v>530</v>
      </c>
      <c r="B533" s="21" t="s">
        <v>3337</v>
      </c>
      <c r="C533" s="5" t="s">
        <v>3338</v>
      </c>
      <c r="D533" s="5" t="s">
        <v>3339</v>
      </c>
      <c r="E533" s="5" t="s">
        <v>3340</v>
      </c>
      <c r="F533" s="5" t="s">
        <v>3341</v>
      </c>
      <c r="G533" s="5" t="s">
        <v>3342</v>
      </c>
      <c r="H533" s="11" t="s">
        <v>3343</v>
      </c>
      <c r="I533" s="5"/>
      <c r="J533" s="5"/>
      <c r="K533" s="5"/>
      <c r="L533" s="5"/>
      <c r="M533" s="5"/>
      <c r="N533" s="5"/>
      <c r="O533" s="5"/>
      <c r="P533" s="11">
        <v>258.08839999999998</v>
      </c>
      <c r="Q533" s="5">
        <v>54.812199999999997</v>
      </c>
      <c r="R533" s="5">
        <f t="shared" si="8"/>
        <v>312.9006</v>
      </c>
      <c r="S533" s="5" t="s">
        <v>264</v>
      </c>
      <c r="T533" s="6">
        <v>530</v>
      </c>
      <c r="U533" s="258" t="s">
        <v>3344</v>
      </c>
      <c r="V533" s="232" t="s">
        <v>3338</v>
      </c>
      <c r="W533" s="232">
        <v>2478.8000000000002</v>
      </c>
      <c r="X533" s="232">
        <v>-11190</v>
      </c>
      <c r="Y533" s="233" t="s">
        <v>49</v>
      </c>
      <c r="Z533" s="87" t="s">
        <v>50</v>
      </c>
      <c r="AA533" s="233" t="s">
        <v>51</v>
      </c>
      <c r="AB533" s="234"/>
      <c r="AC533" s="233">
        <v>1</v>
      </c>
      <c r="AD533" s="233" t="s">
        <v>226</v>
      </c>
      <c r="AE533" s="233"/>
      <c r="AF533" s="233"/>
      <c r="AG533" s="233" t="s">
        <v>3326</v>
      </c>
      <c r="AH533" s="233">
        <v>5</v>
      </c>
      <c r="AI533" s="233">
        <v>85</v>
      </c>
      <c r="AJ533" s="233" t="s">
        <v>432</v>
      </c>
      <c r="AK533" s="233">
        <v>100</v>
      </c>
      <c r="AL533" s="233"/>
      <c r="AM533" s="233" t="s">
        <v>3327</v>
      </c>
      <c r="AN533" s="233"/>
      <c r="AO533" s="233"/>
      <c r="AP533" s="234" t="s">
        <v>434</v>
      </c>
      <c r="AQ533" s="234" t="s">
        <v>408</v>
      </c>
    </row>
    <row r="534" spans="1:43">
      <c r="A534" s="6">
        <v>531</v>
      </c>
      <c r="B534" s="21" t="s">
        <v>3345</v>
      </c>
      <c r="C534" s="5" t="s">
        <v>3346</v>
      </c>
      <c r="D534" s="5" t="s">
        <v>3347</v>
      </c>
      <c r="E534" s="5" t="s">
        <v>3348</v>
      </c>
      <c r="F534" s="5" t="s">
        <v>3349</v>
      </c>
      <c r="G534" s="5" t="s">
        <v>3350</v>
      </c>
      <c r="H534" s="11" t="s">
        <v>3351</v>
      </c>
      <c r="I534" s="5"/>
      <c r="J534" s="5"/>
      <c r="K534" s="5"/>
      <c r="L534" s="5"/>
      <c r="M534" s="5"/>
      <c r="N534" s="5"/>
      <c r="O534" s="5"/>
      <c r="P534" s="11">
        <v>258.03789999999998</v>
      </c>
      <c r="Q534" s="5">
        <v>54.857599999999998</v>
      </c>
      <c r="R534" s="5">
        <f t="shared" si="8"/>
        <v>312.89549999999997</v>
      </c>
      <c r="S534" s="5" t="s">
        <v>264</v>
      </c>
      <c r="T534" s="6">
        <v>531</v>
      </c>
      <c r="U534" s="258" t="s">
        <v>3352</v>
      </c>
      <c r="V534" s="232" t="s">
        <v>3346</v>
      </c>
      <c r="W534" s="232">
        <v>2979.2</v>
      </c>
      <c r="X534" s="232">
        <v>-11190</v>
      </c>
      <c r="Y534" s="233" t="s">
        <v>49</v>
      </c>
      <c r="Z534" s="87" t="s">
        <v>50</v>
      </c>
      <c r="AA534" s="233" t="s">
        <v>51</v>
      </c>
      <c r="AB534" s="234"/>
      <c r="AC534" s="233">
        <v>1</v>
      </c>
      <c r="AD534" s="233" t="s">
        <v>226</v>
      </c>
      <c r="AE534" s="233"/>
      <c r="AF534" s="233"/>
      <c r="AG534" s="233" t="s">
        <v>3326</v>
      </c>
      <c r="AH534" s="233">
        <v>5</v>
      </c>
      <c r="AI534" s="233">
        <v>85</v>
      </c>
      <c r="AJ534" s="233" t="s">
        <v>432</v>
      </c>
      <c r="AK534" s="233">
        <v>100</v>
      </c>
      <c r="AL534" s="233"/>
      <c r="AM534" s="233" t="s">
        <v>3336</v>
      </c>
      <c r="AN534" s="233"/>
      <c r="AO534" s="233"/>
      <c r="AP534" s="234" t="s">
        <v>434</v>
      </c>
      <c r="AQ534" s="234" t="s">
        <v>408</v>
      </c>
    </row>
    <row r="535" spans="1:43">
      <c r="A535" s="6">
        <v>532</v>
      </c>
      <c r="B535" s="21" t="s">
        <v>3353</v>
      </c>
      <c r="C535" s="5" t="s">
        <v>3354</v>
      </c>
      <c r="D535" s="5" t="s">
        <v>3355</v>
      </c>
      <c r="E535" s="5" t="s">
        <v>3356</v>
      </c>
      <c r="F535" s="5" t="s">
        <v>3357</v>
      </c>
      <c r="G535" s="5" t="s">
        <v>3358</v>
      </c>
      <c r="H535" s="11" t="s">
        <v>3359</v>
      </c>
      <c r="I535" s="5"/>
      <c r="J535" s="5"/>
      <c r="K535" s="5"/>
      <c r="L535" s="5"/>
      <c r="M535" s="5"/>
      <c r="N535" s="5"/>
      <c r="O535" s="5"/>
      <c r="P535" s="11">
        <v>258.05079999999998</v>
      </c>
      <c r="Q535" s="5">
        <v>54.467500000000001</v>
      </c>
      <c r="R535" s="5">
        <f t="shared" si="8"/>
        <v>312.51829999999995</v>
      </c>
      <c r="S535" s="5" t="s">
        <v>264</v>
      </c>
      <c r="T535" s="6">
        <v>532</v>
      </c>
      <c r="U535" s="258" t="s">
        <v>3360</v>
      </c>
      <c r="V535" s="232" t="s">
        <v>3354</v>
      </c>
      <c r="W535" s="232">
        <v>3275.1</v>
      </c>
      <c r="X535" s="232">
        <v>-9129.7999999999993</v>
      </c>
      <c r="Y535" s="233" t="s">
        <v>49</v>
      </c>
      <c r="Z535" s="87" t="s">
        <v>50</v>
      </c>
      <c r="AA535" s="233" t="s">
        <v>51</v>
      </c>
      <c r="AB535" s="234"/>
      <c r="AC535" s="233">
        <v>1</v>
      </c>
      <c r="AD535" s="233" t="s">
        <v>226</v>
      </c>
      <c r="AE535" s="233"/>
      <c r="AF535" s="233"/>
      <c r="AG535" s="233" t="s">
        <v>431</v>
      </c>
      <c r="AH535" s="233">
        <v>5</v>
      </c>
      <c r="AI535" s="233">
        <v>85</v>
      </c>
      <c r="AJ535" s="233" t="s">
        <v>432</v>
      </c>
      <c r="AK535" s="233">
        <v>100</v>
      </c>
      <c r="AL535" s="233"/>
      <c r="AM535" s="233" t="s">
        <v>433</v>
      </c>
      <c r="AN535" s="233"/>
      <c r="AO535" s="233"/>
      <c r="AP535" s="234" t="s">
        <v>434</v>
      </c>
      <c r="AQ535" s="234" t="s">
        <v>408</v>
      </c>
    </row>
    <row r="536" spans="1:43">
      <c r="A536" s="6">
        <v>533</v>
      </c>
      <c r="B536" s="21" t="s">
        <v>3361</v>
      </c>
      <c r="C536" s="5" t="s">
        <v>3362</v>
      </c>
      <c r="D536" s="5" t="s">
        <v>3363</v>
      </c>
      <c r="E536" s="5" t="s">
        <v>3364</v>
      </c>
      <c r="F536" s="5" t="s">
        <v>3365</v>
      </c>
      <c r="G536" s="5" t="s">
        <v>3366</v>
      </c>
      <c r="H536" s="11" t="s">
        <v>3367</v>
      </c>
      <c r="I536" s="5"/>
      <c r="J536" s="5"/>
      <c r="K536" s="5"/>
      <c r="L536" s="5"/>
      <c r="M536" s="5"/>
      <c r="N536" s="5"/>
      <c r="O536" s="5"/>
      <c r="P536" s="11">
        <v>258.05549999999999</v>
      </c>
      <c r="Q536" s="5">
        <v>54.465899999999998</v>
      </c>
      <c r="R536" s="5">
        <f t="shared" si="8"/>
        <v>312.52139999999997</v>
      </c>
      <c r="S536" s="5" t="s">
        <v>264</v>
      </c>
      <c r="T536" s="6">
        <v>533</v>
      </c>
      <c r="U536" s="258" t="s">
        <v>3368</v>
      </c>
      <c r="V536" s="232" t="s">
        <v>3362</v>
      </c>
      <c r="W536" s="232">
        <v>3275.1</v>
      </c>
      <c r="X536" s="232">
        <v>-8418.6</v>
      </c>
      <c r="Y536" s="233" t="s">
        <v>49</v>
      </c>
      <c r="Z536" s="87" t="s">
        <v>50</v>
      </c>
      <c r="AA536" s="233" t="s">
        <v>51</v>
      </c>
      <c r="AB536" s="234"/>
      <c r="AC536" s="233">
        <v>1</v>
      </c>
      <c r="AD536" s="233" t="s">
        <v>226</v>
      </c>
      <c r="AE536" s="233"/>
      <c r="AF536" s="233"/>
      <c r="AG536" s="233" t="s">
        <v>431</v>
      </c>
      <c r="AH536" s="233">
        <v>5</v>
      </c>
      <c r="AI536" s="233">
        <v>85</v>
      </c>
      <c r="AJ536" s="233" t="s">
        <v>432</v>
      </c>
      <c r="AK536" s="233">
        <v>100</v>
      </c>
      <c r="AL536" s="233"/>
      <c r="AM536" s="233" t="s">
        <v>3369</v>
      </c>
      <c r="AN536" s="233"/>
      <c r="AO536" s="233"/>
      <c r="AP536" s="234" t="s">
        <v>434</v>
      </c>
      <c r="AQ536" s="234" t="s">
        <v>408</v>
      </c>
    </row>
    <row r="537" spans="1:43">
      <c r="A537" s="6">
        <v>514</v>
      </c>
      <c r="B537" s="21" t="s">
        <v>3370</v>
      </c>
      <c r="C537" s="5" t="s">
        <v>3371</v>
      </c>
      <c r="D537" s="5" t="s">
        <v>3372</v>
      </c>
      <c r="E537" s="5" t="s">
        <v>3373</v>
      </c>
      <c r="F537" s="5" t="s">
        <v>3374</v>
      </c>
      <c r="G537" s="5" t="s">
        <v>3375</v>
      </c>
      <c r="H537" s="11" t="s">
        <v>3376</v>
      </c>
      <c r="I537" s="5"/>
      <c r="J537" s="5"/>
      <c r="K537" s="5"/>
      <c r="L537" s="5"/>
      <c r="M537" s="5"/>
      <c r="N537" s="5"/>
      <c r="O537" s="5"/>
      <c r="P537" s="11">
        <v>258.04489999999998</v>
      </c>
      <c r="Q537" s="5">
        <v>54.7271</v>
      </c>
      <c r="R537" s="5">
        <f t="shared" si="8"/>
        <v>312.77199999999999</v>
      </c>
      <c r="S537" s="5" t="s">
        <v>2568</v>
      </c>
      <c r="T537" s="6">
        <v>514</v>
      </c>
      <c r="U537" s="258" t="s">
        <v>3377</v>
      </c>
      <c r="V537" s="232" t="s">
        <v>3371</v>
      </c>
      <c r="W537" s="232">
        <v>-431.9</v>
      </c>
      <c r="X537" s="232">
        <v>-10380.6</v>
      </c>
      <c r="Y537" s="233" t="s">
        <v>49</v>
      </c>
      <c r="Z537" s="87" t="s">
        <v>50</v>
      </c>
      <c r="AA537" s="233" t="s">
        <v>51</v>
      </c>
      <c r="AB537" s="234"/>
      <c r="AC537" s="233">
        <v>1</v>
      </c>
      <c r="AD537" s="233" t="s">
        <v>226</v>
      </c>
      <c r="AE537" s="233"/>
      <c r="AF537" s="233"/>
      <c r="AG537" s="233" t="s">
        <v>3185</v>
      </c>
      <c r="AH537" s="233">
        <v>5</v>
      </c>
      <c r="AI537" s="233">
        <v>85</v>
      </c>
      <c r="AJ537" s="233" t="s">
        <v>432</v>
      </c>
      <c r="AK537" s="233">
        <v>100</v>
      </c>
      <c r="AL537" s="233"/>
      <c r="AM537" s="233" t="s">
        <v>3186</v>
      </c>
      <c r="AN537" s="233"/>
      <c r="AO537" s="233"/>
      <c r="AP537" s="234" t="s">
        <v>434</v>
      </c>
      <c r="AQ537" s="234" t="s">
        <v>408</v>
      </c>
    </row>
    <row r="538" spans="1:43">
      <c r="A538" s="6">
        <v>535</v>
      </c>
      <c r="B538" s="21" t="s">
        <v>3378</v>
      </c>
      <c r="C538" s="5" t="s">
        <v>3379</v>
      </c>
      <c r="D538" s="5" t="s">
        <v>3380</v>
      </c>
      <c r="E538" s="5" t="s">
        <v>3381</v>
      </c>
      <c r="F538" s="5" t="s">
        <v>3382</v>
      </c>
      <c r="G538" s="5" t="s">
        <v>3383</v>
      </c>
      <c r="H538" s="11" t="s">
        <v>3384</v>
      </c>
      <c r="I538" s="5"/>
      <c r="J538" s="5"/>
      <c r="K538" s="5"/>
      <c r="L538" s="5"/>
      <c r="M538" s="5"/>
      <c r="N538" s="5"/>
      <c r="O538" s="5"/>
      <c r="P538" s="11">
        <v>258.04840000000002</v>
      </c>
      <c r="Q538" s="5">
        <v>54.878900000000002</v>
      </c>
      <c r="R538" s="5">
        <f t="shared" si="8"/>
        <v>312.9273</v>
      </c>
      <c r="S538" s="5" t="s">
        <v>429</v>
      </c>
      <c r="T538" s="6">
        <v>535</v>
      </c>
      <c r="U538" s="258" t="s">
        <v>3385</v>
      </c>
      <c r="V538" s="232" t="s">
        <v>3379</v>
      </c>
      <c r="W538" s="232">
        <v>1796.5</v>
      </c>
      <c r="X538" s="232">
        <v>-10380.6</v>
      </c>
      <c r="Y538" s="233" t="s">
        <v>49</v>
      </c>
      <c r="Z538" s="87" t="s">
        <v>50</v>
      </c>
      <c r="AA538" s="233" t="s">
        <v>51</v>
      </c>
      <c r="AB538" s="234"/>
      <c r="AC538" s="233">
        <v>1</v>
      </c>
      <c r="AD538" s="233" t="s">
        <v>226</v>
      </c>
      <c r="AE538" s="233"/>
      <c r="AF538" s="233"/>
      <c r="AG538" s="233" t="s">
        <v>431</v>
      </c>
      <c r="AH538" s="233">
        <v>5</v>
      </c>
      <c r="AI538" s="233">
        <v>85</v>
      </c>
      <c r="AJ538" s="233" t="s">
        <v>432</v>
      </c>
      <c r="AK538" s="233">
        <v>100</v>
      </c>
      <c r="AL538" s="233"/>
      <c r="AM538" s="233" t="s">
        <v>3369</v>
      </c>
      <c r="AN538" s="233"/>
      <c r="AO538" s="233"/>
      <c r="AP538" s="234" t="s">
        <v>434</v>
      </c>
      <c r="AQ538" s="234" t="s">
        <v>408</v>
      </c>
    </row>
    <row r="539" spans="1:43">
      <c r="A539" s="6">
        <v>536</v>
      </c>
      <c r="B539" s="21" t="s">
        <v>3386</v>
      </c>
      <c r="C539" s="5" t="s">
        <v>3387</v>
      </c>
      <c r="D539" s="5" t="s">
        <v>3388</v>
      </c>
      <c r="E539" s="5" t="s">
        <v>3389</v>
      </c>
      <c r="F539" s="5" t="s">
        <v>3390</v>
      </c>
      <c r="G539" s="5" t="s">
        <v>3391</v>
      </c>
      <c r="H539" s="11" t="s">
        <v>3392</v>
      </c>
      <c r="I539" s="5"/>
      <c r="J539" s="5"/>
      <c r="K539" s="5"/>
      <c r="L539" s="5"/>
      <c r="M539" s="5"/>
      <c r="N539" s="5"/>
      <c r="O539" s="5"/>
      <c r="P539" s="11">
        <v>258.02510000000001</v>
      </c>
      <c r="Q539" s="5">
        <v>54.662500000000001</v>
      </c>
      <c r="R539" s="5">
        <f t="shared" si="8"/>
        <v>312.68760000000003</v>
      </c>
      <c r="S539" s="5" t="s">
        <v>1914</v>
      </c>
      <c r="T539" s="6">
        <v>536</v>
      </c>
      <c r="U539" s="258" t="s">
        <v>3393</v>
      </c>
      <c r="V539" s="232" t="s">
        <v>3387</v>
      </c>
      <c r="W539" s="232">
        <v>1903.4</v>
      </c>
      <c r="X539" s="232">
        <v>-5573.8</v>
      </c>
      <c r="Y539" s="233" t="s">
        <v>49</v>
      </c>
      <c r="Z539" s="87" t="s">
        <v>50</v>
      </c>
      <c r="AA539" s="233" t="s">
        <v>51</v>
      </c>
      <c r="AB539" s="234"/>
      <c r="AC539" s="233">
        <v>1</v>
      </c>
      <c r="AD539" s="233" t="s">
        <v>226</v>
      </c>
      <c r="AE539" s="233"/>
      <c r="AF539" s="233"/>
      <c r="AG539" s="233" t="s">
        <v>3394</v>
      </c>
      <c r="AH539" s="233">
        <v>5</v>
      </c>
      <c r="AI539" s="233">
        <v>85</v>
      </c>
      <c r="AJ539" s="233" t="s">
        <v>432</v>
      </c>
      <c r="AK539" s="233">
        <v>100</v>
      </c>
      <c r="AL539" s="233"/>
      <c r="AM539" s="233" t="s">
        <v>3395</v>
      </c>
      <c r="AN539" s="233"/>
      <c r="AO539" s="233"/>
      <c r="AP539" s="234" t="s">
        <v>434</v>
      </c>
      <c r="AQ539" s="234" t="s">
        <v>408</v>
      </c>
    </row>
    <row r="540" spans="1:43">
      <c r="A540" s="6">
        <v>537</v>
      </c>
      <c r="B540" s="21" t="s">
        <v>3396</v>
      </c>
      <c r="C540" s="5" t="s">
        <v>3397</v>
      </c>
      <c r="D540" s="5" t="s">
        <v>3398</v>
      </c>
      <c r="E540" s="5" t="s">
        <v>3399</v>
      </c>
      <c r="F540" s="5" t="s">
        <v>3400</v>
      </c>
      <c r="G540" s="5" t="s">
        <v>3401</v>
      </c>
      <c r="H540" s="11" t="s">
        <v>3402</v>
      </c>
      <c r="I540" s="5"/>
      <c r="J540" s="5"/>
      <c r="K540" s="5"/>
      <c r="L540" s="5"/>
      <c r="M540" s="5"/>
      <c r="N540" s="5"/>
      <c r="O540" s="5"/>
      <c r="P540" s="11">
        <v>258.02929999999998</v>
      </c>
      <c r="Q540" s="5">
        <v>54.6599</v>
      </c>
      <c r="R540" s="5">
        <f t="shared" si="8"/>
        <v>312.68919999999997</v>
      </c>
      <c r="S540" s="5" t="s">
        <v>1914</v>
      </c>
      <c r="T540" s="6">
        <v>537</v>
      </c>
      <c r="U540" s="258" t="s">
        <v>3403</v>
      </c>
      <c r="V540" s="232" t="s">
        <v>3397</v>
      </c>
      <c r="W540" s="232">
        <v>1903.4</v>
      </c>
      <c r="X540" s="232">
        <v>-4862.6000000000004</v>
      </c>
      <c r="Y540" s="233" t="s">
        <v>49</v>
      </c>
      <c r="Z540" s="87" t="s">
        <v>50</v>
      </c>
      <c r="AA540" s="233" t="s">
        <v>51</v>
      </c>
      <c r="AB540" s="234"/>
      <c r="AC540" s="233">
        <v>1</v>
      </c>
      <c r="AD540" s="233" t="s">
        <v>226</v>
      </c>
      <c r="AE540" s="233"/>
      <c r="AF540" s="233"/>
      <c r="AG540" s="233" t="s">
        <v>3394</v>
      </c>
      <c r="AH540" s="233">
        <v>5</v>
      </c>
      <c r="AI540" s="233">
        <v>85</v>
      </c>
      <c r="AJ540" s="233" t="s">
        <v>432</v>
      </c>
      <c r="AK540" s="233">
        <v>100</v>
      </c>
      <c r="AL540" s="233"/>
      <c r="AM540" s="233" t="s">
        <v>3404</v>
      </c>
      <c r="AN540" s="233"/>
      <c r="AO540" s="233"/>
      <c r="AP540" s="234" t="s">
        <v>434</v>
      </c>
      <c r="AQ540" s="234" t="s">
        <v>408</v>
      </c>
    </row>
    <row r="541" spans="1:43">
      <c r="A541" s="6">
        <v>538</v>
      </c>
      <c r="B541" s="21" t="s">
        <v>3405</v>
      </c>
      <c r="C541" s="5" t="s">
        <v>3406</v>
      </c>
      <c r="D541" s="5" t="s">
        <v>3407</v>
      </c>
      <c r="E541" s="5" t="s">
        <v>3408</v>
      </c>
      <c r="F541" s="5" t="s">
        <v>3409</v>
      </c>
      <c r="G541" s="5" t="s">
        <v>3410</v>
      </c>
      <c r="H541" s="11" t="s">
        <v>3411</v>
      </c>
      <c r="I541" s="5"/>
      <c r="J541" s="5"/>
      <c r="K541" s="5"/>
      <c r="L541" s="5"/>
      <c r="M541" s="5"/>
      <c r="N541" s="5"/>
      <c r="O541" s="5"/>
      <c r="P541" s="11">
        <v>258.01029999999997</v>
      </c>
      <c r="Q541" s="5">
        <v>54.728099999999998</v>
      </c>
      <c r="R541" s="5">
        <f t="shared" si="8"/>
        <v>312.73839999999996</v>
      </c>
      <c r="S541" s="5" t="s">
        <v>3412</v>
      </c>
      <c r="T541" s="6">
        <v>538</v>
      </c>
      <c r="U541" s="258" t="s">
        <v>3413</v>
      </c>
      <c r="V541" s="232" t="s">
        <v>3406</v>
      </c>
      <c r="W541" s="232">
        <v>1114.3</v>
      </c>
      <c r="X541" s="232">
        <v>-11190</v>
      </c>
      <c r="Y541" s="233" t="s">
        <v>49</v>
      </c>
      <c r="Z541" s="87" t="s">
        <v>50</v>
      </c>
      <c r="AA541" s="233" t="s">
        <v>51</v>
      </c>
      <c r="AB541" s="234"/>
      <c r="AC541" s="233">
        <v>1</v>
      </c>
      <c r="AD541" s="233" t="s">
        <v>226</v>
      </c>
      <c r="AE541" s="233"/>
      <c r="AF541" s="233"/>
      <c r="AG541" s="233" t="s">
        <v>3394</v>
      </c>
      <c r="AH541" s="233">
        <v>5</v>
      </c>
      <c r="AI541" s="233">
        <v>85</v>
      </c>
      <c r="AJ541" s="233" t="s">
        <v>432</v>
      </c>
      <c r="AK541" s="233">
        <v>100</v>
      </c>
      <c r="AL541" s="233"/>
      <c r="AM541" s="233" t="s">
        <v>3395</v>
      </c>
      <c r="AN541" s="233"/>
      <c r="AO541" s="233"/>
      <c r="AP541" s="234" t="s">
        <v>434</v>
      </c>
      <c r="AQ541" s="234" t="s">
        <v>408</v>
      </c>
    </row>
    <row r="542" spans="1:43">
      <c r="A542" s="6">
        <v>539</v>
      </c>
      <c r="B542" s="21" t="s">
        <v>3414</v>
      </c>
      <c r="C542" s="5" t="s">
        <v>3415</v>
      </c>
      <c r="D542" s="5" t="s">
        <v>3416</v>
      </c>
      <c r="E542" s="5" t="s">
        <v>3417</v>
      </c>
      <c r="F542" s="5" t="s">
        <v>3418</v>
      </c>
      <c r="G542" s="5" t="s">
        <v>3419</v>
      </c>
      <c r="H542" s="11" t="s">
        <v>3420</v>
      </c>
      <c r="I542" s="5"/>
      <c r="J542" s="5"/>
      <c r="K542" s="5"/>
      <c r="L542" s="5"/>
      <c r="M542" s="5"/>
      <c r="N542" s="5"/>
      <c r="O542" s="5"/>
      <c r="P542" s="11">
        <v>258.01319999999998</v>
      </c>
      <c r="Q542" s="5">
        <v>54.767899999999997</v>
      </c>
      <c r="R542" s="5">
        <f t="shared" si="8"/>
        <v>312.78109999999998</v>
      </c>
      <c r="S542" s="5" t="s">
        <v>3412</v>
      </c>
      <c r="T542" s="6">
        <v>539</v>
      </c>
      <c r="U542" s="258" t="s">
        <v>3421</v>
      </c>
      <c r="V542" s="232" t="s">
        <v>3415</v>
      </c>
      <c r="W542" s="232">
        <v>1614.7</v>
      </c>
      <c r="X542" s="232">
        <v>-11190</v>
      </c>
      <c r="Y542" s="233" t="s">
        <v>49</v>
      </c>
      <c r="Z542" s="87" t="s">
        <v>50</v>
      </c>
      <c r="AA542" s="233" t="s">
        <v>51</v>
      </c>
      <c r="AB542" s="234"/>
      <c r="AC542" s="233">
        <v>1</v>
      </c>
      <c r="AD542" s="233" t="s">
        <v>226</v>
      </c>
      <c r="AE542" s="233"/>
      <c r="AF542" s="233"/>
      <c r="AG542" s="233" t="s">
        <v>3394</v>
      </c>
      <c r="AH542" s="233">
        <v>5</v>
      </c>
      <c r="AI542" s="233">
        <v>85</v>
      </c>
      <c r="AJ542" s="233" t="s">
        <v>432</v>
      </c>
      <c r="AK542" s="233">
        <v>100</v>
      </c>
      <c r="AL542" s="233"/>
      <c r="AM542" s="233" t="s">
        <v>3404</v>
      </c>
      <c r="AN542" s="233"/>
      <c r="AO542" s="233"/>
      <c r="AP542" s="234" t="s">
        <v>434</v>
      </c>
      <c r="AQ542" s="234" t="s">
        <v>408</v>
      </c>
    </row>
    <row r="543" spans="1:43">
      <c r="A543" s="6">
        <v>540</v>
      </c>
      <c r="B543" s="21" t="s">
        <v>3422</v>
      </c>
      <c r="C543" s="5" t="s">
        <v>3423</v>
      </c>
      <c r="D543" s="5" t="s">
        <v>3424</v>
      </c>
      <c r="E543" s="5" t="s">
        <v>3425</v>
      </c>
      <c r="F543" s="5" t="s">
        <v>3426</v>
      </c>
      <c r="G543" s="5" t="s">
        <v>3427</v>
      </c>
      <c r="H543" s="11" t="s">
        <v>3428</v>
      </c>
      <c r="I543" s="5"/>
      <c r="J543" s="5"/>
      <c r="K543" s="5"/>
      <c r="L543" s="5"/>
      <c r="M543" s="5"/>
      <c r="N543" s="5"/>
      <c r="O543" s="5"/>
      <c r="P543" s="11">
        <v>258.00619999999998</v>
      </c>
      <c r="Q543" s="5">
        <v>54.600200000000001</v>
      </c>
      <c r="R543" s="5">
        <f t="shared" si="8"/>
        <v>312.60640000000001</v>
      </c>
      <c r="S543" s="5" t="s">
        <v>2411</v>
      </c>
      <c r="T543" s="6">
        <v>540</v>
      </c>
      <c r="U543" s="258" t="s">
        <v>3429</v>
      </c>
      <c r="V543" s="232" t="s">
        <v>3423</v>
      </c>
      <c r="W543" s="232">
        <v>1903.4</v>
      </c>
      <c r="X543" s="232">
        <v>-7707.4</v>
      </c>
      <c r="Y543" s="233" t="s">
        <v>49</v>
      </c>
      <c r="Z543" s="87" t="s">
        <v>50</v>
      </c>
      <c r="AA543" s="233" t="s">
        <v>51</v>
      </c>
      <c r="AB543" s="234"/>
      <c r="AC543" s="233">
        <v>1</v>
      </c>
      <c r="AD543" s="233" t="s">
        <v>226</v>
      </c>
      <c r="AE543" s="233"/>
      <c r="AF543" s="233"/>
      <c r="AG543" s="233" t="s">
        <v>3430</v>
      </c>
      <c r="AH543" s="233">
        <v>5</v>
      </c>
      <c r="AI543" s="233">
        <v>85</v>
      </c>
      <c r="AJ543" s="233" t="s">
        <v>432</v>
      </c>
      <c r="AK543" s="233">
        <v>100</v>
      </c>
      <c r="AL543" s="233"/>
      <c r="AM543" s="233" t="s">
        <v>3431</v>
      </c>
      <c r="AN543" s="233"/>
      <c r="AO543" s="233"/>
      <c r="AP543" s="234" t="s">
        <v>434</v>
      </c>
      <c r="AQ543" s="234" t="s">
        <v>408</v>
      </c>
    </row>
    <row r="544" spans="1:43">
      <c r="A544" s="6">
        <v>541</v>
      </c>
      <c r="B544" s="21" t="s">
        <v>3432</v>
      </c>
      <c r="C544" s="5" t="s">
        <v>3433</v>
      </c>
      <c r="D544" s="5" t="s">
        <v>3434</v>
      </c>
      <c r="E544" s="5" t="s">
        <v>3435</v>
      </c>
      <c r="F544" s="5" t="s">
        <v>3436</v>
      </c>
      <c r="G544" s="5" t="s">
        <v>3437</v>
      </c>
      <c r="H544" s="11" t="s">
        <v>3438</v>
      </c>
      <c r="I544" s="5"/>
      <c r="J544" s="5"/>
      <c r="K544" s="5"/>
      <c r="L544" s="5"/>
      <c r="M544" s="5"/>
      <c r="N544" s="5"/>
      <c r="O544" s="5"/>
      <c r="P544" s="11">
        <v>258.00139999999999</v>
      </c>
      <c r="Q544" s="5">
        <v>54.607100000000003</v>
      </c>
      <c r="R544" s="5">
        <f t="shared" si="8"/>
        <v>312.60849999999999</v>
      </c>
      <c r="S544" s="5" t="s">
        <v>2411</v>
      </c>
      <c r="T544" s="6">
        <v>541</v>
      </c>
      <c r="U544" s="258" t="s">
        <v>3439</v>
      </c>
      <c r="V544" s="232" t="s">
        <v>3433</v>
      </c>
      <c r="W544" s="232">
        <v>1903.4</v>
      </c>
      <c r="X544" s="232">
        <v>-6996.2</v>
      </c>
      <c r="Y544" s="233" t="s">
        <v>49</v>
      </c>
      <c r="Z544" s="87" t="s">
        <v>50</v>
      </c>
      <c r="AA544" s="233" t="s">
        <v>51</v>
      </c>
      <c r="AB544" s="234"/>
      <c r="AC544" s="233">
        <v>1</v>
      </c>
      <c r="AD544" s="233" t="s">
        <v>226</v>
      </c>
      <c r="AE544" s="233"/>
      <c r="AF544" s="233"/>
      <c r="AG544" s="233" t="s">
        <v>3430</v>
      </c>
      <c r="AH544" s="233">
        <v>5</v>
      </c>
      <c r="AI544" s="233">
        <v>85</v>
      </c>
      <c r="AJ544" s="233" t="s">
        <v>432</v>
      </c>
      <c r="AK544" s="233">
        <v>100</v>
      </c>
      <c r="AL544" s="233"/>
      <c r="AM544" s="233" t="s">
        <v>3440</v>
      </c>
      <c r="AN544" s="233"/>
      <c r="AO544" s="233"/>
      <c r="AP544" s="234" t="s">
        <v>434</v>
      </c>
      <c r="AQ544" s="234" t="s">
        <v>408</v>
      </c>
    </row>
    <row r="545" spans="1:43">
      <c r="A545" s="6">
        <v>542</v>
      </c>
      <c r="B545" s="21" t="s">
        <v>3441</v>
      </c>
      <c r="C545" s="5" t="s">
        <v>3442</v>
      </c>
      <c r="D545" s="5" t="s">
        <v>3443</v>
      </c>
      <c r="E545" s="5" t="s">
        <v>3444</v>
      </c>
      <c r="F545" s="5" t="s">
        <v>3445</v>
      </c>
      <c r="G545" s="5" t="s">
        <v>3446</v>
      </c>
      <c r="H545" s="11" t="s">
        <v>3447</v>
      </c>
      <c r="I545" s="5"/>
      <c r="J545" s="5"/>
      <c r="K545" s="5"/>
      <c r="L545" s="5"/>
      <c r="M545" s="5"/>
      <c r="N545" s="5"/>
      <c r="O545" s="5"/>
      <c r="P545" s="11">
        <v>257.99</v>
      </c>
      <c r="Q545" s="5">
        <v>54.845100000000002</v>
      </c>
      <c r="R545" s="5">
        <f t="shared" si="8"/>
        <v>312.83510000000001</v>
      </c>
      <c r="S545" s="5" t="s">
        <v>282</v>
      </c>
      <c r="T545" s="6">
        <v>542</v>
      </c>
      <c r="U545" s="258" t="s">
        <v>3448</v>
      </c>
      <c r="V545" s="232" t="s">
        <v>3442</v>
      </c>
      <c r="W545" s="232">
        <v>932.6</v>
      </c>
      <c r="X545" s="232">
        <v>-10380.6</v>
      </c>
      <c r="Y545" s="233" t="s">
        <v>49</v>
      </c>
      <c r="Z545" s="87" t="s">
        <v>50</v>
      </c>
      <c r="AA545" s="233" t="s">
        <v>51</v>
      </c>
      <c r="AB545" s="234"/>
      <c r="AC545" s="233">
        <v>1</v>
      </c>
      <c r="AD545" s="233" t="s">
        <v>226</v>
      </c>
      <c r="AE545" s="233"/>
      <c r="AF545" s="233"/>
      <c r="AG545" s="233" t="s">
        <v>3430</v>
      </c>
      <c r="AH545" s="233">
        <v>5</v>
      </c>
      <c r="AI545" s="233">
        <v>85</v>
      </c>
      <c r="AJ545" s="233" t="s">
        <v>432</v>
      </c>
      <c r="AK545" s="233">
        <v>100</v>
      </c>
      <c r="AL545" s="233"/>
      <c r="AM545" s="233" t="s">
        <v>3431</v>
      </c>
      <c r="AN545" s="233"/>
      <c r="AO545" s="233"/>
      <c r="AP545" s="234" t="s">
        <v>434</v>
      </c>
      <c r="AQ545" s="234" t="s">
        <v>408</v>
      </c>
    </row>
    <row r="546" spans="1:43">
      <c r="A546" s="6">
        <v>543</v>
      </c>
      <c r="B546" s="21" t="s">
        <v>3449</v>
      </c>
      <c r="C546" s="5" t="s">
        <v>3450</v>
      </c>
      <c r="D546" s="5" t="s">
        <v>3451</v>
      </c>
      <c r="E546" s="5" t="s">
        <v>3452</v>
      </c>
      <c r="F546" s="5" t="s">
        <v>3453</v>
      </c>
      <c r="G546" s="5" t="s">
        <v>3454</v>
      </c>
      <c r="H546" s="11" t="s">
        <v>3455</v>
      </c>
      <c r="I546" s="5"/>
      <c r="J546" s="5"/>
      <c r="K546" s="5"/>
      <c r="L546" s="5"/>
      <c r="M546" s="5"/>
      <c r="N546" s="5"/>
      <c r="O546" s="5"/>
      <c r="P546" s="11">
        <v>258.00319999999999</v>
      </c>
      <c r="Q546" s="5">
        <v>54.843899999999998</v>
      </c>
      <c r="R546" s="5">
        <f t="shared" si="8"/>
        <v>312.84710000000001</v>
      </c>
      <c r="S546" s="5" t="s">
        <v>282</v>
      </c>
      <c r="T546" s="6">
        <v>543</v>
      </c>
      <c r="U546" s="258" t="s">
        <v>3456</v>
      </c>
      <c r="V546" s="232" t="s">
        <v>3450</v>
      </c>
      <c r="W546" s="232">
        <v>432</v>
      </c>
      <c r="X546" s="232">
        <v>-10380.6</v>
      </c>
      <c r="Y546" s="233" t="s">
        <v>49</v>
      </c>
      <c r="Z546" s="87" t="s">
        <v>50</v>
      </c>
      <c r="AA546" s="233" t="s">
        <v>51</v>
      </c>
      <c r="AB546" s="234"/>
      <c r="AC546" s="233">
        <v>1</v>
      </c>
      <c r="AD546" s="233" t="s">
        <v>226</v>
      </c>
      <c r="AE546" s="233"/>
      <c r="AF546" s="233"/>
      <c r="AG546" s="233" t="s">
        <v>3430</v>
      </c>
      <c r="AH546" s="233">
        <v>5</v>
      </c>
      <c r="AI546" s="233">
        <v>85</v>
      </c>
      <c r="AJ546" s="233" t="s">
        <v>432</v>
      </c>
      <c r="AK546" s="233">
        <v>100</v>
      </c>
      <c r="AL546" s="233"/>
      <c r="AM546" s="233" t="s">
        <v>3440</v>
      </c>
      <c r="AN546" s="233"/>
      <c r="AO546" s="233"/>
      <c r="AP546" s="234" t="s">
        <v>434</v>
      </c>
      <c r="AQ546" s="234" t="s">
        <v>408</v>
      </c>
    </row>
    <row r="547" spans="1:43">
      <c r="A547" s="6">
        <v>544</v>
      </c>
      <c r="B547" s="21" t="s">
        <v>3457</v>
      </c>
      <c r="C547" s="5" t="s">
        <v>3458</v>
      </c>
      <c r="D547" s="5" t="s">
        <v>3459</v>
      </c>
      <c r="E547" s="5" t="s">
        <v>3460</v>
      </c>
      <c r="F547" s="5" t="s">
        <v>3461</v>
      </c>
      <c r="G547" s="5" t="s">
        <v>3462</v>
      </c>
      <c r="H547" s="11" t="s">
        <v>3463</v>
      </c>
      <c r="I547" s="5"/>
      <c r="J547" s="5"/>
      <c r="K547" s="5"/>
      <c r="L547" s="5"/>
      <c r="M547" s="5"/>
      <c r="N547" s="5"/>
      <c r="O547" s="5"/>
      <c r="P547" s="11">
        <v>258.01859999999999</v>
      </c>
      <c r="Q547" s="5">
        <v>54.584699999999998</v>
      </c>
      <c r="R547" s="5">
        <f t="shared" si="8"/>
        <v>312.60329999999999</v>
      </c>
      <c r="S547" s="5" t="s">
        <v>452</v>
      </c>
      <c r="T547" s="6">
        <v>544</v>
      </c>
      <c r="U547" s="258" t="s">
        <v>3464</v>
      </c>
      <c r="V547" s="232" t="s">
        <v>3458</v>
      </c>
      <c r="W547" s="232">
        <v>546.1</v>
      </c>
      <c r="X547" s="232">
        <v>-6285</v>
      </c>
      <c r="Y547" s="233" t="s">
        <v>49</v>
      </c>
      <c r="Z547" s="87" t="s">
        <v>50</v>
      </c>
      <c r="AA547" s="233" t="s">
        <v>51</v>
      </c>
      <c r="AB547" s="234"/>
      <c r="AC547" s="233">
        <v>1</v>
      </c>
      <c r="AD547" s="233" t="s">
        <v>226</v>
      </c>
      <c r="AE547" s="233"/>
      <c r="AF547" s="233"/>
      <c r="AG547" s="233" t="s">
        <v>454</v>
      </c>
      <c r="AH547" s="233">
        <v>5</v>
      </c>
      <c r="AI547" s="233">
        <v>85</v>
      </c>
      <c r="AJ547" s="233" t="s">
        <v>432</v>
      </c>
      <c r="AK547" s="233">
        <v>100</v>
      </c>
      <c r="AL547" s="233"/>
      <c r="AM547" s="233" t="s">
        <v>3204</v>
      </c>
      <c r="AN547" s="233"/>
      <c r="AO547" s="233"/>
      <c r="AP547" s="234" t="s">
        <v>434</v>
      </c>
      <c r="AQ547" s="234" t="s">
        <v>408</v>
      </c>
    </row>
    <row r="548" spans="1:43">
      <c r="A548" s="6">
        <v>60</v>
      </c>
      <c r="B548" s="21" t="s">
        <v>3465</v>
      </c>
      <c r="C548" s="5" t="s">
        <v>3466</v>
      </c>
      <c r="D548" s="5" t="s">
        <v>3467</v>
      </c>
      <c r="E548" s="5" t="s">
        <v>3468</v>
      </c>
      <c r="F548" s="5" t="s">
        <v>3469</v>
      </c>
      <c r="G548" s="11" t="s">
        <v>3470</v>
      </c>
      <c r="H548" s="5"/>
      <c r="I548" s="5"/>
      <c r="J548" s="5"/>
      <c r="K548" s="5"/>
      <c r="L548" s="5"/>
      <c r="M548" s="5"/>
      <c r="N548" s="5"/>
      <c r="O548" s="5"/>
      <c r="P548" s="11">
        <v>250.0634</v>
      </c>
      <c r="Q548" s="5">
        <v>105.7842</v>
      </c>
      <c r="R548" s="5">
        <f t="shared" si="8"/>
        <v>355.8476</v>
      </c>
      <c r="S548" s="5" t="s">
        <v>441</v>
      </c>
      <c r="T548" s="6">
        <v>60</v>
      </c>
      <c r="U548" s="31" t="s">
        <v>3471</v>
      </c>
      <c r="V548" s="232" t="s">
        <v>3466</v>
      </c>
      <c r="W548" s="232">
        <v>-7640.9</v>
      </c>
      <c r="X548" s="232">
        <v>-9129.7999999999993</v>
      </c>
      <c r="Y548" s="233" t="s">
        <v>49</v>
      </c>
      <c r="Z548" s="87" t="s">
        <v>50</v>
      </c>
      <c r="AA548" s="233" t="s">
        <v>51</v>
      </c>
      <c r="AB548" s="234"/>
      <c r="AC548" s="233">
        <v>1</v>
      </c>
      <c r="AD548" s="233" t="s">
        <v>226</v>
      </c>
      <c r="AE548" s="234"/>
      <c r="AF548" s="233">
        <v>1100</v>
      </c>
      <c r="AG548" s="233" t="s">
        <v>443</v>
      </c>
      <c r="AH548" s="233">
        <v>2.5</v>
      </c>
      <c r="AI548" s="233">
        <v>85</v>
      </c>
      <c r="AJ548" s="233" t="s">
        <v>405</v>
      </c>
      <c r="AK548" s="233">
        <v>10</v>
      </c>
      <c r="AL548" s="233"/>
      <c r="AM548" s="233" t="s">
        <v>3472</v>
      </c>
      <c r="AN548" s="233"/>
      <c r="AO548" s="233"/>
      <c r="AP548" s="234" t="s">
        <v>407</v>
      </c>
      <c r="AQ548" s="234" t="s">
        <v>408</v>
      </c>
    </row>
    <row r="549" spans="1:43">
      <c r="A549" s="6">
        <v>62</v>
      </c>
      <c r="B549" s="21" t="s">
        <v>3465</v>
      </c>
      <c r="C549" s="5" t="s">
        <v>3473</v>
      </c>
      <c r="D549" s="5" t="s">
        <v>3467</v>
      </c>
      <c r="E549" s="5" t="s">
        <v>3468</v>
      </c>
      <c r="F549" s="5" t="s">
        <v>3469</v>
      </c>
      <c r="G549" s="11" t="s">
        <v>3470</v>
      </c>
      <c r="H549" s="5"/>
      <c r="I549" s="5"/>
      <c r="J549" s="5"/>
      <c r="K549" s="5"/>
      <c r="L549" s="5"/>
      <c r="M549" s="5"/>
      <c r="N549" s="5"/>
      <c r="O549" s="5"/>
      <c r="P549" s="11">
        <v>250.0634</v>
      </c>
      <c r="Q549" s="5">
        <v>105.7842</v>
      </c>
      <c r="R549" s="5">
        <f t="shared" si="8"/>
        <v>355.8476</v>
      </c>
      <c r="S549" s="5" t="s">
        <v>441</v>
      </c>
      <c r="T549" s="6">
        <v>62</v>
      </c>
      <c r="U549" s="31" t="s">
        <v>3474</v>
      </c>
      <c r="V549" s="232" t="s">
        <v>3473</v>
      </c>
      <c r="W549" s="232">
        <v>-9801.7000000000007</v>
      </c>
      <c r="X549" s="232">
        <v>-11190</v>
      </c>
      <c r="Y549" s="233" t="s">
        <v>49</v>
      </c>
      <c r="Z549" s="87" t="s">
        <v>50</v>
      </c>
      <c r="AA549" s="233" t="s">
        <v>51</v>
      </c>
      <c r="AB549" s="234"/>
      <c r="AC549" s="233">
        <v>0</v>
      </c>
      <c r="AD549" s="234"/>
      <c r="AE549" s="234"/>
      <c r="AF549" s="234"/>
      <c r="AG549" s="233" t="s">
        <v>458</v>
      </c>
      <c r="AH549" s="233">
        <v>2.5</v>
      </c>
      <c r="AI549" s="233">
        <v>85</v>
      </c>
      <c r="AJ549" s="233" t="s">
        <v>405</v>
      </c>
      <c r="AK549" s="233">
        <v>10</v>
      </c>
      <c r="AL549" s="233"/>
      <c r="AM549" s="233" t="s">
        <v>3472</v>
      </c>
      <c r="AN549" s="233"/>
      <c r="AO549" s="233"/>
      <c r="AP549" s="234" t="s">
        <v>407</v>
      </c>
      <c r="AQ549" s="234" t="s">
        <v>408</v>
      </c>
    </row>
    <row r="550" spans="1:43">
      <c r="A550" s="6">
        <v>547</v>
      </c>
      <c r="B550" s="21" t="s">
        <v>3475</v>
      </c>
      <c r="C550" s="5" t="s">
        <v>3476</v>
      </c>
      <c r="D550" s="5" t="s">
        <v>3477</v>
      </c>
      <c r="E550" s="5" t="s">
        <v>3478</v>
      </c>
      <c r="F550" s="5" t="s">
        <v>3479</v>
      </c>
      <c r="G550" s="5" t="s">
        <v>3480</v>
      </c>
      <c r="H550" s="11" t="s">
        <v>3481</v>
      </c>
      <c r="I550" s="5"/>
      <c r="J550" s="5"/>
      <c r="K550" s="5"/>
      <c r="L550" s="5"/>
      <c r="M550" s="5"/>
      <c r="N550" s="5"/>
      <c r="O550" s="5"/>
      <c r="P550" s="11">
        <v>257.99630000000002</v>
      </c>
      <c r="Q550" s="5">
        <v>54.75</v>
      </c>
      <c r="R550" s="5">
        <f t="shared" ref="R550:R580" si="9">IF(AND(P550="",Q550=""),"",SUM(P550:Q550))</f>
        <v>312.74630000000002</v>
      </c>
      <c r="S550" s="5" t="s">
        <v>1827</v>
      </c>
      <c r="T550" s="6">
        <v>547</v>
      </c>
      <c r="U550" s="258" t="s">
        <v>3482</v>
      </c>
      <c r="V550" s="232" t="s">
        <v>3476</v>
      </c>
      <c r="W550" s="232">
        <v>250.2</v>
      </c>
      <c r="X550" s="232">
        <v>-11190</v>
      </c>
      <c r="Y550" s="233" t="s">
        <v>49</v>
      </c>
      <c r="Z550" s="87" t="s">
        <v>50</v>
      </c>
      <c r="AA550" s="233" t="s">
        <v>51</v>
      </c>
      <c r="AB550" s="234"/>
      <c r="AC550" s="233">
        <v>1</v>
      </c>
      <c r="AD550" s="233" t="s">
        <v>226</v>
      </c>
      <c r="AE550" s="233"/>
      <c r="AF550" s="233"/>
      <c r="AG550" s="233" t="s">
        <v>454</v>
      </c>
      <c r="AH550" s="233">
        <v>5</v>
      </c>
      <c r="AI550" s="233">
        <v>85</v>
      </c>
      <c r="AJ550" s="233" t="s">
        <v>432</v>
      </c>
      <c r="AK550" s="233">
        <v>100</v>
      </c>
      <c r="AL550" s="233"/>
      <c r="AM550" s="233" t="s">
        <v>455</v>
      </c>
      <c r="AN550" s="233"/>
      <c r="AO550" s="233"/>
      <c r="AP550" s="234" t="s">
        <v>434</v>
      </c>
      <c r="AQ550" s="234" t="s">
        <v>408</v>
      </c>
    </row>
    <row r="551" spans="1:43">
      <c r="A551" s="6">
        <v>548</v>
      </c>
      <c r="B551" s="21" t="s">
        <v>3483</v>
      </c>
      <c r="C551" s="5" t="s">
        <v>3484</v>
      </c>
      <c r="D551" s="5" t="s">
        <v>605</v>
      </c>
      <c r="E551" s="5" t="s">
        <v>605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11" t="s">
        <v>46</v>
      </c>
      <c r="Q551" s="5" t="s">
        <v>46</v>
      </c>
      <c r="R551" s="5" t="str">
        <f t="shared" si="9"/>
        <v/>
      </c>
      <c r="S551" s="5" t="s">
        <v>46</v>
      </c>
      <c r="T551" s="6">
        <v>548</v>
      </c>
      <c r="U551" s="89" t="s">
        <v>3485</v>
      </c>
      <c r="V551" s="232" t="s">
        <v>3484</v>
      </c>
      <c r="W551" s="232">
        <v>5671.5</v>
      </c>
      <c r="X551" s="232">
        <v>-4437.8999999999996</v>
      </c>
      <c r="Y551" s="87" t="s">
        <v>668</v>
      </c>
      <c r="Z551" s="87" t="s">
        <v>50</v>
      </c>
      <c r="AA551" s="233" t="s">
        <v>669</v>
      </c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90" t="s">
        <v>3486</v>
      </c>
    </row>
    <row r="552" spans="1:43">
      <c r="A552" s="6">
        <v>549</v>
      </c>
      <c r="B552" s="21" t="s">
        <v>3487</v>
      </c>
      <c r="C552" s="5" t="s">
        <v>3488</v>
      </c>
      <c r="D552" s="5" t="s">
        <v>605</v>
      </c>
      <c r="E552" s="5" t="s">
        <v>605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11" t="s">
        <v>46</v>
      </c>
      <c r="Q552" s="5" t="s">
        <v>46</v>
      </c>
      <c r="R552" s="5" t="str">
        <f t="shared" si="9"/>
        <v/>
      </c>
      <c r="S552" s="5" t="s">
        <v>46</v>
      </c>
      <c r="T552" s="6">
        <v>549</v>
      </c>
      <c r="U552" s="259" t="s">
        <v>3489</v>
      </c>
      <c r="V552" s="232" t="s">
        <v>3488</v>
      </c>
      <c r="W552" s="232">
        <v>5503.1</v>
      </c>
      <c r="X552" s="232">
        <v>2344.5</v>
      </c>
      <c r="Y552" s="87" t="s">
        <v>668</v>
      </c>
      <c r="Z552" s="87" t="s">
        <v>50</v>
      </c>
      <c r="AA552" s="233" t="s">
        <v>669</v>
      </c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31" t="s">
        <v>3490</v>
      </c>
    </row>
    <row r="553" spans="1:43">
      <c r="A553" s="6">
        <v>550</v>
      </c>
      <c r="B553" s="21" t="s">
        <v>3491</v>
      </c>
      <c r="C553" s="5" t="s">
        <v>3492</v>
      </c>
      <c r="D553" s="5" t="s">
        <v>605</v>
      </c>
      <c r="E553" s="5" t="s">
        <v>605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11" t="s">
        <v>46</v>
      </c>
      <c r="Q553" s="5" t="s">
        <v>46</v>
      </c>
      <c r="R553" s="5" t="str">
        <f t="shared" si="9"/>
        <v/>
      </c>
      <c r="S553" s="5" t="s">
        <v>46</v>
      </c>
      <c r="T553" s="6">
        <v>550</v>
      </c>
      <c r="U553" s="259" t="s">
        <v>3493</v>
      </c>
      <c r="V553" s="232" t="s">
        <v>3492</v>
      </c>
      <c r="W553" s="232">
        <v>3098.8</v>
      </c>
      <c r="X553" s="232">
        <v>1549.4</v>
      </c>
      <c r="Y553" s="87" t="s">
        <v>668</v>
      </c>
      <c r="Z553" s="87" t="s">
        <v>50</v>
      </c>
      <c r="AA553" s="233" t="s">
        <v>669</v>
      </c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235" t="s">
        <v>3494</v>
      </c>
    </row>
    <row r="554" spans="1:43">
      <c r="A554" s="6">
        <v>551</v>
      </c>
      <c r="B554" s="21" t="s">
        <v>3495</v>
      </c>
      <c r="C554" s="5" t="s">
        <v>3496</v>
      </c>
      <c r="D554" s="5" t="s">
        <v>605</v>
      </c>
      <c r="E554" s="5" t="s">
        <v>605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11" t="s">
        <v>46</v>
      </c>
      <c r="Q554" s="5" t="s">
        <v>46</v>
      </c>
      <c r="R554" s="5" t="str">
        <f t="shared" si="9"/>
        <v/>
      </c>
      <c r="S554" s="5" t="s">
        <v>46</v>
      </c>
      <c r="T554" s="6">
        <v>551</v>
      </c>
      <c r="U554" s="259" t="s">
        <v>3497</v>
      </c>
      <c r="V554" s="232" t="s">
        <v>3496</v>
      </c>
      <c r="W554" s="232">
        <v>4779.2</v>
      </c>
      <c r="X554" s="232">
        <v>2344.5</v>
      </c>
      <c r="Y554" s="87" t="s">
        <v>668</v>
      </c>
      <c r="Z554" s="87" t="s">
        <v>50</v>
      </c>
      <c r="AA554" s="233" t="s">
        <v>669</v>
      </c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235" t="s">
        <v>3498</v>
      </c>
    </row>
    <row r="555" spans="1:43">
      <c r="A555" s="6">
        <v>552</v>
      </c>
      <c r="B555" s="21" t="s">
        <v>3499</v>
      </c>
      <c r="C555" s="5" t="s">
        <v>3500</v>
      </c>
      <c r="D555" s="5" t="s">
        <v>605</v>
      </c>
      <c r="E555" s="5" t="s">
        <v>605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11" t="s">
        <v>46</v>
      </c>
      <c r="Q555" s="5" t="s">
        <v>46</v>
      </c>
      <c r="R555" s="5" t="str">
        <f t="shared" si="9"/>
        <v/>
      </c>
      <c r="S555" s="5" t="s">
        <v>46</v>
      </c>
      <c r="T555" s="6">
        <v>552</v>
      </c>
      <c r="U555" s="259" t="s">
        <v>3501</v>
      </c>
      <c r="V555" s="232" t="s">
        <v>3500</v>
      </c>
      <c r="W555" s="232">
        <v>6227</v>
      </c>
      <c r="X555" s="232">
        <v>-4325.8999999999996</v>
      </c>
      <c r="Y555" s="87" t="s">
        <v>668</v>
      </c>
      <c r="Z555" s="87" t="s">
        <v>50</v>
      </c>
      <c r="AA555" s="233" t="s">
        <v>669</v>
      </c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235" t="s">
        <v>3502</v>
      </c>
    </row>
    <row r="556" spans="1:43">
      <c r="A556" s="6">
        <v>553</v>
      </c>
      <c r="B556" s="21" t="s">
        <v>3503</v>
      </c>
      <c r="C556" s="5" t="s">
        <v>3504</v>
      </c>
      <c r="D556" s="5" t="s">
        <v>605</v>
      </c>
      <c r="E556" s="5" t="s">
        <v>605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11" t="s">
        <v>46</v>
      </c>
      <c r="Q556" s="5" t="s">
        <v>46</v>
      </c>
      <c r="R556" s="5" t="str">
        <f t="shared" si="9"/>
        <v/>
      </c>
      <c r="S556" s="5" t="s">
        <v>46</v>
      </c>
      <c r="T556" s="6">
        <v>553</v>
      </c>
      <c r="U556" s="259" t="s">
        <v>3505</v>
      </c>
      <c r="V556" s="232" t="s">
        <v>3504</v>
      </c>
      <c r="W556" s="232">
        <v>2324.1</v>
      </c>
      <c r="X556" s="232">
        <v>1549.4</v>
      </c>
      <c r="Y556" s="87" t="s">
        <v>668</v>
      </c>
      <c r="Z556" s="87" t="s">
        <v>50</v>
      </c>
      <c r="AA556" s="233" t="s">
        <v>669</v>
      </c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235" t="s">
        <v>3506</v>
      </c>
    </row>
    <row r="557" spans="1:43">
      <c r="A557" s="6">
        <v>554</v>
      </c>
      <c r="B557" s="21" t="s">
        <v>3503</v>
      </c>
      <c r="C557" s="5" t="s">
        <v>3507</v>
      </c>
      <c r="D557" s="5" t="s">
        <v>605</v>
      </c>
      <c r="E557" s="5" t="s">
        <v>605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11" t="s">
        <v>46</v>
      </c>
      <c r="Q557" s="5" t="s">
        <v>46</v>
      </c>
      <c r="R557" s="5" t="str">
        <f t="shared" si="9"/>
        <v/>
      </c>
      <c r="S557" s="5" t="s">
        <v>46</v>
      </c>
      <c r="T557" s="6">
        <v>554</v>
      </c>
      <c r="U557" s="259" t="s">
        <v>3505</v>
      </c>
      <c r="V557" s="232" t="s">
        <v>3507</v>
      </c>
      <c r="W557" s="232">
        <v>3335.2</v>
      </c>
      <c r="X557" s="232">
        <v>2525.3000000000002</v>
      </c>
      <c r="Y557" s="87" t="s">
        <v>668</v>
      </c>
      <c r="Z557" s="87" t="s">
        <v>50</v>
      </c>
      <c r="AA557" s="233" t="s">
        <v>669</v>
      </c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235" t="s">
        <v>3506</v>
      </c>
    </row>
    <row r="558" spans="1:43">
      <c r="A558" s="6">
        <v>555</v>
      </c>
      <c r="B558" s="21" t="s">
        <v>3503</v>
      </c>
      <c r="C558" s="5" t="s">
        <v>3508</v>
      </c>
      <c r="D558" s="5" t="s">
        <v>605</v>
      </c>
      <c r="E558" s="5" t="s">
        <v>605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11" t="s">
        <v>46</v>
      </c>
      <c r="Q558" s="5" t="s">
        <v>46</v>
      </c>
      <c r="R558" s="5" t="str">
        <f t="shared" si="9"/>
        <v/>
      </c>
      <c r="S558" s="5" t="s">
        <v>46</v>
      </c>
      <c r="T558" s="6">
        <v>555</v>
      </c>
      <c r="U558" s="259" t="s">
        <v>3505</v>
      </c>
      <c r="V558" s="232" t="s">
        <v>3508</v>
      </c>
      <c r="W558" s="232">
        <v>2344.5</v>
      </c>
      <c r="X558" s="232">
        <v>2525.3000000000002</v>
      </c>
      <c r="Y558" s="87" t="s">
        <v>668</v>
      </c>
      <c r="Z558" s="87" t="s">
        <v>50</v>
      </c>
      <c r="AA558" s="233" t="s">
        <v>669</v>
      </c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235" t="s">
        <v>3506</v>
      </c>
    </row>
    <row r="559" spans="1:43">
      <c r="A559" s="6">
        <v>556</v>
      </c>
      <c r="B559" s="21" t="s">
        <v>3509</v>
      </c>
      <c r="C559" s="5" t="s">
        <v>3510</v>
      </c>
      <c r="D559" s="5" t="s">
        <v>605</v>
      </c>
      <c r="E559" s="5" t="s">
        <v>605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11" t="s">
        <v>46</v>
      </c>
      <c r="Q559" s="5" t="s">
        <v>46</v>
      </c>
      <c r="R559" s="5" t="str">
        <f t="shared" si="9"/>
        <v/>
      </c>
      <c r="S559" s="5" t="s">
        <v>46</v>
      </c>
      <c r="T559" s="6">
        <v>556</v>
      </c>
      <c r="U559" s="259" t="s">
        <v>3511</v>
      </c>
      <c r="V559" s="232" t="s">
        <v>3510</v>
      </c>
      <c r="W559" s="232">
        <v>6950.9</v>
      </c>
      <c r="X559" s="232">
        <v>-4325.8999999999996</v>
      </c>
      <c r="Y559" s="87" t="s">
        <v>668</v>
      </c>
      <c r="Z559" s="87" t="s">
        <v>50</v>
      </c>
      <c r="AA559" s="233" t="s">
        <v>669</v>
      </c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235" t="s">
        <v>3512</v>
      </c>
    </row>
    <row r="560" spans="1:43">
      <c r="A560" s="6">
        <v>557</v>
      </c>
      <c r="B560" s="21" t="s">
        <v>3513</v>
      </c>
      <c r="C560" s="5" t="s">
        <v>3514</v>
      </c>
      <c r="D560" s="5" t="s">
        <v>605</v>
      </c>
      <c r="E560" s="5" t="s">
        <v>605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11" t="s">
        <v>46</v>
      </c>
      <c r="Q560" s="5" t="s">
        <v>46</v>
      </c>
      <c r="R560" s="5" t="str">
        <f t="shared" si="9"/>
        <v/>
      </c>
      <c r="S560" s="5" t="s">
        <v>46</v>
      </c>
      <c r="T560" s="6">
        <v>557</v>
      </c>
      <c r="U560" s="259" t="s">
        <v>3515</v>
      </c>
      <c r="V560" s="232" t="s">
        <v>3514</v>
      </c>
      <c r="W560" s="232">
        <v>4779.2</v>
      </c>
      <c r="X560" s="232">
        <v>3335.2</v>
      </c>
      <c r="Y560" s="87" t="s">
        <v>668</v>
      </c>
      <c r="Z560" s="87" t="s">
        <v>50</v>
      </c>
      <c r="AA560" s="233" t="s">
        <v>669</v>
      </c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235" t="s">
        <v>3516</v>
      </c>
    </row>
    <row r="561" spans="1:43">
      <c r="A561" s="6">
        <v>558</v>
      </c>
      <c r="B561" s="21" t="s">
        <v>3517</v>
      </c>
      <c r="C561" s="5" t="s">
        <v>3518</v>
      </c>
      <c r="D561" s="5" t="s">
        <v>605</v>
      </c>
      <c r="E561" s="5" t="s">
        <v>605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11" t="s">
        <v>46</v>
      </c>
      <c r="Q561" s="5" t="s">
        <v>46</v>
      </c>
      <c r="R561" s="5" t="str">
        <f t="shared" si="9"/>
        <v/>
      </c>
      <c r="S561" s="5" t="s">
        <v>46</v>
      </c>
      <c r="T561" s="6">
        <v>558</v>
      </c>
      <c r="U561" s="259" t="s">
        <v>3519</v>
      </c>
      <c r="V561" s="232" t="s">
        <v>3518</v>
      </c>
      <c r="W561" s="232">
        <v>6950.9</v>
      </c>
      <c r="X561" s="232">
        <v>-5316.6</v>
      </c>
      <c r="Y561" s="87" t="s">
        <v>668</v>
      </c>
      <c r="Z561" s="87" t="s">
        <v>50</v>
      </c>
      <c r="AA561" s="233" t="s">
        <v>669</v>
      </c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235" t="s">
        <v>3520</v>
      </c>
    </row>
    <row r="562" spans="1:43">
      <c r="A562" s="6">
        <v>559</v>
      </c>
      <c r="B562" s="21" t="s">
        <v>3521</v>
      </c>
      <c r="C562" s="5" t="s">
        <v>3522</v>
      </c>
      <c r="D562" s="5" t="s">
        <v>605</v>
      </c>
      <c r="E562" s="5" t="s">
        <v>605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11" t="s">
        <v>46</v>
      </c>
      <c r="Q562" s="5" t="s">
        <v>46</v>
      </c>
      <c r="R562" s="5" t="str">
        <f t="shared" si="9"/>
        <v/>
      </c>
      <c r="S562" s="5" t="s">
        <v>46</v>
      </c>
      <c r="T562" s="6">
        <v>559</v>
      </c>
      <c r="U562" s="259" t="s">
        <v>3523</v>
      </c>
      <c r="V562" s="232" t="s">
        <v>3522</v>
      </c>
      <c r="W562" s="232">
        <v>6227</v>
      </c>
      <c r="X562" s="232">
        <v>-5316.6</v>
      </c>
      <c r="Y562" s="87" t="s">
        <v>668</v>
      </c>
      <c r="Z562" s="87" t="s">
        <v>50</v>
      </c>
      <c r="AA562" s="233" t="s">
        <v>669</v>
      </c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235" t="s">
        <v>3524</v>
      </c>
    </row>
    <row r="563" spans="1:43">
      <c r="A563" s="6">
        <v>560</v>
      </c>
      <c r="B563" s="21" t="s">
        <v>3525</v>
      </c>
      <c r="C563" s="5" t="s">
        <v>3526</v>
      </c>
      <c r="D563" s="5" t="s">
        <v>605</v>
      </c>
      <c r="E563" s="5" t="s">
        <v>605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11" t="s">
        <v>46</v>
      </c>
      <c r="Q563" s="5" t="s">
        <v>46</v>
      </c>
      <c r="R563" s="5" t="str">
        <f t="shared" si="9"/>
        <v/>
      </c>
      <c r="S563" s="5" t="s">
        <v>46</v>
      </c>
      <c r="T563" s="6">
        <v>560</v>
      </c>
      <c r="U563" s="259" t="s">
        <v>3527</v>
      </c>
      <c r="V563" s="232" t="s">
        <v>3526</v>
      </c>
      <c r="W563" s="232">
        <v>7674.8</v>
      </c>
      <c r="X563" s="232">
        <v>-4325.8999999999996</v>
      </c>
      <c r="Y563" s="87" t="s">
        <v>668</v>
      </c>
      <c r="Z563" s="87" t="s">
        <v>50</v>
      </c>
      <c r="AA563" s="233" t="s">
        <v>669</v>
      </c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235" t="s">
        <v>3528</v>
      </c>
    </row>
    <row r="564" spans="1:43">
      <c r="A564" s="6">
        <v>561</v>
      </c>
      <c r="B564" s="21" t="s">
        <v>3529</v>
      </c>
      <c r="C564" s="5" t="s">
        <v>3530</v>
      </c>
      <c r="D564" s="5" t="s">
        <v>605</v>
      </c>
      <c r="E564" s="5" t="s">
        <v>605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11" t="s">
        <v>46</v>
      </c>
      <c r="Q564" s="5" t="s">
        <v>46</v>
      </c>
      <c r="R564" s="5" t="str">
        <f t="shared" si="9"/>
        <v/>
      </c>
      <c r="S564" s="5" t="s">
        <v>46</v>
      </c>
      <c r="T564" s="6">
        <v>561</v>
      </c>
      <c r="U564" s="259" t="s">
        <v>3531</v>
      </c>
      <c r="V564" s="232" t="s">
        <v>3530</v>
      </c>
      <c r="W564" s="232">
        <v>5503.1</v>
      </c>
      <c r="X564" s="232">
        <v>3335.2</v>
      </c>
      <c r="Y564" s="87" t="s">
        <v>668</v>
      </c>
      <c r="Z564" s="87" t="s">
        <v>50</v>
      </c>
      <c r="AA564" s="233" t="s">
        <v>669</v>
      </c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235" t="s">
        <v>3532</v>
      </c>
    </row>
    <row r="565" spans="1:43">
      <c r="A565" s="6">
        <v>562</v>
      </c>
      <c r="B565" s="21" t="s">
        <v>3533</v>
      </c>
      <c r="C565" s="5" t="s">
        <v>3534</v>
      </c>
      <c r="D565" s="5" t="s">
        <v>3535</v>
      </c>
      <c r="E565" s="5" t="s">
        <v>3536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11" t="s">
        <v>46</v>
      </c>
      <c r="Q565" s="5">
        <v>137.23330000000001</v>
      </c>
      <c r="R565" s="5">
        <f t="shared" si="9"/>
        <v>137.23330000000001</v>
      </c>
      <c r="S565" s="5" t="s">
        <v>338</v>
      </c>
      <c r="T565" s="6">
        <v>562</v>
      </c>
      <c r="U565" s="259" t="s">
        <v>3537</v>
      </c>
      <c r="V565" s="232" t="s">
        <v>3534</v>
      </c>
      <c r="W565" s="232">
        <v>13439.1</v>
      </c>
      <c r="X565" s="232">
        <v>9307.6</v>
      </c>
      <c r="Y565" s="87" t="s">
        <v>668</v>
      </c>
      <c r="Z565" s="87" t="s">
        <v>50</v>
      </c>
      <c r="AA565" s="233" t="s">
        <v>51</v>
      </c>
      <c r="AB565" s="17"/>
      <c r="AC565" s="233">
        <v>1</v>
      </c>
      <c r="AD565" s="233" t="s">
        <v>226</v>
      </c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260" t="s">
        <v>3538</v>
      </c>
    </row>
    <row r="566" spans="1:43">
      <c r="A566" s="6">
        <v>563</v>
      </c>
      <c r="B566" s="21" t="s">
        <v>3533</v>
      </c>
      <c r="C566" s="5" t="s">
        <v>3539</v>
      </c>
      <c r="D566" s="5" t="s">
        <v>3535</v>
      </c>
      <c r="E566" s="5" t="s">
        <v>3536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11" t="s">
        <v>46</v>
      </c>
      <c r="Q566" s="5">
        <v>137.23330000000001</v>
      </c>
      <c r="R566" s="5">
        <f t="shared" si="9"/>
        <v>137.23330000000001</v>
      </c>
      <c r="S566" s="5" t="s">
        <v>338</v>
      </c>
      <c r="T566" s="6">
        <v>563</v>
      </c>
      <c r="U566" s="259" t="s">
        <v>3537</v>
      </c>
      <c r="V566" s="232" t="s">
        <v>3539</v>
      </c>
      <c r="W566" s="232">
        <v>12922</v>
      </c>
      <c r="X566" s="232">
        <v>9407.2000000000007</v>
      </c>
      <c r="Y566" s="87" t="s">
        <v>668</v>
      </c>
      <c r="Z566" s="87" t="s">
        <v>50</v>
      </c>
      <c r="AA566" s="233" t="s">
        <v>51</v>
      </c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260" t="s">
        <v>3538</v>
      </c>
    </row>
    <row r="567" spans="1:43">
      <c r="A567" s="6">
        <v>564</v>
      </c>
      <c r="B567" s="21" t="s">
        <v>3533</v>
      </c>
      <c r="C567" s="5" t="s">
        <v>3540</v>
      </c>
      <c r="D567" s="5" t="s">
        <v>3535</v>
      </c>
      <c r="E567" s="5" t="s">
        <v>3536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11" t="s">
        <v>46</v>
      </c>
      <c r="Q567" s="5">
        <v>137.23330000000001</v>
      </c>
      <c r="R567" s="5">
        <f t="shared" si="9"/>
        <v>137.23330000000001</v>
      </c>
      <c r="S567" s="5" t="s">
        <v>338</v>
      </c>
      <c r="T567" s="6">
        <v>564</v>
      </c>
      <c r="U567" s="259" t="s">
        <v>3537</v>
      </c>
      <c r="V567" s="232" t="s">
        <v>3540</v>
      </c>
      <c r="W567" s="232">
        <v>13439.1</v>
      </c>
      <c r="X567" s="232">
        <v>9808.2999999999993</v>
      </c>
      <c r="Y567" s="87" t="s">
        <v>668</v>
      </c>
      <c r="Z567" s="87" t="s">
        <v>50</v>
      </c>
      <c r="AA567" s="233" t="s">
        <v>51</v>
      </c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260" t="s">
        <v>3538</v>
      </c>
    </row>
    <row r="568" spans="1:43">
      <c r="A568" s="6">
        <v>565</v>
      </c>
      <c r="B568" s="21" t="s">
        <v>3533</v>
      </c>
      <c r="C568" s="5" t="s">
        <v>3541</v>
      </c>
      <c r="D568" s="5" t="s">
        <v>3535</v>
      </c>
      <c r="E568" s="5" t="s">
        <v>3536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11" t="s">
        <v>46</v>
      </c>
      <c r="Q568" s="5">
        <v>137.23330000000001</v>
      </c>
      <c r="R568" s="5">
        <f t="shared" si="9"/>
        <v>137.23330000000001</v>
      </c>
      <c r="S568" s="5" t="s">
        <v>338</v>
      </c>
      <c r="T568" s="6">
        <v>565</v>
      </c>
      <c r="U568" s="259" t="s">
        <v>3537</v>
      </c>
      <c r="V568" s="232" t="s">
        <v>3541</v>
      </c>
      <c r="W568" s="232">
        <v>12972.8</v>
      </c>
      <c r="X568" s="232">
        <v>10045.5</v>
      </c>
      <c r="Y568" s="87" t="s">
        <v>668</v>
      </c>
      <c r="Z568" s="87" t="s">
        <v>50</v>
      </c>
      <c r="AA568" s="233" t="s">
        <v>51</v>
      </c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260" t="s">
        <v>3538</v>
      </c>
    </row>
    <row r="569" spans="1:43">
      <c r="A569" s="6">
        <v>566</v>
      </c>
      <c r="B569" s="21" t="s">
        <v>3533</v>
      </c>
      <c r="C569" s="5" t="s">
        <v>3542</v>
      </c>
      <c r="D569" s="5" t="s">
        <v>3535</v>
      </c>
      <c r="E569" s="5" t="s">
        <v>3536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11" t="s">
        <v>46</v>
      </c>
      <c r="Q569" s="5">
        <v>137.23330000000001</v>
      </c>
      <c r="R569" s="5">
        <f t="shared" si="9"/>
        <v>137.23330000000001</v>
      </c>
      <c r="S569" s="5" t="s">
        <v>338</v>
      </c>
      <c r="T569" s="6">
        <v>566</v>
      </c>
      <c r="U569" s="259" t="s">
        <v>3537</v>
      </c>
      <c r="V569" s="232" t="s">
        <v>3542</v>
      </c>
      <c r="W569" s="232">
        <v>12930.1</v>
      </c>
      <c r="X569" s="232">
        <v>10680</v>
      </c>
      <c r="Y569" s="87" t="s">
        <v>668</v>
      </c>
      <c r="Z569" s="87" t="s">
        <v>50</v>
      </c>
      <c r="AA569" s="233" t="s">
        <v>51</v>
      </c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260" t="s">
        <v>3538</v>
      </c>
    </row>
    <row r="570" spans="1:43">
      <c r="A570" s="6">
        <v>567</v>
      </c>
      <c r="B570" s="21" t="s">
        <v>3543</v>
      </c>
      <c r="C570" s="5" t="s">
        <v>3544</v>
      </c>
      <c r="D570" s="5" t="s">
        <v>605</v>
      </c>
      <c r="E570" s="5" t="s">
        <v>605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11" t="s">
        <v>46</v>
      </c>
      <c r="Q570" s="5" t="s">
        <v>46</v>
      </c>
      <c r="R570" s="5" t="str">
        <f t="shared" si="9"/>
        <v/>
      </c>
      <c r="S570" s="5" t="s">
        <v>46</v>
      </c>
      <c r="T570" s="6">
        <v>567</v>
      </c>
      <c r="U570" s="259" t="s">
        <v>3545</v>
      </c>
      <c r="V570" s="232" t="s">
        <v>3544</v>
      </c>
      <c r="W570" s="232">
        <v>12141</v>
      </c>
      <c r="X570" s="232">
        <v>9411.9</v>
      </c>
      <c r="Y570" s="87" t="s">
        <v>668</v>
      </c>
      <c r="Z570" s="87" t="s">
        <v>50</v>
      </c>
      <c r="AA570" s="233" t="s">
        <v>669</v>
      </c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235" t="s">
        <v>3546</v>
      </c>
    </row>
    <row r="571" spans="1:43">
      <c r="A571" s="6">
        <v>568</v>
      </c>
      <c r="B571" s="21" t="s">
        <v>3543</v>
      </c>
      <c r="C571" s="5" t="s">
        <v>3547</v>
      </c>
      <c r="D571" s="5" t="s">
        <v>605</v>
      </c>
      <c r="E571" s="5" t="s">
        <v>605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11" t="s">
        <v>46</v>
      </c>
      <c r="Q571" s="5" t="s">
        <v>46</v>
      </c>
      <c r="R571" s="5" t="str">
        <f t="shared" si="9"/>
        <v/>
      </c>
      <c r="S571" s="5" t="s">
        <v>46</v>
      </c>
      <c r="T571" s="6">
        <v>568</v>
      </c>
      <c r="U571" s="259" t="s">
        <v>3545</v>
      </c>
      <c r="V571" s="232" t="s">
        <v>3547</v>
      </c>
      <c r="W571" s="232">
        <v>12527.8</v>
      </c>
      <c r="X571" s="232">
        <v>10277.200000000001</v>
      </c>
      <c r="Y571" s="87" t="s">
        <v>668</v>
      </c>
      <c r="Z571" s="87" t="s">
        <v>50</v>
      </c>
      <c r="AA571" s="233" t="s">
        <v>669</v>
      </c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235" t="s">
        <v>3546</v>
      </c>
    </row>
    <row r="572" spans="1:43">
      <c r="A572" s="6">
        <v>569</v>
      </c>
      <c r="B572" s="21" t="s">
        <v>3548</v>
      </c>
      <c r="C572" s="5" t="s">
        <v>3549</v>
      </c>
      <c r="D572" s="5" t="s">
        <v>605</v>
      </c>
      <c r="E572" s="5" t="s">
        <v>605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11" t="s">
        <v>46</v>
      </c>
      <c r="Q572" s="5" t="s">
        <v>46</v>
      </c>
      <c r="R572" s="5" t="str">
        <f t="shared" si="9"/>
        <v/>
      </c>
      <c r="S572" s="5" t="s">
        <v>46</v>
      </c>
      <c r="T572" s="6">
        <v>569</v>
      </c>
      <c r="U572" s="259" t="s">
        <v>3550</v>
      </c>
      <c r="V572" s="232" t="s">
        <v>3549</v>
      </c>
      <c r="W572" s="232">
        <v>2324.1</v>
      </c>
      <c r="X572" s="232">
        <v>0</v>
      </c>
      <c r="Y572" s="87" t="s">
        <v>668</v>
      </c>
      <c r="Z572" s="87" t="s">
        <v>50</v>
      </c>
      <c r="AA572" s="233" t="s">
        <v>669</v>
      </c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235" t="s">
        <v>3551</v>
      </c>
    </row>
    <row r="573" spans="1:43">
      <c r="A573" s="6">
        <v>570</v>
      </c>
      <c r="B573" s="21" t="s">
        <v>3552</v>
      </c>
      <c r="C573" s="5" t="s">
        <v>3553</v>
      </c>
      <c r="D573" s="5" t="s">
        <v>605</v>
      </c>
      <c r="E573" s="5" t="s">
        <v>605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11" t="s">
        <v>46</v>
      </c>
      <c r="Q573" s="5" t="s">
        <v>46</v>
      </c>
      <c r="R573" s="5" t="str">
        <f t="shared" si="9"/>
        <v/>
      </c>
      <c r="S573" s="5" t="s">
        <v>46</v>
      </c>
      <c r="T573" s="6">
        <v>570</v>
      </c>
      <c r="U573" s="259" t="s">
        <v>3554</v>
      </c>
      <c r="V573" s="232" t="s">
        <v>3553</v>
      </c>
      <c r="W573" s="232">
        <v>-4779.2</v>
      </c>
      <c r="X573" s="232">
        <v>1353.8</v>
      </c>
      <c r="Y573" s="87" t="s">
        <v>668</v>
      </c>
      <c r="Z573" s="87" t="s">
        <v>50</v>
      </c>
      <c r="AA573" s="233" t="s">
        <v>669</v>
      </c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235" t="s">
        <v>3555</v>
      </c>
    </row>
    <row r="574" spans="1:43">
      <c r="A574" s="6">
        <v>571</v>
      </c>
      <c r="B574" s="21" t="s">
        <v>3556</v>
      </c>
      <c r="C574" s="5" t="s">
        <v>3557</v>
      </c>
      <c r="D574" s="5" t="s">
        <v>605</v>
      </c>
      <c r="E574" s="5" t="s">
        <v>605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11" t="s">
        <v>46</v>
      </c>
      <c r="Q574" s="5" t="s">
        <v>46</v>
      </c>
      <c r="R574" s="5" t="str">
        <f t="shared" si="9"/>
        <v/>
      </c>
      <c r="S574" s="5" t="s">
        <v>46</v>
      </c>
      <c r="T574" s="6">
        <v>571</v>
      </c>
      <c r="U574" s="259" t="s">
        <v>3558</v>
      </c>
      <c r="V574" s="232" t="s">
        <v>3557</v>
      </c>
      <c r="W574" s="232">
        <v>5503.1</v>
      </c>
      <c r="X574" s="232">
        <v>-1353.8</v>
      </c>
      <c r="Y574" s="87" t="s">
        <v>668</v>
      </c>
      <c r="Z574" s="87" t="s">
        <v>50</v>
      </c>
      <c r="AA574" s="233" t="s">
        <v>669</v>
      </c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259" t="s">
        <v>3559</v>
      </c>
    </row>
    <row r="575" spans="1:43">
      <c r="A575" s="6">
        <v>572</v>
      </c>
      <c r="B575" s="21" t="s">
        <v>3560</v>
      </c>
      <c r="C575" s="5" t="s">
        <v>3561</v>
      </c>
      <c r="D575" s="5" t="s">
        <v>605</v>
      </c>
      <c r="E575" s="5" t="s">
        <v>605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11" t="s">
        <v>46</v>
      </c>
      <c r="Q575" s="5" t="s">
        <v>46</v>
      </c>
      <c r="R575" s="5" t="str">
        <f t="shared" si="9"/>
        <v/>
      </c>
      <c r="S575" s="5" t="s">
        <v>46</v>
      </c>
      <c r="T575" s="6">
        <v>572</v>
      </c>
      <c r="U575" s="259" t="s">
        <v>3562</v>
      </c>
      <c r="V575" s="232" t="s">
        <v>3561</v>
      </c>
      <c r="W575" s="232">
        <v>0</v>
      </c>
      <c r="X575" s="232">
        <v>-1549.4</v>
      </c>
      <c r="Y575" s="87" t="s">
        <v>668</v>
      </c>
      <c r="Z575" s="87" t="s">
        <v>50</v>
      </c>
      <c r="AA575" s="233" t="s">
        <v>669</v>
      </c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235" t="s">
        <v>3563</v>
      </c>
    </row>
    <row r="576" spans="1:43">
      <c r="A576" s="6">
        <v>573</v>
      </c>
      <c r="B576" s="21" t="s">
        <v>3560</v>
      </c>
      <c r="C576" s="5" t="s">
        <v>3564</v>
      </c>
      <c r="D576" s="5" t="s">
        <v>605</v>
      </c>
      <c r="E576" s="5" t="s">
        <v>605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11" t="s">
        <v>46</v>
      </c>
      <c r="Q576" s="5" t="s">
        <v>46</v>
      </c>
      <c r="R576" s="5" t="str">
        <f t="shared" si="9"/>
        <v/>
      </c>
      <c r="S576" s="5" t="s">
        <v>46</v>
      </c>
      <c r="T576" s="6">
        <v>573</v>
      </c>
      <c r="U576" s="259" t="s">
        <v>3562</v>
      </c>
      <c r="V576" s="232" t="s">
        <v>3564</v>
      </c>
      <c r="W576" s="232">
        <v>-774.7</v>
      </c>
      <c r="X576" s="232">
        <v>-1549.4</v>
      </c>
      <c r="Y576" s="87" t="s">
        <v>668</v>
      </c>
      <c r="Z576" s="87" t="s">
        <v>50</v>
      </c>
      <c r="AA576" s="233" t="s">
        <v>669</v>
      </c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235" t="s">
        <v>3563</v>
      </c>
    </row>
    <row r="577" spans="1:43">
      <c r="A577" s="6">
        <v>574</v>
      </c>
      <c r="B577" s="21" t="s">
        <v>3560</v>
      </c>
      <c r="C577" s="5" t="s">
        <v>3565</v>
      </c>
      <c r="D577" s="5" t="s">
        <v>605</v>
      </c>
      <c r="E577" s="5" t="s">
        <v>605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11" t="s">
        <v>46</v>
      </c>
      <c r="Q577" s="5" t="s">
        <v>46</v>
      </c>
      <c r="R577" s="5" t="str">
        <f t="shared" si="9"/>
        <v/>
      </c>
      <c r="S577" s="5" t="s">
        <v>46</v>
      </c>
      <c r="T577" s="6">
        <v>574</v>
      </c>
      <c r="U577" s="259" t="s">
        <v>3562</v>
      </c>
      <c r="V577" s="232" t="s">
        <v>3565</v>
      </c>
      <c r="W577" s="232">
        <v>-1549.4</v>
      </c>
      <c r="X577" s="232">
        <v>-1549.4</v>
      </c>
      <c r="Y577" s="87" t="s">
        <v>668</v>
      </c>
      <c r="Z577" s="87" t="s">
        <v>50</v>
      </c>
      <c r="AA577" s="233" t="s">
        <v>669</v>
      </c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235" t="s">
        <v>3563</v>
      </c>
    </row>
    <row r="578" spans="1:43">
      <c r="A578" s="6">
        <v>575</v>
      </c>
      <c r="B578" s="21" t="s">
        <v>3560</v>
      </c>
      <c r="C578" s="5" t="s">
        <v>3566</v>
      </c>
      <c r="D578" s="5" t="s">
        <v>605</v>
      </c>
      <c r="E578" s="5" t="s">
        <v>605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11" t="s">
        <v>46</v>
      </c>
      <c r="Q578" s="5" t="s">
        <v>46</v>
      </c>
      <c r="R578" s="5" t="str">
        <f t="shared" si="9"/>
        <v/>
      </c>
      <c r="S578" s="5" t="s">
        <v>46</v>
      </c>
      <c r="T578" s="6">
        <v>575</v>
      </c>
      <c r="U578" s="259" t="s">
        <v>3562</v>
      </c>
      <c r="V578" s="232" t="s">
        <v>3566</v>
      </c>
      <c r="W578" s="232">
        <v>-2324.1</v>
      </c>
      <c r="X578" s="232">
        <v>-1549.4</v>
      </c>
      <c r="Y578" s="87" t="s">
        <v>668</v>
      </c>
      <c r="Z578" s="87" t="s">
        <v>50</v>
      </c>
      <c r="AA578" s="233" t="s">
        <v>669</v>
      </c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235" t="s">
        <v>3563</v>
      </c>
    </row>
    <row r="579" spans="1:43">
      <c r="A579" s="6">
        <v>576</v>
      </c>
      <c r="B579" s="21" t="s">
        <v>3560</v>
      </c>
      <c r="C579" s="5" t="s">
        <v>3567</v>
      </c>
      <c r="D579" s="5" t="s">
        <v>605</v>
      </c>
      <c r="E579" s="5" t="s">
        <v>605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11" t="s">
        <v>46</v>
      </c>
      <c r="Q579" s="5" t="s">
        <v>46</v>
      </c>
      <c r="R579" s="5" t="str">
        <f t="shared" si="9"/>
        <v/>
      </c>
      <c r="S579" s="5" t="s">
        <v>46</v>
      </c>
      <c r="T579" s="6">
        <v>576</v>
      </c>
      <c r="U579" s="259" t="s">
        <v>3562</v>
      </c>
      <c r="V579" s="232" t="s">
        <v>3567</v>
      </c>
      <c r="W579" s="232">
        <v>-3098.8</v>
      </c>
      <c r="X579" s="232">
        <v>-1549.4</v>
      </c>
      <c r="Y579" s="87" t="s">
        <v>668</v>
      </c>
      <c r="Z579" s="87" t="s">
        <v>50</v>
      </c>
      <c r="AA579" s="233" t="s">
        <v>669</v>
      </c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235" t="s">
        <v>3563</v>
      </c>
    </row>
    <row r="580" spans="1:43">
      <c r="A580" s="6">
        <v>577</v>
      </c>
      <c r="B580" s="21" t="s">
        <v>3560</v>
      </c>
      <c r="C580" s="5" t="s">
        <v>3568</v>
      </c>
      <c r="D580" s="5" t="s">
        <v>605</v>
      </c>
      <c r="E580" s="5" t="s">
        <v>605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11" t="s">
        <v>46</v>
      </c>
      <c r="Q580" s="5" t="s">
        <v>46</v>
      </c>
      <c r="R580" s="5" t="str">
        <f t="shared" si="9"/>
        <v/>
      </c>
      <c r="S580" s="5" t="s">
        <v>46</v>
      </c>
      <c r="T580" s="6">
        <v>577</v>
      </c>
      <c r="U580" s="259" t="s">
        <v>3562</v>
      </c>
      <c r="V580" s="232" t="s">
        <v>3568</v>
      </c>
      <c r="W580" s="232">
        <v>-3873.5</v>
      </c>
      <c r="X580" s="232">
        <v>-1549.4</v>
      </c>
      <c r="Y580" s="87" t="s">
        <v>668</v>
      </c>
      <c r="Z580" s="87" t="s">
        <v>50</v>
      </c>
      <c r="AA580" s="233" t="s">
        <v>669</v>
      </c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235" t="s">
        <v>3563</v>
      </c>
    </row>
    <row r="581" spans="1:43">
      <c r="A581" s="6">
        <v>578</v>
      </c>
      <c r="B581" s="21" t="s">
        <v>3560</v>
      </c>
      <c r="C581" s="5" t="s">
        <v>3569</v>
      </c>
      <c r="D581" s="5" t="s">
        <v>605</v>
      </c>
      <c r="E581" s="5" t="s">
        <v>605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11" t="s">
        <v>46</v>
      </c>
      <c r="Q581" s="5" t="s">
        <v>46</v>
      </c>
      <c r="R581" s="5" t="str">
        <f t="shared" ref="R581:R644" si="10">IF(AND(P581="",Q581=""),"",SUM(P581:Q581))</f>
        <v/>
      </c>
      <c r="S581" s="5" t="s">
        <v>46</v>
      </c>
      <c r="T581" s="6">
        <v>578</v>
      </c>
      <c r="U581" s="259" t="s">
        <v>3562</v>
      </c>
      <c r="V581" s="232" t="s">
        <v>3569</v>
      </c>
      <c r="W581" s="232">
        <v>-3873.5</v>
      </c>
      <c r="X581" s="232">
        <v>-774.7</v>
      </c>
      <c r="Y581" s="87" t="s">
        <v>668</v>
      </c>
      <c r="Z581" s="87" t="s">
        <v>50</v>
      </c>
      <c r="AA581" s="233" t="s">
        <v>669</v>
      </c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235" t="s">
        <v>3563</v>
      </c>
    </row>
    <row r="582" spans="1:43">
      <c r="A582" s="6">
        <v>579</v>
      </c>
      <c r="B582" s="21" t="s">
        <v>3560</v>
      </c>
      <c r="C582" s="5" t="s">
        <v>3570</v>
      </c>
      <c r="D582" s="5" t="s">
        <v>605</v>
      </c>
      <c r="E582" s="5" t="s">
        <v>605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11" t="s">
        <v>46</v>
      </c>
      <c r="Q582" s="5" t="s">
        <v>46</v>
      </c>
      <c r="R582" s="5" t="str">
        <f t="shared" si="10"/>
        <v/>
      </c>
      <c r="S582" s="5" t="s">
        <v>46</v>
      </c>
      <c r="T582" s="6">
        <v>579</v>
      </c>
      <c r="U582" s="259" t="s">
        <v>3562</v>
      </c>
      <c r="V582" s="232" t="s">
        <v>3570</v>
      </c>
      <c r="W582" s="232">
        <v>-3873.5</v>
      </c>
      <c r="X582" s="232">
        <v>0</v>
      </c>
      <c r="Y582" s="87" t="s">
        <v>668</v>
      </c>
      <c r="Z582" s="87" t="s">
        <v>50</v>
      </c>
      <c r="AA582" s="233" t="s">
        <v>669</v>
      </c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235" t="s">
        <v>3563</v>
      </c>
    </row>
    <row r="583" spans="1:43">
      <c r="A583" s="6">
        <v>580</v>
      </c>
      <c r="B583" s="21" t="s">
        <v>3560</v>
      </c>
      <c r="C583" s="5" t="s">
        <v>3571</v>
      </c>
      <c r="D583" s="5" t="s">
        <v>605</v>
      </c>
      <c r="E583" s="5" t="s">
        <v>605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11" t="s">
        <v>46</v>
      </c>
      <c r="Q583" s="5" t="s">
        <v>46</v>
      </c>
      <c r="R583" s="5" t="str">
        <f t="shared" si="10"/>
        <v/>
      </c>
      <c r="S583" s="5" t="s">
        <v>46</v>
      </c>
      <c r="T583" s="6">
        <v>580</v>
      </c>
      <c r="U583" s="259" t="s">
        <v>3562</v>
      </c>
      <c r="V583" s="232" t="s">
        <v>3571</v>
      </c>
      <c r="W583" s="232">
        <v>-3873.5</v>
      </c>
      <c r="X583" s="232">
        <v>774.7</v>
      </c>
      <c r="Y583" s="87" t="s">
        <v>668</v>
      </c>
      <c r="Z583" s="87" t="s">
        <v>50</v>
      </c>
      <c r="AA583" s="233" t="s">
        <v>669</v>
      </c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235" t="s">
        <v>3563</v>
      </c>
    </row>
    <row r="584" spans="1:43">
      <c r="A584" s="6">
        <v>581</v>
      </c>
      <c r="B584" s="21" t="s">
        <v>3560</v>
      </c>
      <c r="C584" s="5" t="s">
        <v>3572</v>
      </c>
      <c r="D584" s="5" t="s">
        <v>605</v>
      </c>
      <c r="E584" s="5" t="s">
        <v>605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11" t="s">
        <v>46</v>
      </c>
      <c r="Q584" s="5" t="s">
        <v>46</v>
      </c>
      <c r="R584" s="5" t="str">
        <f t="shared" si="10"/>
        <v/>
      </c>
      <c r="S584" s="5" t="s">
        <v>46</v>
      </c>
      <c r="T584" s="6">
        <v>581</v>
      </c>
      <c r="U584" s="259" t="s">
        <v>3562</v>
      </c>
      <c r="V584" s="232" t="s">
        <v>3572</v>
      </c>
      <c r="W584" s="232">
        <v>-3873.5</v>
      </c>
      <c r="X584" s="232">
        <v>1549.4</v>
      </c>
      <c r="Y584" s="87" t="s">
        <v>668</v>
      </c>
      <c r="Z584" s="87" t="s">
        <v>50</v>
      </c>
      <c r="AA584" s="233" t="s">
        <v>669</v>
      </c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235" t="s">
        <v>3563</v>
      </c>
    </row>
    <row r="585" spans="1:43">
      <c r="A585" s="6">
        <v>582</v>
      </c>
      <c r="B585" s="21" t="s">
        <v>3560</v>
      </c>
      <c r="C585" s="5" t="s">
        <v>3573</v>
      </c>
      <c r="D585" s="5" t="s">
        <v>605</v>
      </c>
      <c r="E585" s="5" t="s">
        <v>605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11" t="s">
        <v>46</v>
      </c>
      <c r="Q585" s="5" t="s">
        <v>46</v>
      </c>
      <c r="R585" s="5" t="str">
        <f t="shared" si="10"/>
        <v/>
      </c>
      <c r="S585" s="5" t="s">
        <v>46</v>
      </c>
      <c r="T585" s="6">
        <v>582</v>
      </c>
      <c r="U585" s="259" t="s">
        <v>3562</v>
      </c>
      <c r="V585" s="232" t="s">
        <v>3573</v>
      </c>
      <c r="W585" s="232">
        <v>-579.1</v>
      </c>
      <c r="X585" s="232">
        <v>2525.3000000000002</v>
      </c>
      <c r="Y585" s="87" t="s">
        <v>668</v>
      </c>
      <c r="Z585" s="87" t="s">
        <v>50</v>
      </c>
      <c r="AA585" s="233" t="s">
        <v>669</v>
      </c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235" t="s">
        <v>3563</v>
      </c>
    </row>
    <row r="586" spans="1:43">
      <c r="A586" s="6">
        <v>583</v>
      </c>
      <c r="B586" s="21" t="s">
        <v>3560</v>
      </c>
      <c r="C586" s="5" t="s">
        <v>3574</v>
      </c>
      <c r="D586" s="5" t="s">
        <v>605</v>
      </c>
      <c r="E586" s="5" t="s">
        <v>605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11" t="s">
        <v>46</v>
      </c>
      <c r="Q586" s="5" t="s">
        <v>46</v>
      </c>
      <c r="R586" s="5" t="str">
        <f t="shared" si="10"/>
        <v/>
      </c>
      <c r="S586" s="5" t="s">
        <v>46</v>
      </c>
      <c r="T586" s="6">
        <v>583</v>
      </c>
      <c r="U586" s="259" t="s">
        <v>3562</v>
      </c>
      <c r="V586" s="232" t="s">
        <v>3574</v>
      </c>
      <c r="W586" s="232">
        <v>-1353.8</v>
      </c>
      <c r="X586" s="232">
        <v>2525.3000000000002</v>
      </c>
      <c r="Y586" s="87" t="s">
        <v>668</v>
      </c>
      <c r="Z586" s="87" t="s">
        <v>50</v>
      </c>
      <c r="AA586" s="233" t="s">
        <v>669</v>
      </c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235" t="s">
        <v>3563</v>
      </c>
    </row>
    <row r="587" spans="1:43">
      <c r="A587" s="6">
        <v>584</v>
      </c>
      <c r="B587" s="21" t="s">
        <v>3560</v>
      </c>
      <c r="C587" s="5" t="s">
        <v>3575</v>
      </c>
      <c r="D587" s="5" t="s">
        <v>605</v>
      </c>
      <c r="E587" s="5" t="s">
        <v>605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11" t="s">
        <v>46</v>
      </c>
      <c r="Q587" s="5" t="s">
        <v>46</v>
      </c>
      <c r="R587" s="5" t="str">
        <f t="shared" si="10"/>
        <v/>
      </c>
      <c r="S587" s="5" t="s">
        <v>46</v>
      </c>
      <c r="T587" s="6">
        <v>584</v>
      </c>
      <c r="U587" s="259" t="s">
        <v>3562</v>
      </c>
      <c r="V587" s="232" t="s">
        <v>3575</v>
      </c>
      <c r="W587" s="232">
        <v>-2344.5</v>
      </c>
      <c r="X587" s="232">
        <v>2525.3000000000002</v>
      </c>
      <c r="Y587" s="87" t="s">
        <v>668</v>
      </c>
      <c r="Z587" s="87" t="s">
        <v>50</v>
      </c>
      <c r="AA587" s="233" t="s">
        <v>669</v>
      </c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235" t="s">
        <v>3563</v>
      </c>
    </row>
    <row r="588" spans="1:43">
      <c r="A588" s="6">
        <v>585</v>
      </c>
      <c r="B588" s="21" t="s">
        <v>3560</v>
      </c>
      <c r="C588" s="5" t="s">
        <v>3576</v>
      </c>
      <c r="D588" s="5" t="s">
        <v>605</v>
      </c>
      <c r="E588" s="5" t="s">
        <v>605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11" t="s">
        <v>46</v>
      </c>
      <c r="Q588" s="5" t="s">
        <v>46</v>
      </c>
      <c r="R588" s="5" t="str">
        <f t="shared" si="10"/>
        <v/>
      </c>
      <c r="S588" s="5" t="s">
        <v>46</v>
      </c>
      <c r="T588" s="6">
        <v>585</v>
      </c>
      <c r="U588" s="259" t="s">
        <v>3562</v>
      </c>
      <c r="V588" s="232" t="s">
        <v>3576</v>
      </c>
      <c r="W588" s="232">
        <v>-3335.2</v>
      </c>
      <c r="X588" s="232">
        <v>2525.3000000000002</v>
      </c>
      <c r="Y588" s="87" t="s">
        <v>668</v>
      </c>
      <c r="Z588" s="87" t="s">
        <v>50</v>
      </c>
      <c r="AA588" s="233" t="s">
        <v>669</v>
      </c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235" t="s">
        <v>3563</v>
      </c>
    </row>
    <row r="589" spans="1:43">
      <c r="A589" s="6">
        <v>586</v>
      </c>
      <c r="B589" s="21" t="s">
        <v>3560</v>
      </c>
      <c r="C589" s="5" t="s">
        <v>3577</v>
      </c>
      <c r="D589" s="5" t="s">
        <v>605</v>
      </c>
      <c r="E589" s="5" t="s">
        <v>605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11" t="s">
        <v>46</v>
      </c>
      <c r="Q589" s="5" t="s">
        <v>46</v>
      </c>
      <c r="R589" s="5" t="str">
        <f t="shared" si="10"/>
        <v/>
      </c>
      <c r="S589" s="5" t="s">
        <v>46</v>
      </c>
      <c r="T589" s="6">
        <v>586</v>
      </c>
      <c r="U589" s="259" t="s">
        <v>3562</v>
      </c>
      <c r="V589" s="232" t="s">
        <v>3577</v>
      </c>
      <c r="W589" s="232">
        <v>0</v>
      </c>
      <c r="X589" s="232">
        <v>-2887.3</v>
      </c>
      <c r="Y589" s="87" t="s">
        <v>668</v>
      </c>
      <c r="Z589" s="87" t="s">
        <v>50</v>
      </c>
      <c r="AA589" s="233" t="s">
        <v>669</v>
      </c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235" t="s">
        <v>3563</v>
      </c>
    </row>
    <row r="590" spans="1:43">
      <c r="A590" s="6">
        <v>587</v>
      </c>
      <c r="B590" s="21" t="s">
        <v>3560</v>
      </c>
      <c r="C590" s="5" t="s">
        <v>3578</v>
      </c>
      <c r="D590" s="5" t="s">
        <v>605</v>
      </c>
      <c r="E590" s="5" t="s">
        <v>605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11" t="s">
        <v>46</v>
      </c>
      <c r="Q590" s="5" t="s">
        <v>46</v>
      </c>
      <c r="R590" s="5" t="str">
        <f t="shared" si="10"/>
        <v/>
      </c>
      <c r="S590" s="5" t="s">
        <v>46</v>
      </c>
      <c r="T590" s="6">
        <v>587</v>
      </c>
      <c r="U590" s="259" t="s">
        <v>3562</v>
      </c>
      <c r="V590" s="232" t="s">
        <v>3578</v>
      </c>
      <c r="W590" s="232">
        <v>-579.1</v>
      </c>
      <c r="X590" s="232">
        <v>-2525.3000000000002</v>
      </c>
      <c r="Y590" s="87" t="s">
        <v>668</v>
      </c>
      <c r="Z590" s="87" t="s">
        <v>50</v>
      </c>
      <c r="AA590" s="233" t="s">
        <v>669</v>
      </c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235" t="s">
        <v>3563</v>
      </c>
    </row>
    <row r="591" spans="1:43">
      <c r="A591" s="6">
        <v>588</v>
      </c>
      <c r="B591" s="21" t="s">
        <v>3560</v>
      </c>
      <c r="C591" s="5" t="s">
        <v>3579</v>
      </c>
      <c r="D591" s="5" t="s">
        <v>605</v>
      </c>
      <c r="E591" s="5" t="s">
        <v>605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11" t="s">
        <v>46</v>
      </c>
      <c r="Q591" s="5" t="s">
        <v>46</v>
      </c>
      <c r="R591" s="5" t="str">
        <f t="shared" si="10"/>
        <v/>
      </c>
      <c r="S591" s="5" t="s">
        <v>46</v>
      </c>
      <c r="T591" s="6">
        <v>588</v>
      </c>
      <c r="U591" s="259" t="s">
        <v>3562</v>
      </c>
      <c r="V591" s="232" t="s">
        <v>3579</v>
      </c>
      <c r="W591" s="232">
        <v>-1353.8</v>
      </c>
      <c r="X591" s="232">
        <v>-2525.3000000000002</v>
      </c>
      <c r="Y591" s="87" t="s">
        <v>668</v>
      </c>
      <c r="Z591" s="87" t="s">
        <v>50</v>
      </c>
      <c r="AA591" s="233" t="s">
        <v>669</v>
      </c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235" t="s">
        <v>3563</v>
      </c>
    </row>
    <row r="592" spans="1:43">
      <c r="A592" s="6">
        <v>589</v>
      </c>
      <c r="B592" s="21" t="s">
        <v>3560</v>
      </c>
      <c r="C592" s="5" t="s">
        <v>3580</v>
      </c>
      <c r="D592" s="5" t="s">
        <v>605</v>
      </c>
      <c r="E592" s="5" t="s">
        <v>605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11" t="s">
        <v>46</v>
      </c>
      <c r="Q592" s="5" t="s">
        <v>46</v>
      </c>
      <c r="R592" s="5" t="str">
        <f t="shared" si="10"/>
        <v/>
      </c>
      <c r="S592" s="5" t="s">
        <v>46</v>
      </c>
      <c r="T592" s="6">
        <v>589</v>
      </c>
      <c r="U592" s="259" t="s">
        <v>3562</v>
      </c>
      <c r="V592" s="232" t="s">
        <v>3580</v>
      </c>
      <c r="W592" s="232">
        <v>-2344.5</v>
      </c>
      <c r="X592" s="232">
        <v>-2525.3000000000002</v>
      </c>
      <c r="Y592" s="87" t="s">
        <v>668</v>
      </c>
      <c r="Z592" s="87" t="s">
        <v>50</v>
      </c>
      <c r="AA592" s="233" t="s">
        <v>669</v>
      </c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235" t="s">
        <v>3563</v>
      </c>
    </row>
    <row r="593" spans="1:43">
      <c r="A593" s="6">
        <v>590</v>
      </c>
      <c r="B593" s="21" t="s">
        <v>3560</v>
      </c>
      <c r="C593" s="5" t="s">
        <v>3581</v>
      </c>
      <c r="D593" s="5" t="s">
        <v>605</v>
      </c>
      <c r="E593" s="5" t="s">
        <v>605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11" t="s">
        <v>46</v>
      </c>
      <c r="Q593" s="5" t="s">
        <v>46</v>
      </c>
      <c r="R593" s="5" t="str">
        <f t="shared" si="10"/>
        <v/>
      </c>
      <c r="S593" s="5" t="s">
        <v>46</v>
      </c>
      <c r="T593" s="6">
        <v>590</v>
      </c>
      <c r="U593" s="259" t="s">
        <v>3562</v>
      </c>
      <c r="V593" s="232" t="s">
        <v>3581</v>
      </c>
      <c r="W593" s="232">
        <v>-3335.2</v>
      </c>
      <c r="X593" s="232">
        <v>-2525.3000000000002</v>
      </c>
      <c r="Y593" s="87" t="s">
        <v>668</v>
      </c>
      <c r="Z593" s="87" t="s">
        <v>50</v>
      </c>
      <c r="AA593" s="233" t="s">
        <v>669</v>
      </c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235" t="s">
        <v>3563</v>
      </c>
    </row>
    <row r="594" spans="1:43">
      <c r="A594" s="6">
        <v>591</v>
      </c>
      <c r="B594" s="21" t="s">
        <v>3582</v>
      </c>
      <c r="C594" s="5" t="s">
        <v>3583</v>
      </c>
      <c r="D594" s="5" t="s">
        <v>605</v>
      </c>
      <c r="E594" s="5" t="s">
        <v>605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11" t="s">
        <v>46</v>
      </c>
      <c r="Q594" s="5" t="s">
        <v>46</v>
      </c>
      <c r="R594" s="5" t="str">
        <f t="shared" si="10"/>
        <v/>
      </c>
      <c r="S594" s="5" t="s">
        <v>46</v>
      </c>
      <c r="T594" s="6">
        <v>591</v>
      </c>
      <c r="U594" s="259" t="s">
        <v>3584</v>
      </c>
      <c r="V594" s="232" t="s">
        <v>3583</v>
      </c>
      <c r="W594" s="232">
        <v>-12922</v>
      </c>
      <c r="X594" s="232">
        <v>9407.2000000000007</v>
      </c>
      <c r="Y594" s="87" t="s">
        <v>668</v>
      </c>
      <c r="Z594" s="87" t="s">
        <v>50</v>
      </c>
      <c r="AA594" s="233" t="s">
        <v>669</v>
      </c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235" t="s">
        <v>3585</v>
      </c>
    </row>
    <row r="595" spans="1:43">
      <c r="A595" s="6">
        <v>592</v>
      </c>
      <c r="B595" s="21" t="s">
        <v>3582</v>
      </c>
      <c r="C595" s="5" t="s">
        <v>3586</v>
      </c>
      <c r="D595" s="5" t="s">
        <v>605</v>
      </c>
      <c r="E595" s="5" t="s">
        <v>605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11" t="s">
        <v>46</v>
      </c>
      <c r="Q595" s="5" t="s">
        <v>46</v>
      </c>
      <c r="R595" s="5" t="str">
        <f t="shared" si="10"/>
        <v/>
      </c>
      <c r="S595" s="5" t="s">
        <v>46</v>
      </c>
      <c r="T595" s="6">
        <v>592</v>
      </c>
      <c r="U595" s="259" t="s">
        <v>3584</v>
      </c>
      <c r="V595" s="232" t="s">
        <v>3586</v>
      </c>
      <c r="W595" s="232">
        <v>-12972.8</v>
      </c>
      <c r="X595" s="232">
        <v>10045.5</v>
      </c>
      <c r="Y595" s="87" t="s">
        <v>668</v>
      </c>
      <c r="Z595" s="87" t="s">
        <v>50</v>
      </c>
      <c r="AA595" s="233" t="s">
        <v>669</v>
      </c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235" t="s">
        <v>3585</v>
      </c>
    </row>
    <row r="596" spans="1:43">
      <c r="A596" s="6">
        <v>593</v>
      </c>
      <c r="B596" s="21" t="s">
        <v>3582</v>
      </c>
      <c r="C596" s="5" t="s">
        <v>3587</v>
      </c>
      <c r="D596" s="5" t="s">
        <v>605</v>
      </c>
      <c r="E596" s="5" t="s">
        <v>605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11" t="s">
        <v>46</v>
      </c>
      <c r="Q596" s="5" t="s">
        <v>46</v>
      </c>
      <c r="R596" s="5" t="str">
        <f t="shared" si="10"/>
        <v/>
      </c>
      <c r="S596" s="5" t="s">
        <v>46</v>
      </c>
      <c r="T596" s="6">
        <v>593</v>
      </c>
      <c r="U596" s="259" t="s">
        <v>3584</v>
      </c>
      <c r="V596" s="232" t="s">
        <v>3587</v>
      </c>
      <c r="W596" s="232">
        <v>-13439.1</v>
      </c>
      <c r="X596" s="232">
        <v>9808.2999999999993</v>
      </c>
      <c r="Y596" s="87" t="s">
        <v>668</v>
      </c>
      <c r="Z596" s="87" t="s">
        <v>50</v>
      </c>
      <c r="AA596" s="233" t="s">
        <v>669</v>
      </c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235" t="s">
        <v>3585</v>
      </c>
    </row>
    <row r="597" spans="1:43">
      <c r="A597" s="6">
        <v>594</v>
      </c>
      <c r="B597" s="21" t="s">
        <v>3582</v>
      </c>
      <c r="C597" s="5" t="s">
        <v>3588</v>
      </c>
      <c r="D597" s="5" t="s">
        <v>605</v>
      </c>
      <c r="E597" s="5" t="s">
        <v>605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11" t="s">
        <v>46</v>
      </c>
      <c r="Q597" s="5" t="s">
        <v>46</v>
      </c>
      <c r="R597" s="5" t="str">
        <f t="shared" si="10"/>
        <v/>
      </c>
      <c r="S597" s="5" t="s">
        <v>46</v>
      </c>
      <c r="T597" s="6">
        <v>594</v>
      </c>
      <c r="U597" s="259" t="s">
        <v>3584</v>
      </c>
      <c r="V597" s="232" t="s">
        <v>3588</v>
      </c>
      <c r="W597" s="232">
        <v>-13439.1</v>
      </c>
      <c r="X597" s="232">
        <v>10308.9</v>
      </c>
      <c r="Y597" s="87" t="s">
        <v>668</v>
      </c>
      <c r="Z597" s="87" t="s">
        <v>50</v>
      </c>
      <c r="AA597" s="233" t="s">
        <v>669</v>
      </c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235" t="s">
        <v>3585</v>
      </c>
    </row>
    <row r="598" spans="1:43">
      <c r="A598" s="6">
        <v>595</v>
      </c>
      <c r="B598" s="21" t="s">
        <v>3589</v>
      </c>
      <c r="C598" s="5" t="s">
        <v>3590</v>
      </c>
      <c r="D598" s="5" t="s">
        <v>605</v>
      </c>
      <c r="E598" s="5" t="s">
        <v>605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11" t="s">
        <v>46</v>
      </c>
      <c r="Q598" s="5" t="s">
        <v>46</v>
      </c>
      <c r="R598" s="5" t="str">
        <f t="shared" si="10"/>
        <v/>
      </c>
      <c r="S598" s="5" t="s">
        <v>46</v>
      </c>
      <c r="T598" s="6">
        <v>595</v>
      </c>
      <c r="U598" s="259" t="s">
        <v>3591</v>
      </c>
      <c r="V598" s="232" t="s">
        <v>3590</v>
      </c>
      <c r="W598" s="232">
        <v>1353.8</v>
      </c>
      <c r="X598" s="232">
        <v>3249.2</v>
      </c>
      <c r="Y598" s="87" t="s">
        <v>668</v>
      </c>
      <c r="Z598" s="87" t="s">
        <v>50</v>
      </c>
      <c r="AA598" s="233" t="s">
        <v>669</v>
      </c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235" t="s">
        <v>3592</v>
      </c>
    </row>
    <row r="599" spans="1:43">
      <c r="A599" s="6">
        <v>596</v>
      </c>
      <c r="B599" s="21" t="s">
        <v>3593</v>
      </c>
      <c r="C599" s="5" t="s">
        <v>3594</v>
      </c>
      <c r="D599" s="5" t="s">
        <v>605</v>
      </c>
      <c r="E599" s="5" t="s">
        <v>605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11" t="s">
        <v>46</v>
      </c>
      <c r="Q599" s="5" t="s">
        <v>46</v>
      </c>
      <c r="R599" s="5" t="str">
        <f t="shared" si="10"/>
        <v/>
      </c>
      <c r="S599" s="5" t="s">
        <v>46</v>
      </c>
      <c r="T599" s="6">
        <v>596</v>
      </c>
      <c r="U599" s="259" t="s">
        <v>3595</v>
      </c>
      <c r="V599" s="232" t="s">
        <v>3594</v>
      </c>
      <c r="W599" s="232">
        <v>-5503.1</v>
      </c>
      <c r="X599" s="232">
        <v>-3335.2</v>
      </c>
      <c r="Y599" s="87" t="s">
        <v>668</v>
      </c>
      <c r="Z599" s="87" t="s">
        <v>50</v>
      </c>
      <c r="AA599" s="233" t="s">
        <v>669</v>
      </c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235" t="s">
        <v>3596</v>
      </c>
    </row>
    <row r="600" spans="1:43">
      <c r="A600" s="6">
        <v>597</v>
      </c>
      <c r="B600" s="21" t="s">
        <v>3597</v>
      </c>
      <c r="C600" s="5" t="s">
        <v>3598</v>
      </c>
      <c r="D600" s="5" t="s">
        <v>605</v>
      </c>
      <c r="E600" s="5" t="s">
        <v>605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11" t="s">
        <v>46</v>
      </c>
      <c r="Q600" s="5" t="s">
        <v>46</v>
      </c>
      <c r="R600" s="5" t="str">
        <f t="shared" si="10"/>
        <v/>
      </c>
      <c r="S600" s="5" t="s">
        <v>46</v>
      </c>
      <c r="T600" s="6">
        <v>597</v>
      </c>
      <c r="U600" s="259" t="s">
        <v>3599</v>
      </c>
      <c r="V600" s="232" t="s">
        <v>3598</v>
      </c>
      <c r="W600" s="232">
        <v>-5503.1</v>
      </c>
      <c r="X600" s="232">
        <v>-2344.5</v>
      </c>
      <c r="Y600" s="87" t="s">
        <v>668</v>
      </c>
      <c r="Z600" s="87" t="s">
        <v>50</v>
      </c>
      <c r="AA600" s="233" t="s">
        <v>669</v>
      </c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235" t="s">
        <v>3600</v>
      </c>
    </row>
    <row r="601" spans="1:43">
      <c r="A601" s="6">
        <v>598</v>
      </c>
      <c r="B601" s="21" t="s">
        <v>3601</v>
      </c>
      <c r="C601" s="5" t="s">
        <v>3602</v>
      </c>
      <c r="D601" s="5" t="s">
        <v>605</v>
      </c>
      <c r="E601" s="5" t="s">
        <v>605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11" t="s">
        <v>46</v>
      </c>
      <c r="Q601" s="5" t="s">
        <v>46</v>
      </c>
      <c r="R601" s="5" t="str">
        <f t="shared" si="10"/>
        <v/>
      </c>
      <c r="S601" s="5" t="s">
        <v>46</v>
      </c>
      <c r="T601" s="6">
        <v>598</v>
      </c>
      <c r="U601" s="259" t="s">
        <v>3603</v>
      </c>
      <c r="V601" s="232" t="s">
        <v>3602</v>
      </c>
      <c r="W601" s="232">
        <v>5847</v>
      </c>
      <c r="X601" s="232">
        <v>5921.1</v>
      </c>
      <c r="Y601" s="87" t="s">
        <v>668</v>
      </c>
      <c r="Z601" s="87" t="s">
        <v>50</v>
      </c>
      <c r="AA601" s="233" t="s">
        <v>669</v>
      </c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235" t="s">
        <v>3604</v>
      </c>
    </row>
    <row r="602" spans="1:43">
      <c r="A602" s="6">
        <v>599</v>
      </c>
      <c r="B602" s="21" t="s">
        <v>3605</v>
      </c>
      <c r="C602" s="5" t="s">
        <v>3606</v>
      </c>
      <c r="D602" s="5" t="s">
        <v>605</v>
      </c>
      <c r="E602" s="5" t="s">
        <v>605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11" t="s">
        <v>46</v>
      </c>
      <c r="Q602" s="5" t="s">
        <v>46</v>
      </c>
      <c r="R602" s="5" t="str">
        <f t="shared" si="10"/>
        <v/>
      </c>
      <c r="S602" s="5" t="s">
        <v>46</v>
      </c>
      <c r="T602" s="6">
        <v>599</v>
      </c>
      <c r="U602" s="259" t="s">
        <v>3607</v>
      </c>
      <c r="V602" s="232" t="s">
        <v>3606</v>
      </c>
      <c r="W602" s="232">
        <v>-6227</v>
      </c>
      <c r="X602" s="232">
        <v>3335.2</v>
      </c>
      <c r="Y602" s="87" t="s">
        <v>668</v>
      </c>
      <c r="Z602" s="87" t="s">
        <v>50</v>
      </c>
      <c r="AA602" s="233" t="s">
        <v>669</v>
      </c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235" t="s">
        <v>3608</v>
      </c>
    </row>
    <row r="603" spans="1:43">
      <c r="A603" s="6">
        <v>600</v>
      </c>
      <c r="B603" s="21" t="s">
        <v>3609</v>
      </c>
      <c r="C603" s="5" t="s">
        <v>3610</v>
      </c>
      <c r="D603" s="5" t="s">
        <v>605</v>
      </c>
      <c r="E603" s="5" t="s">
        <v>605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11" t="s">
        <v>46</v>
      </c>
      <c r="Q603" s="5" t="s">
        <v>46</v>
      </c>
      <c r="R603" s="5" t="str">
        <f t="shared" si="10"/>
        <v/>
      </c>
      <c r="S603" s="5" t="s">
        <v>46</v>
      </c>
      <c r="T603" s="6">
        <v>600</v>
      </c>
      <c r="U603" s="259" t="s">
        <v>3611</v>
      </c>
      <c r="V603" s="232" t="s">
        <v>3610</v>
      </c>
      <c r="W603" s="232">
        <v>6950.9</v>
      </c>
      <c r="X603" s="232">
        <v>6558.1</v>
      </c>
      <c r="Y603" s="87" t="s">
        <v>668</v>
      </c>
      <c r="Z603" s="87" t="s">
        <v>50</v>
      </c>
      <c r="AA603" s="233" t="s">
        <v>669</v>
      </c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235" t="s">
        <v>3612</v>
      </c>
    </row>
    <row r="604" spans="1:43">
      <c r="A604" s="6">
        <v>601</v>
      </c>
      <c r="B604" s="21" t="s">
        <v>3613</v>
      </c>
      <c r="C604" s="5" t="s">
        <v>3614</v>
      </c>
      <c r="D604" s="5" t="s">
        <v>605</v>
      </c>
      <c r="E604" s="5" t="s">
        <v>605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11" t="s">
        <v>46</v>
      </c>
      <c r="Q604" s="5" t="s">
        <v>46</v>
      </c>
      <c r="R604" s="5" t="str">
        <f t="shared" si="10"/>
        <v/>
      </c>
      <c r="S604" s="5" t="s">
        <v>46</v>
      </c>
      <c r="T604" s="6">
        <v>601</v>
      </c>
      <c r="U604" s="259" t="s">
        <v>3615</v>
      </c>
      <c r="V604" s="232" t="s">
        <v>3614</v>
      </c>
      <c r="W604" s="232">
        <v>1353.8</v>
      </c>
      <c r="X604" s="232">
        <v>2525.3000000000002</v>
      </c>
      <c r="Y604" s="87" t="s">
        <v>668</v>
      </c>
      <c r="Z604" s="87" t="s">
        <v>50</v>
      </c>
      <c r="AA604" s="233" t="s">
        <v>669</v>
      </c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235" t="s">
        <v>3616</v>
      </c>
    </row>
    <row r="605" spans="1:43">
      <c r="A605" s="6">
        <v>602</v>
      </c>
      <c r="B605" s="21" t="s">
        <v>3613</v>
      </c>
      <c r="C605" s="5" t="s">
        <v>3617</v>
      </c>
      <c r="D605" s="5" t="s">
        <v>605</v>
      </c>
      <c r="E605" s="5" t="s">
        <v>605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11" t="s">
        <v>46</v>
      </c>
      <c r="Q605" s="5" t="s">
        <v>46</v>
      </c>
      <c r="R605" s="5" t="str">
        <f t="shared" si="10"/>
        <v/>
      </c>
      <c r="S605" s="5" t="s">
        <v>46</v>
      </c>
      <c r="T605" s="6">
        <v>602</v>
      </c>
      <c r="U605" s="259" t="s">
        <v>3615</v>
      </c>
      <c r="V605" s="232" t="s">
        <v>3617</v>
      </c>
      <c r="W605" s="232">
        <v>579.1</v>
      </c>
      <c r="X605" s="232">
        <v>2525.3000000000002</v>
      </c>
      <c r="Y605" s="87" t="s">
        <v>668</v>
      </c>
      <c r="Z605" s="87" t="s">
        <v>50</v>
      </c>
      <c r="AA605" s="233" t="s">
        <v>669</v>
      </c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235" t="s">
        <v>3616</v>
      </c>
    </row>
    <row r="606" spans="1:43">
      <c r="A606" s="6">
        <v>603</v>
      </c>
      <c r="B606" s="21" t="s">
        <v>3618</v>
      </c>
      <c r="C606" s="5" t="s">
        <v>3619</v>
      </c>
      <c r="D606" s="5" t="s">
        <v>605</v>
      </c>
      <c r="E606" s="5" t="s">
        <v>605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11" t="s">
        <v>46</v>
      </c>
      <c r="Q606" s="5" t="s">
        <v>46</v>
      </c>
      <c r="R606" s="5" t="str">
        <f t="shared" si="10"/>
        <v/>
      </c>
      <c r="S606" s="5" t="s">
        <v>46</v>
      </c>
      <c r="T606" s="6">
        <v>603</v>
      </c>
      <c r="U606" s="259" t="s">
        <v>3620</v>
      </c>
      <c r="V606" s="232" t="s">
        <v>3619</v>
      </c>
      <c r="W606" s="232">
        <v>1549.4</v>
      </c>
      <c r="X606" s="232">
        <v>0</v>
      </c>
      <c r="Y606" s="87" t="s">
        <v>668</v>
      </c>
      <c r="Z606" s="87" t="s">
        <v>50</v>
      </c>
      <c r="AA606" s="233" t="s">
        <v>669</v>
      </c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235" t="s">
        <v>3621</v>
      </c>
    </row>
    <row r="607" spans="1:43">
      <c r="A607" s="6">
        <v>604</v>
      </c>
      <c r="B607" s="21" t="s">
        <v>3618</v>
      </c>
      <c r="C607" s="5" t="s">
        <v>3622</v>
      </c>
      <c r="D607" s="5" t="s">
        <v>605</v>
      </c>
      <c r="E607" s="5" t="s">
        <v>605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11" t="s">
        <v>46</v>
      </c>
      <c r="Q607" s="5" t="s">
        <v>46</v>
      </c>
      <c r="R607" s="5" t="str">
        <f t="shared" si="10"/>
        <v/>
      </c>
      <c r="S607" s="5" t="s">
        <v>46</v>
      </c>
      <c r="T607" s="6">
        <v>604</v>
      </c>
      <c r="U607" s="259" t="s">
        <v>3620</v>
      </c>
      <c r="V607" s="232" t="s">
        <v>3622</v>
      </c>
      <c r="W607" s="232">
        <v>774.7</v>
      </c>
      <c r="X607" s="232">
        <v>0</v>
      </c>
      <c r="Y607" s="87" t="s">
        <v>668</v>
      </c>
      <c r="Z607" s="87" t="s">
        <v>50</v>
      </c>
      <c r="AA607" s="233" t="s">
        <v>669</v>
      </c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235" t="s">
        <v>3621</v>
      </c>
    </row>
    <row r="608" spans="1:43">
      <c r="A608" s="6">
        <v>605</v>
      </c>
      <c r="B608" s="21" t="s">
        <v>3618</v>
      </c>
      <c r="C608" s="5" t="s">
        <v>3623</v>
      </c>
      <c r="D608" s="5" t="s">
        <v>605</v>
      </c>
      <c r="E608" s="5" t="s">
        <v>605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11" t="s">
        <v>46</v>
      </c>
      <c r="Q608" s="5" t="s">
        <v>46</v>
      </c>
      <c r="R608" s="5" t="str">
        <f t="shared" si="10"/>
        <v/>
      </c>
      <c r="S608" s="5" t="s">
        <v>46</v>
      </c>
      <c r="T608" s="6">
        <v>605</v>
      </c>
      <c r="U608" s="259" t="s">
        <v>3620</v>
      </c>
      <c r="V608" s="232" t="s">
        <v>3623</v>
      </c>
      <c r="W608" s="232">
        <v>0</v>
      </c>
      <c r="X608" s="232">
        <v>0</v>
      </c>
      <c r="Y608" s="87" t="s">
        <v>668</v>
      </c>
      <c r="Z608" s="87" t="s">
        <v>50</v>
      </c>
      <c r="AA608" s="233" t="s">
        <v>669</v>
      </c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235" t="s">
        <v>3621</v>
      </c>
    </row>
    <row r="609" spans="1:43">
      <c r="A609" s="6">
        <v>606</v>
      </c>
      <c r="B609" s="21" t="s">
        <v>3618</v>
      </c>
      <c r="C609" s="5" t="s">
        <v>3624</v>
      </c>
      <c r="D609" s="5" t="s">
        <v>605</v>
      </c>
      <c r="E609" s="5" t="s">
        <v>605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11" t="s">
        <v>46</v>
      </c>
      <c r="Q609" s="5" t="s">
        <v>46</v>
      </c>
      <c r="R609" s="5" t="str">
        <f t="shared" si="10"/>
        <v/>
      </c>
      <c r="S609" s="5" t="s">
        <v>46</v>
      </c>
      <c r="T609" s="6">
        <v>606</v>
      </c>
      <c r="U609" s="259" t="s">
        <v>3620</v>
      </c>
      <c r="V609" s="232" t="s">
        <v>3624</v>
      </c>
      <c r="W609" s="232">
        <v>-774.7</v>
      </c>
      <c r="X609" s="232">
        <v>0</v>
      </c>
      <c r="Y609" s="87" t="s">
        <v>668</v>
      </c>
      <c r="Z609" s="87" t="s">
        <v>50</v>
      </c>
      <c r="AA609" s="233" t="s">
        <v>669</v>
      </c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235" t="s">
        <v>3621</v>
      </c>
    </row>
    <row r="610" spans="1:43">
      <c r="A610" s="6">
        <v>607</v>
      </c>
      <c r="B610" s="21" t="s">
        <v>3618</v>
      </c>
      <c r="C610" s="5" t="s">
        <v>3625</v>
      </c>
      <c r="D610" s="5" t="s">
        <v>605</v>
      </c>
      <c r="E610" s="5" t="s">
        <v>605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11" t="s">
        <v>46</v>
      </c>
      <c r="Q610" s="5" t="s">
        <v>46</v>
      </c>
      <c r="R610" s="5" t="str">
        <f t="shared" si="10"/>
        <v/>
      </c>
      <c r="S610" s="5" t="s">
        <v>46</v>
      </c>
      <c r="T610" s="6">
        <v>607</v>
      </c>
      <c r="U610" s="259" t="s">
        <v>3620</v>
      </c>
      <c r="V610" s="232" t="s">
        <v>3625</v>
      </c>
      <c r="W610" s="232">
        <v>-1549.4</v>
      </c>
      <c r="X610" s="232">
        <v>0</v>
      </c>
      <c r="Y610" s="87" t="s">
        <v>668</v>
      </c>
      <c r="Z610" s="87" t="s">
        <v>50</v>
      </c>
      <c r="AA610" s="233" t="s">
        <v>669</v>
      </c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235" t="s">
        <v>3621</v>
      </c>
    </row>
    <row r="611" spans="1:43">
      <c r="A611" s="6">
        <v>608</v>
      </c>
      <c r="B611" s="21" t="s">
        <v>3618</v>
      </c>
      <c r="C611" s="5" t="s">
        <v>3626</v>
      </c>
      <c r="D611" s="5" t="s">
        <v>605</v>
      </c>
      <c r="E611" s="5" t="s">
        <v>605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11" t="s">
        <v>46</v>
      </c>
      <c r="Q611" s="5" t="s">
        <v>46</v>
      </c>
      <c r="R611" s="5" t="str">
        <f t="shared" si="10"/>
        <v/>
      </c>
      <c r="S611" s="5" t="s">
        <v>46</v>
      </c>
      <c r="T611" s="6">
        <v>608</v>
      </c>
      <c r="U611" s="259" t="s">
        <v>3620</v>
      </c>
      <c r="V611" s="232" t="s">
        <v>3626</v>
      </c>
      <c r="W611" s="232">
        <v>-2324.1</v>
      </c>
      <c r="X611" s="232">
        <v>0</v>
      </c>
      <c r="Y611" s="87" t="s">
        <v>668</v>
      </c>
      <c r="Z611" s="87" t="s">
        <v>50</v>
      </c>
      <c r="AA611" s="233" t="s">
        <v>669</v>
      </c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235" t="s">
        <v>3621</v>
      </c>
    </row>
    <row r="612" spans="1:43">
      <c r="A612" s="6">
        <v>609</v>
      </c>
      <c r="B612" s="21" t="s">
        <v>3618</v>
      </c>
      <c r="C612" s="5" t="s">
        <v>3627</v>
      </c>
      <c r="D612" s="5" t="s">
        <v>605</v>
      </c>
      <c r="E612" s="5" t="s">
        <v>605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11" t="s">
        <v>46</v>
      </c>
      <c r="Q612" s="5" t="s">
        <v>46</v>
      </c>
      <c r="R612" s="5" t="str">
        <f t="shared" si="10"/>
        <v/>
      </c>
      <c r="S612" s="5" t="s">
        <v>46</v>
      </c>
      <c r="T612" s="6">
        <v>609</v>
      </c>
      <c r="U612" s="259" t="s">
        <v>3620</v>
      </c>
      <c r="V612" s="232" t="s">
        <v>3627</v>
      </c>
      <c r="W612" s="232">
        <v>1549.4</v>
      </c>
      <c r="X612" s="232">
        <v>774.7</v>
      </c>
      <c r="Y612" s="87" t="s">
        <v>668</v>
      </c>
      <c r="Z612" s="87" t="s">
        <v>50</v>
      </c>
      <c r="AA612" s="233" t="s">
        <v>669</v>
      </c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235" t="s">
        <v>3621</v>
      </c>
    </row>
    <row r="613" spans="1:43">
      <c r="A613" s="6">
        <v>610</v>
      </c>
      <c r="B613" s="21" t="s">
        <v>3618</v>
      </c>
      <c r="C613" s="5" t="s">
        <v>3628</v>
      </c>
      <c r="D613" s="5" t="s">
        <v>605</v>
      </c>
      <c r="E613" s="5" t="s">
        <v>605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11" t="s">
        <v>46</v>
      </c>
      <c r="Q613" s="5" t="s">
        <v>46</v>
      </c>
      <c r="R613" s="5" t="str">
        <f t="shared" si="10"/>
        <v/>
      </c>
      <c r="S613" s="5" t="s">
        <v>46</v>
      </c>
      <c r="T613" s="6">
        <v>610</v>
      </c>
      <c r="U613" s="259" t="s">
        <v>3620</v>
      </c>
      <c r="V613" s="232" t="s">
        <v>3628</v>
      </c>
      <c r="W613" s="232">
        <v>774.7</v>
      </c>
      <c r="X613" s="232">
        <v>774.7</v>
      </c>
      <c r="Y613" s="87" t="s">
        <v>668</v>
      </c>
      <c r="Z613" s="87" t="s">
        <v>50</v>
      </c>
      <c r="AA613" s="233" t="s">
        <v>669</v>
      </c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235" t="s">
        <v>3621</v>
      </c>
    </row>
    <row r="614" spans="1:43">
      <c r="A614" s="6">
        <v>611</v>
      </c>
      <c r="B614" s="21" t="s">
        <v>3618</v>
      </c>
      <c r="C614" s="5" t="s">
        <v>3629</v>
      </c>
      <c r="D614" s="5" t="s">
        <v>605</v>
      </c>
      <c r="E614" s="5" t="s">
        <v>605</v>
      </c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11" t="s">
        <v>46</v>
      </c>
      <c r="Q614" s="5" t="s">
        <v>46</v>
      </c>
      <c r="R614" s="5" t="str">
        <f t="shared" si="10"/>
        <v/>
      </c>
      <c r="S614" s="5" t="s">
        <v>46</v>
      </c>
      <c r="T614" s="6">
        <v>611</v>
      </c>
      <c r="U614" s="259" t="s">
        <v>3620</v>
      </c>
      <c r="V614" s="232" t="s">
        <v>3629</v>
      </c>
      <c r="W614" s="232">
        <v>0</v>
      </c>
      <c r="X614" s="232">
        <v>774.7</v>
      </c>
      <c r="Y614" s="87" t="s">
        <v>668</v>
      </c>
      <c r="Z614" s="87" t="s">
        <v>50</v>
      </c>
      <c r="AA614" s="233" t="s">
        <v>669</v>
      </c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235" t="s">
        <v>3621</v>
      </c>
    </row>
    <row r="615" spans="1:43">
      <c r="A615" s="6">
        <v>612</v>
      </c>
      <c r="B615" s="21" t="s">
        <v>3618</v>
      </c>
      <c r="C615" s="5" t="s">
        <v>3630</v>
      </c>
      <c r="D615" s="5" t="s">
        <v>605</v>
      </c>
      <c r="E615" s="5" t="s">
        <v>605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11" t="s">
        <v>46</v>
      </c>
      <c r="Q615" s="5" t="s">
        <v>46</v>
      </c>
      <c r="R615" s="5" t="str">
        <f t="shared" si="10"/>
        <v/>
      </c>
      <c r="S615" s="5" t="s">
        <v>46</v>
      </c>
      <c r="T615" s="6">
        <v>612</v>
      </c>
      <c r="U615" s="259" t="s">
        <v>3620</v>
      </c>
      <c r="V615" s="232" t="s">
        <v>3630</v>
      </c>
      <c r="W615" s="232">
        <v>-774.7</v>
      </c>
      <c r="X615" s="232">
        <v>774.7</v>
      </c>
      <c r="Y615" s="87" t="s">
        <v>668</v>
      </c>
      <c r="Z615" s="87" t="s">
        <v>50</v>
      </c>
      <c r="AA615" s="233" t="s">
        <v>669</v>
      </c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235" t="s">
        <v>3621</v>
      </c>
    </row>
    <row r="616" spans="1:43">
      <c r="A616" s="6">
        <v>613</v>
      </c>
      <c r="B616" s="21" t="s">
        <v>3618</v>
      </c>
      <c r="C616" s="5" t="s">
        <v>3631</v>
      </c>
      <c r="D616" s="5" t="s">
        <v>605</v>
      </c>
      <c r="E616" s="5" t="s">
        <v>605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11" t="s">
        <v>46</v>
      </c>
      <c r="Q616" s="5" t="s">
        <v>46</v>
      </c>
      <c r="R616" s="5" t="str">
        <f t="shared" si="10"/>
        <v/>
      </c>
      <c r="S616" s="5" t="s">
        <v>46</v>
      </c>
      <c r="T616" s="6">
        <v>613</v>
      </c>
      <c r="U616" s="259" t="s">
        <v>3620</v>
      </c>
      <c r="V616" s="232" t="s">
        <v>3631</v>
      </c>
      <c r="W616" s="232">
        <v>-1549.4</v>
      </c>
      <c r="X616" s="232">
        <v>774.7</v>
      </c>
      <c r="Y616" s="87" t="s">
        <v>668</v>
      </c>
      <c r="Z616" s="87" t="s">
        <v>50</v>
      </c>
      <c r="AA616" s="233" t="s">
        <v>669</v>
      </c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235" t="s">
        <v>3621</v>
      </c>
    </row>
    <row r="617" spans="1:43">
      <c r="A617" s="6">
        <v>614</v>
      </c>
      <c r="B617" s="21" t="s">
        <v>3618</v>
      </c>
      <c r="C617" s="5" t="s">
        <v>3632</v>
      </c>
      <c r="D617" s="5" t="s">
        <v>605</v>
      </c>
      <c r="E617" s="5" t="s">
        <v>605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11" t="s">
        <v>46</v>
      </c>
      <c r="Q617" s="5" t="s">
        <v>46</v>
      </c>
      <c r="R617" s="5" t="str">
        <f t="shared" si="10"/>
        <v/>
      </c>
      <c r="S617" s="5" t="s">
        <v>46</v>
      </c>
      <c r="T617" s="6">
        <v>614</v>
      </c>
      <c r="U617" s="259" t="s">
        <v>3620</v>
      </c>
      <c r="V617" s="232" t="s">
        <v>3632</v>
      </c>
      <c r="W617" s="232">
        <v>-2324.1</v>
      </c>
      <c r="X617" s="232">
        <v>774.7</v>
      </c>
      <c r="Y617" s="87" t="s">
        <v>668</v>
      </c>
      <c r="Z617" s="87" t="s">
        <v>50</v>
      </c>
      <c r="AA617" s="233" t="s">
        <v>669</v>
      </c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235" t="s">
        <v>3621</v>
      </c>
    </row>
    <row r="618" spans="1:43">
      <c r="A618" s="6">
        <v>615</v>
      </c>
      <c r="B618" s="21" t="s">
        <v>3633</v>
      </c>
      <c r="C618" s="5" t="s">
        <v>3634</v>
      </c>
      <c r="D618" s="5" t="s">
        <v>605</v>
      </c>
      <c r="E618" s="5" t="s">
        <v>605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11" t="s">
        <v>46</v>
      </c>
      <c r="Q618" s="5" t="s">
        <v>46</v>
      </c>
      <c r="R618" s="5" t="str">
        <f t="shared" si="10"/>
        <v/>
      </c>
      <c r="S618" s="5" t="s">
        <v>46</v>
      </c>
      <c r="T618" s="6">
        <v>615</v>
      </c>
      <c r="U618" s="259" t="s">
        <v>3635</v>
      </c>
      <c r="V618" s="232" t="s">
        <v>3634</v>
      </c>
      <c r="W618" s="232">
        <v>3873.5</v>
      </c>
      <c r="X618" s="232">
        <v>1549.4</v>
      </c>
      <c r="Y618" s="87" t="s">
        <v>668</v>
      </c>
      <c r="Z618" s="87" t="s">
        <v>50</v>
      </c>
      <c r="AA618" s="233" t="s">
        <v>669</v>
      </c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235" t="s">
        <v>3636</v>
      </c>
    </row>
    <row r="619" spans="1:43">
      <c r="A619" s="6">
        <v>616</v>
      </c>
      <c r="B619" s="21" t="s">
        <v>3637</v>
      </c>
      <c r="C619" s="5" t="s">
        <v>3638</v>
      </c>
      <c r="D619" s="5" t="s">
        <v>3639</v>
      </c>
      <c r="E619" s="5" t="s">
        <v>3640</v>
      </c>
      <c r="F619" s="5" t="s">
        <v>3641</v>
      </c>
      <c r="G619" s="11" t="s">
        <v>3642</v>
      </c>
      <c r="H619" s="11" t="s">
        <v>3643</v>
      </c>
      <c r="I619" s="5"/>
      <c r="J619" s="5"/>
      <c r="K619" s="5"/>
      <c r="L619" s="5"/>
      <c r="M619" s="5"/>
      <c r="N619" s="5"/>
      <c r="O619" s="5"/>
      <c r="P619" s="11">
        <v>68.983500000000006</v>
      </c>
      <c r="Q619" s="5" t="s">
        <v>46</v>
      </c>
      <c r="R619" s="5">
        <f t="shared" si="10"/>
        <v>68.983500000000006</v>
      </c>
      <c r="S619" s="5" t="s">
        <v>3644</v>
      </c>
      <c r="T619" s="6">
        <v>616</v>
      </c>
      <c r="U619" s="259" t="s">
        <v>3645</v>
      </c>
      <c r="V619" s="232" t="s">
        <v>3638</v>
      </c>
      <c r="W619" s="232">
        <v>-12527.8</v>
      </c>
      <c r="X619" s="232">
        <v>10277.200000000001</v>
      </c>
      <c r="Y619" s="87" t="s">
        <v>668</v>
      </c>
      <c r="Z619" s="87" t="s">
        <v>50</v>
      </c>
      <c r="AA619" s="233" t="s">
        <v>669</v>
      </c>
      <c r="AB619" s="17"/>
      <c r="AC619" s="233">
        <v>1</v>
      </c>
      <c r="AD619" s="233" t="s">
        <v>226</v>
      </c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235" t="s">
        <v>3646</v>
      </c>
    </row>
    <row r="620" spans="1:43">
      <c r="A620" s="6">
        <v>617</v>
      </c>
      <c r="B620" s="21" t="s">
        <v>3637</v>
      </c>
      <c r="C620" s="5" t="s">
        <v>3647</v>
      </c>
      <c r="D620" s="5" t="s">
        <v>3639</v>
      </c>
      <c r="E620" s="5" t="s">
        <v>3640</v>
      </c>
      <c r="F620" s="5" t="s">
        <v>3641</v>
      </c>
      <c r="G620" s="11" t="s">
        <v>3642</v>
      </c>
      <c r="H620" s="11" t="s">
        <v>3643</v>
      </c>
      <c r="I620" s="5"/>
      <c r="J620" s="5"/>
      <c r="K620" s="5"/>
      <c r="L620" s="5"/>
      <c r="M620" s="5"/>
      <c r="N620" s="5"/>
      <c r="O620" s="5"/>
      <c r="P620" s="11">
        <v>68.983500000000006</v>
      </c>
      <c r="Q620" s="5" t="s">
        <v>46</v>
      </c>
      <c r="R620" s="5">
        <f t="shared" si="10"/>
        <v>68.983500000000006</v>
      </c>
      <c r="S620" s="5" t="s">
        <v>3644</v>
      </c>
      <c r="T620" s="6">
        <v>617</v>
      </c>
      <c r="U620" s="259" t="s">
        <v>3645</v>
      </c>
      <c r="V620" s="232" t="s">
        <v>3647</v>
      </c>
      <c r="W620" s="232">
        <v>-11807.2</v>
      </c>
      <c r="X620" s="232">
        <v>10726.6</v>
      </c>
      <c r="Y620" s="87" t="s">
        <v>668</v>
      </c>
      <c r="Z620" s="87" t="s">
        <v>50</v>
      </c>
      <c r="AA620" s="233" t="s">
        <v>669</v>
      </c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235" t="s">
        <v>3646</v>
      </c>
    </row>
    <row r="621" spans="1:43">
      <c r="A621" s="6">
        <v>618</v>
      </c>
      <c r="B621" s="21" t="s">
        <v>3637</v>
      </c>
      <c r="C621" s="5" t="s">
        <v>3648</v>
      </c>
      <c r="D621" s="5" t="s">
        <v>3639</v>
      </c>
      <c r="E621" s="5" t="s">
        <v>3640</v>
      </c>
      <c r="F621" s="5" t="s">
        <v>3641</v>
      </c>
      <c r="G621" s="11" t="s">
        <v>3642</v>
      </c>
      <c r="H621" s="11" t="s">
        <v>3643</v>
      </c>
      <c r="I621" s="5"/>
      <c r="J621" s="5"/>
      <c r="K621" s="5"/>
      <c r="L621" s="5"/>
      <c r="M621" s="5"/>
      <c r="N621" s="5"/>
      <c r="O621" s="5"/>
      <c r="P621" s="11">
        <v>68.983500000000006</v>
      </c>
      <c r="Q621" s="5" t="s">
        <v>46</v>
      </c>
      <c r="R621" s="5">
        <f t="shared" si="10"/>
        <v>68.983500000000006</v>
      </c>
      <c r="S621" s="5" t="s">
        <v>3644</v>
      </c>
      <c r="T621" s="6">
        <v>618</v>
      </c>
      <c r="U621" s="259" t="s">
        <v>3645</v>
      </c>
      <c r="V621" s="232" t="s">
        <v>3648</v>
      </c>
      <c r="W621" s="232">
        <v>-12309.1</v>
      </c>
      <c r="X621" s="232">
        <v>10727.5</v>
      </c>
      <c r="Y621" s="87" t="s">
        <v>668</v>
      </c>
      <c r="Z621" s="87" t="s">
        <v>50</v>
      </c>
      <c r="AA621" s="233" t="s">
        <v>669</v>
      </c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235" t="s">
        <v>3646</v>
      </c>
    </row>
    <row r="622" spans="1:43">
      <c r="A622" s="6">
        <v>619</v>
      </c>
      <c r="B622" s="21" t="s">
        <v>3637</v>
      </c>
      <c r="C622" s="5" t="s">
        <v>3649</v>
      </c>
      <c r="D622" s="5" t="s">
        <v>3639</v>
      </c>
      <c r="E622" s="5" t="s">
        <v>3640</v>
      </c>
      <c r="F622" s="5" t="s">
        <v>3641</v>
      </c>
      <c r="G622" s="11" t="s">
        <v>3642</v>
      </c>
      <c r="H622" s="11" t="s">
        <v>3643</v>
      </c>
      <c r="I622" s="5"/>
      <c r="J622" s="5"/>
      <c r="K622" s="5"/>
      <c r="L622" s="5"/>
      <c r="M622" s="5"/>
      <c r="N622" s="5"/>
      <c r="O622" s="5"/>
      <c r="P622" s="11">
        <v>68.983500000000006</v>
      </c>
      <c r="Q622" s="5" t="s">
        <v>46</v>
      </c>
      <c r="R622" s="5">
        <f t="shared" si="10"/>
        <v>68.983500000000006</v>
      </c>
      <c r="S622" s="5" t="s">
        <v>3644</v>
      </c>
      <c r="T622" s="6">
        <v>619</v>
      </c>
      <c r="U622" s="259" t="s">
        <v>3645</v>
      </c>
      <c r="V622" s="232" t="s">
        <v>3649</v>
      </c>
      <c r="W622" s="232">
        <v>-11557.8</v>
      </c>
      <c r="X622" s="232">
        <v>11189</v>
      </c>
      <c r="Y622" s="87" t="s">
        <v>668</v>
      </c>
      <c r="Z622" s="87" t="s">
        <v>50</v>
      </c>
      <c r="AA622" s="233" t="s">
        <v>669</v>
      </c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235" t="s">
        <v>3646</v>
      </c>
    </row>
    <row r="623" spans="1:43">
      <c r="A623" s="6">
        <v>620</v>
      </c>
      <c r="B623" s="21" t="s">
        <v>3637</v>
      </c>
      <c r="C623" s="5" t="s">
        <v>3650</v>
      </c>
      <c r="D623" s="5" t="s">
        <v>3639</v>
      </c>
      <c r="E623" s="5" t="s">
        <v>3640</v>
      </c>
      <c r="F623" s="5" t="s">
        <v>3641</v>
      </c>
      <c r="G623" s="11" t="s">
        <v>3642</v>
      </c>
      <c r="H623" s="11" t="s">
        <v>3643</v>
      </c>
      <c r="I623" s="5"/>
      <c r="J623" s="5"/>
      <c r="K623" s="5"/>
      <c r="L623" s="5"/>
      <c r="M623" s="5"/>
      <c r="N623" s="5"/>
      <c r="O623" s="5"/>
      <c r="P623" s="11">
        <v>68.983500000000006</v>
      </c>
      <c r="Q623" s="5" t="s">
        <v>46</v>
      </c>
      <c r="R623" s="5">
        <f t="shared" si="10"/>
        <v>68.983500000000006</v>
      </c>
      <c r="S623" s="5" t="s">
        <v>3644</v>
      </c>
      <c r="T623" s="6">
        <v>620</v>
      </c>
      <c r="U623" s="259" t="s">
        <v>3645</v>
      </c>
      <c r="V623" s="232" t="s">
        <v>3650</v>
      </c>
      <c r="W623" s="232">
        <v>-12058.3</v>
      </c>
      <c r="X623" s="232">
        <v>11189</v>
      </c>
      <c r="Y623" s="87" t="s">
        <v>668</v>
      </c>
      <c r="Z623" s="87" t="s">
        <v>50</v>
      </c>
      <c r="AA623" s="233" t="s">
        <v>669</v>
      </c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235" t="s">
        <v>3646</v>
      </c>
    </row>
    <row r="624" spans="1:43">
      <c r="A624" s="6">
        <v>621</v>
      </c>
      <c r="B624" s="21" t="s">
        <v>3651</v>
      </c>
      <c r="C624" s="5" t="s">
        <v>3652</v>
      </c>
      <c r="D624" s="5" t="s">
        <v>605</v>
      </c>
      <c r="E624" s="5" t="s">
        <v>605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11" t="s">
        <v>46</v>
      </c>
      <c r="Q624" s="5" t="s">
        <v>46</v>
      </c>
      <c r="R624" s="5" t="str">
        <f t="shared" si="10"/>
        <v/>
      </c>
      <c r="S624" s="5" t="s">
        <v>46</v>
      </c>
      <c r="T624" s="6">
        <v>621</v>
      </c>
      <c r="U624" s="259" t="s">
        <v>3653</v>
      </c>
      <c r="V624" s="232" t="s">
        <v>3652</v>
      </c>
      <c r="W624" s="232">
        <v>-6227</v>
      </c>
      <c r="X624" s="232">
        <v>1353.8</v>
      </c>
      <c r="Y624" s="87" t="s">
        <v>668</v>
      </c>
      <c r="Z624" s="87" t="s">
        <v>50</v>
      </c>
      <c r="AA624" s="233" t="s">
        <v>669</v>
      </c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235" t="s">
        <v>3654</v>
      </c>
    </row>
    <row r="625" spans="1:43">
      <c r="A625" s="6">
        <v>622</v>
      </c>
      <c r="B625" s="21" t="s">
        <v>3655</v>
      </c>
      <c r="C625" s="5" t="s">
        <v>3656</v>
      </c>
      <c r="D625" s="5" t="s">
        <v>605</v>
      </c>
      <c r="E625" s="5" t="s">
        <v>605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11" t="s">
        <v>46</v>
      </c>
      <c r="Q625" s="5" t="s">
        <v>46</v>
      </c>
      <c r="R625" s="5" t="str">
        <f t="shared" si="10"/>
        <v/>
      </c>
      <c r="S625" s="5" t="s">
        <v>46</v>
      </c>
      <c r="T625" s="6">
        <v>622</v>
      </c>
      <c r="U625" s="259" t="s">
        <v>3657</v>
      </c>
      <c r="V625" s="232" t="s">
        <v>3656</v>
      </c>
      <c r="W625" s="232">
        <v>3873.5</v>
      </c>
      <c r="X625" s="232">
        <v>774.7</v>
      </c>
      <c r="Y625" s="87" t="s">
        <v>668</v>
      </c>
      <c r="Z625" s="87" t="s">
        <v>50</v>
      </c>
      <c r="AA625" s="233" t="s">
        <v>669</v>
      </c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235" t="s">
        <v>3658</v>
      </c>
    </row>
    <row r="626" spans="1:43">
      <c r="A626" s="6">
        <v>623</v>
      </c>
      <c r="B626" s="21" t="s">
        <v>3659</v>
      </c>
      <c r="C626" s="5" t="s">
        <v>3660</v>
      </c>
      <c r="D626" s="5" t="s">
        <v>605</v>
      </c>
      <c r="E626" s="5" t="s">
        <v>605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11" t="s">
        <v>46</v>
      </c>
      <c r="Q626" s="5" t="s">
        <v>46</v>
      </c>
      <c r="R626" s="5" t="str">
        <f t="shared" si="10"/>
        <v/>
      </c>
      <c r="S626" s="5" t="s">
        <v>46</v>
      </c>
      <c r="T626" s="6">
        <v>623</v>
      </c>
      <c r="U626" s="259" t="s">
        <v>3661</v>
      </c>
      <c r="V626" s="232" t="s">
        <v>3660</v>
      </c>
      <c r="W626" s="232">
        <v>-6004.1</v>
      </c>
      <c r="X626" s="232">
        <v>4862.6000000000004</v>
      </c>
      <c r="Y626" s="87" t="s">
        <v>668</v>
      </c>
      <c r="Z626" s="87" t="s">
        <v>50</v>
      </c>
      <c r="AA626" s="233" t="s">
        <v>669</v>
      </c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235" t="s">
        <v>3662</v>
      </c>
    </row>
    <row r="627" spans="1:43">
      <c r="A627" s="6">
        <v>624</v>
      </c>
      <c r="B627" s="21" t="s">
        <v>3663</v>
      </c>
      <c r="C627" s="5" t="s">
        <v>3664</v>
      </c>
      <c r="D627" s="5" t="s">
        <v>3665</v>
      </c>
      <c r="E627" s="5" t="s">
        <v>3666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11" t="s">
        <v>46</v>
      </c>
      <c r="Q627" s="268">
        <v>157.28899999999999</v>
      </c>
      <c r="R627" s="268">
        <f t="shared" si="10"/>
        <v>157.28899999999999</v>
      </c>
      <c r="S627" s="268" t="s">
        <v>60</v>
      </c>
      <c r="T627" s="6">
        <v>624</v>
      </c>
      <c r="U627" s="259" t="s">
        <v>3667</v>
      </c>
      <c r="V627" s="232" t="s">
        <v>3664</v>
      </c>
      <c r="W627" s="232">
        <v>-8272.2999999999993</v>
      </c>
      <c r="X627" s="232">
        <v>6110.3</v>
      </c>
      <c r="Y627" s="87" t="s">
        <v>668</v>
      </c>
      <c r="Z627" s="87" t="s">
        <v>50</v>
      </c>
      <c r="AA627" s="233" t="s">
        <v>51</v>
      </c>
      <c r="AB627" s="234"/>
      <c r="AC627" s="233">
        <v>1</v>
      </c>
      <c r="AD627" s="233" t="s">
        <v>226</v>
      </c>
      <c r="AE627" s="234"/>
      <c r="AF627" s="234"/>
      <c r="AG627" s="234"/>
      <c r="AH627" s="233"/>
      <c r="AI627" s="233"/>
      <c r="AJ627" s="233"/>
      <c r="AK627" s="233"/>
      <c r="AL627" s="233"/>
      <c r="AM627" s="233"/>
      <c r="AN627" s="233"/>
      <c r="AO627" s="233" t="s">
        <v>636</v>
      </c>
      <c r="AP627" s="234"/>
      <c r="AQ627" s="234" t="s">
        <v>3668</v>
      </c>
    </row>
    <row r="628" spans="1:43">
      <c r="A628" s="6">
        <v>625</v>
      </c>
      <c r="B628" s="21" t="s">
        <v>3669</v>
      </c>
      <c r="C628" s="5" t="s">
        <v>3670</v>
      </c>
      <c r="D628" s="5" t="s">
        <v>605</v>
      </c>
      <c r="E628" s="5" t="s">
        <v>605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11" t="s">
        <v>46</v>
      </c>
      <c r="Q628" s="5" t="s">
        <v>46</v>
      </c>
      <c r="R628" s="5" t="str">
        <f t="shared" si="10"/>
        <v/>
      </c>
      <c r="S628" s="5" t="s">
        <v>46</v>
      </c>
      <c r="T628" s="6">
        <v>625</v>
      </c>
      <c r="U628" s="253" t="s">
        <v>3671</v>
      </c>
      <c r="V628" s="232" t="s">
        <v>3670</v>
      </c>
      <c r="W628" s="232">
        <v>1353.8</v>
      </c>
      <c r="X628" s="232">
        <v>-3249.2</v>
      </c>
      <c r="Y628" s="87" t="s">
        <v>668</v>
      </c>
      <c r="Z628" s="87" t="s">
        <v>50</v>
      </c>
      <c r="AA628" s="233" t="s">
        <v>669</v>
      </c>
      <c r="AB628" s="234"/>
      <c r="AC628" s="233"/>
      <c r="AD628" s="234"/>
      <c r="AE628" s="234"/>
      <c r="AF628" s="234"/>
      <c r="AG628" s="234"/>
      <c r="AH628" s="233"/>
      <c r="AI628" s="233"/>
      <c r="AJ628" s="233"/>
      <c r="AK628" s="233"/>
      <c r="AL628" s="233"/>
      <c r="AM628" s="233"/>
      <c r="AN628" s="233"/>
      <c r="AO628" s="233"/>
      <c r="AP628" s="234"/>
      <c r="AQ628" s="259" t="s">
        <v>3672</v>
      </c>
    </row>
    <row r="629" spans="1:43">
      <c r="A629" s="6">
        <v>626</v>
      </c>
      <c r="B629" s="21" t="s">
        <v>3673</v>
      </c>
      <c r="C629" s="5" t="s">
        <v>3674</v>
      </c>
      <c r="D629" s="5" t="s">
        <v>605</v>
      </c>
      <c r="E629" s="5" t="s">
        <v>605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11" t="s">
        <v>46</v>
      </c>
      <c r="Q629" s="5" t="s">
        <v>46</v>
      </c>
      <c r="R629" s="5" t="str">
        <f t="shared" si="10"/>
        <v/>
      </c>
      <c r="S629" s="5" t="s">
        <v>46</v>
      </c>
      <c r="T629" s="6">
        <v>626</v>
      </c>
      <c r="U629" s="253" t="s">
        <v>3675</v>
      </c>
      <c r="V629" s="232" t="s">
        <v>3674</v>
      </c>
      <c r="W629" s="232">
        <v>1353.8</v>
      </c>
      <c r="X629" s="232">
        <v>-2525.3000000000002</v>
      </c>
      <c r="Y629" s="87" t="s">
        <v>668</v>
      </c>
      <c r="Z629" s="87" t="s">
        <v>50</v>
      </c>
      <c r="AA629" s="233" t="s">
        <v>669</v>
      </c>
      <c r="AB629" s="234"/>
      <c r="AC629" s="233"/>
      <c r="AD629" s="234"/>
      <c r="AE629" s="234"/>
      <c r="AF629" s="234"/>
      <c r="AG629" s="234"/>
      <c r="AH629" s="233"/>
      <c r="AI629" s="233"/>
      <c r="AJ629" s="233"/>
      <c r="AK629" s="233"/>
      <c r="AL629" s="233"/>
      <c r="AM629" s="233"/>
      <c r="AN629" s="233"/>
      <c r="AO629" s="233"/>
      <c r="AP629" s="234"/>
      <c r="AQ629" s="259" t="s">
        <v>3676</v>
      </c>
    </row>
    <row r="630" spans="1:43">
      <c r="A630" s="6">
        <v>627</v>
      </c>
      <c r="B630" s="21" t="s">
        <v>3677</v>
      </c>
      <c r="C630" s="5" t="s">
        <v>3678</v>
      </c>
      <c r="D630" s="5" t="s">
        <v>605</v>
      </c>
      <c r="E630" s="5" t="s">
        <v>605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11" t="s">
        <v>46</v>
      </c>
      <c r="Q630" s="5" t="s">
        <v>46</v>
      </c>
      <c r="R630" s="5" t="str">
        <f t="shared" si="10"/>
        <v/>
      </c>
      <c r="S630" s="5" t="s">
        <v>46</v>
      </c>
      <c r="T630" s="6">
        <v>627</v>
      </c>
      <c r="U630" s="253" t="s">
        <v>3679</v>
      </c>
      <c r="V630" s="232" t="s">
        <v>3678</v>
      </c>
      <c r="W630" s="232">
        <v>2344.5</v>
      </c>
      <c r="X630" s="232">
        <v>-2525.3000000000002</v>
      </c>
      <c r="Y630" s="87" t="s">
        <v>668</v>
      </c>
      <c r="Z630" s="87" t="s">
        <v>50</v>
      </c>
      <c r="AA630" s="233" t="s">
        <v>669</v>
      </c>
      <c r="AB630" s="234"/>
      <c r="AC630" s="233"/>
      <c r="AD630" s="234"/>
      <c r="AE630" s="234"/>
      <c r="AF630" s="234"/>
      <c r="AG630" s="234"/>
      <c r="AH630" s="233"/>
      <c r="AI630" s="233"/>
      <c r="AJ630" s="233"/>
      <c r="AK630" s="233"/>
      <c r="AL630" s="233"/>
      <c r="AM630" s="233"/>
      <c r="AN630" s="233"/>
      <c r="AO630" s="233"/>
      <c r="AP630" s="234"/>
      <c r="AQ630" s="259" t="s">
        <v>3680</v>
      </c>
    </row>
    <row r="631" spans="1:43">
      <c r="A631" s="6">
        <v>628</v>
      </c>
      <c r="B631" s="21" t="s">
        <v>3681</v>
      </c>
      <c r="C631" s="5" t="s">
        <v>3682</v>
      </c>
      <c r="D631" s="5" t="s">
        <v>605</v>
      </c>
      <c r="E631" s="5" t="s">
        <v>605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11" t="s">
        <v>46</v>
      </c>
      <c r="Q631" s="5" t="s">
        <v>46</v>
      </c>
      <c r="R631" s="5" t="str">
        <f t="shared" si="10"/>
        <v/>
      </c>
      <c r="S631" s="5" t="s">
        <v>46</v>
      </c>
      <c r="T631" s="6">
        <v>628</v>
      </c>
      <c r="U631" s="253" t="s">
        <v>3683</v>
      </c>
      <c r="V631" s="232" t="s">
        <v>3682</v>
      </c>
      <c r="W631" s="232">
        <v>2344.5</v>
      </c>
      <c r="X631" s="232">
        <v>-3249.2</v>
      </c>
      <c r="Y631" s="87" t="s">
        <v>668</v>
      </c>
      <c r="Z631" s="87" t="s">
        <v>50</v>
      </c>
      <c r="AA631" s="233" t="s">
        <v>669</v>
      </c>
      <c r="AB631" s="234"/>
      <c r="AC631" s="233"/>
      <c r="AD631" s="234"/>
      <c r="AE631" s="234"/>
      <c r="AF631" s="234"/>
      <c r="AG631" s="234"/>
      <c r="AH631" s="233"/>
      <c r="AI631" s="233"/>
      <c r="AJ631" s="233"/>
      <c r="AK631" s="233"/>
      <c r="AL631" s="233"/>
      <c r="AM631" s="233"/>
      <c r="AN631" s="233"/>
      <c r="AO631" s="233"/>
      <c r="AP631" s="234"/>
      <c r="AQ631" s="259" t="s">
        <v>3684</v>
      </c>
    </row>
    <row r="632" spans="1:43">
      <c r="A632" s="6">
        <v>629</v>
      </c>
      <c r="B632" s="21" t="s">
        <v>3685</v>
      </c>
      <c r="C632" s="5" t="s">
        <v>3686</v>
      </c>
      <c r="D632" s="5" t="s">
        <v>605</v>
      </c>
      <c r="E632" s="5" t="s">
        <v>605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11" t="s">
        <v>46</v>
      </c>
      <c r="Q632" s="5" t="s">
        <v>46</v>
      </c>
      <c r="R632" s="5" t="str">
        <f t="shared" si="10"/>
        <v/>
      </c>
      <c r="S632" s="5" t="s">
        <v>46</v>
      </c>
      <c r="T632" s="6">
        <v>629</v>
      </c>
      <c r="U632" s="261" t="s">
        <v>3687</v>
      </c>
      <c r="V632" s="232" t="s">
        <v>3686</v>
      </c>
      <c r="W632" s="232">
        <v>8269</v>
      </c>
      <c r="X632" s="232">
        <v>-11189</v>
      </c>
      <c r="Y632" s="87" t="s">
        <v>3685</v>
      </c>
      <c r="Z632" s="87" t="s">
        <v>50</v>
      </c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261" t="s">
        <v>3687</v>
      </c>
    </row>
    <row r="633" spans="1:43">
      <c r="A633" s="6">
        <v>630</v>
      </c>
      <c r="B633" s="21" t="s">
        <v>3685</v>
      </c>
      <c r="C633" s="5" t="s">
        <v>3688</v>
      </c>
      <c r="D633" s="5" t="s">
        <v>605</v>
      </c>
      <c r="E633" s="5" t="s">
        <v>605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11" t="s">
        <v>46</v>
      </c>
      <c r="Q633" s="5" t="s">
        <v>46</v>
      </c>
      <c r="R633" s="5" t="str">
        <f t="shared" si="10"/>
        <v/>
      </c>
      <c r="S633" s="5" t="s">
        <v>46</v>
      </c>
      <c r="T633" s="6">
        <v>630</v>
      </c>
      <c r="U633" s="261" t="s">
        <v>3687</v>
      </c>
      <c r="V633" s="232" t="s">
        <v>3688</v>
      </c>
      <c r="W633" s="232">
        <v>-1114.3</v>
      </c>
      <c r="X633" s="232">
        <v>-11190</v>
      </c>
      <c r="Y633" s="87" t="s">
        <v>3685</v>
      </c>
      <c r="Z633" s="87" t="s">
        <v>50</v>
      </c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261" t="s">
        <v>3687</v>
      </c>
    </row>
    <row r="634" spans="1:43">
      <c r="A634" s="6">
        <v>631</v>
      </c>
      <c r="B634" s="21" t="s">
        <v>3685</v>
      </c>
      <c r="C634" s="5" t="s">
        <v>3689</v>
      </c>
      <c r="D634" s="5" t="s">
        <v>605</v>
      </c>
      <c r="E634" s="5" t="s">
        <v>605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11" t="s">
        <v>46</v>
      </c>
      <c r="Q634" s="5" t="s">
        <v>46</v>
      </c>
      <c r="R634" s="5" t="str">
        <f t="shared" si="10"/>
        <v/>
      </c>
      <c r="S634" s="5" t="s">
        <v>46</v>
      </c>
      <c r="T634" s="6">
        <v>631</v>
      </c>
      <c r="U634" s="261" t="s">
        <v>3687</v>
      </c>
      <c r="V634" s="232" t="s">
        <v>3689</v>
      </c>
      <c r="W634" s="232">
        <v>12058.3</v>
      </c>
      <c r="X634" s="232">
        <v>-11189</v>
      </c>
      <c r="Y634" s="87" t="s">
        <v>3685</v>
      </c>
      <c r="Z634" s="87" t="s">
        <v>50</v>
      </c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261" t="s">
        <v>3687</v>
      </c>
    </row>
    <row r="635" spans="1:43">
      <c r="A635" s="6">
        <v>632</v>
      </c>
      <c r="B635" s="21" t="s">
        <v>3685</v>
      </c>
      <c r="C635" s="5" t="s">
        <v>3690</v>
      </c>
      <c r="D635" s="5" t="s">
        <v>605</v>
      </c>
      <c r="E635" s="5" t="s">
        <v>605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11" t="s">
        <v>46</v>
      </c>
      <c r="Q635" s="5" t="s">
        <v>46</v>
      </c>
      <c r="R635" s="5" t="str">
        <f t="shared" si="10"/>
        <v/>
      </c>
      <c r="S635" s="5" t="s">
        <v>46</v>
      </c>
      <c r="T635" s="6">
        <v>632</v>
      </c>
      <c r="U635" s="261" t="s">
        <v>3687</v>
      </c>
      <c r="V635" s="232" t="s">
        <v>3690</v>
      </c>
      <c r="W635" s="232">
        <v>11557.8</v>
      </c>
      <c r="X635" s="232">
        <v>-11189</v>
      </c>
      <c r="Y635" s="87" t="s">
        <v>3685</v>
      </c>
      <c r="Z635" s="87" t="s">
        <v>50</v>
      </c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261" t="s">
        <v>3687</v>
      </c>
    </row>
    <row r="636" spans="1:43">
      <c r="A636" s="6">
        <v>633</v>
      </c>
      <c r="B636" s="21" t="s">
        <v>3685</v>
      </c>
      <c r="C636" s="5" t="s">
        <v>3691</v>
      </c>
      <c r="D636" s="5" t="s">
        <v>605</v>
      </c>
      <c r="E636" s="5" t="s">
        <v>605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11" t="s">
        <v>46</v>
      </c>
      <c r="Q636" s="5" t="s">
        <v>46</v>
      </c>
      <c r="R636" s="5" t="str">
        <f t="shared" si="10"/>
        <v/>
      </c>
      <c r="S636" s="5" t="s">
        <v>46</v>
      </c>
      <c r="T636" s="6">
        <v>633</v>
      </c>
      <c r="U636" s="261" t="s">
        <v>3687</v>
      </c>
      <c r="V636" s="232" t="s">
        <v>3691</v>
      </c>
      <c r="W636" s="232">
        <v>-10691.3</v>
      </c>
      <c r="X636" s="232">
        <v>-11189</v>
      </c>
      <c r="Y636" s="87" t="s">
        <v>3685</v>
      </c>
      <c r="Z636" s="87" t="s">
        <v>50</v>
      </c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261" t="s">
        <v>3687</v>
      </c>
    </row>
    <row r="637" spans="1:43">
      <c r="A637" s="6">
        <v>634</v>
      </c>
      <c r="B637" s="21" t="s">
        <v>3685</v>
      </c>
      <c r="C637" s="5" t="s">
        <v>3692</v>
      </c>
      <c r="D637" s="5" t="s">
        <v>605</v>
      </c>
      <c r="E637" s="5" t="s">
        <v>605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11" t="s">
        <v>46</v>
      </c>
      <c r="Q637" s="5" t="s">
        <v>46</v>
      </c>
      <c r="R637" s="5" t="str">
        <f t="shared" si="10"/>
        <v/>
      </c>
      <c r="S637" s="5" t="s">
        <v>46</v>
      </c>
      <c r="T637" s="6">
        <v>634</v>
      </c>
      <c r="U637" s="261" t="s">
        <v>3687</v>
      </c>
      <c r="V637" s="232" t="s">
        <v>3692</v>
      </c>
      <c r="W637" s="232">
        <v>-11557.8</v>
      </c>
      <c r="X637" s="232">
        <v>-11189</v>
      </c>
      <c r="Y637" s="87" t="s">
        <v>3685</v>
      </c>
      <c r="Z637" s="87" t="s">
        <v>50</v>
      </c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261" t="s">
        <v>3687</v>
      </c>
    </row>
    <row r="638" spans="1:43">
      <c r="A638" s="6">
        <v>635</v>
      </c>
      <c r="B638" s="21" t="s">
        <v>3685</v>
      </c>
      <c r="C638" s="5" t="s">
        <v>3693</v>
      </c>
      <c r="D638" s="5" t="s">
        <v>605</v>
      </c>
      <c r="E638" s="5" t="s">
        <v>605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11" t="s">
        <v>46</v>
      </c>
      <c r="Q638" s="5" t="s">
        <v>46</v>
      </c>
      <c r="R638" s="5" t="str">
        <f t="shared" si="10"/>
        <v/>
      </c>
      <c r="S638" s="5" t="s">
        <v>46</v>
      </c>
      <c r="T638" s="6">
        <v>635</v>
      </c>
      <c r="U638" s="261" t="s">
        <v>3687</v>
      </c>
      <c r="V638" s="232" t="s">
        <v>3693</v>
      </c>
      <c r="W638" s="232">
        <v>-12058.3</v>
      </c>
      <c r="X638" s="232">
        <v>-11189</v>
      </c>
      <c r="Y638" s="87" t="s">
        <v>3685</v>
      </c>
      <c r="Z638" s="87" t="s">
        <v>50</v>
      </c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261" t="s">
        <v>3687</v>
      </c>
    </row>
    <row r="639" spans="1:43">
      <c r="A639" s="6">
        <v>636</v>
      </c>
      <c r="B639" s="21" t="s">
        <v>3685</v>
      </c>
      <c r="C639" s="5" t="s">
        <v>3694</v>
      </c>
      <c r="D639" s="5" t="s">
        <v>605</v>
      </c>
      <c r="E639" s="5" t="s">
        <v>605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11" t="s">
        <v>46</v>
      </c>
      <c r="Q639" s="5" t="s">
        <v>46</v>
      </c>
      <c r="R639" s="5" t="str">
        <f t="shared" si="10"/>
        <v/>
      </c>
      <c r="S639" s="5" t="s">
        <v>46</v>
      </c>
      <c r="T639" s="6">
        <v>636</v>
      </c>
      <c r="U639" s="261" t="s">
        <v>3687</v>
      </c>
      <c r="V639" s="232" t="s">
        <v>3694</v>
      </c>
      <c r="W639" s="232">
        <v>10491.5</v>
      </c>
      <c r="X639" s="232">
        <v>-11189</v>
      </c>
      <c r="Y639" s="87" t="s">
        <v>3685</v>
      </c>
      <c r="Z639" s="87" t="s">
        <v>50</v>
      </c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261" t="s">
        <v>3687</v>
      </c>
    </row>
    <row r="640" spans="1:43">
      <c r="A640" s="6">
        <v>637</v>
      </c>
      <c r="B640" s="21" t="s">
        <v>3685</v>
      </c>
      <c r="C640" s="5" t="s">
        <v>3695</v>
      </c>
      <c r="D640" s="5" t="s">
        <v>605</v>
      </c>
      <c r="E640" s="5" t="s">
        <v>605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11" t="s">
        <v>46</v>
      </c>
      <c r="Q640" s="5" t="s">
        <v>46</v>
      </c>
      <c r="R640" s="5" t="str">
        <f t="shared" si="10"/>
        <v/>
      </c>
      <c r="S640" s="5" t="s">
        <v>46</v>
      </c>
      <c r="T640" s="6">
        <v>637</v>
      </c>
      <c r="U640" s="261" t="s">
        <v>3687</v>
      </c>
      <c r="V640" s="232" t="s">
        <v>3695</v>
      </c>
      <c r="W640" s="232">
        <v>13439.1</v>
      </c>
      <c r="X640" s="232">
        <v>-1677.7</v>
      </c>
      <c r="Y640" s="87" t="s">
        <v>3685</v>
      </c>
      <c r="Z640" s="87" t="s">
        <v>50</v>
      </c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261" t="s">
        <v>3687</v>
      </c>
    </row>
    <row r="641" spans="1:43">
      <c r="A641" s="6">
        <v>638</v>
      </c>
      <c r="B641" s="21" t="s">
        <v>3685</v>
      </c>
      <c r="C641" s="5" t="s">
        <v>3696</v>
      </c>
      <c r="D641" s="5" t="s">
        <v>605</v>
      </c>
      <c r="E641" s="5" t="s">
        <v>605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11" t="s">
        <v>46</v>
      </c>
      <c r="Q641" s="5" t="s">
        <v>46</v>
      </c>
      <c r="R641" s="5" t="str">
        <f t="shared" si="10"/>
        <v/>
      </c>
      <c r="S641" s="5" t="s">
        <v>46</v>
      </c>
      <c r="T641" s="6">
        <v>638</v>
      </c>
      <c r="U641" s="261" t="s">
        <v>3687</v>
      </c>
      <c r="V641" s="232" t="s">
        <v>3696</v>
      </c>
      <c r="W641" s="232">
        <v>-8271.2999999999993</v>
      </c>
      <c r="X641" s="232">
        <v>-2014.2</v>
      </c>
      <c r="Y641" s="87" t="s">
        <v>3685</v>
      </c>
      <c r="Z641" s="87" t="s">
        <v>50</v>
      </c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261" t="s">
        <v>3687</v>
      </c>
    </row>
    <row r="642" spans="1:43">
      <c r="A642" s="6">
        <v>639</v>
      </c>
      <c r="B642" s="21" t="s">
        <v>3685</v>
      </c>
      <c r="C642" s="5" t="s">
        <v>3697</v>
      </c>
      <c r="D642" s="5" t="s">
        <v>605</v>
      </c>
      <c r="E642" s="5" t="s">
        <v>605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11" t="s">
        <v>46</v>
      </c>
      <c r="Q642" s="5" t="s">
        <v>46</v>
      </c>
      <c r="R642" s="5" t="str">
        <f t="shared" si="10"/>
        <v/>
      </c>
      <c r="S642" s="5" t="s">
        <v>46</v>
      </c>
      <c r="T642" s="6">
        <v>639</v>
      </c>
      <c r="U642" s="261" t="s">
        <v>3687</v>
      </c>
      <c r="V642" s="232" t="s">
        <v>3697</v>
      </c>
      <c r="W642" s="232">
        <v>-13439.1</v>
      </c>
      <c r="X642" s="232">
        <v>-1677.7</v>
      </c>
      <c r="Y642" s="87" t="s">
        <v>3685</v>
      </c>
      <c r="Z642" s="87" t="s">
        <v>50</v>
      </c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261" t="s">
        <v>3687</v>
      </c>
    </row>
    <row r="643" spans="1:43">
      <c r="A643" s="6">
        <v>640</v>
      </c>
      <c r="B643" s="21" t="s">
        <v>3685</v>
      </c>
      <c r="C643" s="5" t="s">
        <v>3698</v>
      </c>
      <c r="D643" s="5" t="s">
        <v>605</v>
      </c>
      <c r="E643" s="5" t="s">
        <v>605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11" t="s">
        <v>46</v>
      </c>
      <c r="Q643" s="5" t="s">
        <v>46</v>
      </c>
      <c r="R643" s="5" t="str">
        <f t="shared" si="10"/>
        <v/>
      </c>
      <c r="S643" s="5" t="s">
        <v>46</v>
      </c>
      <c r="T643" s="6">
        <v>640</v>
      </c>
      <c r="U643" s="261" t="s">
        <v>3687</v>
      </c>
      <c r="V643" s="232" t="s">
        <v>3698</v>
      </c>
      <c r="W643" s="232">
        <v>7674.8</v>
      </c>
      <c r="X643" s="232">
        <v>-1353.8</v>
      </c>
      <c r="Y643" s="87" t="s">
        <v>3685</v>
      </c>
      <c r="Z643" s="87" t="s">
        <v>50</v>
      </c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261" t="s">
        <v>3687</v>
      </c>
    </row>
    <row r="644" spans="1:43">
      <c r="A644" s="6">
        <v>641</v>
      </c>
      <c r="B644" s="21" t="s">
        <v>3685</v>
      </c>
      <c r="C644" s="5" t="s">
        <v>3699</v>
      </c>
      <c r="D644" s="5" t="s">
        <v>605</v>
      </c>
      <c r="E644" s="5" t="s">
        <v>605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11" t="s">
        <v>46</v>
      </c>
      <c r="Q644" s="5" t="s">
        <v>46</v>
      </c>
      <c r="R644" s="5" t="str">
        <f t="shared" si="10"/>
        <v/>
      </c>
      <c r="S644" s="5" t="s">
        <v>46</v>
      </c>
      <c r="T644" s="6">
        <v>641</v>
      </c>
      <c r="U644" s="261" t="s">
        <v>3687</v>
      </c>
      <c r="V644" s="232" t="s">
        <v>3699</v>
      </c>
      <c r="W644" s="232">
        <v>6950.9</v>
      </c>
      <c r="X644" s="232">
        <v>-1353.8</v>
      </c>
      <c r="Y644" s="87" t="s">
        <v>3685</v>
      </c>
      <c r="Z644" s="87" t="s">
        <v>50</v>
      </c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261" t="s">
        <v>3687</v>
      </c>
    </row>
    <row r="645" spans="1:43">
      <c r="A645" s="6">
        <v>642</v>
      </c>
      <c r="B645" s="21" t="s">
        <v>3685</v>
      </c>
      <c r="C645" s="5" t="s">
        <v>3700</v>
      </c>
      <c r="D645" s="5" t="s">
        <v>605</v>
      </c>
      <c r="E645" s="5" t="s">
        <v>605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11" t="s">
        <v>46</v>
      </c>
      <c r="Q645" s="5" t="s">
        <v>46</v>
      </c>
      <c r="R645" s="5" t="str">
        <f t="shared" ref="R645:R708" si="11">IF(AND(P645="",Q645=""),"",SUM(P645:Q645))</f>
        <v/>
      </c>
      <c r="S645" s="5" t="s">
        <v>46</v>
      </c>
      <c r="T645" s="6">
        <v>642</v>
      </c>
      <c r="U645" s="261" t="s">
        <v>3687</v>
      </c>
      <c r="V645" s="232" t="s">
        <v>3700</v>
      </c>
      <c r="W645" s="232">
        <v>6227</v>
      </c>
      <c r="X645" s="232">
        <v>-1353.8</v>
      </c>
      <c r="Y645" s="87" t="s">
        <v>3685</v>
      </c>
      <c r="Z645" s="87" t="s">
        <v>50</v>
      </c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261" t="s">
        <v>3687</v>
      </c>
    </row>
    <row r="646" spans="1:43">
      <c r="A646" s="6">
        <v>643</v>
      </c>
      <c r="B646" s="21" t="s">
        <v>3685</v>
      </c>
      <c r="C646" s="5" t="s">
        <v>3701</v>
      </c>
      <c r="D646" s="5" t="s">
        <v>605</v>
      </c>
      <c r="E646" s="5" t="s">
        <v>605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11" t="s">
        <v>46</v>
      </c>
      <c r="Q646" s="5" t="s">
        <v>46</v>
      </c>
      <c r="R646" s="5" t="str">
        <f t="shared" si="11"/>
        <v/>
      </c>
      <c r="S646" s="5" t="s">
        <v>46</v>
      </c>
      <c r="T646" s="6">
        <v>643</v>
      </c>
      <c r="U646" s="261" t="s">
        <v>3687</v>
      </c>
      <c r="V646" s="232" t="s">
        <v>3701</v>
      </c>
      <c r="W646" s="232">
        <v>4779.2</v>
      </c>
      <c r="X646" s="232">
        <v>-1353.8</v>
      </c>
      <c r="Y646" s="87" t="s">
        <v>3685</v>
      </c>
      <c r="Z646" s="87" t="s">
        <v>50</v>
      </c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261" t="s">
        <v>3687</v>
      </c>
    </row>
    <row r="647" spans="1:43">
      <c r="A647" s="6">
        <v>644</v>
      </c>
      <c r="B647" s="21" t="s">
        <v>3685</v>
      </c>
      <c r="C647" s="5" t="s">
        <v>3702</v>
      </c>
      <c r="D647" s="5" t="s">
        <v>605</v>
      </c>
      <c r="E647" s="5" t="s">
        <v>605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11" t="s">
        <v>46</v>
      </c>
      <c r="Q647" s="5" t="s">
        <v>46</v>
      </c>
      <c r="R647" s="5" t="str">
        <f t="shared" si="11"/>
        <v/>
      </c>
      <c r="S647" s="5" t="s">
        <v>46</v>
      </c>
      <c r="T647" s="6">
        <v>644</v>
      </c>
      <c r="U647" s="261" t="s">
        <v>3687</v>
      </c>
      <c r="V647" s="232" t="s">
        <v>3702</v>
      </c>
      <c r="W647" s="232">
        <v>3873.5</v>
      </c>
      <c r="X647" s="232">
        <v>-1549.4</v>
      </c>
      <c r="Y647" s="87" t="s">
        <v>3685</v>
      </c>
      <c r="Z647" s="87" t="s">
        <v>50</v>
      </c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261" t="s">
        <v>3687</v>
      </c>
    </row>
    <row r="648" spans="1:43">
      <c r="A648" s="6">
        <v>645</v>
      </c>
      <c r="B648" s="21" t="s">
        <v>3685</v>
      </c>
      <c r="C648" s="5" t="s">
        <v>3703</v>
      </c>
      <c r="D648" s="5" t="s">
        <v>605</v>
      </c>
      <c r="E648" s="5" t="s">
        <v>605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11" t="s">
        <v>46</v>
      </c>
      <c r="Q648" s="5" t="s">
        <v>46</v>
      </c>
      <c r="R648" s="5" t="str">
        <f t="shared" si="11"/>
        <v/>
      </c>
      <c r="S648" s="5" t="s">
        <v>46</v>
      </c>
      <c r="T648" s="6">
        <v>645</v>
      </c>
      <c r="U648" s="261" t="s">
        <v>3687</v>
      </c>
      <c r="V648" s="232" t="s">
        <v>3703</v>
      </c>
      <c r="W648" s="232">
        <v>3098.8</v>
      </c>
      <c r="X648" s="232">
        <v>-1549.4</v>
      </c>
      <c r="Y648" s="87" t="s">
        <v>3685</v>
      </c>
      <c r="Z648" s="87" t="s">
        <v>50</v>
      </c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261" t="s">
        <v>3687</v>
      </c>
    </row>
    <row r="649" spans="1:43">
      <c r="A649" s="6">
        <v>646</v>
      </c>
      <c r="B649" s="21" t="s">
        <v>3685</v>
      </c>
      <c r="C649" s="5" t="s">
        <v>3704</v>
      </c>
      <c r="D649" s="5" t="s">
        <v>605</v>
      </c>
      <c r="E649" s="5" t="s">
        <v>605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11" t="s">
        <v>46</v>
      </c>
      <c r="Q649" s="5" t="s">
        <v>46</v>
      </c>
      <c r="R649" s="5" t="str">
        <f t="shared" si="11"/>
        <v/>
      </c>
      <c r="S649" s="5" t="s">
        <v>46</v>
      </c>
      <c r="T649" s="6">
        <v>646</v>
      </c>
      <c r="U649" s="261" t="s">
        <v>3687</v>
      </c>
      <c r="V649" s="232" t="s">
        <v>3704</v>
      </c>
      <c r="W649" s="232">
        <v>2324.1</v>
      </c>
      <c r="X649" s="232">
        <v>-1549.4</v>
      </c>
      <c r="Y649" s="87" t="s">
        <v>3685</v>
      </c>
      <c r="Z649" s="87" t="s">
        <v>50</v>
      </c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261" t="s">
        <v>3687</v>
      </c>
    </row>
    <row r="650" spans="1:43">
      <c r="A650" s="6">
        <v>647</v>
      </c>
      <c r="B650" s="21" t="s">
        <v>3685</v>
      </c>
      <c r="C650" s="5" t="s">
        <v>3705</v>
      </c>
      <c r="D650" s="5" t="s">
        <v>605</v>
      </c>
      <c r="E650" s="5" t="s">
        <v>605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11" t="s">
        <v>46</v>
      </c>
      <c r="Q650" s="5" t="s">
        <v>46</v>
      </c>
      <c r="R650" s="5" t="str">
        <f t="shared" si="11"/>
        <v/>
      </c>
      <c r="S650" s="5" t="s">
        <v>46</v>
      </c>
      <c r="T650" s="6">
        <v>647</v>
      </c>
      <c r="U650" s="261" t="s">
        <v>3687</v>
      </c>
      <c r="V650" s="232" t="s">
        <v>3705</v>
      </c>
      <c r="W650" s="232">
        <v>1549.4</v>
      </c>
      <c r="X650" s="232">
        <v>-1549.4</v>
      </c>
      <c r="Y650" s="87" t="s">
        <v>3685</v>
      </c>
      <c r="Z650" s="87" t="s">
        <v>50</v>
      </c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261" t="s">
        <v>3687</v>
      </c>
    </row>
    <row r="651" spans="1:43">
      <c r="A651" s="6">
        <v>648</v>
      </c>
      <c r="B651" s="21" t="s">
        <v>3685</v>
      </c>
      <c r="C651" s="5" t="s">
        <v>3706</v>
      </c>
      <c r="D651" s="5" t="s">
        <v>605</v>
      </c>
      <c r="E651" s="5" t="s">
        <v>605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11" t="s">
        <v>46</v>
      </c>
      <c r="Q651" s="5" t="s">
        <v>46</v>
      </c>
      <c r="R651" s="5" t="str">
        <f t="shared" si="11"/>
        <v/>
      </c>
      <c r="S651" s="5" t="s">
        <v>46</v>
      </c>
      <c r="T651" s="6">
        <v>648</v>
      </c>
      <c r="U651" s="261" t="s">
        <v>3687</v>
      </c>
      <c r="V651" s="232" t="s">
        <v>3706</v>
      </c>
      <c r="W651" s="232">
        <v>774.7</v>
      </c>
      <c r="X651" s="232">
        <v>-1549.4</v>
      </c>
      <c r="Y651" s="87" t="s">
        <v>3685</v>
      </c>
      <c r="Z651" s="87" t="s">
        <v>50</v>
      </c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261" t="s">
        <v>3687</v>
      </c>
    </row>
    <row r="652" spans="1:43">
      <c r="A652" s="6">
        <v>649</v>
      </c>
      <c r="B652" s="21" t="s">
        <v>3685</v>
      </c>
      <c r="C652" s="5" t="s">
        <v>3707</v>
      </c>
      <c r="D652" s="5" t="s">
        <v>605</v>
      </c>
      <c r="E652" s="5" t="s">
        <v>605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11" t="s">
        <v>46</v>
      </c>
      <c r="Q652" s="5" t="s">
        <v>46</v>
      </c>
      <c r="R652" s="5" t="str">
        <f t="shared" si="11"/>
        <v/>
      </c>
      <c r="S652" s="5" t="s">
        <v>46</v>
      </c>
      <c r="T652" s="6">
        <v>649</v>
      </c>
      <c r="U652" s="261" t="s">
        <v>3687</v>
      </c>
      <c r="V652" s="232" t="s">
        <v>3707</v>
      </c>
      <c r="W652" s="232">
        <v>-4779.2</v>
      </c>
      <c r="X652" s="232">
        <v>-1353.8</v>
      </c>
      <c r="Y652" s="87" t="s">
        <v>3685</v>
      </c>
      <c r="Z652" s="87" t="s">
        <v>50</v>
      </c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261" t="s">
        <v>3687</v>
      </c>
    </row>
    <row r="653" spans="1:43">
      <c r="A653" s="6">
        <v>650</v>
      </c>
      <c r="B653" s="21" t="s">
        <v>3685</v>
      </c>
      <c r="C653" s="5" t="s">
        <v>3708</v>
      </c>
      <c r="D653" s="5" t="s">
        <v>605</v>
      </c>
      <c r="E653" s="5" t="s">
        <v>605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11" t="s">
        <v>46</v>
      </c>
      <c r="Q653" s="5" t="s">
        <v>46</v>
      </c>
      <c r="R653" s="5" t="str">
        <f t="shared" si="11"/>
        <v/>
      </c>
      <c r="S653" s="5" t="s">
        <v>46</v>
      </c>
      <c r="T653" s="6">
        <v>650</v>
      </c>
      <c r="U653" s="261" t="s">
        <v>3687</v>
      </c>
      <c r="V653" s="232" t="s">
        <v>3708</v>
      </c>
      <c r="W653" s="232">
        <v>-5503.1</v>
      </c>
      <c r="X653" s="232">
        <v>-1353.8</v>
      </c>
      <c r="Y653" s="87" t="s">
        <v>3685</v>
      </c>
      <c r="Z653" s="87" t="s">
        <v>50</v>
      </c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261" t="s">
        <v>3687</v>
      </c>
    </row>
    <row r="654" spans="1:43">
      <c r="A654" s="6">
        <v>651</v>
      </c>
      <c r="B654" s="21" t="s">
        <v>3685</v>
      </c>
      <c r="C654" s="5" t="s">
        <v>3709</v>
      </c>
      <c r="D654" s="5" t="s">
        <v>605</v>
      </c>
      <c r="E654" s="5" t="s">
        <v>605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11" t="s">
        <v>46</v>
      </c>
      <c r="Q654" s="5" t="s">
        <v>46</v>
      </c>
      <c r="R654" s="5" t="str">
        <f t="shared" si="11"/>
        <v/>
      </c>
      <c r="S654" s="5" t="s">
        <v>46</v>
      </c>
      <c r="T654" s="6">
        <v>651</v>
      </c>
      <c r="U654" s="261" t="s">
        <v>3687</v>
      </c>
      <c r="V654" s="232" t="s">
        <v>3709</v>
      </c>
      <c r="W654" s="232">
        <v>3873.5</v>
      </c>
      <c r="X654" s="232">
        <v>-774.7</v>
      </c>
      <c r="Y654" s="87" t="s">
        <v>3685</v>
      </c>
      <c r="Z654" s="87" t="s">
        <v>50</v>
      </c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261" t="s">
        <v>3687</v>
      </c>
    </row>
    <row r="655" spans="1:43">
      <c r="A655" s="6">
        <v>652</v>
      </c>
      <c r="B655" s="21" t="s">
        <v>3685</v>
      </c>
      <c r="C655" s="5" t="s">
        <v>3710</v>
      </c>
      <c r="D655" s="5" t="s">
        <v>605</v>
      </c>
      <c r="E655" s="5" t="s">
        <v>605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11" t="s">
        <v>46</v>
      </c>
      <c r="Q655" s="5" t="s">
        <v>46</v>
      </c>
      <c r="R655" s="5" t="str">
        <f t="shared" si="11"/>
        <v/>
      </c>
      <c r="S655" s="5" t="s">
        <v>46</v>
      </c>
      <c r="T655" s="6">
        <v>652</v>
      </c>
      <c r="U655" s="261" t="s">
        <v>3687</v>
      </c>
      <c r="V655" s="232" t="s">
        <v>3710</v>
      </c>
      <c r="W655" s="232">
        <v>3098.8</v>
      </c>
      <c r="X655" s="232">
        <v>-774.7</v>
      </c>
      <c r="Y655" s="87" t="s">
        <v>3685</v>
      </c>
      <c r="Z655" s="87" t="s">
        <v>50</v>
      </c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261" t="s">
        <v>3687</v>
      </c>
    </row>
    <row r="656" spans="1:43">
      <c r="A656" s="6">
        <v>653</v>
      </c>
      <c r="B656" s="21" t="s">
        <v>3685</v>
      </c>
      <c r="C656" s="5" t="s">
        <v>3711</v>
      </c>
      <c r="D656" s="5" t="s">
        <v>605</v>
      </c>
      <c r="E656" s="5" t="s">
        <v>605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11" t="s">
        <v>46</v>
      </c>
      <c r="Q656" s="5" t="s">
        <v>46</v>
      </c>
      <c r="R656" s="5" t="str">
        <f t="shared" si="11"/>
        <v/>
      </c>
      <c r="S656" s="5" t="s">
        <v>46</v>
      </c>
      <c r="T656" s="6">
        <v>653</v>
      </c>
      <c r="U656" s="261" t="s">
        <v>3687</v>
      </c>
      <c r="V656" s="232" t="s">
        <v>3711</v>
      </c>
      <c r="W656" s="232">
        <v>2324.1</v>
      </c>
      <c r="X656" s="232">
        <v>-774.7</v>
      </c>
      <c r="Y656" s="87" t="s">
        <v>3685</v>
      </c>
      <c r="Z656" s="87" t="s">
        <v>50</v>
      </c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261" t="s">
        <v>3687</v>
      </c>
    </row>
    <row r="657" spans="1:43">
      <c r="A657" s="6">
        <v>654</v>
      </c>
      <c r="B657" s="21" t="s">
        <v>3685</v>
      </c>
      <c r="C657" s="5" t="s">
        <v>3712</v>
      </c>
      <c r="D657" s="5" t="s">
        <v>605</v>
      </c>
      <c r="E657" s="5" t="s">
        <v>605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11" t="s">
        <v>46</v>
      </c>
      <c r="Q657" s="5" t="s">
        <v>46</v>
      </c>
      <c r="R657" s="5" t="str">
        <f t="shared" si="11"/>
        <v/>
      </c>
      <c r="S657" s="5" t="s">
        <v>46</v>
      </c>
      <c r="T657" s="6">
        <v>654</v>
      </c>
      <c r="U657" s="261" t="s">
        <v>3687</v>
      </c>
      <c r="V657" s="232" t="s">
        <v>3712</v>
      </c>
      <c r="W657" s="232">
        <v>1549.4</v>
      </c>
      <c r="X657" s="232">
        <v>-774.7</v>
      </c>
      <c r="Y657" s="87" t="s">
        <v>3685</v>
      </c>
      <c r="Z657" s="87" t="s">
        <v>50</v>
      </c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261" t="s">
        <v>3687</v>
      </c>
    </row>
    <row r="658" spans="1:43">
      <c r="A658" s="6">
        <v>655</v>
      </c>
      <c r="B658" s="21" t="s">
        <v>3685</v>
      </c>
      <c r="C658" s="5" t="s">
        <v>3713</v>
      </c>
      <c r="D658" s="5" t="s">
        <v>605</v>
      </c>
      <c r="E658" s="5" t="s">
        <v>605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11" t="s">
        <v>46</v>
      </c>
      <c r="Q658" s="5" t="s">
        <v>46</v>
      </c>
      <c r="R658" s="5" t="str">
        <f t="shared" si="11"/>
        <v/>
      </c>
      <c r="S658" s="5" t="s">
        <v>46</v>
      </c>
      <c r="T658" s="6">
        <v>655</v>
      </c>
      <c r="U658" s="261" t="s">
        <v>3687</v>
      </c>
      <c r="V658" s="232" t="s">
        <v>3713</v>
      </c>
      <c r="W658" s="232">
        <v>774.7</v>
      </c>
      <c r="X658" s="232">
        <v>-774.7</v>
      </c>
      <c r="Y658" s="87" t="s">
        <v>3685</v>
      </c>
      <c r="Z658" s="87" t="s">
        <v>50</v>
      </c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261" t="s">
        <v>3687</v>
      </c>
    </row>
    <row r="659" spans="1:43">
      <c r="A659" s="6">
        <v>656</v>
      </c>
      <c r="B659" s="21" t="s">
        <v>3685</v>
      </c>
      <c r="C659" s="5" t="s">
        <v>3714</v>
      </c>
      <c r="D659" s="5" t="s">
        <v>605</v>
      </c>
      <c r="E659" s="5" t="s">
        <v>605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11" t="s">
        <v>46</v>
      </c>
      <c r="Q659" s="5" t="s">
        <v>46</v>
      </c>
      <c r="R659" s="5" t="str">
        <f t="shared" si="11"/>
        <v/>
      </c>
      <c r="S659" s="5" t="s">
        <v>46</v>
      </c>
      <c r="T659" s="6">
        <v>656</v>
      </c>
      <c r="U659" s="261" t="s">
        <v>3687</v>
      </c>
      <c r="V659" s="232" t="s">
        <v>3714</v>
      </c>
      <c r="W659" s="232">
        <v>0</v>
      </c>
      <c r="X659" s="232">
        <v>-774.7</v>
      </c>
      <c r="Y659" s="87" t="s">
        <v>3685</v>
      </c>
      <c r="Z659" s="87" t="s">
        <v>50</v>
      </c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261" t="s">
        <v>3687</v>
      </c>
    </row>
    <row r="660" spans="1:43">
      <c r="A660" s="6">
        <v>657</v>
      </c>
      <c r="B660" s="21" t="s">
        <v>3685</v>
      </c>
      <c r="C660" s="5" t="s">
        <v>3715</v>
      </c>
      <c r="D660" s="5" t="s">
        <v>605</v>
      </c>
      <c r="E660" s="5" t="s">
        <v>605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11" t="s">
        <v>46</v>
      </c>
      <c r="Q660" s="5" t="s">
        <v>46</v>
      </c>
      <c r="R660" s="5" t="str">
        <f t="shared" si="11"/>
        <v/>
      </c>
      <c r="S660" s="5" t="s">
        <v>46</v>
      </c>
      <c r="T660" s="6">
        <v>657</v>
      </c>
      <c r="U660" s="261" t="s">
        <v>3687</v>
      </c>
      <c r="V660" s="232" t="s">
        <v>3715</v>
      </c>
      <c r="W660" s="232">
        <v>-774.7</v>
      </c>
      <c r="X660" s="232">
        <v>-774.7</v>
      </c>
      <c r="Y660" s="87" t="s">
        <v>3685</v>
      </c>
      <c r="Z660" s="87" t="s">
        <v>50</v>
      </c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261" t="s">
        <v>3687</v>
      </c>
    </row>
    <row r="661" spans="1:43">
      <c r="A661" s="6">
        <v>658</v>
      </c>
      <c r="B661" s="21" t="s">
        <v>3685</v>
      </c>
      <c r="C661" s="5" t="s">
        <v>3716</v>
      </c>
      <c r="D661" s="5" t="s">
        <v>605</v>
      </c>
      <c r="E661" s="5" t="s">
        <v>605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11" t="s">
        <v>46</v>
      </c>
      <c r="Q661" s="5" t="s">
        <v>46</v>
      </c>
      <c r="R661" s="5" t="str">
        <f t="shared" si="11"/>
        <v/>
      </c>
      <c r="S661" s="5" t="s">
        <v>46</v>
      </c>
      <c r="T661" s="6">
        <v>658</v>
      </c>
      <c r="U661" s="261" t="s">
        <v>3687</v>
      </c>
      <c r="V661" s="232" t="s">
        <v>3716</v>
      </c>
      <c r="W661" s="232">
        <v>-1549.4</v>
      </c>
      <c r="X661" s="232">
        <v>-774.7</v>
      </c>
      <c r="Y661" s="87" t="s">
        <v>3685</v>
      </c>
      <c r="Z661" s="87" t="s">
        <v>50</v>
      </c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261" t="s">
        <v>3687</v>
      </c>
    </row>
    <row r="662" spans="1:43">
      <c r="A662" s="6">
        <v>659</v>
      </c>
      <c r="B662" s="21" t="s">
        <v>3685</v>
      </c>
      <c r="C662" s="5" t="s">
        <v>3717</v>
      </c>
      <c r="D662" s="5" t="s">
        <v>605</v>
      </c>
      <c r="E662" s="5" t="s">
        <v>605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11" t="s">
        <v>46</v>
      </c>
      <c r="Q662" s="5" t="s">
        <v>46</v>
      </c>
      <c r="R662" s="5" t="str">
        <f t="shared" si="11"/>
        <v/>
      </c>
      <c r="S662" s="5" t="s">
        <v>46</v>
      </c>
      <c r="T662" s="6">
        <v>659</v>
      </c>
      <c r="U662" s="261" t="s">
        <v>3687</v>
      </c>
      <c r="V662" s="232" t="s">
        <v>3717</v>
      </c>
      <c r="W662" s="232">
        <v>-2324.1</v>
      </c>
      <c r="X662" s="232">
        <v>-774.7</v>
      </c>
      <c r="Y662" s="87" t="s">
        <v>3685</v>
      </c>
      <c r="Z662" s="87" t="s">
        <v>50</v>
      </c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261" t="s">
        <v>3687</v>
      </c>
    </row>
    <row r="663" spans="1:43">
      <c r="A663" s="6">
        <v>660</v>
      </c>
      <c r="B663" s="21" t="s">
        <v>3685</v>
      </c>
      <c r="C663" s="5" t="s">
        <v>3718</v>
      </c>
      <c r="D663" s="5" t="s">
        <v>605</v>
      </c>
      <c r="E663" s="5" t="s">
        <v>605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11" t="s">
        <v>46</v>
      </c>
      <c r="Q663" s="5" t="s">
        <v>46</v>
      </c>
      <c r="R663" s="5" t="str">
        <f t="shared" si="11"/>
        <v/>
      </c>
      <c r="S663" s="5" t="s">
        <v>46</v>
      </c>
      <c r="T663" s="6">
        <v>660</v>
      </c>
      <c r="U663" s="261" t="s">
        <v>3687</v>
      </c>
      <c r="V663" s="232" t="s">
        <v>3718</v>
      </c>
      <c r="W663" s="232">
        <v>-3098.8</v>
      </c>
      <c r="X663" s="232">
        <v>-774.7</v>
      </c>
      <c r="Y663" s="87" t="s">
        <v>3685</v>
      </c>
      <c r="Z663" s="87" t="s">
        <v>50</v>
      </c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261" t="s">
        <v>3687</v>
      </c>
    </row>
    <row r="664" spans="1:43">
      <c r="A664" s="6">
        <v>661</v>
      </c>
      <c r="B664" s="21" t="s">
        <v>3685</v>
      </c>
      <c r="C664" s="5" t="s">
        <v>3719</v>
      </c>
      <c r="D664" s="5" t="s">
        <v>605</v>
      </c>
      <c r="E664" s="5" t="s">
        <v>605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11" t="s">
        <v>46</v>
      </c>
      <c r="Q664" s="5" t="s">
        <v>46</v>
      </c>
      <c r="R664" s="5" t="str">
        <f t="shared" si="11"/>
        <v/>
      </c>
      <c r="S664" s="5" t="s">
        <v>46</v>
      </c>
      <c r="T664" s="6">
        <v>661</v>
      </c>
      <c r="U664" s="261" t="s">
        <v>3687</v>
      </c>
      <c r="V664" s="232" t="s">
        <v>3719</v>
      </c>
      <c r="W664" s="232">
        <v>8179.8</v>
      </c>
      <c r="X664" s="232">
        <v>-579.1</v>
      </c>
      <c r="Y664" s="87" t="s">
        <v>3685</v>
      </c>
      <c r="Z664" s="87" t="s">
        <v>50</v>
      </c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261" t="s">
        <v>3687</v>
      </c>
    </row>
    <row r="665" spans="1:43">
      <c r="A665" s="6">
        <v>662</v>
      </c>
      <c r="B665" s="21" t="s">
        <v>3685</v>
      </c>
      <c r="C665" s="5" t="s">
        <v>3720</v>
      </c>
      <c r="D665" s="5" t="s">
        <v>605</v>
      </c>
      <c r="E665" s="5" t="s">
        <v>605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11" t="s">
        <v>46</v>
      </c>
      <c r="Q665" s="5" t="s">
        <v>46</v>
      </c>
      <c r="R665" s="5" t="str">
        <f t="shared" si="11"/>
        <v/>
      </c>
      <c r="S665" s="5" t="s">
        <v>46</v>
      </c>
      <c r="T665" s="6">
        <v>662</v>
      </c>
      <c r="U665" s="261" t="s">
        <v>3687</v>
      </c>
      <c r="V665" s="232" t="s">
        <v>3720</v>
      </c>
      <c r="W665" s="232">
        <v>7674.8</v>
      </c>
      <c r="X665" s="232">
        <v>-579.1</v>
      </c>
      <c r="Y665" s="87" t="s">
        <v>3685</v>
      </c>
      <c r="Z665" s="87" t="s">
        <v>50</v>
      </c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261" t="s">
        <v>3687</v>
      </c>
    </row>
    <row r="666" spans="1:43">
      <c r="A666" s="6">
        <v>663</v>
      </c>
      <c r="B666" s="21" t="s">
        <v>3685</v>
      </c>
      <c r="C666" s="5" t="s">
        <v>3721</v>
      </c>
      <c r="D666" s="5" t="s">
        <v>605</v>
      </c>
      <c r="E666" s="5" t="s">
        <v>605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11" t="s">
        <v>46</v>
      </c>
      <c r="Q666" s="5" t="s">
        <v>46</v>
      </c>
      <c r="R666" s="5" t="str">
        <f t="shared" si="11"/>
        <v/>
      </c>
      <c r="S666" s="5" t="s">
        <v>46</v>
      </c>
      <c r="T666" s="6">
        <v>663</v>
      </c>
      <c r="U666" s="261" t="s">
        <v>3687</v>
      </c>
      <c r="V666" s="232" t="s">
        <v>3721</v>
      </c>
      <c r="W666" s="232">
        <v>6950.9</v>
      </c>
      <c r="X666" s="232">
        <v>-579.1</v>
      </c>
      <c r="Y666" s="87" t="s">
        <v>3685</v>
      </c>
      <c r="Z666" s="87" t="s">
        <v>50</v>
      </c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261" t="s">
        <v>3687</v>
      </c>
    </row>
    <row r="667" spans="1:43">
      <c r="A667" s="6">
        <v>664</v>
      </c>
      <c r="B667" s="21" t="s">
        <v>3685</v>
      </c>
      <c r="C667" s="5" t="s">
        <v>3722</v>
      </c>
      <c r="D667" s="5" t="s">
        <v>605</v>
      </c>
      <c r="E667" s="5" t="s">
        <v>605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11" t="s">
        <v>46</v>
      </c>
      <c r="Q667" s="5" t="s">
        <v>46</v>
      </c>
      <c r="R667" s="5" t="str">
        <f t="shared" si="11"/>
        <v/>
      </c>
      <c r="S667" s="5" t="s">
        <v>46</v>
      </c>
      <c r="T667" s="6">
        <v>664</v>
      </c>
      <c r="U667" s="261" t="s">
        <v>3687</v>
      </c>
      <c r="V667" s="232" t="s">
        <v>3722</v>
      </c>
      <c r="W667" s="232">
        <v>6227</v>
      </c>
      <c r="X667" s="232">
        <v>-579.1</v>
      </c>
      <c r="Y667" s="87" t="s">
        <v>3685</v>
      </c>
      <c r="Z667" s="87" t="s">
        <v>50</v>
      </c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261" t="s">
        <v>3687</v>
      </c>
    </row>
    <row r="668" spans="1:43">
      <c r="A668" s="6">
        <v>665</v>
      </c>
      <c r="B668" s="21" t="s">
        <v>3685</v>
      </c>
      <c r="C668" s="5" t="s">
        <v>3723</v>
      </c>
      <c r="D668" s="5" t="s">
        <v>605</v>
      </c>
      <c r="E668" s="5" t="s">
        <v>605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11" t="s">
        <v>46</v>
      </c>
      <c r="Q668" s="5" t="s">
        <v>46</v>
      </c>
      <c r="R668" s="5" t="str">
        <f t="shared" si="11"/>
        <v/>
      </c>
      <c r="S668" s="5" t="s">
        <v>46</v>
      </c>
      <c r="T668" s="6">
        <v>665</v>
      </c>
      <c r="U668" s="261" t="s">
        <v>3687</v>
      </c>
      <c r="V668" s="232" t="s">
        <v>3723</v>
      </c>
      <c r="W668" s="232">
        <v>5503.1</v>
      </c>
      <c r="X668" s="232">
        <v>-579.1</v>
      </c>
      <c r="Y668" s="87" t="s">
        <v>3685</v>
      </c>
      <c r="Z668" s="87" t="s">
        <v>50</v>
      </c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261" t="s">
        <v>3687</v>
      </c>
    </row>
    <row r="669" spans="1:43">
      <c r="A669" s="6">
        <v>666</v>
      </c>
      <c r="B669" s="21" t="s">
        <v>3685</v>
      </c>
      <c r="C669" s="5" t="s">
        <v>3724</v>
      </c>
      <c r="D669" s="5" t="s">
        <v>605</v>
      </c>
      <c r="E669" s="5" t="s">
        <v>605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11" t="s">
        <v>46</v>
      </c>
      <c r="Q669" s="5" t="s">
        <v>46</v>
      </c>
      <c r="R669" s="5" t="str">
        <f t="shared" si="11"/>
        <v/>
      </c>
      <c r="S669" s="5" t="s">
        <v>46</v>
      </c>
      <c r="T669" s="6">
        <v>666</v>
      </c>
      <c r="U669" s="261" t="s">
        <v>3687</v>
      </c>
      <c r="V669" s="232" t="s">
        <v>3724</v>
      </c>
      <c r="W669" s="232">
        <v>4779.2</v>
      </c>
      <c r="X669" s="232">
        <v>-579.1</v>
      </c>
      <c r="Y669" s="87" t="s">
        <v>3685</v>
      </c>
      <c r="Z669" s="87" t="s">
        <v>50</v>
      </c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261" t="s">
        <v>3687</v>
      </c>
    </row>
    <row r="670" spans="1:43">
      <c r="A670" s="6">
        <v>667</v>
      </c>
      <c r="B670" s="21" t="s">
        <v>3685</v>
      </c>
      <c r="C670" s="5" t="s">
        <v>3725</v>
      </c>
      <c r="D670" s="5" t="s">
        <v>605</v>
      </c>
      <c r="E670" s="5" t="s">
        <v>605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11" t="s">
        <v>46</v>
      </c>
      <c r="Q670" s="5" t="s">
        <v>46</v>
      </c>
      <c r="R670" s="5" t="str">
        <f t="shared" si="11"/>
        <v/>
      </c>
      <c r="S670" s="5" t="s">
        <v>46</v>
      </c>
      <c r="T670" s="6">
        <v>667</v>
      </c>
      <c r="U670" s="261" t="s">
        <v>3687</v>
      </c>
      <c r="V670" s="232" t="s">
        <v>3725</v>
      </c>
      <c r="W670" s="232">
        <v>-4779.2</v>
      </c>
      <c r="X670" s="232">
        <v>-579.1</v>
      </c>
      <c r="Y670" s="87" t="s">
        <v>3685</v>
      </c>
      <c r="Z670" s="87" t="s">
        <v>50</v>
      </c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261" t="s">
        <v>3687</v>
      </c>
    </row>
    <row r="671" spans="1:43">
      <c r="A671" s="6">
        <v>668</v>
      </c>
      <c r="B671" s="21" t="s">
        <v>3685</v>
      </c>
      <c r="C671" s="5" t="s">
        <v>3726</v>
      </c>
      <c r="D671" s="5" t="s">
        <v>605</v>
      </c>
      <c r="E671" s="5" t="s">
        <v>605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11" t="s">
        <v>46</v>
      </c>
      <c r="Q671" s="5" t="s">
        <v>46</v>
      </c>
      <c r="R671" s="5" t="str">
        <f t="shared" si="11"/>
        <v/>
      </c>
      <c r="S671" s="5" t="s">
        <v>46</v>
      </c>
      <c r="T671" s="6">
        <v>668</v>
      </c>
      <c r="U671" s="261" t="s">
        <v>3687</v>
      </c>
      <c r="V671" s="232" t="s">
        <v>3726</v>
      </c>
      <c r="W671" s="232">
        <v>-5503.1</v>
      </c>
      <c r="X671" s="232">
        <v>-579.1</v>
      </c>
      <c r="Y671" s="87" t="s">
        <v>3685</v>
      </c>
      <c r="Z671" s="87" t="s">
        <v>50</v>
      </c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261" t="s">
        <v>3687</v>
      </c>
    </row>
    <row r="672" spans="1:43">
      <c r="A672" s="6">
        <v>669</v>
      </c>
      <c r="B672" s="21" t="s">
        <v>3685</v>
      </c>
      <c r="C672" s="5" t="s">
        <v>3727</v>
      </c>
      <c r="D672" s="5" t="s">
        <v>605</v>
      </c>
      <c r="E672" s="5" t="s">
        <v>605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11" t="s">
        <v>46</v>
      </c>
      <c r="Q672" s="5" t="s">
        <v>46</v>
      </c>
      <c r="R672" s="5" t="str">
        <f t="shared" si="11"/>
        <v/>
      </c>
      <c r="S672" s="5" t="s">
        <v>46</v>
      </c>
      <c r="T672" s="6">
        <v>669</v>
      </c>
      <c r="U672" s="261" t="s">
        <v>3687</v>
      </c>
      <c r="V672" s="232" t="s">
        <v>3727</v>
      </c>
      <c r="W672" s="232">
        <v>-6227</v>
      </c>
      <c r="X672" s="232">
        <v>-579.1</v>
      </c>
      <c r="Y672" s="87" t="s">
        <v>3685</v>
      </c>
      <c r="Z672" s="87" t="s">
        <v>50</v>
      </c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261" t="s">
        <v>3687</v>
      </c>
    </row>
    <row r="673" spans="1:43">
      <c r="A673" s="6">
        <v>670</v>
      </c>
      <c r="B673" s="21" t="s">
        <v>3685</v>
      </c>
      <c r="C673" s="5" t="s">
        <v>3728</v>
      </c>
      <c r="D673" s="5" t="s">
        <v>605</v>
      </c>
      <c r="E673" s="5" t="s">
        <v>605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11" t="s">
        <v>46</v>
      </c>
      <c r="Q673" s="5" t="s">
        <v>46</v>
      </c>
      <c r="R673" s="5" t="str">
        <f t="shared" si="11"/>
        <v/>
      </c>
      <c r="S673" s="5" t="s">
        <v>46</v>
      </c>
      <c r="T673" s="6">
        <v>670</v>
      </c>
      <c r="U673" s="261" t="s">
        <v>3687</v>
      </c>
      <c r="V673" s="232" t="s">
        <v>3728</v>
      </c>
      <c r="W673" s="232">
        <v>-6950.9</v>
      </c>
      <c r="X673" s="232">
        <v>-579.1</v>
      </c>
      <c r="Y673" s="87" t="s">
        <v>3685</v>
      </c>
      <c r="Z673" s="87" t="s">
        <v>50</v>
      </c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261" t="s">
        <v>3687</v>
      </c>
    </row>
    <row r="674" spans="1:43">
      <c r="A674" s="6">
        <v>671</v>
      </c>
      <c r="B674" s="21" t="s">
        <v>3685</v>
      </c>
      <c r="C674" s="5" t="s">
        <v>3729</v>
      </c>
      <c r="D674" s="5" t="s">
        <v>605</v>
      </c>
      <c r="E674" s="5" t="s">
        <v>605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11" t="s">
        <v>46</v>
      </c>
      <c r="Q674" s="5" t="s">
        <v>46</v>
      </c>
      <c r="R674" s="5" t="str">
        <f t="shared" si="11"/>
        <v/>
      </c>
      <c r="S674" s="5" t="s">
        <v>46</v>
      </c>
      <c r="T674" s="6">
        <v>671</v>
      </c>
      <c r="U674" s="261" t="s">
        <v>3687</v>
      </c>
      <c r="V674" s="232" t="s">
        <v>3729</v>
      </c>
      <c r="W674" s="232">
        <v>-7674.8</v>
      </c>
      <c r="X674" s="232">
        <v>-579.1</v>
      </c>
      <c r="Y674" s="87" t="s">
        <v>3685</v>
      </c>
      <c r="Z674" s="87" t="s">
        <v>50</v>
      </c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261" t="s">
        <v>3687</v>
      </c>
    </row>
    <row r="675" spans="1:43">
      <c r="A675" s="6">
        <v>672</v>
      </c>
      <c r="B675" s="21" t="s">
        <v>3685</v>
      </c>
      <c r="C675" s="5" t="s">
        <v>3730</v>
      </c>
      <c r="D675" s="5" t="s">
        <v>605</v>
      </c>
      <c r="E675" s="5" t="s">
        <v>605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11" t="s">
        <v>46</v>
      </c>
      <c r="Q675" s="5" t="s">
        <v>46</v>
      </c>
      <c r="R675" s="5" t="str">
        <f t="shared" si="11"/>
        <v/>
      </c>
      <c r="S675" s="5" t="s">
        <v>46</v>
      </c>
      <c r="T675" s="6">
        <v>672</v>
      </c>
      <c r="U675" s="261" t="s">
        <v>3687</v>
      </c>
      <c r="V675" s="232" t="s">
        <v>3730</v>
      </c>
      <c r="W675" s="232">
        <v>-8179.8</v>
      </c>
      <c r="X675" s="232">
        <v>-579.1</v>
      </c>
      <c r="Y675" s="87" t="s">
        <v>3685</v>
      </c>
      <c r="Z675" s="87" t="s">
        <v>50</v>
      </c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261" t="s">
        <v>3687</v>
      </c>
    </row>
    <row r="676" spans="1:43">
      <c r="A676" s="6">
        <v>673</v>
      </c>
      <c r="B676" s="21" t="s">
        <v>3685</v>
      </c>
      <c r="C676" s="5" t="s">
        <v>3731</v>
      </c>
      <c r="D676" s="5" t="s">
        <v>605</v>
      </c>
      <c r="E676" s="5" t="s">
        <v>605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11" t="s">
        <v>46</v>
      </c>
      <c r="Q676" s="5" t="s">
        <v>46</v>
      </c>
      <c r="R676" s="5" t="str">
        <f t="shared" si="11"/>
        <v/>
      </c>
      <c r="S676" s="5" t="s">
        <v>46</v>
      </c>
      <c r="T676" s="6">
        <v>673</v>
      </c>
      <c r="U676" s="261" t="s">
        <v>3687</v>
      </c>
      <c r="V676" s="232" t="s">
        <v>3731</v>
      </c>
      <c r="W676" s="232">
        <v>11659.6</v>
      </c>
      <c r="X676" s="232">
        <v>-579.1</v>
      </c>
      <c r="Y676" s="87" t="s">
        <v>3685</v>
      </c>
      <c r="Z676" s="87" t="s">
        <v>50</v>
      </c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261" t="s">
        <v>3687</v>
      </c>
    </row>
    <row r="677" spans="1:43">
      <c r="A677" s="6">
        <v>674</v>
      </c>
      <c r="B677" s="21" t="s">
        <v>3685</v>
      </c>
      <c r="C677" s="5" t="s">
        <v>3732</v>
      </c>
      <c r="D677" s="5" t="s">
        <v>605</v>
      </c>
      <c r="E677" s="5" t="s">
        <v>605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11" t="s">
        <v>46</v>
      </c>
      <c r="Q677" s="5" t="s">
        <v>46</v>
      </c>
      <c r="R677" s="5" t="str">
        <f t="shared" si="11"/>
        <v/>
      </c>
      <c r="S677" s="5" t="s">
        <v>46</v>
      </c>
      <c r="T677" s="6">
        <v>674</v>
      </c>
      <c r="U677" s="261" t="s">
        <v>3687</v>
      </c>
      <c r="V677" s="232" t="s">
        <v>3732</v>
      </c>
      <c r="W677" s="232">
        <v>-11659.6</v>
      </c>
      <c r="X677" s="232">
        <v>-579.1</v>
      </c>
      <c r="Y677" s="87" t="s">
        <v>3685</v>
      </c>
      <c r="Z677" s="87" t="s">
        <v>50</v>
      </c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261" t="s">
        <v>3687</v>
      </c>
    </row>
    <row r="678" spans="1:43">
      <c r="A678" s="6">
        <v>675</v>
      </c>
      <c r="B678" s="21" t="s">
        <v>3685</v>
      </c>
      <c r="C678" s="5" t="s">
        <v>3733</v>
      </c>
      <c r="D678" s="5" t="s">
        <v>605</v>
      </c>
      <c r="E678" s="5" t="s">
        <v>605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11" t="s">
        <v>46</v>
      </c>
      <c r="Q678" s="5" t="s">
        <v>46</v>
      </c>
      <c r="R678" s="5" t="str">
        <f t="shared" si="11"/>
        <v/>
      </c>
      <c r="S678" s="5" t="s">
        <v>46</v>
      </c>
      <c r="T678" s="6">
        <v>675</v>
      </c>
      <c r="U678" s="261" t="s">
        <v>3687</v>
      </c>
      <c r="V678" s="232" t="s">
        <v>3733</v>
      </c>
      <c r="W678" s="232">
        <v>13439.1</v>
      </c>
      <c r="X678" s="232">
        <v>0</v>
      </c>
      <c r="Y678" s="87" t="s">
        <v>3685</v>
      </c>
      <c r="Z678" s="87" t="s">
        <v>50</v>
      </c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261" t="s">
        <v>3687</v>
      </c>
    </row>
    <row r="679" spans="1:43">
      <c r="A679" s="6">
        <v>676</v>
      </c>
      <c r="B679" s="21" t="s">
        <v>3685</v>
      </c>
      <c r="C679" s="5" t="s">
        <v>3734</v>
      </c>
      <c r="D679" s="5" t="s">
        <v>605</v>
      </c>
      <c r="E679" s="5" t="s">
        <v>605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11" t="s">
        <v>46</v>
      </c>
      <c r="Q679" s="5" t="s">
        <v>46</v>
      </c>
      <c r="R679" s="5" t="str">
        <f t="shared" si="11"/>
        <v/>
      </c>
      <c r="S679" s="5" t="s">
        <v>46</v>
      </c>
      <c r="T679" s="6">
        <v>676</v>
      </c>
      <c r="U679" s="261" t="s">
        <v>3687</v>
      </c>
      <c r="V679" s="232" t="s">
        <v>3734</v>
      </c>
      <c r="W679" s="232">
        <v>8891</v>
      </c>
      <c r="X679" s="232">
        <v>0</v>
      </c>
      <c r="Y679" s="87" t="s">
        <v>3685</v>
      </c>
      <c r="Z679" s="87" t="s">
        <v>50</v>
      </c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261" t="s">
        <v>3687</v>
      </c>
    </row>
    <row r="680" spans="1:43">
      <c r="A680" s="6">
        <v>677</v>
      </c>
      <c r="B680" s="21" t="s">
        <v>3685</v>
      </c>
      <c r="C680" s="5" t="s">
        <v>3735</v>
      </c>
      <c r="D680" s="5" t="s">
        <v>605</v>
      </c>
      <c r="E680" s="5" t="s">
        <v>605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11" t="s">
        <v>46</v>
      </c>
      <c r="Q680" s="5" t="s">
        <v>46</v>
      </c>
      <c r="R680" s="5" t="str">
        <f t="shared" si="11"/>
        <v/>
      </c>
      <c r="S680" s="5" t="s">
        <v>46</v>
      </c>
      <c r="T680" s="6">
        <v>677</v>
      </c>
      <c r="U680" s="261" t="s">
        <v>3687</v>
      </c>
      <c r="V680" s="232" t="s">
        <v>3735</v>
      </c>
      <c r="W680" s="232">
        <v>8179.8</v>
      </c>
      <c r="X680" s="232">
        <v>0</v>
      </c>
      <c r="Y680" s="87" t="s">
        <v>3685</v>
      </c>
      <c r="Z680" s="87" t="s">
        <v>50</v>
      </c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261" t="s">
        <v>3687</v>
      </c>
    </row>
    <row r="681" spans="1:43">
      <c r="A681" s="6">
        <v>678</v>
      </c>
      <c r="B681" s="21" t="s">
        <v>3685</v>
      </c>
      <c r="C681" s="5" t="s">
        <v>3736</v>
      </c>
      <c r="D681" s="5" t="s">
        <v>605</v>
      </c>
      <c r="E681" s="5" t="s">
        <v>605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11" t="s">
        <v>46</v>
      </c>
      <c r="Q681" s="5" t="s">
        <v>46</v>
      </c>
      <c r="R681" s="5" t="str">
        <f t="shared" si="11"/>
        <v/>
      </c>
      <c r="S681" s="5" t="s">
        <v>46</v>
      </c>
      <c r="T681" s="6">
        <v>678</v>
      </c>
      <c r="U681" s="261" t="s">
        <v>3687</v>
      </c>
      <c r="V681" s="232" t="s">
        <v>3736</v>
      </c>
      <c r="W681" s="232">
        <v>6950.9</v>
      </c>
      <c r="X681" s="232">
        <v>0</v>
      </c>
      <c r="Y681" s="87" t="s">
        <v>3685</v>
      </c>
      <c r="Z681" s="87" t="s">
        <v>50</v>
      </c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261" t="s">
        <v>3687</v>
      </c>
    </row>
    <row r="682" spans="1:43">
      <c r="A682" s="6">
        <v>679</v>
      </c>
      <c r="B682" s="21" t="s">
        <v>3685</v>
      </c>
      <c r="C682" s="5" t="s">
        <v>3737</v>
      </c>
      <c r="D682" s="5" t="s">
        <v>605</v>
      </c>
      <c r="E682" s="5" t="s">
        <v>605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11" t="s">
        <v>46</v>
      </c>
      <c r="Q682" s="5" t="s">
        <v>46</v>
      </c>
      <c r="R682" s="5" t="str">
        <f t="shared" si="11"/>
        <v/>
      </c>
      <c r="S682" s="5" t="s">
        <v>46</v>
      </c>
      <c r="T682" s="6">
        <v>679</v>
      </c>
      <c r="U682" s="261" t="s">
        <v>3687</v>
      </c>
      <c r="V682" s="232" t="s">
        <v>3737</v>
      </c>
      <c r="W682" s="232">
        <v>6227</v>
      </c>
      <c r="X682" s="232">
        <v>0</v>
      </c>
      <c r="Y682" s="87" t="s">
        <v>3685</v>
      </c>
      <c r="Z682" s="87" t="s">
        <v>50</v>
      </c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261" t="s">
        <v>3687</v>
      </c>
    </row>
    <row r="683" spans="1:43">
      <c r="A683" s="6">
        <v>680</v>
      </c>
      <c r="B683" s="21" t="s">
        <v>3685</v>
      </c>
      <c r="C683" s="5" t="s">
        <v>3738</v>
      </c>
      <c r="D683" s="5" t="s">
        <v>605</v>
      </c>
      <c r="E683" s="5" t="s">
        <v>605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11" t="s">
        <v>46</v>
      </c>
      <c r="Q683" s="5" t="s">
        <v>46</v>
      </c>
      <c r="R683" s="5" t="str">
        <f t="shared" si="11"/>
        <v/>
      </c>
      <c r="S683" s="5" t="s">
        <v>46</v>
      </c>
      <c r="T683" s="6">
        <v>680</v>
      </c>
      <c r="U683" s="261" t="s">
        <v>3687</v>
      </c>
      <c r="V683" s="232" t="s">
        <v>3738</v>
      </c>
      <c r="W683" s="232">
        <v>5503.1</v>
      </c>
      <c r="X683" s="232">
        <v>0</v>
      </c>
      <c r="Y683" s="87" t="s">
        <v>3685</v>
      </c>
      <c r="Z683" s="87" t="s">
        <v>50</v>
      </c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261" t="s">
        <v>3687</v>
      </c>
    </row>
    <row r="684" spans="1:43">
      <c r="A684" s="6">
        <v>681</v>
      </c>
      <c r="B684" s="21" t="s">
        <v>3685</v>
      </c>
      <c r="C684" s="5" t="s">
        <v>3739</v>
      </c>
      <c r="D684" s="5" t="s">
        <v>605</v>
      </c>
      <c r="E684" s="5" t="s">
        <v>605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11" t="s">
        <v>46</v>
      </c>
      <c r="Q684" s="5" t="s">
        <v>46</v>
      </c>
      <c r="R684" s="5" t="str">
        <f t="shared" si="11"/>
        <v/>
      </c>
      <c r="S684" s="5" t="s">
        <v>46</v>
      </c>
      <c r="T684" s="6">
        <v>681</v>
      </c>
      <c r="U684" s="261" t="s">
        <v>3687</v>
      </c>
      <c r="V684" s="232" t="s">
        <v>3739</v>
      </c>
      <c r="W684" s="232">
        <v>4779.2</v>
      </c>
      <c r="X684" s="232">
        <v>0</v>
      </c>
      <c r="Y684" s="87" t="s">
        <v>3685</v>
      </c>
      <c r="Z684" s="87" t="s">
        <v>50</v>
      </c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261" t="s">
        <v>3687</v>
      </c>
    </row>
    <row r="685" spans="1:43">
      <c r="A685" s="6">
        <v>682</v>
      </c>
      <c r="B685" s="21" t="s">
        <v>3685</v>
      </c>
      <c r="C685" s="5" t="s">
        <v>3740</v>
      </c>
      <c r="D685" s="5" t="s">
        <v>605</v>
      </c>
      <c r="E685" s="5" t="s">
        <v>605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11" t="s">
        <v>46</v>
      </c>
      <c r="Q685" s="5" t="s">
        <v>46</v>
      </c>
      <c r="R685" s="5" t="str">
        <f t="shared" si="11"/>
        <v/>
      </c>
      <c r="S685" s="5" t="s">
        <v>46</v>
      </c>
      <c r="T685" s="6">
        <v>682</v>
      </c>
      <c r="U685" s="261" t="s">
        <v>3687</v>
      </c>
      <c r="V685" s="232" t="s">
        <v>3740</v>
      </c>
      <c r="W685" s="232">
        <v>3873.5</v>
      </c>
      <c r="X685" s="232">
        <v>0</v>
      </c>
      <c r="Y685" s="87" t="s">
        <v>3685</v>
      </c>
      <c r="Z685" s="87" t="s">
        <v>50</v>
      </c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261" t="s">
        <v>3687</v>
      </c>
    </row>
    <row r="686" spans="1:43">
      <c r="A686" s="6">
        <v>683</v>
      </c>
      <c r="B686" s="21" t="s">
        <v>3685</v>
      </c>
      <c r="C686" s="5" t="s">
        <v>3741</v>
      </c>
      <c r="D686" s="5" t="s">
        <v>605</v>
      </c>
      <c r="E686" s="5" t="s">
        <v>605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11" t="s">
        <v>46</v>
      </c>
      <c r="Q686" s="5" t="s">
        <v>46</v>
      </c>
      <c r="R686" s="5" t="str">
        <f t="shared" si="11"/>
        <v/>
      </c>
      <c r="S686" s="5" t="s">
        <v>46</v>
      </c>
      <c r="T686" s="6">
        <v>683</v>
      </c>
      <c r="U686" s="261" t="s">
        <v>3687</v>
      </c>
      <c r="V686" s="232" t="s">
        <v>3741</v>
      </c>
      <c r="W686" s="232">
        <v>3098.8</v>
      </c>
      <c r="X686" s="232">
        <v>0</v>
      </c>
      <c r="Y686" s="87" t="s">
        <v>3685</v>
      </c>
      <c r="Z686" s="87" t="s">
        <v>50</v>
      </c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261" t="s">
        <v>3687</v>
      </c>
    </row>
    <row r="687" spans="1:43">
      <c r="A687" s="6">
        <v>684</v>
      </c>
      <c r="B687" s="21" t="s">
        <v>3685</v>
      </c>
      <c r="C687" s="5" t="s">
        <v>3742</v>
      </c>
      <c r="D687" s="5" t="s">
        <v>605</v>
      </c>
      <c r="E687" s="5" t="s">
        <v>605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11" t="s">
        <v>46</v>
      </c>
      <c r="Q687" s="5" t="s">
        <v>46</v>
      </c>
      <c r="R687" s="5" t="str">
        <f t="shared" si="11"/>
        <v/>
      </c>
      <c r="S687" s="5" t="s">
        <v>46</v>
      </c>
      <c r="T687" s="6">
        <v>684</v>
      </c>
      <c r="U687" s="261" t="s">
        <v>3687</v>
      </c>
      <c r="V687" s="232" t="s">
        <v>3742</v>
      </c>
      <c r="W687" s="232">
        <v>-3098.8</v>
      </c>
      <c r="X687" s="232">
        <v>0</v>
      </c>
      <c r="Y687" s="87" t="s">
        <v>3685</v>
      </c>
      <c r="Z687" s="87" t="s">
        <v>50</v>
      </c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261" t="s">
        <v>3687</v>
      </c>
    </row>
    <row r="688" spans="1:43">
      <c r="A688" s="6">
        <v>685</v>
      </c>
      <c r="B688" s="21" t="s">
        <v>3685</v>
      </c>
      <c r="C688" s="5" t="s">
        <v>3743</v>
      </c>
      <c r="D688" s="5" t="s">
        <v>605</v>
      </c>
      <c r="E688" s="5" t="s">
        <v>605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11" t="s">
        <v>46</v>
      </c>
      <c r="Q688" s="5" t="s">
        <v>46</v>
      </c>
      <c r="R688" s="5" t="str">
        <f t="shared" si="11"/>
        <v/>
      </c>
      <c r="S688" s="5" t="s">
        <v>46</v>
      </c>
      <c r="T688" s="6">
        <v>685</v>
      </c>
      <c r="U688" s="261" t="s">
        <v>3687</v>
      </c>
      <c r="V688" s="232" t="s">
        <v>3743</v>
      </c>
      <c r="W688" s="232">
        <v>-4779.2</v>
      </c>
      <c r="X688" s="232">
        <v>0</v>
      </c>
      <c r="Y688" s="87" t="s">
        <v>3685</v>
      </c>
      <c r="Z688" s="87" t="s">
        <v>50</v>
      </c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261" t="s">
        <v>3687</v>
      </c>
    </row>
    <row r="689" spans="1:43">
      <c r="A689" s="6">
        <v>686</v>
      </c>
      <c r="B689" s="21" t="s">
        <v>3685</v>
      </c>
      <c r="C689" s="5" t="s">
        <v>3744</v>
      </c>
      <c r="D689" s="5" t="s">
        <v>605</v>
      </c>
      <c r="E689" s="5" t="s">
        <v>605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11" t="s">
        <v>46</v>
      </c>
      <c r="Q689" s="5" t="s">
        <v>46</v>
      </c>
      <c r="R689" s="5" t="str">
        <f t="shared" si="11"/>
        <v/>
      </c>
      <c r="S689" s="5" t="s">
        <v>46</v>
      </c>
      <c r="T689" s="6">
        <v>686</v>
      </c>
      <c r="U689" s="261" t="s">
        <v>3687</v>
      </c>
      <c r="V689" s="232" t="s">
        <v>3744</v>
      </c>
      <c r="W689" s="232">
        <v>-5503.1</v>
      </c>
      <c r="X689" s="232">
        <v>0</v>
      </c>
      <c r="Y689" s="87" t="s">
        <v>3685</v>
      </c>
      <c r="Z689" s="87" t="s">
        <v>50</v>
      </c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261" t="s">
        <v>3687</v>
      </c>
    </row>
    <row r="690" spans="1:43">
      <c r="A690" s="6">
        <v>687</v>
      </c>
      <c r="B690" s="21" t="s">
        <v>3685</v>
      </c>
      <c r="C690" s="5" t="s">
        <v>3745</v>
      </c>
      <c r="D690" s="5" t="s">
        <v>605</v>
      </c>
      <c r="E690" s="5" t="s">
        <v>605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11" t="s">
        <v>46</v>
      </c>
      <c r="Q690" s="5" t="s">
        <v>46</v>
      </c>
      <c r="R690" s="5" t="str">
        <f t="shared" si="11"/>
        <v/>
      </c>
      <c r="S690" s="5" t="s">
        <v>46</v>
      </c>
      <c r="T690" s="6">
        <v>687</v>
      </c>
      <c r="U690" s="261" t="s">
        <v>3687</v>
      </c>
      <c r="V690" s="232" t="s">
        <v>3745</v>
      </c>
      <c r="W690" s="232">
        <v>-6227</v>
      </c>
      <c r="X690" s="232">
        <v>0</v>
      </c>
      <c r="Y690" s="87" t="s">
        <v>3685</v>
      </c>
      <c r="Z690" s="87" t="s">
        <v>50</v>
      </c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261" t="s">
        <v>3687</v>
      </c>
    </row>
    <row r="691" spans="1:43">
      <c r="A691" s="6">
        <v>688</v>
      </c>
      <c r="B691" s="21" t="s">
        <v>3685</v>
      </c>
      <c r="C691" s="5" t="s">
        <v>3746</v>
      </c>
      <c r="D691" s="5" t="s">
        <v>605</v>
      </c>
      <c r="E691" s="5" t="s">
        <v>605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11" t="s">
        <v>46</v>
      </c>
      <c r="Q691" s="5" t="s">
        <v>46</v>
      </c>
      <c r="R691" s="5" t="str">
        <f t="shared" si="11"/>
        <v/>
      </c>
      <c r="S691" s="5" t="s">
        <v>46</v>
      </c>
      <c r="T691" s="6">
        <v>688</v>
      </c>
      <c r="U691" s="261" t="s">
        <v>3687</v>
      </c>
      <c r="V691" s="232" t="s">
        <v>3746</v>
      </c>
      <c r="W691" s="232">
        <v>-6950.9</v>
      </c>
      <c r="X691" s="232">
        <v>0</v>
      </c>
      <c r="Y691" s="87" t="s">
        <v>3685</v>
      </c>
      <c r="Z691" s="87" t="s">
        <v>50</v>
      </c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261" t="s">
        <v>3687</v>
      </c>
    </row>
    <row r="692" spans="1:43">
      <c r="A692" s="6">
        <v>689</v>
      </c>
      <c r="B692" s="21" t="s">
        <v>3685</v>
      </c>
      <c r="C692" s="5" t="s">
        <v>3747</v>
      </c>
      <c r="D692" s="5" t="s">
        <v>605</v>
      </c>
      <c r="E692" s="5" t="s">
        <v>605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11" t="s">
        <v>46</v>
      </c>
      <c r="Q692" s="5" t="s">
        <v>46</v>
      </c>
      <c r="R692" s="5" t="str">
        <f t="shared" si="11"/>
        <v/>
      </c>
      <c r="S692" s="5" t="s">
        <v>46</v>
      </c>
      <c r="T692" s="6">
        <v>689</v>
      </c>
      <c r="U692" s="261" t="s">
        <v>3687</v>
      </c>
      <c r="V692" s="232" t="s">
        <v>3747</v>
      </c>
      <c r="W692" s="232">
        <v>-8179.8</v>
      </c>
      <c r="X692" s="232">
        <v>0</v>
      </c>
      <c r="Y692" s="87" t="s">
        <v>3685</v>
      </c>
      <c r="Z692" s="87" t="s">
        <v>50</v>
      </c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261" t="s">
        <v>3687</v>
      </c>
    </row>
    <row r="693" spans="1:43">
      <c r="A693" s="6">
        <v>690</v>
      </c>
      <c r="B693" s="21" t="s">
        <v>3685</v>
      </c>
      <c r="C693" s="5" t="s">
        <v>3748</v>
      </c>
      <c r="D693" s="5" t="s">
        <v>605</v>
      </c>
      <c r="E693" s="5" t="s">
        <v>605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11" t="s">
        <v>46</v>
      </c>
      <c r="Q693" s="5" t="s">
        <v>46</v>
      </c>
      <c r="R693" s="5" t="str">
        <f t="shared" si="11"/>
        <v/>
      </c>
      <c r="S693" s="5" t="s">
        <v>46</v>
      </c>
      <c r="T693" s="6">
        <v>690</v>
      </c>
      <c r="U693" s="261" t="s">
        <v>3687</v>
      </c>
      <c r="V693" s="232" t="s">
        <v>3748</v>
      </c>
      <c r="W693" s="232">
        <v>-8891</v>
      </c>
      <c r="X693" s="232">
        <v>0</v>
      </c>
      <c r="Y693" s="87" t="s">
        <v>3685</v>
      </c>
      <c r="Z693" s="87" t="s">
        <v>50</v>
      </c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261" t="s">
        <v>3687</v>
      </c>
    </row>
    <row r="694" spans="1:43">
      <c r="A694" s="6">
        <v>691</v>
      </c>
      <c r="B694" s="21" t="s">
        <v>3685</v>
      </c>
      <c r="C694" s="5" t="s">
        <v>3749</v>
      </c>
      <c r="D694" s="5" t="s">
        <v>605</v>
      </c>
      <c r="E694" s="5" t="s">
        <v>605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11" t="s">
        <v>46</v>
      </c>
      <c r="Q694" s="5" t="s">
        <v>46</v>
      </c>
      <c r="R694" s="5" t="str">
        <f t="shared" si="11"/>
        <v/>
      </c>
      <c r="S694" s="5" t="s">
        <v>46</v>
      </c>
      <c r="T694" s="6">
        <v>691</v>
      </c>
      <c r="U694" s="261" t="s">
        <v>3687</v>
      </c>
      <c r="V694" s="232" t="s">
        <v>3749</v>
      </c>
      <c r="W694" s="232">
        <v>11659.6</v>
      </c>
      <c r="X694" s="232">
        <v>0</v>
      </c>
      <c r="Y694" s="87" t="s">
        <v>3685</v>
      </c>
      <c r="Z694" s="87" t="s">
        <v>50</v>
      </c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261" t="s">
        <v>3687</v>
      </c>
    </row>
    <row r="695" spans="1:43">
      <c r="A695" s="6">
        <v>692</v>
      </c>
      <c r="B695" s="21" t="s">
        <v>3685</v>
      </c>
      <c r="C695" s="5" t="s">
        <v>3750</v>
      </c>
      <c r="D695" s="5" t="s">
        <v>605</v>
      </c>
      <c r="E695" s="5" t="s">
        <v>605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11" t="s">
        <v>46</v>
      </c>
      <c r="Q695" s="5" t="s">
        <v>46</v>
      </c>
      <c r="R695" s="5" t="str">
        <f t="shared" si="11"/>
        <v/>
      </c>
      <c r="S695" s="5" t="s">
        <v>46</v>
      </c>
      <c r="T695" s="6">
        <v>692</v>
      </c>
      <c r="U695" s="261" t="s">
        <v>3687</v>
      </c>
      <c r="V695" s="232" t="s">
        <v>3750</v>
      </c>
      <c r="W695" s="232">
        <v>-10313.4</v>
      </c>
      <c r="X695" s="232">
        <v>0</v>
      </c>
      <c r="Y695" s="87" t="s">
        <v>3685</v>
      </c>
      <c r="Z695" s="87" t="s">
        <v>50</v>
      </c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261" t="s">
        <v>3687</v>
      </c>
    </row>
    <row r="696" spans="1:43">
      <c r="A696" s="6">
        <v>693</v>
      </c>
      <c r="B696" s="21" t="s">
        <v>3685</v>
      </c>
      <c r="C696" s="5" t="s">
        <v>3751</v>
      </c>
      <c r="D696" s="5" t="s">
        <v>605</v>
      </c>
      <c r="E696" s="5" t="s">
        <v>605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11" t="s">
        <v>46</v>
      </c>
      <c r="Q696" s="5" t="s">
        <v>46</v>
      </c>
      <c r="R696" s="5" t="str">
        <f t="shared" si="11"/>
        <v/>
      </c>
      <c r="S696" s="5" t="s">
        <v>46</v>
      </c>
      <c r="T696" s="6">
        <v>693</v>
      </c>
      <c r="U696" s="261" t="s">
        <v>3687</v>
      </c>
      <c r="V696" s="232" t="s">
        <v>3751</v>
      </c>
      <c r="W696" s="232">
        <v>-11024.6</v>
      </c>
      <c r="X696" s="232">
        <v>0</v>
      </c>
      <c r="Y696" s="87" t="s">
        <v>3685</v>
      </c>
      <c r="Z696" s="87" t="s">
        <v>50</v>
      </c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261" t="s">
        <v>3687</v>
      </c>
    </row>
    <row r="697" spans="1:43">
      <c r="A697" s="6">
        <v>694</v>
      </c>
      <c r="B697" s="21" t="s">
        <v>3685</v>
      </c>
      <c r="C697" s="5" t="s">
        <v>3752</v>
      </c>
      <c r="D697" s="5" t="s">
        <v>605</v>
      </c>
      <c r="E697" s="5" t="s">
        <v>605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11" t="s">
        <v>46</v>
      </c>
      <c r="Q697" s="5" t="s">
        <v>46</v>
      </c>
      <c r="R697" s="5" t="str">
        <f t="shared" si="11"/>
        <v/>
      </c>
      <c r="S697" s="5" t="s">
        <v>46</v>
      </c>
      <c r="T697" s="6">
        <v>694</v>
      </c>
      <c r="U697" s="261" t="s">
        <v>3687</v>
      </c>
      <c r="V697" s="232" t="s">
        <v>3752</v>
      </c>
      <c r="W697" s="232">
        <v>-11659.6</v>
      </c>
      <c r="X697" s="232">
        <v>0</v>
      </c>
      <c r="Y697" s="87" t="s">
        <v>3685</v>
      </c>
      <c r="Z697" s="87" t="s">
        <v>50</v>
      </c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261" t="s">
        <v>3687</v>
      </c>
    </row>
    <row r="698" spans="1:43">
      <c r="A698" s="6">
        <v>695</v>
      </c>
      <c r="B698" s="21" t="s">
        <v>3685</v>
      </c>
      <c r="C698" s="5" t="s">
        <v>3753</v>
      </c>
      <c r="D698" s="5" t="s">
        <v>605</v>
      </c>
      <c r="E698" s="5" t="s">
        <v>605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11" t="s">
        <v>46</v>
      </c>
      <c r="Q698" s="5" t="s">
        <v>46</v>
      </c>
      <c r="R698" s="5" t="str">
        <f t="shared" si="11"/>
        <v/>
      </c>
      <c r="S698" s="5" t="s">
        <v>46</v>
      </c>
      <c r="T698" s="6">
        <v>695</v>
      </c>
      <c r="U698" s="261" t="s">
        <v>3687</v>
      </c>
      <c r="V698" s="232" t="s">
        <v>3753</v>
      </c>
      <c r="W698" s="232">
        <v>-13439.1</v>
      </c>
      <c r="X698" s="232">
        <v>0</v>
      </c>
      <c r="Y698" s="87" t="s">
        <v>3685</v>
      </c>
      <c r="Z698" s="87" t="s">
        <v>50</v>
      </c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261" t="s">
        <v>3687</v>
      </c>
    </row>
    <row r="699" spans="1:43">
      <c r="A699" s="6">
        <v>696</v>
      </c>
      <c r="B699" s="21" t="s">
        <v>3685</v>
      </c>
      <c r="C699" s="5" t="s">
        <v>3754</v>
      </c>
      <c r="D699" s="5" t="s">
        <v>605</v>
      </c>
      <c r="E699" s="5" t="s">
        <v>605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11" t="s">
        <v>46</v>
      </c>
      <c r="Q699" s="5" t="s">
        <v>46</v>
      </c>
      <c r="R699" s="5" t="str">
        <f t="shared" si="11"/>
        <v/>
      </c>
      <c r="S699" s="5" t="s">
        <v>46</v>
      </c>
      <c r="T699" s="6">
        <v>696</v>
      </c>
      <c r="U699" s="261" t="s">
        <v>3687</v>
      </c>
      <c r="V699" s="232" t="s">
        <v>3754</v>
      </c>
      <c r="W699" s="232">
        <v>11024.6</v>
      </c>
      <c r="X699" s="232">
        <v>0</v>
      </c>
      <c r="Y699" s="87" t="s">
        <v>3685</v>
      </c>
      <c r="Z699" s="87" t="s">
        <v>50</v>
      </c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261" t="s">
        <v>3687</v>
      </c>
    </row>
    <row r="700" spans="1:43">
      <c r="A700" s="6">
        <v>697</v>
      </c>
      <c r="B700" s="21" t="s">
        <v>3685</v>
      </c>
      <c r="C700" s="5" t="s">
        <v>3755</v>
      </c>
      <c r="D700" s="5" t="s">
        <v>605</v>
      </c>
      <c r="E700" s="5" t="s">
        <v>605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11" t="s">
        <v>46</v>
      </c>
      <c r="Q700" s="5" t="s">
        <v>46</v>
      </c>
      <c r="R700" s="5" t="str">
        <f t="shared" si="11"/>
        <v/>
      </c>
      <c r="S700" s="5" t="s">
        <v>46</v>
      </c>
      <c r="T700" s="6">
        <v>697</v>
      </c>
      <c r="U700" s="261" t="s">
        <v>3687</v>
      </c>
      <c r="V700" s="232" t="s">
        <v>3755</v>
      </c>
      <c r="W700" s="232">
        <v>10313.4</v>
      </c>
      <c r="X700" s="232">
        <v>0</v>
      </c>
      <c r="Y700" s="87" t="s">
        <v>3685</v>
      </c>
      <c r="Z700" s="87" t="s">
        <v>50</v>
      </c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261" t="s">
        <v>3687</v>
      </c>
    </row>
    <row r="701" spans="1:43">
      <c r="A701" s="6">
        <v>698</v>
      </c>
      <c r="B701" s="21" t="s">
        <v>3685</v>
      </c>
      <c r="C701" s="5" t="s">
        <v>3756</v>
      </c>
      <c r="D701" s="5" t="s">
        <v>605</v>
      </c>
      <c r="E701" s="5" t="s">
        <v>605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11" t="s">
        <v>46</v>
      </c>
      <c r="Q701" s="5" t="s">
        <v>46</v>
      </c>
      <c r="R701" s="5" t="str">
        <f t="shared" si="11"/>
        <v/>
      </c>
      <c r="S701" s="5" t="s">
        <v>46</v>
      </c>
      <c r="T701" s="6">
        <v>698</v>
      </c>
      <c r="U701" s="261" t="s">
        <v>3687</v>
      </c>
      <c r="V701" s="232" t="s">
        <v>3756</v>
      </c>
      <c r="W701" s="232">
        <v>8179.8</v>
      </c>
      <c r="X701" s="232">
        <v>579.1</v>
      </c>
      <c r="Y701" s="87" t="s">
        <v>3685</v>
      </c>
      <c r="Z701" s="87" t="s">
        <v>50</v>
      </c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261" t="s">
        <v>3687</v>
      </c>
    </row>
    <row r="702" spans="1:43">
      <c r="A702" s="6">
        <v>699</v>
      </c>
      <c r="B702" s="21" t="s">
        <v>3685</v>
      </c>
      <c r="C702" s="5" t="s">
        <v>3757</v>
      </c>
      <c r="D702" s="5" t="s">
        <v>605</v>
      </c>
      <c r="E702" s="5" t="s">
        <v>605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11" t="s">
        <v>46</v>
      </c>
      <c r="Q702" s="5" t="s">
        <v>46</v>
      </c>
      <c r="R702" s="5" t="str">
        <f t="shared" si="11"/>
        <v/>
      </c>
      <c r="S702" s="5" t="s">
        <v>46</v>
      </c>
      <c r="T702" s="6">
        <v>699</v>
      </c>
      <c r="U702" s="261" t="s">
        <v>3687</v>
      </c>
      <c r="V702" s="232" t="s">
        <v>3757</v>
      </c>
      <c r="W702" s="232">
        <v>7674.8</v>
      </c>
      <c r="X702" s="232">
        <v>579.1</v>
      </c>
      <c r="Y702" s="87" t="s">
        <v>3685</v>
      </c>
      <c r="Z702" s="87" t="s">
        <v>50</v>
      </c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261" t="s">
        <v>3687</v>
      </c>
    </row>
    <row r="703" spans="1:43">
      <c r="A703" s="6">
        <v>700</v>
      </c>
      <c r="B703" s="21" t="s">
        <v>3685</v>
      </c>
      <c r="C703" s="5" t="s">
        <v>3758</v>
      </c>
      <c r="D703" s="5" t="s">
        <v>605</v>
      </c>
      <c r="E703" s="5" t="s">
        <v>605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11" t="s">
        <v>46</v>
      </c>
      <c r="Q703" s="5" t="s">
        <v>46</v>
      </c>
      <c r="R703" s="5" t="str">
        <f t="shared" si="11"/>
        <v/>
      </c>
      <c r="S703" s="5" t="s">
        <v>46</v>
      </c>
      <c r="T703" s="6">
        <v>700</v>
      </c>
      <c r="U703" s="261" t="s">
        <v>3687</v>
      </c>
      <c r="V703" s="232" t="s">
        <v>3758</v>
      </c>
      <c r="W703" s="232">
        <v>6950.9</v>
      </c>
      <c r="X703" s="232">
        <v>579.1</v>
      </c>
      <c r="Y703" s="87" t="s">
        <v>3685</v>
      </c>
      <c r="Z703" s="87" t="s">
        <v>50</v>
      </c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261" t="s">
        <v>3687</v>
      </c>
    </row>
    <row r="704" spans="1:43">
      <c r="A704" s="6">
        <v>701</v>
      </c>
      <c r="B704" s="21" t="s">
        <v>3685</v>
      </c>
      <c r="C704" s="5" t="s">
        <v>3759</v>
      </c>
      <c r="D704" s="5" t="s">
        <v>605</v>
      </c>
      <c r="E704" s="5" t="s">
        <v>605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11" t="s">
        <v>46</v>
      </c>
      <c r="Q704" s="5" t="s">
        <v>46</v>
      </c>
      <c r="R704" s="5" t="str">
        <f t="shared" si="11"/>
        <v/>
      </c>
      <c r="S704" s="5" t="s">
        <v>46</v>
      </c>
      <c r="T704" s="6">
        <v>701</v>
      </c>
      <c r="U704" s="261" t="s">
        <v>3687</v>
      </c>
      <c r="V704" s="232" t="s">
        <v>3759</v>
      </c>
      <c r="W704" s="232">
        <v>6227</v>
      </c>
      <c r="X704" s="232">
        <v>579.1</v>
      </c>
      <c r="Y704" s="87" t="s">
        <v>3685</v>
      </c>
      <c r="Z704" s="87" t="s">
        <v>50</v>
      </c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261" t="s">
        <v>3687</v>
      </c>
    </row>
    <row r="705" spans="1:43">
      <c r="A705" s="6">
        <v>702</v>
      </c>
      <c r="B705" s="21" t="s">
        <v>3685</v>
      </c>
      <c r="C705" s="5" t="s">
        <v>3760</v>
      </c>
      <c r="D705" s="5" t="s">
        <v>605</v>
      </c>
      <c r="E705" s="5" t="s">
        <v>605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11" t="s">
        <v>46</v>
      </c>
      <c r="Q705" s="5" t="s">
        <v>46</v>
      </c>
      <c r="R705" s="5" t="str">
        <f t="shared" si="11"/>
        <v/>
      </c>
      <c r="S705" s="5" t="s">
        <v>46</v>
      </c>
      <c r="T705" s="6">
        <v>702</v>
      </c>
      <c r="U705" s="261" t="s">
        <v>3687</v>
      </c>
      <c r="V705" s="232" t="s">
        <v>3760</v>
      </c>
      <c r="W705" s="232">
        <v>5503.1</v>
      </c>
      <c r="X705" s="232">
        <v>579.1</v>
      </c>
      <c r="Y705" s="87" t="s">
        <v>3685</v>
      </c>
      <c r="Z705" s="87" t="s">
        <v>50</v>
      </c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261" t="s">
        <v>3687</v>
      </c>
    </row>
    <row r="706" spans="1:43">
      <c r="A706" s="6">
        <v>703</v>
      </c>
      <c r="B706" s="21" t="s">
        <v>3685</v>
      </c>
      <c r="C706" s="5" t="s">
        <v>3761</v>
      </c>
      <c r="D706" s="5" t="s">
        <v>605</v>
      </c>
      <c r="E706" s="5" t="s">
        <v>605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11" t="s">
        <v>46</v>
      </c>
      <c r="Q706" s="5" t="s">
        <v>46</v>
      </c>
      <c r="R706" s="5" t="str">
        <f t="shared" si="11"/>
        <v/>
      </c>
      <c r="S706" s="5" t="s">
        <v>46</v>
      </c>
      <c r="T706" s="6">
        <v>703</v>
      </c>
      <c r="U706" s="261" t="s">
        <v>3687</v>
      </c>
      <c r="V706" s="232" t="s">
        <v>3761</v>
      </c>
      <c r="W706" s="232">
        <v>4779.2</v>
      </c>
      <c r="X706" s="232">
        <v>579.1</v>
      </c>
      <c r="Y706" s="87" t="s">
        <v>3685</v>
      </c>
      <c r="Z706" s="87" t="s">
        <v>50</v>
      </c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261" t="s">
        <v>3687</v>
      </c>
    </row>
    <row r="707" spans="1:43">
      <c r="A707" s="6">
        <v>704</v>
      </c>
      <c r="B707" s="21" t="s">
        <v>3685</v>
      </c>
      <c r="C707" s="5" t="s">
        <v>3762</v>
      </c>
      <c r="D707" s="5" t="s">
        <v>605</v>
      </c>
      <c r="E707" s="5" t="s">
        <v>605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11" t="s">
        <v>46</v>
      </c>
      <c r="Q707" s="5" t="s">
        <v>46</v>
      </c>
      <c r="R707" s="5" t="str">
        <f t="shared" si="11"/>
        <v/>
      </c>
      <c r="S707" s="5" t="s">
        <v>46</v>
      </c>
      <c r="T707" s="6">
        <v>704</v>
      </c>
      <c r="U707" s="261" t="s">
        <v>3687</v>
      </c>
      <c r="V707" s="232" t="s">
        <v>3762</v>
      </c>
      <c r="W707" s="232">
        <v>-4779.2</v>
      </c>
      <c r="X707" s="232">
        <v>579.1</v>
      </c>
      <c r="Y707" s="87" t="s">
        <v>3685</v>
      </c>
      <c r="Z707" s="87" t="s">
        <v>50</v>
      </c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261" t="s">
        <v>3687</v>
      </c>
    </row>
    <row r="708" spans="1:43">
      <c r="A708" s="6">
        <v>705</v>
      </c>
      <c r="B708" s="21" t="s">
        <v>3685</v>
      </c>
      <c r="C708" s="5" t="s">
        <v>3763</v>
      </c>
      <c r="D708" s="5" t="s">
        <v>605</v>
      </c>
      <c r="E708" s="5" t="s">
        <v>605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11" t="s">
        <v>46</v>
      </c>
      <c r="Q708" s="5" t="s">
        <v>46</v>
      </c>
      <c r="R708" s="5" t="str">
        <f t="shared" si="11"/>
        <v/>
      </c>
      <c r="S708" s="5" t="s">
        <v>46</v>
      </c>
      <c r="T708" s="6">
        <v>705</v>
      </c>
      <c r="U708" s="261" t="s">
        <v>3687</v>
      </c>
      <c r="V708" s="232" t="s">
        <v>3763</v>
      </c>
      <c r="W708" s="232">
        <v>-5503.1</v>
      </c>
      <c r="X708" s="232">
        <v>579.1</v>
      </c>
      <c r="Y708" s="87" t="s">
        <v>3685</v>
      </c>
      <c r="Z708" s="87" t="s">
        <v>50</v>
      </c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261" t="s">
        <v>3687</v>
      </c>
    </row>
    <row r="709" spans="1:43">
      <c r="A709" s="6">
        <v>706</v>
      </c>
      <c r="B709" s="21" t="s">
        <v>3685</v>
      </c>
      <c r="C709" s="5" t="s">
        <v>3764</v>
      </c>
      <c r="D709" s="5" t="s">
        <v>605</v>
      </c>
      <c r="E709" s="5" t="s">
        <v>605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11" t="s">
        <v>46</v>
      </c>
      <c r="Q709" s="5" t="s">
        <v>46</v>
      </c>
      <c r="R709" s="5" t="str">
        <f t="shared" ref="R709:R772" si="12">IF(AND(P709="",Q709=""),"",SUM(P709:Q709))</f>
        <v/>
      </c>
      <c r="S709" s="5" t="s">
        <v>46</v>
      </c>
      <c r="T709" s="6">
        <v>706</v>
      </c>
      <c r="U709" s="261" t="s">
        <v>3687</v>
      </c>
      <c r="V709" s="232" t="s">
        <v>3764</v>
      </c>
      <c r="W709" s="232">
        <v>-6227</v>
      </c>
      <c r="X709" s="232">
        <v>579.1</v>
      </c>
      <c r="Y709" s="87" t="s">
        <v>3685</v>
      </c>
      <c r="Z709" s="87" t="s">
        <v>50</v>
      </c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261" t="s">
        <v>3687</v>
      </c>
    </row>
    <row r="710" spans="1:43">
      <c r="A710" s="6">
        <v>707</v>
      </c>
      <c r="B710" s="21" t="s">
        <v>3685</v>
      </c>
      <c r="C710" s="5" t="s">
        <v>3765</v>
      </c>
      <c r="D710" s="5" t="s">
        <v>605</v>
      </c>
      <c r="E710" s="5" t="s">
        <v>605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11" t="s">
        <v>46</v>
      </c>
      <c r="Q710" s="5" t="s">
        <v>46</v>
      </c>
      <c r="R710" s="5" t="str">
        <f t="shared" si="12"/>
        <v/>
      </c>
      <c r="S710" s="5" t="s">
        <v>46</v>
      </c>
      <c r="T710" s="6">
        <v>707</v>
      </c>
      <c r="U710" s="261" t="s">
        <v>3687</v>
      </c>
      <c r="V710" s="232" t="s">
        <v>3765</v>
      </c>
      <c r="W710" s="232">
        <v>-6950.9</v>
      </c>
      <c r="X710" s="232">
        <v>579.1</v>
      </c>
      <c r="Y710" s="87" t="s">
        <v>3685</v>
      </c>
      <c r="Z710" s="87" t="s">
        <v>50</v>
      </c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261" t="s">
        <v>3687</v>
      </c>
    </row>
    <row r="711" spans="1:43">
      <c r="A711" s="6">
        <v>708</v>
      </c>
      <c r="B711" s="21" t="s">
        <v>3685</v>
      </c>
      <c r="C711" s="5" t="s">
        <v>3766</v>
      </c>
      <c r="D711" s="5" t="s">
        <v>605</v>
      </c>
      <c r="E711" s="5" t="s">
        <v>605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11" t="s">
        <v>46</v>
      </c>
      <c r="Q711" s="5" t="s">
        <v>46</v>
      </c>
      <c r="R711" s="5" t="str">
        <f t="shared" si="12"/>
        <v/>
      </c>
      <c r="S711" s="5" t="s">
        <v>46</v>
      </c>
      <c r="T711" s="6">
        <v>708</v>
      </c>
      <c r="U711" s="261" t="s">
        <v>3687</v>
      </c>
      <c r="V711" s="232" t="s">
        <v>3766</v>
      </c>
      <c r="W711" s="232">
        <v>-7674.8</v>
      </c>
      <c r="X711" s="232">
        <v>579.1</v>
      </c>
      <c r="Y711" s="87" t="s">
        <v>3685</v>
      </c>
      <c r="Z711" s="87" t="s">
        <v>50</v>
      </c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261" t="s">
        <v>3687</v>
      </c>
    </row>
    <row r="712" spans="1:43">
      <c r="A712" s="6">
        <v>709</v>
      </c>
      <c r="B712" s="21" t="s">
        <v>3685</v>
      </c>
      <c r="C712" s="5" t="s">
        <v>3767</v>
      </c>
      <c r="D712" s="5" t="s">
        <v>605</v>
      </c>
      <c r="E712" s="5" t="s">
        <v>605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11" t="s">
        <v>46</v>
      </c>
      <c r="Q712" s="5" t="s">
        <v>46</v>
      </c>
      <c r="R712" s="5" t="str">
        <f t="shared" si="12"/>
        <v/>
      </c>
      <c r="S712" s="5" t="s">
        <v>46</v>
      </c>
      <c r="T712" s="6">
        <v>709</v>
      </c>
      <c r="U712" s="261" t="s">
        <v>3687</v>
      </c>
      <c r="V712" s="232" t="s">
        <v>3767</v>
      </c>
      <c r="W712" s="232">
        <v>-8179.8</v>
      </c>
      <c r="X712" s="232">
        <v>579.1</v>
      </c>
      <c r="Y712" s="87" t="s">
        <v>3685</v>
      </c>
      <c r="Z712" s="87" t="s">
        <v>50</v>
      </c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261" t="s">
        <v>3687</v>
      </c>
    </row>
    <row r="713" spans="1:43">
      <c r="A713" s="6">
        <v>710</v>
      </c>
      <c r="B713" s="21" t="s">
        <v>3685</v>
      </c>
      <c r="C713" s="5" t="s">
        <v>3768</v>
      </c>
      <c r="D713" s="5" t="s">
        <v>605</v>
      </c>
      <c r="E713" s="5" t="s">
        <v>605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11" t="s">
        <v>46</v>
      </c>
      <c r="Q713" s="5" t="s">
        <v>46</v>
      </c>
      <c r="R713" s="5" t="str">
        <f t="shared" si="12"/>
        <v/>
      </c>
      <c r="S713" s="5" t="s">
        <v>46</v>
      </c>
      <c r="T713" s="6">
        <v>710</v>
      </c>
      <c r="U713" s="261" t="s">
        <v>3687</v>
      </c>
      <c r="V713" s="232" t="s">
        <v>3768</v>
      </c>
      <c r="W713" s="232">
        <v>11659.6</v>
      </c>
      <c r="X713" s="232">
        <v>579.1</v>
      </c>
      <c r="Y713" s="87" t="s">
        <v>3685</v>
      </c>
      <c r="Z713" s="87" t="s">
        <v>50</v>
      </c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261" t="s">
        <v>3687</v>
      </c>
    </row>
    <row r="714" spans="1:43">
      <c r="A714" s="6">
        <v>711</v>
      </c>
      <c r="B714" s="21" t="s">
        <v>3685</v>
      </c>
      <c r="C714" s="5" t="s">
        <v>3769</v>
      </c>
      <c r="D714" s="5" t="s">
        <v>605</v>
      </c>
      <c r="E714" s="5" t="s">
        <v>605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11" t="s">
        <v>46</v>
      </c>
      <c r="Q714" s="5" t="s">
        <v>46</v>
      </c>
      <c r="R714" s="5" t="str">
        <f t="shared" si="12"/>
        <v/>
      </c>
      <c r="S714" s="5" t="s">
        <v>46</v>
      </c>
      <c r="T714" s="6">
        <v>711</v>
      </c>
      <c r="U714" s="261" t="s">
        <v>3687</v>
      </c>
      <c r="V714" s="232" t="s">
        <v>3769</v>
      </c>
      <c r="W714" s="232">
        <v>-11659.6</v>
      </c>
      <c r="X714" s="232">
        <v>579.1</v>
      </c>
      <c r="Y714" s="87" t="s">
        <v>3685</v>
      </c>
      <c r="Z714" s="87" t="s">
        <v>50</v>
      </c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261" t="s">
        <v>3687</v>
      </c>
    </row>
    <row r="715" spans="1:43">
      <c r="A715" s="6">
        <v>712</v>
      </c>
      <c r="B715" s="21" t="s">
        <v>3685</v>
      </c>
      <c r="C715" s="5" t="s">
        <v>3770</v>
      </c>
      <c r="D715" s="5" t="s">
        <v>605</v>
      </c>
      <c r="E715" s="5" t="s">
        <v>605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11" t="s">
        <v>46</v>
      </c>
      <c r="Q715" s="5" t="s">
        <v>46</v>
      </c>
      <c r="R715" s="5" t="str">
        <f t="shared" si="12"/>
        <v/>
      </c>
      <c r="S715" s="5" t="s">
        <v>46</v>
      </c>
      <c r="T715" s="6">
        <v>712</v>
      </c>
      <c r="U715" s="261" t="s">
        <v>3687</v>
      </c>
      <c r="V715" s="232" t="s">
        <v>3770</v>
      </c>
      <c r="W715" s="232">
        <v>3098.8</v>
      </c>
      <c r="X715" s="232">
        <v>774.7</v>
      </c>
      <c r="Y715" s="87" t="s">
        <v>3685</v>
      </c>
      <c r="Z715" s="87" t="s">
        <v>50</v>
      </c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261" t="s">
        <v>3687</v>
      </c>
    </row>
    <row r="716" spans="1:43">
      <c r="A716" s="6">
        <v>713</v>
      </c>
      <c r="B716" s="21" t="s">
        <v>3685</v>
      </c>
      <c r="C716" s="5" t="s">
        <v>3771</v>
      </c>
      <c r="D716" s="5" t="s">
        <v>605</v>
      </c>
      <c r="E716" s="5" t="s">
        <v>605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11" t="s">
        <v>46</v>
      </c>
      <c r="Q716" s="5" t="s">
        <v>46</v>
      </c>
      <c r="R716" s="5" t="str">
        <f t="shared" si="12"/>
        <v/>
      </c>
      <c r="S716" s="5" t="s">
        <v>46</v>
      </c>
      <c r="T716" s="6">
        <v>713</v>
      </c>
      <c r="U716" s="261" t="s">
        <v>3687</v>
      </c>
      <c r="V716" s="232" t="s">
        <v>3771</v>
      </c>
      <c r="W716" s="232">
        <v>2324.1</v>
      </c>
      <c r="X716" s="232">
        <v>774.7</v>
      </c>
      <c r="Y716" s="87" t="s">
        <v>3685</v>
      </c>
      <c r="Z716" s="87" t="s">
        <v>50</v>
      </c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261" t="s">
        <v>3687</v>
      </c>
    </row>
    <row r="717" spans="1:43">
      <c r="A717" s="6">
        <v>714</v>
      </c>
      <c r="B717" s="21" t="s">
        <v>3685</v>
      </c>
      <c r="C717" s="5" t="s">
        <v>3772</v>
      </c>
      <c r="D717" s="5" t="s">
        <v>605</v>
      </c>
      <c r="E717" s="5" t="s">
        <v>605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11" t="s">
        <v>46</v>
      </c>
      <c r="Q717" s="5" t="s">
        <v>46</v>
      </c>
      <c r="R717" s="5" t="str">
        <f t="shared" si="12"/>
        <v/>
      </c>
      <c r="S717" s="5" t="s">
        <v>46</v>
      </c>
      <c r="T717" s="6">
        <v>714</v>
      </c>
      <c r="U717" s="261" t="s">
        <v>3687</v>
      </c>
      <c r="V717" s="232" t="s">
        <v>3772</v>
      </c>
      <c r="W717" s="232">
        <v>-3098.8</v>
      </c>
      <c r="X717" s="232">
        <v>774.7</v>
      </c>
      <c r="Y717" s="87" t="s">
        <v>3685</v>
      </c>
      <c r="Z717" s="87" t="s">
        <v>50</v>
      </c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261" t="s">
        <v>3687</v>
      </c>
    </row>
    <row r="718" spans="1:43">
      <c r="A718" s="6">
        <v>715</v>
      </c>
      <c r="B718" s="21" t="s">
        <v>3685</v>
      </c>
      <c r="C718" s="5" t="s">
        <v>3773</v>
      </c>
      <c r="D718" s="5" t="s">
        <v>605</v>
      </c>
      <c r="E718" s="5" t="s">
        <v>605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11" t="s">
        <v>46</v>
      </c>
      <c r="Q718" s="5" t="s">
        <v>46</v>
      </c>
      <c r="R718" s="5" t="str">
        <f t="shared" si="12"/>
        <v/>
      </c>
      <c r="S718" s="5" t="s">
        <v>46</v>
      </c>
      <c r="T718" s="6">
        <v>715</v>
      </c>
      <c r="U718" s="261" t="s">
        <v>3687</v>
      </c>
      <c r="V718" s="232" t="s">
        <v>3773</v>
      </c>
      <c r="W718" s="232">
        <v>6227</v>
      </c>
      <c r="X718" s="232">
        <v>1353.8</v>
      </c>
      <c r="Y718" s="87" t="s">
        <v>3685</v>
      </c>
      <c r="Z718" s="87" t="s">
        <v>50</v>
      </c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261" t="s">
        <v>3687</v>
      </c>
    </row>
    <row r="719" spans="1:43">
      <c r="A719" s="6">
        <v>716</v>
      </c>
      <c r="B719" s="21" t="s">
        <v>3685</v>
      </c>
      <c r="C719" s="5" t="s">
        <v>3774</v>
      </c>
      <c r="D719" s="5" t="s">
        <v>605</v>
      </c>
      <c r="E719" s="5" t="s">
        <v>605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11" t="s">
        <v>46</v>
      </c>
      <c r="Q719" s="5" t="s">
        <v>46</v>
      </c>
      <c r="R719" s="5" t="str">
        <f t="shared" si="12"/>
        <v/>
      </c>
      <c r="S719" s="5" t="s">
        <v>46</v>
      </c>
      <c r="T719" s="6">
        <v>716</v>
      </c>
      <c r="U719" s="261" t="s">
        <v>3687</v>
      </c>
      <c r="V719" s="232" t="s">
        <v>3774</v>
      </c>
      <c r="W719" s="232">
        <v>5503.1</v>
      </c>
      <c r="X719" s="232">
        <v>1353.8</v>
      </c>
      <c r="Y719" s="87" t="s">
        <v>3685</v>
      </c>
      <c r="Z719" s="87" t="s">
        <v>50</v>
      </c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261" t="s">
        <v>3687</v>
      </c>
    </row>
    <row r="720" spans="1:43">
      <c r="A720" s="6">
        <v>717</v>
      </c>
      <c r="B720" s="21" t="s">
        <v>3685</v>
      </c>
      <c r="C720" s="5" t="s">
        <v>3775</v>
      </c>
      <c r="D720" s="5" t="s">
        <v>605</v>
      </c>
      <c r="E720" s="5" t="s">
        <v>605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11" t="s">
        <v>46</v>
      </c>
      <c r="Q720" s="5" t="s">
        <v>46</v>
      </c>
      <c r="R720" s="5" t="str">
        <f t="shared" si="12"/>
        <v/>
      </c>
      <c r="S720" s="5" t="s">
        <v>46</v>
      </c>
      <c r="T720" s="6">
        <v>717</v>
      </c>
      <c r="U720" s="261" t="s">
        <v>3687</v>
      </c>
      <c r="V720" s="232" t="s">
        <v>3775</v>
      </c>
      <c r="W720" s="232">
        <v>4779.2</v>
      </c>
      <c r="X720" s="232">
        <v>1353.8</v>
      </c>
      <c r="Y720" s="87" t="s">
        <v>3685</v>
      </c>
      <c r="Z720" s="87" t="s">
        <v>50</v>
      </c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261" t="s">
        <v>3687</v>
      </c>
    </row>
    <row r="721" spans="1:43">
      <c r="A721" s="6">
        <v>718</v>
      </c>
      <c r="B721" s="21" t="s">
        <v>3685</v>
      </c>
      <c r="C721" s="5" t="s">
        <v>3776</v>
      </c>
      <c r="D721" s="5" t="s">
        <v>605</v>
      </c>
      <c r="E721" s="5" t="s">
        <v>605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11" t="s">
        <v>46</v>
      </c>
      <c r="Q721" s="5" t="s">
        <v>46</v>
      </c>
      <c r="R721" s="5" t="str">
        <f t="shared" si="12"/>
        <v/>
      </c>
      <c r="S721" s="5" t="s">
        <v>46</v>
      </c>
      <c r="T721" s="6">
        <v>718</v>
      </c>
      <c r="U721" s="261" t="s">
        <v>3687</v>
      </c>
      <c r="V721" s="232" t="s">
        <v>3776</v>
      </c>
      <c r="W721" s="232">
        <v>1549.4</v>
      </c>
      <c r="X721" s="232">
        <v>1549.4</v>
      </c>
      <c r="Y721" s="87" t="s">
        <v>3685</v>
      </c>
      <c r="Z721" s="87" t="s">
        <v>50</v>
      </c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261" t="s">
        <v>3687</v>
      </c>
    </row>
    <row r="722" spans="1:43">
      <c r="A722" s="6">
        <v>719</v>
      </c>
      <c r="B722" s="21" t="s">
        <v>3685</v>
      </c>
      <c r="C722" s="5" t="s">
        <v>3777</v>
      </c>
      <c r="D722" s="5" t="s">
        <v>605</v>
      </c>
      <c r="E722" s="5" t="s">
        <v>605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11" t="s">
        <v>46</v>
      </c>
      <c r="Q722" s="5" t="s">
        <v>46</v>
      </c>
      <c r="R722" s="5" t="str">
        <f t="shared" si="12"/>
        <v/>
      </c>
      <c r="S722" s="5" t="s">
        <v>46</v>
      </c>
      <c r="T722" s="6">
        <v>719</v>
      </c>
      <c r="U722" s="261" t="s">
        <v>3687</v>
      </c>
      <c r="V722" s="232" t="s">
        <v>3777</v>
      </c>
      <c r="W722" s="232">
        <v>774.7</v>
      </c>
      <c r="X722" s="232">
        <v>1549.4</v>
      </c>
      <c r="Y722" s="87" t="s">
        <v>3685</v>
      </c>
      <c r="Z722" s="87" t="s">
        <v>50</v>
      </c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261" t="s">
        <v>3687</v>
      </c>
    </row>
    <row r="723" spans="1:43">
      <c r="A723" s="6">
        <v>720</v>
      </c>
      <c r="B723" s="21" t="s">
        <v>3685</v>
      </c>
      <c r="C723" s="5" t="s">
        <v>3778</v>
      </c>
      <c r="D723" s="5" t="s">
        <v>605</v>
      </c>
      <c r="E723" s="5" t="s">
        <v>605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11" t="s">
        <v>46</v>
      </c>
      <c r="Q723" s="5" t="s">
        <v>46</v>
      </c>
      <c r="R723" s="5" t="str">
        <f t="shared" si="12"/>
        <v/>
      </c>
      <c r="S723" s="5" t="s">
        <v>46</v>
      </c>
      <c r="T723" s="6">
        <v>720</v>
      </c>
      <c r="U723" s="261" t="s">
        <v>3687</v>
      </c>
      <c r="V723" s="232" t="s">
        <v>3778</v>
      </c>
      <c r="W723" s="232">
        <v>0</v>
      </c>
      <c r="X723" s="232">
        <v>1549.4</v>
      </c>
      <c r="Y723" s="87" t="s">
        <v>3685</v>
      </c>
      <c r="Z723" s="87" t="s">
        <v>50</v>
      </c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261" t="s">
        <v>3687</v>
      </c>
    </row>
    <row r="724" spans="1:43">
      <c r="A724" s="6">
        <v>721</v>
      </c>
      <c r="B724" s="21" t="s">
        <v>3685</v>
      </c>
      <c r="C724" s="5" t="s">
        <v>3779</v>
      </c>
      <c r="D724" s="5" t="s">
        <v>605</v>
      </c>
      <c r="E724" s="5" t="s">
        <v>605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11" t="s">
        <v>46</v>
      </c>
      <c r="Q724" s="5" t="s">
        <v>46</v>
      </c>
      <c r="R724" s="5" t="str">
        <f t="shared" si="12"/>
        <v/>
      </c>
      <c r="S724" s="5" t="s">
        <v>46</v>
      </c>
      <c r="T724" s="6">
        <v>721</v>
      </c>
      <c r="U724" s="261" t="s">
        <v>3687</v>
      </c>
      <c r="V724" s="232" t="s">
        <v>3779</v>
      </c>
      <c r="W724" s="232">
        <v>-774.7</v>
      </c>
      <c r="X724" s="232">
        <v>1549.4</v>
      </c>
      <c r="Y724" s="87" t="s">
        <v>3685</v>
      </c>
      <c r="Z724" s="87" t="s">
        <v>50</v>
      </c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261" t="s">
        <v>3687</v>
      </c>
    </row>
    <row r="725" spans="1:43">
      <c r="A725" s="6">
        <v>722</v>
      </c>
      <c r="B725" s="21" t="s">
        <v>3685</v>
      </c>
      <c r="C725" s="5" t="s">
        <v>3780</v>
      </c>
      <c r="D725" s="5" t="s">
        <v>605</v>
      </c>
      <c r="E725" s="5" t="s">
        <v>605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11" t="s">
        <v>46</v>
      </c>
      <c r="Q725" s="5" t="s">
        <v>46</v>
      </c>
      <c r="R725" s="5" t="str">
        <f t="shared" si="12"/>
        <v/>
      </c>
      <c r="S725" s="5" t="s">
        <v>46</v>
      </c>
      <c r="T725" s="6">
        <v>722</v>
      </c>
      <c r="U725" s="261" t="s">
        <v>3687</v>
      </c>
      <c r="V725" s="232" t="s">
        <v>3780</v>
      </c>
      <c r="W725" s="232">
        <v>-1549.4</v>
      </c>
      <c r="X725" s="232">
        <v>1549.4</v>
      </c>
      <c r="Y725" s="87" t="s">
        <v>3685</v>
      </c>
      <c r="Z725" s="87" t="s">
        <v>50</v>
      </c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261" t="s">
        <v>3687</v>
      </c>
    </row>
    <row r="726" spans="1:43">
      <c r="A726" s="6">
        <v>723</v>
      </c>
      <c r="B726" s="21" t="s">
        <v>3685</v>
      </c>
      <c r="C726" s="5" t="s">
        <v>3781</v>
      </c>
      <c r="D726" s="5" t="s">
        <v>605</v>
      </c>
      <c r="E726" s="5" t="s">
        <v>605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11" t="s">
        <v>46</v>
      </c>
      <c r="Q726" s="5" t="s">
        <v>46</v>
      </c>
      <c r="R726" s="5" t="str">
        <f t="shared" si="12"/>
        <v/>
      </c>
      <c r="S726" s="5" t="s">
        <v>46</v>
      </c>
      <c r="T726" s="6">
        <v>723</v>
      </c>
      <c r="U726" s="261" t="s">
        <v>3687</v>
      </c>
      <c r="V726" s="232" t="s">
        <v>3781</v>
      </c>
      <c r="W726" s="232">
        <v>-2324.1</v>
      </c>
      <c r="X726" s="232">
        <v>1549.4</v>
      </c>
      <c r="Y726" s="87" t="s">
        <v>3685</v>
      </c>
      <c r="Z726" s="87" t="s">
        <v>50</v>
      </c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261" t="s">
        <v>3687</v>
      </c>
    </row>
    <row r="727" spans="1:43">
      <c r="A727" s="6">
        <v>724</v>
      </c>
      <c r="B727" s="21" t="s">
        <v>3685</v>
      </c>
      <c r="C727" s="5" t="s">
        <v>3782</v>
      </c>
      <c r="D727" s="5" t="s">
        <v>605</v>
      </c>
      <c r="E727" s="5" t="s">
        <v>605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11" t="s">
        <v>46</v>
      </c>
      <c r="Q727" s="5" t="s">
        <v>46</v>
      </c>
      <c r="R727" s="5" t="str">
        <f t="shared" si="12"/>
        <v/>
      </c>
      <c r="S727" s="5" t="s">
        <v>46</v>
      </c>
      <c r="T727" s="6">
        <v>724</v>
      </c>
      <c r="U727" s="261" t="s">
        <v>3687</v>
      </c>
      <c r="V727" s="232" t="s">
        <v>3782</v>
      </c>
      <c r="W727" s="232">
        <v>-3098.8</v>
      </c>
      <c r="X727" s="232">
        <v>1549.4</v>
      </c>
      <c r="Y727" s="87" t="s">
        <v>3685</v>
      </c>
      <c r="Z727" s="87" t="s">
        <v>50</v>
      </c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261" t="s">
        <v>3687</v>
      </c>
    </row>
    <row r="728" spans="1:43">
      <c r="A728" s="6">
        <v>725</v>
      </c>
      <c r="B728" s="21" t="s">
        <v>3685</v>
      </c>
      <c r="C728" s="5" t="s">
        <v>3783</v>
      </c>
      <c r="D728" s="5" t="s">
        <v>605</v>
      </c>
      <c r="E728" s="5" t="s">
        <v>605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11" t="s">
        <v>46</v>
      </c>
      <c r="Q728" s="5" t="s">
        <v>46</v>
      </c>
      <c r="R728" s="5" t="str">
        <f t="shared" si="12"/>
        <v/>
      </c>
      <c r="S728" s="5" t="s">
        <v>46</v>
      </c>
      <c r="T728" s="6">
        <v>725</v>
      </c>
      <c r="U728" s="261" t="s">
        <v>3687</v>
      </c>
      <c r="V728" s="232" t="s">
        <v>3783</v>
      </c>
      <c r="W728" s="232">
        <v>-5503.1</v>
      </c>
      <c r="X728" s="232">
        <v>1353.8</v>
      </c>
      <c r="Y728" s="87" t="s">
        <v>3685</v>
      </c>
      <c r="Z728" s="87" t="s">
        <v>50</v>
      </c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261" t="s">
        <v>3687</v>
      </c>
    </row>
    <row r="729" spans="1:43">
      <c r="A729" s="6">
        <v>726</v>
      </c>
      <c r="B729" s="21" t="s">
        <v>3685</v>
      </c>
      <c r="C729" s="5" t="s">
        <v>3784</v>
      </c>
      <c r="D729" s="5" t="s">
        <v>605</v>
      </c>
      <c r="E729" s="5" t="s">
        <v>605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11" t="s">
        <v>46</v>
      </c>
      <c r="Q729" s="5" t="s">
        <v>46</v>
      </c>
      <c r="R729" s="5" t="str">
        <f t="shared" si="12"/>
        <v/>
      </c>
      <c r="S729" s="5" t="s">
        <v>46</v>
      </c>
      <c r="T729" s="6">
        <v>726</v>
      </c>
      <c r="U729" s="261" t="s">
        <v>3687</v>
      </c>
      <c r="V729" s="232" t="s">
        <v>3784</v>
      </c>
      <c r="W729" s="232">
        <v>13439.1</v>
      </c>
      <c r="X729" s="232">
        <v>1677.7</v>
      </c>
      <c r="Y729" s="87" t="s">
        <v>3685</v>
      </c>
      <c r="Z729" s="87" t="s">
        <v>50</v>
      </c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261" t="s">
        <v>3687</v>
      </c>
    </row>
    <row r="730" spans="1:43">
      <c r="A730" s="6">
        <v>727</v>
      </c>
      <c r="B730" s="21" t="s">
        <v>3685</v>
      </c>
      <c r="C730" s="5" t="s">
        <v>3785</v>
      </c>
      <c r="D730" s="5" t="s">
        <v>605</v>
      </c>
      <c r="E730" s="5" t="s">
        <v>605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11" t="s">
        <v>46</v>
      </c>
      <c r="Q730" s="5" t="s">
        <v>46</v>
      </c>
      <c r="R730" s="5" t="str">
        <f t="shared" si="12"/>
        <v/>
      </c>
      <c r="S730" s="5" t="s">
        <v>46</v>
      </c>
      <c r="T730" s="6">
        <v>727</v>
      </c>
      <c r="U730" s="261" t="s">
        <v>3687</v>
      </c>
      <c r="V730" s="232" t="s">
        <v>3785</v>
      </c>
      <c r="W730" s="232">
        <v>8271.2999999999993</v>
      </c>
      <c r="X730" s="232">
        <v>2014.2</v>
      </c>
      <c r="Y730" s="87" t="s">
        <v>3685</v>
      </c>
      <c r="Z730" s="87" t="s">
        <v>50</v>
      </c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261" t="s">
        <v>3687</v>
      </c>
    </row>
    <row r="731" spans="1:43">
      <c r="A731" s="6">
        <v>728</v>
      </c>
      <c r="B731" s="21" t="s">
        <v>3685</v>
      </c>
      <c r="C731" s="5" t="s">
        <v>3786</v>
      </c>
      <c r="D731" s="5" t="s">
        <v>605</v>
      </c>
      <c r="E731" s="5" t="s">
        <v>605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11" t="s">
        <v>46</v>
      </c>
      <c r="Q731" s="5" t="s">
        <v>46</v>
      </c>
      <c r="R731" s="5" t="str">
        <f t="shared" si="12"/>
        <v/>
      </c>
      <c r="S731" s="5" t="s">
        <v>46</v>
      </c>
      <c r="T731" s="6">
        <v>728</v>
      </c>
      <c r="U731" s="261" t="s">
        <v>3687</v>
      </c>
      <c r="V731" s="232" t="s">
        <v>3786</v>
      </c>
      <c r="W731" s="232">
        <v>-8271.2999999999993</v>
      </c>
      <c r="X731" s="232">
        <v>2014.2</v>
      </c>
      <c r="Y731" s="87" t="s">
        <v>3685</v>
      </c>
      <c r="Z731" s="87" t="s">
        <v>50</v>
      </c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261" t="s">
        <v>3687</v>
      </c>
    </row>
    <row r="732" spans="1:43">
      <c r="A732" s="6">
        <v>729</v>
      </c>
      <c r="B732" s="21" t="s">
        <v>3685</v>
      </c>
      <c r="C732" s="5" t="s">
        <v>3787</v>
      </c>
      <c r="D732" s="5" t="s">
        <v>605</v>
      </c>
      <c r="E732" s="5" t="s">
        <v>605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11" t="s">
        <v>46</v>
      </c>
      <c r="Q732" s="5" t="s">
        <v>46</v>
      </c>
      <c r="R732" s="5" t="str">
        <f t="shared" si="12"/>
        <v/>
      </c>
      <c r="S732" s="5" t="s">
        <v>46</v>
      </c>
      <c r="T732" s="6">
        <v>729</v>
      </c>
      <c r="U732" s="261" t="s">
        <v>3687</v>
      </c>
      <c r="V732" s="232" t="s">
        <v>3787</v>
      </c>
      <c r="W732" s="232">
        <v>-13439.1</v>
      </c>
      <c r="X732" s="232">
        <v>1677.7</v>
      </c>
      <c r="Y732" s="87" t="s">
        <v>3685</v>
      </c>
      <c r="Z732" s="87" t="s">
        <v>50</v>
      </c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261" t="s">
        <v>3687</v>
      </c>
    </row>
    <row r="733" spans="1:43">
      <c r="A733" s="6">
        <v>730</v>
      </c>
      <c r="B733" s="21" t="s">
        <v>3685</v>
      </c>
      <c r="C733" s="5" t="s">
        <v>3788</v>
      </c>
      <c r="D733" s="5" t="s">
        <v>605</v>
      </c>
      <c r="E733" s="5" t="s">
        <v>605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11" t="s">
        <v>46</v>
      </c>
      <c r="Q733" s="5" t="s">
        <v>46</v>
      </c>
      <c r="R733" s="5" t="str">
        <f t="shared" si="12"/>
        <v/>
      </c>
      <c r="S733" s="5" t="s">
        <v>46</v>
      </c>
      <c r="T733" s="6">
        <v>730</v>
      </c>
      <c r="U733" s="261" t="s">
        <v>3687</v>
      </c>
      <c r="V733" s="232" t="s">
        <v>3788</v>
      </c>
      <c r="W733" s="232">
        <v>6227</v>
      </c>
      <c r="X733" s="232">
        <v>2344.5</v>
      </c>
      <c r="Y733" s="87" t="s">
        <v>3685</v>
      </c>
      <c r="Z733" s="87" t="s">
        <v>50</v>
      </c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261" t="s">
        <v>3687</v>
      </c>
    </row>
    <row r="734" spans="1:43">
      <c r="A734" s="6">
        <v>731</v>
      </c>
      <c r="B734" s="21" t="s">
        <v>3685</v>
      </c>
      <c r="C734" s="5" t="s">
        <v>3789</v>
      </c>
      <c r="D734" s="5" t="s">
        <v>605</v>
      </c>
      <c r="E734" s="5" t="s">
        <v>605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11" t="s">
        <v>46</v>
      </c>
      <c r="Q734" s="5" t="s">
        <v>46</v>
      </c>
      <c r="R734" s="5" t="str">
        <f t="shared" si="12"/>
        <v/>
      </c>
      <c r="S734" s="5" t="s">
        <v>46</v>
      </c>
      <c r="T734" s="6">
        <v>731</v>
      </c>
      <c r="U734" s="261" t="s">
        <v>3687</v>
      </c>
      <c r="V734" s="232" t="s">
        <v>3789</v>
      </c>
      <c r="W734" s="232">
        <v>-4779.2</v>
      </c>
      <c r="X734" s="232">
        <v>2344.5</v>
      </c>
      <c r="Y734" s="87" t="s">
        <v>3685</v>
      </c>
      <c r="Z734" s="87" t="s">
        <v>50</v>
      </c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261" t="s">
        <v>3687</v>
      </c>
    </row>
    <row r="735" spans="1:43">
      <c r="A735" s="6">
        <v>732</v>
      </c>
      <c r="B735" s="21" t="s">
        <v>3685</v>
      </c>
      <c r="C735" s="5" t="s">
        <v>3790</v>
      </c>
      <c r="D735" s="5" t="s">
        <v>605</v>
      </c>
      <c r="E735" s="5" t="s">
        <v>605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11" t="s">
        <v>46</v>
      </c>
      <c r="Q735" s="5" t="s">
        <v>46</v>
      </c>
      <c r="R735" s="5" t="str">
        <f t="shared" si="12"/>
        <v/>
      </c>
      <c r="S735" s="5" t="s">
        <v>46</v>
      </c>
      <c r="T735" s="6">
        <v>732</v>
      </c>
      <c r="U735" s="261" t="s">
        <v>3687</v>
      </c>
      <c r="V735" s="232" t="s">
        <v>3790</v>
      </c>
      <c r="W735" s="232">
        <v>-5503.1</v>
      </c>
      <c r="X735" s="232">
        <v>2344.5</v>
      </c>
      <c r="Y735" s="87" t="s">
        <v>3685</v>
      </c>
      <c r="Z735" s="87" t="s">
        <v>50</v>
      </c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261" t="s">
        <v>3687</v>
      </c>
    </row>
    <row r="736" spans="1:43">
      <c r="A736" s="6">
        <v>733</v>
      </c>
      <c r="B736" s="21" t="s">
        <v>3685</v>
      </c>
      <c r="C736" s="5" t="s">
        <v>3791</v>
      </c>
      <c r="D736" s="5" t="s">
        <v>605</v>
      </c>
      <c r="E736" s="5" t="s">
        <v>605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11" t="s">
        <v>46</v>
      </c>
      <c r="Q736" s="5" t="s">
        <v>46</v>
      </c>
      <c r="R736" s="5" t="str">
        <f t="shared" si="12"/>
        <v/>
      </c>
      <c r="S736" s="5" t="s">
        <v>46</v>
      </c>
      <c r="T736" s="6">
        <v>733</v>
      </c>
      <c r="U736" s="261" t="s">
        <v>3687</v>
      </c>
      <c r="V736" s="232" t="s">
        <v>3791</v>
      </c>
      <c r="W736" s="232">
        <v>-6227</v>
      </c>
      <c r="X736" s="232">
        <v>2344.5</v>
      </c>
      <c r="Y736" s="87" t="s">
        <v>3685</v>
      </c>
      <c r="Z736" s="87" t="s">
        <v>50</v>
      </c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261" t="s">
        <v>3687</v>
      </c>
    </row>
    <row r="737" spans="1:43">
      <c r="A737" s="6">
        <v>734</v>
      </c>
      <c r="B737" s="21" t="s">
        <v>3685</v>
      </c>
      <c r="C737" s="5" t="s">
        <v>3792</v>
      </c>
      <c r="D737" s="5" t="s">
        <v>605</v>
      </c>
      <c r="E737" s="5" t="s">
        <v>605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11" t="s">
        <v>46</v>
      </c>
      <c r="Q737" s="5" t="s">
        <v>46</v>
      </c>
      <c r="R737" s="5" t="str">
        <f t="shared" si="12"/>
        <v/>
      </c>
      <c r="S737" s="5" t="s">
        <v>46</v>
      </c>
      <c r="T737" s="6">
        <v>734</v>
      </c>
      <c r="U737" s="261" t="s">
        <v>3687</v>
      </c>
      <c r="V737" s="232" t="s">
        <v>3792</v>
      </c>
      <c r="W737" s="232">
        <v>3897.3</v>
      </c>
      <c r="X737" s="232">
        <v>2975.7</v>
      </c>
      <c r="Y737" s="87" t="s">
        <v>3685</v>
      </c>
      <c r="Z737" s="87" t="s">
        <v>50</v>
      </c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261" t="s">
        <v>3687</v>
      </c>
    </row>
    <row r="738" spans="1:43">
      <c r="A738" s="6">
        <v>735</v>
      </c>
      <c r="B738" s="21" t="s">
        <v>3685</v>
      </c>
      <c r="C738" s="5" t="s">
        <v>3793</v>
      </c>
      <c r="D738" s="5" t="s">
        <v>605</v>
      </c>
      <c r="E738" s="5" t="s">
        <v>605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11" t="s">
        <v>46</v>
      </c>
      <c r="Q738" s="5" t="s">
        <v>46</v>
      </c>
      <c r="R738" s="5" t="str">
        <f t="shared" si="12"/>
        <v/>
      </c>
      <c r="S738" s="5" t="s">
        <v>46</v>
      </c>
      <c r="T738" s="6">
        <v>735</v>
      </c>
      <c r="U738" s="261" t="s">
        <v>3687</v>
      </c>
      <c r="V738" s="232" t="s">
        <v>3793</v>
      </c>
      <c r="W738" s="232">
        <v>0</v>
      </c>
      <c r="X738" s="232">
        <v>2887.3</v>
      </c>
      <c r="Y738" s="87" t="s">
        <v>3685</v>
      </c>
      <c r="Z738" s="87" t="s">
        <v>50</v>
      </c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261" t="s">
        <v>3687</v>
      </c>
    </row>
    <row r="739" spans="1:43">
      <c r="A739" s="6">
        <v>736</v>
      </c>
      <c r="B739" s="21" t="s">
        <v>3685</v>
      </c>
      <c r="C739" s="5" t="s">
        <v>3794</v>
      </c>
      <c r="D739" s="5" t="s">
        <v>605</v>
      </c>
      <c r="E739" s="5" t="s">
        <v>605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11" t="s">
        <v>46</v>
      </c>
      <c r="Q739" s="5" t="s">
        <v>46</v>
      </c>
      <c r="R739" s="5" t="str">
        <f t="shared" si="12"/>
        <v/>
      </c>
      <c r="S739" s="5" t="s">
        <v>46</v>
      </c>
      <c r="T739" s="6">
        <v>736</v>
      </c>
      <c r="U739" s="261" t="s">
        <v>3687</v>
      </c>
      <c r="V739" s="232" t="s">
        <v>3794</v>
      </c>
      <c r="W739" s="232">
        <v>-3897.3</v>
      </c>
      <c r="X739" s="232">
        <v>2975.7</v>
      </c>
      <c r="Y739" s="87" t="s">
        <v>3685</v>
      </c>
      <c r="Z739" s="87" t="s">
        <v>50</v>
      </c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261" t="s">
        <v>3687</v>
      </c>
    </row>
    <row r="740" spans="1:43">
      <c r="A740" s="6">
        <v>737</v>
      </c>
      <c r="B740" s="21" t="s">
        <v>3685</v>
      </c>
      <c r="C740" s="5" t="s">
        <v>3795</v>
      </c>
      <c r="D740" s="5" t="s">
        <v>605</v>
      </c>
      <c r="E740" s="5" t="s">
        <v>605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11" t="s">
        <v>46</v>
      </c>
      <c r="Q740" s="5" t="s">
        <v>46</v>
      </c>
      <c r="R740" s="5" t="str">
        <f t="shared" si="12"/>
        <v/>
      </c>
      <c r="S740" s="5" t="s">
        <v>46</v>
      </c>
      <c r="T740" s="6">
        <v>737</v>
      </c>
      <c r="U740" s="261" t="s">
        <v>3687</v>
      </c>
      <c r="V740" s="232" t="s">
        <v>3795</v>
      </c>
      <c r="W740" s="232">
        <v>11659.6</v>
      </c>
      <c r="X740" s="232">
        <v>2776.2</v>
      </c>
      <c r="Y740" s="87" t="s">
        <v>3685</v>
      </c>
      <c r="Z740" s="87" t="s">
        <v>50</v>
      </c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261" t="s">
        <v>3687</v>
      </c>
    </row>
    <row r="741" spans="1:43">
      <c r="A741" s="6">
        <v>738</v>
      </c>
      <c r="B741" s="21" t="s">
        <v>3685</v>
      </c>
      <c r="C741" s="5" t="s">
        <v>3796</v>
      </c>
      <c r="D741" s="5" t="s">
        <v>605</v>
      </c>
      <c r="E741" s="5" t="s">
        <v>605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11" t="s">
        <v>46</v>
      </c>
      <c r="Q741" s="5" t="s">
        <v>46</v>
      </c>
      <c r="R741" s="5" t="str">
        <f t="shared" si="12"/>
        <v/>
      </c>
      <c r="S741" s="5" t="s">
        <v>46</v>
      </c>
      <c r="T741" s="6">
        <v>738</v>
      </c>
      <c r="U741" s="261" t="s">
        <v>3687</v>
      </c>
      <c r="V741" s="232" t="s">
        <v>3796</v>
      </c>
      <c r="W741" s="232">
        <v>-11659.6</v>
      </c>
      <c r="X741" s="232">
        <v>2776.2</v>
      </c>
      <c r="Y741" s="87" t="s">
        <v>3685</v>
      </c>
      <c r="Z741" s="87" t="s">
        <v>50</v>
      </c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261" t="s">
        <v>3687</v>
      </c>
    </row>
    <row r="742" spans="1:43">
      <c r="A742" s="6">
        <v>739</v>
      </c>
      <c r="B742" s="21" t="s">
        <v>3685</v>
      </c>
      <c r="C742" s="5" t="s">
        <v>3797</v>
      </c>
      <c r="D742" s="5" t="s">
        <v>605</v>
      </c>
      <c r="E742" s="5" t="s">
        <v>605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11" t="s">
        <v>46</v>
      </c>
      <c r="Q742" s="5" t="s">
        <v>46</v>
      </c>
      <c r="R742" s="5" t="str">
        <f t="shared" si="12"/>
        <v/>
      </c>
      <c r="S742" s="5" t="s">
        <v>46</v>
      </c>
      <c r="T742" s="6">
        <v>739</v>
      </c>
      <c r="U742" s="261" t="s">
        <v>3687</v>
      </c>
      <c r="V742" s="232" t="s">
        <v>3797</v>
      </c>
      <c r="W742" s="232">
        <v>8272.2999999999993</v>
      </c>
      <c r="X742" s="232">
        <v>3258.8</v>
      </c>
      <c r="Y742" s="87" t="s">
        <v>3685</v>
      </c>
      <c r="Z742" s="87" t="s">
        <v>50</v>
      </c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261" t="s">
        <v>3687</v>
      </c>
    </row>
    <row r="743" spans="1:43">
      <c r="A743" s="6">
        <v>740</v>
      </c>
      <c r="B743" s="21" t="s">
        <v>3685</v>
      </c>
      <c r="C743" s="5" t="s">
        <v>3798</v>
      </c>
      <c r="D743" s="5" t="s">
        <v>605</v>
      </c>
      <c r="E743" s="5" t="s">
        <v>605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11" t="s">
        <v>46</v>
      </c>
      <c r="Q743" s="5" t="s">
        <v>46</v>
      </c>
      <c r="R743" s="5" t="str">
        <f t="shared" si="12"/>
        <v/>
      </c>
      <c r="S743" s="5" t="s">
        <v>46</v>
      </c>
      <c r="T743" s="6">
        <v>740</v>
      </c>
      <c r="U743" s="261" t="s">
        <v>3687</v>
      </c>
      <c r="V743" s="232" t="s">
        <v>3798</v>
      </c>
      <c r="W743" s="232">
        <v>6227</v>
      </c>
      <c r="X743" s="232">
        <v>3335.2</v>
      </c>
      <c r="Y743" s="87" t="s">
        <v>3685</v>
      </c>
      <c r="Z743" s="87" t="s">
        <v>50</v>
      </c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261" t="s">
        <v>3687</v>
      </c>
    </row>
    <row r="744" spans="1:43">
      <c r="A744" s="6">
        <v>741</v>
      </c>
      <c r="B744" s="21" t="s">
        <v>3685</v>
      </c>
      <c r="C744" s="5" t="s">
        <v>3799</v>
      </c>
      <c r="D744" s="5" t="s">
        <v>605</v>
      </c>
      <c r="E744" s="5" t="s">
        <v>605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11" t="s">
        <v>46</v>
      </c>
      <c r="Q744" s="5" t="s">
        <v>46</v>
      </c>
      <c r="R744" s="5" t="str">
        <f t="shared" si="12"/>
        <v/>
      </c>
      <c r="S744" s="5" t="s">
        <v>46</v>
      </c>
      <c r="T744" s="6">
        <v>741</v>
      </c>
      <c r="U744" s="261" t="s">
        <v>3687</v>
      </c>
      <c r="V744" s="232" t="s">
        <v>3799</v>
      </c>
      <c r="W744" s="232">
        <v>3942.6</v>
      </c>
      <c r="X744" s="232">
        <v>3505.8</v>
      </c>
      <c r="Y744" s="87" t="s">
        <v>3685</v>
      </c>
      <c r="Z744" s="87" t="s">
        <v>50</v>
      </c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261" t="s">
        <v>3687</v>
      </c>
    </row>
    <row r="745" spans="1:43">
      <c r="A745" s="6">
        <v>742</v>
      </c>
      <c r="B745" s="21" t="s">
        <v>3685</v>
      </c>
      <c r="C745" s="5" t="s">
        <v>3800</v>
      </c>
      <c r="D745" s="5" t="s">
        <v>605</v>
      </c>
      <c r="E745" s="5" t="s">
        <v>605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11" t="s">
        <v>46</v>
      </c>
      <c r="Q745" s="5" t="s">
        <v>46</v>
      </c>
      <c r="R745" s="5" t="str">
        <f t="shared" si="12"/>
        <v/>
      </c>
      <c r="S745" s="5" t="s">
        <v>46</v>
      </c>
      <c r="T745" s="6">
        <v>742</v>
      </c>
      <c r="U745" s="261" t="s">
        <v>3687</v>
      </c>
      <c r="V745" s="232" t="s">
        <v>3800</v>
      </c>
      <c r="W745" s="232">
        <v>3335.2</v>
      </c>
      <c r="X745" s="232">
        <v>3249.2</v>
      </c>
      <c r="Y745" s="87" t="s">
        <v>3685</v>
      </c>
      <c r="Z745" s="87" t="s">
        <v>50</v>
      </c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261" t="s">
        <v>3687</v>
      </c>
    </row>
    <row r="746" spans="1:43">
      <c r="A746" s="6">
        <v>743</v>
      </c>
      <c r="B746" s="21" t="s">
        <v>3685</v>
      </c>
      <c r="C746" s="5" t="s">
        <v>3801</v>
      </c>
      <c r="D746" s="5" t="s">
        <v>605</v>
      </c>
      <c r="E746" s="5" t="s">
        <v>605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11" t="s">
        <v>46</v>
      </c>
      <c r="Q746" s="5" t="s">
        <v>46</v>
      </c>
      <c r="R746" s="5" t="str">
        <f t="shared" si="12"/>
        <v/>
      </c>
      <c r="S746" s="5" t="s">
        <v>46</v>
      </c>
      <c r="T746" s="6">
        <v>743</v>
      </c>
      <c r="U746" s="261" t="s">
        <v>3687</v>
      </c>
      <c r="V746" s="232" t="s">
        <v>3801</v>
      </c>
      <c r="W746" s="232">
        <v>2344.5</v>
      </c>
      <c r="X746" s="232">
        <v>3249.2</v>
      </c>
      <c r="Y746" s="87" t="s">
        <v>3685</v>
      </c>
      <c r="Z746" s="87" t="s">
        <v>50</v>
      </c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261" t="s">
        <v>3687</v>
      </c>
    </row>
    <row r="747" spans="1:43">
      <c r="A747" s="6">
        <v>744</v>
      </c>
      <c r="B747" s="21" t="s">
        <v>3685</v>
      </c>
      <c r="C747" s="5" t="s">
        <v>3802</v>
      </c>
      <c r="D747" s="5" t="s">
        <v>605</v>
      </c>
      <c r="E747" s="5" t="s">
        <v>605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11" t="s">
        <v>46</v>
      </c>
      <c r="Q747" s="5" t="s">
        <v>46</v>
      </c>
      <c r="R747" s="5" t="str">
        <f t="shared" si="12"/>
        <v/>
      </c>
      <c r="S747" s="5" t="s">
        <v>46</v>
      </c>
      <c r="T747" s="6">
        <v>744</v>
      </c>
      <c r="U747" s="261" t="s">
        <v>3687</v>
      </c>
      <c r="V747" s="232" t="s">
        <v>3802</v>
      </c>
      <c r="W747" s="232">
        <v>579.1</v>
      </c>
      <c r="X747" s="232">
        <v>3249.2</v>
      </c>
      <c r="Y747" s="87" t="s">
        <v>3685</v>
      </c>
      <c r="Z747" s="87" t="s">
        <v>50</v>
      </c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261" t="s">
        <v>3687</v>
      </c>
    </row>
    <row r="748" spans="1:43">
      <c r="A748" s="6">
        <v>745</v>
      </c>
      <c r="B748" s="21" t="s">
        <v>3685</v>
      </c>
      <c r="C748" s="5" t="s">
        <v>3803</v>
      </c>
      <c r="D748" s="5" t="s">
        <v>605</v>
      </c>
      <c r="E748" s="5" t="s">
        <v>605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11" t="s">
        <v>46</v>
      </c>
      <c r="Q748" s="5" t="s">
        <v>46</v>
      </c>
      <c r="R748" s="5" t="str">
        <f t="shared" si="12"/>
        <v/>
      </c>
      <c r="S748" s="5" t="s">
        <v>46</v>
      </c>
      <c r="T748" s="6">
        <v>745</v>
      </c>
      <c r="U748" s="261" t="s">
        <v>3687</v>
      </c>
      <c r="V748" s="232" t="s">
        <v>3803</v>
      </c>
      <c r="W748" s="232">
        <v>-579.1</v>
      </c>
      <c r="X748" s="232">
        <v>3249.2</v>
      </c>
      <c r="Y748" s="87" t="s">
        <v>3685</v>
      </c>
      <c r="Z748" s="87" t="s">
        <v>50</v>
      </c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261" t="s">
        <v>3687</v>
      </c>
    </row>
    <row r="749" spans="1:43">
      <c r="A749" s="6">
        <v>746</v>
      </c>
      <c r="B749" s="21" t="s">
        <v>3685</v>
      </c>
      <c r="C749" s="5" t="s">
        <v>3804</v>
      </c>
      <c r="D749" s="5" t="s">
        <v>605</v>
      </c>
      <c r="E749" s="5" t="s">
        <v>605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11" t="s">
        <v>46</v>
      </c>
      <c r="Q749" s="5" t="s">
        <v>46</v>
      </c>
      <c r="R749" s="5" t="str">
        <f t="shared" si="12"/>
        <v/>
      </c>
      <c r="S749" s="5" t="s">
        <v>46</v>
      </c>
      <c r="T749" s="6">
        <v>746</v>
      </c>
      <c r="U749" s="261" t="s">
        <v>3687</v>
      </c>
      <c r="V749" s="232" t="s">
        <v>3804</v>
      </c>
      <c r="W749" s="232">
        <v>-1353.8</v>
      </c>
      <c r="X749" s="232">
        <v>3249.2</v>
      </c>
      <c r="Y749" s="87" t="s">
        <v>3685</v>
      </c>
      <c r="Z749" s="87" t="s">
        <v>50</v>
      </c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261" t="s">
        <v>3687</v>
      </c>
    </row>
    <row r="750" spans="1:43">
      <c r="A750" s="6">
        <v>747</v>
      </c>
      <c r="B750" s="21" t="s">
        <v>3685</v>
      </c>
      <c r="C750" s="5" t="s">
        <v>3805</v>
      </c>
      <c r="D750" s="5" t="s">
        <v>605</v>
      </c>
      <c r="E750" s="5" t="s">
        <v>605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11" t="s">
        <v>46</v>
      </c>
      <c r="Q750" s="5" t="s">
        <v>46</v>
      </c>
      <c r="R750" s="5" t="str">
        <f t="shared" si="12"/>
        <v/>
      </c>
      <c r="S750" s="5" t="s">
        <v>46</v>
      </c>
      <c r="T750" s="6">
        <v>747</v>
      </c>
      <c r="U750" s="261" t="s">
        <v>3687</v>
      </c>
      <c r="V750" s="232" t="s">
        <v>3805</v>
      </c>
      <c r="W750" s="232">
        <v>-2344.5</v>
      </c>
      <c r="X750" s="232">
        <v>3249.2</v>
      </c>
      <c r="Y750" s="87" t="s">
        <v>3685</v>
      </c>
      <c r="Z750" s="87" t="s">
        <v>50</v>
      </c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261" t="s">
        <v>3687</v>
      </c>
    </row>
    <row r="751" spans="1:43">
      <c r="A751" s="6">
        <v>748</v>
      </c>
      <c r="B751" s="21" t="s">
        <v>3685</v>
      </c>
      <c r="C751" s="5" t="s">
        <v>3806</v>
      </c>
      <c r="D751" s="5" t="s">
        <v>605</v>
      </c>
      <c r="E751" s="5" t="s">
        <v>605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11" t="s">
        <v>46</v>
      </c>
      <c r="Q751" s="5" t="s">
        <v>46</v>
      </c>
      <c r="R751" s="5" t="str">
        <f t="shared" si="12"/>
        <v/>
      </c>
      <c r="S751" s="5" t="s">
        <v>46</v>
      </c>
      <c r="T751" s="6">
        <v>748</v>
      </c>
      <c r="U751" s="261" t="s">
        <v>3687</v>
      </c>
      <c r="V751" s="232" t="s">
        <v>3806</v>
      </c>
      <c r="W751" s="232">
        <v>-3335.2</v>
      </c>
      <c r="X751" s="232">
        <v>3249.2</v>
      </c>
      <c r="Y751" s="87" t="s">
        <v>3685</v>
      </c>
      <c r="Z751" s="87" t="s">
        <v>50</v>
      </c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261" t="s">
        <v>3687</v>
      </c>
    </row>
    <row r="752" spans="1:43">
      <c r="A752" s="6">
        <v>749</v>
      </c>
      <c r="B752" s="21" t="s">
        <v>3685</v>
      </c>
      <c r="C752" s="5" t="s">
        <v>3807</v>
      </c>
      <c r="D752" s="5" t="s">
        <v>605</v>
      </c>
      <c r="E752" s="5" t="s">
        <v>605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11" t="s">
        <v>46</v>
      </c>
      <c r="Q752" s="5" t="s">
        <v>46</v>
      </c>
      <c r="R752" s="5" t="str">
        <f t="shared" si="12"/>
        <v/>
      </c>
      <c r="S752" s="5" t="s">
        <v>46</v>
      </c>
      <c r="T752" s="6">
        <v>749</v>
      </c>
      <c r="U752" s="261" t="s">
        <v>3687</v>
      </c>
      <c r="V752" s="232" t="s">
        <v>3807</v>
      </c>
      <c r="W752" s="232">
        <v>-4779.2</v>
      </c>
      <c r="X752" s="232">
        <v>3335.2</v>
      </c>
      <c r="Y752" s="87" t="s">
        <v>3685</v>
      </c>
      <c r="Z752" s="87" t="s">
        <v>50</v>
      </c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261" t="s">
        <v>3687</v>
      </c>
    </row>
    <row r="753" spans="1:43">
      <c r="A753" s="6">
        <v>750</v>
      </c>
      <c r="B753" s="21" t="s">
        <v>3685</v>
      </c>
      <c r="C753" s="5" t="s">
        <v>3808</v>
      </c>
      <c r="D753" s="5" t="s">
        <v>605</v>
      </c>
      <c r="E753" s="5" t="s">
        <v>605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11" t="s">
        <v>46</v>
      </c>
      <c r="Q753" s="5" t="s">
        <v>46</v>
      </c>
      <c r="R753" s="5" t="str">
        <f t="shared" si="12"/>
        <v/>
      </c>
      <c r="S753" s="5" t="s">
        <v>46</v>
      </c>
      <c r="T753" s="6">
        <v>750</v>
      </c>
      <c r="U753" s="261" t="s">
        <v>3687</v>
      </c>
      <c r="V753" s="232" t="s">
        <v>3808</v>
      </c>
      <c r="W753" s="232">
        <v>-5503.1</v>
      </c>
      <c r="X753" s="232">
        <v>3335.2</v>
      </c>
      <c r="Y753" s="87" t="s">
        <v>3685</v>
      </c>
      <c r="Z753" s="87" t="s">
        <v>50</v>
      </c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261" t="s">
        <v>3687</v>
      </c>
    </row>
    <row r="754" spans="1:43">
      <c r="A754" s="6">
        <v>751</v>
      </c>
      <c r="B754" s="21" t="s">
        <v>3685</v>
      </c>
      <c r="C754" s="5" t="s">
        <v>3809</v>
      </c>
      <c r="D754" s="5" t="s">
        <v>605</v>
      </c>
      <c r="E754" s="5" t="s">
        <v>605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11" t="s">
        <v>46</v>
      </c>
      <c r="Q754" s="5" t="s">
        <v>46</v>
      </c>
      <c r="R754" s="5" t="str">
        <f t="shared" si="12"/>
        <v/>
      </c>
      <c r="S754" s="5" t="s">
        <v>46</v>
      </c>
      <c r="T754" s="6">
        <v>751</v>
      </c>
      <c r="U754" s="261" t="s">
        <v>3687</v>
      </c>
      <c r="V754" s="232" t="s">
        <v>3809</v>
      </c>
      <c r="W754" s="232">
        <v>13439.1</v>
      </c>
      <c r="X754" s="232">
        <v>3874.8</v>
      </c>
      <c r="Y754" s="87" t="s">
        <v>3685</v>
      </c>
      <c r="Z754" s="87" t="s">
        <v>50</v>
      </c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261" t="s">
        <v>3687</v>
      </c>
    </row>
    <row r="755" spans="1:43">
      <c r="A755" s="6">
        <v>752</v>
      </c>
      <c r="B755" s="21" t="s">
        <v>3685</v>
      </c>
      <c r="C755" s="5" t="s">
        <v>3810</v>
      </c>
      <c r="D755" s="5" t="s">
        <v>605</v>
      </c>
      <c r="E755" s="5" t="s">
        <v>605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11" t="s">
        <v>46</v>
      </c>
      <c r="Q755" s="5" t="s">
        <v>46</v>
      </c>
      <c r="R755" s="5" t="str">
        <f t="shared" si="12"/>
        <v/>
      </c>
      <c r="S755" s="5" t="s">
        <v>46</v>
      </c>
      <c r="T755" s="6">
        <v>752</v>
      </c>
      <c r="U755" s="261" t="s">
        <v>3687</v>
      </c>
      <c r="V755" s="232" t="s">
        <v>3810</v>
      </c>
      <c r="W755" s="232">
        <v>5144.7</v>
      </c>
      <c r="X755" s="232">
        <v>3697.5</v>
      </c>
      <c r="Y755" s="87" t="s">
        <v>3685</v>
      </c>
      <c r="Z755" s="87" t="s">
        <v>50</v>
      </c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261" t="s">
        <v>3687</v>
      </c>
    </row>
    <row r="756" spans="1:43">
      <c r="A756" s="6">
        <v>753</v>
      </c>
      <c r="B756" s="21" t="s">
        <v>3685</v>
      </c>
      <c r="C756" s="5" t="s">
        <v>3811</v>
      </c>
      <c r="D756" s="5" t="s">
        <v>605</v>
      </c>
      <c r="E756" s="5" t="s">
        <v>605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11" t="s">
        <v>46</v>
      </c>
      <c r="Q756" s="5" t="s">
        <v>46</v>
      </c>
      <c r="R756" s="5" t="str">
        <f t="shared" si="12"/>
        <v/>
      </c>
      <c r="S756" s="5" t="s">
        <v>46</v>
      </c>
      <c r="T756" s="6">
        <v>753</v>
      </c>
      <c r="U756" s="261" t="s">
        <v>3687</v>
      </c>
      <c r="V756" s="232" t="s">
        <v>3811</v>
      </c>
      <c r="W756" s="232">
        <v>4451.7</v>
      </c>
      <c r="X756" s="232">
        <v>3754.8</v>
      </c>
      <c r="Y756" s="87" t="s">
        <v>3685</v>
      </c>
      <c r="Z756" s="87" t="s">
        <v>50</v>
      </c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261" t="s">
        <v>3687</v>
      </c>
    </row>
    <row r="757" spans="1:43">
      <c r="A757" s="6">
        <v>754</v>
      </c>
      <c r="B757" s="21" t="s">
        <v>3685</v>
      </c>
      <c r="C757" s="5" t="s">
        <v>3812</v>
      </c>
      <c r="D757" s="5" t="s">
        <v>605</v>
      </c>
      <c r="E757" s="5" t="s">
        <v>605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11" t="s">
        <v>46</v>
      </c>
      <c r="Q757" s="5" t="s">
        <v>46</v>
      </c>
      <c r="R757" s="5" t="str">
        <f t="shared" si="12"/>
        <v/>
      </c>
      <c r="S757" s="5" t="s">
        <v>46</v>
      </c>
      <c r="T757" s="6">
        <v>754</v>
      </c>
      <c r="U757" s="261" t="s">
        <v>3687</v>
      </c>
      <c r="V757" s="232" t="s">
        <v>3812</v>
      </c>
      <c r="W757" s="232">
        <v>-13439.1</v>
      </c>
      <c r="X757" s="232">
        <v>3874.8</v>
      </c>
      <c r="Y757" s="87" t="s">
        <v>3685</v>
      </c>
      <c r="Z757" s="87" t="s">
        <v>50</v>
      </c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261" t="s">
        <v>3687</v>
      </c>
    </row>
    <row r="758" spans="1:43">
      <c r="A758" s="6">
        <v>755</v>
      </c>
      <c r="B758" s="21" t="s">
        <v>3685</v>
      </c>
      <c r="C758" s="5" t="s">
        <v>3813</v>
      </c>
      <c r="D758" s="5" t="s">
        <v>605</v>
      </c>
      <c r="E758" s="5" t="s">
        <v>605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11" t="s">
        <v>46</v>
      </c>
      <c r="Q758" s="5" t="s">
        <v>46</v>
      </c>
      <c r="R758" s="5" t="str">
        <f t="shared" si="12"/>
        <v/>
      </c>
      <c r="S758" s="5" t="s">
        <v>46</v>
      </c>
      <c r="T758" s="6">
        <v>755</v>
      </c>
      <c r="U758" s="261" t="s">
        <v>3687</v>
      </c>
      <c r="V758" s="232" t="s">
        <v>3813</v>
      </c>
      <c r="W758" s="232">
        <v>6227</v>
      </c>
      <c r="X758" s="232">
        <v>4325.8999999999996</v>
      </c>
      <c r="Y758" s="87" t="s">
        <v>3685</v>
      </c>
      <c r="Z758" s="87" t="s">
        <v>50</v>
      </c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261" t="s">
        <v>3687</v>
      </c>
    </row>
    <row r="759" spans="1:43">
      <c r="A759" s="6">
        <v>756</v>
      </c>
      <c r="B759" s="21" t="s">
        <v>3685</v>
      </c>
      <c r="C759" s="5" t="s">
        <v>3814</v>
      </c>
      <c r="D759" s="5" t="s">
        <v>605</v>
      </c>
      <c r="E759" s="5" t="s">
        <v>605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11" t="s">
        <v>46</v>
      </c>
      <c r="Q759" s="5" t="s">
        <v>46</v>
      </c>
      <c r="R759" s="5" t="str">
        <f t="shared" si="12"/>
        <v/>
      </c>
      <c r="S759" s="5" t="s">
        <v>46</v>
      </c>
      <c r="T759" s="6">
        <v>756</v>
      </c>
      <c r="U759" s="261" t="s">
        <v>3687</v>
      </c>
      <c r="V759" s="232" t="s">
        <v>3814</v>
      </c>
      <c r="W759" s="232">
        <v>4911.8999999999996</v>
      </c>
      <c r="X759" s="232">
        <v>4151.3999999999996</v>
      </c>
      <c r="Y759" s="87" t="s">
        <v>3685</v>
      </c>
      <c r="Z759" s="87" t="s">
        <v>50</v>
      </c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261" t="s">
        <v>3687</v>
      </c>
    </row>
    <row r="760" spans="1:43">
      <c r="A760" s="6">
        <v>757</v>
      </c>
      <c r="B760" s="21" t="s">
        <v>3685</v>
      </c>
      <c r="C760" s="5" t="s">
        <v>3815</v>
      </c>
      <c r="D760" s="5" t="s">
        <v>605</v>
      </c>
      <c r="E760" s="5" t="s">
        <v>605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11" t="s">
        <v>46</v>
      </c>
      <c r="Q760" s="5" t="s">
        <v>46</v>
      </c>
      <c r="R760" s="5" t="str">
        <f t="shared" si="12"/>
        <v/>
      </c>
      <c r="S760" s="5" t="s">
        <v>46</v>
      </c>
      <c r="T760" s="6">
        <v>757</v>
      </c>
      <c r="U760" s="261" t="s">
        <v>3687</v>
      </c>
      <c r="V760" s="232" t="s">
        <v>3815</v>
      </c>
      <c r="W760" s="232">
        <v>3554.6</v>
      </c>
      <c r="X760" s="232">
        <v>4151.3999999999996</v>
      </c>
      <c r="Y760" s="87" t="s">
        <v>3685</v>
      </c>
      <c r="Z760" s="87" t="s">
        <v>50</v>
      </c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261" t="s">
        <v>3687</v>
      </c>
    </row>
    <row r="761" spans="1:43">
      <c r="A761" s="6">
        <v>758</v>
      </c>
      <c r="B761" s="21" t="s">
        <v>3685</v>
      </c>
      <c r="C761" s="5" t="s">
        <v>3816</v>
      </c>
      <c r="D761" s="5" t="s">
        <v>605</v>
      </c>
      <c r="E761" s="5" t="s">
        <v>605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11" t="s">
        <v>46</v>
      </c>
      <c r="Q761" s="5" t="s">
        <v>46</v>
      </c>
      <c r="R761" s="5" t="str">
        <f t="shared" si="12"/>
        <v/>
      </c>
      <c r="S761" s="5" t="s">
        <v>46</v>
      </c>
      <c r="T761" s="6">
        <v>758</v>
      </c>
      <c r="U761" s="261" t="s">
        <v>3687</v>
      </c>
      <c r="V761" s="232" t="s">
        <v>3816</v>
      </c>
      <c r="W761" s="232">
        <v>825.6</v>
      </c>
      <c r="X761" s="232">
        <v>4151.3999999999996</v>
      </c>
      <c r="Y761" s="87" t="s">
        <v>3685</v>
      </c>
      <c r="Z761" s="87" t="s">
        <v>50</v>
      </c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261" t="s">
        <v>3687</v>
      </c>
    </row>
    <row r="762" spans="1:43">
      <c r="A762" s="6">
        <v>759</v>
      </c>
      <c r="B762" s="21" t="s">
        <v>3685</v>
      </c>
      <c r="C762" s="5" t="s">
        <v>3817</v>
      </c>
      <c r="D762" s="5" t="s">
        <v>605</v>
      </c>
      <c r="E762" s="5" t="s">
        <v>605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11" t="s">
        <v>46</v>
      </c>
      <c r="Q762" s="5" t="s">
        <v>46</v>
      </c>
      <c r="R762" s="5" t="str">
        <f t="shared" si="12"/>
        <v/>
      </c>
      <c r="S762" s="5" t="s">
        <v>46</v>
      </c>
      <c r="T762" s="6">
        <v>759</v>
      </c>
      <c r="U762" s="261" t="s">
        <v>3687</v>
      </c>
      <c r="V762" s="232" t="s">
        <v>3817</v>
      </c>
      <c r="W762" s="232">
        <v>-1903.4</v>
      </c>
      <c r="X762" s="232">
        <v>4151.3999999999996</v>
      </c>
      <c r="Y762" s="87" t="s">
        <v>3685</v>
      </c>
      <c r="Z762" s="87" t="s">
        <v>50</v>
      </c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261" t="s">
        <v>3687</v>
      </c>
    </row>
    <row r="763" spans="1:43">
      <c r="A763" s="6">
        <v>760</v>
      </c>
      <c r="B763" s="21" t="s">
        <v>3685</v>
      </c>
      <c r="C763" s="5" t="s">
        <v>3818</v>
      </c>
      <c r="D763" s="5" t="s">
        <v>605</v>
      </c>
      <c r="E763" s="5" t="s">
        <v>605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11" t="s">
        <v>46</v>
      </c>
      <c r="Q763" s="5" t="s">
        <v>46</v>
      </c>
      <c r="R763" s="5" t="str">
        <f t="shared" si="12"/>
        <v/>
      </c>
      <c r="S763" s="5" t="s">
        <v>46</v>
      </c>
      <c r="T763" s="6">
        <v>760</v>
      </c>
      <c r="U763" s="261" t="s">
        <v>3687</v>
      </c>
      <c r="V763" s="232" t="s">
        <v>3818</v>
      </c>
      <c r="W763" s="232">
        <v>-4632.3999999999996</v>
      </c>
      <c r="X763" s="232">
        <v>4151.3999999999996</v>
      </c>
      <c r="Y763" s="87" t="s">
        <v>3685</v>
      </c>
      <c r="Z763" s="87" t="s">
        <v>50</v>
      </c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261" t="s">
        <v>3687</v>
      </c>
    </row>
    <row r="764" spans="1:43">
      <c r="A764" s="6">
        <v>761</v>
      </c>
      <c r="B764" s="21" t="s">
        <v>3685</v>
      </c>
      <c r="C764" s="5" t="s">
        <v>3819</v>
      </c>
      <c r="D764" s="5" t="s">
        <v>605</v>
      </c>
      <c r="E764" s="5" t="s">
        <v>605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11" t="s">
        <v>46</v>
      </c>
      <c r="Q764" s="5" t="s">
        <v>46</v>
      </c>
      <c r="R764" s="5" t="str">
        <f t="shared" si="12"/>
        <v/>
      </c>
      <c r="S764" s="5" t="s">
        <v>46</v>
      </c>
      <c r="T764" s="6">
        <v>761</v>
      </c>
      <c r="U764" s="261" t="s">
        <v>3687</v>
      </c>
      <c r="V764" s="232" t="s">
        <v>3819</v>
      </c>
      <c r="W764" s="232">
        <v>-6004.1</v>
      </c>
      <c r="X764" s="232">
        <v>4151.3999999999996</v>
      </c>
      <c r="Y764" s="87" t="s">
        <v>3685</v>
      </c>
      <c r="Z764" s="87" t="s">
        <v>50</v>
      </c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261" t="s">
        <v>3687</v>
      </c>
    </row>
    <row r="765" spans="1:43">
      <c r="A765" s="6">
        <v>762</v>
      </c>
      <c r="B765" s="21" t="s">
        <v>3685</v>
      </c>
      <c r="C765" s="5" t="s">
        <v>3820</v>
      </c>
      <c r="D765" s="5" t="s">
        <v>605</v>
      </c>
      <c r="E765" s="5" t="s">
        <v>605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11" t="s">
        <v>46</v>
      </c>
      <c r="Q765" s="5" t="s">
        <v>46</v>
      </c>
      <c r="R765" s="5" t="str">
        <f t="shared" si="12"/>
        <v/>
      </c>
      <c r="S765" s="5" t="s">
        <v>46</v>
      </c>
      <c r="T765" s="6">
        <v>762</v>
      </c>
      <c r="U765" s="261" t="s">
        <v>3687</v>
      </c>
      <c r="V765" s="232" t="s">
        <v>3820</v>
      </c>
      <c r="W765" s="232">
        <v>-6950.9</v>
      </c>
      <c r="X765" s="232">
        <v>4325.8999999999996</v>
      </c>
      <c r="Y765" s="87" t="s">
        <v>3685</v>
      </c>
      <c r="Z765" s="87" t="s">
        <v>50</v>
      </c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261" t="s">
        <v>3687</v>
      </c>
    </row>
    <row r="766" spans="1:43">
      <c r="A766" s="6">
        <v>763</v>
      </c>
      <c r="B766" s="21" t="s">
        <v>3685</v>
      </c>
      <c r="C766" s="5" t="s">
        <v>3821</v>
      </c>
      <c r="D766" s="5" t="s">
        <v>605</v>
      </c>
      <c r="E766" s="5" t="s">
        <v>605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11" t="s">
        <v>46</v>
      </c>
      <c r="Q766" s="5" t="s">
        <v>46</v>
      </c>
      <c r="R766" s="5" t="str">
        <f t="shared" si="12"/>
        <v/>
      </c>
      <c r="S766" s="5" t="s">
        <v>46</v>
      </c>
      <c r="T766" s="6">
        <v>763</v>
      </c>
      <c r="U766" s="261" t="s">
        <v>3687</v>
      </c>
      <c r="V766" s="232" t="s">
        <v>3821</v>
      </c>
      <c r="W766" s="232">
        <v>8272.2999999999993</v>
      </c>
      <c r="X766" s="232">
        <v>4897.1000000000004</v>
      </c>
      <c r="Y766" s="87" t="s">
        <v>3685</v>
      </c>
      <c r="Z766" s="87" t="s">
        <v>50</v>
      </c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261" t="s">
        <v>3687</v>
      </c>
    </row>
    <row r="767" spans="1:43">
      <c r="A767" s="6">
        <v>764</v>
      </c>
      <c r="B767" s="21" t="s">
        <v>3685</v>
      </c>
      <c r="C767" s="5" t="s">
        <v>3822</v>
      </c>
      <c r="D767" s="5" t="s">
        <v>605</v>
      </c>
      <c r="E767" s="5" t="s">
        <v>605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11" t="s">
        <v>46</v>
      </c>
      <c r="Q767" s="5" t="s">
        <v>46</v>
      </c>
      <c r="R767" s="5" t="str">
        <f t="shared" si="12"/>
        <v/>
      </c>
      <c r="S767" s="5" t="s">
        <v>46</v>
      </c>
      <c r="T767" s="6">
        <v>764</v>
      </c>
      <c r="U767" s="261" t="s">
        <v>3687</v>
      </c>
      <c r="V767" s="232" t="s">
        <v>3822</v>
      </c>
      <c r="W767" s="232">
        <v>-8272.2999999999993</v>
      </c>
      <c r="X767" s="232">
        <v>4897.1000000000004</v>
      </c>
      <c r="Y767" s="87" t="s">
        <v>3685</v>
      </c>
      <c r="Z767" s="87" t="s">
        <v>50</v>
      </c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261" t="s">
        <v>3687</v>
      </c>
    </row>
    <row r="768" spans="1:43">
      <c r="A768" s="6">
        <v>765</v>
      </c>
      <c r="B768" s="21" t="s">
        <v>3685</v>
      </c>
      <c r="C768" s="5" t="s">
        <v>3823</v>
      </c>
      <c r="D768" s="5" t="s">
        <v>605</v>
      </c>
      <c r="E768" s="5" t="s">
        <v>605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11" t="s">
        <v>46</v>
      </c>
      <c r="Q768" s="5" t="s">
        <v>46</v>
      </c>
      <c r="R768" s="5" t="str">
        <f t="shared" si="12"/>
        <v/>
      </c>
      <c r="S768" s="5" t="s">
        <v>46</v>
      </c>
      <c r="T768" s="6">
        <v>765</v>
      </c>
      <c r="U768" s="261" t="s">
        <v>3687</v>
      </c>
      <c r="V768" s="232" t="s">
        <v>3823</v>
      </c>
      <c r="W768" s="232">
        <v>11659.6</v>
      </c>
      <c r="X768" s="232">
        <v>4973.3</v>
      </c>
      <c r="Y768" s="87" t="s">
        <v>3685</v>
      </c>
      <c r="Z768" s="87" t="s">
        <v>50</v>
      </c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261" t="s">
        <v>3687</v>
      </c>
    </row>
    <row r="769" spans="1:43">
      <c r="A769" s="6">
        <v>766</v>
      </c>
      <c r="B769" s="21" t="s">
        <v>3685</v>
      </c>
      <c r="C769" s="5" t="s">
        <v>3824</v>
      </c>
      <c r="D769" s="5" t="s">
        <v>605</v>
      </c>
      <c r="E769" s="5" t="s">
        <v>605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11" t="s">
        <v>46</v>
      </c>
      <c r="Q769" s="5" t="s">
        <v>46</v>
      </c>
      <c r="R769" s="5" t="str">
        <f t="shared" si="12"/>
        <v/>
      </c>
      <c r="S769" s="5" t="s">
        <v>46</v>
      </c>
      <c r="T769" s="6">
        <v>766</v>
      </c>
      <c r="U769" s="261" t="s">
        <v>3687</v>
      </c>
      <c r="V769" s="232" t="s">
        <v>3824</v>
      </c>
      <c r="W769" s="232">
        <v>-11659.6</v>
      </c>
      <c r="X769" s="232">
        <v>4973.3</v>
      </c>
      <c r="Y769" s="87" t="s">
        <v>3685</v>
      </c>
      <c r="Z769" s="87" t="s">
        <v>50</v>
      </c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261" t="s">
        <v>3687</v>
      </c>
    </row>
    <row r="770" spans="1:43">
      <c r="A770" s="6">
        <v>767</v>
      </c>
      <c r="B770" s="21" t="s">
        <v>3685</v>
      </c>
      <c r="C770" s="5" t="s">
        <v>3825</v>
      </c>
      <c r="D770" s="5" t="s">
        <v>605</v>
      </c>
      <c r="E770" s="5" t="s">
        <v>605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11" t="s">
        <v>46</v>
      </c>
      <c r="Q770" s="5" t="s">
        <v>46</v>
      </c>
      <c r="R770" s="5" t="str">
        <f t="shared" si="12"/>
        <v/>
      </c>
      <c r="S770" s="5" t="s">
        <v>46</v>
      </c>
      <c r="T770" s="6">
        <v>767</v>
      </c>
      <c r="U770" s="261" t="s">
        <v>3687</v>
      </c>
      <c r="V770" s="232" t="s">
        <v>3825</v>
      </c>
      <c r="W770" s="232">
        <v>6227</v>
      </c>
      <c r="X770" s="232">
        <v>5316.6</v>
      </c>
      <c r="Y770" s="87" t="s">
        <v>3685</v>
      </c>
      <c r="Z770" s="87" t="s">
        <v>50</v>
      </c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261" t="s">
        <v>3687</v>
      </c>
    </row>
    <row r="771" spans="1:43">
      <c r="A771" s="6">
        <v>768</v>
      </c>
      <c r="B771" s="21" t="s">
        <v>3685</v>
      </c>
      <c r="C771" s="5" t="s">
        <v>3826</v>
      </c>
      <c r="D771" s="5" t="s">
        <v>605</v>
      </c>
      <c r="E771" s="5" t="s">
        <v>605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11" t="s">
        <v>46</v>
      </c>
      <c r="Q771" s="5" t="s">
        <v>46</v>
      </c>
      <c r="R771" s="5" t="str">
        <f t="shared" si="12"/>
        <v/>
      </c>
      <c r="S771" s="5" t="s">
        <v>46</v>
      </c>
      <c r="T771" s="6">
        <v>768</v>
      </c>
      <c r="U771" s="261" t="s">
        <v>3687</v>
      </c>
      <c r="V771" s="232" t="s">
        <v>3826</v>
      </c>
      <c r="W771" s="232">
        <v>7752.9</v>
      </c>
      <c r="X771" s="232">
        <v>5874.3</v>
      </c>
      <c r="Y771" s="87" t="s">
        <v>3685</v>
      </c>
      <c r="Z771" s="87" t="s">
        <v>50</v>
      </c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261" t="s">
        <v>3687</v>
      </c>
    </row>
    <row r="772" spans="1:43">
      <c r="A772" s="6">
        <v>769</v>
      </c>
      <c r="B772" s="21" t="s">
        <v>3685</v>
      </c>
      <c r="C772" s="5" t="s">
        <v>3827</v>
      </c>
      <c r="D772" s="5" t="s">
        <v>605</v>
      </c>
      <c r="E772" s="5" t="s">
        <v>605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11" t="s">
        <v>46</v>
      </c>
      <c r="Q772" s="5" t="s">
        <v>46</v>
      </c>
      <c r="R772" s="5" t="str">
        <f t="shared" si="12"/>
        <v/>
      </c>
      <c r="S772" s="5" t="s">
        <v>46</v>
      </c>
      <c r="T772" s="6">
        <v>769</v>
      </c>
      <c r="U772" s="261" t="s">
        <v>3687</v>
      </c>
      <c r="V772" s="232" t="s">
        <v>3827</v>
      </c>
      <c r="W772" s="232">
        <v>6879.6</v>
      </c>
      <c r="X772" s="232">
        <v>5860.8</v>
      </c>
      <c r="Y772" s="87" t="s">
        <v>3685</v>
      </c>
      <c r="Z772" s="87" t="s">
        <v>50</v>
      </c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261" t="s">
        <v>3687</v>
      </c>
    </row>
    <row r="773" spans="1:43">
      <c r="A773" s="6">
        <v>770</v>
      </c>
      <c r="B773" s="21" t="s">
        <v>3685</v>
      </c>
      <c r="C773" s="5" t="s">
        <v>3828</v>
      </c>
      <c r="D773" s="5" t="s">
        <v>605</v>
      </c>
      <c r="E773" s="5" t="s">
        <v>605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11" t="s">
        <v>46</v>
      </c>
      <c r="Q773" s="5" t="s">
        <v>46</v>
      </c>
      <c r="R773" s="5" t="str">
        <f t="shared" ref="R773:R836" si="13">IF(AND(P773="",Q773=""),"",SUM(P773:Q773))</f>
        <v/>
      </c>
      <c r="S773" s="5" t="s">
        <v>46</v>
      </c>
      <c r="T773" s="6">
        <v>770</v>
      </c>
      <c r="U773" s="261" t="s">
        <v>3687</v>
      </c>
      <c r="V773" s="232" t="s">
        <v>3828</v>
      </c>
      <c r="W773" s="232">
        <v>2182.9</v>
      </c>
      <c r="X773" s="232">
        <v>5573.8</v>
      </c>
      <c r="Y773" s="87" t="s">
        <v>3685</v>
      </c>
      <c r="Z773" s="87" t="s">
        <v>50</v>
      </c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261" t="s">
        <v>3687</v>
      </c>
    </row>
    <row r="774" spans="1:43">
      <c r="A774" s="6">
        <v>771</v>
      </c>
      <c r="B774" s="21" t="s">
        <v>3685</v>
      </c>
      <c r="C774" s="5" t="s">
        <v>3829</v>
      </c>
      <c r="D774" s="5" t="s">
        <v>605</v>
      </c>
      <c r="E774" s="5" t="s">
        <v>605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11" t="s">
        <v>46</v>
      </c>
      <c r="Q774" s="5" t="s">
        <v>46</v>
      </c>
      <c r="R774" s="5" t="str">
        <f t="shared" si="13"/>
        <v/>
      </c>
      <c r="S774" s="5" t="s">
        <v>46</v>
      </c>
      <c r="T774" s="6">
        <v>771</v>
      </c>
      <c r="U774" s="261" t="s">
        <v>3687</v>
      </c>
      <c r="V774" s="232" t="s">
        <v>3829</v>
      </c>
      <c r="W774" s="232">
        <v>-546.1</v>
      </c>
      <c r="X774" s="232">
        <v>5573.8</v>
      </c>
      <c r="Y774" s="87" t="s">
        <v>3685</v>
      </c>
      <c r="Z774" s="87" t="s">
        <v>50</v>
      </c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261" t="s">
        <v>3687</v>
      </c>
    </row>
    <row r="775" spans="1:43">
      <c r="A775" s="6">
        <v>772</v>
      </c>
      <c r="B775" s="21" t="s">
        <v>3685</v>
      </c>
      <c r="C775" s="5" t="s">
        <v>3830</v>
      </c>
      <c r="D775" s="5" t="s">
        <v>605</v>
      </c>
      <c r="E775" s="5" t="s">
        <v>605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11" t="s">
        <v>46</v>
      </c>
      <c r="Q775" s="5" t="s">
        <v>46</v>
      </c>
      <c r="R775" s="5" t="str">
        <f t="shared" si="13"/>
        <v/>
      </c>
      <c r="S775" s="5" t="s">
        <v>46</v>
      </c>
      <c r="T775" s="6">
        <v>772</v>
      </c>
      <c r="U775" s="261" t="s">
        <v>3687</v>
      </c>
      <c r="V775" s="232" t="s">
        <v>3830</v>
      </c>
      <c r="W775" s="232">
        <v>-3275.1</v>
      </c>
      <c r="X775" s="232">
        <v>5573.8</v>
      </c>
      <c r="Y775" s="87" t="s">
        <v>3685</v>
      </c>
      <c r="Z775" s="87" t="s">
        <v>50</v>
      </c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261" t="s">
        <v>3687</v>
      </c>
    </row>
    <row r="776" spans="1:43">
      <c r="A776" s="6">
        <v>773</v>
      </c>
      <c r="B776" s="21" t="s">
        <v>3685</v>
      </c>
      <c r="C776" s="5" t="s">
        <v>3831</v>
      </c>
      <c r="D776" s="5" t="s">
        <v>605</v>
      </c>
      <c r="E776" s="5" t="s">
        <v>605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11" t="s">
        <v>46</v>
      </c>
      <c r="Q776" s="5" t="s">
        <v>46</v>
      </c>
      <c r="R776" s="5" t="str">
        <f t="shared" si="13"/>
        <v/>
      </c>
      <c r="S776" s="5" t="s">
        <v>46</v>
      </c>
      <c r="T776" s="6">
        <v>773</v>
      </c>
      <c r="U776" s="261" t="s">
        <v>3687</v>
      </c>
      <c r="V776" s="232" t="s">
        <v>3831</v>
      </c>
      <c r="W776" s="232">
        <v>-6004.1</v>
      </c>
      <c r="X776" s="232">
        <v>5573.8</v>
      </c>
      <c r="Y776" s="87" t="s">
        <v>3685</v>
      </c>
      <c r="Z776" s="87" t="s">
        <v>50</v>
      </c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261" t="s">
        <v>3687</v>
      </c>
    </row>
    <row r="777" spans="1:43">
      <c r="A777" s="6">
        <v>774</v>
      </c>
      <c r="B777" s="21" t="s">
        <v>3685</v>
      </c>
      <c r="C777" s="5" t="s">
        <v>3832</v>
      </c>
      <c r="D777" s="5" t="s">
        <v>605</v>
      </c>
      <c r="E777" s="5" t="s">
        <v>605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11" t="s">
        <v>46</v>
      </c>
      <c r="Q777" s="5" t="s">
        <v>46</v>
      </c>
      <c r="R777" s="5" t="str">
        <f t="shared" si="13"/>
        <v/>
      </c>
      <c r="S777" s="5" t="s">
        <v>46</v>
      </c>
      <c r="T777" s="6">
        <v>774</v>
      </c>
      <c r="U777" s="261" t="s">
        <v>3687</v>
      </c>
      <c r="V777" s="232" t="s">
        <v>3832</v>
      </c>
      <c r="W777" s="232">
        <v>10945.9</v>
      </c>
      <c r="X777" s="232">
        <v>5854.3</v>
      </c>
      <c r="Y777" s="87" t="s">
        <v>3685</v>
      </c>
      <c r="Z777" s="87" t="s">
        <v>50</v>
      </c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261" t="s">
        <v>3687</v>
      </c>
    </row>
    <row r="778" spans="1:43">
      <c r="A778" s="6">
        <v>775</v>
      </c>
      <c r="B778" s="21" t="s">
        <v>3685</v>
      </c>
      <c r="C778" s="5" t="s">
        <v>3833</v>
      </c>
      <c r="D778" s="5" t="s">
        <v>605</v>
      </c>
      <c r="E778" s="5" t="s">
        <v>605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11" t="s">
        <v>46</v>
      </c>
      <c r="Q778" s="5" t="s">
        <v>46</v>
      </c>
      <c r="R778" s="5" t="str">
        <f t="shared" si="13"/>
        <v/>
      </c>
      <c r="S778" s="5" t="s">
        <v>46</v>
      </c>
      <c r="T778" s="6">
        <v>775</v>
      </c>
      <c r="U778" s="261" t="s">
        <v>3687</v>
      </c>
      <c r="V778" s="232" t="s">
        <v>3833</v>
      </c>
      <c r="W778" s="232">
        <v>13439.1</v>
      </c>
      <c r="X778" s="232">
        <v>6071.9</v>
      </c>
      <c r="Y778" s="87" t="s">
        <v>3685</v>
      </c>
      <c r="Z778" s="87" t="s">
        <v>50</v>
      </c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261" t="s">
        <v>3687</v>
      </c>
    </row>
    <row r="779" spans="1:43">
      <c r="A779" s="6">
        <v>776</v>
      </c>
      <c r="B779" s="21" t="s">
        <v>3685</v>
      </c>
      <c r="C779" s="5" t="s">
        <v>3834</v>
      </c>
      <c r="D779" s="5" t="s">
        <v>605</v>
      </c>
      <c r="E779" s="5" t="s">
        <v>605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11" t="s">
        <v>46</v>
      </c>
      <c r="Q779" s="5" t="s">
        <v>46</v>
      </c>
      <c r="R779" s="5" t="str">
        <f t="shared" si="13"/>
        <v/>
      </c>
      <c r="S779" s="5" t="s">
        <v>46</v>
      </c>
      <c r="T779" s="6">
        <v>776</v>
      </c>
      <c r="U779" s="261" t="s">
        <v>3687</v>
      </c>
      <c r="V779" s="232" t="s">
        <v>3834</v>
      </c>
      <c r="W779" s="232">
        <v>4911.8999999999996</v>
      </c>
      <c r="X779" s="232">
        <v>6285</v>
      </c>
      <c r="Y779" s="87" t="s">
        <v>3685</v>
      </c>
      <c r="Z779" s="87" t="s">
        <v>50</v>
      </c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261" t="s">
        <v>3687</v>
      </c>
    </row>
    <row r="780" spans="1:43">
      <c r="A780" s="6">
        <v>777</v>
      </c>
      <c r="B780" s="21" t="s">
        <v>3685</v>
      </c>
      <c r="C780" s="5" t="s">
        <v>3835</v>
      </c>
      <c r="D780" s="5" t="s">
        <v>605</v>
      </c>
      <c r="E780" s="5" t="s">
        <v>605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11" t="s">
        <v>46</v>
      </c>
      <c r="Q780" s="5" t="s">
        <v>46</v>
      </c>
      <c r="R780" s="5" t="str">
        <f t="shared" si="13"/>
        <v/>
      </c>
      <c r="S780" s="5" t="s">
        <v>46</v>
      </c>
      <c r="T780" s="6">
        <v>777</v>
      </c>
      <c r="U780" s="261" t="s">
        <v>3687</v>
      </c>
      <c r="V780" s="232" t="s">
        <v>3835</v>
      </c>
      <c r="W780" s="232">
        <v>3554.6</v>
      </c>
      <c r="X780" s="232">
        <v>6285</v>
      </c>
      <c r="Y780" s="87" t="s">
        <v>3685</v>
      </c>
      <c r="Z780" s="87" t="s">
        <v>50</v>
      </c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261" t="s">
        <v>3687</v>
      </c>
    </row>
    <row r="781" spans="1:43">
      <c r="A781" s="6">
        <v>778</v>
      </c>
      <c r="B781" s="21" t="s">
        <v>3685</v>
      </c>
      <c r="C781" s="5" t="s">
        <v>3836</v>
      </c>
      <c r="D781" s="5" t="s">
        <v>605</v>
      </c>
      <c r="E781" s="5" t="s">
        <v>605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11" t="s">
        <v>46</v>
      </c>
      <c r="Q781" s="5" t="s">
        <v>46</v>
      </c>
      <c r="R781" s="5" t="str">
        <f t="shared" si="13"/>
        <v/>
      </c>
      <c r="S781" s="5" t="s">
        <v>46</v>
      </c>
      <c r="T781" s="6">
        <v>778</v>
      </c>
      <c r="U781" s="261" t="s">
        <v>3687</v>
      </c>
      <c r="V781" s="232" t="s">
        <v>3836</v>
      </c>
      <c r="W781" s="232">
        <v>825.6</v>
      </c>
      <c r="X781" s="232">
        <v>6285</v>
      </c>
      <c r="Y781" s="87" t="s">
        <v>3685</v>
      </c>
      <c r="Z781" s="87" t="s">
        <v>50</v>
      </c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261" t="s">
        <v>3687</v>
      </c>
    </row>
    <row r="782" spans="1:43">
      <c r="A782" s="6">
        <v>779</v>
      </c>
      <c r="B782" s="21" t="s">
        <v>3685</v>
      </c>
      <c r="C782" s="5" t="s">
        <v>3837</v>
      </c>
      <c r="D782" s="5" t="s">
        <v>605</v>
      </c>
      <c r="E782" s="5" t="s">
        <v>605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11" t="s">
        <v>46</v>
      </c>
      <c r="Q782" s="5" t="s">
        <v>46</v>
      </c>
      <c r="R782" s="5" t="str">
        <f t="shared" si="13"/>
        <v/>
      </c>
      <c r="S782" s="5" t="s">
        <v>46</v>
      </c>
      <c r="T782" s="6">
        <v>779</v>
      </c>
      <c r="U782" s="261" t="s">
        <v>3687</v>
      </c>
      <c r="V782" s="232" t="s">
        <v>3837</v>
      </c>
      <c r="W782" s="232">
        <v>-1903.4</v>
      </c>
      <c r="X782" s="232">
        <v>6285</v>
      </c>
      <c r="Y782" s="87" t="s">
        <v>3685</v>
      </c>
      <c r="Z782" s="87" t="s">
        <v>50</v>
      </c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261" t="s">
        <v>3687</v>
      </c>
    </row>
    <row r="783" spans="1:43">
      <c r="A783" s="6">
        <v>780</v>
      </c>
      <c r="B783" s="21" t="s">
        <v>3685</v>
      </c>
      <c r="C783" s="5" t="s">
        <v>3838</v>
      </c>
      <c r="D783" s="5" t="s">
        <v>605</v>
      </c>
      <c r="E783" s="5" t="s">
        <v>605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11" t="s">
        <v>46</v>
      </c>
      <c r="Q783" s="5" t="s">
        <v>46</v>
      </c>
      <c r="R783" s="5" t="str">
        <f t="shared" si="13"/>
        <v/>
      </c>
      <c r="S783" s="5" t="s">
        <v>46</v>
      </c>
      <c r="T783" s="6">
        <v>780</v>
      </c>
      <c r="U783" s="261" t="s">
        <v>3687</v>
      </c>
      <c r="V783" s="232" t="s">
        <v>3838</v>
      </c>
      <c r="W783" s="232">
        <v>-4632.3999999999996</v>
      </c>
      <c r="X783" s="232">
        <v>6285</v>
      </c>
      <c r="Y783" s="87" t="s">
        <v>3685</v>
      </c>
      <c r="Z783" s="87" t="s">
        <v>50</v>
      </c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261" t="s">
        <v>3687</v>
      </c>
    </row>
    <row r="784" spans="1:43">
      <c r="A784" s="6">
        <v>781</v>
      </c>
      <c r="B784" s="21" t="s">
        <v>3685</v>
      </c>
      <c r="C784" s="5" t="s">
        <v>3839</v>
      </c>
      <c r="D784" s="5" t="s">
        <v>605</v>
      </c>
      <c r="E784" s="5" t="s">
        <v>605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11" t="s">
        <v>46</v>
      </c>
      <c r="Q784" s="5" t="s">
        <v>46</v>
      </c>
      <c r="R784" s="5" t="str">
        <f t="shared" si="13"/>
        <v/>
      </c>
      <c r="S784" s="5" t="s">
        <v>46</v>
      </c>
      <c r="T784" s="6">
        <v>781</v>
      </c>
      <c r="U784" s="261" t="s">
        <v>3687</v>
      </c>
      <c r="V784" s="232" t="s">
        <v>3839</v>
      </c>
      <c r="W784" s="232">
        <v>-7361.4</v>
      </c>
      <c r="X784" s="232">
        <v>6285</v>
      </c>
      <c r="Y784" s="87" t="s">
        <v>3685</v>
      </c>
      <c r="Z784" s="87" t="s">
        <v>50</v>
      </c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261" t="s">
        <v>3687</v>
      </c>
    </row>
    <row r="785" spans="1:43">
      <c r="A785" s="6">
        <v>782</v>
      </c>
      <c r="B785" s="21" t="s">
        <v>3685</v>
      </c>
      <c r="C785" s="5" t="s">
        <v>3840</v>
      </c>
      <c r="D785" s="5" t="s">
        <v>605</v>
      </c>
      <c r="E785" s="5" t="s">
        <v>605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11" t="s">
        <v>46</v>
      </c>
      <c r="Q785" s="5" t="s">
        <v>46</v>
      </c>
      <c r="R785" s="5" t="str">
        <f t="shared" si="13"/>
        <v/>
      </c>
      <c r="S785" s="5" t="s">
        <v>46</v>
      </c>
      <c r="T785" s="6">
        <v>782</v>
      </c>
      <c r="U785" s="261" t="s">
        <v>3687</v>
      </c>
      <c r="V785" s="232" t="s">
        <v>3840</v>
      </c>
      <c r="W785" s="232">
        <v>-9665.7000000000007</v>
      </c>
      <c r="X785" s="232">
        <v>6346.5</v>
      </c>
      <c r="Y785" s="87" t="s">
        <v>3685</v>
      </c>
      <c r="Z785" s="87" t="s">
        <v>50</v>
      </c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261" t="s">
        <v>3687</v>
      </c>
    </row>
    <row r="786" spans="1:43">
      <c r="A786" s="6">
        <v>783</v>
      </c>
      <c r="B786" s="21" t="s">
        <v>3685</v>
      </c>
      <c r="C786" s="5" t="s">
        <v>3841</v>
      </c>
      <c r="D786" s="5" t="s">
        <v>605</v>
      </c>
      <c r="E786" s="5" t="s">
        <v>605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11" t="s">
        <v>46</v>
      </c>
      <c r="Q786" s="5" t="s">
        <v>46</v>
      </c>
      <c r="R786" s="5" t="str">
        <f t="shared" si="13"/>
        <v/>
      </c>
      <c r="S786" s="5" t="s">
        <v>46</v>
      </c>
      <c r="T786" s="6">
        <v>783</v>
      </c>
      <c r="U786" s="261" t="s">
        <v>3687</v>
      </c>
      <c r="V786" s="232" t="s">
        <v>3841</v>
      </c>
      <c r="W786" s="232">
        <v>-13439.1</v>
      </c>
      <c r="X786" s="232">
        <v>6071.9</v>
      </c>
      <c r="Y786" s="87" t="s">
        <v>3685</v>
      </c>
      <c r="Z786" s="87" t="s">
        <v>50</v>
      </c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261" t="s">
        <v>3687</v>
      </c>
    </row>
    <row r="787" spans="1:43">
      <c r="A787" s="6">
        <v>784</v>
      </c>
      <c r="B787" s="21" t="s">
        <v>3685</v>
      </c>
      <c r="C787" s="5" t="s">
        <v>3842</v>
      </c>
      <c r="D787" s="5" t="s">
        <v>605</v>
      </c>
      <c r="E787" s="5" t="s">
        <v>605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11" t="s">
        <v>46</v>
      </c>
      <c r="Q787" s="5" t="s">
        <v>46</v>
      </c>
      <c r="R787" s="5" t="str">
        <f t="shared" si="13"/>
        <v/>
      </c>
      <c r="S787" s="5" t="s">
        <v>46</v>
      </c>
      <c r="T787" s="6">
        <v>784</v>
      </c>
      <c r="U787" s="261" t="s">
        <v>3687</v>
      </c>
      <c r="V787" s="232" t="s">
        <v>3842</v>
      </c>
      <c r="W787" s="232">
        <v>7674.8</v>
      </c>
      <c r="X787" s="232">
        <v>6558.1</v>
      </c>
      <c r="Y787" s="87" t="s">
        <v>3685</v>
      </c>
      <c r="Z787" s="87" t="s">
        <v>50</v>
      </c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261" t="s">
        <v>3687</v>
      </c>
    </row>
    <row r="788" spans="1:43">
      <c r="A788" s="6">
        <v>785</v>
      </c>
      <c r="B788" s="21" t="s">
        <v>3685</v>
      </c>
      <c r="C788" s="5" t="s">
        <v>3843</v>
      </c>
      <c r="D788" s="5" t="s">
        <v>605</v>
      </c>
      <c r="E788" s="5" t="s">
        <v>605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11" t="s">
        <v>46</v>
      </c>
      <c r="Q788" s="5" t="s">
        <v>46</v>
      </c>
      <c r="R788" s="5" t="str">
        <f t="shared" si="13"/>
        <v/>
      </c>
      <c r="S788" s="5" t="s">
        <v>46</v>
      </c>
      <c r="T788" s="6">
        <v>785</v>
      </c>
      <c r="U788" s="261" t="s">
        <v>3687</v>
      </c>
      <c r="V788" s="232" t="s">
        <v>3843</v>
      </c>
      <c r="W788" s="232">
        <v>8628.2999999999993</v>
      </c>
      <c r="X788" s="232">
        <v>7048.8</v>
      </c>
      <c r="Y788" s="87" t="s">
        <v>3685</v>
      </c>
      <c r="Z788" s="87" t="s">
        <v>50</v>
      </c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261" t="s">
        <v>3687</v>
      </c>
    </row>
    <row r="789" spans="1:43">
      <c r="A789" s="6">
        <v>786</v>
      </c>
      <c r="B789" s="21" t="s">
        <v>3685</v>
      </c>
      <c r="C789" s="5" t="s">
        <v>3844</v>
      </c>
      <c r="D789" s="5" t="s">
        <v>605</v>
      </c>
      <c r="E789" s="5" t="s">
        <v>605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11" t="s">
        <v>46</v>
      </c>
      <c r="Q789" s="5" t="s">
        <v>46</v>
      </c>
      <c r="R789" s="5" t="str">
        <f t="shared" si="13"/>
        <v/>
      </c>
      <c r="S789" s="5" t="s">
        <v>46</v>
      </c>
      <c r="T789" s="6">
        <v>786</v>
      </c>
      <c r="U789" s="261" t="s">
        <v>3687</v>
      </c>
      <c r="V789" s="232" t="s">
        <v>3844</v>
      </c>
      <c r="W789" s="232">
        <v>4911.8999999999996</v>
      </c>
      <c r="X789" s="232">
        <v>6996.2</v>
      </c>
      <c r="Y789" s="87" t="s">
        <v>3685</v>
      </c>
      <c r="Z789" s="87" t="s">
        <v>50</v>
      </c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261" t="s">
        <v>3687</v>
      </c>
    </row>
    <row r="790" spans="1:43">
      <c r="A790" s="6">
        <v>787</v>
      </c>
      <c r="B790" s="21" t="s">
        <v>3685</v>
      </c>
      <c r="C790" s="5" t="s">
        <v>3845</v>
      </c>
      <c r="D790" s="5" t="s">
        <v>605</v>
      </c>
      <c r="E790" s="5" t="s">
        <v>605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11" t="s">
        <v>46</v>
      </c>
      <c r="Q790" s="5" t="s">
        <v>46</v>
      </c>
      <c r="R790" s="5" t="str">
        <f t="shared" si="13"/>
        <v/>
      </c>
      <c r="S790" s="5" t="s">
        <v>46</v>
      </c>
      <c r="T790" s="6">
        <v>787</v>
      </c>
      <c r="U790" s="261" t="s">
        <v>3687</v>
      </c>
      <c r="V790" s="232" t="s">
        <v>3845</v>
      </c>
      <c r="W790" s="232">
        <v>-7925.1</v>
      </c>
      <c r="X790" s="232">
        <v>7058.7</v>
      </c>
      <c r="Y790" s="87" t="s">
        <v>3685</v>
      </c>
      <c r="Z790" s="87" t="s">
        <v>50</v>
      </c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261" t="s">
        <v>3687</v>
      </c>
    </row>
    <row r="791" spans="1:43">
      <c r="A791" s="6">
        <v>788</v>
      </c>
      <c r="B791" s="21" t="s">
        <v>3685</v>
      </c>
      <c r="C791" s="5" t="s">
        <v>3846</v>
      </c>
      <c r="D791" s="5" t="s">
        <v>605</v>
      </c>
      <c r="E791" s="5" t="s">
        <v>605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11" t="s">
        <v>46</v>
      </c>
      <c r="Q791" s="5" t="s">
        <v>46</v>
      </c>
      <c r="R791" s="5" t="str">
        <f t="shared" si="13"/>
        <v/>
      </c>
      <c r="S791" s="5" t="s">
        <v>46</v>
      </c>
      <c r="T791" s="6">
        <v>788</v>
      </c>
      <c r="U791" s="261" t="s">
        <v>3687</v>
      </c>
      <c r="V791" s="232" t="s">
        <v>3846</v>
      </c>
      <c r="W791" s="232">
        <v>-8635.5</v>
      </c>
      <c r="X791" s="232">
        <v>7048.2</v>
      </c>
      <c r="Y791" s="87" t="s">
        <v>3685</v>
      </c>
      <c r="Z791" s="87" t="s">
        <v>50</v>
      </c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261" t="s">
        <v>3687</v>
      </c>
    </row>
    <row r="792" spans="1:43">
      <c r="A792" s="6">
        <v>789</v>
      </c>
      <c r="B792" s="21" t="s">
        <v>3685</v>
      </c>
      <c r="C792" s="5" t="s">
        <v>3847</v>
      </c>
      <c r="D792" s="5" t="s">
        <v>605</v>
      </c>
      <c r="E792" s="5" t="s">
        <v>605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11" t="s">
        <v>46</v>
      </c>
      <c r="Q792" s="5" t="s">
        <v>46</v>
      </c>
      <c r="R792" s="5" t="str">
        <f t="shared" si="13"/>
        <v/>
      </c>
      <c r="S792" s="5" t="s">
        <v>46</v>
      </c>
      <c r="T792" s="6">
        <v>789</v>
      </c>
      <c r="U792" s="261" t="s">
        <v>3687</v>
      </c>
      <c r="V792" s="232" t="s">
        <v>3847</v>
      </c>
      <c r="W792" s="232">
        <v>11659.6</v>
      </c>
      <c r="X792" s="232">
        <v>7170.4</v>
      </c>
      <c r="Y792" s="87" t="s">
        <v>3685</v>
      </c>
      <c r="Z792" s="87" t="s">
        <v>50</v>
      </c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261" t="s">
        <v>3687</v>
      </c>
    </row>
    <row r="793" spans="1:43">
      <c r="A793" s="6">
        <v>790</v>
      </c>
      <c r="B793" s="21" t="s">
        <v>3685</v>
      </c>
      <c r="C793" s="5" t="s">
        <v>3848</v>
      </c>
      <c r="D793" s="5" t="s">
        <v>605</v>
      </c>
      <c r="E793" s="5" t="s">
        <v>605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11" t="s">
        <v>46</v>
      </c>
      <c r="Q793" s="5" t="s">
        <v>46</v>
      </c>
      <c r="R793" s="5" t="str">
        <f t="shared" si="13"/>
        <v/>
      </c>
      <c r="S793" s="5" t="s">
        <v>46</v>
      </c>
      <c r="T793" s="6">
        <v>790</v>
      </c>
      <c r="U793" s="261" t="s">
        <v>3687</v>
      </c>
      <c r="V793" s="232" t="s">
        <v>3848</v>
      </c>
      <c r="W793" s="232">
        <v>-11659.6</v>
      </c>
      <c r="X793" s="232">
        <v>7170.4</v>
      </c>
      <c r="Y793" s="87" t="s">
        <v>3685</v>
      </c>
      <c r="Z793" s="87" t="s">
        <v>50</v>
      </c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261" t="s">
        <v>3687</v>
      </c>
    </row>
    <row r="794" spans="1:43">
      <c r="A794" s="6">
        <v>791</v>
      </c>
      <c r="B794" s="21" t="s">
        <v>3685</v>
      </c>
      <c r="C794" s="5" t="s">
        <v>3849</v>
      </c>
      <c r="D794" s="5" t="s">
        <v>605</v>
      </c>
      <c r="E794" s="5" t="s">
        <v>605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11" t="s">
        <v>46</v>
      </c>
      <c r="Q794" s="5" t="s">
        <v>46</v>
      </c>
      <c r="R794" s="5" t="str">
        <f t="shared" si="13"/>
        <v/>
      </c>
      <c r="S794" s="5" t="s">
        <v>46</v>
      </c>
      <c r="T794" s="6">
        <v>791</v>
      </c>
      <c r="U794" s="261" t="s">
        <v>3687</v>
      </c>
      <c r="V794" s="232" t="s">
        <v>3849</v>
      </c>
      <c r="W794" s="232">
        <v>5458</v>
      </c>
      <c r="X794" s="232">
        <v>-10756.6</v>
      </c>
      <c r="Y794" s="87" t="s">
        <v>3685</v>
      </c>
      <c r="Z794" s="87" t="s">
        <v>50</v>
      </c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261" t="s">
        <v>3687</v>
      </c>
    </row>
    <row r="795" spans="1:43">
      <c r="A795" s="6">
        <v>792</v>
      </c>
      <c r="B795" s="21" t="s">
        <v>3685</v>
      </c>
      <c r="C795" s="5" t="s">
        <v>3850</v>
      </c>
      <c r="D795" s="5" t="s">
        <v>605</v>
      </c>
      <c r="E795" s="5" t="s">
        <v>605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11" t="s">
        <v>46</v>
      </c>
      <c r="Q795" s="5" t="s">
        <v>46</v>
      </c>
      <c r="R795" s="5" t="str">
        <f t="shared" si="13"/>
        <v/>
      </c>
      <c r="S795" s="5" t="s">
        <v>46</v>
      </c>
      <c r="T795" s="6">
        <v>792</v>
      </c>
      <c r="U795" s="261" t="s">
        <v>3687</v>
      </c>
      <c r="V795" s="232" t="s">
        <v>3850</v>
      </c>
      <c r="W795" s="232">
        <v>4093.5</v>
      </c>
      <c r="X795" s="232">
        <v>-10736.6</v>
      </c>
      <c r="Y795" s="87" t="s">
        <v>3685</v>
      </c>
      <c r="Z795" s="87" t="s">
        <v>50</v>
      </c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261" t="s">
        <v>3687</v>
      </c>
    </row>
    <row r="796" spans="1:43">
      <c r="A796" s="6">
        <v>793</v>
      </c>
      <c r="B796" s="21" t="s">
        <v>3685</v>
      </c>
      <c r="C796" s="5" t="s">
        <v>3851</v>
      </c>
      <c r="D796" s="5" t="s">
        <v>605</v>
      </c>
      <c r="E796" s="5" t="s">
        <v>605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11" t="s">
        <v>46</v>
      </c>
      <c r="Q796" s="5" t="s">
        <v>46</v>
      </c>
      <c r="R796" s="5" t="str">
        <f t="shared" si="13"/>
        <v/>
      </c>
      <c r="S796" s="5" t="s">
        <v>46</v>
      </c>
      <c r="T796" s="6">
        <v>793</v>
      </c>
      <c r="U796" s="261" t="s">
        <v>3687</v>
      </c>
      <c r="V796" s="232" t="s">
        <v>3851</v>
      </c>
      <c r="W796" s="232">
        <v>2729</v>
      </c>
      <c r="X796" s="232">
        <v>-10756.6</v>
      </c>
      <c r="Y796" s="87" t="s">
        <v>3685</v>
      </c>
      <c r="Z796" s="87" t="s">
        <v>50</v>
      </c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261" t="s">
        <v>3687</v>
      </c>
    </row>
    <row r="797" spans="1:43">
      <c r="A797" s="6">
        <v>794</v>
      </c>
      <c r="B797" s="21" t="s">
        <v>3685</v>
      </c>
      <c r="C797" s="5" t="s">
        <v>3852</v>
      </c>
      <c r="D797" s="5" t="s">
        <v>605</v>
      </c>
      <c r="E797" s="5" t="s">
        <v>605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11" t="s">
        <v>46</v>
      </c>
      <c r="Q797" s="5" t="s">
        <v>46</v>
      </c>
      <c r="R797" s="5" t="str">
        <f t="shared" si="13"/>
        <v/>
      </c>
      <c r="S797" s="5" t="s">
        <v>46</v>
      </c>
      <c r="T797" s="6">
        <v>794</v>
      </c>
      <c r="U797" s="261" t="s">
        <v>3687</v>
      </c>
      <c r="V797" s="232" t="s">
        <v>3852</v>
      </c>
      <c r="W797" s="232">
        <v>1364.5</v>
      </c>
      <c r="X797" s="232">
        <v>-10736.6</v>
      </c>
      <c r="Y797" s="87" t="s">
        <v>3685</v>
      </c>
      <c r="Z797" s="87" t="s">
        <v>50</v>
      </c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261" t="s">
        <v>3687</v>
      </c>
    </row>
    <row r="798" spans="1:43">
      <c r="A798" s="6">
        <v>795</v>
      </c>
      <c r="B798" s="21" t="s">
        <v>3685</v>
      </c>
      <c r="C798" s="5" t="s">
        <v>3853</v>
      </c>
      <c r="D798" s="5" t="s">
        <v>605</v>
      </c>
      <c r="E798" s="5" t="s">
        <v>605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11" t="s">
        <v>46</v>
      </c>
      <c r="Q798" s="5" t="s">
        <v>46</v>
      </c>
      <c r="R798" s="5" t="str">
        <f t="shared" si="13"/>
        <v/>
      </c>
      <c r="S798" s="5" t="s">
        <v>46</v>
      </c>
      <c r="T798" s="6">
        <v>795</v>
      </c>
      <c r="U798" s="261" t="s">
        <v>3687</v>
      </c>
      <c r="V798" s="232" t="s">
        <v>3853</v>
      </c>
      <c r="W798" s="232">
        <v>0</v>
      </c>
      <c r="X798" s="232">
        <v>-10756.6</v>
      </c>
      <c r="Y798" s="87" t="s">
        <v>3685</v>
      </c>
      <c r="Z798" s="87" t="s">
        <v>50</v>
      </c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261" t="s">
        <v>3687</v>
      </c>
    </row>
    <row r="799" spans="1:43">
      <c r="A799" s="6">
        <v>796</v>
      </c>
      <c r="B799" s="21" t="s">
        <v>3685</v>
      </c>
      <c r="C799" s="5" t="s">
        <v>3854</v>
      </c>
      <c r="D799" s="5" t="s">
        <v>605</v>
      </c>
      <c r="E799" s="5" t="s">
        <v>605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11" t="s">
        <v>46</v>
      </c>
      <c r="Q799" s="5" t="s">
        <v>46</v>
      </c>
      <c r="R799" s="5" t="str">
        <f t="shared" si="13"/>
        <v/>
      </c>
      <c r="S799" s="5" t="s">
        <v>46</v>
      </c>
      <c r="T799" s="6">
        <v>796</v>
      </c>
      <c r="U799" s="261" t="s">
        <v>3687</v>
      </c>
      <c r="V799" s="232" t="s">
        <v>3854</v>
      </c>
      <c r="W799" s="232">
        <v>12309.1</v>
      </c>
      <c r="X799" s="232">
        <v>-10727.5</v>
      </c>
      <c r="Y799" s="87" t="s">
        <v>3685</v>
      </c>
      <c r="Z799" s="87" t="s">
        <v>50</v>
      </c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261" t="s">
        <v>3687</v>
      </c>
    </row>
    <row r="800" spans="1:43">
      <c r="A800" s="6">
        <v>797</v>
      </c>
      <c r="B800" s="21" t="s">
        <v>3685</v>
      </c>
      <c r="C800" s="5" t="s">
        <v>3855</v>
      </c>
      <c r="D800" s="5" t="s">
        <v>605</v>
      </c>
      <c r="E800" s="5" t="s">
        <v>605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11" t="s">
        <v>46</v>
      </c>
      <c r="Q800" s="5" t="s">
        <v>46</v>
      </c>
      <c r="R800" s="5" t="str">
        <f t="shared" si="13"/>
        <v/>
      </c>
      <c r="S800" s="5" t="s">
        <v>46</v>
      </c>
      <c r="T800" s="6">
        <v>797</v>
      </c>
      <c r="U800" s="261" t="s">
        <v>3687</v>
      </c>
      <c r="V800" s="232" t="s">
        <v>3855</v>
      </c>
      <c r="W800" s="232">
        <v>-2729</v>
      </c>
      <c r="X800" s="232">
        <v>-10756.6</v>
      </c>
      <c r="Y800" s="87" t="s">
        <v>3685</v>
      </c>
      <c r="Z800" s="87" t="s">
        <v>50</v>
      </c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261" t="s">
        <v>3687</v>
      </c>
    </row>
    <row r="801" spans="1:43">
      <c r="A801" s="6">
        <v>798</v>
      </c>
      <c r="B801" s="21" t="s">
        <v>3685</v>
      </c>
      <c r="C801" s="5" t="s">
        <v>3856</v>
      </c>
      <c r="D801" s="5" t="s">
        <v>605</v>
      </c>
      <c r="E801" s="5" t="s">
        <v>605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11" t="s">
        <v>46</v>
      </c>
      <c r="Q801" s="5" t="s">
        <v>46</v>
      </c>
      <c r="R801" s="5" t="str">
        <f t="shared" si="13"/>
        <v/>
      </c>
      <c r="S801" s="5" t="s">
        <v>46</v>
      </c>
      <c r="T801" s="6">
        <v>798</v>
      </c>
      <c r="U801" s="261" t="s">
        <v>3687</v>
      </c>
      <c r="V801" s="232" t="s">
        <v>3856</v>
      </c>
      <c r="W801" s="232">
        <v>-4093.5</v>
      </c>
      <c r="X801" s="232">
        <v>-10736.6</v>
      </c>
      <c r="Y801" s="87" t="s">
        <v>3685</v>
      </c>
      <c r="Z801" s="87" t="s">
        <v>50</v>
      </c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261" t="s">
        <v>3687</v>
      </c>
    </row>
    <row r="802" spans="1:43">
      <c r="A802" s="6">
        <v>799</v>
      </c>
      <c r="B802" s="21" t="s">
        <v>3685</v>
      </c>
      <c r="C802" s="5" t="s">
        <v>3857</v>
      </c>
      <c r="D802" s="5" t="s">
        <v>605</v>
      </c>
      <c r="E802" s="5" t="s">
        <v>605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11" t="s">
        <v>46</v>
      </c>
      <c r="Q802" s="5" t="s">
        <v>46</v>
      </c>
      <c r="R802" s="5" t="str">
        <f t="shared" si="13"/>
        <v/>
      </c>
      <c r="S802" s="5" t="s">
        <v>46</v>
      </c>
      <c r="T802" s="6">
        <v>799</v>
      </c>
      <c r="U802" s="261" t="s">
        <v>3687</v>
      </c>
      <c r="V802" s="232" t="s">
        <v>3857</v>
      </c>
      <c r="W802" s="232">
        <v>11807.2</v>
      </c>
      <c r="X802" s="232">
        <v>-10726.6</v>
      </c>
      <c r="Y802" s="87" t="s">
        <v>3685</v>
      </c>
      <c r="Z802" s="87" t="s">
        <v>50</v>
      </c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261" t="s">
        <v>3687</v>
      </c>
    </row>
    <row r="803" spans="1:43">
      <c r="A803" s="6">
        <v>800</v>
      </c>
      <c r="B803" s="21" t="s">
        <v>3685</v>
      </c>
      <c r="C803" s="5" t="s">
        <v>3858</v>
      </c>
      <c r="D803" s="5" t="s">
        <v>605</v>
      </c>
      <c r="E803" s="5" t="s">
        <v>605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11" t="s">
        <v>46</v>
      </c>
      <c r="Q803" s="5" t="s">
        <v>46</v>
      </c>
      <c r="R803" s="5" t="str">
        <f t="shared" si="13"/>
        <v/>
      </c>
      <c r="S803" s="5" t="s">
        <v>46</v>
      </c>
      <c r="T803" s="6">
        <v>800</v>
      </c>
      <c r="U803" s="261" t="s">
        <v>3687</v>
      </c>
      <c r="V803" s="232" t="s">
        <v>3858</v>
      </c>
      <c r="W803" s="232">
        <v>-5458</v>
      </c>
      <c r="X803" s="232">
        <v>-10756.6</v>
      </c>
      <c r="Y803" s="87" t="s">
        <v>3685</v>
      </c>
      <c r="Z803" s="87" t="s">
        <v>50</v>
      </c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261" t="s">
        <v>3687</v>
      </c>
    </row>
    <row r="804" spans="1:43">
      <c r="A804" s="6">
        <v>801</v>
      </c>
      <c r="B804" s="21" t="s">
        <v>3685</v>
      </c>
      <c r="C804" s="5" t="s">
        <v>3859</v>
      </c>
      <c r="D804" s="5" t="s">
        <v>605</v>
      </c>
      <c r="E804" s="5" t="s">
        <v>605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11" t="s">
        <v>46</v>
      </c>
      <c r="Q804" s="5" t="s">
        <v>46</v>
      </c>
      <c r="R804" s="5" t="str">
        <f t="shared" si="13"/>
        <v/>
      </c>
      <c r="S804" s="5" t="s">
        <v>46</v>
      </c>
      <c r="T804" s="6">
        <v>801</v>
      </c>
      <c r="U804" s="261" t="s">
        <v>3687</v>
      </c>
      <c r="V804" s="232" t="s">
        <v>3859</v>
      </c>
      <c r="W804" s="232">
        <v>-6822.5</v>
      </c>
      <c r="X804" s="232">
        <v>-10736.6</v>
      </c>
      <c r="Y804" s="87" t="s">
        <v>3685</v>
      </c>
      <c r="Z804" s="87" t="s">
        <v>50</v>
      </c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261" t="s">
        <v>3687</v>
      </c>
    </row>
    <row r="805" spans="1:43">
      <c r="A805" s="6">
        <v>802</v>
      </c>
      <c r="B805" s="21" t="s">
        <v>3685</v>
      </c>
      <c r="C805" s="5" t="s">
        <v>3860</v>
      </c>
      <c r="D805" s="5" t="s">
        <v>605</v>
      </c>
      <c r="E805" s="5" t="s">
        <v>605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11" t="s">
        <v>46</v>
      </c>
      <c r="Q805" s="5" t="s">
        <v>46</v>
      </c>
      <c r="R805" s="5" t="str">
        <f t="shared" si="13"/>
        <v/>
      </c>
      <c r="S805" s="5" t="s">
        <v>46</v>
      </c>
      <c r="T805" s="6">
        <v>802</v>
      </c>
      <c r="U805" s="261" t="s">
        <v>3687</v>
      </c>
      <c r="V805" s="232" t="s">
        <v>3860</v>
      </c>
      <c r="W805" s="232">
        <v>-8187</v>
      </c>
      <c r="X805" s="232">
        <v>-10756.6</v>
      </c>
      <c r="Y805" s="87" t="s">
        <v>3685</v>
      </c>
      <c r="Z805" s="87" t="s">
        <v>50</v>
      </c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261" t="s">
        <v>3687</v>
      </c>
    </row>
    <row r="806" spans="1:43">
      <c r="A806" s="6">
        <v>803</v>
      </c>
      <c r="B806" s="21" t="s">
        <v>3685</v>
      </c>
      <c r="C806" s="5" t="s">
        <v>3861</v>
      </c>
      <c r="D806" s="5" t="s">
        <v>605</v>
      </c>
      <c r="E806" s="5" t="s">
        <v>605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11" t="s">
        <v>46</v>
      </c>
      <c r="Q806" s="5" t="s">
        <v>46</v>
      </c>
      <c r="R806" s="5" t="str">
        <f t="shared" si="13"/>
        <v/>
      </c>
      <c r="S806" s="5" t="s">
        <v>46</v>
      </c>
      <c r="T806" s="6">
        <v>803</v>
      </c>
      <c r="U806" s="261" t="s">
        <v>3687</v>
      </c>
      <c r="V806" s="232" t="s">
        <v>3861</v>
      </c>
      <c r="W806" s="232">
        <v>-9551.5</v>
      </c>
      <c r="X806" s="232">
        <v>-10736.6</v>
      </c>
      <c r="Y806" s="87" t="s">
        <v>3685</v>
      </c>
      <c r="Z806" s="87" t="s">
        <v>50</v>
      </c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261" t="s">
        <v>3687</v>
      </c>
    </row>
    <row r="807" spans="1:43">
      <c r="A807" s="6">
        <v>804</v>
      </c>
      <c r="B807" s="21" t="s">
        <v>3685</v>
      </c>
      <c r="C807" s="5" t="s">
        <v>3862</v>
      </c>
      <c r="D807" s="5" t="s">
        <v>605</v>
      </c>
      <c r="E807" s="5" t="s">
        <v>605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11" t="s">
        <v>46</v>
      </c>
      <c r="Q807" s="5" t="s">
        <v>46</v>
      </c>
      <c r="R807" s="5" t="str">
        <f t="shared" si="13"/>
        <v/>
      </c>
      <c r="S807" s="5" t="s">
        <v>46</v>
      </c>
      <c r="T807" s="6">
        <v>804</v>
      </c>
      <c r="U807" s="261" t="s">
        <v>3687</v>
      </c>
      <c r="V807" s="232" t="s">
        <v>3862</v>
      </c>
      <c r="W807" s="232">
        <v>-11807.2</v>
      </c>
      <c r="X807" s="232">
        <v>-10726.6</v>
      </c>
      <c r="Y807" s="87" t="s">
        <v>3685</v>
      </c>
      <c r="Z807" s="87" t="s">
        <v>50</v>
      </c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261" t="s">
        <v>3687</v>
      </c>
    </row>
    <row r="808" spans="1:43">
      <c r="A808" s="6">
        <v>805</v>
      </c>
      <c r="B808" s="21" t="s">
        <v>3685</v>
      </c>
      <c r="C808" s="5" t="s">
        <v>3863</v>
      </c>
      <c r="D808" s="5" t="s">
        <v>605</v>
      </c>
      <c r="E808" s="5" t="s">
        <v>605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11" t="s">
        <v>46</v>
      </c>
      <c r="Q808" s="5" t="s">
        <v>46</v>
      </c>
      <c r="R808" s="5" t="str">
        <f t="shared" si="13"/>
        <v/>
      </c>
      <c r="S808" s="5" t="s">
        <v>46</v>
      </c>
      <c r="T808" s="6">
        <v>805</v>
      </c>
      <c r="U808" s="261" t="s">
        <v>3687</v>
      </c>
      <c r="V808" s="232" t="s">
        <v>3863</v>
      </c>
      <c r="W808" s="232">
        <v>-12309.1</v>
      </c>
      <c r="X808" s="232">
        <v>-10727.5</v>
      </c>
      <c r="Y808" s="87" t="s">
        <v>3685</v>
      </c>
      <c r="Z808" s="87" t="s">
        <v>50</v>
      </c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261" t="s">
        <v>3687</v>
      </c>
    </row>
    <row r="809" spans="1:43">
      <c r="A809" s="6">
        <v>806</v>
      </c>
      <c r="B809" s="21" t="s">
        <v>3685</v>
      </c>
      <c r="C809" s="5" t="s">
        <v>3864</v>
      </c>
      <c r="D809" s="5" t="s">
        <v>605</v>
      </c>
      <c r="E809" s="5" t="s">
        <v>605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11" t="s">
        <v>46</v>
      </c>
      <c r="Q809" s="5" t="s">
        <v>46</v>
      </c>
      <c r="R809" s="5" t="str">
        <f t="shared" si="13"/>
        <v/>
      </c>
      <c r="S809" s="5" t="s">
        <v>46</v>
      </c>
      <c r="T809" s="6">
        <v>806</v>
      </c>
      <c r="U809" s="261" t="s">
        <v>3687</v>
      </c>
      <c r="V809" s="232" t="s">
        <v>3864</v>
      </c>
      <c r="W809" s="232">
        <v>4911.8999999999996</v>
      </c>
      <c r="X809" s="232">
        <v>7707.4</v>
      </c>
      <c r="Y809" s="87" t="s">
        <v>3685</v>
      </c>
      <c r="Z809" s="87" t="s">
        <v>50</v>
      </c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261" t="s">
        <v>3687</v>
      </c>
    </row>
    <row r="810" spans="1:43">
      <c r="A810" s="6">
        <v>807</v>
      </c>
      <c r="B810" s="21" t="s">
        <v>3685</v>
      </c>
      <c r="C810" s="5" t="s">
        <v>3865</v>
      </c>
      <c r="D810" s="5" t="s">
        <v>605</v>
      </c>
      <c r="E810" s="5" t="s">
        <v>605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11" t="s">
        <v>46</v>
      </c>
      <c r="Q810" s="5" t="s">
        <v>46</v>
      </c>
      <c r="R810" s="5" t="str">
        <f t="shared" si="13"/>
        <v/>
      </c>
      <c r="S810" s="5" t="s">
        <v>46</v>
      </c>
      <c r="T810" s="6">
        <v>807</v>
      </c>
      <c r="U810" s="261" t="s">
        <v>3687</v>
      </c>
      <c r="V810" s="232" t="s">
        <v>3865</v>
      </c>
      <c r="W810" s="232">
        <v>2182.9</v>
      </c>
      <c r="X810" s="232">
        <v>7707.4</v>
      </c>
      <c r="Y810" s="87" t="s">
        <v>3685</v>
      </c>
      <c r="Z810" s="87" t="s">
        <v>50</v>
      </c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261" t="s">
        <v>3687</v>
      </c>
    </row>
    <row r="811" spans="1:43">
      <c r="A811" s="6">
        <v>808</v>
      </c>
      <c r="B811" s="21" t="s">
        <v>3685</v>
      </c>
      <c r="C811" s="5" t="s">
        <v>3866</v>
      </c>
      <c r="D811" s="5" t="s">
        <v>605</v>
      </c>
      <c r="E811" s="5" t="s">
        <v>605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11" t="s">
        <v>46</v>
      </c>
      <c r="Q811" s="5" t="s">
        <v>46</v>
      </c>
      <c r="R811" s="5" t="str">
        <f t="shared" si="13"/>
        <v/>
      </c>
      <c r="S811" s="5" t="s">
        <v>46</v>
      </c>
      <c r="T811" s="6">
        <v>808</v>
      </c>
      <c r="U811" s="261" t="s">
        <v>3687</v>
      </c>
      <c r="V811" s="232" t="s">
        <v>3866</v>
      </c>
      <c r="W811" s="232">
        <v>-546.1</v>
      </c>
      <c r="X811" s="232">
        <v>7707.4</v>
      </c>
      <c r="Y811" s="87" t="s">
        <v>3685</v>
      </c>
      <c r="Z811" s="87" t="s">
        <v>50</v>
      </c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261" t="s">
        <v>3687</v>
      </c>
    </row>
    <row r="812" spans="1:43">
      <c r="A812" s="6">
        <v>809</v>
      </c>
      <c r="B812" s="21" t="s">
        <v>3685</v>
      </c>
      <c r="C812" s="5" t="s">
        <v>3867</v>
      </c>
      <c r="D812" s="5" t="s">
        <v>605</v>
      </c>
      <c r="E812" s="5" t="s">
        <v>605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11" t="s">
        <v>46</v>
      </c>
      <c r="Q812" s="5" t="s">
        <v>46</v>
      </c>
      <c r="R812" s="5" t="str">
        <f t="shared" si="13"/>
        <v/>
      </c>
      <c r="S812" s="5" t="s">
        <v>46</v>
      </c>
      <c r="T812" s="6">
        <v>809</v>
      </c>
      <c r="U812" s="261" t="s">
        <v>3687</v>
      </c>
      <c r="V812" s="232" t="s">
        <v>3867</v>
      </c>
      <c r="W812" s="232">
        <v>-3275.1</v>
      </c>
      <c r="X812" s="232">
        <v>7707.4</v>
      </c>
      <c r="Y812" s="87" t="s">
        <v>3685</v>
      </c>
      <c r="Z812" s="87" t="s">
        <v>50</v>
      </c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261" t="s">
        <v>3687</v>
      </c>
    </row>
    <row r="813" spans="1:43">
      <c r="A813" s="6">
        <v>810</v>
      </c>
      <c r="B813" s="21" t="s">
        <v>3685</v>
      </c>
      <c r="C813" s="5" t="s">
        <v>3868</v>
      </c>
      <c r="D813" s="5" t="s">
        <v>605</v>
      </c>
      <c r="E813" s="5" t="s">
        <v>605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11" t="s">
        <v>46</v>
      </c>
      <c r="Q813" s="5" t="s">
        <v>46</v>
      </c>
      <c r="R813" s="5" t="str">
        <f t="shared" si="13"/>
        <v/>
      </c>
      <c r="S813" s="5" t="s">
        <v>46</v>
      </c>
      <c r="T813" s="6">
        <v>810</v>
      </c>
      <c r="U813" s="261" t="s">
        <v>3687</v>
      </c>
      <c r="V813" s="232" t="s">
        <v>3868</v>
      </c>
      <c r="W813" s="232">
        <v>-6004.1</v>
      </c>
      <c r="X813" s="232">
        <v>7707.4</v>
      </c>
      <c r="Y813" s="87" t="s">
        <v>3685</v>
      </c>
      <c r="Z813" s="87" t="s">
        <v>50</v>
      </c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261" t="s">
        <v>3687</v>
      </c>
    </row>
    <row r="814" spans="1:43">
      <c r="A814" s="6">
        <v>811</v>
      </c>
      <c r="B814" s="21" t="s">
        <v>3685</v>
      </c>
      <c r="C814" s="5" t="s">
        <v>3869</v>
      </c>
      <c r="D814" s="5" t="s">
        <v>605</v>
      </c>
      <c r="E814" s="5" t="s">
        <v>605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11" t="s">
        <v>46</v>
      </c>
      <c r="Q814" s="5" t="s">
        <v>46</v>
      </c>
      <c r="R814" s="5" t="str">
        <f t="shared" si="13"/>
        <v/>
      </c>
      <c r="S814" s="5" t="s">
        <v>46</v>
      </c>
      <c r="T814" s="6">
        <v>811</v>
      </c>
      <c r="U814" s="261" t="s">
        <v>3687</v>
      </c>
      <c r="V814" s="232" t="s">
        <v>3869</v>
      </c>
      <c r="W814" s="232">
        <v>-9735.6</v>
      </c>
      <c r="X814" s="232">
        <v>7457.1</v>
      </c>
      <c r="Y814" s="87" t="s">
        <v>3685</v>
      </c>
      <c r="Z814" s="87" t="s">
        <v>50</v>
      </c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261" t="s">
        <v>3687</v>
      </c>
    </row>
    <row r="815" spans="1:43">
      <c r="A815" s="6">
        <v>812</v>
      </c>
      <c r="B815" s="21" t="s">
        <v>3685</v>
      </c>
      <c r="C815" s="5" t="s">
        <v>3870</v>
      </c>
      <c r="D815" s="5" t="s">
        <v>605</v>
      </c>
      <c r="E815" s="5" t="s">
        <v>605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11" t="s">
        <v>46</v>
      </c>
      <c r="Q815" s="5" t="s">
        <v>46</v>
      </c>
      <c r="R815" s="5" t="str">
        <f t="shared" si="13"/>
        <v/>
      </c>
      <c r="S815" s="5" t="s">
        <v>46</v>
      </c>
      <c r="T815" s="6">
        <v>812</v>
      </c>
      <c r="U815" s="261" t="s">
        <v>3687</v>
      </c>
      <c r="V815" s="232" t="s">
        <v>3870</v>
      </c>
      <c r="W815" s="232">
        <v>-10449.6</v>
      </c>
      <c r="X815" s="232">
        <v>7741.5</v>
      </c>
      <c r="Y815" s="87" t="s">
        <v>3685</v>
      </c>
      <c r="Z815" s="87" t="s">
        <v>50</v>
      </c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261" t="s">
        <v>3687</v>
      </c>
    </row>
    <row r="816" spans="1:43">
      <c r="A816" s="6">
        <v>813</v>
      </c>
      <c r="B816" s="21" t="s">
        <v>3685</v>
      </c>
      <c r="C816" s="5" t="s">
        <v>3871</v>
      </c>
      <c r="D816" s="5" t="s">
        <v>605</v>
      </c>
      <c r="E816" s="5" t="s">
        <v>605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11" t="s">
        <v>46</v>
      </c>
      <c r="Q816" s="5" t="s">
        <v>46</v>
      </c>
      <c r="R816" s="5" t="str">
        <f t="shared" si="13"/>
        <v/>
      </c>
      <c r="S816" s="5" t="s">
        <v>46</v>
      </c>
      <c r="T816" s="6">
        <v>813</v>
      </c>
      <c r="U816" s="261" t="s">
        <v>3687</v>
      </c>
      <c r="V816" s="232" t="s">
        <v>3871</v>
      </c>
      <c r="W816" s="232">
        <v>10449.6</v>
      </c>
      <c r="X816" s="232">
        <v>7741.5</v>
      </c>
      <c r="Y816" s="87" t="s">
        <v>3685</v>
      </c>
      <c r="Z816" s="87" t="s">
        <v>50</v>
      </c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261" t="s">
        <v>3687</v>
      </c>
    </row>
    <row r="817" spans="1:43">
      <c r="A817" s="6">
        <v>814</v>
      </c>
      <c r="B817" s="21" t="s">
        <v>3685</v>
      </c>
      <c r="C817" s="5" t="s">
        <v>3872</v>
      </c>
      <c r="D817" s="5" t="s">
        <v>605</v>
      </c>
      <c r="E817" s="5" t="s">
        <v>605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11" t="s">
        <v>46</v>
      </c>
      <c r="Q817" s="5" t="s">
        <v>46</v>
      </c>
      <c r="R817" s="5" t="str">
        <f t="shared" si="13"/>
        <v/>
      </c>
      <c r="S817" s="5" t="s">
        <v>46</v>
      </c>
      <c r="T817" s="6">
        <v>814</v>
      </c>
      <c r="U817" s="261" t="s">
        <v>3687</v>
      </c>
      <c r="V817" s="232" t="s">
        <v>3872</v>
      </c>
      <c r="W817" s="232">
        <v>9735.6</v>
      </c>
      <c r="X817" s="232">
        <v>7457.1</v>
      </c>
      <c r="Y817" s="87" t="s">
        <v>3685</v>
      </c>
      <c r="Z817" s="87" t="s">
        <v>50</v>
      </c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261" t="s">
        <v>3687</v>
      </c>
    </row>
    <row r="818" spans="1:43">
      <c r="A818" s="6">
        <v>815</v>
      </c>
      <c r="B818" s="21" t="s">
        <v>3685</v>
      </c>
      <c r="C818" s="5" t="s">
        <v>3873</v>
      </c>
      <c r="D818" s="5" t="s">
        <v>605</v>
      </c>
      <c r="E818" s="5" t="s">
        <v>605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11" t="s">
        <v>46</v>
      </c>
      <c r="Q818" s="5" t="s">
        <v>46</v>
      </c>
      <c r="R818" s="5" t="str">
        <f t="shared" si="13"/>
        <v/>
      </c>
      <c r="S818" s="5" t="s">
        <v>46</v>
      </c>
      <c r="T818" s="6">
        <v>815</v>
      </c>
      <c r="U818" s="261" t="s">
        <v>3687</v>
      </c>
      <c r="V818" s="232" t="s">
        <v>3873</v>
      </c>
      <c r="W818" s="232">
        <v>13439.1</v>
      </c>
      <c r="X818" s="232">
        <v>8294.4</v>
      </c>
      <c r="Y818" s="87" t="s">
        <v>3685</v>
      </c>
      <c r="Z818" s="87" t="s">
        <v>50</v>
      </c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261" t="s">
        <v>3687</v>
      </c>
    </row>
    <row r="819" spans="1:43">
      <c r="A819" s="6">
        <v>816</v>
      </c>
      <c r="B819" s="21" t="s">
        <v>3685</v>
      </c>
      <c r="C819" s="5" t="s">
        <v>3874</v>
      </c>
      <c r="D819" s="5" t="s">
        <v>605</v>
      </c>
      <c r="E819" s="5" t="s">
        <v>605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11" t="s">
        <v>46</v>
      </c>
      <c r="Q819" s="5" t="s">
        <v>46</v>
      </c>
      <c r="R819" s="5" t="str">
        <f t="shared" si="13"/>
        <v/>
      </c>
      <c r="S819" s="5" t="s">
        <v>46</v>
      </c>
      <c r="T819" s="6">
        <v>816</v>
      </c>
      <c r="U819" s="261" t="s">
        <v>3687</v>
      </c>
      <c r="V819" s="232" t="s">
        <v>3874</v>
      </c>
      <c r="W819" s="232">
        <v>5955.9</v>
      </c>
      <c r="X819" s="232">
        <v>8217.2999999999993</v>
      </c>
      <c r="Y819" s="87" t="s">
        <v>3685</v>
      </c>
      <c r="Z819" s="87" t="s">
        <v>50</v>
      </c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261" t="s">
        <v>3687</v>
      </c>
    </row>
    <row r="820" spans="1:43">
      <c r="A820" s="6">
        <v>817</v>
      </c>
      <c r="B820" s="21" t="s">
        <v>3685</v>
      </c>
      <c r="C820" s="5" t="s">
        <v>3875</v>
      </c>
      <c r="D820" s="5" t="s">
        <v>605</v>
      </c>
      <c r="E820" s="5" t="s">
        <v>605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11" t="s">
        <v>46</v>
      </c>
      <c r="Q820" s="5" t="s">
        <v>46</v>
      </c>
      <c r="R820" s="5" t="str">
        <f t="shared" si="13"/>
        <v/>
      </c>
      <c r="S820" s="5" t="s">
        <v>46</v>
      </c>
      <c r="T820" s="6">
        <v>817</v>
      </c>
      <c r="U820" s="261" t="s">
        <v>3687</v>
      </c>
      <c r="V820" s="232" t="s">
        <v>3875</v>
      </c>
      <c r="W820" s="232">
        <v>-10883.1</v>
      </c>
      <c r="X820" s="232">
        <v>8100</v>
      </c>
      <c r="Y820" s="87" t="s">
        <v>3685</v>
      </c>
      <c r="Z820" s="87" t="s">
        <v>50</v>
      </c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261" t="s">
        <v>3687</v>
      </c>
    </row>
    <row r="821" spans="1:43">
      <c r="A821" s="6">
        <v>818</v>
      </c>
      <c r="B821" s="21" t="s">
        <v>3685</v>
      </c>
      <c r="C821" s="5" t="s">
        <v>3876</v>
      </c>
      <c r="D821" s="5" t="s">
        <v>605</v>
      </c>
      <c r="E821" s="5" t="s">
        <v>605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11" t="s">
        <v>46</v>
      </c>
      <c r="Q821" s="5" t="s">
        <v>46</v>
      </c>
      <c r="R821" s="5" t="str">
        <f t="shared" si="13"/>
        <v/>
      </c>
      <c r="S821" s="5" t="s">
        <v>46</v>
      </c>
      <c r="T821" s="6">
        <v>818</v>
      </c>
      <c r="U821" s="261" t="s">
        <v>3687</v>
      </c>
      <c r="V821" s="232" t="s">
        <v>3876</v>
      </c>
      <c r="W821" s="232">
        <v>-13439.1</v>
      </c>
      <c r="X821" s="232">
        <v>8294.4</v>
      </c>
      <c r="Y821" s="87" t="s">
        <v>3685</v>
      </c>
      <c r="Z821" s="87" t="s">
        <v>50</v>
      </c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261" t="s">
        <v>3687</v>
      </c>
    </row>
    <row r="822" spans="1:43">
      <c r="A822" s="6">
        <v>819</v>
      </c>
      <c r="B822" s="21" t="s">
        <v>3685</v>
      </c>
      <c r="C822" s="5" t="s">
        <v>3877</v>
      </c>
      <c r="D822" s="5" t="s">
        <v>605</v>
      </c>
      <c r="E822" s="5" t="s">
        <v>605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11" t="s">
        <v>46</v>
      </c>
      <c r="Q822" s="5" t="s">
        <v>46</v>
      </c>
      <c r="R822" s="5" t="str">
        <f t="shared" si="13"/>
        <v/>
      </c>
      <c r="S822" s="5" t="s">
        <v>46</v>
      </c>
      <c r="T822" s="6">
        <v>819</v>
      </c>
      <c r="U822" s="261" t="s">
        <v>3687</v>
      </c>
      <c r="V822" s="232" t="s">
        <v>3877</v>
      </c>
      <c r="W822" s="232">
        <v>8005.6</v>
      </c>
      <c r="X822" s="232">
        <v>8695.7999999999993</v>
      </c>
      <c r="Y822" s="87" t="s">
        <v>3685</v>
      </c>
      <c r="Z822" s="87" t="s">
        <v>50</v>
      </c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261" t="s">
        <v>3687</v>
      </c>
    </row>
    <row r="823" spans="1:43">
      <c r="A823" s="6">
        <v>820</v>
      </c>
      <c r="B823" s="21" t="s">
        <v>3685</v>
      </c>
      <c r="C823" s="5" t="s">
        <v>3878</v>
      </c>
      <c r="D823" s="5" t="s">
        <v>605</v>
      </c>
      <c r="E823" s="5" t="s">
        <v>605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11" t="s">
        <v>46</v>
      </c>
      <c r="Q823" s="5" t="s">
        <v>46</v>
      </c>
      <c r="R823" s="5" t="str">
        <f t="shared" si="13"/>
        <v/>
      </c>
      <c r="S823" s="5" t="s">
        <v>46</v>
      </c>
      <c r="T823" s="6">
        <v>820</v>
      </c>
      <c r="U823" s="261" t="s">
        <v>3687</v>
      </c>
      <c r="V823" s="232" t="s">
        <v>3878</v>
      </c>
      <c r="W823" s="232">
        <v>3554.6</v>
      </c>
      <c r="X823" s="232">
        <v>8418.6</v>
      </c>
      <c r="Y823" s="87" t="s">
        <v>3685</v>
      </c>
      <c r="Z823" s="87" t="s">
        <v>50</v>
      </c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261" t="s">
        <v>3687</v>
      </c>
    </row>
    <row r="824" spans="1:43">
      <c r="A824" s="6">
        <v>821</v>
      </c>
      <c r="B824" s="21" t="s">
        <v>3685</v>
      </c>
      <c r="C824" s="5" t="s">
        <v>3879</v>
      </c>
      <c r="D824" s="5" t="s">
        <v>605</v>
      </c>
      <c r="E824" s="5" t="s">
        <v>605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11" t="s">
        <v>46</v>
      </c>
      <c r="Q824" s="5" t="s">
        <v>46</v>
      </c>
      <c r="R824" s="5" t="str">
        <f t="shared" si="13"/>
        <v/>
      </c>
      <c r="S824" s="5" t="s">
        <v>46</v>
      </c>
      <c r="T824" s="6">
        <v>821</v>
      </c>
      <c r="U824" s="261" t="s">
        <v>3687</v>
      </c>
      <c r="V824" s="232" t="s">
        <v>3879</v>
      </c>
      <c r="W824" s="232">
        <v>825.6</v>
      </c>
      <c r="X824" s="232">
        <v>8418.6</v>
      </c>
      <c r="Y824" s="87" t="s">
        <v>3685</v>
      </c>
      <c r="Z824" s="87" t="s">
        <v>50</v>
      </c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261" t="s">
        <v>3687</v>
      </c>
    </row>
    <row r="825" spans="1:43">
      <c r="A825" s="6">
        <v>822</v>
      </c>
      <c r="B825" s="21" t="s">
        <v>3685</v>
      </c>
      <c r="C825" s="5" t="s">
        <v>3880</v>
      </c>
      <c r="D825" s="5" t="s">
        <v>605</v>
      </c>
      <c r="E825" s="5" t="s">
        <v>605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11" t="s">
        <v>46</v>
      </c>
      <c r="Q825" s="5" t="s">
        <v>46</v>
      </c>
      <c r="R825" s="5" t="str">
        <f t="shared" si="13"/>
        <v/>
      </c>
      <c r="S825" s="5" t="s">
        <v>46</v>
      </c>
      <c r="T825" s="6">
        <v>822</v>
      </c>
      <c r="U825" s="261" t="s">
        <v>3687</v>
      </c>
      <c r="V825" s="232" t="s">
        <v>3880</v>
      </c>
      <c r="W825" s="232">
        <v>-1903.4</v>
      </c>
      <c r="X825" s="232">
        <v>8418.6</v>
      </c>
      <c r="Y825" s="87" t="s">
        <v>3685</v>
      </c>
      <c r="Z825" s="87" t="s">
        <v>50</v>
      </c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261" t="s">
        <v>3687</v>
      </c>
    </row>
    <row r="826" spans="1:43">
      <c r="A826" s="6">
        <v>823</v>
      </c>
      <c r="B826" s="21" t="s">
        <v>3685</v>
      </c>
      <c r="C826" s="5" t="s">
        <v>3881</v>
      </c>
      <c r="D826" s="5" t="s">
        <v>605</v>
      </c>
      <c r="E826" s="5" t="s">
        <v>605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11" t="s">
        <v>46</v>
      </c>
      <c r="Q826" s="5" t="s">
        <v>46</v>
      </c>
      <c r="R826" s="5" t="str">
        <f t="shared" si="13"/>
        <v/>
      </c>
      <c r="S826" s="5" t="s">
        <v>46</v>
      </c>
      <c r="T826" s="6">
        <v>823</v>
      </c>
      <c r="U826" s="261" t="s">
        <v>3687</v>
      </c>
      <c r="V826" s="232" t="s">
        <v>3881</v>
      </c>
      <c r="W826" s="232">
        <v>-4632.3999999999996</v>
      </c>
      <c r="X826" s="232">
        <v>8418.6</v>
      </c>
      <c r="Y826" s="87" t="s">
        <v>3685</v>
      </c>
      <c r="Z826" s="87" t="s">
        <v>50</v>
      </c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261" t="s">
        <v>3687</v>
      </c>
    </row>
    <row r="827" spans="1:43">
      <c r="A827" s="6">
        <v>824</v>
      </c>
      <c r="B827" s="21" t="s">
        <v>3685</v>
      </c>
      <c r="C827" s="5" t="s">
        <v>3882</v>
      </c>
      <c r="D827" s="5" t="s">
        <v>605</v>
      </c>
      <c r="E827" s="5" t="s">
        <v>605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11" t="s">
        <v>46</v>
      </c>
      <c r="Q827" s="5" t="s">
        <v>46</v>
      </c>
      <c r="R827" s="5" t="str">
        <f t="shared" si="13"/>
        <v/>
      </c>
      <c r="S827" s="5" t="s">
        <v>46</v>
      </c>
      <c r="T827" s="6">
        <v>824</v>
      </c>
      <c r="U827" s="261" t="s">
        <v>3687</v>
      </c>
      <c r="V827" s="232" t="s">
        <v>3882</v>
      </c>
      <c r="W827" s="232">
        <v>-7361.4</v>
      </c>
      <c r="X827" s="232">
        <v>8418.6</v>
      </c>
      <c r="Y827" s="87" t="s">
        <v>3685</v>
      </c>
      <c r="Z827" s="87" t="s">
        <v>50</v>
      </c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261" t="s">
        <v>3687</v>
      </c>
    </row>
    <row r="828" spans="1:43">
      <c r="A828" s="6">
        <v>825</v>
      </c>
      <c r="B828" s="21" t="s">
        <v>3685</v>
      </c>
      <c r="C828" s="5" t="s">
        <v>3883</v>
      </c>
      <c r="D828" s="5" t="s">
        <v>605</v>
      </c>
      <c r="E828" s="5" t="s">
        <v>605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11" t="s">
        <v>46</v>
      </c>
      <c r="Q828" s="5" t="s">
        <v>46</v>
      </c>
      <c r="R828" s="5" t="str">
        <f t="shared" si="13"/>
        <v/>
      </c>
      <c r="S828" s="5" t="s">
        <v>46</v>
      </c>
      <c r="T828" s="6">
        <v>825</v>
      </c>
      <c r="U828" s="261" t="s">
        <v>3687</v>
      </c>
      <c r="V828" s="232" t="s">
        <v>3883</v>
      </c>
      <c r="W828" s="232">
        <v>5995.7</v>
      </c>
      <c r="X828" s="232">
        <v>9205.2999999999993</v>
      </c>
      <c r="Y828" s="87" t="s">
        <v>3685</v>
      </c>
      <c r="Z828" s="87" t="s">
        <v>50</v>
      </c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261" t="s">
        <v>3687</v>
      </c>
    </row>
    <row r="829" spans="1:43">
      <c r="A829" s="6">
        <v>826</v>
      </c>
      <c r="B829" s="21" t="s">
        <v>3685</v>
      </c>
      <c r="C829" s="5" t="s">
        <v>3884</v>
      </c>
      <c r="D829" s="5" t="s">
        <v>605</v>
      </c>
      <c r="E829" s="5" t="s">
        <v>605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11" t="s">
        <v>46</v>
      </c>
      <c r="Q829" s="5" t="s">
        <v>46</v>
      </c>
      <c r="R829" s="5" t="str">
        <f t="shared" si="13"/>
        <v/>
      </c>
      <c r="S829" s="5" t="s">
        <v>46</v>
      </c>
      <c r="T829" s="6">
        <v>826</v>
      </c>
      <c r="U829" s="261" t="s">
        <v>3687</v>
      </c>
      <c r="V829" s="232" t="s">
        <v>3884</v>
      </c>
      <c r="W829" s="232">
        <v>3554.6</v>
      </c>
      <c r="X829" s="232">
        <v>9129.7999999999993</v>
      </c>
      <c r="Y829" s="87" t="s">
        <v>3685</v>
      </c>
      <c r="Z829" s="87" t="s">
        <v>50</v>
      </c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261" t="s">
        <v>3687</v>
      </c>
    </row>
    <row r="830" spans="1:43">
      <c r="A830" s="6">
        <v>827</v>
      </c>
      <c r="B830" s="21" t="s">
        <v>3685</v>
      </c>
      <c r="C830" s="5" t="s">
        <v>3885</v>
      </c>
      <c r="D830" s="5" t="s">
        <v>605</v>
      </c>
      <c r="E830" s="5" t="s">
        <v>605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11" t="s">
        <v>46</v>
      </c>
      <c r="Q830" s="5" t="s">
        <v>46</v>
      </c>
      <c r="R830" s="5" t="str">
        <f t="shared" si="13"/>
        <v/>
      </c>
      <c r="S830" s="5" t="s">
        <v>46</v>
      </c>
      <c r="T830" s="6">
        <v>827</v>
      </c>
      <c r="U830" s="261" t="s">
        <v>3687</v>
      </c>
      <c r="V830" s="232" t="s">
        <v>3885</v>
      </c>
      <c r="W830" s="232">
        <v>825.6</v>
      </c>
      <c r="X830" s="232">
        <v>9129.7999999999993</v>
      </c>
      <c r="Y830" s="87" t="s">
        <v>3685</v>
      </c>
      <c r="Z830" s="87" t="s">
        <v>50</v>
      </c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261" t="s">
        <v>3687</v>
      </c>
    </row>
    <row r="831" spans="1:43">
      <c r="A831" s="6">
        <v>828</v>
      </c>
      <c r="B831" s="21" t="s">
        <v>3685</v>
      </c>
      <c r="C831" s="5" t="s">
        <v>3886</v>
      </c>
      <c r="D831" s="5" t="s">
        <v>605</v>
      </c>
      <c r="E831" s="5" t="s">
        <v>605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11" t="s">
        <v>46</v>
      </c>
      <c r="Q831" s="5" t="s">
        <v>46</v>
      </c>
      <c r="R831" s="5" t="str">
        <f t="shared" si="13"/>
        <v/>
      </c>
      <c r="S831" s="5" t="s">
        <v>46</v>
      </c>
      <c r="T831" s="6">
        <v>828</v>
      </c>
      <c r="U831" s="261" t="s">
        <v>3687</v>
      </c>
      <c r="V831" s="232" t="s">
        <v>3886</v>
      </c>
      <c r="W831" s="232">
        <v>-1903.4</v>
      </c>
      <c r="X831" s="232">
        <v>9129.7999999999993</v>
      </c>
      <c r="Y831" s="87" t="s">
        <v>3685</v>
      </c>
      <c r="Z831" s="87" t="s">
        <v>50</v>
      </c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261" t="s">
        <v>3687</v>
      </c>
    </row>
    <row r="832" spans="1:43">
      <c r="A832" s="6">
        <v>829</v>
      </c>
      <c r="B832" s="21" t="s">
        <v>3685</v>
      </c>
      <c r="C832" s="5" t="s">
        <v>3887</v>
      </c>
      <c r="D832" s="5" t="s">
        <v>605</v>
      </c>
      <c r="E832" s="5" t="s">
        <v>605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11" t="s">
        <v>46</v>
      </c>
      <c r="Q832" s="5" t="s">
        <v>46</v>
      </c>
      <c r="R832" s="5" t="str">
        <f t="shared" si="13"/>
        <v/>
      </c>
      <c r="S832" s="5" t="s">
        <v>46</v>
      </c>
      <c r="T832" s="6">
        <v>829</v>
      </c>
      <c r="U832" s="261" t="s">
        <v>3687</v>
      </c>
      <c r="V832" s="232" t="s">
        <v>3887</v>
      </c>
      <c r="W832" s="232">
        <v>-4632.3999999999996</v>
      </c>
      <c r="X832" s="232">
        <v>9129.7999999999993</v>
      </c>
      <c r="Y832" s="87" t="s">
        <v>3685</v>
      </c>
      <c r="Z832" s="87" t="s">
        <v>50</v>
      </c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261" t="s">
        <v>3687</v>
      </c>
    </row>
    <row r="833" spans="1:43">
      <c r="A833" s="6">
        <v>830</v>
      </c>
      <c r="B833" s="21" t="s">
        <v>3685</v>
      </c>
      <c r="C833" s="5" t="s">
        <v>3888</v>
      </c>
      <c r="D833" s="5" t="s">
        <v>605</v>
      </c>
      <c r="E833" s="5" t="s">
        <v>605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11" t="s">
        <v>46</v>
      </c>
      <c r="Q833" s="5" t="s">
        <v>46</v>
      </c>
      <c r="R833" s="5" t="str">
        <f t="shared" si="13"/>
        <v/>
      </c>
      <c r="S833" s="5" t="s">
        <v>46</v>
      </c>
      <c r="T833" s="6">
        <v>830</v>
      </c>
      <c r="U833" s="261" t="s">
        <v>3687</v>
      </c>
      <c r="V833" s="232" t="s">
        <v>3888</v>
      </c>
      <c r="W833" s="232">
        <v>-7361.4</v>
      </c>
      <c r="X833" s="232">
        <v>9129.7999999999993</v>
      </c>
      <c r="Y833" s="87" t="s">
        <v>3685</v>
      </c>
      <c r="Z833" s="87" t="s">
        <v>50</v>
      </c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261" t="s">
        <v>3687</v>
      </c>
    </row>
    <row r="834" spans="1:43">
      <c r="A834" s="6">
        <v>831</v>
      </c>
      <c r="B834" s="21" t="s">
        <v>3685</v>
      </c>
      <c r="C834" s="5" t="s">
        <v>3889</v>
      </c>
      <c r="D834" s="5" t="s">
        <v>605</v>
      </c>
      <c r="E834" s="5" t="s">
        <v>605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11" t="s">
        <v>46</v>
      </c>
      <c r="Q834" s="5" t="s">
        <v>46</v>
      </c>
      <c r="R834" s="5" t="str">
        <f t="shared" si="13"/>
        <v/>
      </c>
      <c r="S834" s="5" t="s">
        <v>46</v>
      </c>
      <c r="T834" s="6">
        <v>831</v>
      </c>
      <c r="U834" s="261" t="s">
        <v>3687</v>
      </c>
      <c r="V834" s="232" t="s">
        <v>3889</v>
      </c>
      <c r="W834" s="232">
        <v>-8192.7999999999993</v>
      </c>
      <c r="X834" s="232">
        <v>9205.2999999999993</v>
      </c>
      <c r="Y834" s="87" t="s">
        <v>3685</v>
      </c>
      <c r="Z834" s="87" t="s">
        <v>50</v>
      </c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261" t="s">
        <v>3687</v>
      </c>
    </row>
    <row r="835" spans="1:43">
      <c r="A835" s="6">
        <v>832</v>
      </c>
      <c r="B835" s="21" t="s">
        <v>3685</v>
      </c>
      <c r="C835" s="5" t="s">
        <v>3890</v>
      </c>
      <c r="D835" s="5" t="s">
        <v>605</v>
      </c>
      <c r="E835" s="5" t="s">
        <v>605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11" t="s">
        <v>46</v>
      </c>
      <c r="Q835" s="5" t="s">
        <v>46</v>
      </c>
      <c r="R835" s="5" t="str">
        <f t="shared" si="13"/>
        <v/>
      </c>
      <c r="S835" s="5" t="s">
        <v>46</v>
      </c>
      <c r="T835" s="6">
        <v>832</v>
      </c>
      <c r="U835" s="261" t="s">
        <v>3687</v>
      </c>
      <c r="V835" s="232" t="s">
        <v>3890</v>
      </c>
      <c r="W835" s="232">
        <v>10389.9</v>
      </c>
      <c r="X835" s="232">
        <v>9205.2999999999993</v>
      </c>
      <c r="Y835" s="87" t="s">
        <v>3685</v>
      </c>
      <c r="Z835" s="87" t="s">
        <v>50</v>
      </c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261" t="s">
        <v>3687</v>
      </c>
    </row>
    <row r="836" spans="1:43">
      <c r="A836" s="6">
        <v>833</v>
      </c>
      <c r="B836" s="21" t="s">
        <v>3685</v>
      </c>
      <c r="C836" s="5" t="s">
        <v>3891</v>
      </c>
      <c r="D836" s="5" t="s">
        <v>605</v>
      </c>
      <c r="E836" s="5" t="s">
        <v>605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11" t="s">
        <v>46</v>
      </c>
      <c r="Q836" s="5" t="s">
        <v>46</v>
      </c>
      <c r="R836" s="5" t="str">
        <f t="shared" si="13"/>
        <v/>
      </c>
      <c r="S836" s="5" t="s">
        <v>46</v>
      </c>
      <c r="T836" s="6">
        <v>833</v>
      </c>
      <c r="U836" s="261" t="s">
        <v>3687</v>
      </c>
      <c r="V836" s="232" t="s">
        <v>3891</v>
      </c>
      <c r="W836" s="232">
        <v>7170.4</v>
      </c>
      <c r="X836" s="232">
        <v>9409.5</v>
      </c>
      <c r="Y836" s="87" t="s">
        <v>3685</v>
      </c>
      <c r="Z836" s="87" t="s">
        <v>50</v>
      </c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261" t="s">
        <v>3687</v>
      </c>
    </row>
    <row r="837" spans="1:43">
      <c r="A837" s="6">
        <v>834</v>
      </c>
      <c r="B837" s="21" t="s">
        <v>3685</v>
      </c>
      <c r="C837" s="5" t="s">
        <v>3892</v>
      </c>
      <c r="D837" s="5" t="s">
        <v>605</v>
      </c>
      <c r="E837" s="5" t="s">
        <v>605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11" t="s">
        <v>46</v>
      </c>
      <c r="Q837" s="5" t="s">
        <v>46</v>
      </c>
      <c r="R837" s="5" t="str">
        <f t="shared" ref="R837:R900" si="14">IF(AND(P837="",Q837=""),"",SUM(P837:Q837))</f>
        <v/>
      </c>
      <c r="S837" s="5" t="s">
        <v>46</v>
      </c>
      <c r="T837" s="6">
        <v>834</v>
      </c>
      <c r="U837" s="261" t="s">
        <v>3687</v>
      </c>
      <c r="V837" s="232" t="s">
        <v>3892</v>
      </c>
      <c r="W837" s="232">
        <v>6214.1</v>
      </c>
      <c r="X837" s="232">
        <v>9662.5</v>
      </c>
      <c r="Y837" s="87" t="s">
        <v>3685</v>
      </c>
      <c r="Z837" s="87" t="s">
        <v>50</v>
      </c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261" t="s">
        <v>3687</v>
      </c>
    </row>
    <row r="838" spans="1:43">
      <c r="A838" s="6">
        <v>835</v>
      </c>
      <c r="B838" s="21" t="s">
        <v>3685</v>
      </c>
      <c r="C838" s="5" t="s">
        <v>3893</v>
      </c>
      <c r="D838" s="5" t="s">
        <v>605</v>
      </c>
      <c r="E838" s="5" t="s">
        <v>605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11" t="s">
        <v>46</v>
      </c>
      <c r="Q838" s="5" t="s">
        <v>46</v>
      </c>
      <c r="R838" s="5" t="str">
        <f t="shared" si="14"/>
        <v/>
      </c>
      <c r="S838" s="5" t="s">
        <v>46</v>
      </c>
      <c r="T838" s="6">
        <v>835</v>
      </c>
      <c r="U838" s="261" t="s">
        <v>3687</v>
      </c>
      <c r="V838" s="232" t="s">
        <v>3893</v>
      </c>
      <c r="W838" s="232">
        <v>-7881</v>
      </c>
      <c r="X838" s="232">
        <v>9603.6</v>
      </c>
      <c r="Y838" s="87" t="s">
        <v>3685</v>
      </c>
      <c r="Z838" s="87" t="s">
        <v>50</v>
      </c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261" t="s">
        <v>3687</v>
      </c>
    </row>
    <row r="839" spans="1:43">
      <c r="A839" s="6">
        <v>836</v>
      </c>
      <c r="B839" s="21" t="s">
        <v>3685</v>
      </c>
      <c r="C839" s="5" t="s">
        <v>3894</v>
      </c>
      <c r="D839" s="5" t="s">
        <v>605</v>
      </c>
      <c r="E839" s="5" t="s">
        <v>605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11" t="s">
        <v>46</v>
      </c>
      <c r="Q839" s="5" t="s">
        <v>46</v>
      </c>
      <c r="R839" s="5" t="str">
        <f t="shared" si="14"/>
        <v/>
      </c>
      <c r="S839" s="5" t="s">
        <v>46</v>
      </c>
      <c r="T839" s="6">
        <v>836</v>
      </c>
      <c r="U839" s="261" t="s">
        <v>3687</v>
      </c>
      <c r="V839" s="232" t="s">
        <v>3894</v>
      </c>
      <c r="W839" s="232">
        <v>-9367.5</v>
      </c>
      <c r="X839" s="232">
        <v>9409.5</v>
      </c>
      <c r="Y839" s="87" t="s">
        <v>3685</v>
      </c>
      <c r="Z839" s="87" t="s">
        <v>50</v>
      </c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261" t="s">
        <v>3687</v>
      </c>
    </row>
    <row r="840" spans="1:43">
      <c r="A840" s="6">
        <v>837</v>
      </c>
      <c r="B840" s="21" t="s">
        <v>3685</v>
      </c>
      <c r="C840" s="5" t="s">
        <v>3895</v>
      </c>
      <c r="D840" s="5" t="s">
        <v>605</v>
      </c>
      <c r="E840" s="5" t="s">
        <v>605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11" t="s">
        <v>46</v>
      </c>
      <c r="Q840" s="5" t="s">
        <v>46</v>
      </c>
      <c r="R840" s="5" t="str">
        <f t="shared" si="14"/>
        <v/>
      </c>
      <c r="S840" s="5" t="s">
        <v>46</v>
      </c>
      <c r="T840" s="6">
        <v>837</v>
      </c>
      <c r="U840" s="261" t="s">
        <v>3687</v>
      </c>
      <c r="V840" s="232" t="s">
        <v>3895</v>
      </c>
      <c r="W840" s="232">
        <v>-13439.1</v>
      </c>
      <c r="X840" s="232">
        <v>9307.6</v>
      </c>
      <c r="Y840" s="87" t="s">
        <v>3685</v>
      </c>
      <c r="Z840" s="87" t="s">
        <v>50</v>
      </c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261" t="s">
        <v>3687</v>
      </c>
    </row>
    <row r="841" spans="1:43">
      <c r="A841" s="6">
        <v>838</v>
      </c>
      <c r="B841" s="21" t="s">
        <v>3685</v>
      </c>
      <c r="C841" s="5" t="s">
        <v>3896</v>
      </c>
      <c r="D841" s="5" t="s">
        <v>605</v>
      </c>
      <c r="E841" s="5" t="s">
        <v>605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11" t="s">
        <v>46</v>
      </c>
      <c r="Q841" s="5" t="s">
        <v>46</v>
      </c>
      <c r="R841" s="5" t="str">
        <f t="shared" si="14"/>
        <v/>
      </c>
      <c r="S841" s="5" t="s">
        <v>46</v>
      </c>
      <c r="T841" s="6">
        <v>838</v>
      </c>
      <c r="U841" s="261" t="s">
        <v>3687</v>
      </c>
      <c r="V841" s="232" t="s">
        <v>3896</v>
      </c>
      <c r="W841" s="232">
        <v>9367.5</v>
      </c>
      <c r="X841" s="232">
        <v>9409.5</v>
      </c>
      <c r="Y841" s="87" t="s">
        <v>3685</v>
      </c>
      <c r="Z841" s="87" t="s">
        <v>50</v>
      </c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261" t="s">
        <v>3687</v>
      </c>
    </row>
    <row r="842" spans="1:43">
      <c r="A842" s="6">
        <v>839</v>
      </c>
      <c r="B842" s="21" t="s">
        <v>3685</v>
      </c>
      <c r="C842" s="5" t="s">
        <v>3897</v>
      </c>
      <c r="D842" s="5" t="s">
        <v>605</v>
      </c>
      <c r="E842" s="5" t="s">
        <v>605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11" t="s">
        <v>46</v>
      </c>
      <c r="Q842" s="5" t="s">
        <v>46</v>
      </c>
      <c r="R842" s="5" t="str">
        <f t="shared" si="14"/>
        <v/>
      </c>
      <c r="S842" s="5" t="s">
        <v>46</v>
      </c>
      <c r="T842" s="6">
        <v>839</v>
      </c>
      <c r="U842" s="261" t="s">
        <v>3687</v>
      </c>
      <c r="V842" s="232" t="s">
        <v>3897</v>
      </c>
      <c r="W842" s="232">
        <v>7784.1</v>
      </c>
      <c r="X842" s="232">
        <v>10035.6</v>
      </c>
      <c r="Y842" s="87" t="s">
        <v>3685</v>
      </c>
      <c r="Z842" s="87" t="s">
        <v>50</v>
      </c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261" t="s">
        <v>3687</v>
      </c>
    </row>
    <row r="843" spans="1:43">
      <c r="A843" s="6">
        <v>840</v>
      </c>
      <c r="B843" s="21" t="s">
        <v>3685</v>
      </c>
      <c r="C843" s="5" t="s">
        <v>3898</v>
      </c>
      <c r="D843" s="5" t="s">
        <v>605</v>
      </c>
      <c r="E843" s="5" t="s">
        <v>605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11" t="s">
        <v>46</v>
      </c>
      <c r="Q843" s="5" t="s">
        <v>46</v>
      </c>
      <c r="R843" s="5" t="str">
        <f t="shared" si="14"/>
        <v/>
      </c>
      <c r="S843" s="5" t="s">
        <v>46</v>
      </c>
      <c r="T843" s="6">
        <v>840</v>
      </c>
      <c r="U843" s="261" t="s">
        <v>3687</v>
      </c>
      <c r="V843" s="232" t="s">
        <v>3898</v>
      </c>
      <c r="W843" s="232">
        <v>4775.8</v>
      </c>
      <c r="X843" s="232">
        <v>9947.2000000000007</v>
      </c>
      <c r="Y843" s="87" t="s">
        <v>3685</v>
      </c>
      <c r="Z843" s="87" t="s">
        <v>50</v>
      </c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261" t="s">
        <v>3687</v>
      </c>
    </row>
    <row r="844" spans="1:43">
      <c r="A844" s="6">
        <v>841</v>
      </c>
      <c r="B844" s="21" t="s">
        <v>3685</v>
      </c>
      <c r="C844" s="5" t="s">
        <v>3899</v>
      </c>
      <c r="D844" s="5" t="s">
        <v>605</v>
      </c>
      <c r="E844" s="5" t="s">
        <v>605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11" t="s">
        <v>46</v>
      </c>
      <c r="Q844" s="5" t="s">
        <v>46</v>
      </c>
      <c r="R844" s="5" t="str">
        <f t="shared" si="14"/>
        <v/>
      </c>
      <c r="S844" s="5" t="s">
        <v>46</v>
      </c>
      <c r="T844" s="6">
        <v>841</v>
      </c>
      <c r="U844" s="261" t="s">
        <v>3687</v>
      </c>
      <c r="V844" s="232" t="s">
        <v>3899</v>
      </c>
      <c r="W844" s="232">
        <v>4093.5</v>
      </c>
      <c r="X844" s="232">
        <v>10006</v>
      </c>
      <c r="Y844" s="87" t="s">
        <v>3685</v>
      </c>
      <c r="Z844" s="87" t="s">
        <v>50</v>
      </c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261" t="s">
        <v>3687</v>
      </c>
    </row>
    <row r="845" spans="1:43">
      <c r="A845" s="6">
        <v>842</v>
      </c>
      <c r="B845" s="21" t="s">
        <v>3685</v>
      </c>
      <c r="C845" s="5" t="s">
        <v>3900</v>
      </c>
      <c r="D845" s="5" t="s">
        <v>605</v>
      </c>
      <c r="E845" s="5" t="s">
        <v>605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11" t="s">
        <v>46</v>
      </c>
      <c r="Q845" s="5" t="s">
        <v>46</v>
      </c>
      <c r="R845" s="5" t="str">
        <f t="shared" si="14"/>
        <v/>
      </c>
      <c r="S845" s="5" t="s">
        <v>46</v>
      </c>
      <c r="T845" s="6">
        <v>842</v>
      </c>
      <c r="U845" s="261" t="s">
        <v>3687</v>
      </c>
      <c r="V845" s="232" t="s">
        <v>3900</v>
      </c>
      <c r="W845" s="232">
        <v>3411.2</v>
      </c>
      <c r="X845" s="232">
        <v>9947.2000000000007</v>
      </c>
      <c r="Y845" s="87" t="s">
        <v>3685</v>
      </c>
      <c r="Z845" s="87" t="s">
        <v>50</v>
      </c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261" t="s">
        <v>3687</v>
      </c>
    </row>
    <row r="846" spans="1:43">
      <c r="A846" s="6">
        <v>843</v>
      </c>
      <c r="B846" s="21" t="s">
        <v>3685</v>
      </c>
      <c r="C846" s="5" t="s">
        <v>3901</v>
      </c>
      <c r="D846" s="5" t="s">
        <v>605</v>
      </c>
      <c r="E846" s="5" t="s">
        <v>605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11" t="s">
        <v>46</v>
      </c>
      <c r="Q846" s="5" t="s">
        <v>46</v>
      </c>
      <c r="R846" s="5" t="str">
        <f t="shared" si="14"/>
        <v/>
      </c>
      <c r="S846" s="5" t="s">
        <v>46</v>
      </c>
      <c r="T846" s="6">
        <v>843</v>
      </c>
      <c r="U846" s="261" t="s">
        <v>3687</v>
      </c>
      <c r="V846" s="232" t="s">
        <v>3901</v>
      </c>
      <c r="W846" s="232">
        <v>2046.8</v>
      </c>
      <c r="X846" s="232">
        <v>9947.2000000000007</v>
      </c>
      <c r="Y846" s="87" t="s">
        <v>3685</v>
      </c>
      <c r="Z846" s="87" t="s">
        <v>50</v>
      </c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261" t="s">
        <v>3687</v>
      </c>
    </row>
    <row r="847" spans="1:43">
      <c r="A847" s="6">
        <v>844</v>
      </c>
      <c r="B847" s="21" t="s">
        <v>3685</v>
      </c>
      <c r="C847" s="5" t="s">
        <v>3902</v>
      </c>
      <c r="D847" s="5" t="s">
        <v>605</v>
      </c>
      <c r="E847" s="5" t="s">
        <v>605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11" t="s">
        <v>46</v>
      </c>
      <c r="Q847" s="5" t="s">
        <v>46</v>
      </c>
      <c r="R847" s="5" t="str">
        <f t="shared" si="14"/>
        <v/>
      </c>
      <c r="S847" s="5" t="s">
        <v>46</v>
      </c>
      <c r="T847" s="6">
        <v>844</v>
      </c>
      <c r="U847" s="261" t="s">
        <v>3687</v>
      </c>
      <c r="V847" s="232" t="s">
        <v>3902</v>
      </c>
      <c r="W847" s="232">
        <v>1364.5</v>
      </c>
      <c r="X847" s="232">
        <v>10006</v>
      </c>
      <c r="Y847" s="87" t="s">
        <v>3685</v>
      </c>
      <c r="Z847" s="87" t="s">
        <v>50</v>
      </c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261" t="s">
        <v>3687</v>
      </c>
    </row>
    <row r="848" spans="1:43">
      <c r="A848" s="6">
        <v>845</v>
      </c>
      <c r="B848" s="21" t="s">
        <v>3685</v>
      </c>
      <c r="C848" s="5" t="s">
        <v>3903</v>
      </c>
      <c r="D848" s="5" t="s">
        <v>605</v>
      </c>
      <c r="E848" s="5" t="s">
        <v>605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11" t="s">
        <v>46</v>
      </c>
      <c r="Q848" s="5" t="s">
        <v>46</v>
      </c>
      <c r="R848" s="5" t="str">
        <f t="shared" si="14"/>
        <v/>
      </c>
      <c r="S848" s="5" t="s">
        <v>46</v>
      </c>
      <c r="T848" s="6">
        <v>845</v>
      </c>
      <c r="U848" s="261" t="s">
        <v>3687</v>
      </c>
      <c r="V848" s="232" t="s">
        <v>3903</v>
      </c>
      <c r="W848" s="232">
        <v>682.2</v>
      </c>
      <c r="X848" s="232">
        <v>9947.2000000000007</v>
      </c>
      <c r="Y848" s="87" t="s">
        <v>3685</v>
      </c>
      <c r="Z848" s="87" t="s">
        <v>50</v>
      </c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261" t="s">
        <v>3687</v>
      </c>
    </row>
    <row r="849" spans="1:43">
      <c r="A849" s="6">
        <v>846</v>
      </c>
      <c r="B849" s="21" t="s">
        <v>3685</v>
      </c>
      <c r="C849" s="5" t="s">
        <v>3904</v>
      </c>
      <c r="D849" s="5" t="s">
        <v>605</v>
      </c>
      <c r="E849" s="5" t="s">
        <v>605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11" t="s">
        <v>46</v>
      </c>
      <c r="Q849" s="5" t="s">
        <v>46</v>
      </c>
      <c r="R849" s="5" t="str">
        <f t="shared" si="14"/>
        <v/>
      </c>
      <c r="S849" s="5" t="s">
        <v>46</v>
      </c>
      <c r="T849" s="6">
        <v>846</v>
      </c>
      <c r="U849" s="261" t="s">
        <v>3687</v>
      </c>
      <c r="V849" s="232" t="s">
        <v>3904</v>
      </c>
      <c r="W849" s="232">
        <v>-682.2</v>
      </c>
      <c r="X849" s="232">
        <v>9947.2000000000007</v>
      </c>
      <c r="Y849" s="87" t="s">
        <v>3685</v>
      </c>
      <c r="Z849" s="87" t="s">
        <v>50</v>
      </c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261" t="s">
        <v>3687</v>
      </c>
    </row>
    <row r="850" spans="1:43">
      <c r="A850" s="6">
        <v>847</v>
      </c>
      <c r="B850" s="21" t="s">
        <v>3685</v>
      </c>
      <c r="C850" s="5" t="s">
        <v>3905</v>
      </c>
      <c r="D850" s="5" t="s">
        <v>605</v>
      </c>
      <c r="E850" s="5" t="s">
        <v>605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11" t="s">
        <v>46</v>
      </c>
      <c r="Q850" s="5" t="s">
        <v>46</v>
      </c>
      <c r="R850" s="5" t="str">
        <f t="shared" si="14"/>
        <v/>
      </c>
      <c r="S850" s="5" t="s">
        <v>46</v>
      </c>
      <c r="T850" s="6">
        <v>847</v>
      </c>
      <c r="U850" s="261" t="s">
        <v>3687</v>
      </c>
      <c r="V850" s="232" t="s">
        <v>3905</v>
      </c>
      <c r="W850" s="232">
        <v>-1364.5</v>
      </c>
      <c r="X850" s="232">
        <v>10006</v>
      </c>
      <c r="Y850" s="87" t="s">
        <v>3685</v>
      </c>
      <c r="Z850" s="87" t="s">
        <v>50</v>
      </c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261" t="s">
        <v>3687</v>
      </c>
    </row>
    <row r="851" spans="1:43">
      <c r="A851" s="6">
        <v>848</v>
      </c>
      <c r="B851" s="21" t="s">
        <v>3685</v>
      </c>
      <c r="C851" s="5" t="s">
        <v>3906</v>
      </c>
      <c r="D851" s="5" t="s">
        <v>605</v>
      </c>
      <c r="E851" s="5" t="s">
        <v>605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11" t="s">
        <v>46</v>
      </c>
      <c r="Q851" s="5" t="s">
        <v>46</v>
      </c>
      <c r="R851" s="5" t="str">
        <f t="shared" si="14"/>
        <v/>
      </c>
      <c r="S851" s="5" t="s">
        <v>46</v>
      </c>
      <c r="T851" s="6">
        <v>848</v>
      </c>
      <c r="U851" s="261" t="s">
        <v>3687</v>
      </c>
      <c r="V851" s="232" t="s">
        <v>3906</v>
      </c>
      <c r="W851" s="232">
        <v>-2046.8</v>
      </c>
      <c r="X851" s="232">
        <v>9947.2000000000007</v>
      </c>
      <c r="Y851" s="87" t="s">
        <v>3685</v>
      </c>
      <c r="Z851" s="87" t="s">
        <v>50</v>
      </c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261" t="s">
        <v>3687</v>
      </c>
    </row>
    <row r="852" spans="1:43">
      <c r="A852" s="6">
        <v>849</v>
      </c>
      <c r="B852" s="21" t="s">
        <v>3685</v>
      </c>
      <c r="C852" s="5" t="s">
        <v>3907</v>
      </c>
      <c r="D852" s="5" t="s">
        <v>605</v>
      </c>
      <c r="E852" s="5" t="s">
        <v>605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11" t="s">
        <v>46</v>
      </c>
      <c r="Q852" s="5" t="s">
        <v>46</v>
      </c>
      <c r="R852" s="5" t="str">
        <f t="shared" si="14"/>
        <v/>
      </c>
      <c r="S852" s="5" t="s">
        <v>46</v>
      </c>
      <c r="T852" s="6">
        <v>849</v>
      </c>
      <c r="U852" s="261" t="s">
        <v>3687</v>
      </c>
      <c r="V852" s="232" t="s">
        <v>3907</v>
      </c>
      <c r="W852" s="232">
        <v>-3411.2</v>
      </c>
      <c r="X852" s="232">
        <v>9947.2000000000007</v>
      </c>
      <c r="Y852" s="87" t="s">
        <v>3685</v>
      </c>
      <c r="Z852" s="87" t="s">
        <v>50</v>
      </c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261" t="s">
        <v>3687</v>
      </c>
    </row>
    <row r="853" spans="1:43">
      <c r="A853" s="6">
        <v>850</v>
      </c>
      <c r="B853" s="21" t="s">
        <v>3685</v>
      </c>
      <c r="C853" s="5" t="s">
        <v>3908</v>
      </c>
      <c r="D853" s="5" t="s">
        <v>605</v>
      </c>
      <c r="E853" s="5" t="s">
        <v>605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11" t="s">
        <v>46</v>
      </c>
      <c r="Q853" s="5" t="s">
        <v>46</v>
      </c>
      <c r="R853" s="5" t="str">
        <f t="shared" si="14"/>
        <v/>
      </c>
      <c r="S853" s="5" t="s">
        <v>46</v>
      </c>
      <c r="T853" s="6">
        <v>850</v>
      </c>
      <c r="U853" s="261" t="s">
        <v>3687</v>
      </c>
      <c r="V853" s="232" t="s">
        <v>3908</v>
      </c>
      <c r="W853" s="232">
        <v>-4093.5</v>
      </c>
      <c r="X853" s="232">
        <v>10006</v>
      </c>
      <c r="Y853" s="87" t="s">
        <v>3685</v>
      </c>
      <c r="Z853" s="87" t="s">
        <v>50</v>
      </c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261" t="s">
        <v>3687</v>
      </c>
    </row>
    <row r="854" spans="1:43">
      <c r="A854" s="6">
        <v>851</v>
      </c>
      <c r="B854" s="21" t="s">
        <v>3685</v>
      </c>
      <c r="C854" s="5" t="s">
        <v>3909</v>
      </c>
      <c r="D854" s="5" t="s">
        <v>605</v>
      </c>
      <c r="E854" s="5" t="s">
        <v>605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11" t="s">
        <v>46</v>
      </c>
      <c r="Q854" s="5" t="s">
        <v>46</v>
      </c>
      <c r="R854" s="5" t="str">
        <f t="shared" si="14"/>
        <v/>
      </c>
      <c r="S854" s="5" t="s">
        <v>46</v>
      </c>
      <c r="T854" s="6">
        <v>851</v>
      </c>
      <c r="U854" s="261" t="s">
        <v>3687</v>
      </c>
      <c r="V854" s="232" t="s">
        <v>3909</v>
      </c>
      <c r="W854" s="232">
        <v>-4775.8</v>
      </c>
      <c r="X854" s="232">
        <v>9947.2000000000007</v>
      </c>
      <c r="Y854" s="87" t="s">
        <v>3685</v>
      </c>
      <c r="Z854" s="87" t="s">
        <v>50</v>
      </c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261" t="s">
        <v>3687</v>
      </c>
    </row>
    <row r="855" spans="1:43">
      <c r="A855" s="6">
        <v>852</v>
      </c>
      <c r="B855" s="21" t="s">
        <v>3685</v>
      </c>
      <c r="C855" s="5" t="s">
        <v>3910</v>
      </c>
      <c r="D855" s="5" t="s">
        <v>605</v>
      </c>
      <c r="E855" s="5" t="s">
        <v>605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11" t="s">
        <v>46</v>
      </c>
      <c r="Q855" s="5" t="s">
        <v>46</v>
      </c>
      <c r="R855" s="5" t="str">
        <f t="shared" si="14"/>
        <v/>
      </c>
      <c r="S855" s="5" t="s">
        <v>46</v>
      </c>
      <c r="T855" s="6">
        <v>852</v>
      </c>
      <c r="U855" s="261" t="s">
        <v>3687</v>
      </c>
      <c r="V855" s="232" t="s">
        <v>3910</v>
      </c>
      <c r="W855" s="232">
        <v>11787</v>
      </c>
      <c r="X855" s="232">
        <v>9771.9</v>
      </c>
      <c r="Y855" s="87" t="s">
        <v>3685</v>
      </c>
      <c r="Z855" s="87" t="s">
        <v>50</v>
      </c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261" t="s">
        <v>3687</v>
      </c>
    </row>
    <row r="856" spans="1:43">
      <c r="A856" s="6">
        <v>853</v>
      </c>
      <c r="B856" s="21" t="s">
        <v>3685</v>
      </c>
      <c r="C856" s="5" t="s">
        <v>3911</v>
      </c>
      <c r="D856" s="5" t="s">
        <v>605</v>
      </c>
      <c r="E856" s="5" t="s">
        <v>605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11" t="s">
        <v>46</v>
      </c>
      <c r="Q856" s="5" t="s">
        <v>46</v>
      </c>
      <c r="R856" s="5" t="str">
        <f t="shared" si="14"/>
        <v/>
      </c>
      <c r="S856" s="5" t="s">
        <v>46</v>
      </c>
      <c r="T856" s="6">
        <v>853</v>
      </c>
      <c r="U856" s="261" t="s">
        <v>3687</v>
      </c>
      <c r="V856" s="232" t="s">
        <v>3911</v>
      </c>
      <c r="W856" s="232">
        <v>-6140.2</v>
      </c>
      <c r="X856" s="232">
        <v>9947.2000000000007</v>
      </c>
      <c r="Y856" s="87" t="s">
        <v>3685</v>
      </c>
      <c r="Z856" s="87" t="s">
        <v>50</v>
      </c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261" t="s">
        <v>3687</v>
      </c>
    </row>
    <row r="857" spans="1:43">
      <c r="A857" s="6">
        <v>854</v>
      </c>
      <c r="B857" s="21" t="s">
        <v>3685</v>
      </c>
      <c r="C857" s="5" t="s">
        <v>3912</v>
      </c>
      <c r="D857" s="5" t="s">
        <v>605</v>
      </c>
      <c r="E857" s="5" t="s">
        <v>605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11" t="s">
        <v>46</v>
      </c>
      <c r="Q857" s="5" t="s">
        <v>46</v>
      </c>
      <c r="R857" s="5" t="str">
        <f t="shared" si="14"/>
        <v/>
      </c>
      <c r="S857" s="5" t="s">
        <v>46</v>
      </c>
      <c r="T857" s="6">
        <v>854</v>
      </c>
      <c r="U857" s="261" t="s">
        <v>3687</v>
      </c>
      <c r="V857" s="232" t="s">
        <v>3912</v>
      </c>
      <c r="W857" s="232">
        <v>-6822.5</v>
      </c>
      <c r="X857" s="232">
        <v>10006</v>
      </c>
      <c r="Y857" s="87" t="s">
        <v>3685</v>
      </c>
      <c r="Z857" s="87" t="s">
        <v>50</v>
      </c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261" t="s">
        <v>3687</v>
      </c>
    </row>
    <row r="858" spans="1:43">
      <c r="A858" s="6">
        <v>855</v>
      </c>
      <c r="B858" s="21" t="s">
        <v>3685</v>
      </c>
      <c r="C858" s="5" t="s">
        <v>3913</v>
      </c>
      <c r="D858" s="5" t="s">
        <v>605</v>
      </c>
      <c r="E858" s="5" t="s">
        <v>605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11" t="s">
        <v>46</v>
      </c>
      <c r="Q858" s="5" t="s">
        <v>46</v>
      </c>
      <c r="R858" s="5" t="str">
        <f t="shared" si="14"/>
        <v/>
      </c>
      <c r="S858" s="5" t="s">
        <v>46</v>
      </c>
      <c r="T858" s="6">
        <v>855</v>
      </c>
      <c r="U858" s="261" t="s">
        <v>3687</v>
      </c>
      <c r="V858" s="232" t="s">
        <v>3913</v>
      </c>
      <c r="W858" s="232">
        <v>-7504.8</v>
      </c>
      <c r="X858" s="232">
        <v>9947.2000000000007</v>
      </c>
      <c r="Y858" s="87" t="s">
        <v>3685</v>
      </c>
      <c r="Z858" s="87" t="s">
        <v>50</v>
      </c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261" t="s">
        <v>3687</v>
      </c>
    </row>
    <row r="859" spans="1:43">
      <c r="A859" s="6">
        <v>856</v>
      </c>
      <c r="B859" s="21" t="s">
        <v>3685</v>
      </c>
      <c r="C859" s="5" t="s">
        <v>3914</v>
      </c>
      <c r="D859" s="5" t="s">
        <v>605</v>
      </c>
      <c r="E859" s="5" t="s">
        <v>605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11" t="s">
        <v>46</v>
      </c>
      <c r="Q859" s="5" t="s">
        <v>46</v>
      </c>
      <c r="R859" s="5" t="str">
        <f t="shared" si="14"/>
        <v/>
      </c>
      <c r="S859" s="5" t="s">
        <v>46</v>
      </c>
      <c r="T859" s="6">
        <v>856</v>
      </c>
      <c r="U859" s="261" t="s">
        <v>3687</v>
      </c>
      <c r="V859" s="232" t="s">
        <v>3914</v>
      </c>
      <c r="W859" s="232">
        <v>-9981.2000000000007</v>
      </c>
      <c r="X859" s="232">
        <v>10035.6</v>
      </c>
      <c r="Y859" s="87" t="s">
        <v>3685</v>
      </c>
      <c r="Z859" s="87" t="s">
        <v>50</v>
      </c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261" t="s">
        <v>3687</v>
      </c>
    </row>
    <row r="860" spans="1:43">
      <c r="A860" s="6">
        <v>857</v>
      </c>
      <c r="B860" s="21" t="s">
        <v>3685</v>
      </c>
      <c r="C860" s="5" t="s">
        <v>3915</v>
      </c>
      <c r="D860" s="5" t="s">
        <v>605</v>
      </c>
      <c r="E860" s="5" t="s">
        <v>605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11" t="s">
        <v>46</v>
      </c>
      <c r="Q860" s="5" t="s">
        <v>46</v>
      </c>
      <c r="R860" s="5" t="str">
        <f t="shared" si="14"/>
        <v/>
      </c>
      <c r="S860" s="5" t="s">
        <v>46</v>
      </c>
      <c r="T860" s="6">
        <v>857</v>
      </c>
      <c r="U860" s="261" t="s">
        <v>3687</v>
      </c>
      <c r="V860" s="173" t="s">
        <v>3916</v>
      </c>
      <c r="W860" s="232">
        <v>13439.1</v>
      </c>
      <c r="X860" s="232">
        <v>10308.9</v>
      </c>
      <c r="Y860" s="87" t="s">
        <v>3685</v>
      </c>
      <c r="Z860" s="87" t="s">
        <v>50</v>
      </c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261" t="s">
        <v>3687</v>
      </c>
    </row>
    <row r="861" spans="1:43">
      <c r="A861" s="6">
        <v>858</v>
      </c>
      <c r="B861" s="21" t="s">
        <v>3685</v>
      </c>
      <c r="C861" s="5" t="s">
        <v>3917</v>
      </c>
      <c r="D861" s="5" t="s">
        <v>605</v>
      </c>
      <c r="E861" s="5" t="s">
        <v>605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11" t="s">
        <v>46</v>
      </c>
      <c r="Q861" s="5" t="s">
        <v>46</v>
      </c>
      <c r="R861" s="5" t="str">
        <f t="shared" si="14"/>
        <v/>
      </c>
      <c r="S861" s="5" t="s">
        <v>46</v>
      </c>
      <c r="T861" s="6">
        <v>858</v>
      </c>
      <c r="U861" s="261" t="s">
        <v>3687</v>
      </c>
      <c r="V861" s="232" t="s">
        <v>3917</v>
      </c>
      <c r="W861" s="232">
        <v>-12930.1</v>
      </c>
      <c r="X861" s="232">
        <v>10680</v>
      </c>
      <c r="Y861" s="87" t="s">
        <v>3685</v>
      </c>
      <c r="Z861" s="87" t="s">
        <v>50</v>
      </c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261" t="s">
        <v>3687</v>
      </c>
    </row>
    <row r="862" spans="1:43">
      <c r="A862" s="6">
        <v>859</v>
      </c>
      <c r="B862" s="21" t="s">
        <v>3685</v>
      </c>
      <c r="C862" s="5" t="s">
        <v>3918</v>
      </c>
      <c r="D862" s="5" t="s">
        <v>605</v>
      </c>
      <c r="E862" s="5" t="s">
        <v>605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11" t="s">
        <v>46</v>
      </c>
      <c r="Q862" s="5" t="s">
        <v>46</v>
      </c>
      <c r="R862" s="5" t="str">
        <f t="shared" si="14"/>
        <v/>
      </c>
      <c r="S862" s="5" t="s">
        <v>46</v>
      </c>
      <c r="T862" s="6">
        <v>859</v>
      </c>
      <c r="U862" s="261" t="s">
        <v>3687</v>
      </c>
      <c r="V862" s="232" t="s">
        <v>3918</v>
      </c>
      <c r="W862" s="232">
        <v>10659.4</v>
      </c>
      <c r="X862" s="232">
        <v>10665.3</v>
      </c>
      <c r="Y862" s="87" t="s">
        <v>3685</v>
      </c>
      <c r="Z862" s="87" t="s">
        <v>50</v>
      </c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261" t="s">
        <v>3687</v>
      </c>
    </row>
    <row r="863" spans="1:43">
      <c r="A863" s="6">
        <v>860</v>
      </c>
      <c r="B863" s="21" t="s">
        <v>3685</v>
      </c>
      <c r="C863" s="5" t="s">
        <v>3919</v>
      </c>
      <c r="D863" s="5" t="s">
        <v>605</v>
      </c>
      <c r="E863" s="5" t="s">
        <v>605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11" t="s">
        <v>46</v>
      </c>
      <c r="Q863" s="5" t="s">
        <v>46</v>
      </c>
      <c r="R863" s="5" t="str">
        <f t="shared" si="14"/>
        <v/>
      </c>
      <c r="S863" s="5" t="s">
        <v>46</v>
      </c>
      <c r="T863" s="6">
        <v>860</v>
      </c>
      <c r="U863" s="261" t="s">
        <v>3687</v>
      </c>
      <c r="V863" s="232" t="s">
        <v>3919</v>
      </c>
      <c r="W863" s="232">
        <v>5458</v>
      </c>
      <c r="X863" s="232">
        <v>10756.6</v>
      </c>
      <c r="Y863" s="87" t="s">
        <v>3685</v>
      </c>
      <c r="Z863" s="87" t="s">
        <v>50</v>
      </c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261" t="s">
        <v>3687</v>
      </c>
    </row>
    <row r="864" spans="1:43">
      <c r="A864" s="6">
        <v>861</v>
      </c>
      <c r="B864" s="21" t="s">
        <v>3685</v>
      </c>
      <c r="C864" s="5" t="s">
        <v>3920</v>
      </c>
      <c r="D864" s="5" t="s">
        <v>605</v>
      </c>
      <c r="E864" s="5" t="s">
        <v>605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11" t="s">
        <v>46</v>
      </c>
      <c r="Q864" s="5" t="s">
        <v>46</v>
      </c>
      <c r="R864" s="5" t="str">
        <f t="shared" si="14"/>
        <v/>
      </c>
      <c r="S864" s="5" t="s">
        <v>46</v>
      </c>
      <c r="T864" s="6">
        <v>861</v>
      </c>
      <c r="U864" s="261" t="s">
        <v>3687</v>
      </c>
      <c r="V864" s="232" t="s">
        <v>3920</v>
      </c>
      <c r="W864" s="232">
        <v>4093.5</v>
      </c>
      <c r="X864" s="232">
        <v>10736.6</v>
      </c>
      <c r="Y864" s="87" t="s">
        <v>3685</v>
      </c>
      <c r="Z864" s="87" t="s">
        <v>50</v>
      </c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261" t="s">
        <v>3687</v>
      </c>
    </row>
    <row r="865" spans="1:43">
      <c r="A865" s="6">
        <v>862</v>
      </c>
      <c r="B865" s="21" t="s">
        <v>3685</v>
      </c>
      <c r="C865" s="5" t="s">
        <v>3921</v>
      </c>
      <c r="D865" s="5" t="s">
        <v>605</v>
      </c>
      <c r="E865" s="5" t="s">
        <v>605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11" t="s">
        <v>46</v>
      </c>
      <c r="Q865" s="5" t="s">
        <v>46</v>
      </c>
      <c r="R865" s="5" t="str">
        <f t="shared" si="14"/>
        <v/>
      </c>
      <c r="S865" s="5" t="s">
        <v>46</v>
      </c>
      <c r="T865" s="6">
        <v>862</v>
      </c>
      <c r="U865" s="261" t="s">
        <v>3687</v>
      </c>
      <c r="V865" s="232" t="s">
        <v>3921</v>
      </c>
      <c r="W865" s="232">
        <v>2729</v>
      </c>
      <c r="X865" s="232">
        <v>10756.6</v>
      </c>
      <c r="Y865" s="87" t="s">
        <v>3685</v>
      </c>
      <c r="Z865" s="87" t="s">
        <v>50</v>
      </c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261" t="s">
        <v>3687</v>
      </c>
    </row>
    <row r="866" spans="1:43">
      <c r="A866" s="6">
        <v>863</v>
      </c>
      <c r="B866" s="21" t="s">
        <v>3685</v>
      </c>
      <c r="C866" s="5" t="s">
        <v>3922</v>
      </c>
      <c r="D866" s="5" t="s">
        <v>605</v>
      </c>
      <c r="E866" s="5" t="s">
        <v>605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11" t="s">
        <v>46</v>
      </c>
      <c r="Q866" s="5" t="s">
        <v>46</v>
      </c>
      <c r="R866" s="5" t="str">
        <f t="shared" si="14"/>
        <v/>
      </c>
      <c r="S866" s="5" t="s">
        <v>46</v>
      </c>
      <c r="T866" s="6">
        <v>863</v>
      </c>
      <c r="U866" s="261" t="s">
        <v>3687</v>
      </c>
      <c r="V866" s="232" t="s">
        <v>3922</v>
      </c>
      <c r="W866" s="232">
        <v>1364.5</v>
      </c>
      <c r="X866" s="232">
        <v>10736.6</v>
      </c>
      <c r="Y866" s="87" t="s">
        <v>3685</v>
      </c>
      <c r="Z866" s="87" t="s">
        <v>50</v>
      </c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261" t="s">
        <v>3687</v>
      </c>
    </row>
    <row r="867" spans="1:43">
      <c r="A867" s="6">
        <v>864</v>
      </c>
      <c r="B867" s="21" t="s">
        <v>3685</v>
      </c>
      <c r="C867" s="5" t="s">
        <v>3923</v>
      </c>
      <c r="D867" s="5" t="s">
        <v>605</v>
      </c>
      <c r="E867" s="5" t="s">
        <v>605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11" t="s">
        <v>46</v>
      </c>
      <c r="Q867" s="5" t="s">
        <v>46</v>
      </c>
      <c r="R867" s="5" t="str">
        <f t="shared" si="14"/>
        <v/>
      </c>
      <c r="S867" s="5" t="s">
        <v>46</v>
      </c>
      <c r="T867" s="6">
        <v>864</v>
      </c>
      <c r="U867" s="261" t="s">
        <v>3687</v>
      </c>
      <c r="V867" s="232" t="s">
        <v>3923</v>
      </c>
      <c r="W867" s="232">
        <v>0</v>
      </c>
      <c r="X867" s="232">
        <v>10756.6</v>
      </c>
      <c r="Y867" s="87" t="s">
        <v>3685</v>
      </c>
      <c r="Z867" s="87" t="s">
        <v>50</v>
      </c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261" t="s">
        <v>3687</v>
      </c>
    </row>
    <row r="868" spans="1:43">
      <c r="A868" s="6">
        <v>865</v>
      </c>
      <c r="B868" s="21" t="s">
        <v>3685</v>
      </c>
      <c r="C868" s="5" t="s">
        <v>3924</v>
      </c>
      <c r="D868" s="5" t="s">
        <v>605</v>
      </c>
      <c r="E868" s="5" t="s">
        <v>605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11" t="s">
        <v>46</v>
      </c>
      <c r="Q868" s="5" t="s">
        <v>46</v>
      </c>
      <c r="R868" s="5" t="str">
        <f t="shared" si="14"/>
        <v/>
      </c>
      <c r="S868" s="5" t="s">
        <v>46</v>
      </c>
      <c r="T868" s="6">
        <v>865</v>
      </c>
      <c r="U868" s="261" t="s">
        <v>3687</v>
      </c>
      <c r="V868" s="232" t="s">
        <v>3924</v>
      </c>
      <c r="W868" s="232">
        <v>12309.1</v>
      </c>
      <c r="X868" s="232">
        <v>10727.5</v>
      </c>
      <c r="Y868" s="87" t="s">
        <v>3685</v>
      </c>
      <c r="Z868" s="87" t="s">
        <v>50</v>
      </c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261" t="s">
        <v>3687</v>
      </c>
    </row>
    <row r="869" spans="1:43">
      <c r="A869" s="6">
        <v>866</v>
      </c>
      <c r="B869" s="21" t="s">
        <v>3685</v>
      </c>
      <c r="C869" s="5" t="s">
        <v>3925</v>
      </c>
      <c r="D869" s="5" t="s">
        <v>605</v>
      </c>
      <c r="E869" s="5" t="s">
        <v>605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11" t="s">
        <v>46</v>
      </c>
      <c r="Q869" s="5" t="s">
        <v>46</v>
      </c>
      <c r="R869" s="5" t="str">
        <f t="shared" si="14"/>
        <v/>
      </c>
      <c r="S869" s="5" t="s">
        <v>46</v>
      </c>
      <c r="T869" s="6">
        <v>866</v>
      </c>
      <c r="U869" s="261" t="s">
        <v>3687</v>
      </c>
      <c r="V869" s="232" t="s">
        <v>3925</v>
      </c>
      <c r="W869" s="232">
        <v>-1364.5</v>
      </c>
      <c r="X869" s="232">
        <v>10736.6</v>
      </c>
      <c r="Y869" s="87" t="s">
        <v>3685</v>
      </c>
      <c r="Z869" s="87" t="s">
        <v>50</v>
      </c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261" t="s">
        <v>3687</v>
      </c>
    </row>
    <row r="870" spans="1:43">
      <c r="A870" s="6">
        <v>867</v>
      </c>
      <c r="B870" s="21" t="s">
        <v>3685</v>
      </c>
      <c r="C870" s="5" t="s">
        <v>3926</v>
      </c>
      <c r="D870" s="5" t="s">
        <v>605</v>
      </c>
      <c r="E870" s="5" t="s">
        <v>605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11" t="s">
        <v>46</v>
      </c>
      <c r="Q870" s="5" t="s">
        <v>46</v>
      </c>
      <c r="R870" s="5" t="str">
        <f t="shared" si="14"/>
        <v/>
      </c>
      <c r="S870" s="5" t="s">
        <v>46</v>
      </c>
      <c r="T870" s="6">
        <v>867</v>
      </c>
      <c r="U870" s="261" t="s">
        <v>3687</v>
      </c>
      <c r="V870" s="232" t="s">
        <v>3926</v>
      </c>
      <c r="W870" s="232">
        <v>-2729</v>
      </c>
      <c r="X870" s="232">
        <v>10756.6</v>
      </c>
      <c r="Y870" s="87" t="s">
        <v>3685</v>
      </c>
      <c r="Z870" s="87" t="s">
        <v>50</v>
      </c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261" t="s">
        <v>3687</v>
      </c>
    </row>
    <row r="871" spans="1:43">
      <c r="A871" s="6">
        <v>868</v>
      </c>
      <c r="B871" s="21" t="s">
        <v>3685</v>
      </c>
      <c r="C871" s="5" t="s">
        <v>3927</v>
      </c>
      <c r="D871" s="5" t="s">
        <v>605</v>
      </c>
      <c r="E871" s="5" t="s">
        <v>605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11" t="s">
        <v>46</v>
      </c>
      <c r="Q871" s="5" t="s">
        <v>46</v>
      </c>
      <c r="R871" s="5" t="str">
        <f t="shared" si="14"/>
        <v/>
      </c>
      <c r="S871" s="5" t="s">
        <v>46</v>
      </c>
      <c r="T871" s="6">
        <v>868</v>
      </c>
      <c r="U871" s="261" t="s">
        <v>3687</v>
      </c>
      <c r="V871" s="232" t="s">
        <v>3927</v>
      </c>
      <c r="W871" s="232">
        <v>-4093.5</v>
      </c>
      <c r="X871" s="232">
        <v>10736.6</v>
      </c>
      <c r="Y871" s="87" t="s">
        <v>3685</v>
      </c>
      <c r="Z871" s="87" t="s">
        <v>50</v>
      </c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261" t="s">
        <v>3687</v>
      </c>
    </row>
    <row r="872" spans="1:43">
      <c r="A872" s="6">
        <v>869</v>
      </c>
      <c r="B872" s="21" t="s">
        <v>3685</v>
      </c>
      <c r="C872" s="5" t="s">
        <v>3928</v>
      </c>
      <c r="D872" s="5" t="s">
        <v>605</v>
      </c>
      <c r="E872" s="5" t="s">
        <v>605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11" t="s">
        <v>46</v>
      </c>
      <c r="Q872" s="5" t="s">
        <v>46</v>
      </c>
      <c r="R872" s="5" t="str">
        <f t="shared" si="14"/>
        <v/>
      </c>
      <c r="S872" s="5" t="s">
        <v>46</v>
      </c>
      <c r="T872" s="6">
        <v>869</v>
      </c>
      <c r="U872" s="261" t="s">
        <v>3687</v>
      </c>
      <c r="V872" s="232" t="s">
        <v>3928</v>
      </c>
      <c r="W872" s="232">
        <v>11807.2</v>
      </c>
      <c r="X872" s="232">
        <v>10726.6</v>
      </c>
      <c r="Y872" s="87" t="s">
        <v>3685</v>
      </c>
      <c r="Z872" s="87" t="s">
        <v>50</v>
      </c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261" t="s">
        <v>3687</v>
      </c>
    </row>
    <row r="873" spans="1:43">
      <c r="A873" s="6">
        <v>870</v>
      </c>
      <c r="B873" s="21" t="s">
        <v>3685</v>
      </c>
      <c r="C873" s="5" t="s">
        <v>3929</v>
      </c>
      <c r="D873" s="5" t="s">
        <v>605</v>
      </c>
      <c r="E873" s="5" t="s">
        <v>605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11" t="s">
        <v>46</v>
      </c>
      <c r="Q873" s="5" t="s">
        <v>46</v>
      </c>
      <c r="R873" s="5" t="str">
        <f t="shared" si="14"/>
        <v/>
      </c>
      <c r="S873" s="5" t="s">
        <v>46</v>
      </c>
      <c r="T873" s="6">
        <v>870</v>
      </c>
      <c r="U873" s="261" t="s">
        <v>3687</v>
      </c>
      <c r="V873" s="232" t="s">
        <v>3929</v>
      </c>
      <c r="W873" s="232">
        <v>-5458</v>
      </c>
      <c r="X873" s="232">
        <v>10756.6</v>
      </c>
      <c r="Y873" s="87" t="s">
        <v>3685</v>
      </c>
      <c r="Z873" s="87" t="s">
        <v>50</v>
      </c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261" t="s">
        <v>3687</v>
      </c>
    </row>
    <row r="874" spans="1:43">
      <c r="A874" s="6">
        <v>871</v>
      </c>
      <c r="B874" s="21" t="s">
        <v>3685</v>
      </c>
      <c r="C874" s="5" t="s">
        <v>3930</v>
      </c>
      <c r="D874" s="5" t="s">
        <v>605</v>
      </c>
      <c r="E874" s="5" t="s">
        <v>605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11" t="s">
        <v>46</v>
      </c>
      <c r="Q874" s="5" t="s">
        <v>46</v>
      </c>
      <c r="R874" s="5" t="str">
        <f t="shared" si="14"/>
        <v/>
      </c>
      <c r="S874" s="5" t="s">
        <v>46</v>
      </c>
      <c r="T874" s="6">
        <v>871</v>
      </c>
      <c r="U874" s="261" t="s">
        <v>3687</v>
      </c>
      <c r="V874" s="232" t="s">
        <v>3930</v>
      </c>
      <c r="W874" s="232">
        <v>-6822.5</v>
      </c>
      <c r="X874" s="232">
        <v>10736.6</v>
      </c>
      <c r="Y874" s="87" t="s">
        <v>3685</v>
      </c>
      <c r="Z874" s="87" t="s">
        <v>50</v>
      </c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261" t="s">
        <v>3687</v>
      </c>
    </row>
    <row r="875" spans="1:43">
      <c r="A875" s="6">
        <v>872</v>
      </c>
      <c r="B875" s="21" t="s">
        <v>3685</v>
      </c>
      <c r="C875" s="5" t="s">
        <v>3931</v>
      </c>
      <c r="D875" s="5" t="s">
        <v>605</v>
      </c>
      <c r="E875" s="5" t="s">
        <v>605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11" t="s">
        <v>46</v>
      </c>
      <c r="Q875" s="5" t="s">
        <v>46</v>
      </c>
      <c r="R875" s="5" t="str">
        <f t="shared" si="14"/>
        <v/>
      </c>
      <c r="S875" s="5" t="s">
        <v>46</v>
      </c>
      <c r="T875" s="6">
        <v>872</v>
      </c>
      <c r="U875" s="261" t="s">
        <v>3687</v>
      </c>
      <c r="V875" s="232" t="s">
        <v>3931</v>
      </c>
      <c r="W875" s="232">
        <v>8269</v>
      </c>
      <c r="X875" s="232">
        <v>11189</v>
      </c>
      <c r="Y875" s="87" t="s">
        <v>3685</v>
      </c>
      <c r="Z875" s="87" t="s">
        <v>50</v>
      </c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261" t="s">
        <v>3687</v>
      </c>
    </row>
    <row r="876" spans="1:43">
      <c r="A876" s="6">
        <v>873</v>
      </c>
      <c r="B876" s="21" t="s">
        <v>3685</v>
      </c>
      <c r="C876" s="5" t="s">
        <v>3932</v>
      </c>
      <c r="D876" s="5" t="s">
        <v>605</v>
      </c>
      <c r="E876" s="5" t="s">
        <v>605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11" t="s">
        <v>46</v>
      </c>
      <c r="Q876" s="5" t="s">
        <v>46</v>
      </c>
      <c r="R876" s="5" t="str">
        <f t="shared" si="14"/>
        <v/>
      </c>
      <c r="S876" s="5" t="s">
        <v>46</v>
      </c>
      <c r="T876" s="6">
        <v>873</v>
      </c>
      <c r="U876" s="261" t="s">
        <v>3687</v>
      </c>
      <c r="V876" s="232" t="s">
        <v>3932</v>
      </c>
      <c r="W876" s="232">
        <v>12058.3</v>
      </c>
      <c r="X876" s="232">
        <v>11189</v>
      </c>
      <c r="Y876" s="87" t="s">
        <v>3685</v>
      </c>
      <c r="Z876" s="87" t="s">
        <v>50</v>
      </c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261" t="s">
        <v>3687</v>
      </c>
    </row>
    <row r="877" spans="1:43">
      <c r="A877" s="6">
        <v>874</v>
      </c>
      <c r="B877" s="21" t="s">
        <v>3685</v>
      </c>
      <c r="C877" s="5" t="s">
        <v>3933</v>
      </c>
      <c r="D877" s="5" t="s">
        <v>605</v>
      </c>
      <c r="E877" s="5" t="s">
        <v>605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11" t="s">
        <v>46</v>
      </c>
      <c r="Q877" s="5" t="s">
        <v>46</v>
      </c>
      <c r="R877" s="5" t="str">
        <f t="shared" si="14"/>
        <v/>
      </c>
      <c r="S877" s="5" t="s">
        <v>46</v>
      </c>
      <c r="T877" s="6">
        <v>874</v>
      </c>
      <c r="U877" s="261" t="s">
        <v>3687</v>
      </c>
      <c r="V877" s="232" t="s">
        <v>3933</v>
      </c>
      <c r="W877" s="232">
        <v>11557.8</v>
      </c>
      <c r="X877" s="232">
        <v>11189</v>
      </c>
      <c r="Y877" s="87" t="s">
        <v>3685</v>
      </c>
      <c r="Z877" s="87" t="s">
        <v>50</v>
      </c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261" t="s">
        <v>3687</v>
      </c>
    </row>
    <row r="878" spans="1:43">
      <c r="A878" s="6">
        <v>875</v>
      </c>
      <c r="B878" s="21" t="s">
        <v>3685</v>
      </c>
      <c r="C878" s="5" t="s">
        <v>3934</v>
      </c>
      <c r="D878" s="5" t="s">
        <v>605</v>
      </c>
      <c r="E878" s="5" t="s">
        <v>605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11" t="s">
        <v>46</v>
      </c>
      <c r="Q878" s="5" t="s">
        <v>46</v>
      </c>
      <c r="R878" s="5" t="str">
        <f t="shared" si="14"/>
        <v/>
      </c>
      <c r="S878" s="5" t="s">
        <v>46</v>
      </c>
      <c r="T878" s="6">
        <v>875</v>
      </c>
      <c r="U878" s="261" t="s">
        <v>3687</v>
      </c>
      <c r="V878" s="232" t="s">
        <v>3934</v>
      </c>
      <c r="W878" s="232">
        <v>-10491.5</v>
      </c>
      <c r="X878" s="232">
        <v>11189</v>
      </c>
      <c r="Y878" s="87" t="s">
        <v>3685</v>
      </c>
      <c r="Z878" s="87" t="s">
        <v>50</v>
      </c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261" t="s">
        <v>3687</v>
      </c>
    </row>
    <row r="879" spans="1:43">
      <c r="A879" s="6">
        <v>876</v>
      </c>
      <c r="B879" s="21" t="s">
        <v>3685</v>
      </c>
      <c r="C879" s="5" t="s">
        <v>3935</v>
      </c>
      <c r="D879" s="5" t="s">
        <v>605</v>
      </c>
      <c r="E879" s="5" t="s">
        <v>605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11" t="s">
        <v>46</v>
      </c>
      <c r="Q879" s="5" t="s">
        <v>46</v>
      </c>
      <c r="R879" s="5" t="str">
        <f t="shared" si="14"/>
        <v/>
      </c>
      <c r="S879" s="5" t="s">
        <v>46</v>
      </c>
      <c r="T879" s="6">
        <v>876</v>
      </c>
      <c r="U879" s="261" t="s">
        <v>3687</v>
      </c>
      <c r="V879" s="232" t="s">
        <v>3935</v>
      </c>
      <c r="W879" s="232">
        <v>10491.5</v>
      </c>
      <c r="X879" s="232">
        <v>11189</v>
      </c>
      <c r="Y879" s="87" t="s">
        <v>3685</v>
      </c>
      <c r="Z879" s="87" t="s">
        <v>50</v>
      </c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261" t="s">
        <v>3687</v>
      </c>
    </row>
    <row r="880" spans="1:43">
      <c r="A880" s="6">
        <v>877</v>
      </c>
      <c r="B880" s="21" t="s">
        <v>3685</v>
      </c>
      <c r="C880" s="5" t="s">
        <v>3936</v>
      </c>
      <c r="D880" s="5" t="s">
        <v>605</v>
      </c>
      <c r="E880" s="5" t="s">
        <v>605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11" t="s">
        <v>46</v>
      </c>
      <c r="Q880" s="5" t="s">
        <v>46</v>
      </c>
      <c r="R880" s="5" t="str">
        <f t="shared" si="14"/>
        <v/>
      </c>
      <c r="S880" s="5" t="s">
        <v>46</v>
      </c>
      <c r="T880" s="6">
        <v>877</v>
      </c>
      <c r="U880" s="261" t="s">
        <v>3687</v>
      </c>
      <c r="V880" s="232" t="s">
        <v>3936</v>
      </c>
      <c r="W880" s="232">
        <v>13439.1</v>
      </c>
      <c r="X880" s="232">
        <v>-10308.9</v>
      </c>
      <c r="Y880" s="87" t="s">
        <v>3685</v>
      </c>
      <c r="Z880" s="87" t="s">
        <v>50</v>
      </c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261" t="s">
        <v>3687</v>
      </c>
    </row>
    <row r="881" spans="1:43">
      <c r="A881" s="6">
        <v>878</v>
      </c>
      <c r="B881" s="21" t="s">
        <v>3685</v>
      </c>
      <c r="C881" s="5" t="s">
        <v>3937</v>
      </c>
      <c r="D881" s="5" t="s">
        <v>605</v>
      </c>
      <c r="E881" s="5" t="s">
        <v>605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11" t="s">
        <v>46</v>
      </c>
      <c r="Q881" s="5" t="s">
        <v>46</v>
      </c>
      <c r="R881" s="5" t="str">
        <f t="shared" si="14"/>
        <v/>
      </c>
      <c r="S881" s="5" t="s">
        <v>46</v>
      </c>
      <c r="T881" s="6">
        <v>878</v>
      </c>
      <c r="U881" s="261" t="s">
        <v>3687</v>
      </c>
      <c r="V881" s="232" t="s">
        <v>3937</v>
      </c>
      <c r="W881" s="232">
        <v>12930.1</v>
      </c>
      <c r="X881" s="232">
        <v>-10680</v>
      </c>
      <c r="Y881" s="87" t="s">
        <v>3685</v>
      </c>
      <c r="Z881" s="87" t="s">
        <v>50</v>
      </c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261" t="s">
        <v>3687</v>
      </c>
    </row>
    <row r="882" spans="1:43">
      <c r="A882" s="6">
        <v>879</v>
      </c>
      <c r="B882" s="21" t="s">
        <v>3685</v>
      </c>
      <c r="C882" s="5" t="s">
        <v>3938</v>
      </c>
      <c r="D882" s="5" t="s">
        <v>605</v>
      </c>
      <c r="E882" s="5" t="s">
        <v>605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11" t="s">
        <v>46</v>
      </c>
      <c r="Q882" s="5" t="s">
        <v>46</v>
      </c>
      <c r="R882" s="5" t="str">
        <f t="shared" si="14"/>
        <v/>
      </c>
      <c r="S882" s="5" t="s">
        <v>46</v>
      </c>
      <c r="T882" s="6">
        <v>879</v>
      </c>
      <c r="U882" s="261" t="s">
        <v>3687</v>
      </c>
      <c r="V882" s="232" t="s">
        <v>3938</v>
      </c>
      <c r="W882" s="232">
        <v>12527.8</v>
      </c>
      <c r="X882" s="232">
        <v>-10277.200000000001</v>
      </c>
      <c r="Y882" s="87" t="s">
        <v>3685</v>
      </c>
      <c r="Z882" s="87" t="s">
        <v>50</v>
      </c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261" t="s">
        <v>3687</v>
      </c>
    </row>
    <row r="883" spans="1:43">
      <c r="A883" s="6">
        <v>880</v>
      </c>
      <c r="B883" s="21" t="s">
        <v>3685</v>
      </c>
      <c r="C883" s="5" t="s">
        <v>3939</v>
      </c>
      <c r="D883" s="5" t="s">
        <v>605</v>
      </c>
      <c r="E883" s="5" t="s">
        <v>605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11" t="s">
        <v>46</v>
      </c>
      <c r="Q883" s="5" t="s">
        <v>46</v>
      </c>
      <c r="R883" s="5" t="str">
        <f t="shared" si="14"/>
        <v/>
      </c>
      <c r="S883" s="5" t="s">
        <v>46</v>
      </c>
      <c r="T883" s="6">
        <v>880</v>
      </c>
      <c r="U883" s="261" t="s">
        <v>3687</v>
      </c>
      <c r="V883" s="232" t="s">
        <v>3939</v>
      </c>
      <c r="W883" s="232">
        <v>-1796.4</v>
      </c>
      <c r="X883" s="232">
        <v>-10380.6</v>
      </c>
      <c r="Y883" s="87" t="s">
        <v>3685</v>
      </c>
      <c r="Z883" s="87" t="s">
        <v>50</v>
      </c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261" t="s">
        <v>3687</v>
      </c>
    </row>
    <row r="884" spans="1:43">
      <c r="A884" s="6">
        <v>881</v>
      </c>
      <c r="B884" s="21" t="s">
        <v>3685</v>
      </c>
      <c r="C884" s="5" t="s">
        <v>3940</v>
      </c>
      <c r="D884" s="5" t="s">
        <v>605</v>
      </c>
      <c r="E884" s="5" t="s">
        <v>605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11" t="s">
        <v>46</v>
      </c>
      <c r="Q884" s="5" t="s">
        <v>46</v>
      </c>
      <c r="R884" s="5" t="str">
        <f t="shared" si="14"/>
        <v/>
      </c>
      <c r="S884" s="5" t="s">
        <v>46</v>
      </c>
      <c r="T884" s="6">
        <v>881</v>
      </c>
      <c r="U884" s="261" t="s">
        <v>3687</v>
      </c>
      <c r="V884" s="232" t="s">
        <v>3940</v>
      </c>
      <c r="W884" s="232">
        <v>-2297</v>
      </c>
      <c r="X884" s="232">
        <v>-10380.6</v>
      </c>
      <c r="Y884" s="87" t="s">
        <v>3685</v>
      </c>
      <c r="Z884" s="87" t="s">
        <v>50</v>
      </c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261" t="s">
        <v>3687</v>
      </c>
    </row>
    <row r="885" spans="1:43">
      <c r="A885" s="6">
        <v>882</v>
      </c>
      <c r="B885" s="21" t="s">
        <v>3685</v>
      </c>
      <c r="C885" s="5" t="s">
        <v>3941</v>
      </c>
      <c r="D885" s="5" t="s">
        <v>605</v>
      </c>
      <c r="E885" s="5" t="s">
        <v>605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11" t="s">
        <v>46</v>
      </c>
      <c r="Q885" s="5" t="s">
        <v>46</v>
      </c>
      <c r="R885" s="5" t="str">
        <f t="shared" si="14"/>
        <v/>
      </c>
      <c r="S885" s="5" t="s">
        <v>46</v>
      </c>
      <c r="T885" s="6">
        <v>882</v>
      </c>
      <c r="U885" s="261" t="s">
        <v>3687</v>
      </c>
      <c r="V885" s="232" t="s">
        <v>3941</v>
      </c>
      <c r="W885" s="232">
        <v>11467.2</v>
      </c>
      <c r="X885" s="232">
        <v>-10357.200000000001</v>
      </c>
      <c r="Y885" s="87" t="s">
        <v>3685</v>
      </c>
      <c r="Z885" s="87" t="s">
        <v>50</v>
      </c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261" t="s">
        <v>3687</v>
      </c>
    </row>
    <row r="886" spans="1:43">
      <c r="A886" s="6">
        <v>883</v>
      </c>
      <c r="B886" s="21" t="s">
        <v>3685</v>
      </c>
      <c r="C886" s="5" t="s">
        <v>3942</v>
      </c>
      <c r="D886" s="5" t="s">
        <v>605</v>
      </c>
      <c r="E886" s="5" t="s">
        <v>605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11" t="s">
        <v>46</v>
      </c>
      <c r="Q886" s="5" t="s">
        <v>46</v>
      </c>
      <c r="R886" s="5" t="str">
        <f t="shared" si="14"/>
        <v/>
      </c>
      <c r="S886" s="5" t="s">
        <v>46</v>
      </c>
      <c r="T886" s="6">
        <v>883</v>
      </c>
      <c r="U886" s="261" t="s">
        <v>3687</v>
      </c>
      <c r="V886" s="232" t="s">
        <v>3942</v>
      </c>
      <c r="W886" s="232">
        <v>-12930.1</v>
      </c>
      <c r="X886" s="232">
        <v>-10680</v>
      </c>
      <c r="Y886" s="87" t="s">
        <v>3685</v>
      </c>
      <c r="Z886" s="87" t="s">
        <v>50</v>
      </c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261" t="s">
        <v>3687</v>
      </c>
    </row>
    <row r="887" spans="1:43">
      <c r="A887" s="6">
        <v>884</v>
      </c>
      <c r="B887" s="21" t="s">
        <v>3685</v>
      </c>
      <c r="C887" s="5" t="s">
        <v>3943</v>
      </c>
      <c r="D887" s="5" t="s">
        <v>605</v>
      </c>
      <c r="E887" s="5" t="s">
        <v>605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11" t="s">
        <v>46</v>
      </c>
      <c r="Q887" s="5" t="s">
        <v>46</v>
      </c>
      <c r="R887" s="5" t="str">
        <f t="shared" si="14"/>
        <v/>
      </c>
      <c r="S887" s="5" t="s">
        <v>46</v>
      </c>
      <c r="T887" s="6">
        <v>884</v>
      </c>
      <c r="U887" s="261" t="s">
        <v>3687</v>
      </c>
      <c r="V887" s="232" t="s">
        <v>3943</v>
      </c>
      <c r="W887" s="232">
        <v>-13439.1</v>
      </c>
      <c r="X887" s="232">
        <v>-10308.9</v>
      </c>
      <c r="Y887" s="87" t="s">
        <v>3685</v>
      </c>
      <c r="Z887" s="87" t="s">
        <v>50</v>
      </c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261" t="s">
        <v>3687</v>
      </c>
    </row>
    <row r="888" spans="1:43">
      <c r="A888" s="6">
        <v>885</v>
      </c>
      <c r="B888" s="21" t="s">
        <v>3685</v>
      </c>
      <c r="C888" s="5" t="s">
        <v>3944</v>
      </c>
      <c r="D888" s="5" t="s">
        <v>605</v>
      </c>
      <c r="E888" s="5" t="s">
        <v>605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11" t="s">
        <v>46</v>
      </c>
      <c r="Q888" s="5" t="s">
        <v>46</v>
      </c>
      <c r="R888" s="5" t="str">
        <f t="shared" si="14"/>
        <v/>
      </c>
      <c r="S888" s="5" t="s">
        <v>46</v>
      </c>
      <c r="T888" s="6">
        <v>885</v>
      </c>
      <c r="U888" s="261" t="s">
        <v>3687</v>
      </c>
      <c r="V888" s="232" t="s">
        <v>3944</v>
      </c>
      <c r="W888" s="232">
        <v>13439.1</v>
      </c>
      <c r="X888" s="232">
        <v>-9808.2999999999993</v>
      </c>
      <c r="Y888" s="87" t="s">
        <v>3685</v>
      </c>
      <c r="Z888" s="87" t="s">
        <v>50</v>
      </c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261" t="s">
        <v>3687</v>
      </c>
    </row>
    <row r="889" spans="1:43">
      <c r="A889" s="6">
        <v>886</v>
      </c>
      <c r="B889" s="21" t="s">
        <v>3685</v>
      </c>
      <c r="C889" s="5" t="s">
        <v>3945</v>
      </c>
      <c r="D889" s="5" t="s">
        <v>605</v>
      </c>
      <c r="E889" s="5" t="s">
        <v>605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11" t="s">
        <v>46</v>
      </c>
      <c r="Q889" s="5" t="s">
        <v>46</v>
      </c>
      <c r="R889" s="5" t="str">
        <f t="shared" si="14"/>
        <v/>
      </c>
      <c r="S889" s="5" t="s">
        <v>46</v>
      </c>
      <c r="T889" s="6">
        <v>886</v>
      </c>
      <c r="U889" s="261" t="s">
        <v>3687</v>
      </c>
      <c r="V889" s="232" t="s">
        <v>3945</v>
      </c>
      <c r="W889" s="232">
        <v>4775.8</v>
      </c>
      <c r="X889" s="232">
        <v>-9947.1</v>
      </c>
      <c r="Y889" s="87" t="s">
        <v>3685</v>
      </c>
      <c r="Z889" s="87" t="s">
        <v>50</v>
      </c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261" t="s">
        <v>3687</v>
      </c>
    </row>
    <row r="890" spans="1:43">
      <c r="A890" s="6">
        <v>887</v>
      </c>
      <c r="B890" s="21" t="s">
        <v>3685</v>
      </c>
      <c r="C890" s="5" t="s">
        <v>3946</v>
      </c>
      <c r="D890" s="5" t="s">
        <v>605</v>
      </c>
      <c r="E890" s="5" t="s">
        <v>605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11" t="s">
        <v>46</v>
      </c>
      <c r="Q890" s="5" t="s">
        <v>46</v>
      </c>
      <c r="R890" s="5" t="str">
        <f t="shared" si="14"/>
        <v/>
      </c>
      <c r="S890" s="5" t="s">
        <v>46</v>
      </c>
      <c r="T890" s="6">
        <v>887</v>
      </c>
      <c r="U890" s="261" t="s">
        <v>3687</v>
      </c>
      <c r="V890" s="232" t="s">
        <v>3946</v>
      </c>
      <c r="W890" s="232">
        <v>12972.8</v>
      </c>
      <c r="X890" s="232">
        <v>-10045.5</v>
      </c>
      <c r="Y890" s="87" t="s">
        <v>3685</v>
      </c>
      <c r="Z890" s="87" t="s">
        <v>50</v>
      </c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261" t="s">
        <v>3687</v>
      </c>
    </row>
    <row r="891" spans="1:43">
      <c r="A891" s="6">
        <v>888</v>
      </c>
      <c r="B891" s="21" t="s">
        <v>3685</v>
      </c>
      <c r="C891" s="5" t="s">
        <v>3947</v>
      </c>
      <c r="D891" s="5" t="s">
        <v>605</v>
      </c>
      <c r="E891" s="5" t="s">
        <v>605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11" t="s">
        <v>46</v>
      </c>
      <c r="Q891" s="5" t="s">
        <v>46</v>
      </c>
      <c r="R891" s="5" t="str">
        <f t="shared" si="14"/>
        <v/>
      </c>
      <c r="S891" s="5" t="s">
        <v>46</v>
      </c>
      <c r="T891" s="6">
        <v>888</v>
      </c>
      <c r="U891" s="261" t="s">
        <v>3687</v>
      </c>
      <c r="V891" s="232" t="s">
        <v>3947</v>
      </c>
      <c r="W891" s="232">
        <v>4093.5</v>
      </c>
      <c r="X891" s="232">
        <v>-10006</v>
      </c>
      <c r="Y891" s="87" t="s">
        <v>3685</v>
      </c>
      <c r="Z891" s="87" t="s">
        <v>50</v>
      </c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261" t="s">
        <v>3687</v>
      </c>
    </row>
    <row r="892" spans="1:43">
      <c r="A892" s="6">
        <v>889</v>
      </c>
      <c r="B892" s="21" t="s">
        <v>3685</v>
      </c>
      <c r="C892" s="5" t="s">
        <v>3948</v>
      </c>
      <c r="D892" s="5" t="s">
        <v>605</v>
      </c>
      <c r="E892" s="5" t="s">
        <v>605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11" t="s">
        <v>46</v>
      </c>
      <c r="Q892" s="5" t="s">
        <v>46</v>
      </c>
      <c r="R892" s="5" t="str">
        <f t="shared" si="14"/>
        <v/>
      </c>
      <c r="S892" s="5" t="s">
        <v>46</v>
      </c>
      <c r="T892" s="6">
        <v>889</v>
      </c>
      <c r="U892" s="261" t="s">
        <v>3687</v>
      </c>
      <c r="V892" s="232" t="s">
        <v>3948</v>
      </c>
      <c r="W892" s="232">
        <v>3411.3</v>
      </c>
      <c r="X892" s="232">
        <v>-9947.1</v>
      </c>
      <c r="Y892" s="87" t="s">
        <v>3685</v>
      </c>
      <c r="Z892" s="87" t="s">
        <v>50</v>
      </c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261" t="s">
        <v>3687</v>
      </c>
    </row>
    <row r="893" spans="1:43">
      <c r="A893" s="6">
        <v>890</v>
      </c>
      <c r="B893" s="21" t="s">
        <v>3685</v>
      </c>
      <c r="C893" s="5" t="s">
        <v>3949</v>
      </c>
      <c r="D893" s="5" t="s">
        <v>605</v>
      </c>
      <c r="E893" s="5" t="s">
        <v>605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11" t="s">
        <v>46</v>
      </c>
      <c r="Q893" s="5" t="s">
        <v>46</v>
      </c>
      <c r="R893" s="5" t="str">
        <f t="shared" si="14"/>
        <v/>
      </c>
      <c r="S893" s="5" t="s">
        <v>46</v>
      </c>
      <c r="T893" s="6">
        <v>890</v>
      </c>
      <c r="U893" s="261" t="s">
        <v>3687</v>
      </c>
      <c r="V893" s="232" t="s">
        <v>3949</v>
      </c>
      <c r="W893" s="232">
        <v>2046.8</v>
      </c>
      <c r="X893" s="232">
        <v>-9947.1</v>
      </c>
      <c r="Y893" s="87" t="s">
        <v>3685</v>
      </c>
      <c r="Z893" s="87" t="s">
        <v>50</v>
      </c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261" t="s">
        <v>3687</v>
      </c>
    </row>
    <row r="894" spans="1:43">
      <c r="A894" s="6">
        <v>891</v>
      </c>
      <c r="B894" s="21" t="s">
        <v>3685</v>
      </c>
      <c r="C894" s="5" t="s">
        <v>3950</v>
      </c>
      <c r="D894" s="5" t="s">
        <v>605</v>
      </c>
      <c r="E894" s="5" t="s">
        <v>605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11" t="s">
        <v>46</v>
      </c>
      <c r="Q894" s="5" t="s">
        <v>46</v>
      </c>
      <c r="R894" s="5" t="str">
        <f t="shared" si="14"/>
        <v/>
      </c>
      <c r="S894" s="5" t="s">
        <v>46</v>
      </c>
      <c r="T894" s="6">
        <v>891</v>
      </c>
      <c r="U894" s="261" t="s">
        <v>3687</v>
      </c>
      <c r="V894" s="232" t="s">
        <v>3950</v>
      </c>
      <c r="W894" s="232">
        <v>1364.5</v>
      </c>
      <c r="X894" s="232">
        <v>-10006</v>
      </c>
      <c r="Y894" s="87" t="s">
        <v>3685</v>
      </c>
      <c r="Z894" s="87" t="s">
        <v>50</v>
      </c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261" t="s">
        <v>3687</v>
      </c>
    </row>
    <row r="895" spans="1:43">
      <c r="A895" s="6">
        <v>892</v>
      </c>
      <c r="B895" s="21" t="s">
        <v>3685</v>
      </c>
      <c r="C895" s="5" t="s">
        <v>3951</v>
      </c>
      <c r="D895" s="5" t="s">
        <v>605</v>
      </c>
      <c r="E895" s="5" t="s">
        <v>605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11" t="s">
        <v>46</v>
      </c>
      <c r="Q895" s="5" t="s">
        <v>46</v>
      </c>
      <c r="R895" s="5" t="str">
        <f t="shared" si="14"/>
        <v/>
      </c>
      <c r="S895" s="5" t="s">
        <v>46</v>
      </c>
      <c r="T895" s="6">
        <v>892</v>
      </c>
      <c r="U895" s="261" t="s">
        <v>3687</v>
      </c>
      <c r="V895" s="232" t="s">
        <v>3951</v>
      </c>
      <c r="W895" s="232">
        <v>682.3</v>
      </c>
      <c r="X895" s="232">
        <v>-9947.1</v>
      </c>
      <c r="Y895" s="87" t="s">
        <v>3685</v>
      </c>
      <c r="Z895" s="87" t="s">
        <v>50</v>
      </c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261" t="s">
        <v>3687</v>
      </c>
    </row>
    <row r="896" spans="1:43">
      <c r="A896" s="6">
        <v>893</v>
      </c>
      <c r="B896" s="21" t="s">
        <v>3685</v>
      </c>
      <c r="C896" s="5" t="s">
        <v>3952</v>
      </c>
      <c r="D896" s="5" t="s">
        <v>605</v>
      </c>
      <c r="E896" s="5" t="s">
        <v>605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11" t="s">
        <v>46</v>
      </c>
      <c r="Q896" s="5" t="s">
        <v>46</v>
      </c>
      <c r="R896" s="5" t="str">
        <f t="shared" si="14"/>
        <v/>
      </c>
      <c r="S896" s="5" t="s">
        <v>46</v>
      </c>
      <c r="T896" s="6">
        <v>893</v>
      </c>
      <c r="U896" s="261" t="s">
        <v>3687</v>
      </c>
      <c r="V896" s="232" t="s">
        <v>3952</v>
      </c>
      <c r="W896" s="232">
        <v>-682.2</v>
      </c>
      <c r="X896" s="232">
        <v>-9947.1</v>
      </c>
      <c r="Y896" s="87" t="s">
        <v>3685</v>
      </c>
      <c r="Z896" s="87" t="s">
        <v>50</v>
      </c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261" t="s">
        <v>3687</v>
      </c>
    </row>
    <row r="897" spans="1:43">
      <c r="A897" s="6">
        <v>894</v>
      </c>
      <c r="B897" s="21" t="s">
        <v>3685</v>
      </c>
      <c r="C897" s="5" t="s">
        <v>3953</v>
      </c>
      <c r="D897" s="5" t="s">
        <v>605</v>
      </c>
      <c r="E897" s="5" t="s">
        <v>605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11" t="s">
        <v>46</v>
      </c>
      <c r="Q897" s="5" t="s">
        <v>46</v>
      </c>
      <c r="R897" s="5" t="str">
        <f t="shared" si="14"/>
        <v/>
      </c>
      <c r="S897" s="5" t="s">
        <v>46</v>
      </c>
      <c r="T897" s="6">
        <v>894</v>
      </c>
      <c r="U897" s="261" t="s">
        <v>3687</v>
      </c>
      <c r="V897" s="232" t="s">
        <v>3953</v>
      </c>
      <c r="W897" s="232">
        <v>-1364.5</v>
      </c>
      <c r="X897" s="232">
        <v>-10006</v>
      </c>
      <c r="Y897" s="87" t="s">
        <v>3685</v>
      </c>
      <c r="Z897" s="87" t="s">
        <v>50</v>
      </c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261" t="s">
        <v>3687</v>
      </c>
    </row>
    <row r="898" spans="1:43">
      <c r="A898" s="6">
        <v>895</v>
      </c>
      <c r="B898" s="21" t="s">
        <v>3685</v>
      </c>
      <c r="C898" s="5" t="s">
        <v>3954</v>
      </c>
      <c r="D898" s="5" t="s">
        <v>605</v>
      </c>
      <c r="E898" s="5" t="s">
        <v>605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11" t="s">
        <v>46</v>
      </c>
      <c r="Q898" s="5" t="s">
        <v>46</v>
      </c>
      <c r="R898" s="5" t="str">
        <f t="shared" si="14"/>
        <v/>
      </c>
      <c r="S898" s="5" t="s">
        <v>46</v>
      </c>
      <c r="T898" s="6">
        <v>895</v>
      </c>
      <c r="U898" s="261" t="s">
        <v>3687</v>
      </c>
      <c r="V898" s="232" t="s">
        <v>3954</v>
      </c>
      <c r="W898" s="232">
        <v>-2046.7</v>
      </c>
      <c r="X898" s="232">
        <v>-9947.1</v>
      </c>
      <c r="Y898" s="87" t="s">
        <v>3685</v>
      </c>
      <c r="Z898" s="87" t="s">
        <v>50</v>
      </c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261" t="s">
        <v>3687</v>
      </c>
    </row>
    <row r="899" spans="1:43">
      <c r="A899" s="6">
        <v>896</v>
      </c>
      <c r="B899" s="21" t="s">
        <v>3685</v>
      </c>
      <c r="C899" s="5" t="s">
        <v>3955</v>
      </c>
      <c r="D899" s="5" t="s">
        <v>605</v>
      </c>
      <c r="E899" s="5" t="s">
        <v>605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11" t="s">
        <v>46</v>
      </c>
      <c r="Q899" s="5" t="s">
        <v>46</v>
      </c>
      <c r="R899" s="5" t="str">
        <f t="shared" si="14"/>
        <v/>
      </c>
      <c r="S899" s="5" t="s">
        <v>46</v>
      </c>
      <c r="T899" s="6">
        <v>896</v>
      </c>
      <c r="U899" s="261" t="s">
        <v>3687</v>
      </c>
      <c r="V899" s="232" t="s">
        <v>3955</v>
      </c>
      <c r="W899" s="232">
        <v>-3411.2</v>
      </c>
      <c r="X899" s="232">
        <v>-9947.1</v>
      </c>
      <c r="Y899" s="87" t="s">
        <v>3685</v>
      </c>
      <c r="Z899" s="87" t="s">
        <v>50</v>
      </c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261" t="s">
        <v>3687</v>
      </c>
    </row>
    <row r="900" spans="1:43">
      <c r="A900" s="6">
        <v>897</v>
      </c>
      <c r="B900" s="21" t="s">
        <v>3685</v>
      </c>
      <c r="C900" s="5" t="s">
        <v>3956</v>
      </c>
      <c r="D900" s="5" t="s">
        <v>605</v>
      </c>
      <c r="E900" s="5" t="s">
        <v>605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11" t="s">
        <v>46</v>
      </c>
      <c r="Q900" s="5" t="s">
        <v>46</v>
      </c>
      <c r="R900" s="5" t="str">
        <f t="shared" si="14"/>
        <v/>
      </c>
      <c r="S900" s="5" t="s">
        <v>46</v>
      </c>
      <c r="T900" s="6">
        <v>897</v>
      </c>
      <c r="U900" s="261" t="s">
        <v>3687</v>
      </c>
      <c r="V900" s="232" t="s">
        <v>3956</v>
      </c>
      <c r="W900" s="232">
        <v>-4093.5</v>
      </c>
      <c r="X900" s="232">
        <v>-10006</v>
      </c>
      <c r="Y900" s="87" t="s">
        <v>3685</v>
      </c>
      <c r="Z900" s="87" t="s">
        <v>50</v>
      </c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261" t="s">
        <v>3687</v>
      </c>
    </row>
    <row r="901" spans="1:43">
      <c r="A901" s="6">
        <v>898</v>
      </c>
      <c r="B901" s="21" t="s">
        <v>3685</v>
      </c>
      <c r="C901" s="5" t="s">
        <v>3957</v>
      </c>
      <c r="D901" s="5" t="s">
        <v>605</v>
      </c>
      <c r="E901" s="5" t="s">
        <v>605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11" t="s">
        <v>46</v>
      </c>
      <c r="Q901" s="5" t="s">
        <v>46</v>
      </c>
      <c r="R901" s="5" t="str">
        <f t="shared" ref="R901:R964" si="15">IF(AND(P901="",Q901=""),"",SUM(P901:Q901))</f>
        <v/>
      </c>
      <c r="S901" s="5" t="s">
        <v>46</v>
      </c>
      <c r="T901" s="6">
        <v>898</v>
      </c>
      <c r="U901" s="261" t="s">
        <v>3687</v>
      </c>
      <c r="V901" s="232" t="s">
        <v>3957</v>
      </c>
      <c r="W901" s="232">
        <v>-4775.7</v>
      </c>
      <c r="X901" s="232">
        <v>-9947.1</v>
      </c>
      <c r="Y901" s="87" t="s">
        <v>3685</v>
      </c>
      <c r="Z901" s="87" t="s">
        <v>50</v>
      </c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261" t="s">
        <v>3687</v>
      </c>
    </row>
    <row r="902" spans="1:43">
      <c r="A902" s="6">
        <v>899</v>
      </c>
      <c r="B902" s="21" t="s">
        <v>3685</v>
      </c>
      <c r="C902" s="5" t="s">
        <v>3958</v>
      </c>
      <c r="D902" s="5" t="s">
        <v>605</v>
      </c>
      <c r="E902" s="5" t="s">
        <v>605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11" t="s">
        <v>46</v>
      </c>
      <c r="Q902" s="5" t="s">
        <v>46</v>
      </c>
      <c r="R902" s="5" t="str">
        <f t="shared" si="15"/>
        <v/>
      </c>
      <c r="S902" s="5" t="s">
        <v>46</v>
      </c>
      <c r="T902" s="6">
        <v>899</v>
      </c>
      <c r="U902" s="261" t="s">
        <v>3687</v>
      </c>
      <c r="V902" s="232" t="s">
        <v>3958</v>
      </c>
      <c r="W902" s="232">
        <v>-6140.2</v>
      </c>
      <c r="X902" s="232">
        <v>-9947.1</v>
      </c>
      <c r="Y902" s="87" t="s">
        <v>3685</v>
      </c>
      <c r="Z902" s="87" t="s">
        <v>50</v>
      </c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261" t="s">
        <v>3687</v>
      </c>
    </row>
    <row r="903" spans="1:43">
      <c r="A903" s="6">
        <v>900</v>
      </c>
      <c r="B903" s="21" t="s">
        <v>3685</v>
      </c>
      <c r="C903" s="5" t="s">
        <v>3959</v>
      </c>
      <c r="D903" s="5" t="s">
        <v>605</v>
      </c>
      <c r="E903" s="5" t="s">
        <v>605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11" t="s">
        <v>46</v>
      </c>
      <c r="Q903" s="5" t="s">
        <v>46</v>
      </c>
      <c r="R903" s="5" t="str">
        <f t="shared" si="15"/>
        <v/>
      </c>
      <c r="S903" s="5" t="s">
        <v>46</v>
      </c>
      <c r="T903" s="6">
        <v>900</v>
      </c>
      <c r="U903" s="261" t="s">
        <v>3687</v>
      </c>
      <c r="V903" s="232" t="s">
        <v>3959</v>
      </c>
      <c r="W903" s="232">
        <v>-6822.5</v>
      </c>
      <c r="X903" s="232">
        <v>-10006</v>
      </c>
      <c r="Y903" s="87" t="s">
        <v>3685</v>
      </c>
      <c r="Z903" s="87" t="s">
        <v>50</v>
      </c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261" t="s">
        <v>3687</v>
      </c>
    </row>
    <row r="904" spans="1:43">
      <c r="A904" s="6">
        <v>901</v>
      </c>
      <c r="B904" s="21" t="s">
        <v>3685</v>
      </c>
      <c r="C904" s="5" t="s">
        <v>3960</v>
      </c>
      <c r="D904" s="5" t="s">
        <v>605</v>
      </c>
      <c r="E904" s="5" t="s">
        <v>605</v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11" t="s">
        <v>46</v>
      </c>
      <c r="Q904" s="5" t="s">
        <v>46</v>
      </c>
      <c r="R904" s="5" t="str">
        <f t="shared" si="15"/>
        <v/>
      </c>
      <c r="S904" s="5" t="s">
        <v>46</v>
      </c>
      <c r="T904" s="6">
        <v>901</v>
      </c>
      <c r="U904" s="261" t="s">
        <v>3687</v>
      </c>
      <c r="V904" s="232" t="s">
        <v>3960</v>
      </c>
      <c r="W904" s="232">
        <v>-7504.7</v>
      </c>
      <c r="X904" s="232">
        <v>-9947.1</v>
      </c>
      <c r="Y904" s="87" t="s">
        <v>3685</v>
      </c>
      <c r="Z904" s="87" t="s">
        <v>50</v>
      </c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261" t="s">
        <v>3687</v>
      </c>
    </row>
    <row r="905" spans="1:43">
      <c r="A905" s="6">
        <v>902</v>
      </c>
      <c r="B905" s="21" t="s">
        <v>3685</v>
      </c>
      <c r="C905" s="5" t="s">
        <v>3961</v>
      </c>
      <c r="D905" s="5" t="s">
        <v>605</v>
      </c>
      <c r="E905" s="5" t="s">
        <v>605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11" t="s">
        <v>46</v>
      </c>
      <c r="Q905" s="5" t="s">
        <v>46</v>
      </c>
      <c r="R905" s="5" t="str">
        <f t="shared" si="15"/>
        <v/>
      </c>
      <c r="S905" s="5" t="s">
        <v>46</v>
      </c>
      <c r="T905" s="6">
        <v>902</v>
      </c>
      <c r="U905" s="261" t="s">
        <v>3687</v>
      </c>
      <c r="V905" s="232" t="s">
        <v>3961</v>
      </c>
      <c r="W905" s="232">
        <v>-8869.2000000000007</v>
      </c>
      <c r="X905" s="232">
        <v>-9947.1</v>
      </c>
      <c r="Y905" s="87" t="s">
        <v>3685</v>
      </c>
      <c r="Z905" s="87" t="s">
        <v>50</v>
      </c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261" t="s">
        <v>3687</v>
      </c>
    </row>
    <row r="906" spans="1:43">
      <c r="A906" s="6">
        <v>903</v>
      </c>
      <c r="B906" s="21" t="s">
        <v>3685</v>
      </c>
      <c r="C906" s="5" t="s">
        <v>3962</v>
      </c>
      <c r="D906" s="5" t="s">
        <v>605</v>
      </c>
      <c r="E906" s="5" t="s">
        <v>605</v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11" t="s">
        <v>46</v>
      </c>
      <c r="Q906" s="5" t="s">
        <v>46</v>
      </c>
      <c r="R906" s="5" t="str">
        <f t="shared" si="15"/>
        <v/>
      </c>
      <c r="S906" s="5" t="s">
        <v>46</v>
      </c>
      <c r="T906" s="6">
        <v>903</v>
      </c>
      <c r="U906" s="261" t="s">
        <v>3687</v>
      </c>
      <c r="V906" s="232" t="s">
        <v>3962</v>
      </c>
      <c r="W906" s="232">
        <v>-9551.5</v>
      </c>
      <c r="X906" s="232">
        <v>-10006</v>
      </c>
      <c r="Y906" s="87" t="s">
        <v>3685</v>
      </c>
      <c r="Z906" s="87" t="s">
        <v>50</v>
      </c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261" t="s">
        <v>3687</v>
      </c>
    </row>
    <row r="907" spans="1:43">
      <c r="A907" s="6">
        <v>904</v>
      </c>
      <c r="B907" s="21" t="s">
        <v>3685</v>
      </c>
      <c r="C907" s="5" t="s">
        <v>3963</v>
      </c>
      <c r="D907" s="5" t="s">
        <v>605</v>
      </c>
      <c r="E907" s="5" t="s">
        <v>605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11" t="s">
        <v>46</v>
      </c>
      <c r="Q907" s="5" t="s">
        <v>46</v>
      </c>
      <c r="R907" s="5" t="str">
        <f t="shared" si="15"/>
        <v/>
      </c>
      <c r="S907" s="5" t="s">
        <v>46</v>
      </c>
      <c r="T907" s="6">
        <v>904</v>
      </c>
      <c r="U907" s="261" t="s">
        <v>3687</v>
      </c>
      <c r="V907" s="232" t="s">
        <v>3963</v>
      </c>
      <c r="W907" s="232">
        <v>-10233.700000000001</v>
      </c>
      <c r="X907" s="232">
        <v>-9947.1</v>
      </c>
      <c r="Y907" s="87" t="s">
        <v>3685</v>
      </c>
      <c r="Z907" s="87" t="s">
        <v>50</v>
      </c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261" t="s">
        <v>3687</v>
      </c>
    </row>
    <row r="908" spans="1:43">
      <c r="A908" s="6">
        <v>905</v>
      </c>
      <c r="B908" s="21" t="s">
        <v>3685</v>
      </c>
      <c r="C908" s="5" t="s">
        <v>3964</v>
      </c>
      <c r="D908" s="5" t="s">
        <v>605</v>
      </c>
      <c r="E908" s="5" t="s">
        <v>605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11" t="s">
        <v>46</v>
      </c>
      <c r="Q908" s="5" t="s">
        <v>46</v>
      </c>
      <c r="R908" s="5" t="str">
        <f t="shared" si="15"/>
        <v/>
      </c>
      <c r="S908" s="5" t="s">
        <v>46</v>
      </c>
      <c r="T908" s="6">
        <v>905</v>
      </c>
      <c r="U908" s="261" t="s">
        <v>3687</v>
      </c>
      <c r="V908" s="232" t="s">
        <v>3964</v>
      </c>
      <c r="W908" s="232">
        <v>-12972.8</v>
      </c>
      <c r="X908" s="232">
        <v>-10045.5</v>
      </c>
      <c r="Y908" s="87" t="s">
        <v>3685</v>
      </c>
      <c r="Z908" s="87" t="s">
        <v>50</v>
      </c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261" t="s">
        <v>3687</v>
      </c>
    </row>
    <row r="909" spans="1:43">
      <c r="A909" s="6">
        <v>906</v>
      </c>
      <c r="B909" s="21" t="s">
        <v>3685</v>
      </c>
      <c r="C909" s="5" t="s">
        <v>3965</v>
      </c>
      <c r="D909" s="5" t="s">
        <v>605</v>
      </c>
      <c r="E909" s="5" t="s">
        <v>605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11" t="s">
        <v>46</v>
      </c>
      <c r="Q909" s="5" t="s">
        <v>46</v>
      </c>
      <c r="R909" s="5" t="str">
        <f t="shared" si="15"/>
        <v/>
      </c>
      <c r="S909" s="5" t="s">
        <v>46</v>
      </c>
      <c r="T909" s="6">
        <v>906</v>
      </c>
      <c r="U909" s="261" t="s">
        <v>3687</v>
      </c>
      <c r="V909" s="232" t="s">
        <v>3965</v>
      </c>
      <c r="W909" s="232">
        <v>-13439.1</v>
      </c>
      <c r="X909" s="232">
        <v>-9808.2999999999993</v>
      </c>
      <c r="Y909" s="87" t="s">
        <v>3685</v>
      </c>
      <c r="Z909" s="87" t="s">
        <v>50</v>
      </c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261" t="s">
        <v>3687</v>
      </c>
    </row>
    <row r="910" spans="1:43">
      <c r="A910" s="6">
        <v>907</v>
      </c>
      <c r="B910" s="21" t="s">
        <v>3685</v>
      </c>
      <c r="C910" s="5" t="s">
        <v>3966</v>
      </c>
      <c r="D910" s="5" t="s">
        <v>605</v>
      </c>
      <c r="E910" s="5" t="s">
        <v>605</v>
      </c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11" t="s">
        <v>46</v>
      </c>
      <c r="Q910" s="5" t="s">
        <v>46</v>
      </c>
      <c r="R910" s="5" t="str">
        <f t="shared" si="15"/>
        <v/>
      </c>
      <c r="S910" s="5" t="s">
        <v>46</v>
      </c>
      <c r="T910" s="6">
        <v>907</v>
      </c>
      <c r="U910" s="261" t="s">
        <v>3687</v>
      </c>
      <c r="V910" s="232" t="s">
        <v>3966</v>
      </c>
      <c r="W910" s="232">
        <v>10689.6</v>
      </c>
      <c r="X910" s="232">
        <v>-10162.9</v>
      </c>
      <c r="Y910" s="87" t="s">
        <v>3685</v>
      </c>
      <c r="Z910" s="87" t="s">
        <v>50</v>
      </c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261" t="s">
        <v>3687</v>
      </c>
    </row>
    <row r="911" spans="1:43">
      <c r="A911" s="6">
        <v>908</v>
      </c>
      <c r="B911" s="21" t="s">
        <v>3685</v>
      </c>
      <c r="C911" s="5" t="s">
        <v>3967</v>
      </c>
      <c r="D911" s="5" t="s">
        <v>605</v>
      </c>
      <c r="E911" s="5" t="s">
        <v>605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11" t="s">
        <v>46</v>
      </c>
      <c r="Q911" s="5" t="s">
        <v>46</v>
      </c>
      <c r="R911" s="5" t="str">
        <f t="shared" si="15"/>
        <v/>
      </c>
      <c r="S911" s="5" t="s">
        <v>46</v>
      </c>
      <c r="T911" s="6">
        <v>908</v>
      </c>
      <c r="U911" s="261" t="s">
        <v>3687</v>
      </c>
      <c r="V911" s="232" t="s">
        <v>3967</v>
      </c>
      <c r="W911" s="232">
        <v>13439.1</v>
      </c>
      <c r="X911" s="232">
        <v>-9307.6</v>
      </c>
      <c r="Y911" s="87" t="s">
        <v>3685</v>
      </c>
      <c r="Z911" s="87" t="s">
        <v>50</v>
      </c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261" t="s">
        <v>3687</v>
      </c>
    </row>
    <row r="912" spans="1:43">
      <c r="A912" s="6">
        <v>909</v>
      </c>
      <c r="B912" s="21" t="s">
        <v>3685</v>
      </c>
      <c r="C912" s="5" t="s">
        <v>3968</v>
      </c>
      <c r="D912" s="5" t="s">
        <v>605</v>
      </c>
      <c r="E912" s="5" t="s">
        <v>605</v>
      </c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11" t="s">
        <v>46</v>
      </c>
      <c r="Q912" s="5" t="s">
        <v>46</v>
      </c>
      <c r="R912" s="5" t="str">
        <f t="shared" si="15"/>
        <v/>
      </c>
      <c r="S912" s="5" t="s">
        <v>46</v>
      </c>
      <c r="T912" s="6">
        <v>909</v>
      </c>
      <c r="U912" s="261" t="s">
        <v>3687</v>
      </c>
      <c r="V912" s="232" t="s">
        <v>3968</v>
      </c>
      <c r="W912" s="232">
        <v>7170.4</v>
      </c>
      <c r="X912" s="232">
        <v>-9409.5</v>
      </c>
      <c r="Y912" s="87" t="s">
        <v>3685</v>
      </c>
      <c r="Z912" s="87" t="s">
        <v>50</v>
      </c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261" t="s">
        <v>3687</v>
      </c>
    </row>
    <row r="913" spans="1:43">
      <c r="A913" s="6">
        <v>910</v>
      </c>
      <c r="B913" s="21" t="s">
        <v>3685</v>
      </c>
      <c r="C913" s="5" t="s">
        <v>3969</v>
      </c>
      <c r="D913" s="5" t="s">
        <v>605</v>
      </c>
      <c r="E913" s="5" t="s">
        <v>605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11" t="s">
        <v>46</v>
      </c>
      <c r="Q913" s="5" t="s">
        <v>46</v>
      </c>
      <c r="R913" s="5" t="str">
        <f t="shared" si="15"/>
        <v/>
      </c>
      <c r="S913" s="5" t="s">
        <v>46</v>
      </c>
      <c r="T913" s="6">
        <v>910</v>
      </c>
      <c r="U913" s="261" t="s">
        <v>3687</v>
      </c>
      <c r="V913" s="232" t="s">
        <v>3969</v>
      </c>
      <c r="W913" s="232">
        <v>6214.1</v>
      </c>
      <c r="X913" s="232">
        <v>-9662.5</v>
      </c>
      <c r="Y913" s="87" t="s">
        <v>3685</v>
      </c>
      <c r="Z913" s="87" t="s">
        <v>50</v>
      </c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261" t="s">
        <v>3687</v>
      </c>
    </row>
    <row r="914" spans="1:43">
      <c r="A914" s="6">
        <v>911</v>
      </c>
      <c r="B914" s="21" t="s">
        <v>3685</v>
      </c>
      <c r="C914" s="5" t="s">
        <v>3970</v>
      </c>
      <c r="D914" s="5" t="s">
        <v>605</v>
      </c>
      <c r="E914" s="5" t="s">
        <v>605</v>
      </c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11" t="s">
        <v>46</v>
      </c>
      <c r="Q914" s="5" t="s">
        <v>46</v>
      </c>
      <c r="R914" s="5" t="str">
        <f t="shared" si="15"/>
        <v/>
      </c>
      <c r="S914" s="5" t="s">
        <v>46</v>
      </c>
      <c r="T914" s="6">
        <v>911</v>
      </c>
      <c r="U914" s="261" t="s">
        <v>3687</v>
      </c>
      <c r="V914" s="232" t="s">
        <v>3970</v>
      </c>
      <c r="W914" s="232">
        <v>12141</v>
      </c>
      <c r="X914" s="232">
        <v>-9411.9</v>
      </c>
      <c r="Y914" s="87" t="s">
        <v>3685</v>
      </c>
      <c r="Z914" s="87" t="s">
        <v>50</v>
      </c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261" t="s">
        <v>3687</v>
      </c>
    </row>
    <row r="915" spans="1:43">
      <c r="A915" s="6">
        <v>912</v>
      </c>
      <c r="B915" s="21" t="s">
        <v>3685</v>
      </c>
      <c r="C915" s="5" t="s">
        <v>3971</v>
      </c>
      <c r="D915" s="5" t="s">
        <v>605</v>
      </c>
      <c r="E915" s="5" t="s">
        <v>605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11" t="s">
        <v>46</v>
      </c>
      <c r="Q915" s="5" t="s">
        <v>46</v>
      </c>
      <c r="R915" s="5" t="str">
        <f t="shared" si="15"/>
        <v/>
      </c>
      <c r="S915" s="5" t="s">
        <v>46</v>
      </c>
      <c r="T915" s="6">
        <v>912</v>
      </c>
      <c r="U915" s="261" t="s">
        <v>3687</v>
      </c>
      <c r="V915" s="232" t="s">
        <v>3971</v>
      </c>
      <c r="W915" s="232">
        <v>-10092.6</v>
      </c>
      <c r="X915" s="232">
        <v>-9441.2999999999993</v>
      </c>
      <c r="Y915" s="87" t="s">
        <v>3685</v>
      </c>
      <c r="Z915" s="87" t="s">
        <v>50</v>
      </c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261" t="s">
        <v>3687</v>
      </c>
    </row>
    <row r="916" spans="1:43">
      <c r="A916" s="6">
        <v>913</v>
      </c>
      <c r="B916" s="21" t="s">
        <v>3685</v>
      </c>
      <c r="C916" s="5" t="s">
        <v>3972</v>
      </c>
      <c r="D916" s="5" t="s">
        <v>605</v>
      </c>
      <c r="E916" s="5" t="s">
        <v>605</v>
      </c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11" t="s">
        <v>46</v>
      </c>
      <c r="Q916" s="5" t="s">
        <v>46</v>
      </c>
      <c r="R916" s="5" t="str">
        <f t="shared" si="15"/>
        <v/>
      </c>
      <c r="S916" s="5" t="s">
        <v>46</v>
      </c>
      <c r="T916" s="6">
        <v>913</v>
      </c>
      <c r="U916" s="261" t="s">
        <v>3687</v>
      </c>
      <c r="V916" s="232" t="s">
        <v>3972</v>
      </c>
      <c r="W916" s="232">
        <v>-10681.9</v>
      </c>
      <c r="X916" s="232">
        <v>-9718.4</v>
      </c>
      <c r="Y916" s="87" t="s">
        <v>3685</v>
      </c>
      <c r="Z916" s="87" t="s">
        <v>50</v>
      </c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261" t="s">
        <v>3687</v>
      </c>
    </row>
    <row r="917" spans="1:43">
      <c r="A917" s="6">
        <v>914</v>
      </c>
      <c r="B917" s="21" t="s">
        <v>3685</v>
      </c>
      <c r="C917" s="5" t="s">
        <v>3973</v>
      </c>
      <c r="D917" s="5" t="s">
        <v>605</v>
      </c>
      <c r="E917" s="5" t="s">
        <v>605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11" t="s">
        <v>46</v>
      </c>
      <c r="Q917" s="5" t="s">
        <v>46</v>
      </c>
      <c r="R917" s="5" t="str">
        <f t="shared" si="15"/>
        <v/>
      </c>
      <c r="S917" s="5" t="s">
        <v>46</v>
      </c>
      <c r="T917" s="6">
        <v>914</v>
      </c>
      <c r="U917" s="261" t="s">
        <v>3687</v>
      </c>
      <c r="V917" s="232" t="s">
        <v>3973</v>
      </c>
      <c r="W917" s="232">
        <v>-12141</v>
      </c>
      <c r="X917" s="232">
        <v>-9411.9</v>
      </c>
      <c r="Y917" s="87" t="s">
        <v>3685</v>
      </c>
      <c r="Z917" s="87" t="s">
        <v>50</v>
      </c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261" t="s">
        <v>3687</v>
      </c>
    </row>
    <row r="918" spans="1:43">
      <c r="A918" s="6">
        <v>915</v>
      </c>
      <c r="B918" s="21" t="s">
        <v>3685</v>
      </c>
      <c r="C918" s="5" t="s">
        <v>3974</v>
      </c>
      <c r="D918" s="5" t="s">
        <v>605</v>
      </c>
      <c r="E918" s="5" t="s">
        <v>605</v>
      </c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11" t="s">
        <v>46</v>
      </c>
      <c r="Q918" s="5" t="s">
        <v>46</v>
      </c>
      <c r="R918" s="5" t="str">
        <f t="shared" si="15"/>
        <v/>
      </c>
      <c r="S918" s="5" t="s">
        <v>46</v>
      </c>
      <c r="T918" s="6">
        <v>915</v>
      </c>
      <c r="U918" s="261" t="s">
        <v>3687</v>
      </c>
      <c r="V918" s="232" t="s">
        <v>3974</v>
      </c>
      <c r="W918" s="232">
        <v>-12922</v>
      </c>
      <c r="X918" s="232">
        <v>-9407.2000000000007</v>
      </c>
      <c r="Y918" s="87" t="s">
        <v>3685</v>
      </c>
      <c r="Z918" s="87" t="s">
        <v>50</v>
      </c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261" t="s">
        <v>3687</v>
      </c>
    </row>
    <row r="919" spans="1:43">
      <c r="A919" s="6">
        <v>916</v>
      </c>
      <c r="B919" s="21" t="s">
        <v>3685</v>
      </c>
      <c r="C919" s="5" t="s">
        <v>3975</v>
      </c>
      <c r="D919" s="5" t="s">
        <v>605</v>
      </c>
      <c r="E919" s="5" t="s">
        <v>605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11" t="s">
        <v>46</v>
      </c>
      <c r="Q919" s="5" t="s">
        <v>46</v>
      </c>
      <c r="R919" s="5" t="str">
        <f t="shared" si="15"/>
        <v/>
      </c>
      <c r="S919" s="5" t="s">
        <v>46</v>
      </c>
      <c r="T919" s="6">
        <v>916</v>
      </c>
      <c r="U919" s="261" t="s">
        <v>3687</v>
      </c>
      <c r="V919" s="232" t="s">
        <v>3975</v>
      </c>
      <c r="W919" s="232">
        <v>-13439.1</v>
      </c>
      <c r="X919" s="232">
        <v>-9307.6</v>
      </c>
      <c r="Y919" s="87" t="s">
        <v>3685</v>
      </c>
      <c r="Z919" s="87" t="s">
        <v>50</v>
      </c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261" t="s">
        <v>3687</v>
      </c>
    </row>
    <row r="920" spans="1:43">
      <c r="A920" s="6">
        <v>917</v>
      </c>
      <c r="B920" s="21" t="s">
        <v>3685</v>
      </c>
      <c r="C920" s="5" t="s">
        <v>3976</v>
      </c>
      <c r="D920" s="5" t="s">
        <v>605</v>
      </c>
      <c r="E920" s="5" t="s">
        <v>605</v>
      </c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11" t="s">
        <v>46</v>
      </c>
      <c r="Q920" s="5" t="s">
        <v>46</v>
      </c>
      <c r="R920" s="5" t="str">
        <f t="shared" si="15"/>
        <v/>
      </c>
      <c r="S920" s="5" t="s">
        <v>46</v>
      </c>
      <c r="T920" s="6">
        <v>917</v>
      </c>
      <c r="U920" s="261" t="s">
        <v>3687</v>
      </c>
      <c r="V920" s="232" t="s">
        <v>3976</v>
      </c>
      <c r="W920" s="232">
        <v>9367.5</v>
      </c>
      <c r="X920" s="232">
        <v>-9409.5</v>
      </c>
      <c r="Y920" s="87" t="s">
        <v>3685</v>
      </c>
      <c r="Z920" s="87" t="s">
        <v>50</v>
      </c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261" t="s">
        <v>3687</v>
      </c>
    </row>
    <row r="921" spans="1:43">
      <c r="A921" s="6">
        <v>918</v>
      </c>
      <c r="B921" s="21" t="s">
        <v>3685</v>
      </c>
      <c r="C921" s="5" t="s">
        <v>3977</v>
      </c>
      <c r="D921" s="5" t="s">
        <v>605</v>
      </c>
      <c r="E921" s="5" t="s">
        <v>605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11" t="s">
        <v>46</v>
      </c>
      <c r="Q921" s="5" t="s">
        <v>46</v>
      </c>
      <c r="R921" s="5" t="str">
        <f t="shared" si="15"/>
        <v/>
      </c>
      <c r="S921" s="5" t="s">
        <v>46</v>
      </c>
      <c r="T921" s="6">
        <v>918</v>
      </c>
      <c r="U921" s="261" t="s">
        <v>3687</v>
      </c>
      <c r="V921" s="232" t="s">
        <v>3977</v>
      </c>
      <c r="W921" s="232">
        <v>4632.3999999999996</v>
      </c>
      <c r="X921" s="232">
        <v>-9129.7999999999993</v>
      </c>
      <c r="Y921" s="87" t="s">
        <v>3685</v>
      </c>
      <c r="Z921" s="87" t="s">
        <v>50</v>
      </c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261" t="s">
        <v>3687</v>
      </c>
    </row>
    <row r="922" spans="1:43">
      <c r="A922" s="6">
        <v>919</v>
      </c>
      <c r="B922" s="21" t="s">
        <v>3685</v>
      </c>
      <c r="C922" s="5" t="s">
        <v>3978</v>
      </c>
      <c r="D922" s="5" t="s">
        <v>605</v>
      </c>
      <c r="E922" s="5" t="s">
        <v>605</v>
      </c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11" t="s">
        <v>46</v>
      </c>
      <c r="Q922" s="5" t="s">
        <v>46</v>
      </c>
      <c r="R922" s="5" t="str">
        <f t="shared" si="15"/>
        <v/>
      </c>
      <c r="S922" s="5" t="s">
        <v>46</v>
      </c>
      <c r="T922" s="6">
        <v>919</v>
      </c>
      <c r="U922" s="261" t="s">
        <v>3687</v>
      </c>
      <c r="V922" s="232" t="s">
        <v>3978</v>
      </c>
      <c r="W922" s="232">
        <v>1903.4</v>
      </c>
      <c r="X922" s="232">
        <v>-9129.7999999999993</v>
      </c>
      <c r="Y922" s="87" t="s">
        <v>3685</v>
      </c>
      <c r="Z922" s="87" t="s">
        <v>50</v>
      </c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261" t="s">
        <v>3687</v>
      </c>
    </row>
    <row r="923" spans="1:43">
      <c r="A923" s="6">
        <v>920</v>
      </c>
      <c r="B923" s="21" t="s">
        <v>3685</v>
      </c>
      <c r="C923" s="5" t="s">
        <v>3979</v>
      </c>
      <c r="D923" s="5" t="s">
        <v>605</v>
      </c>
      <c r="E923" s="5" t="s">
        <v>605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11" t="s">
        <v>46</v>
      </c>
      <c r="Q923" s="5" t="s">
        <v>46</v>
      </c>
      <c r="R923" s="5" t="str">
        <f t="shared" si="15"/>
        <v/>
      </c>
      <c r="S923" s="5" t="s">
        <v>46</v>
      </c>
      <c r="T923" s="6">
        <v>920</v>
      </c>
      <c r="U923" s="261" t="s">
        <v>3687</v>
      </c>
      <c r="V923" s="232" t="s">
        <v>3979</v>
      </c>
      <c r="W923" s="232">
        <v>-825.6</v>
      </c>
      <c r="X923" s="232">
        <v>-9129.7999999999993</v>
      </c>
      <c r="Y923" s="87" t="s">
        <v>3685</v>
      </c>
      <c r="Z923" s="87" t="s">
        <v>50</v>
      </c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261" t="s">
        <v>3687</v>
      </c>
    </row>
    <row r="924" spans="1:43">
      <c r="A924" s="6">
        <v>921</v>
      </c>
      <c r="B924" s="21" t="s">
        <v>3685</v>
      </c>
      <c r="C924" s="5" t="s">
        <v>3980</v>
      </c>
      <c r="D924" s="5" t="s">
        <v>605</v>
      </c>
      <c r="E924" s="5" t="s">
        <v>605</v>
      </c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11" t="s">
        <v>46</v>
      </c>
      <c r="Q924" s="5" t="s">
        <v>46</v>
      </c>
      <c r="R924" s="5" t="str">
        <f t="shared" si="15"/>
        <v/>
      </c>
      <c r="S924" s="5" t="s">
        <v>46</v>
      </c>
      <c r="T924" s="6">
        <v>921</v>
      </c>
      <c r="U924" s="261" t="s">
        <v>3687</v>
      </c>
      <c r="V924" s="232" t="s">
        <v>3980</v>
      </c>
      <c r="W924" s="232">
        <v>-3554.6</v>
      </c>
      <c r="X924" s="232">
        <v>-9129.7999999999993</v>
      </c>
      <c r="Y924" s="87" t="s">
        <v>3685</v>
      </c>
      <c r="Z924" s="87" t="s">
        <v>50</v>
      </c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261" t="s">
        <v>3687</v>
      </c>
    </row>
    <row r="925" spans="1:43">
      <c r="A925" s="6">
        <v>922</v>
      </c>
      <c r="B925" s="21" t="s">
        <v>3685</v>
      </c>
      <c r="C925" s="5" t="s">
        <v>3981</v>
      </c>
      <c r="D925" s="5" t="s">
        <v>605</v>
      </c>
      <c r="E925" s="5" t="s">
        <v>605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11" t="s">
        <v>46</v>
      </c>
      <c r="Q925" s="5" t="s">
        <v>46</v>
      </c>
      <c r="R925" s="5" t="str">
        <f t="shared" si="15"/>
        <v/>
      </c>
      <c r="S925" s="5" t="s">
        <v>46</v>
      </c>
      <c r="T925" s="6">
        <v>922</v>
      </c>
      <c r="U925" s="261" t="s">
        <v>3687</v>
      </c>
      <c r="V925" s="232" t="s">
        <v>3981</v>
      </c>
      <c r="W925" s="232">
        <v>-10083.9</v>
      </c>
      <c r="X925" s="232">
        <v>-8889.9</v>
      </c>
      <c r="Y925" s="87" t="s">
        <v>3685</v>
      </c>
      <c r="Z925" s="87" t="s">
        <v>50</v>
      </c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261" t="s">
        <v>3687</v>
      </c>
    </row>
    <row r="926" spans="1:43">
      <c r="A926" s="6">
        <v>923</v>
      </c>
      <c r="B926" s="21" t="s">
        <v>3685</v>
      </c>
      <c r="C926" s="5" t="s">
        <v>3982</v>
      </c>
      <c r="D926" s="5" t="s">
        <v>605</v>
      </c>
      <c r="E926" s="5" t="s">
        <v>605</v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11" t="s">
        <v>46</v>
      </c>
      <c r="Q926" s="5" t="s">
        <v>46</v>
      </c>
      <c r="R926" s="5" t="str">
        <f t="shared" si="15"/>
        <v/>
      </c>
      <c r="S926" s="5" t="s">
        <v>46</v>
      </c>
      <c r="T926" s="6">
        <v>923</v>
      </c>
      <c r="U926" s="261" t="s">
        <v>3687</v>
      </c>
      <c r="V926" s="232" t="s">
        <v>3982</v>
      </c>
      <c r="W926" s="232">
        <v>4632.3999999999996</v>
      </c>
      <c r="X926" s="232">
        <v>-8418.6</v>
      </c>
      <c r="Y926" s="87" t="s">
        <v>3685</v>
      </c>
      <c r="Z926" s="87" t="s">
        <v>50</v>
      </c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261" t="s">
        <v>3687</v>
      </c>
    </row>
    <row r="927" spans="1:43">
      <c r="A927" s="6">
        <v>924</v>
      </c>
      <c r="B927" s="21" t="s">
        <v>3685</v>
      </c>
      <c r="C927" s="5" t="s">
        <v>3983</v>
      </c>
      <c r="D927" s="5" t="s">
        <v>605</v>
      </c>
      <c r="E927" s="5" t="s">
        <v>605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11" t="s">
        <v>46</v>
      </c>
      <c r="Q927" s="5" t="s">
        <v>46</v>
      </c>
      <c r="R927" s="5" t="str">
        <f t="shared" si="15"/>
        <v/>
      </c>
      <c r="S927" s="5" t="s">
        <v>46</v>
      </c>
      <c r="T927" s="6">
        <v>924</v>
      </c>
      <c r="U927" s="261" t="s">
        <v>3687</v>
      </c>
      <c r="V927" s="232" t="s">
        <v>3983</v>
      </c>
      <c r="W927" s="232">
        <v>1903.4</v>
      </c>
      <c r="X927" s="232">
        <v>-8418.6</v>
      </c>
      <c r="Y927" s="87" t="s">
        <v>3685</v>
      </c>
      <c r="Z927" s="87" t="s">
        <v>50</v>
      </c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261" t="s">
        <v>3687</v>
      </c>
    </row>
    <row r="928" spans="1:43">
      <c r="A928" s="6">
        <v>925</v>
      </c>
      <c r="B928" s="21" t="s">
        <v>3685</v>
      </c>
      <c r="C928" s="5" t="s">
        <v>3984</v>
      </c>
      <c r="D928" s="5" t="s">
        <v>605</v>
      </c>
      <c r="E928" s="5" t="s">
        <v>605</v>
      </c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11" t="s">
        <v>46</v>
      </c>
      <c r="Q928" s="5" t="s">
        <v>46</v>
      </c>
      <c r="R928" s="5" t="str">
        <f t="shared" si="15"/>
        <v/>
      </c>
      <c r="S928" s="5" t="s">
        <v>46</v>
      </c>
      <c r="T928" s="6">
        <v>925</v>
      </c>
      <c r="U928" s="261" t="s">
        <v>3687</v>
      </c>
      <c r="V928" s="232" t="s">
        <v>3984</v>
      </c>
      <c r="W928" s="232">
        <v>-825.6</v>
      </c>
      <c r="X928" s="232">
        <v>-8418.6</v>
      </c>
      <c r="Y928" s="87" t="s">
        <v>3685</v>
      </c>
      <c r="Z928" s="87" t="s">
        <v>50</v>
      </c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261" t="s">
        <v>3687</v>
      </c>
    </row>
    <row r="929" spans="1:43">
      <c r="A929" s="6">
        <v>926</v>
      </c>
      <c r="B929" s="21" t="s">
        <v>3685</v>
      </c>
      <c r="C929" s="5" t="s">
        <v>3985</v>
      </c>
      <c r="D929" s="5" t="s">
        <v>605</v>
      </c>
      <c r="E929" s="5" t="s">
        <v>605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11" t="s">
        <v>46</v>
      </c>
      <c r="Q929" s="5" t="s">
        <v>46</v>
      </c>
      <c r="R929" s="5" t="str">
        <f t="shared" si="15"/>
        <v/>
      </c>
      <c r="S929" s="5" t="s">
        <v>46</v>
      </c>
      <c r="T929" s="6">
        <v>926</v>
      </c>
      <c r="U929" s="261" t="s">
        <v>3687</v>
      </c>
      <c r="V929" s="232" t="s">
        <v>3985</v>
      </c>
      <c r="W929" s="232">
        <v>-3554.6</v>
      </c>
      <c r="X929" s="232">
        <v>-8418.6</v>
      </c>
      <c r="Y929" s="87" t="s">
        <v>3685</v>
      </c>
      <c r="Z929" s="87" t="s">
        <v>50</v>
      </c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261" t="s">
        <v>3687</v>
      </c>
    </row>
    <row r="930" spans="1:43">
      <c r="A930" s="6">
        <v>927</v>
      </c>
      <c r="B930" s="21" t="s">
        <v>3685</v>
      </c>
      <c r="C930" s="5" t="s">
        <v>3986</v>
      </c>
      <c r="D930" s="5" t="s">
        <v>605</v>
      </c>
      <c r="E930" s="5" t="s">
        <v>605</v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11" t="s">
        <v>46</v>
      </c>
      <c r="Q930" s="5" t="s">
        <v>46</v>
      </c>
      <c r="R930" s="5" t="str">
        <f t="shared" si="15"/>
        <v/>
      </c>
      <c r="S930" s="5" t="s">
        <v>46</v>
      </c>
      <c r="T930" s="6">
        <v>927</v>
      </c>
      <c r="U930" s="261" t="s">
        <v>3687</v>
      </c>
      <c r="V930" s="232" t="s">
        <v>3986</v>
      </c>
      <c r="W930" s="232">
        <v>11912.6</v>
      </c>
      <c r="X930" s="232">
        <v>-8411.2000000000007</v>
      </c>
      <c r="Y930" s="87" t="s">
        <v>3685</v>
      </c>
      <c r="Z930" s="87" t="s">
        <v>50</v>
      </c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261" t="s">
        <v>3687</v>
      </c>
    </row>
    <row r="931" spans="1:43">
      <c r="A931" s="6">
        <v>928</v>
      </c>
      <c r="B931" s="21" t="s">
        <v>3685</v>
      </c>
      <c r="C931" s="5" t="s">
        <v>3987</v>
      </c>
      <c r="D931" s="5" t="s">
        <v>605</v>
      </c>
      <c r="E931" s="5" t="s">
        <v>605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11" t="s">
        <v>46</v>
      </c>
      <c r="Q931" s="5" t="s">
        <v>46</v>
      </c>
      <c r="R931" s="5" t="str">
        <f t="shared" si="15"/>
        <v/>
      </c>
      <c r="S931" s="5" t="s">
        <v>46</v>
      </c>
      <c r="T931" s="6">
        <v>928</v>
      </c>
      <c r="U931" s="261" t="s">
        <v>3687</v>
      </c>
      <c r="V931" s="232" t="s">
        <v>3987</v>
      </c>
      <c r="W931" s="232">
        <v>10633.2</v>
      </c>
      <c r="X931" s="232">
        <v>-8765.7000000000007</v>
      </c>
      <c r="Y931" s="87" t="s">
        <v>3685</v>
      </c>
      <c r="Z931" s="87" t="s">
        <v>50</v>
      </c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261" t="s">
        <v>3687</v>
      </c>
    </row>
    <row r="932" spans="1:43">
      <c r="A932" s="6">
        <v>929</v>
      </c>
      <c r="B932" s="21" t="s">
        <v>3685</v>
      </c>
      <c r="C932" s="5" t="s">
        <v>3988</v>
      </c>
      <c r="D932" s="5" t="s">
        <v>605</v>
      </c>
      <c r="E932" s="5" t="s">
        <v>605</v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11" t="s">
        <v>46</v>
      </c>
      <c r="Q932" s="5" t="s">
        <v>46</v>
      </c>
      <c r="R932" s="5" t="str">
        <f t="shared" si="15"/>
        <v/>
      </c>
      <c r="S932" s="5" t="s">
        <v>46</v>
      </c>
      <c r="T932" s="6">
        <v>929</v>
      </c>
      <c r="U932" s="261" t="s">
        <v>3687</v>
      </c>
      <c r="V932" s="232" t="s">
        <v>3988</v>
      </c>
      <c r="W932" s="232">
        <v>13439.1</v>
      </c>
      <c r="X932" s="232">
        <v>-8294.4</v>
      </c>
      <c r="Y932" s="87" t="s">
        <v>3685</v>
      </c>
      <c r="Z932" s="87" t="s">
        <v>50</v>
      </c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261" t="s">
        <v>3687</v>
      </c>
    </row>
    <row r="933" spans="1:43">
      <c r="A933" s="6">
        <v>930</v>
      </c>
      <c r="B933" s="21" t="s">
        <v>3685</v>
      </c>
      <c r="C933" s="5" t="s">
        <v>3989</v>
      </c>
      <c r="D933" s="5" t="s">
        <v>605</v>
      </c>
      <c r="E933" s="5" t="s">
        <v>605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11" t="s">
        <v>46</v>
      </c>
      <c r="Q933" s="5" t="s">
        <v>46</v>
      </c>
      <c r="R933" s="5" t="str">
        <f t="shared" si="15"/>
        <v/>
      </c>
      <c r="S933" s="5" t="s">
        <v>46</v>
      </c>
      <c r="T933" s="6">
        <v>930</v>
      </c>
      <c r="U933" s="261" t="s">
        <v>3687</v>
      </c>
      <c r="V933" s="232" t="s">
        <v>3989</v>
      </c>
      <c r="W933" s="232">
        <v>-9012.6</v>
      </c>
      <c r="X933" s="232">
        <v>-8037.4</v>
      </c>
      <c r="Y933" s="87" t="s">
        <v>3685</v>
      </c>
      <c r="Z933" s="87" t="s">
        <v>50</v>
      </c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261" t="s">
        <v>3687</v>
      </c>
    </row>
    <row r="934" spans="1:43">
      <c r="A934" s="6">
        <v>931</v>
      </c>
      <c r="B934" s="21" t="s">
        <v>3685</v>
      </c>
      <c r="C934" s="5" t="s">
        <v>3990</v>
      </c>
      <c r="D934" s="5" t="s">
        <v>605</v>
      </c>
      <c r="E934" s="5" t="s">
        <v>605</v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11" t="s">
        <v>46</v>
      </c>
      <c r="Q934" s="5" t="s">
        <v>46</v>
      </c>
      <c r="R934" s="5" t="str">
        <f t="shared" si="15"/>
        <v/>
      </c>
      <c r="S934" s="5" t="s">
        <v>46</v>
      </c>
      <c r="T934" s="6">
        <v>931</v>
      </c>
      <c r="U934" s="261" t="s">
        <v>3687</v>
      </c>
      <c r="V934" s="232" t="s">
        <v>3990</v>
      </c>
      <c r="W934" s="232">
        <v>-10883.1</v>
      </c>
      <c r="X934" s="232">
        <v>-8100</v>
      </c>
      <c r="Y934" s="87" t="s">
        <v>3685</v>
      </c>
      <c r="Z934" s="87" t="s">
        <v>50</v>
      </c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261" t="s">
        <v>3687</v>
      </c>
    </row>
    <row r="935" spans="1:43">
      <c r="A935" s="6">
        <v>932</v>
      </c>
      <c r="B935" s="21" t="s">
        <v>3685</v>
      </c>
      <c r="C935" s="5" t="s">
        <v>3991</v>
      </c>
      <c r="D935" s="5" t="s">
        <v>605</v>
      </c>
      <c r="E935" s="5" t="s">
        <v>605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11" t="s">
        <v>46</v>
      </c>
      <c r="Q935" s="5" t="s">
        <v>46</v>
      </c>
      <c r="R935" s="5" t="str">
        <f t="shared" si="15"/>
        <v/>
      </c>
      <c r="S935" s="5" t="s">
        <v>46</v>
      </c>
      <c r="T935" s="6">
        <v>932</v>
      </c>
      <c r="U935" s="261" t="s">
        <v>3687</v>
      </c>
      <c r="V935" s="232" t="s">
        <v>3991</v>
      </c>
      <c r="W935" s="232">
        <v>-13439.1</v>
      </c>
      <c r="X935" s="232">
        <v>-8294.4</v>
      </c>
      <c r="Y935" s="87" t="s">
        <v>3685</v>
      </c>
      <c r="Z935" s="87" t="s">
        <v>50</v>
      </c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261" t="s">
        <v>3687</v>
      </c>
    </row>
    <row r="936" spans="1:43">
      <c r="A936" s="6">
        <v>933</v>
      </c>
      <c r="B936" s="21" t="s">
        <v>3685</v>
      </c>
      <c r="C936" s="5" t="s">
        <v>3992</v>
      </c>
      <c r="D936" s="5" t="s">
        <v>605</v>
      </c>
      <c r="E936" s="5" t="s">
        <v>605</v>
      </c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11" t="s">
        <v>46</v>
      </c>
      <c r="Q936" s="5" t="s">
        <v>46</v>
      </c>
      <c r="R936" s="5" t="str">
        <f t="shared" si="15"/>
        <v/>
      </c>
      <c r="S936" s="5" t="s">
        <v>46</v>
      </c>
      <c r="T936" s="6">
        <v>933</v>
      </c>
      <c r="U936" s="261" t="s">
        <v>3687</v>
      </c>
      <c r="V936" s="232" t="s">
        <v>3992</v>
      </c>
      <c r="W936" s="232">
        <v>9973.5</v>
      </c>
      <c r="X936" s="232">
        <v>-7962.3</v>
      </c>
      <c r="Y936" s="87" t="s">
        <v>3685</v>
      </c>
      <c r="Z936" s="87" t="s">
        <v>50</v>
      </c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261" t="s">
        <v>3687</v>
      </c>
    </row>
    <row r="937" spans="1:43">
      <c r="A937" s="6">
        <v>934</v>
      </c>
      <c r="B937" s="21" t="s">
        <v>3685</v>
      </c>
      <c r="C937" s="5" t="s">
        <v>3993</v>
      </c>
      <c r="D937" s="5" t="s">
        <v>605</v>
      </c>
      <c r="E937" s="5" t="s">
        <v>605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11" t="s">
        <v>46</v>
      </c>
      <c r="Q937" s="5" t="s">
        <v>46</v>
      </c>
      <c r="R937" s="5" t="str">
        <f t="shared" si="15"/>
        <v/>
      </c>
      <c r="S937" s="5" t="s">
        <v>46</v>
      </c>
      <c r="T937" s="6">
        <v>934</v>
      </c>
      <c r="U937" s="261" t="s">
        <v>3687</v>
      </c>
      <c r="V937" s="232" t="s">
        <v>3993</v>
      </c>
      <c r="W937" s="232">
        <v>8498.2000000000007</v>
      </c>
      <c r="X937" s="232">
        <v>-7554.1</v>
      </c>
      <c r="Y937" s="87" t="s">
        <v>3685</v>
      </c>
      <c r="Z937" s="87" t="s">
        <v>50</v>
      </c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261" t="s">
        <v>3687</v>
      </c>
    </row>
    <row r="938" spans="1:43">
      <c r="A938" s="6">
        <v>935</v>
      </c>
      <c r="B938" s="21" t="s">
        <v>3685</v>
      </c>
      <c r="C938" s="5" t="s">
        <v>3994</v>
      </c>
      <c r="D938" s="5" t="s">
        <v>605</v>
      </c>
      <c r="E938" s="5" t="s">
        <v>605</v>
      </c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11" t="s">
        <v>46</v>
      </c>
      <c r="Q938" s="5" t="s">
        <v>46</v>
      </c>
      <c r="R938" s="5" t="str">
        <f t="shared" si="15"/>
        <v/>
      </c>
      <c r="S938" s="5" t="s">
        <v>46</v>
      </c>
      <c r="T938" s="6">
        <v>935</v>
      </c>
      <c r="U938" s="261" t="s">
        <v>3687</v>
      </c>
      <c r="V938" s="232" t="s">
        <v>3994</v>
      </c>
      <c r="W938" s="232">
        <v>6004.1</v>
      </c>
      <c r="X938" s="232">
        <v>-7707.4</v>
      </c>
      <c r="Y938" s="87" t="s">
        <v>3685</v>
      </c>
      <c r="Z938" s="87" t="s">
        <v>50</v>
      </c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261" t="s">
        <v>3687</v>
      </c>
    </row>
    <row r="939" spans="1:43">
      <c r="A939" s="6">
        <v>936</v>
      </c>
      <c r="B939" s="21" t="s">
        <v>3685</v>
      </c>
      <c r="C939" s="5" t="s">
        <v>3995</v>
      </c>
      <c r="D939" s="5" t="s">
        <v>605</v>
      </c>
      <c r="E939" s="5" t="s">
        <v>605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11" t="s">
        <v>46</v>
      </c>
      <c r="Q939" s="5" t="s">
        <v>46</v>
      </c>
      <c r="R939" s="5" t="str">
        <f t="shared" si="15"/>
        <v/>
      </c>
      <c r="S939" s="5" t="s">
        <v>46</v>
      </c>
      <c r="T939" s="6">
        <v>936</v>
      </c>
      <c r="U939" s="261" t="s">
        <v>3687</v>
      </c>
      <c r="V939" s="232" t="s">
        <v>3995</v>
      </c>
      <c r="W939" s="232">
        <v>3275.1</v>
      </c>
      <c r="X939" s="232">
        <v>-7707.4</v>
      </c>
      <c r="Y939" s="87" t="s">
        <v>3685</v>
      </c>
      <c r="Z939" s="87" t="s">
        <v>50</v>
      </c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261" t="s">
        <v>3687</v>
      </c>
    </row>
    <row r="940" spans="1:43">
      <c r="A940" s="6">
        <v>937</v>
      </c>
      <c r="B940" s="21" t="s">
        <v>3685</v>
      </c>
      <c r="C940" s="5" t="s">
        <v>3996</v>
      </c>
      <c r="D940" s="5" t="s">
        <v>605</v>
      </c>
      <c r="E940" s="5" t="s">
        <v>605</v>
      </c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11" t="s">
        <v>46</v>
      </c>
      <c r="Q940" s="5" t="s">
        <v>46</v>
      </c>
      <c r="R940" s="5" t="str">
        <f t="shared" si="15"/>
        <v/>
      </c>
      <c r="S940" s="5" t="s">
        <v>46</v>
      </c>
      <c r="T940" s="6">
        <v>937</v>
      </c>
      <c r="U940" s="261" t="s">
        <v>3687</v>
      </c>
      <c r="V940" s="232" t="s">
        <v>3996</v>
      </c>
      <c r="W940" s="232">
        <v>546.1</v>
      </c>
      <c r="X940" s="232">
        <v>-7707.4</v>
      </c>
      <c r="Y940" s="87" t="s">
        <v>3685</v>
      </c>
      <c r="Z940" s="87" t="s">
        <v>50</v>
      </c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261" t="s">
        <v>3687</v>
      </c>
    </row>
    <row r="941" spans="1:43">
      <c r="A941" s="6">
        <v>938</v>
      </c>
      <c r="B941" s="21" t="s">
        <v>3685</v>
      </c>
      <c r="C941" s="5" t="s">
        <v>3997</v>
      </c>
      <c r="D941" s="5" t="s">
        <v>605</v>
      </c>
      <c r="E941" s="5" t="s">
        <v>605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11" t="s">
        <v>46</v>
      </c>
      <c r="Q941" s="5" t="s">
        <v>46</v>
      </c>
      <c r="R941" s="5" t="str">
        <f t="shared" si="15"/>
        <v/>
      </c>
      <c r="S941" s="5" t="s">
        <v>46</v>
      </c>
      <c r="T941" s="6">
        <v>938</v>
      </c>
      <c r="U941" s="261" t="s">
        <v>3687</v>
      </c>
      <c r="V941" s="232" t="s">
        <v>3997</v>
      </c>
      <c r="W941" s="232">
        <v>-2182.9</v>
      </c>
      <c r="X941" s="232">
        <v>-7707.4</v>
      </c>
      <c r="Y941" s="87" t="s">
        <v>3685</v>
      </c>
      <c r="Z941" s="87" t="s">
        <v>50</v>
      </c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261" t="s">
        <v>3687</v>
      </c>
    </row>
    <row r="942" spans="1:43">
      <c r="A942" s="6">
        <v>939</v>
      </c>
      <c r="B942" s="21" t="s">
        <v>3685</v>
      </c>
      <c r="C942" s="5" t="s">
        <v>3998</v>
      </c>
      <c r="D942" s="5" t="s">
        <v>605</v>
      </c>
      <c r="E942" s="5" t="s">
        <v>605</v>
      </c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11" t="s">
        <v>46</v>
      </c>
      <c r="Q942" s="5" t="s">
        <v>46</v>
      </c>
      <c r="R942" s="5" t="str">
        <f t="shared" si="15"/>
        <v/>
      </c>
      <c r="S942" s="5" t="s">
        <v>46</v>
      </c>
      <c r="T942" s="6">
        <v>939</v>
      </c>
      <c r="U942" s="261" t="s">
        <v>3687</v>
      </c>
      <c r="V942" s="232" t="s">
        <v>3998</v>
      </c>
      <c r="W942" s="232">
        <v>-4911.8999999999996</v>
      </c>
      <c r="X942" s="232">
        <v>-7707.4</v>
      </c>
      <c r="Y942" s="87" t="s">
        <v>3685</v>
      </c>
      <c r="Z942" s="87" t="s">
        <v>50</v>
      </c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261" t="s">
        <v>3687</v>
      </c>
    </row>
    <row r="943" spans="1:43">
      <c r="A943" s="6">
        <v>940</v>
      </c>
      <c r="B943" s="21" t="s">
        <v>3685</v>
      </c>
      <c r="C943" s="5" t="s">
        <v>3999</v>
      </c>
      <c r="D943" s="5" t="s">
        <v>605</v>
      </c>
      <c r="E943" s="5" t="s">
        <v>605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11" t="s">
        <v>46</v>
      </c>
      <c r="Q943" s="5" t="s">
        <v>46</v>
      </c>
      <c r="R943" s="5" t="str">
        <f t="shared" si="15"/>
        <v/>
      </c>
      <c r="S943" s="5" t="s">
        <v>46</v>
      </c>
      <c r="T943" s="6">
        <v>940</v>
      </c>
      <c r="U943" s="261" t="s">
        <v>3687</v>
      </c>
      <c r="V943" s="232" t="s">
        <v>3999</v>
      </c>
      <c r="W943" s="232">
        <v>-6283.6</v>
      </c>
      <c r="X943" s="232">
        <v>-7707.4</v>
      </c>
      <c r="Y943" s="87" t="s">
        <v>3685</v>
      </c>
      <c r="Z943" s="87" t="s">
        <v>50</v>
      </c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261" t="s">
        <v>3687</v>
      </c>
    </row>
    <row r="944" spans="1:43">
      <c r="A944" s="6">
        <v>941</v>
      </c>
      <c r="B944" s="21" t="s">
        <v>3685</v>
      </c>
      <c r="C944" s="5" t="s">
        <v>4000</v>
      </c>
      <c r="D944" s="5" t="s">
        <v>605</v>
      </c>
      <c r="E944" s="5" t="s">
        <v>605</v>
      </c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11" t="s">
        <v>46</v>
      </c>
      <c r="Q944" s="5" t="s">
        <v>46</v>
      </c>
      <c r="R944" s="5" t="str">
        <f t="shared" si="15"/>
        <v/>
      </c>
      <c r="S944" s="5" t="s">
        <v>46</v>
      </c>
      <c r="T944" s="6">
        <v>941</v>
      </c>
      <c r="U944" s="261" t="s">
        <v>3687</v>
      </c>
      <c r="V944" s="232" t="s">
        <v>4000</v>
      </c>
      <c r="W944" s="232">
        <v>-7640.9</v>
      </c>
      <c r="X944" s="232">
        <v>-7707.4</v>
      </c>
      <c r="Y944" s="87" t="s">
        <v>3685</v>
      </c>
      <c r="Z944" s="87" t="s">
        <v>50</v>
      </c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261" t="s">
        <v>3687</v>
      </c>
    </row>
    <row r="945" spans="1:43">
      <c r="A945" s="6">
        <v>942</v>
      </c>
      <c r="B945" s="21" t="s">
        <v>3685</v>
      </c>
      <c r="C945" s="5" t="s">
        <v>4001</v>
      </c>
      <c r="D945" s="5" t="s">
        <v>605</v>
      </c>
      <c r="E945" s="5" t="s">
        <v>605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11" t="s">
        <v>46</v>
      </c>
      <c r="Q945" s="5" t="s">
        <v>46</v>
      </c>
      <c r="R945" s="5" t="str">
        <f t="shared" si="15"/>
        <v/>
      </c>
      <c r="S945" s="5" t="s">
        <v>46</v>
      </c>
      <c r="T945" s="6">
        <v>942</v>
      </c>
      <c r="U945" s="261" t="s">
        <v>3687</v>
      </c>
      <c r="V945" s="232" t="s">
        <v>4001</v>
      </c>
      <c r="W945" s="232">
        <v>-9462</v>
      </c>
      <c r="X945" s="232">
        <v>-7407.3</v>
      </c>
      <c r="Y945" s="87" t="s">
        <v>3685</v>
      </c>
      <c r="Z945" s="87" t="s">
        <v>50</v>
      </c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261" t="s">
        <v>3687</v>
      </c>
    </row>
    <row r="946" spans="1:43">
      <c r="A946" s="6">
        <v>943</v>
      </c>
      <c r="B946" s="21" t="s">
        <v>3685</v>
      </c>
      <c r="C946" s="5" t="s">
        <v>4002</v>
      </c>
      <c r="D946" s="5" t="s">
        <v>605</v>
      </c>
      <c r="E946" s="5" t="s">
        <v>605</v>
      </c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11" t="s">
        <v>46</v>
      </c>
      <c r="Q946" s="5" t="s">
        <v>46</v>
      </c>
      <c r="R946" s="5" t="str">
        <f t="shared" si="15"/>
        <v/>
      </c>
      <c r="S946" s="5" t="s">
        <v>46</v>
      </c>
      <c r="T946" s="6">
        <v>943</v>
      </c>
      <c r="U946" s="261" t="s">
        <v>3687</v>
      </c>
      <c r="V946" s="232" t="s">
        <v>4002</v>
      </c>
      <c r="W946" s="232">
        <v>-9923.1</v>
      </c>
      <c r="X946" s="232">
        <v>-7663.2</v>
      </c>
      <c r="Y946" s="87" t="s">
        <v>3685</v>
      </c>
      <c r="Z946" s="87" t="s">
        <v>50</v>
      </c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261" t="s">
        <v>3687</v>
      </c>
    </row>
    <row r="947" spans="1:43">
      <c r="A947" s="6">
        <v>944</v>
      </c>
      <c r="B947" s="21" t="s">
        <v>3685</v>
      </c>
      <c r="C947" s="5" t="s">
        <v>4003</v>
      </c>
      <c r="D947" s="5" t="s">
        <v>605</v>
      </c>
      <c r="E947" s="5" t="s">
        <v>605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11" t="s">
        <v>46</v>
      </c>
      <c r="Q947" s="5" t="s">
        <v>46</v>
      </c>
      <c r="R947" s="5" t="str">
        <f t="shared" si="15"/>
        <v/>
      </c>
      <c r="S947" s="5" t="s">
        <v>46</v>
      </c>
      <c r="T947" s="6">
        <v>944</v>
      </c>
      <c r="U947" s="261" t="s">
        <v>3687</v>
      </c>
      <c r="V947" s="232" t="s">
        <v>4003</v>
      </c>
      <c r="W947" s="232">
        <v>-10449.6</v>
      </c>
      <c r="X947" s="232">
        <v>-7741.5</v>
      </c>
      <c r="Y947" s="87" t="s">
        <v>3685</v>
      </c>
      <c r="Z947" s="87" t="s">
        <v>50</v>
      </c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261" t="s">
        <v>3687</v>
      </c>
    </row>
    <row r="948" spans="1:43">
      <c r="A948" s="6">
        <v>945</v>
      </c>
      <c r="B948" s="21" t="s">
        <v>3685</v>
      </c>
      <c r="C948" s="5" t="s">
        <v>4004</v>
      </c>
      <c r="D948" s="5" t="s">
        <v>605</v>
      </c>
      <c r="E948" s="5" t="s">
        <v>605</v>
      </c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11" t="s">
        <v>46</v>
      </c>
      <c r="Q948" s="5" t="s">
        <v>46</v>
      </c>
      <c r="R948" s="5" t="str">
        <f t="shared" si="15"/>
        <v/>
      </c>
      <c r="S948" s="5" t="s">
        <v>46</v>
      </c>
      <c r="T948" s="6">
        <v>945</v>
      </c>
      <c r="U948" s="261" t="s">
        <v>3687</v>
      </c>
      <c r="V948" s="232" t="s">
        <v>4004</v>
      </c>
      <c r="W948" s="232">
        <v>9735.6</v>
      </c>
      <c r="X948" s="232">
        <v>-7457.1</v>
      </c>
      <c r="Y948" s="87" t="s">
        <v>3685</v>
      </c>
      <c r="Z948" s="87" t="s">
        <v>50</v>
      </c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261" t="s">
        <v>3687</v>
      </c>
    </row>
    <row r="949" spans="1:43">
      <c r="A949" s="6">
        <v>946</v>
      </c>
      <c r="B949" s="21" t="s">
        <v>3685</v>
      </c>
      <c r="C949" s="5" t="s">
        <v>4005</v>
      </c>
      <c r="D949" s="5" t="s">
        <v>605</v>
      </c>
      <c r="E949" s="5" t="s">
        <v>605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11" t="s">
        <v>46</v>
      </c>
      <c r="Q949" s="5" t="s">
        <v>46</v>
      </c>
      <c r="R949" s="5" t="str">
        <f t="shared" si="15"/>
        <v/>
      </c>
      <c r="S949" s="5" t="s">
        <v>46</v>
      </c>
      <c r="T949" s="6">
        <v>946</v>
      </c>
      <c r="U949" s="261" t="s">
        <v>3687</v>
      </c>
      <c r="V949" s="232" t="s">
        <v>4005</v>
      </c>
      <c r="W949" s="232">
        <v>8631.9</v>
      </c>
      <c r="X949" s="232">
        <v>-7044.3</v>
      </c>
      <c r="Y949" s="87" t="s">
        <v>3685</v>
      </c>
      <c r="Z949" s="87" t="s">
        <v>50</v>
      </c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261" t="s">
        <v>3687</v>
      </c>
    </row>
    <row r="950" spans="1:43">
      <c r="A950" s="6">
        <v>947</v>
      </c>
      <c r="B950" s="21" t="s">
        <v>3685</v>
      </c>
      <c r="C950" s="5" t="s">
        <v>4006</v>
      </c>
      <c r="D950" s="5" t="s">
        <v>605</v>
      </c>
      <c r="E950" s="5" t="s">
        <v>605</v>
      </c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11" t="s">
        <v>46</v>
      </c>
      <c r="Q950" s="5" t="s">
        <v>46</v>
      </c>
      <c r="R950" s="5" t="str">
        <f t="shared" si="15"/>
        <v/>
      </c>
      <c r="S950" s="5" t="s">
        <v>46</v>
      </c>
      <c r="T950" s="6">
        <v>947</v>
      </c>
      <c r="U950" s="261" t="s">
        <v>3687</v>
      </c>
      <c r="V950" s="232" t="s">
        <v>4006</v>
      </c>
      <c r="W950" s="232">
        <v>12159</v>
      </c>
      <c r="X950" s="232">
        <v>-7277.1</v>
      </c>
      <c r="Y950" s="87" t="s">
        <v>3685</v>
      </c>
      <c r="Z950" s="87" t="s">
        <v>50</v>
      </c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261" t="s">
        <v>3687</v>
      </c>
    </row>
    <row r="951" spans="1:43">
      <c r="A951" s="6">
        <v>948</v>
      </c>
      <c r="B951" s="21" t="s">
        <v>3685</v>
      </c>
      <c r="C951" s="5" t="s">
        <v>4007</v>
      </c>
      <c r="D951" s="5" t="s">
        <v>605</v>
      </c>
      <c r="E951" s="5" t="s">
        <v>605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11" t="s">
        <v>46</v>
      </c>
      <c r="Q951" s="5" t="s">
        <v>46</v>
      </c>
      <c r="R951" s="5" t="str">
        <f t="shared" si="15"/>
        <v/>
      </c>
      <c r="S951" s="5" t="s">
        <v>46</v>
      </c>
      <c r="T951" s="6">
        <v>948</v>
      </c>
      <c r="U951" s="261" t="s">
        <v>3687</v>
      </c>
      <c r="V951" s="232" t="s">
        <v>4007</v>
      </c>
      <c r="W951" s="232">
        <v>-7640.9</v>
      </c>
      <c r="X951" s="232">
        <v>-6996.2</v>
      </c>
      <c r="Y951" s="87" t="s">
        <v>3685</v>
      </c>
      <c r="Z951" s="87" t="s">
        <v>50</v>
      </c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261" t="s">
        <v>3687</v>
      </c>
    </row>
    <row r="952" spans="1:43">
      <c r="A952" s="6">
        <v>949</v>
      </c>
      <c r="B952" s="21" t="s">
        <v>3685</v>
      </c>
      <c r="C952" s="5" t="s">
        <v>4008</v>
      </c>
      <c r="D952" s="5" t="s">
        <v>605</v>
      </c>
      <c r="E952" s="5" t="s">
        <v>605</v>
      </c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11" t="s">
        <v>46</v>
      </c>
      <c r="Q952" s="5" t="s">
        <v>46</v>
      </c>
      <c r="R952" s="5" t="str">
        <f t="shared" si="15"/>
        <v/>
      </c>
      <c r="S952" s="5" t="s">
        <v>46</v>
      </c>
      <c r="T952" s="6">
        <v>949</v>
      </c>
      <c r="U952" s="261" t="s">
        <v>3687</v>
      </c>
      <c r="V952" s="232" t="s">
        <v>4008</v>
      </c>
      <c r="W952" s="232">
        <v>11659.6</v>
      </c>
      <c r="X952" s="232">
        <v>-7170.4</v>
      </c>
      <c r="Y952" s="87" t="s">
        <v>3685</v>
      </c>
      <c r="Z952" s="87" t="s">
        <v>50</v>
      </c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261" t="s">
        <v>3687</v>
      </c>
    </row>
    <row r="953" spans="1:43">
      <c r="A953" s="6">
        <v>950</v>
      </c>
      <c r="B953" s="21" t="s">
        <v>3685</v>
      </c>
      <c r="C953" s="5" t="s">
        <v>4009</v>
      </c>
      <c r="D953" s="5" t="s">
        <v>605</v>
      </c>
      <c r="E953" s="5" t="s">
        <v>605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11" t="s">
        <v>46</v>
      </c>
      <c r="Q953" s="5" t="s">
        <v>46</v>
      </c>
      <c r="R953" s="5" t="str">
        <f t="shared" si="15"/>
        <v/>
      </c>
      <c r="S953" s="5" t="s">
        <v>46</v>
      </c>
      <c r="T953" s="6">
        <v>950</v>
      </c>
      <c r="U953" s="261" t="s">
        <v>3687</v>
      </c>
      <c r="V953" s="232" t="s">
        <v>4009</v>
      </c>
      <c r="W953" s="232">
        <v>-10945.9</v>
      </c>
      <c r="X953" s="232">
        <v>-7035.5</v>
      </c>
      <c r="Y953" s="87" t="s">
        <v>3685</v>
      </c>
      <c r="Z953" s="87" t="s">
        <v>50</v>
      </c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261" t="s">
        <v>3687</v>
      </c>
    </row>
    <row r="954" spans="1:43">
      <c r="A954" s="6">
        <v>951</v>
      </c>
      <c r="B954" s="21" t="s">
        <v>3685</v>
      </c>
      <c r="C954" s="5" t="s">
        <v>4010</v>
      </c>
      <c r="D954" s="5" t="s">
        <v>605</v>
      </c>
      <c r="E954" s="5" t="s">
        <v>605</v>
      </c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11" t="s">
        <v>46</v>
      </c>
      <c r="Q954" s="5" t="s">
        <v>46</v>
      </c>
      <c r="R954" s="5" t="str">
        <f t="shared" si="15"/>
        <v/>
      </c>
      <c r="S954" s="5" t="s">
        <v>46</v>
      </c>
      <c r="T954" s="6">
        <v>951</v>
      </c>
      <c r="U954" s="261" t="s">
        <v>3687</v>
      </c>
      <c r="V954" s="232" t="s">
        <v>4010</v>
      </c>
      <c r="W954" s="232">
        <v>-11659.6</v>
      </c>
      <c r="X954" s="232">
        <v>-7170.4</v>
      </c>
      <c r="Y954" s="87" t="s">
        <v>3685</v>
      </c>
      <c r="Z954" s="87" t="s">
        <v>50</v>
      </c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261" t="s">
        <v>3687</v>
      </c>
    </row>
    <row r="955" spans="1:43">
      <c r="A955" s="6">
        <v>952</v>
      </c>
      <c r="B955" s="21" t="s">
        <v>3685</v>
      </c>
      <c r="C955" s="5" t="s">
        <v>2289</v>
      </c>
      <c r="D955" s="5" t="s">
        <v>605</v>
      </c>
      <c r="E955" s="5" t="s">
        <v>605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11" t="s">
        <v>46</v>
      </c>
      <c r="Q955" s="5" t="s">
        <v>46</v>
      </c>
      <c r="R955" s="5" t="str">
        <f t="shared" si="15"/>
        <v/>
      </c>
      <c r="S955" s="5" t="s">
        <v>46</v>
      </c>
      <c r="T955" s="6">
        <v>952</v>
      </c>
      <c r="U955" s="261" t="s">
        <v>3687</v>
      </c>
      <c r="V955" s="232" t="s">
        <v>2289</v>
      </c>
      <c r="W955" s="232">
        <v>7674.8</v>
      </c>
      <c r="X955" s="232">
        <v>-6558.1</v>
      </c>
      <c r="Y955" s="87" t="s">
        <v>3685</v>
      </c>
      <c r="Z955" s="87" t="s">
        <v>50</v>
      </c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261" t="s">
        <v>3687</v>
      </c>
    </row>
    <row r="956" spans="1:43">
      <c r="A956" s="6">
        <v>953</v>
      </c>
      <c r="B956" s="21" t="s">
        <v>3685</v>
      </c>
      <c r="C956" s="5" t="s">
        <v>2641</v>
      </c>
      <c r="D956" s="5" t="s">
        <v>605</v>
      </c>
      <c r="E956" s="5" t="s">
        <v>605</v>
      </c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11" t="s">
        <v>46</v>
      </c>
      <c r="Q956" s="5" t="s">
        <v>46</v>
      </c>
      <c r="R956" s="5" t="str">
        <f t="shared" si="15"/>
        <v/>
      </c>
      <c r="S956" s="5" t="s">
        <v>46</v>
      </c>
      <c r="T956" s="6">
        <v>953</v>
      </c>
      <c r="U956" s="261" t="s">
        <v>3687</v>
      </c>
      <c r="V956" s="232" t="s">
        <v>2641</v>
      </c>
      <c r="W956" s="232">
        <v>6519.9</v>
      </c>
      <c r="X956" s="232">
        <v>-6883.2</v>
      </c>
      <c r="Y956" s="87" t="s">
        <v>3685</v>
      </c>
      <c r="Z956" s="87" t="s">
        <v>50</v>
      </c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261" t="s">
        <v>3687</v>
      </c>
    </row>
    <row r="957" spans="1:43">
      <c r="A957" s="6">
        <v>954</v>
      </c>
      <c r="B957" s="21" t="s">
        <v>3685</v>
      </c>
      <c r="C957" s="5" t="s">
        <v>4011</v>
      </c>
      <c r="D957" s="5" t="s">
        <v>605</v>
      </c>
      <c r="E957" s="5" t="s">
        <v>605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11" t="s">
        <v>46</v>
      </c>
      <c r="Q957" s="5" t="s">
        <v>46</v>
      </c>
      <c r="R957" s="5" t="str">
        <f t="shared" si="15"/>
        <v/>
      </c>
      <c r="S957" s="5" t="s">
        <v>46</v>
      </c>
      <c r="T957" s="6">
        <v>954</v>
      </c>
      <c r="U957" s="261" t="s">
        <v>3687</v>
      </c>
      <c r="V957" s="232" t="s">
        <v>4011</v>
      </c>
      <c r="W957" s="232">
        <v>11697.7</v>
      </c>
      <c r="X957" s="232">
        <v>-6668.5</v>
      </c>
      <c r="Y957" s="87" t="s">
        <v>3685</v>
      </c>
      <c r="Z957" s="87" t="s">
        <v>50</v>
      </c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261" t="s">
        <v>3687</v>
      </c>
    </row>
    <row r="958" spans="1:43">
      <c r="A958" s="6">
        <v>955</v>
      </c>
      <c r="B958" s="21" t="s">
        <v>3685</v>
      </c>
      <c r="C958" s="5" t="s">
        <v>2191</v>
      </c>
      <c r="D958" s="5" t="s">
        <v>605</v>
      </c>
      <c r="E958" s="5" t="s">
        <v>605</v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11" t="s">
        <v>46</v>
      </c>
      <c r="Q958" s="5" t="s">
        <v>46</v>
      </c>
      <c r="R958" s="5" t="str">
        <f t="shared" si="15"/>
        <v/>
      </c>
      <c r="S958" s="5" t="s">
        <v>46</v>
      </c>
      <c r="T958" s="6">
        <v>955</v>
      </c>
      <c r="U958" s="261" t="s">
        <v>3687</v>
      </c>
      <c r="V958" s="232" t="s">
        <v>2191</v>
      </c>
      <c r="W958" s="232">
        <v>-7307.7</v>
      </c>
      <c r="X958" s="232">
        <v>-6509.2</v>
      </c>
      <c r="Y958" s="87" t="s">
        <v>3685</v>
      </c>
      <c r="Z958" s="87" t="s">
        <v>50</v>
      </c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261" t="s">
        <v>3687</v>
      </c>
    </row>
    <row r="959" spans="1:43">
      <c r="A959" s="6">
        <v>956</v>
      </c>
      <c r="B959" s="21" t="s">
        <v>3685</v>
      </c>
      <c r="C959" s="5" t="s">
        <v>2360</v>
      </c>
      <c r="D959" s="5" t="s">
        <v>605</v>
      </c>
      <c r="E959" s="5" t="s">
        <v>605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11" t="s">
        <v>46</v>
      </c>
      <c r="Q959" s="5" t="s">
        <v>46</v>
      </c>
      <c r="R959" s="5" t="str">
        <f t="shared" si="15"/>
        <v/>
      </c>
      <c r="S959" s="5" t="s">
        <v>46</v>
      </c>
      <c r="T959" s="6">
        <v>956</v>
      </c>
      <c r="U959" s="261" t="s">
        <v>3687</v>
      </c>
      <c r="V959" s="232" t="s">
        <v>2360</v>
      </c>
      <c r="W959" s="232">
        <v>-10289.299999999999</v>
      </c>
      <c r="X959" s="232">
        <v>-6694.5</v>
      </c>
      <c r="Y959" s="87" t="s">
        <v>3685</v>
      </c>
      <c r="Z959" s="87" t="s">
        <v>50</v>
      </c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261" t="s">
        <v>3687</v>
      </c>
    </row>
    <row r="960" spans="1:43">
      <c r="A960" s="6">
        <v>957</v>
      </c>
      <c r="B960" s="21" t="s">
        <v>3685</v>
      </c>
      <c r="C960" s="5" t="s">
        <v>4012</v>
      </c>
      <c r="D960" s="5" t="s">
        <v>605</v>
      </c>
      <c r="E960" s="5" t="s">
        <v>605</v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11" t="s">
        <v>46</v>
      </c>
      <c r="Q960" s="5" t="s">
        <v>46</v>
      </c>
      <c r="R960" s="5" t="str">
        <f t="shared" si="15"/>
        <v/>
      </c>
      <c r="S960" s="5" t="s">
        <v>46</v>
      </c>
      <c r="T960" s="6">
        <v>957</v>
      </c>
      <c r="U960" s="261" t="s">
        <v>3687</v>
      </c>
      <c r="V960" s="232" t="s">
        <v>4012</v>
      </c>
      <c r="W960" s="232">
        <v>13439.1</v>
      </c>
      <c r="X960" s="232">
        <v>-6071.9</v>
      </c>
      <c r="Y960" s="87" t="s">
        <v>3685</v>
      </c>
      <c r="Z960" s="87" t="s">
        <v>50</v>
      </c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261" t="s">
        <v>3687</v>
      </c>
    </row>
    <row r="961" spans="1:43">
      <c r="A961" s="6">
        <v>958</v>
      </c>
      <c r="B961" s="21" t="s">
        <v>3685</v>
      </c>
      <c r="C961" s="5" t="s">
        <v>4013</v>
      </c>
      <c r="D961" s="5" t="s">
        <v>605</v>
      </c>
      <c r="E961" s="5" t="s">
        <v>605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11" t="s">
        <v>46</v>
      </c>
      <c r="Q961" s="5" t="s">
        <v>46</v>
      </c>
      <c r="R961" s="5" t="str">
        <f t="shared" si="15"/>
        <v/>
      </c>
      <c r="S961" s="5" t="s">
        <v>46</v>
      </c>
      <c r="T961" s="6">
        <v>958</v>
      </c>
      <c r="U961" s="261" t="s">
        <v>3687</v>
      </c>
      <c r="V961" s="232" t="s">
        <v>4013</v>
      </c>
      <c r="W961" s="232">
        <v>4632.3999999999996</v>
      </c>
      <c r="X961" s="232">
        <v>-6285</v>
      </c>
      <c r="Y961" s="87" t="s">
        <v>3685</v>
      </c>
      <c r="Z961" s="87" t="s">
        <v>50</v>
      </c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261" t="s">
        <v>3687</v>
      </c>
    </row>
    <row r="962" spans="1:43">
      <c r="A962" s="6">
        <v>959</v>
      </c>
      <c r="B962" s="21" t="s">
        <v>3685</v>
      </c>
      <c r="C962" s="5" t="s">
        <v>4014</v>
      </c>
      <c r="D962" s="5" t="s">
        <v>605</v>
      </c>
      <c r="E962" s="5" t="s">
        <v>605</v>
      </c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11" t="s">
        <v>46</v>
      </c>
      <c r="Q962" s="5" t="s">
        <v>46</v>
      </c>
      <c r="R962" s="5" t="str">
        <f t="shared" si="15"/>
        <v/>
      </c>
      <c r="S962" s="5" t="s">
        <v>46</v>
      </c>
      <c r="T962" s="6">
        <v>959</v>
      </c>
      <c r="U962" s="261" t="s">
        <v>3687</v>
      </c>
      <c r="V962" s="232" t="s">
        <v>4014</v>
      </c>
      <c r="W962" s="232">
        <v>1903.4</v>
      </c>
      <c r="X962" s="232">
        <v>-6285</v>
      </c>
      <c r="Y962" s="87" t="s">
        <v>3685</v>
      </c>
      <c r="Z962" s="87" t="s">
        <v>50</v>
      </c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261" t="s">
        <v>3687</v>
      </c>
    </row>
    <row r="963" spans="1:43">
      <c r="A963" s="6">
        <v>960</v>
      </c>
      <c r="B963" s="21" t="s">
        <v>3685</v>
      </c>
      <c r="C963" s="5" t="s">
        <v>4015</v>
      </c>
      <c r="D963" s="5" t="s">
        <v>605</v>
      </c>
      <c r="E963" s="5" t="s">
        <v>605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11" t="s">
        <v>46</v>
      </c>
      <c r="Q963" s="5" t="s">
        <v>46</v>
      </c>
      <c r="R963" s="5" t="str">
        <f t="shared" si="15"/>
        <v/>
      </c>
      <c r="S963" s="5" t="s">
        <v>46</v>
      </c>
      <c r="T963" s="6">
        <v>960</v>
      </c>
      <c r="U963" s="261" t="s">
        <v>3687</v>
      </c>
      <c r="V963" s="232" t="s">
        <v>4015</v>
      </c>
      <c r="W963" s="232">
        <v>-825.6</v>
      </c>
      <c r="X963" s="232">
        <v>-6285</v>
      </c>
      <c r="Y963" s="87" t="s">
        <v>3685</v>
      </c>
      <c r="Z963" s="87" t="s">
        <v>50</v>
      </c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261" t="s">
        <v>3687</v>
      </c>
    </row>
    <row r="964" spans="1:43">
      <c r="A964" s="6">
        <v>961</v>
      </c>
      <c r="B964" s="21" t="s">
        <v>3685</v>
      </c>
      <c r="C964" s="5" t="s">
        <v>4016</v>
      </c>
      <c r="D964" s="5" t="s">
        <v>605</v>
      </c>
      <c r="E964" s="5" t="s">
        <v>605</v>
      </c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11" t="s">
        <v>46</v>
      </c>
      <c r="Q964" s="5" t="s">
        <v>46</v>
      </c>
      <c r="R964" s="5" t="str">
        <f t="shared" si="15"/>
        <v/>
      </c>
      <c r="S964" s="5" t="s">
        <v>46</v>
      </c>
      <c r="T964" s="6">
        <v>961</v>
      </c>
      <c r="U964" s="261" t="s">
        <v>3687</v>
      </c>
      <c r="V964" s="232" t="s">
        <v>4016</v>
      </c>
      <c r="W964" s="232">
        <v>-3554.6</v>
      </c>
      <c r="X964" s="232">
        <v>-6285</v>
      </c>
      <c r="Y964" s="87" t="s">
        <v>3685</v>
      </c>
      <c r="Z964" s="87" t="s">
        <v>50</v>
      </c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261" t="s">
        <v>3687</v>
      </c>
    </row>
    <row r="965" spans="1:43">
      <c r="A965" s="6">
        <v>962</v>
      </c>
      <c r="B965" s="21" t="s">
        <v>3685</v>
      </c>
      <c r="C965" s="5" t="s">
        <v>4017</v>
      </c>
      <c r="D965" s="5" t="s">
        <v>605</v>
      </c>
      <c r="E965" s="5" t="s">
        <v>605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11" t="s">
        <v>46</v>
      </c>
      <c r="Q965" s="5" t="s">
        <v>46</v>
      </c>
      <c r="R965" s="5" t="str">
        <f t="shared" ref="R965:R1028" si="16">IF(AND(P965="",Q965=""),"",SUM(P965:Q965))</f>
        <v/>
      </c>
      <c r="S965" s="5" t="s">
        <v>46</v>
      </c>
      <c r="T965" s="6">
        <v>962</v>
      </c>
      <c r="U965" s="261" t="s">
        <v>3687</v>
      </c>
      <c r="V965" s="232" t="s">
        <v>4017</v>
      </c>
      <c r="W965" s="232">
        <v>-8272.2999999999993</v>
      </c>
      <c r="X965" s="232">
        <v>-6110.3</v>
      </c>
      <c r="Y965" s="87" t="s">
        <v>3685</v>
      </c>
      <c r="Z965" s="87" t="s">
        <v>50</v>
      </c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261" t="s">
        <v>3687</v>
      </c>
    </row>
    <row r="966" spans="1:43">
      <c r="A966" s="6">
        <v>963</v>
      </c>
      <c r="B966" s="21" t="s">
        <v>3685</v>
      </c>
      <c r="C966" s="5" t="s">
        <v>4018</v>
      </c>
      <c r="D966" s="5" t="s">
        <v>605</v>
      </c>
      <c r="E966" s="5" t="s">
        <v>605</v>
      </c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11" t="s">
        <v>46</v>
      </c>
      <c r="Q966" s="5" t="s">
        <v>46</v>
      </c>
      <c r="R966" s="5" t="str">
        <f t="shared" si="16"/>
        <v/>
      </c>
      <c r="S966" s="5" t="s">
        <v>46</v>
      </c>
      <c r="T966" s="6">
        <v>963</v>
      </c>
      <c r="U966" s="261" t="s">
        <v>3687</v>
      </c>
      <c r="V966" s="232" t="s">
        <v>4018</v>
      </c>
      <c r="W966" s="232">
        <v>-8983.5</v>
      </c>
      <c r="X966" s="232">
        <v>-6110.3</v>
      </c>
      <c r="Y966" s="87" t="s">
        <v>3685</v>
      </c>
      <c r="Z966" s="87" t="s">
        <v>50</v>
      </c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261" t="s">
        <v>3687</v>
      </c>
    </row>
    <row r="967" spans="1:43">
      <c r="A967" s="6">
        <v>964</v>
      </c>
      <c r="B967" s="21" t="s">
        <v>3685</v>
      </c>
      <c r="C967" s="5" t="s">
        <v>4019</v>
      </c>
      <c r="D967" s="5" t="s">
        <v>605</v>
      </c>
      <c r="E967" s="5" t="s">
        <v>605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11" t="s">
        <v>46</v>
      </c>
      <c r="Q967" s="5" t="s">
        <v>46</v>
      </c>
      <c r="R967" s="5" t="str">
        <f t="shared" si="16"/>
        <v/>
      </c>
      <c r="S967" s="5" t="s">
        <v>46</v>
      </c>
      <c r="T967" s="6">
        <v>964</v>
      </c>
      <c r="U967" s="261" t="s">
        <v>3687</v>
      </c>
      <c r="V967" s="232" t="s">
        <v>4019</v>
      </c>
      <c r="W967" s="232">
        <v>-9665.7000000000007</v>
      </c>
      <c r="X967" s="232">
        <v>-6346.5</v>
      </c>
      <c r="Y967" s="87" t="s">
        <v>3685</v>
      </c>
      <c r="Z967" s="87" t="s">
        <v>50</v>
      </c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261" t="s">
        <v>3687</v>
      </c>
    </row>
    <row r="968" spans="1:43">
      <c r="A968" s="6">
        <v>965</v>
      </c>
      <c r="B968" s="21" t="s">
        <v>3685</v>
      </c>
      <c r="C968" s="5" t="s">
        <v>4020</v>
      </c>
      <c r="D968" s="5" t="s">
        <v>605</v>
      </c>
      <c r="E968" s="5" t="s">
        <v>605</v>
      </c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11" t="s">
        <v>46</v>
      </c>
      <c r="Q968" s="5" t="s">
        <v>46</v>
      </c>
      <c r="R968" s="5" t="str">
        <f t="shared" si="16"/>
        <v/>
      </c>
      <c r="S968" s="5" t="s">
        <v>46</v>
      </c>
      <c r="T968" s="6">
        <v>965</v>
      </c>
      <c r="U968" s="261" t="s">
        <v>3687</v>
      </c>
      <c r="V968" s="232" t="s">
        <v>4020</v>
      </c>
      <c r="W968" s="232">
        <v>-13439.1</v>
      </c>
      <c r="X968" s="232">
        <v>-6071.9</v>
      </c>
      <c r="Y968" s="87" t="s">
        <v>3685</v>
      </c>
      <c r="Z968" s="87" t="s">
        <v>50</v>
      </c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261" t="s">
        <v>3687</v>
      </c>
    </row>
    <row r="969" spans="1:43">
      <c r="A969" s="6">
        <v>966</v>
      </c>
      <c r="B969" s="21" t="s">
        <v>3685</v>
      </c>
      <c r="C969" s="5" t="s">
        <v>4021</v>
      </c>
      <c r="D969" s="5" t="s">
        <v>605</v>
      </c>
      <c r="E969" s="5" t="s">
        <v>605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11" t="s">
        <v>46</v>
      </c>
      <c r="Q969" s="5" t="s">
        <v>46</v>
      </c>
      <c r="R969" s="5" t="str">
        <f t="shared" si="16"/>
        <v/>
      </c>
      <c r="S969" s="5" t="s">
        <v>46</v>
      </c>
      <c r="T969" s="6">
        <v>966</v>
      </c>
      <c r="U969" s="261" t="s">
        <v>3687</v>
      </c>
      <c r="V969" s="232" t="s">
        <v>4021</v>
      </c>
      <c r="W969" s="232">
        <v>9665.7000000000007</v>
      </c>
      <c r="X969" s="232">
        <v>-6346.5</v>
      </c>
      <c r="Y969" s="87" t="s">
        <v>3685</v>
      </c>
      <c r="Z969" s="87" t="s">
        <v>50</v>
      </c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261" t="s">
        <v>3687</v>
      </c>
    </row>
    <row r="970" spans="1:43">
      <c r="A970" s="6">
        <v>967</v>
      </c>
      <c r="B970" s="21" t="s">
        <v>3685</v>
      </c>
      <c r="C970" s="5" t="s">
        <v>4022</v>
      </c>
      <c r="D970" s="5" t="s">
        <v>605</v>
      </c>
      <c r="E970" s="5" t="s">
        <v>605</v>
      </c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11" t="s">
        <v>46</v>
      </c>
      <c r="Q970" s="5" t="s">
        <v>46</v>
      </c>
      <c r="R970" s="5" t="str">
        <f t="shared" si="16"/>
        <v/>
      </c>
      <c r="S970" s="5" t="s">
        <v>46</v>
      </c>
      <c r="T970" s="6">
        <v>967</v>
      </c>
      <c r="U970" s="261" t="s">
        <v>3687</v>
      </c>
      <c r="V970" s="232" t="s">
        <v>4022</v>
      </c>
      <c r="W970" s="232">
        <v>7752.9</v>
      </c>
      <c r="X970" s="232">
        <v>-5874.3</v>
      </c>
      <c r="Y970" s="87" t="s">
        <v>3685</v>
      </c>
      <c r="Z970" s="87" t="s">
        <v>50</v>
      </c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261" t="s">
        <v>3687</v>
      </c>
    </row>
    <row r="971" spans="1:43">
      <c r="A971" s="6">
        <v>968</v>
      </c>
      <c r="B971" s="21" t="s">
        <v>3685</v>
      </c>
      <c r="C971" s="5" t="s">
        <v>4023</v>
      </c>
      <c r="D971" s="5" t="s">
        <v>605</v>
      </c>
      <c r="E971" s="5" t="s">
        <v>605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11" t="s">
        <v>46</v>
      </c>
      <c r="Q971" s="5" t="s">
        <v>46</v>
      </c>
      <c r="R971" s="5" t="str">
        <f t="shared" si="16"/>
        <v/>
      </c>
      <c r="S971" s="5" t="s">
        <v>46</v>
      </c>
      <c r="T971" s="6">
        <v>968</v>
      </c>
      <c r="U971" s="261" t="s">
        <v>3687</v>
      </c>
      <c r="V971" s="232" t="s">
        <v>4023</v>
      </c>
      <c r="W971" s="232">
        <v>6879.6</v>
      </c>
      <c r="X971" s="232">
        <v>-5860.8</v>
      </c>
      <c r="Y971" s="87" t="s">
        <v>3685</v>
      </c>
      <c r="Z971" s="87" t="s">
        <v>50</v>
      </c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261" t="s">
        <v>3687</v>
      </c>
    </row>
    <row r="972" spans="1:43">
      <c r="A972" s="6">
        <v>969</v>
      </c>
      <c r="B972" s="21" t="s">
        <v>3685</v>
      </c>
      <c r="C972" s="5" t="s">
        <v>4024</v>
      </c>
      <c r="D972" s="5" t="s">
        <v>605</v>
      </c>
      <c r="E972" s="5" t="s">
        <v>605</v>
      </c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11" t="s">
        <v>46</v>
      </c>
      <c r="Q972" s="5" t="s">
        <v>46</v>
      </c>
      <c r="R972" s="5" t="str">
        <f t="shared" si="16"/>
        <v/>
      </c>
      <c r="S972" s="5" t="s">
        <v>46</v>
      </c>
      <c r="T972" s="6">
        <v>969</v>
      </c>
      <c r="U972" s="261" t="s">
        <v>3687</v>
      </c>
      <c r="V972" s="232" t="s">
        <v>4024</v>
      </c>
      <c r="W972" s="232">
        <v>6004.1</v>
      </c>
      <c r="X972" s="232">
        <v>-5773.8</v>
      </c>
      <c r="Y972" s="87" t="s">
        <v>3685</v>
      </c>
      <c r="Z972" s="87" t="s">
        <v>50</v>
      </c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261" t="s">
        <v>3687</v>
      </c>
    </row>
    <row r="973" spans="1:43">
      <c r="A973" s="6">
        <v>970</v>
      </c>
      <c r="B973" s="21" t="s">
        <v>3685</v>
      </c>
      <c r="C973" s="5" t="s">
        <v>4025</v>
      </c>
      <c r="D973" s="5" t="s">
        <v>605</v>
      </c>
      <c r="E973" s="5" t="s">
        <v>605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11" t="s">
        <v>46</v>
      </c>
      <c r="Q973" s="5" t="s">
        <v>46</v>
      </c>
      <c r="R973" s="5" t="str">
        <f t="shared" si="16"/>
        <v/>
      </c>
      <c r="S973" s="5" t="s">
        <v>46</v>
      </c>
      <c r="T973" s="6">
        <v>970</v>
      </c>
      <c r="U973" s="261" t="s">
        <v>3687</v>
      </c>
      <c r="V973" s="232" t="s">
        <v>4025</v>
      </c>
      <c r="W973" s="232">
        <v>3275.1</v>
      </c>
      <c r="X973" s="232">
        <v>-5573.8</v>
      </c>
      <c r="Y973" s="87" t="s">
        <v>3685</v>
      </c>
      <c r="Z973" s="87" t="s">
        <v>50</v>
      </c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261" t="s">
        <v>3687</v>
      </c>
    </row>
    <row r="974" spans="1:43">
      <c r="A974" s="6">
        <v>971</v>
      </c>
      <c r="B974" s="21" t="s">
        <v>3685</v>
      </c>
      <c r="C974" s="5" t="s">
        <v>4026</v>
      </c>
      <c r="D974" s="5" t="s">
        <v>605</v>
      </c>
      <c r="E974" s="5" t="s">
        <v>605</v>
      </c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11" t="s">
        <v>46</v>
      </c>
      <c r="Q974" s="5" t="s">
        <v>46</v>
      </c>
      <c r="R974" s="5" t="str">
        <f t="shared" si="16"/>
        <v/>
      </c>
      <c r="S974" s="5" t="s">
        <v>46</v>
      </c>
      <c r="T974" s="6">
        <v>971</v>
      </c>
      <c r="U974" s="261" t="s">
        <v>3687</v>
      </c>
      <c r="V974" s="232" t="s">
        <v>4026</v>
      </c>
      <c r="W974" s="232">
        <v>546.1</v>
      </c>
      <c r="X974" s="232">
        <v>-5573.8</v>
      </c>
      <c r="Y974" s="87" t="s">
        <v>3685</v>
      </c>
      <c r="Z974" s="87" t="s">
        <v>50</v>
      </c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261" t="s">
        <v>3687</v>
      </c>
    </row>
    <row r="975" spans="1:43">
      <c r="A975" s="6">
        <v>972</v>
      </c>
      <c r="B975" s="21" t="s">
        <v>3685</v>
      </c>
      <c r="C975" s="5" t="s">
        <v>4027</v>
      </c>
      <c r="D975" s="5" t="s">
        <v>605</v>
      </c>
      <c r="E975" s="5" t="s">
        <v>605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11" t="s">
        <v>46</v>
      </c>
      <c r="Q975" s="5" t="s">
        <v>46</v>
      </c>
      <c r="R975" s="5" t="str">
        <f t="shared" si="16"/>
        <v/>
      </c>
      <c r="S975" s="5" t="s">
        <v>46</v>
      </c>
      <c r="T975" s="6">
        <v>972</v>
      </c>
      <c r="U975" s="261" t="s">
        <v>3687</v>
      </c>
      <c r="V975" s="232" t="s">
        <v>4027</v>
      </c>
      <c r="W975" s="232">
        <v>-2182.9</v>
      </c>
      <c r="X975" s="232">
        <v>-5573.8</v>
      </c>
      <c r="Y975" s="87" t="s">
        <v>3685</v>
      </c>
      <c r="Z975" s="87" t="s">
        <v>50</v>
      </c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261" t="s">
        <v>3687</v>
      </c>
    </row>
    <row r="976" spans="1:43">
      <c r="A976" s="6">
        <v>973</v>
      </c>
      <c r="B976" s="21" t="s">
        <v>3685</v>
      </c>
      <c r="C976" s="5" t="s">
        <v>4028</v>
      </c>
      <c r="D976" s="5" t="s">
        <v>605</v>
      </c>
      <c r="E976" s="5" t="s">
        <v>605</v>
      </c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11" t="s">
        <v>46</v>
      </c>
      <c r="Q976" s="5" t="s">
        <v>46</v>
      </c>
      <c r="R976" s="5" t="str">
        <f t="shared" si="16"/>
        <v/>
      </c>
      <c r="S976" s="5" t="s">
        <v>46</v>
      </c>
      <c r="T976" s="6">
        <v>973</v>
      </c>
      <c r="U976" s="261" t="s">
        <v>3687</v>
      </c>
      <c r="V976" s="232" t="s">
        <v>4028</v>
      </c>
      <c r="W976" s="232">
        <v>-4911.8999999999996</v>
      </c>
      <c r="X976" s="232">
        <v>-5573.8</v>
      </c>
      <c r="Y976" s="87" t="s">
        <v>3685</v>
      </c>
      <c r="Z976" s="87" t="s">
        <v>50</v>
      </c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261" t="s">
        <v>3687</v>
      </c>
    </row>
    <row r="977" spans="1:43">
      <c r="A977" s="6">
        <v>974</v>
      </c>
      <c r="B977" s="21" t="s">
        <v>3685</v>
      </c>
      <c r="C977" s="5" t="s">
        <v>4029</v>
      </c>
      <c r="D977" s="5" t="s">
        <v>605</v>
      </c>
      <c r="E977" s="5" t="s">
        <v>605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11" t="s">
        <v>46</v>
      </c>
      <c r="Q977" s="5" t="s">
        <v>46</v>
      </c>
      <c r="R977" s="5" t="str">
        <f t="shared" si="16"/>
        <v/>
      </c>
      <c r="S977" s="5" t="s">
        <v>46</v>
      </c>
      <c r="T977" s="6">
        <v>974</v>
      </c>
      <c r="U977" s="261" t="s">
        <v>3687</v>
      </c>
      <c r="V977" s="232" t="s">
        <v>4029</v>
      </c>
      <c r="W977" s="232">
        <v>-6063.6</v>
      </c>
      <c r="X977" s="232">
        <v>-5811.9</v>
      </c>
      <c r="Y977" s="87" t="s">
        <v>3685</v>
      </c>
      <c r="Z977" s="87" t="s">
        <v>50</v>
      </c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261" t="s">
        <v>3687</v>
      </c>
    </row>
    <row r="978" spans="1:43">
      <c r="A978" s="6">
        <v>975</v>
      </c>
      <c r="B978" s="21" t="s">
        <v>3685</v>
      </c>
      <c r="C978" s="5" t="s">
        <v>4030</v>
      </c>
      <c r="D978" s="5" t="s">
        <v>605</v>
      </c>
      <c r="E978" s="5" t="s">
        <v>605</v>
      </c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11" t="s">
        <v>46</v>
      </c>
      <c r="Q978" s="5" t="s">
        <v>46</v>
      </c>
      <c r="R978" s="5" t="str">
        <f t="shared" si="16"/>
        <v/>
      </c>
      <c r="S978" s="5" t="s">
        <v>46</v>
      </c>
      <c r="T978" s="6">
        <v>975</v>
      </c>
      <c r="U978" s="261" t="s">
        <v>3687</v>
      </c>
      <c r="V978" s="232" t="s">
        <v>4030</v>
      </c>
      <c r="W978" s="232">
        <v>-6716.1</v>
      </c>
      <c r="X978" s="232">
        <v>-5765.7</v>
      </c>
      <c r="Y978" s="87" t="s">
        <v>3685</v>
      </c>
      <c r="Z978" s="87" t="s">
        <v>50</v>
      </c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261" t="s">
        <v>3687</v>
      </c>
    </row>
    <row r="979" spans="1:43">
      <c r="A979" s="6">
        <v>976</v>
      </c>
      <c r="B979" s="21" t="s">
        <v>3685</v>
      </c>
      <c r="C979" s="5" t="s">
        <v>4031</v>
      </c>
      <c r="D979" s="5" t="s">
        <v>605</v>
      </c>
      <c r="E979" s="5" t="s">
        <v>605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11" t="s">
        <v>46</v>
      </c>
      <c r="Q979" s="5" t="s">
        <v>46</v>
      </c>
      <c r="R979" s="5" t="str">
        <f t="shared" si="16"/>
        <v/>
      </c>
      <c r="S979" s="5" t="s">
        <v>46</v>
      </c>
      <c r="T979" s="6">
        <v>976</v>
      </c>
      <c r="U979" s="261" t="s">
        <v>3687</v>
      </c>
      <c r="V979" s="232" t="s">
        <v>4031</v>
      </c>
      <c r="W979" s="232">
        <v>-7847.4</v>
      </c>
      <c r="X979" s="232">
        <v>-5811.6</v>
      </c>
      <c r="Y979" s="87" t="s">
        <v>3685</v>
      </c>
      <c r="Z979" s="87" t="s">
        <v>50</v>
      </c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261" t="s">
        <v>3687</v>
      </c>
    </row>
    <row r="980" spans="1:43">
      <c r="A980" s="6">
        <v>977</v>
      </c>
      <c r="B980" s="21" t="s">
        <v>3685</v>
      </c>
      <c r="C980" s="5" t="s">
        <v>4032</v>
      </c>
      <c r="D980" s="5" t="s">
        <v>605</v>
      </c>
      <c r="E980" s="5" t="s">
        <v>605</v>
      </c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11" t="s">
        <v>46</v>
      </c>
      <c r="Q980" s="5" t="s">
        <v>46</v>
      </c>
      <c r="R980" s="5" t="str">
        <f t="shared" si="16"/>
        <v/>
      </c>
      <c r="S980" s="5" t="s">
        <v>46</v>
      </c>
      <c r="T980" s="6">
        <v>977</v>
      </c>
      <c r="U980" s="261" t="s">
        <v>3687</v>
      </c>
      <c r="V980" s="232" t="s">
        <v>4032</v>
      </c>
      <c r="W980" s="232">
        <v>7674.8</v>
      </c>
      <c r="X980" s="232">
        <v>-5316.6</v>
      </c>
      <c r="Y980" s="87" t="s">
        <v>3685</v>
      </c>
      <c r="Z980" s="87" t="s">
        <v>50</v>
      </c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261" t="s">
        <v>3687</v>
      </c>
    </row>
    <row r="981" spans="1:43">
      <c r="A981" s="6">
        <v>978</v>
      </c>
      <c r="B981" s="21" t="s">
        <v>3685</v>
      </c>
      <c r="C981" s="5" t="s">
        <v>4033</v>
      </c>
      <c r="D981" s="5" t="s">
        <v>605</v>
      </c>
      <c r="E981" s="5" t="s">
        <v>605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11" t="s">
        <v>46</v>
      </c>
      <c r="Q981" s="5" t="s">
        <v>46</v>
      </c>
      <c r="R981" s="5" t="str">
        <f t="shared" si="16"/>
        <v/>
      </c>
      <c r="S981" s="5" t="s">
        <v>46</v>
      </c>
      <c r="T981" s="6">
        <v>978</v>
      </c>
      <c r="U981" s="261" t="s">
        <v>3687</v>
      </c>
      <c r="V981" s="232" t="s">
        <v>4033</v>
      </c>
      <c r="W981" s="232">
        <v>5327.1</v>
      </c>
      <c r="X981" s="232">
        <v>-5035.5</v>
      </c>
      <c r="Y981" s="87" t="s">
        <v>3685</v>
      </c>
      <c r="Z981" s="87" t="s">
        <v>50</v>
      </c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261" t="s">
        <v>3687</v>
      </c>
    </row>
    <row r="982" spans="1:43">
      <c r="A982" s="6">
        <v>979</v>
      </c>
      <c r="B982" s="21" t="s">
        <v>3685</v>
      </c>
      <c r="C982" s="5" t="s">
        <v>4034</v>
      </c>
      <c r="D982" s="5" t="s">
        <v>605</v>
      </c>
      <c r="E982" s="5" t="s">
        <v>605</v>
      </c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11" t="s">
        <v>46</v>
      </c>
      <c r="Q982" s="5" t="s">
        <v>46</v>
      </c>
      <c r="R982" s="5" t="str">
        <f t="shared" si="16"/>
        <v/>
      </c>
      <c r="S982" s="5" t="s">
        <v>46</v>
      </c>
      <c r="T982" s="6">
        <v>979</v>
      </c>
      <c r="U982" s="261" t="s">
        <v>3687</v>
      </c>
      <c r="V982" s="232" t="s">
        <v>4034</v>
      </c>
      <c r="W982" s="232">
        <v>-6227</v>
      </c>
      <c r="X982" s="232">
        <v>-5316.6</v>
      </c>
      <c r="Y982" s="87" t="s">
        <v>3685</v>
      </c>
      <c r="Z982" s="87" t="s">
        <v>50</v>
      </c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261" t="s">
        <v>3687</v>
      </c>
    </row>
    <row r="983" spans="1:43">
      <c r="A983" s="6">
        <v>980</v>
      </c>
      <c r="B983" s="21" t="s">
        <v>3685</v>
      </c>
      <c r="C983" s="5" t="s">
        <v>4035</v>
      </c>
      <c r="D983" s="5" t="s">
        <v>605</v>
      </c>
      <c r="E983" s="5" t="s">
        <v>605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11" t="s">
        <v>46</v>
      </c>
      <c r="Q983" s="5" t="s">
        <v>46</v>
      </c>
      <c r="R983" s="5" t="str">
        <f t="shared" si="16"/>
        <v/>
      </c>
      <c r="S983" s="5" t="s">
        <v>46</v>
      </c>
      <c r="T983" s="6">
        <v>980</v>
      </c>
      <c r="U983" s="261" t="s">
        <v>3687</v>
      </c>
      <c r="V983" s="232" t="s">
        <v>4035</v>
      </c>
      <c r="W983" s="232">
        <v>-6950.9</v>
      </c>
      <c r="X983" s="232">
        <v>-5316.6</v>
      </c>
      <c r="Y983" s="87" t="s">
        <v>3685</v>
      </c>
      <c r="Z983" s="87" t="s">
        <v>50</v>
      </c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261" t="s">
        <v>3687</v>
      </c>
    </row>
    <row r="984" spans="1:43">
      <c r="A984" s="6">
        <v>981</v>
      </c>
      <c r="B984" s="21" t="s">
        <v>3685</v>
      </c>
      <c r="C984" s="5" t="s">
        <v>4036</v>
      </c>
      <c r="D984" s="5" t="s">
        <v>605</v>
      </c>
      <c r="E984" s="5" t="s">
        <v>605</v>
      </c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11" t="s">
        <v>46</v>
      </c>
      <c r="Q984" s="5" t="s">
        <v>46</v>
      </c>
      <c r="R984" s="5" t="str">
        <f t="shared" si="16"/>
        <v/>
      </c>
      <c r="S984" s="5" t="s">
        <v>46</v>
      </c>
      <c r="T984" s="6">
        <v>981</v>
      </c>
      <c r="U984" s="261" t="s">
        <v>3687</v>
      </c>
      <c r="V984" s="232" t="s">
        <v>4036</v>
      </c>
      <c r="W984" s="232">
        <v>-7674.8</v>
      </c>
      <c r="X984" s="232">
        <v>-5316.6</v>
      </c>
      <c r="Y984" s="87" t="s">
        <v>3685</v>
      </c>
      <c r="Z984" s="87" t="s">
        <v>50</v>
      </c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261" t="s">
        <v>3687</v>
      </c>
    </row>
    <row r="985" spans="1:43">
      <c r="A985" s="6">
        <v>982</v>
      </c>
      <c r="B985" s="21" t="s">
        <v>3685</v>
      </c>
      <c r="C985" s="5" t="s">
        <v>4037</v>
      </c>
      <c r="D985" s="5" t="s">
        <v>605</v>
      </c>
      <c r="E985" s="5" t="s">
        <v>605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11" t="s">
        <v>46</v>
      </c>
      <c r="Q985" s="5" t="s">
        <v>46</v>
      </c>
      <c r="R985" s="5" t="str">
        <f t="shared" si="16"/>
        <v/>
      </c>
      <c r="S985" s="5" t="s">
        <v>46</v>
      </c>
      <c r="T985" s="6">
        <v>982</v>
      </c>
      <c r="U985" s="261" t="s">
        <v>3687</v>
      </c>
      <c r="V985" s="232" t="s">
        <v>4037</v>
      </c>
      <c r="W985" s="232">
        <v>9665.7000000000007</v>
      </c>
      <c r="X985" s="232">
        <v>-5133.3</v>
      </c>
      <c r="Y985" s="87" t="s">
        <v>3685</v>
      </c>
      <c r="Z985" s="87" t="s">
        <v>50</v>
      </c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261" t="s">
        <v>3687</v>
      </c>
    </row>
    <row r="986" spans="1:43">
      <c r="A986" s="6">
        <v>983</v>
      </c>
      <c r="B986" s="21" t="s">
        <v>3685</v>
      </c>
      <c r="C986" s="5" t="s">
        <v>4038</v>
      </c>
      <c r="D986" s="5" t="s">
        <v>605</v>
      </c>
      <c r="E986" s="5" t="s">
        <v>605</v>
      </c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11" t="s">
        <v>46</v>
      </c>
      <c r="Q986" s="5" t="s">
        <v>46</v>
      </c>
      <c r="R986" s="5" t="str">
        <f t="shared" si="16"/>
        <v/>
      </c>
      <c r="S986" s="5" t="s">
        <v>46</v>
      </c>
      <c r="T986" s="6">
        <v>983</v>
      </c>
      <c r="U986" s="261" t="s">
        <v>3687</v>
      </c>
      <c r="V986" s="232" t="s">
        <v>4038</v>
      </c>
      <c r="W986" s="232">
        <v>-8272.2999999999993</v>
      </c>
      <c r="X986" s="232">
        <v>-4897.1000000000004</v>
      </c>
      <c r="Y986" s="87" t="s">
        <v>3685</v>
      </c>
      <c r="Z986" s="87" t="s">
        <v>50</v>
      </c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261" t="s">
        <v>3687</v>
      </c>
    </row>
    <row r="987" spans="1:43">
      <c r="A987" s="6">
        <v>984</v>
      </c>
      <c r="B987" s="21" t="s">
        <v>3685</v>
      </c>
      <c r="C987" s="5" t="s">
        <v>4039</v>
      </c>
      <c r="D987" s="5" t="s">
        <v>605</v>
      </c>
      <c r="E987" s="5" t="s">
        <v>605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11" t="s">
        <v>46</v>
      </c>
      <c r="Q987" s="5" t="s">
        <v>46</v>
      </c>
      <c r="R987" s="5" t="str">
        <f t="shared" si="16"/>
        <v/>
      </c>
      <c r="S987" s="5" t="s">
        <v>46</v>
      </c>
      <c r="T987" s="6">
        <v>984</v>
      </c>
      <c r="U987" s="261" t="s">
        <v>3687</v>
      </c>
      <c r="V987" s="232" t="s">
        <v>4039</v>
      </c>
      <c r="W987" s="232">
        <v>11659.6</v>
      </c>
      <c r="X987" s="232">
        <v>-4973.3</v>
      </c>
      <c r="Y987" s="87" t="s">
        <v>3685</v>
      </c>
      <c r="Z987" s="87" t="s">
        <v>50</v>
      </c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261" t="s">
        <v>3687</v>
      </c>
    </row>
    <row r="988" spans="1:43">
      <c r="A988" s="6">
        <v>985</v>
      </c>
      <c r="B988" s="21" t="s">
        <v>3685</v>
      </c>
      <c r="C988" s="5" t="s">
        <v>4040</v>
      </c>
      <c r="D988" s="5" t="s">
        <v>605</v>
      </c>
      <c r="E988" s="5" t="s">
        <v>605</v>
      </c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11" t="s">
        <v>46</v>
      </c>
      <c r="Q988" s="5" t="s">
        <v>46</v>
      </c>
      <c r="R988" s="5" t="str">
        <f t="shared" si="16"/>
        <v/>
      </c>
      <c r="S988" s="5" t="s">
        <v>46</v>
      </c>
      <c r="T988" s="6">
        <v>985</v>
      </c>
      <c r="U988" s="261" t="s">
        <v>3687</v>
      </c>
      <c r="V988" s="232" t="s">
        <v>4040</v>
      </c>
      <c r="W988" s="232">
        <v>-11659.6</v>
      </c>
      <c r="X988" s="232">
        <v>-4973.3</v>
      </c>
      <c r="Y988" s="87" t="s">
        <v>3685</v>
      </c>
      <c r="Z988" s="87" t="s">
        <v>50</v>
      </c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261" t="s">
        <v>3687</v>
      </c>
    </row>
    <row r="989" spans="1:43">
      <c r="A989" s="6">
        <v>986</v>
      </c>
      <c r="B989" s="21" t="s">
        <v>3685</v>
      </c>
      <c r="C989" s="5" t="s">
        <v>4041</v>
      </c>
      <c r="D989" s="5" t="s">
        <v>605</v>
      </c>
      <c r="E989" s="5" t="s">
        <v>605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11" t="s">
        <v>46</v>
      </c>
      <c r="Q989" s="5" t="s">
        <v>46</v>
      </c>
      <c r="R989" s="5" t="str">
        <f t="shared" si="16"/>
        <v/>
      </c>
      <c r="S989" s="5" t="s">
        <v>46</v>
      </c>
      <c r="T989" s="6">
        <v>986</v>
      </c>
      <c r="U989" s="261" t="s">
        <v>3687</v>
      </c>
      <c r="V989" s="232" t="s">
        <v>4041</v>
      </c>
      <c r="W989" s="232">
        <v>4632.3999999999996</v>
      </c>
      <c r="X989" s="232">
        <v>-4151.3999999999996</v>
      </c>
      <c r="Y989" s="87" t="s">
        <v>3685</v>
      </c>
      <c r="Z989" s="87" t="s">
        <v>50</v>
      </c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261" t="s">
        <v>3687</v>
      </c>
    </row>
    <row r="990" spans="1:43">
      <c r="A990" s="6">
        <v>987</v>
      </c>
      <c r="B990" s="21" t="s">
        <v>3685</v>
      </c>
      <c r="C990" s="5" t="s">
        <v>4042</v>
      </c>
      <c r="D990" s="5" t="s">
        <v>605</v>
      </c>
      <c r="E990" s="5" t="s">
        <v>605</v>
      </c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11" t="s">
        <v>46</v>
      </c>
      <c r="Q990" s="5" t="s">
        <v>46</v>
      </c>
      <c r="R990" s="5" t="str">
        <f t="shared" si="16"/>
        <v/>
      </c>
      <c r="S990" s="5" t="s">
        <v>46</v>
      </c>
      <c r="T990" s="6">
        <v>987</v>
      </c>
      <c r="U990" s="261" t="s">
        <v>3687</v>
      </c>
      <c r="V990" s="232" t="s">
        <v>4042</v>
      </c>
      <c r="W990" s="232">
        <v>12915.4</v>
      </c>
      <c r="X990" s="232">
        <v>-4068.1</v>
      </c>
      <c r="Y990" s="87" t="s">
        <v>3685</v>
      </c>
      <c r="Z990" s="87" t="s">
        <v>50</v>
      </c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261" t="s">
        <v>3687</v>
      </c>
    </row>
    <row r="991" spans="1:43">
      <c r="A991" s="6">
        <v>988</v>
      </c>
      <c r="B991" s="21" t="s">
        <v>3685</v>
      </c>
      <c r="C991" s="5" t="s">
        <v>4043</v>
      </c>
      <c r="D991" s="5" t="s">
        <v>605</v>
      </c>
      <c r="E991" s="5" t="s">
        <v>605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11" t="s">
        <v>46</v>
      </c>
      <c r="Q991" s="5" t="s">
        <v>46</v>
      </c>
      <c r="R991" s="5" t="str">
        <f t="shared" si="16"/>
        <v/>
      </c>
      <c r="S991" s="5" t="s">
        <v>46</v>
      </c>
      <c r="T991" s="6">
        <v>988</v>
      </c>
      <c r="U991" s="261" t="s">
        <v>3687</v>
      </c>
      <c r="V991" s="232" t="s">
        <v>4043</v>
      </c>
      <c r="W991" s="232">
        <v>1903.4</v>
      </c>
      <c r="X991" s="232">
        <v>-4151.3999999999996</v>
      </c>
      <c r="Y991" s="87" t="s">
        <v>3685</v>
      </c>
      <c r="Z991" s="87" t="s">
        <v>50</v>
      </c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261" t="s">
        <v>3687</v>
      </c>
    </row>
    <row r="992" spans="1:43">
      <c r="A992" s="6">
        <v>989</v>
      </c>
      <c r="B992" s="21" t="s">
        <v>3685</v>
      </c>
      <c r="C992" s="5" t="s">
        <v>4044</v>
      </c>
      <c r="D992" s="5" t="s">
        <v>605</v>
      </c>
      <c r="E992" s="5" t="s">
        <v>605</v>
      </c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11" t="s">
        <v>46</v>
      </c>
      <c r="Q992" s="5" t="s">
        <v>46</v>
      </c>
      <c r="R992" s="5" t="str">
        <f t="shared" si="16"/>
        <v/>
      </c>
      <c r="S992" s="5" t="s">
        <v>46</v>
      </c>
      <c r="T992" s="6">
        <v>989</v>
      </c>
      <c r="U992" s="261" t="s">
        <v>3687</v>
      </c>
      <c r="V992" s="232" t="s">
        <v>4044</v>
      </c>
      <c r="W992" s="232">
        <v>-825.6</v>
      </c>
      <c r="X992" s="232">
        <v>-4151.3999999999996</v>
      </c>
      <c r="Y992" s="87" t="s">
        <v>3685</v>
      </c>
      <c r="Z992" s="87" t="s">
        <v>50</v>
      </c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261" t="s">
        <v>3687</v>
      </c>
    </row>
    <row r="993" spans="1:43">
      <c r="A993" s="6">
        <v>990</v>
      </c>
      <c r="B993" s="21" t="s">
        <v>3685</v>
      </c>
      <c r="C993" s="5" t="s">
        <v>4045</v>
      </c>
      <c r="D993" s="5" t="s">
        <v>605</v>
      </c>
      <c r="E993" s="5" t="s">
        <v>605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11" t="s">
        <v>46</v>
      </c>
      <c r="Q993" s="5" t="s">
        <v>46</v>
      </c>
      <c r="R993" s="5" t="str">
        <f t="shared" si="16"/>
        <v/>
      </c>
      <c r="S993" s="5" t="s">
        <v>46</v>
      </c>
      <c r="T993" s="6">
        <v>990</v>
      </c>
      <c r="U993" s="261" t="s">
        <v>3687</v>
      </c>
      <c r="V993" s="232" t="s">
        <v>4045</v>
      </c>
      <c r="W993" s="232">
        <v>-3554.6</v>
      </c>
      <c r="X993" s="232">
        <v>-4151.3999999999996</v>
      </c>
      <c r="Y993" s="87" t="s">
        <v>3685</v>
      </c>
      <c r="Z993" s="87" t="s">
        <v>50</v>
      </c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261" t="s">
        <v>3687</v>
      </c>
    </row>
    <row r="994" spans="1:43">
      <c r="A994" s="6">
        <v>991</v>
      </c>
      <c r="B994" s="21" t="s">
        <v>3685</v>
      </c>
      <c r="C994" s="5" t="s">
        <v>4046</v>
      </c>
      <c r="D994" s="5" t="s">
        <v>605</v>
      </c>
      <c r="E994" s="5" t="s">
        <v>605</v>
      </c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11" t="s">
        <v>46</v>
      </c>
      <c r="Q994" s="5" t="s">
        <v>46</v>
      </c>
      <c r="R994" s="5" t="str">
        <f t="shared" si="16"/>
        <v/>
      </c>
      <c r="S994" s="5" t="s">
        <v>46</v>
      </c>
      <c r="T994" s="6">
        <v>991</v>
      </c>
      <c r="U994" s="261" t="s">
        <v>3687</v>
      </c>
      <c r="V994" s="232" t="s">
        <v>4046</v>
      </c>
      <c r="W994" s="232">
        <v>-4916.3999999999996</v>
      </c>
      <c r="X994" s="232">
        <v>-4437.8999999999996</v>
      </c>
      <c r="Y994" s="87" t="s">
        <v>3685</v>
      </c>
      <c r="Z994" s="87" t="s">
        <v>50</v>
      </c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261" t="s">
        <v>3687</v>
      </c>
    </row>
    <row r="995" spans="1:43">
      <c r="A995" s="6">
        <v>992</v>
      </c>
      <c r="B995" s="21" t="s">
        <v>3685</v>
      </c>
      <c r="C995" s="5" t="s">
        <v>4047</v>
      </c>
      <c r="D995" s="5" t="s">
        <v>605</v>
      </c>
      <c r="E995" s="5" t="s">
        <v>605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11" t="s">
        <v>46</v>
      </c>
      <c r="Q995" s="5" t="s">
        <v>46</v>
      </c>
      <c r="R995" s="5" t="str">
        <f t="shared" si="16"/>
        <v/>
      </c>
      <c r="S995" s="5" t="s">
        <v>46</v>
      </c>
      <c r="T995" s="6">
        <v>992</v>
      </c>
      <c r="U995" s="261" t="s">
        <v>3687</v>
      </c>
      <c r="V995" s="232" t="s">
        <v>4047</v>
      </c>
      <c r="W995" s="232">
        <v>11697.7</v>
      </c>
      <c r="X995" s="232">
        <v>-4471.3999999999996</v>
      </c>
      <c r="Y995" s="87" t="s">
        <v>3685</v>
      </c>
      <c r="Z995" s="87" t="s">
        <v>50</v>
      </c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261" t="s">
        <v>3687</v>
      </c>
    </row>
    <row r="996" spans="1:43">
      <c r="A996" s="6">
        <v>993</v>
      </c>
      <c r="B996" s="21" t="s">
        <v>3685</v>
      </c>
      <c r="C996" s="5" t="s">
        <v>4048</v>
      </c>
      <c r="D996" s="5" t="s">
        <v>605</v>
      </c>
      <c r="E996" s="5" t="s">
        <v>605</v>
      </c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11" t="s">
        <v>46</v>
      </c>
      <c r="Q996" s="5" t="s">
        <v>46</v>
      </c>
      <c r="R996" s="5" t="str">
        <f t="shared" si="16"/>
        <v/>
      </c>
      <c r="S996" s="5" t="s">
        <v>46</v>
      </c>
      <c r="T996" s="6">
        <v>993</v>
      </c>
      <c r="U996" s="261" t="s">
        <v>3687</v>
      </c>
      <c r="V996" s="232" t="s">
        <v>4048</v>
      </c>
      <c r="W996" s="232">
        <v>-5503.1</v>
      </c>
      <c r="X996" s="232">
        <v>-4325.8999999999996</v>
      </c>
      <c r="Y996" s="87" t="s">
        <v>3685</v>
      </c>
      <c r="Z996" s="87" t="s">
        <v>50</v>
      </c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261" t="s">
        <v>3687</v>
      </c>
    </row>
    <row r="997" spans="1:43">
      <c r="A997" s="6">
        <v>994</v>
      </c>
      <c r="B997" s="21" t="s">
        <v>3685</v>
      </c>
      <c r="C997" s="5" t="s">
        <v>4049</v>
      </c>
      <c r="D997" s="5" t="s">
        <v>605</v>
      </c>
      <c r="E997" s="5" t="s">
        <v>605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11" t="s">
        <v>46</v>
      </c>
      <c r="Q997" s="5" t="s">
        <v>46</v>
      </c>
      <c r="R997" s="5" t="str">
        <f t="shared" si="16"/>
        <v/>
      </c>
      <c r="S997" s="5" t="s">
        <v>46</v>
      </c>
      <c r="T997" s="6">
        <v>994</v>
      </c>
      <c r="U997" s="261" t="s">
        <v>3687</v>
      </c>
      <c r="V997" s="232" t="s">
        <v>4049</v>
      </c>
      <c r="W997" s="232">
        <v>-6227</v>
      </c>
      <c r="X997" s="232">
        <v>-4325.8999999999996</v>
      </c>
      <c r="Y997" s="87" t="s">
        <v>3685</v>
      </c>
      <c r="Z997" s="87" t="s">
        <v>50</v>
      </c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261" t="s">
        <v>3687</v>
      </c>
    </row>
    <row r="998" spans="1:43">
      <c r="A998" s="6">
        <v>995</v>
      </c>
      <c r="B998" s="21" t="s">
        <v>3685</v>
      </c>
      <c r="C998" s="5" t="s">
        <v>4050</v>
      </c>
      <c r="D998" s="5" t="s">
        <v>605</v>
      </c>
      <c r="E998" s="5" t="s">
        <v>605</v>
      </c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11" t="s">
        <v>46</v>
      </c>
      <c r="Q998" s="5" t="s">
        <v>46</v>
      </c>
      <c r="R998" s="5" t="str">
        <f t="shared" si="16"/>
        <v/>
      </c>
      <c r="S998" s="5" t="s">
        <v>46</v>
      </c>
      <c r="T998" s="6">
        <v>995</v>
      </c>
      <c r="U998" s="261" t="s">
        <v>3687</v>
      </c>
      <c r="V998" s="232" t="s">
        <v>4050</v>
      </c>
      <c r="W998" s="232">
        <v>10945.9</v>
      </c>
      <c r="X998" s="232">
        <v>-4224</v>
      </c>
      <c r="Y998" s="87" t="s">
        <v>3685</v>
      </c>
      <c r="Z998" s="87" t="s">
        <v>50</v>
      </c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261" t="s">
        <v>3687</v>
      </c>
    </row>
    <row r="999" spans="1:43">
      <c r="A999" s="6">
        <v>996</v>
      </c>
      <c r="B999" s="21" t="s">
        <v>3685</v>
      </c>
      <c r="C999" s="5" t="s">
        <v>4051</v>
      </c>
      <c r="D999" s="5" t="s">
        <v>605</v>
      </c>
      <c r="E999" s="5" t="s">
        <v>605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11" t="s">
        <v>46</v>
      </c>
      <c r="Q999" s="5" t="s">
        <v>46</v>
      </c>
      <c r="R999" s="5" t="str">
        <f t="shared" si="16"/>
        <v/>
      </c>
      <c r="S999" s="5" t="s">
        <v>46</v>
      </c>
      <c r="T999" s="6">
        <v>996</v>
      </c>
      <c r="U999" s="261" t="s">
        <v>3687</v>
      </c>
      <c r="V999" s="232" t="s">
        <v>4051</v>
      </c>
      <c r="W999" s="232">
        <v>13439.1</v>
      </c>
      <c r="X999" s="232">
        <v>-3874.8</v>
      </c>
      <c r="Y999" s="87" t="s">
        <v>3685</v>
      </c>
      <c r="Z999" s="87" t="s">
        <v>50</v>
      </c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261" t="s">
        <v>3687</v>
      </c>
    </row>
    <row r="1000" spans="1:43">
      <c r="A1000" s="6">
        <v>997</v>
      </c>
      <c r="B1000" s="21" t="s">
        <v>3685</v>
      </c>
      <c r="C1000" s="5" t="s">
        <v>4052</v>
      </c>
      <c r="D1000" s="5" t="s">
        <v>605</v>
      </c>
      <c r="E1000" s="5" t="s">
        <v>605</v>
      </c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11" t="s">
        <v>46</v>
      </c>
      <c r="Q1000" s="5" t="s">
        <v>46</v>
      </c>
      <c r="R1000" s="5" t="str">
        <f t="shared" si="16"/>
        <v/>
      </c>
      <c r="S1000" s="5" t="s">
        <v>46</v>
      </c>
      <c r="T1000" s="6">
        <v>997</v>
      </c>
      <c r="U1000" s="261" t="s">
        <v>3687</v>
      </c>
      <c r="V1000" s="232" t="s">
        <v>4052</v>
      </c>
      <c r="W1000" s="232">
        <v>5351.4</v>
      </c>
      <c r="X1000" s="232">
        <v>-4029.9</v>
      </c>
      <c r="Y1000" s="87" t="s">
        <v>3685</v>
      </c>
      <c r="Z1000" s="87" t="s">
        <v>50</v>
      </c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261" t="s">
        <v>3687</v>
      </c>
    </row>
    <row r="1001" spans="1:43">
      <c r="A1001" s="6">
        <v>998</v>
      </c>
      <c r="B1001" s="21" t="s">
        <v>3685</v>
      </c>
      <c r="C1001" s="5" t="s">
        <v>4053</v>
      </c>
      <c r="D1001" s="5" t="s">
        <v>605</v>
      </c>
      <c r="E1001" s="5" t="s">
        <v>605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11" t="s">
        <v>46</v>
      </c>
      <c r="Q1001" s="5" t="s">
        <v>46</v>
      </c>
      <c r="R1001" s="5" t="str">
        <f t="shared" si="16"/>
        <v/>
      </c>
      <c r="S1001" s="5" t="s">
        <v>46</v>
      </c>
      <c r="T1001" s="6">
        <v>998</v>
      </c>
      <c r="U1001" s="261" t="s">
        <v>3687</v>
      </c>
      <c r="V1001" s="232" t="s">
        <v>4053</v>
      </c>
      <c r="W1001" s="232">
        <v>4312.5</v>
      </c>
      <c r="X1001" s="232">
        <v>-3612</v>
      </c>
      <c r="Y1001" s="87" t="s">
        <v>3685</v>
      </c>
      <c r="Z1001" s="87" t="s">
        <v>50</v>
      </c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261" t="s">
        <v>3687</v>
      </c>
    </row>
    <row r="1002" spans="1:43">
      <c r="A1002" s="6">
        <v>999</v>
      </c>
      <c r="B1002" s="21" t="s">
        <v>3685</v>
      </c>
      <c r="C1002" s="5" t="s">
        <v>4054</v>
      </c>
      <c r="D1002" s="5" t="s">
        <v>605</v>
      </c>
      <c r="E1002" s="5" t="s">
        <v>605</v>
      </c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11" t="s">
        <v>46</v>
      </c>
      <c r="Q1002" s="5" t="s">
        <v>46</v>
      </c>
      <c r="R1002" s="5" t="str">
        <f t="shared" si="16"/>
        <v/>
      </c>
      <c r="S1002" s="5" t="s">
        <v>46</v>
      </c>
      <c r="T1002" s="6">
        <v>999</v>
      </c>
      <c r="U1002" s="261" t="s">
        <v>3687</v>
      </c>
      <c r="V1002" s="232" t="s">
        <v>4054</v>
      </c>
      <c r="W1002" s="232">
        <v>-4570.8</v>
      </c>
      <c r="X1002" s="232">
        <v>-3860.1</v>
      </c>
      <c r="Y1002" s="87" t="s">
        <v>3685</v>
      </c>
      <c r="Z1002" s="87" t="s">
        <v>50</v>
      </c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261" t="s">
        <v>3687</v>
      </c>
    </row>
    <row r="1003" spans="1:43">
      <c r="A1003" s="6">
        <v>1000</v>
      </c>
      <c r="B1003" s="21" t="s">
        <v>3685</v>
      </c>
      <c r="C1003" s="5" t="s">
        <v>4055</v>
      </c>
      <c r="D1003" s="5" t="s">
        <v>605</v>
      </c>
      <c r="E1003" s="5" t="s">
        <v>605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11" t="s">
        <v>46</v>
      </c>
      <c r="Q1003" s="5" t="s">
        <v>46</v>
      </c>
      <c r="R1003" s="5" t="str">
        <f t="shared" si="16"/>
        <v/>
      </c>
      <c r="S1003" s="5" t="s">
        <v>46</v>
      </c>
      <c r="T1003" s="6">
        <v>1000</v>
      </c>
      <c r="U1003" s="261" t="s">
        <v>3687</v>
      </c>
      <c r="V1003" s="232" t="s">
        <v>4055</v>
      </c>
      <c r="W1003" s="232">
        <v>-13439.1</v>
      </c>
      <c r="X1003" s="232">
        <v>-3874.8</v>
      </c>
      <c r="Y1003" s="87" t="s">
        <v>3685</v>
      </c>
      <c r="Z1003" s="87" t="s">
        <v>50</v>
      </c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261" t="s">
        <v>3687</v>
      </c>
    </row>
    <row r="1004" spans="1:43">
      <c r="A1004" s="6">
        <v>1001</v>
      </c>
      <c r="B1004" s="21" t="s">
        <v>3685</v>
      </c>
      <c r="C1004" s="5" t="s">
        <v>4056</v>
      </c>
      <c r="D1004" s="5" t="s">
        <v>605</v>
      </c>
      <c r="E1004" s="5" t="s">
        <v>605</v>
      </c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11" t="s">
        <v>46</v>
      </c>
      <c r="Q1004" s="5" t="s">
        <v>46</v>
      </c>
      <c r="R1004" s="5" t="str">
        <f t="shared" si="16"/>
        <v/>
      </c>
      <c r="S1004" s="5" t="s">
        <v>46</v>
      </c>
      <c r="T1004" s="6">
        <v>1001</v>
      </c>
      <c r="U1004" s="261" t="s">
        <v>3687</v>
      </c>
      <c r="V1004" s="232" t="s">
        <v>4056</v>
      </c>
      <c r="W1004" s="232">
        <v>10316.299999999999</v>
      </c>
      <c r="X1004" s="232">
        <v>-3843</v>
      </c>
      <c r="Y1004" s="87" t="s">
        <v>3685</v>
      </c>
      <c r="Z1004" s="87" t="s">
        <v>50</v>
      </c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261" t="s">
        <v>3687</v>
      </c>
    </row>
    <row r="1005" spans="1:43">
      <c r="A1005" s="6">
        <v>1002</v>
      </c>
      <c r="B1005" s="21" t="s">
        <v>3685</v>
      </c>
      <c r="C1005" s="5" t="s">
        <v>4057</v>
      </c>
      <c r="D1005" s="5" t="s">
        <v>605</v>
      </c>
      <c r="E1005" s="5" t="s">
        <v>605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11" t="s">
        <v>46</v>
      </c>
      <c r="Q1005" s="5" t="s">
        <v>46</v>
      </c>
      <c r="R1005" s="5" t="str">
        <f t="shared" si="16"/>
        <v/>
      </c>
      <c r="S1005" s="5" t="s">
        <v>46</v>
      </c>
      <c r="T1005" s="6">
        <v>1002</v>
      </c>
      <c r="U1005" s="261" t="s">
        <v>3687</v>
      </c>
      <c r="V1005" s="232" t="s">
        <v>4057</v>
      </c>
      <c r="W1005" s="232">
        <v>7674.8</v>
      </c>
      <c r="X1005" s="232">
        <v>-3335.2</v>
      </c>
      <c r="Y1005" s="87" t="s">
        <v>3685</v>
      </c>
      <c r="Z1005" s="87" t="s">
        <v>50</v>
      </c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261" t="s">
        <v>3687</v>
      </c>
    </row>
    <row r="1006" spans="1:43">
      <c r="A1006" s="6">
        <v>1003</v>
      </c>
      <c r="B1006" s="21" t="s">
        <v>3685</v>
      </c>
      <c r="C1006" s="5" t="s">
        <v>4058</v>
      </c>
      <c r="D1006" s="5" t="s">
        <v>605</v>
      </c>
      <c r="E1006" s="5" t="s">
        <v>605</v>
      </c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11" t="s">
        <v>46</v>
      </c>
      <c r="Q1006" s="5" t="s">
        <v>46</v>
      </c>
      <c r="R1006" s="5" t="str">
        <f t="shared" si="16"/>
        <v/>
      </c>
      <c r="S1006" s="5" t="s">
        <v>46</v>
      </c>
      <c r="T1006" s="6">
        <v>1003</v>
      </c>
      <c r="U1006" s="261" t="s">
        <v>3687</v>
      </c>
      <c r="V1006" s="232" t="s">
        <v>4058</v>
      </c>
      <c r="W1006" s="232">
        <v>6950.9</v>
      </c>
      <c r="X1006" s="232">
        <v>-3335.2</v>
      </c>
      <c r="Y1006" s="87" t="s">
        <v>3685</v>
      </c>
      <c r="Z1006" s="87" t="s">
        <v>50</v>
      </c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261" t="s">
        <v>3687</v>
      </c>
    </row>
    <row r="1007" spans="1:43">
      <c r="A1007" s="6">
        <v>1004</v>
      </c>
      <c r="B1007" s="21" t="s">
        <v>3685</v>
      </c>
      <c r="C1007" s="5" t="s">
        <v>4059</v>
      </c>
      <c r="D1007" s="5" t="s">
        <v>605</v>
      </c>
      <c r="E1007" s="5" t="s">
        <v>605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11" t="s">
        <v>46</v>
      </c>
      <c r="Q1007" s="5" t="s">
        <v>46</v>
      </c>
      <c r="R1007" s="5" t="str">
        <f t="shared" si="16"/>
        <v/>
      </c>
      <c r="S1007" s="5" t="s">
        <v>46</v>
      </c>
      <c r="T1007" s="6">
        <v>1004</v>
      </c>
      <c r="U1007" s="261" t="s">
        <v>3687</v>
      </c>
      <c r="V1007" s="232" t="s">
        <v>4059</v>
      </c>
      <c r="W1007" s="232">
        <v>6227</v>
      </c>
      <c r="X1007" s="232">
        <v>-3335.2</v>
      </c>
      <c r="Y1007" s="87" t="s">
        <v>3685</v>
      </c>
      <c r="Z1007" s="87" t="s">
        <v>50</v>
      </c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261" t="s">
        <v>3687</v>
      </c>
    </row>
    <row r="1008" spans="1:43">
      <c r="A1008" s="6">
        <v>1005</v>
      </c>
      <c r="B1008" s="21" t="s">
        <v>3685</v>
      </c>
      <c r="C1008" s="5" t="s">
        <v>4060</v>
      </c>
      <c r="D1008" s="5" t="s">
        <v>605</v>
      </c>
      <c r="E1008" s="5" t="s">
        <v>605</v>
      </c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11" t="s">
        <v>46</v>
      </c>
      <c r="Q1008" s="5" t="s">
        <v>46</v>
      </c>
      <c r="R1008" s="5" t="str">
        <f t="shared" si="16"/>
        <v/>
      </c>
      <c r="S1008" s="5" t="s">
        <v>46</v>
      </c>
      <c r="T1008" s="6">
        <v>1005</v>
      </c>
      <c r="U1008" s="261" t="s">
        <v>3687</v>
      </c>
      <c r="V1008" s="232" t="s">
        <v>4060</v>
      </c>
      <c r="W1008" s="232">
        <v>5503.1</v>
      </c>
      <c r="X1008" s="232">
        <v>-3335.2</v>
      </c>
      <c r="Y1008" s="87" t="s">
        <v>3685</v>
      </c>
      <c r="Z1008" s="87" t="s">
        <v>50</v>
      </c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261" t="s">
        <v>3687</v>
      </c>
    </row>
    <row r="1009" spans="1:43">
      <c r="A1009" s="6">
        <v>1006</v>
      </c>
      <c r="B1009" s="21" t="s">
        <v>3685</v>
      </c>
      <c r="C1009" s="5" t="s">
        <v>4061</v>
      </c>
      <c r="D1009" s="5" t="s">
        <v>605</v>
      </c>
      <c r="E1009" s="5" t="s">
        <v>605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11" t="s">
        <v>46</v>
      </c>
      <c r="Q1009" s="5" t="s">
        <v>46</v>
      </c>
      <c r="R1009" s="5" t="str">
        <f t="shared" si="16"/>
        <v/>
      </c>
      <c r="S1009" s="5" t="s">
        <v>46</v>
      </c>
      <c r="T1009" s="6">
        <v>1006</v>
      </c>
      <c r="U1009" s="261" t="s">
        <v>3687</v>
      </c>
      <c r="V1009" s="232" t="s">
        <v>4061</v>
      </c>
      <c r="W1009" s="232">
        <v>4779.2</v>
      </c>
      <c r="X1009" s="232">
        <v>-3335.2</v>
      </c>
      <c r="Y1009" s="87" t="s">
        <v>3685</v>
      </c>
      <c r="Z1009" s="87" t="s">
        <v>50</v>
      </c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261" t="s">
        <v>3687</v>
      </c>
    </row>
    <row r="1010" spans="1:43">
      <c r="A1010" s="6">
        <v>1007</v>
      </c>
      <c r="B1010" s="21" t="s">
        <v>3685</v>
      </c>
      <c r="C1010" s="5" t="s">
        <v>4062</v>
      </c>
      <c r="D1010" s="5" t="s">
        <v>605</v>
      </c>
      <c r="E1010" s="5" t="s">
        <v>605</v>
      </c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11" t="s">
        <v>46</v>
      </c>
      <c r="Q1010" s="5" t="s">
        <v>46</v>
      </c>
      <c r="R1010" s="5" t="str">
        <f t="shared" si="16"/>
        <v/>
      </c>
      <c r="S1010" s="5" t="s">
        <v>46</v>
      </c>
      <c r="T1010" s="6">
        <v>1007</v>
      </c>
      <c r="U1010" s="261" t="s">
        <v>3687</v>
      </c>
      <c r="V1010" s="232" t="s">
        <v>4062</v>
      </c>
      <c r="W1010" s="232">
        <v>3335.2</v>
      </c>
      <c r="X1010" s="232">
        <v>-3249.2</v>
      </c>
      <c r="Y1010" s="87" t="s">
        <v>3685</v>
      </c>
      <c r="Z1010" s="87" t="s">
        <v>50</v>
      </c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261" t="s">
        <v>3687</v>
      </c>
    </row>
    <row r="1011" spans="1:43">
      <c r="A1011" s="6">
        <v>1008</v>
      </c>
      <c r="B1011" s="21" t="s">
        <v>3685</v>
      </c>
      <c r="C1011" s="5" t="s">
        <v>4063</v>
      </c>
      <c r="D1011" s="5" t="s">
        <v>605</v>
      </c>
      <c r="E1011" s="5" t="s">
        <v>605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11" t="s">
        <v>46</v>
      </c>
      <c r="Q1011" s="5" t="s">
        <v>46</v>
      </c>
      <c r="R1011" s="5" t="str">
        <f t="shared" si="16"/>
        <v/>
      </c>
      <c r="S1011" s="5" t="s">
        <v>46</v>
      </c>
      <c r="T1011" s="6">
        <v>1008</v>
      </c>
      <c r="U1011" s="261" t="s">
        <v>3687</v>
      </c>
      <c r="V1011" s="232" t="s">
        <v>4063</v>
      </c>
      <c r="W1011" s="232">
        <v>579.1</v>
      </c>
      <c r="X1011" s="232">
        <v>-3249.2</v>
      </c>
      <c r="Y1011" s="87" t="s">
        <v>3685</v>
      </c>
      <c r="Z1011" s="87" t="s">
        <v>50</v>
      </c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261" t="s">
        <v>3687</v>
      </c>
    </row>
    <row r="1012" spans="1:43">
      <c r="A1012" s="6">
        <v>1009</v>
      </c>
      <c r="B1012" s="21" t="s">
        <v>3685</v>
      </c>
      <c r="C1012" s="5" t="s">
        <v>4064</v>
      </c>
      <c r="D1012" s="5" t="s">
        <v>605</v>
      </c>
      <c r="E1012" s="5" t="s">
        <v>605</v>
      </c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11" t="s">
        <v>46</v>
      </c>
      <c r="Q1012" s="5" t="s">
        <v>46</v>
      </c>
      <c r="R1012" s="5" t="str">
        <f t="shared" si="16"/>
        <v/>
      </c>
      <c r="S1012" s="5" t="s">
        <v>46</v>
      </c>
      <c r="T1012" s="6">
        <v>1009</v>
      </c>
      <c r="U1012" s="261" t="s">
        <v>3687</v>
      </c>
      <c r="V1012" s="232" t="s">
        <v>4064</v>
      </c>
      <c r="W1012" s="232">
        <v>-579.1</v>
      </c>
      <c r="X1012" s="232">
        <v>-3249.2</v>
      </c>
      <c r="Y1012" s="87" t="s">
        <v>3685</v>
      </c>
      <c r="Z1012" s="87" t="s">
        <v>50</v>
      </c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261" t="s">
        <v>3687</v>
      </c>
    </row>
    <row r="1013" spans="1:43">
      <c r="A1013" s="6">
        <v>1010</v>
      </c>
      <c r="B1013" s="21" t="s">
        <v>3685</v>
      </c>
      <c r="C1013" s="5" t="s">
        <v>4065</v>
      </c>
      <c r="D1013" s="5" t="s">
        <v>605</v>
      </c>
      <c r="E1013" s="5" t="s">
        <v>605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11" t="s">
        <v>46</v>
      </c>
      <c r="Q1013" s="5" t="s">
        <v>46</v>
      </c>
      <c r="R1013" s="5" t="str">
        <f t="shared" si="16"/>
        <v/>
      </c>
      <c r="S1013" s="5" t="s">
        <v>46</v>
      </c>
      <c r="T1013" s="6">
        <v>1010</v>
      </c>
      <c r="U1013" s="261" t="s">
        <v>3687</v>
      </c>
      <c r="V1013" s="232" t="s">
        <v>4065</v>
      </c>
      <c r="W1013" s="232">
        <v>-1353.8</v>
      </c>
      <c r="X1013" s="232">
        <v>-3249.2</v>
      </c>
      <c r="Y1013" s="87" t="s">
        <v>3685</v>
      </c>
      <c r="Z1013" s="87" t="s">
        <v>50</v>
      </c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261" t="s">
        <v>3687</v>
      </c>
    </row>
    <row r="1014" spans="1:43">
      <c r="A1014" s="6">
        <v>1011</v>
      </c>
      <c r="B1014" s="21" t="s">
        <v>3685</v>
      </c>
      <c r="C1014" s="5" t="s">
        <v>4066</v>
      </c>
      <c r="D1014" s="5" t="s">
        <v>605</v>
      </c>
      <c r="E1014" s="5" t="s">
        <v>605</v>
      </c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11" t="s">
        <v>46</v>
      </c>
      <c r="Q1014" s="5" t="s">
        <v>46</v>
      </c>
      <c r="R1014" s="5" t="str">
        <f t="shared" si="16"/>
        <v/>
      </c>
      <c r="S1014" s="5" t="s">
        <v>46</v>
      </c>
      <c r="T1014" s="6">
        <v>1011</v>
      </c>
      <c r="U1014" s="261" t="s">
        <v>3687</v>
      </c>
      <c r="V1014" s="232" t="s">
        <v>4066</v>
      </c>
      <c r="W1014" s="232">
        <v>-2344.5</v>
      </c>
      <c r="X1014" s="232">
        <v>-3249.2</v>
      </c>
      <c r="Y1014" s="87" t="s">
        <v>3685</v>
      </c>
      <c r="Z1014" s="87" t="s">
        <v>50</v>
      </c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261" t="s">
        <v>3687</v>
      </c>
    </row>
    <row r="1015" spans="1:43">
      <c r="A1015" s="6">
        <v>1012</v>
      </c>
      <c r="B1015" s="21" t="s">
        <v>3685</v>
      </c>
      <c r="C1015" s="5" t="s">
        <v>4067</v>
      </c>
      <c r="D1015" s="5" t="s">
        <v>605</v>
      </c>
      <c r="E1015" s="5" t="s">
        <v>605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11" t="s">
        <v>46</v>
      </c>
      <c r="Q1015" s="5" t="s">
        <v>46</v>
      </c>
      <c r="R1015" s="5" t="str">
        <f t="shared" si="16"/>
        <v/>
      </c>
      <c r="S1015" s="5" t="s">
        <v>46</v>
      </c>
      <c r="T1015" s="6">
        <v>1012</v>
      </c>
      <c r="U1015" s="261" t="s">
        <v>3687</v>
      </c>
      <c r="V1015" s="232" t="s">
        <v>4067</v>
      </c>
      <c r="W1015" s="232">
        <v>-3335.2</v>
      </c>
      <c r="X1015" s="232">
        <v>-3249.2</v>
      </c>
      <c r="Y1015" s="87" t="s">
        <v>3685</v>
      </c>
      <c r="Z1015" s="87" t="s">
        <v>50</v>
      </c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261" t="s">
        <v>3687</v>
      </c>
    </row>
    <row r="1016" spans="1:43">
      <c r="A1016" s="6">
        <v>1013</v>
      </c>
      <c r="B1016" s="21" t="s">
        <v>3685</v>
      </c>
      <c r="C1016" s="5" t="s">
        <v>4068</v>
      </c>
      <c r="D1016" s="5" t="s">
        <v>605</v>
      </c>
      <c r="E1016" s="5" t="s">
        <v>605</v>
      </c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11" t="s">
        <v>46</v>
      </c>
      <c r="Q1016" s="5" t="s">
        <v>46</v>
      </c>
      <c r="R1016" s="5" t="str">
        <f t="shared" si="16"/>
        <v/>
      </c>
      <c r="S1016" s="5" t="s">
        <v>46</v>
      </c>
      <c r="T1016" s="6">
        <v>1013</v>
      </c>
      <c r="U1016" s="261" t="s">
        <v>3687</v>
      </c>
      <c r="V1016" s="232" t="s">
        <v>4068</v>
      </c>
      <c r="W1016" s="232">
        <v>-4087.8</v>
      </c>
      <c r="X1016" s="232">
        <v>-3502.2</v>
      </c>
      <c r="Y1016" s="87" t="s">
        <v>3685</v>
      </c>
      <c r="Z1016" s="87" t="s">
        <v>50</v>
      </c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261" t="s">
        <v>3687</v>
      </c>
    </row>
    <row r="1017" spans="1:43">
      <c r="A1017" s="6">
        <v>1014</v>
      </c>
      <c r="B1017" s="21" t="s">
        <v>3685</v>
      </c>
      <c r="C1017" s="5" t="s">
        <v>4069</v>
      </c>
      <c r="D1017" s="5" t="s">
        <v>605</v>
      </c>
      <c r="E1017" s="5" t="s">
        <v>605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11" t="s">
        <v>46</v>
      </c>
      <c r="Q1017" s="5" t="s">
        <v>46</v>
      </c>
      <c r="R1017" s="5" t="str">
        <f t="shared" si="16"/>
        <v/>
      </c>
      <c r="S1017" s="5" t="s">
        <v>46</v>
      </c>
      <c r="T1017" s="6">
        <v>1014</v>
      </c>
      <c r="U1017" s="261" t="s">
        <v>3687</v>
      </c>
      <c r="V1017" s="232" t="s">
        <v>4069</v>
      </c>
      <c r="W1017" s="232">
        <v>-6227</v>
      </c>
      <c r="X1017" s="232">
        <v>-3335.2</v>
      </c>
      <c r="Y1017" s="87" t="s">
        <v>3685</v>
      </c>
      <c r="Z1017" s="87" t="s">
        <v>50</v>
      </c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261" t="s">
        <v>3687</v>
      </c>
    </row>
    <row r="1018" spans="1:43">
      <c r="A1018" s="6">
        <v>1015</v>
      </c>
      <c r="B1018" s="21" t="s">
        <v>3685</v>
      </c>
      <c r="C1018" s="5" t="s">
        <v>4070</v>
      </c>
      <c r="D1018" s="5" t="s">
        <v>605</v>
      </c>
      <c r="E1018" s="5" t="s">
        <v>605</v>
      </c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11" t="s">
        <v>46</v>
      </c>
      <c r="Q1018" s="5" t="s">
        <v>46</v>
      </c>
      <c r="R1018" s="5" t="str">
        <f t="shared" si="16"/>
        <v/>
      </c>
      <c r="S1018" s="5" t="s">
        <v>46</v>
      </c>
      <c r="T1018" s="6">
        <v>1015</v>
      </c>
      <c r="U1018" s="261" t="s">
        <v>3687</v>
      </c>
      <c r="V1018" s="232" t="s">
        <v>4070</v>
      </c>
      <c r="W1018" s="232">
        <v>-8272.2999999999993</v>
      </c>
      <c r="X1018" s="232">
        <v>-3258.8</v>
      </c>
      <c r="Y1018" s="87" t="s">
        <v>3685</v>
      </c>
      <c r="Z1018" s="87" t="s">
        <v>50</v>
      </c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261" t="s">
        <v>3687</v>
      </c>
    </row>
    <row r="1019" spans="1:43">
      <c r="A1019" s="6">
        <v>1016</v>
      </c>
      <c r="B1019" s="21" t="s">
        <v>3685</v>
      </c>
      <c r="C1019" s="5" t="s">
        <v>4071</v>
      </c>
      <c r="D1019" s="5" t="s">
        <v>605</v>
      </c>
      <c r="E1019" s="5" t="s">
        <v>605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11" t="s">
        <v>46</v>
      </c>
      <c r="Q1019" s="5" t="s">
        <v>46</v>
      </c>
      <c r="R1019" s="5" t="str">
        <f t="shared" si="16"/>
        <v/>
      </c>
      <c r="S1019" s="5" t="s">
        <v>46</v>
      </c>
      <c r="T1019" s="6">
        <v>1016</v>
      </c>
      <c r="U1019" s="261" t="s">
        <v>3687</v>
      </c>
      <c r="V1019" s="232" t="s">
        <v>4071</v>
      </c>
      <c r="W1019" s="232">
        <v>9665.7000000000007</v>
      </c>
      <c r="X1019" s="232">
        <v>-3495</v>
      </c>
      <c r="Y1019" s="87" t="s">
        <v>3685</v>
      </c>
      <c r="Z1019" s="87" t="s">
        <v>50</v>
      </c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261" t="s">
        <v>3687</v>
      </c>
    </row>
    <row r="1020" spans="1:43">
      <c r="A1020" s="6">
        <v>1017</v>
      </c>
      <c r="B1020" s="21" t="s">
        <v>3685</v>
      </c>
      <c r="C1020" s="5" t="s">
        <v>4072</v>
      </c>
      <c r="D1020" s="5" t="s">
        <v>605</v>
      </c>
      <c r="E1020" s="5" t="s">
        <v>605</v>
      </c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11" t="s">
        <v>46</v>
      </c>
      <c r="Q1020" s="5" t="s">
        <v>46</v>
      </c>
      <c r="R1020" s="5" t="str">
        <f t="shared" si="16"/>
        <v/>
      </c>
      <c r="S1020" s="5" t="s">
        <v>46</v>
      </c>
      <c r="T1020" s="6">
        <v>1017</v>
      </c>
      <c r="U1020" s="261" t="s">
        <v>3687</v>
      </c>
      <c r="V1020" s="232" t="s">
        <v>4072</v>
      </c>
      <c r="W1020" s="232">
        <v>3897.3</v>
      </c>
      <c r="X1020" s="232">
        <v>-2975.7</v>
      </c>
      <c r="Y1020" s="87" t="s">
        <v>3685</v>
      </c>
      <c r="Z1020" s="87" t="s">
        <v>50</v>
      </c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261" t="s">
        <v>3687</v>
      </c>
    </row>
    <row r="1021" spans="1:43">
      <c r="A1021" s="6">
        <v>1018</v>
      </c>
      <c r="B1021" s="21" t="s">
        <v>3685</v>
      </c>
      <c r="C1021" s="5" t="s">
        <v>4073</v>
      </c>
      <c r="D1021" s="5" t="s">
        <v>605</v>
      </c>
      <c r="E1021" s="5" t="s">
        <v>605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11" t="s">
        <v>46</v>
      </c>
      <c r="Q1021" s="5" t="s">
        <v>46</v>
      </c>
      <c r="R1021" s="5" t="str">
        <f t="shared" si="16"/>
        <v/>
      </c>
      <c r="S1021" s="5" t="s">
        <v>46</v>
      </c>
      <c r="T1021" s="6">
        <v>1018</v>
      </c>
      <c r="U1021" s="261" t="s">
        <v>3687</v>
      </c>
      <c r="V1021" s="232" t="s">
        <v>4073</v>
      </c>
      <c r="W1021" s="232">
        <v>-3897.3</v>
      </c>
      <c r="X1021" s="232">
        <v>-2975.7</v>
      </c>
      <c r="Y1021" s="87" t="s">
        <v>3685</v>
      </c>
      <c r="Z1021" s="87" t="s">
        <v>50</v>
      </c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261" t="s">
        <v>3687</v>
      </c>
    </row>
    <row r="1022" spans="1:43">
      <c r="A1022" s="6">
        <v>1019</v>
      </c>
      <c r="B1022" s="21" t="s">
        <v>3685</v>
      </c>
      <c r="C1022" s="5" t="s">
        <v>4074</v>
      </c>
      <c r="D1022" s="5" t="s">
        <v>605</v>
      </c>
      <c r="E1022" s="5" t="s">
        <v>605</v>
      </c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11" t="s">
        <v>46</v>
      </c>
      <c r="Q1022" s="5" t="s">
        <v>46</v>
      </c>
      <c r="R1022" s="5" t="str">
        <f t="shared" si="16"/>
        <v/>
      </c>
      <c r="S1022" s="5" t="s">
        <v>46</v>
      </c>
      <c r="T1022" s="6">
        <v>1019</v>
      </c>
      <c r="U1022" s="261" t="s">
        <v>3687</v>
      </c>
      <c r="V1022" s="232" t="s">
        <v>4074</v>
      </c>
      <c r="W1022" s="232">
        <v>11659.6</v>
      </c>
      <c r="X1022" s="232">
        <v>-2776.2</v>
      </c>
      <c r="Y1022" s="87" t="s">
        <v>3685</v>
      </c>
      <c r="Z1022" s="87" t="s">
        <v>50</v>
      </c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261" t="s">
        <v>3687</v>
      </c>
    </row>
    <row r="1023" spans="1:43">
      <c r="A1023" s="6">
        <v>1020</v>
      </c>
      <c r="B1023" s="21" t="s">
        <v>3685</v>
      </c>
      <c r="C1023" s="5" t="s">
        <v>4075</v>
      </c>
      <c r="D1023" s="5" t="s">
        <v>605</v>
      </c>
      <c r="E1023" s="5" t="s">
        <v>605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11" t="s">
        <v>46</v>
      </c>
      <c r="Q1023" s="5" t="s">
        <v>46</v>
      </c>
      <c r="R1023" s="5" t="str">
        <f t="shared" si="16"/>
        <v/>
      </c>
      <c r="S1023" s="5" t="s">
        <v>46</v>
      </c>
      <c r="T1023" s="6">
        <v>1020</v>
      </c>
      <c r="U1023" s="261" t="s">
        <v>3687</v>
      </c>
      <c r="V1023" s="232" t="s">
        <v>4075</v>
      </c>
      <c r="W1023" s="232">
        <v>-11659.6</v>
      </c>
      <c r="X1023" s="232">
        <v>-2776.2</v>
      </c>
      <c r="Y1023" s="87" t="s">
        <v>3685</v>
      </c>
      <c r="Z1023" s="87" t="s">
        <v>50</v>
      </c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261" t="s">
        <v>3687</v>
      </c>
    </row>
    <row r="1024" spans="1:43">
      <c r="A1024" s="6">
        <v>1021</v>
      </c>
      <c r="B1024" s="21" t="s">
        <v>3685</v>
      </c>
      <c r="C1024" s="5" t="s">
        <v>4076</v>
      </c>
      <c r="D1024" s="5" t="s">
        <v>605</v>
      </c>
      <c r="E1024" s="5" t="s">
        <v>605</v>
      </c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11" t="s">
        <v>46</v>
      </c>
      <c r="Q1024" s="5" t="s">
        <v>46</v>
      </c>
      <c r="R1024" s="5" t="str">
        <f t="shared" si="16"/>
        <v/>
      </c>
      <c r="S1024" s="5" t="s">
        <v>46</v>
      </c>
      <c r="T1024" s="6">
        <v>1021</v>
      </c>
      <c r="U1024" s="261" t="s">
        <v>3687</v>
      </c>
      <c r="V1024" s="232" t="s">
        <v>4076</v>
      </c>
      <c r="W1024" s="232">
        <v>7674.8</v>
      </c>
      <c r="X1024" s="232">
        <v>-2344.5</v>
      </c>
      <c r="Y1024" s="87" t="s">
        <v>3685</v>
      </c>
      <c r="Z1024" s="87" t="s">
        <v>50</v>
      </c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261" t="s">
        <v>3687</v>
      </c>
    </row>
    <row r="1025" spans="1:43">
      <c r="A1025" s="6">
        <v>1022</v>
      </c>
      <c r="B1025" s="21" t="s">
        <v>3685</v>
      </c>
      <c r="C1025" s="5" t="s">
        <v>4077</v>
      </c>
      <c r="D1025" s="5" t="s">
        <v>605</v>
      </c>
      <c r="E1025" s="5" t="s">
        <v>605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11" t="s">
        <v>46</v>
      </c>
      <c r="Q1025" s="5" t="s">
        <v>46</v>
      </c>
      <c r="R1025" s="5" t="str">
        <f t="shared" si="16"/>
        <v/>
      </c>
      <c r="S1025" s="5" t="s">
        <v>46</v>
      </c>
      <c r="T1025" s="6">
        <v>1022</v>
      </c>
      <c r="U1025" s="261" t="s">
        <v>3687</v>
      </c>
      <c r="V1025" s="232" t="s">
        <v>4077</v>
      </c>
      <c r="W1025" s="232">
        <v>3335.2</v>
      </c>
      <c r="X1025" s="232">
        <v>-2525.3000000000002</v>
      </c>
      <c r="Y1025" s="87" t="s">
        <v>3685</v>
      </c>
      <c r="Z1025" s="87" t="s">
        <v>50</v>
      </c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261" t="s">
        <v>3687</v>
      </c>
    </row>
    <row r="1026" spans="1:43">
      <c r="A1026" s="6">
        <v>1023</v>
      </c>
      <c r="B1026" s="21" t="s">
        <v>3685</v>
      </c>
      <c r="C1026" s="5" t="s">
        <v>4078</v>
      </c>
      <c r="D1026" s="5" t="s">
        <v>605</v>
      </c>
      <c r="E1026" s="5" t="s">
        <v>605</v>
      </c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11" t="s">
        <v>46</v>
      </c>
      <c r="Q1026" s="5" t="s">
        <v>46</v>
      </c>
      <c r="R1026" s="5" t="str">
        <f t="shared" si="16"/>
        <v/>
      </c>
      <c r="S1026" s="5" t="s">
        <v>46</v>
      </c>
      <c r="T1026" s="6">
        <v>1023</v>
      </c>
      <c r="U1026" s="261" t="s">
        <v>3687</v>
      </c>
      <c r="V1026" s="232" t="s">
        <v>4078</v>
      </c>
      <c r="W1026" s="232">
        <v>579.1</v>
      </c>
      <c r="X1026" s="232">
        <v>-2525.3000000000002</v>
      </c>
      <c r="Y1026" s="87" t="s">
        <v>3685</v>
      </c>
      <c r="Z1026" s="87" t="s">
        <v>50</v>
      </c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261" t="s">
        <v>3687</v>
      </c>
    </row>
    <row r="1027" spans="1:43">
      <c r="A1027" s="6">
        <v>1024</v>
      </c>
      <c r="B1027" s="21" t="s">
        <v>3685</v>
      </c>
      <c r="C1027" s="5" t="s">
        <v>4079</v>
      </c>
      <c r="D1027" s="5" t="s">
        <v>605</v>
      </c>
      <c r="E1027" s="5" t="s">
        <v>605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11" t="s">
        <v>46</v>
      </c>
      <c r="Q1027" s="5" t="s">
        <v>46</v>
      </c>
      <c r="R1027" s="5" t="str">
        <f t="shared" si="16"/>
        <v/>
      </c>
      <c r="S1027" s="5" t="s">
        <v>46</v>
      </c>
      <c r="T1027" s="6">
        <v>1024</v>
      </c>
      <c r="U1027" s="261" t="s">
        <v>3687</v>
      </c>
      <c r="V1027" s="232" t="s">
        <v>4079</v>
      </c>
      <c r="W1027" s="232">
        <v>-4779.2</v>
      </c>
      <c r="X1027" s="232">
        <v>-2344.5</v>
      </c>
      <c r="Y1027" s="87" t="s">
        <v>3685</v>
      </c>
      <c r="Z1027" s="87" t="s">
        <v>50</v>
      </c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261" t="s">
        <v>3687</v>
      </c>
    </row>
    <row r="1028" spans="1:43">
      <c r="A1028" s="6">
        <v>1025</v>
      </c>
      <c r="B1028" s="21" t="s">
        <v>3685</v>
      </c>
      <c r="C1028" s="5" t="s">
        <v>4080</v>
      </c>
      <c r="D1028" s="5" t="s">
        <v>605</v>
      </c>
      <c r="E1028" s="5" t="s">
        <v>605</v>
      </c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11" t="s">
        <v>46</v>
      </c>
      <c r="Q1028" s="5" t="s">
        <v>46</v>
      </c>
      <c r="R1028" s="5" t="str">
        <f t="shared" si="16"/>
        <v/>
      </c>
      <c r="S1028" s="5" t="s">
        <v>46</v>
      </c>
      <c r="T1028" s="6">
        <v>1025</v>
      </c>
      <c r="U1028" s="261" t="s">
        <v>3687</v>
      </c>
      <c r="V1028" s="232" t="s">
        <v>4080</v>
      </c>
      <c r="W1028" s="232">
        <v>-6227</v>
      </c>
      <c r="X1028" s="232">
        <v>-2344.5</v>
      </c>
      <c r="Y1028" s="87" t="s">
        <v>3685</v>
      </c>
      <c r="Z1028" s="87" t="s">
        <v>50</v>
      </c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261" t="s">
        <v>3687</v>
      </c>
    </row>
    <row r="1029" spans="1:43">
      <c r="A1029" s="6">
        <v>1026</v>
      </c>
      <c r="B1029" s="21" t="s">
        <v>3685</v>
      </c>
      <c r="C1029" s="5" t="s">
        <v>4081</v>
      </c>
      <c r="D1029" s="5" t="s">
        <v>605</v>
      </c>
      <c r="E1029" s="5" t="s">
        <v>605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11" t="s">
        <v>46</v>
      </c>
      <c r="Q1029" s="5" t="s">
        <v>46</v>
      </c>
      <c r="R1029" s="5" t="str">
        <f t="shared" ref="R1029:R1034" si="17">IF(AND(P1029="",Q1029=""),"",SUM(P1029:Q1029))</f>
        <v/>
      </c>
      <c r="S1029" s="5" t="s">
        <v>46</v>
      </c>
      <c r="T1029" s="6">
        <v>1026</v>
      </c>
      <c r="U1029" s="261" t="s">
        <v>3687</v>
      </c>
      <c r="V1029" s="232" t="s">
        <v>4081</v>
      </c>
      <c r="W1029" s="232">
        <v>9670.7999999999993</v>
      </c>
      <c r="X1029" s="232">
        <v>-2204.6999999999998</v>
      </c>
      <c r="Y1029" s="87" t="s">
        <v>3685</v>
      </c>
      <c r="Z1029" s="87" t="s">
        <v>50</v>
      </c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261" t="s">
        <v>3687</v>
      </c>
    </row>
    <row r="1030" spans="1:43">
      <c r="A1030" s="6">
        <v>1027</v>
      </c>
      <c r="B1030" s="21" t="s">
        <v>4082</v>
      </c>
      <c r="C1030" s="5" t="s">
        <v>4083</v>
      </c>
      <c r="D1030" s="5" t="s">
        <v>4084</v>
      </c>
      <c r="E1030" s="5" t="s">
        <v>4085</v>
      </c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11" t="s">
        <v>46</v>
      </c>
      <c r="Q1030" s="5">
        <v>129.48089999999999</v>
      </c>
      <c r="R1030" s="5">
        <f t="shared" si="17"/>
        <v>129.48089999999999</v>
      </c>
      <c r="S1030" s="5" t="s">
        <v>60</v>
      </c>
      <c r="T1030" s="6">
        <v>1027</v>
      </c>
      <c r="U1030" s="253" t="s">
        <v>4086</v>
      </c>
      <c r="V1030" s="232" t="s">
        <v>4083</v>
      </c>
      <c r="W1030" s="232">
        <v>6950.9</v>
      </c>
      <c r="X1030" s="232">
        <v>2344.5</v>
      </c>
      <c r="Y1030" s="233" t="s">
        <v>49</v>
      </c>
      <c r="Z1030" s="87" t="s">
        <v>50</v>
      </c>
      <c r="AA1030" s="233" t="s">
        <v>51</v>
      </c>
      <c r="AB1030" s="234"/>
      <c r="AC1030" s="233">
        <v>1</v>
      </c>
      <c r="AD1030" s="233" t="s">
        <v>226</v>
      </c>
      <c r="AE1030" s="234"/>
      <c r="AF1030" s="234"/>
      <c r="AG1030" s="234"/>
      <c r="AH1030" s="233"/>
      <c r="AI1030" s="233"/>
      <c r="AJ1030" s="233"/>
      <c r="AK1030" s="233"/>
      <c r="AL1030" s="233"/>
      <c r="AM1030" s="233"/>
      <c r="AN1030" s="233"/>
      <c r="AO1030" s="233"/>
      <c r="AP1030" s="234"/>
      <c r="AQ1030" s="234" t="s">
        <v>333</v>
      </c>
    </row>
    <row r="1031" spans="1:43">
      <c r="A1031" s="6">
        <v>1028</v>
      </c>
      <c r="B1031" s="21" t="s">
        <v>4087</v>
      </c>
      <c r="C1031" s="5" t="s">
        <v>4088</v>
      </c>
      <c r="D1031" s="5" t="s">
        <v>4089</v>
      </c>
      <c r="E1031" s="5" t="s">
        <v>4090</v>
      </c>
      <c r="F1031" s="5" t="s">
        <v>4091</v>
      </c>
      <c r="G1031" s="5"/>
      <c r="H1031" s="5"/>
      <c r="I1031" s="5"/>
      <c r="J1031" s="5"/>
      <c r="K1031" s="5"/>
      <c r="L1031" s="5"/>
      <c r="M1031" s="5"/>
      <c r="N1031" s="5"/>
      <c r="O1031" s="5"/>
      <c r="P1031" s="11" t="s">
        <v>46</v>
      </c>
      <c r="Q1031" s="5">
        <v>209.2561</v>
      </c>
      <c r="R1031" s="5">
        <f t="shared" si="17"/>
        <v>209.2561</v>
      </c>
      <c r="S1031" s="5" t="s">
        <v>706</v>
      </c>
      <c r="T1031" s="6">
        <v>1028</v>
      </c>
      <c r="U1031" s="253" t="s">
        <v>4092</v>
      </c>
      <c r="V1031" s="232" t="s">
        <v>4088</v>
      </c>
      <c r="W1031" s="232">
        <v>6950.9</v>
      </c>
      <c r="X1031" s="232">
        <v>-2344.5</v>
      </c>
      <c r="Y1031" s="233" t="s">
        <v>49</v>
      </c>
      <c r="Z1031" s="87" t="s">
        <v>50</v>
      </c>
      <c r="AA1031" s="233" t="s">
        <v>51</v>
      </c>
      <c r="AB1031" s="234"/>
      <c r="AC1031" s="233">
        <v>1</v>
      </c>
      <c r="AD1031" s="233" t="s">
        <v>226</v>
      </c>
      <c r="AE1031" s="234"/>
      <c r="AF1031" s="234"/>
      <c r="AG1031" s="233" t="s">
        <v>4093</v>
      </c>
      <c r="AH1031" s="233">
        <v>5</v>
      </c>
      <c r="AI1031" s="233">
        <v>100</v>
      </c>
      <c r="AJ1031" s="233"/>
      <c r="AK1031" s="233"/>
      <c r="AL1031" s="233"/>
      <c r="AM1031" s="233"/>
      <c r="AN1031" s="233"/>
      <c r="AO1031" s="233" t="s">
        <v>636</v>
      </c>
      <c r="AP1031" s="234"/>
      <c r="AQ1031" s="234" t="s">
        <v>653</v>
      </c>
    </row>
    <row r="1032" spans="1:43">
      <c r="A1032" s="6">
        <v>1029</v>
      </c>
      <c r="B1032" s="21" t="s">
        <v>4094</v>
      </c>
      <c r="C1032" s="5" t="s">
        <v>4095</v>
      </c>
      <c r="D1032" s="5" t="s">
        <v>4096</v>
      </c>
      <c r="E1032" s="5" t="s">
        <v>4097</v>
      </c>
      <c r="F1032" s="5" t="s">
        <v>4098</v>
      </c>
      <c r="G1032" s="5"/>
      <c r="H1032" s="5"/>
      <c r="I1032" s="5"/>
      <c r="J1032" s="5"/>
      <c r="K1032" s="5"/>
      <c r="L1032" s="5"/>
      <c r="M1032" s="5"/>
      <c r="N1032" s="5"/>
      <c r="O1032" s="5"/>
      <c r="P1032" s="11" t="s">
        <v>46</v>
      </c>
      <c r="Q1032" s="5">
        <v>209.25040000000001</v>
      </c>
      <c r="R1032" s="5">
        <f t="shared" si="17"/>
        <v>209.25040000000001</v>
      </c>
      <c r="S1032" s="5" t="s">
        <v>706</v>
      </c>
      <c r="T1032" s="6">
        <v>1029</v>
      </c>
      <c r="U1032" s="253" t="s">
        <v>4099</v>
      </c>
      <c r="V1032" s="232" t="s">
        <v>4095</v>
      </c>
      <c r="W1032" s="232">
        <v>6227</v>
      </c>
      <c r="X1032" s="232">
        <v>-2344.5</v>
      </c>
      <c r="Y1032" s="233" t="s">
        <v>49</v>
      </c>
      <c r="Z1032" s="87" t="s">
        <v>50</v>
      </c>
      <c r="AA1032" s="233" t="s">
        <v>51</v>
      </c>
      <c r="AB1032" s="234"/>
      <c r="AC1032" s="233">
        <v>1</v>
      </c>
      <c r="AD1032" s="233" t="s">
        <v>226</v>
      </c>
      <c r="AE1032" s="234"/>
      <c r="AF1032" s="234"/>
      <c r="AG1032" s="233" t="s">
        <v>4093</v>
      </c>
      <c r="AH1032" s="233">
        <v>5</v>
      </c>
      <c r="AI1032" s="233">
        <v>100</v>
      </c>
      <c r="AJ1032" s="233"/>
      <c r="AK1032" s="233"/>
      <c r="AL1032" s="233"/>
      <c r="AM1032" s="233"/>
      <c r="AN1032" s="233"/>
      <c r="AO1032" s="233" t="s">
        <v>636</v>
      </c>
      <c r="AP1032" s="234"/>
      <c r="AQ1032" s="234" t="s">
        <v>653</v>
      </c>
    </row>
    <row r="1033" spans="1:43" ht="57.75" customHeight="1">
      <c r="A1033" s="6">
        <v>1030</v>
      </c>
      <c r="B1033" s="21" t="s">
        <v>4100</v>
      </c>
      <c r="C1033" s="5" t="s">
        <v>4101</v>
      </c>
      <c r="D1033" s="5" t="s">
        <v>4102</v>
      </c>
      <c r="E1033" s="5" t="s">
        <v>4103</v>
      </c>
      <c r="F1033" s="5" t="s">
        <v>4104</v>
      </c>
      <c r="G1033" s="5" t="s">
        <v>4105</v>
      </c>
      <c r="H1033" s="5" t="s">
        <v>4106</v>
      </c>
      <c r="I1033" s="11" t="s">
        <v>4107</v>
      </c>
      <c r="J1033" s="5"/>
      <c r="K1033" s="5"/>
      <c r="L1033" s="5"/>
      <c r="M1033" s="5"/>
      <c r="N1033" s="5"/>
      <c r="O1033" s="5"/>
      <c r="P1033" s="11">
        <v>102.2437</v>
      </c>
      <c r="Q1033" s="5">
        <v>67.691800000000001</v>
      </c>
      <c r="R1033" s="5">
        <f t="shared" si="17"/>
        <v>169.93549999999999</v>
      </c>
      <c r="S1033" s="5" t="s">
        <v>60</v>
      </c>
      <c r="T1033" s="6">
        <v>1030</v>
      </c>
      <c r="U1033" s="31" t="s">
        <v>4108</v>
      </c>
      <c r="V1033" s="232" t="s">
        <v>4101</v>
      </c>
      <c r="W1033" s="232">
        <v>11047.5</v>
      </c>
      <c r="X1033" s="232">
        <v>-2585.6999999999998</v>
      </c>
      <c r="Y1033" s="233" t="s">
        <v>49</v>
      </c>
      <c r="Z1033" s="87" t="s">
        <v>50</v>
      </c>
      <c r="AA1033" s="233" t="s">
        <v>51</v>
      </c>
      <c r="AB1033" s="234"/>
      <c r="AC1033" s="233">
        <v>1</v>
      </c>
      <c r="AD1033" s="233" t="s">
        <v>52</v>
      </c>
      <c r="AE1033" s="234"/>
      <c r="AF1033" s="234"/>
      <c r="AG1033" s="234"/>
      <c r="AH1033" s="233"/>
      <c r="AI1033" s="233"/>
      <c r="AJ1033" s="233"/>
      <c r="AK1033" s="233"/>
      <c r="AL1033" s="233"/>
      <c r="AM1033" s="233"/>
      <c r="AN1033" s="233"/>
      <c r="AO1033" s="233"/>
      <c r="AP1033" s="234"/>
      <c r="AQ1033" s="234" t="s">
        <v>4109</v>
      </c>
    </row>
    <row r="1034" spans="1:43" ht="85.5" customHeight="1">
      <c r="A1034" s="6">
        <v>1031</v>
      </c>
      <c r="B1034" s="21" t="s">
        <v>4110</v>
      </c>
      <c r="C1034" s="5" t="s">
        <v>4111</v>
      </c>
      <c r="D1034" s="5" t="s">
        <v>4112</v>
      </c>
      <c r="E1034" s="5" t="s">
        <v>4113</v>
      </c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11" t="s">
        <v>46</v>
      </c>
      <c r="Q1034" s="5">
        <v>168.1808</v>
      </c>
      <c r="R1034" s="5">
        <f t="shared" si="17"/>
        <v>168.1808</v>
      </c>
      <c r="S1034" s="5" t="s">
        <v>60</v>
      </c>
      <c r="T1034" s="6">
        <v>1031</v>
      </c>
      <c r="U1034" s="31" t="s">
        <v>4114</v>
      </c>
      <c r="V1034" s="232" t="s">
        <v>4111</v>
      </c>
      <c r="W1034" s="232">
        <v>10359.1</v>
      </c>
      <c r="X1034" s="232">
        <v>-2395.1999999999998</v>
      </c>
      <c r="Y1034" s="233" t="s">
        <v>49</v>
      </c>
      <c r="Z1034" s="87" t="s">
        <v>50</v>
      </c>
      <c r="AA1034" s="233" t="s">
        <v>51</v>
      </c>
      <c r="AB1034" s="234"/>
      <c r="AC1034" s="233">
        <v>1</v>
      </c>
      <c r="AD1034" s="233" t="s">
        <v>52</v>
      </c>
      <c r="AE1034" s="234"/>
      <c r="AF1034" s="234"/>
      <c r="AG1034" s="234"/>
      <c r="AH1034" s="233"/>
      <c r="AI1034" s="233"/>
      <c r="AJ1034" s="233"/>
      <c r="AK1034" s="233"/>
      <c r="AL1034" s="233"/>
      <c r="AM1034" s="233"/>
      <c r="AN1034" s="233"/>
      <c r="AO1034" s="233"/>
      <c r="AP1034" s="234"/>
      <c r="AQ1034" s="234" t="s">
        <v>4115</v>
      </c>
    </row>
    <row r="1035" spans="1:43">
      <c r="B1035" s="6"/>
      <c r="C1035" s="6"/>
      <c r="D1035" s="6"/>
      <c r="E1035" s="6"/>
      <c r="P1035" s="6"/>
      <c r="Q1035" s="6"/>
      <c r="R1035" s="6"/>
      <c r="S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</row>
    <row r="1036" spans="1:43">
      <c r="A1036" s="12">
        <v>1032</v>
      </c>
      <c r="B1036" s="21" t="s">
        <v>4116</v>
      </c>
      <c r="C1036" s="5" t="s">
        <v>4117</v>
      </c>
      <c r="D1036" s="268" t="s">
        <v>4118</v>
      </c>
      <c r="E1036" s="268" t="s">
        <v>4119</v>
      </c>
      <c r="F1036" s="5" t="s">
        <v>4117</v>
      </c>
      <c r="G1036" s="5"/>
      <c r="H1036" s="5"/>
      <c r="I1036" s="5"/>
      <c r="J1036" s="5"/>
      <c r="K1036" s="5"/>
      <c r="L1036" s="5"/>
      <c r="M1036" s="5"/>
      <c r="N1036" s="5"/>
      <c r="O1036" s="5"/>
      <c r="P1036" s="11" t="s">
        <v>46</v>
      </c>
      <c r="Q1036" s="268">
        <v>207.30520000000001</v>
      </c>
      <c r="R1036" s="268">
        <f t="shared" ref="R1036" si="18">IF(AND(P1036="",Q1036=""),"",SUM(P1036:Q1036))</f>
        <v>207.30520000000001</v>
      </c>
      <c r="S1036" s="268" t="s">
        <v>732</v>
      </c>
      <c r="T1036" s="12">
        <v>1032</v>
      </c>
      <c r="U1036" s="253" t="s">
        <v>4120</v>
      </c>
      <c r="V1036" s="232" t="s">
        <v>4117</v>
      </c>
      <c r="W1036" s="232"/>
      <c r="X1036" s="232"/>
      <c r="Y1036" s="233" t="s">
        <v>49</v>
      </c>
      <c r="Z1036" s="87" t="s">
        <v>50</v>
      </c>
      <c r="AA1036" s="233" t="s">
        <v>51</v>
      </c>
      <c r="AB1036" s="234"/>
      <c r="AC1036" s="233">
        <v>2</v>
      </c>
      <c r="AD1036" s="233" t="s">
        <v>226</v>
      </c>
      <c r="AE1036" s="234"/>
      <c r="AF1036" s="234"/>
      <c r="AG1036" s="234"/>
      <c r="AH1036" s="233"/>
      <c r="AI1036" s="233"/>
      <c r="AJ1036" s="233"/>
      <c r="AK1036" s="233"/>
      <c r="AL1036" s="233"/>
      <c r="AM1036" s="233"/>
      <c r="AN1036" s="233"/>
      <c r="AO1036" s="233"/>
      <c r="AP1036" s="234"/>
      <c r="AQ1036" s="234" t="s">
        <v>2913</v>
      </c>
    </row>
    <row r="1037" spans="1:43">
      <c r="A1037" s="12">
        <v>1033</v>
      </c>
      <c r="B1037" s="21" t="s">
        <v>4121</v>
      </c>
      <c r="C1037" s="5" t="s">
        <v>4122</v>
      </c>
      <c r="D1037" s="5" t="s">
        <v>4123</v>
      </c>
      <c r="E1037" s="5" t="s">
        <v>4124</v>
      </c>
      <c r="F1037" s="5" t="s">
        <v>4122</v>
      </c>
      <c r="G1037" s="5"/>
      <c r="H1037" s="5"/>
      <c r="I1037" s="5"/>
      <c r="J1037" s="5"/>
      <c r="K1037" s="5"/>
      <c r="L1037" s="5"/>
      <c r="M1037" s="5"/>
      <c r="N1037" s="5"/>
      <c r="O1037" s="5"/>
      <c r="P1037" s="11" t="s">
        <v>46</v>
      </c>
      <c r="Q1037" s="268">
        <v>207.3732</v>
      </c>
      <c r="R1037" s="268">
        <f t="shared" ref="R1037" si="19">IF(AND(P1037="",Q1037=""),"",SUM(P1037:Q1037))</f>
        <v>207.3732</v>
      </c>
      <c r="S1037" s="268" t="s">
        <v>732</v>
      </c>
      <c r="T1037" s="12">
        <v>1033</v>
      </c>
      <c r="U1037" s="253" t="s">
        <v>4125</v>
      </c>
      <c r="V1037" s="232" t="s">
        <v>4122</v>
      </c>
      <c r="W1037" s="232"/>
      <c r="X1037" s="232"/>
      <c r="Y1037" s="233" t="s">
        <v>49</v>
      </c>
      <c r="Z1037" s="87" t="s">
        <v>50</v>
      </c>
      <c r="AA1037" s="233" t="s">
        <v>51</v>
      </c>
      <c r="AB1037" s="234"/>
      <c r="AC1037" s="233">
        <v>2</v>
      </c>
      <c r="AD1037" s="233" t="s">
        <v>226</v>
      </c>
      <c r="AE1037" s="234"/>
      <c r="AF1037" s="234"/>
      <c r="AG1037" s="234"/>
      <c r="AH1037" s="233"/>
      <c r="AI1037" s="233"/>
      <c r="AJ1037" s="233"/>
      <c r="AK1037" s="233"/>
      <c r="AL1037" s="233"/>
      <c r="AM1037" s="233"/>
      <c r="AN1037" s="233"/>
      <c r="AO1037" s="233"/>
      <c r="AP1037" s="234"/>
      <c r="AQ1037" s="234" t="s">
        <v>2913</v>
      </c>
    </row>
  </sheetData>
  <autoFilter ref="A3:J1034" xr:uid="{00000000-0001-0000-0100-000000000000}"/>
  <phoneticPr fontId="3"/>
  <dataValidations disablePrompts="1" count="11">
    <dataValidation type="list" allowBlank="1" showInputMessage="1" showErrorMessage="1" sqref="AB4:AB1034 AB1036:AB1037" xr:uid="{00000000-0002-0000-0100-000000000000}">
      <formula1>"SC2,SC4,SC8,SC16,SC2_SC4"</formula1>
    </dataValidation>
    <dataValidation type="list" allowBlank="1" showInputMessage="1" showErrorMessage="1" sqref="AC4:AC1034 AC1036:AC1037" xr:uid="{00000000-0002-0000-0100-000001000000}">
      <formula1>"0,1,2"</formula1>
    </dataValidation>
    <dataValidation type="list" allowBlank="1" showInputMessage="1" showErrorMessage="1" sqref="AD4:AD1034 AD1036:AD1037" xr:uid="{00000000-0002-0000-0100-000002000000}">
      <formula1>Time_Domain</formula1>
    </dataValidation>
    <dataValidation type="whole" operator="greaterThan" allowBlank="1" showInputMessage="1" showErrorMessage="1" sqref="AF4:AK1034 AF1036:AK1037" xr:uid="{00000000-0002-0000-0100-000003000000}">
      <formula1>0</formula1>
    </dataValidation>
    <dataValidation type="list" allowBlank="1" showInputMessage="1" showErrorMessage="1" sqref="AG4:AG1034 AG1036:AG1037" xr:uid="{00000000-0002-0000-0100-000004000000}">
      <formula1>Diff_</formula1>
    </dataValidation>
    <dataValidation type="list" allowBlank="1" showInputMessage="1" showErrorMessage="1" sqref="AJ4:AJ1034 AJ1036:AJ1037" xr:uid="{00000000-0002-0000-0100-000005000000}">
      <formula1>Match_</formula1>
    </dataValidation>
    <dataValidation type="list" allowBlank="1" showInputMessage="1" showErrorMessage="1" sqref="AO4:AP1034 AO1036:AP1037" xr:uid="{00000000-0002-0000-0100-000007000000}">
      <formula1>"Yes"</formula1>
    </dataValidation>
    <dataValidation type="list" allowBlank="1" showInputMessage="1" showErrorMessage="1" sqref="Z4:Z1034 Z1036:Z1037" xr:uid="{BBC5ABA7-7AFE-45D2-9F96-49DB30BD3776}">
      <formula1>"Top,Bottom"</formula1>
    </dataValidation>
    <dataValidation type="list" allowBlank="1" showInputMessage="1" showErrorMessage="1" sqref="AA4:AA1034 AA1036:AA1037" xr:uid="{19942C7F-10B2-482F-89BD-ABE9E9A90506}">
      <formula1>"DM250,DM800,Float/Loopback,PLL/sense/PU/PD"</formula1>
    </dataValidation>
    <dataValidation type="list" allowBlank="1" showInputMessage="1" showErrorMessage="1" sqref="AL4:AL1034 AL1036:AL1037" xr:uid="{5ACF06B9-333B-46E4-A1A3-56219BBC6797}">
      <formula1>Share_</formula1>
    </dataValidation>
    <dataValidation type="list" allowBlank="1" showInputMessage="1" showErrorMessage="1" sqref="AM4:AM1034 AM1036:AM1037" xr:uid="{F02FC101-BB6E-4D24-B132-AFE309A66FE8}">
      <formula1>Loop_back</formula1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A2D1-6B0B-4489-B2B4-BC8305CF51A9}">
  <sheetPr codeName="Sheet11"/>
  <dimension ref="A1:AQ1037"/>
  <sheetViews>
    <sheetView topLeftCell="A3" zoomScale="85" zoomScaleNormal="85" workbookViewId="0">
      <selection activeCell="D8" sqref="D8"/>
    </sheetView>
  </sheetViews>
  <sheetFormatPr defaultColWidth="9" defaultRowHeight="14.25"/>
  <cols>
    <col min="1" max="1" width="8" style="12" customWidth="1"/>
    <col min="2" max="2" width="58" style="26" customWidth="1"/>
    <col min="3" max="3" width="12.7109375" style="26" customWidth="1"/>
    <col min="4" max="5" width="16.85546875" style="26" customWidth="1"/>
    <col min="6" max="6" width="13.5703125" style="26" customWidth="1"/>
    <col min="7" max="13" width="9" style="26"/>
    <col min="14" max="15" width="9" style="6"/>
    <col min="16" max="16" width="9" style="9"/>
    <col min="17" max="18" width="9" style="26"/>
    <col min="19" max="19" width="10.5703125" style="26" customWidth="1"/>
    <col min="20" max="20" width="8" style="12" customWidth="1"/>
    <col min="21" max="21" width="36.42578125" style="25" bestFit="1" customWidth="1"/>
    <col min="22" max="22" width="15.42578125" style="25" customWidth="1"/>
    <col min="23" max="23" width="11.28515625" style="25" customWidth="1"/>
    <col min="24" max="24" width="11.140625" style="25" customWidth="1"/>
    <col min="25" max="25" width="26.7109375" style="25" customWidth="1"/>
    <col min="26" max="26" width="15" style="25" bestFit="1" customWidth="1"/>
    <col min="27" max="27" width="18.42578125" style="25" customWidth="1"/>
    <col min="28" max="29" width="11.42578125" style="25" customWidth="1"/>
    <col min="30" max="30" width="7.42578125" style="25" bestFit="1" customWidth="1"/>
    <col min="31" max="31" width="12.42578125" style="25" customWidth="1"/>
    <col min="32" max="32" width="13.7109375" style="25" customWidth="1"/>
    <col min="33" max="33" width="12.140625" style="25" customWidth="1"/>
    <col min="34" max="35" width="12.42578125" style="25" customWidth="1"/>
    <col min="36" max="36" width="12.140625" style="25" customWidth="1"/>
    <col min="37" max="37" width="13.42578125" style="25" customWidth="1"/>
    <col min="38" max="38" width="12.7109375" style="25" customWidth="1"/>
    <col min="39" max="39" width="11.28515625" style="25" customWidth="1"/>
    <col min="40" max="40" width="8.85546875" style="25" customWidth="1"/>
    <col min="41" max="41" width="9.140625" style="25" customWidth="1"/>
    <col min="42" max="42" width="63.28515625" style="25" bestFit="1" customWidth="1"/>
    <col min="43" max="43" width="90.5703125" style="25" bestFit="1" customWidth="1"/>
    <col min="44" max="16384" width="9" style="12"/>
  </cols>
  <sheetData>
    <row r="1" spans="1:43" ht="18">
      <c r="B1" s="109" t="s">
        <v>4126</v>
      </c>
      <c r="C1" s="109" t="s">
        <v>4127</v>
      </c>
      <c r="M1" s="7">
        <v>44637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spans="1:43"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s="10" customFormat="1" ht="105">
      <c r="B3" s="5" t="s">
        <v>11</v>
      </c>
      <c r="C3" s="265" t="s">
        <v>12</v>
      </c>
      <c r="D3" s="5" t="s">
        <v>13</v>
      </c>
      <c r="E3" s="5"/>
      <c r="F3" s="5" t="s">
        <v>14</v>
      </c>
      <c r="G3" s="5"/>
      <c r="H3" s="5"/>
      <c r="I3" s="5"/>
      <c r="J3" s="5"/>
      <c r="K3" s="5"/>
      <c r="L3" s="5"/>
      <c r="M3" s="5"/>
      <c r="N3" s="5"/>
      <c r="O3" s="5"/>
      <c r="P3" s="266" t="s">
        <v>15</v>
      </c>
      <c r="Q3" s="267" t="s">
        <v>16</v>
      </c>
      <c r="R3" s="267" t="s">
        <v>17</v>
      </c>
      <c r="S3" s="265" t="s">
        <v>18</v>
      </c>
      <c r="U3" s="91" t="s">
        <v>19</v>
      </c>
      <c r="V3" s="91" t="s">
        <v>20</v>
      </c>
      <c r="W3" s="92" t="s">
        <v>21</v>
      </c>
      <c r="X3" s="92" t="s">
        <v>22</v>
      </c>
      <c r="Y3" s="93" t="s">
        <v>23</v>
      </c>
      <c r="Z3" s="94" t="s">
        <v>24</v>
      </c>
      <c r="AA3" s="95" t="s">
        <v>25</v>
      </c>
      <c r="AB3" s="96" t="s">
        <v>26</v>
      </c>
      <c r="AC3" s="97" t="s">
        <v>27</v>
      </c>
      <c r="AD3" s="98" t="s">
        <v>28</v>
      </c>
      <c r="AE3" s="99" t="s">
        <v>29</v>
      </c>
      <c r="AF3" s="100" t="s">
        <v>30</v>
      </c>
      <c r="AG3" s="93" t="s">
        <v>31</v>
      </c>
      <c r="AH3" s="93" t="s">
        <v>32</v>
      </c>
      <c r="AI3" s="101" t="s">
        <v>33</v>
      </c>
      <c r="AJ3" s="102" t="s">
        <v>34</v>
      </c>
      <c r="AK3" s="103" t="s">
        <v>35</v>
      </c>
      <c r="AL3" s="104" t="s">
        <v>36</v>
      </c>
      <c r="AM3" s="97" t="s">
        <v>37</v>
      </c>
      <c r="AN3" s="105" t="s">
        <v>38</v>
      </c>
      <c r="AO3" s="106" t="s">
        <v>39</v>
      </c>
      <c r="AP3" s="107" t="s">
        <v>40</v>
      </c>
      <c r="AQ3" s="108" t="s">
        <v>41</v>
      </c>
    </row>
    <row r="4" spans="1:43">
      <c r="A4" s="12">
        <v>1</v>
      </c>
      <c r="B4" s="21" t="s">
        <v>4128</v>
      </c>
      <c r="C4" s="5" t="s">
        <v>43</v>
      </c>
      <c r="D4" s="5" t="s">
        <v>4129</v>
      </c>
      <c r="E4" s="5" t="s">
        <v>4130</v>
      </c>
      <c r="F4" s="5"/>
      <c r="G4" s="5"/>
      <c r="H4" s="5"/>
      <c r="I4" s="5"/>
      <c r="J4" s="5"/>
      <c r="K4" s="5"/>
      <c r="L4" s="5"/>
      <c r="M4" s="5"/>
      <c r="N4" s="5"/>
      <c r="O4" s="5"/>
      <c r="P4" s="11" t="s">
        <v>46</v>
      </c>
      <c r="Q4" s="5">
        <v>222.80600000000001</v>
      </c>
      <c r="R4" s="5">
        <f t="shared" ref="R4:R67" si="0">IF(AND(P4="",Q4=""),"",SUM(P4:Q4))</f>
        <v>222.80600000000001</v>
      </c>
      <c r="S4" s="5" t="s">
        <v>47</v>
      </c>
      <c r="T4" s="12">
        <v>1</v>
      </c>
      <c r="U4" s="231" t="s">
        <v>48</v>
      </c>
      <c r="V4" s="232" t="s">
        <v>43</v>
      </c>
      <c r="W4" s="232">
        <v>8983.5</v>
      </c>
      <c r="X4" s="232">
        <v>-4897.1000000000004</v>
      </c>
      <c r="Y4" s="233" t="s">
        <v>49</v>
      </c>
      <c r="Z4" s="87" t="s">
        <v>50</v>
      </c>
      <c r="AA4" s="233" t="s">
        <v>51</v>
      </c>
      <c r="AB4" s="234"/>
      <c r="AC4" s="233">
        <v>1</v>
      </c>
      <c r="AD4" s="233" t="s">
        <v>52</v>
      </c>
      <c r="AE4" s="234"/>
      <c r="AF4" s="234"/>
      <c r="AG4" s="233" t="s">
        <v>53</v>
      </c>
      <c r="AH4" s="233">
        <v>5</v>
      </c>
      <c r="AI4" s="233">
        <v>100</v>
      </c>
      <c r="AJ4" s="233" t="s">
        <v>54</v>
      </c>
      <c r="AK4" s="233">
        <v>5</v>
      </c>
      <c r="AL4" s="233"/>
      <c r="AM4" s="233"/>
      <c r="AN4" s="233"/>
      <c r="AO4" s="233"/>
      <c r="AP4" s="234"/>
      <c r="AQ4" s="234" t="s">
        <v>55</v>
      </c>
    </row>
    <row r="5" spans="1:43">
      <c r="A5" s="12">
        <v>510</v>
      </c>
      <c r="B5" s="21" t="s">
        <v>4131</v>
      </c>
      <c r="C5" s="5" t="s">
        <v>3162</v>
      </c>
      <c r="D5" s="5" t="s">
        <v>4132</v>
      </c>
      <c r="E5" s="5" t="s">
        <v>4133</v>
      </c>
      <c r="F5" s="5" t="s">
        <v>4134</v>
      </c>
      <c r="G5" s="5" t="s">
        <v>4135</v>
      </c>
      <c r="H5" s="11" t="s">
        <v>4136</v>
      </c>
      <c r="I5" s="5"/>
      <c r="J5" s="5"/>
      <c r="K5" s="5"/>
      <c r="L5" s="5"/>
      <c r="M5" s="5"/>
      <c r="N5" s="5"/>
      <c r="O5" s="5"/>
      <c r="P5" s="11">
        <v>258.0421</v>
      </c>
      <c r="Q5" s="5">
        <v>54.770400000000002</v>
      </c>
      <c r="R5" s="5">
        <f t="shared" si="0"/>
        <v>312.8125</v>
      </c>
      <c r="S5" s="5" t="s">
        <v>1931</v>
      </c>
      <c r="T5" s="12">
        <v>510</v>
      </c>
      <c r="U5" s="258" t="s">
        <v>3168</v>
      </c>
      <c r="V5" s="232" t="s">
        <v>3162</v>
      </c>
      <c r="W5" s="232">
        <v>12413</v>
      </c>
      <c r="X5" s="232">
        <v>-8492.5</v>
      </c>
      <c r="Y5" s="233" t="s">
        <v>49</v>
      </c>
      <c r="Z5" s="87" t="s">
        <v>50</v>
      </c>
      <c r="AA5" s="233" t="s">
        <v>51</v>
      </c>
      <c r="AB5" s="234"/>
      <c r="AC5" s="233">
        <v>1</v>
      </c>
      <c r="AD5" s="233" t="s">
        <v>52</v>
      </c>
      <c r="AE5" s="234"/>
      <c r="AF5" s="234"/>
      <c r="AG5" s="233" t="s">
        <v>62</v>
      </c>
      <c r="AH5" s="233">
        <v>5</v>
      </c>
      <c r="AI5" s="233">
        <v>100</v>
      </c>
      <c r="AJ5" s="233" t="s">
        <v>54</v>
      </c>
      <c r="AK5" s="233">
        <v>5</v>
      </c>
      <c r="AL5" s="233"/>
      <c r="AM5" s="233"/>
      <c r="AN5" s="233"/>
      <c r="AO5" s="233"/>
      <c r="AP5" s="234"/>
      <c r="AQ5" s="234" t="s">
        <v>55</v>
      </c>
    </row>
    <row r="6" spans="1:43">
      <c r="A6" s="12">
        <v>3</v>
      </c>
      <c r="B6" s="21" t="s">
        <v>4137</v>
      </c>
      <c r="C6" s="5" t="s">
        <v>64</v>
      </c>
      <c r="D6" s="5" t="s">
        <v>4138</v>
      </c>
      <c r="E6" s="5" t="s">
        <v>4139</v>
      </c>
      <c r="F6" s="5"/>
      <c r="G6" s="5"/>
      <c r="H6" s="5"/>
      <c r="I6" s="5"/>
      <c r="J6" s="5"/>
      <c r="K6" s="5"/>
      <c r="L6" s="5"/>
      <c r="M6" s="5"/>
      <c r="N6" s="5"/>
      <c r="O6" s="5"/>
      <c r="P6" s="11" t="s">
        <v>46</v>
      </c>
      <c r="Q6" s="5">
        <v>222.79849999999999</v>
      </c>
      <c r="R6" s="5">
        <f t="shared" si="0"/>
        <v>222.79849999999999</v>
      </c>
      <c r="S6" s="5" t="s">
        <v>67</v>
      </c>
      <c r="T6" s="12">
        <v>3</v>
      </c>
      <c r="U6" s="231" t="s">
        <v>68</v>
      </c>
      <c r="V6" s="232" t="s">
        <v>64</v>
      </c>
      <c r="W6" s="232">
        <v>11455.4</v>
      </c>
      <c r="X6" s="232">
        <v>-8192.7999999999993</v>
      </c>
      <c r="Y6" s="233" t="s">
        <v>49</v>
      </c>
      <c r="Z6" s="87" t="s">
        <v>50</v>
      </c>
      <c r="AA6" s="233" t="s">
        <v>51</v>
      </c>
      <c r="AB6" s="234"/>
      <c r="AC6" s="233">
        <v>1</v>
      </c>
      <c r="AD6" s="233" t="s">
        <v>52</v>
      </c>
      <c r="AE6" s="234"/>
      <c r="AF6" s="234"/>
      <c r="AG6" s="233" t="s">
        <v>69</v>
      </c>
      <c r="AH6" s="233">
        <v>5</v>
      </c>
      <c r="AI6" s="233">
        <v>100</v>
      </c>
      <c r="AJ6" s="233" t="s">
        <v>54</v>
      </c>
      <c r="AK6" s="233">
        <v>5</v>
      </c>
      <c r="AL6" s="233"/>
      <c r="AM6" s="233"/>
      <c r="AN6" s="233"/>
      <c r="AO6" s="233"/>
      <c r="AP6" s="234"/>
      <c r="AQ6" s="234" t="s">
        <v>55</v>
      </c>
    </row>
    <row r="7" spans="1:43">
      <c r="A7" s="12">
        <v>541</v>
      </c>
      <c r="B7" s="21" t="s">
        <v>4140</v>
      </c>
      <c r="C7" s="5" t="s">
        <v>3433</v>
      </c>
      <c r="D7" s="5" t="s">
        <v>4141</v>
      </c>
      <c r="E7" s="5" t="s">
        <v>4142</v>
      </c>
      <c r="F7" s="5" t="s">
        <v>4143</v>
      </c>
      <c r="G7" s="5" t="s">
        <v>4144</v>
      </c>
      <c r="H7" s="11" t="s">
        <v>4145</v>
      </c>
      <c r="I7" s="5"/>
      <c r="J7" s="5"/>
      <c r="K7" s="5"/>
      <c r="L7" s="5"/>
      <c r="M7" s="5"/>
      <c r="N7" s="5"/>
      <c r="O7" s="5"/>
      <c r="P7" s="11">
        <v>258.00139999999999</v>
      </c>
      <c r="Q7" s="5">
        <v>54.607100000000003</v>
      </c>
      <c r="R7" s="5">
        <f t="shared" si="0"/>
        <v>312.60849999999999</v>
      </c>
      <c r="S7" s="5" t="s">
        <v>2411</v>
      </c>
      <c r="T7" s="12">
        <v>541</v>
      </c>
      <c r="U7" s="258" t="s">
        <v>3439</v>
      </c>
      <c r="V7" s="232" t="s">
        <v>3433</v>
      </c>
      <c r="W7" s="232">
        <v>10945.9</v>
      </c>
      <c r="X7" s="232">
        <v>-7035.5</v>
      </c>
      <c r="Y7" s="233" t="s">
        <v>49</v>
      </c>
      <c r="Z7" s="87" t="s">
        <v>50</v>
      </c>
      <c r="AA7" s="233" t="s">
        <v>51</v>
      </c>
      <c r="AB7" s="234"/>
      <c r="AC7" s="233">
        <v>1</v>
      </c>
      <c r="AD7" s="233" t="s">
        <v>52</v>
      </c>
      <c r="AE7" s="234"/>
      <c r="AF7" s="234"/>
      <c r="AG7" s="233" t="s">
        <v>76</v>
      </c>
      <c r="AH7" s="233">
        <v>5</v>
      </c>
      <c r="AI7" s="233">
        <v>100</v>
      </c>
      <c r="AJ7" s="233" t="s">
        <v>54</v>
      </c>
      <c r="AK7" s="233">
        <v>5</v>
      </c>
      <c r="AL7" s="233"/>
      <c r="AM7" s="233"/>
      <c r="AN7" s="233"/>
      <c r="AO7" s="233"/>
      <c r="AP7" s="234"/>
      <c r="AQ7" s="234" t="s">
        <v>55</v>
      </c>
    </row>
    <row r="8" spans="1:43">
      <c r="A8" s="12">
        <v>5</v>
      </c>
      <c r="B8" s="21" t="s">
        <v>4146</v>
      </c>
      <c r="C8" s="5" t="s">
        <v>78</v>
      </c>
      <c r="D8" s="5" t="s">
        <v>4147</v>
      </c>
      <c r="E8" s="5" t="s">
        <v>4148</v>
      </c>
      <c r="F8" s="5"/>
      <c r="G8" s="5"/>
      <c r="H8" s="5"/>
      <c r="I8" s="5"/>
      <c r="J8" s="5"/>
      <c r="K8" s="5"/>
      <c r="L8" s="5"/>
      <c r="M8" s="5"/>
      <c r="N8" s="5"/>
      <c r="O8" s="5"/>
      <c r="P8" s="11" t="s">
        <v>46</v>
      </c>
      <c r="Q8" s="5">
        <v>222.809</v>
      </c>
      <c r="R8" s="5">
        <f t="shared" si="0"/>
        <v>222.809</v>
      </c>
      <c r="S8" s="5" t="s">
        <v>67</v>
      </c>
      <c r="T8" s="12">
        <v>5</v>
      </c>
      <c r="U8" s="231" t="s">
        <v>81</v>
      </c>
      <c r="V8" s="232" t="s">
        <v>78</v>
      </c>
      <c r="W8" s="232">
        <v>10945.9</v>
      </c>
      <c r="X8" s="232">
        <v>-5854.3</v>
      </c>
      <c r="Y8" s="233" t="s">
        <v>49</v>
      </c>
      <c r="Z8" s="87" t="s">
        <v>50</v>
      </c>
      <c r="AA8" s="233" t="s">
        <v>51</v>
      </c>
      <c r="AB8" s="234"/>
      <c r="AC8" s="233">
        <v>1</v>
      </c>
      <c r="AD8" s="233" t="s">
        <v>52</v>
      </c>
      <c r="AE8" s="234"/>
      <c r="AF8" s="234"/>
      <c r="AG8" s="233" t="s">
        <v>82</v>
      </c>
      <c r="AH8" s="233">
        <v>5</v>
      </c>
      <c r="AI8" s="233">
        <v>100</v>
      </c>
      <c r="AJ8" s="233" t="s">
        <v>54</v>
      </c>
      <c r="AK8" s="233">
        <v>5</v>
      </c>
      <c r="AL8" s="233"/>
      <c r="AM8" s="233"/>
      <c r="AN8" s="233"/>
      <c r="AO8" s="233"/>
      <c r="AP8" s="234"/>
      <c r="AQ8" s="234" t="s">
        <v>55</v>
      </c>
    </row>
    <row r="9" spans="1:43">
      <c r="A9" s="12">
        <v>542</v>
      </c>
      <c r="B9" s="21" t="s">
        <v>4149</v>
      </c>
      <c r="C9" s="5" t="s">
        <v>3442</v>
      </c>
      <c r="D9" s="5" t="s">
        <v>4150</v>
      </c>
      <c r="E9" s="5" t="s">
        <v>4151</v>
      </c>
      <c r="F9" s="5" t="s">
        <v>4152</v>
      </c>
      <c r="G9" s="5" t="s">
        <v>4153</v>
      </c>
      <c r="H9" s="11" t="s">
        <v>4154</v>
      </c>
      <c r="I9" s="5"/>
      <c r="J9" s="5"/>
      <c r="K9" s="5"/>
      <c r="L9" s="5"/>
      <c r="M9" s="5"/>
      <c r="N9" s="5"/>
      <c r="O9" s="5"/>
      <c r="P9" s="11">
        <v>257.99</v>
      </c>
      <c r="Q9" s="5">
        <v>54.845100000000002</v>
      </c>
      <c r="R9" s="5">
        <f t="shared" si="0"/>
        <v>312.83510000000001</v>
      </c>
      <c r="S9" s="5" t="s">
        <v>282</v>
      </c>
      <c r="T9" s="12">
        <v>542</v>
      </c>
      <c r="U9" s="258" t="s">
        <v>3448</v>
      </c>
      <c r="V9" s="232" t="s">
        <v>3442</v>
      </c>
      <c r="W9" s="232">
        <v>8983.5</v>
      </c>
      <c r="X9" s="232">
        <v>-3258.8</v>
      </c>
      <c r="Y9" s="233" t="s">
        <v>49</v>
      </c>
      <c r="Z9" s="87" t="s">
        <v>50</v>
      </c>
      <c r="AA9" s="233" t="s">
        <v>51</v>
      </c>
      <c r="AB9" s="234"/>
      <c r="AC9" s="233">
        <v>1</v>
      </c>
      <c r="AD9" s="233" t="s">
        <v>52</v>
      </c>
      <c r="AE9" s="234"/>
      <c r="AF9" s="234"/>
      <c r="AG9" s="233" t="s">
        <v>88</v>
      </c>
      <c r="AH9" s="233">
        <v>5</v>
      </c>
      <c r="AI9" s="233">
        <v>100</v>
      </c>
      <c r="AJ9" s="233" t="s">
        <v>54</v>
      </c>
      <c r="AK9" s="233">
        <v>5</v>
      </c>
      <c r="AL9" s="233"/>
      <c r="AM9" s="233"/>
      <c r="AN9" s="233"/>
      <c r="AO9" s="233"/>
      <c r="AP9" s="234"/>
      <c r="AQ9" s="234" t="s">
        <v>55</v>
      </c>
    </row>
    <row r="10" spans="1:43">
      <c r="A10" s="12">
        <v>7</v>
      </c>
      <c r="B10" s="21" t="s">
        <v>4155</v>
      </c>
      <c r="C10" s="5" t="s">
        <v>90</v>
      </c>
      <c r="D10" s="5" t="s">
        <v>4156</v>
      </c>
      <c r="E10" s="5" t="s">
        <v>4157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11" t="s">
        <v>46</v>
      </c>
      <c r="Q10" s="5">
        <v>222.79239999999999</v>
      </c>
      <c r="R10" s="5">
        <f t="shared" si="0"/>
        <v>222.79239999999999</v>
      </c>
      <c r="S10" s="5" t="s">
        <v>60</v>
      </c>
      <c r="T10" s="12">
        <v>7</v>
      </c>
      <c r="U10" s="231" t="s">
        <v>93</v>
      </c>
      <c r="V10" s="232" t="s">
        <v>90</v>
      </c>
      <c r="W10" s="232">
        <v>12786.5</v>
      </c>
      <c r="X10" s="232">
        <v>-7784.1</v>
      </c>
      <c r="Y10" s="233" t="s">
        <v>49</v>
      </c>
      <c r="Z10" s="87" t="s">
        <v>50</v>
      </c>
      <c r="AA10" s="233" t="s">
        <v>51</v>
      </c>
      <c r="AB10" s="234"/>
      <c r="AC10" s="233">
        <v>1</v>
      </c>
      <c r="AD10" s="233" t="s">
        <v>52</v>
      </c>
      <c r="AE10" s="234"/>
      <c r="AF10" s="234"/>
      <c r="AG10" s="233" t="s">
        <v>94</v>
      </c>
      <c r="AH10" s="233">
        <v>5</v>
      </c>
      <c r="AI10" s="233">
        <v>100</v>
      </c>
      <c r="AJ10" s="233" t="s">
        <v>54</v>
      </c>
      <c r="AK10" s="233">
        <v>5</v>
      </c>
      <c r="AL10" s="233"/>
      <c r="AM10" s="233"/>
      <c r="AN10" s="233"/>
      <c r="AO10" s="233"/>
      <c r="AP10" s="234"/>
      <c r="AQ10" s="234" t="s">
        <v>55</v>
      </c>
    </row>
    <row r="11" spans="1:43">
      <c r="A11" s="12">
        <v>429</v>
      </c>
      <c r="B11" s="21" t="s">
        <v>4158</v>
      </c>
      <c r="C11" s="5" t="s">
        <v>2687</v>
      </c>
      <c r="D11" s="5" t="s">
        <v>4159</v>
      </c>
      <c r="E11" s="5" t="s">
        <v>4160</v>
      </c>
      <c r="F11" s="5" t="s">
        <v>4161</v>
      </c>
      <c r="G11" s="5" t="s">
        <v>4162</v>
      </c>
      <c r="H11" s="11" t="s">
        <v>4163</v>
      </c>
      <c r="I11" s="5"/>
      <c r="J11" s="5"/>
      <c r="K11" s="5"/>
      <c r="L11" s="5"/>
      <c r="M11" s="5"/>
      <c r="N11" s="5"/>
      <c r="O11" s="5"/>
      <c r="P11" s="11">
        <v>258.03289999999998</v>
      </c>
      <c r="Q11" s="5">
        <v>54.4664</v>
      </c>
      <c r="R11" s="5">
        <f t="shared" si="0"/>
        <v>312.49930000000001</v>
      </c>
      <c r="S11" s="5" t="s">
        <v>488</v>
      </c>
      <c r="T11" s="12">
        <v>429</v>
      </c>
      <c r="U11" s="255" t="s">
        <v>2693</v>
      </c>
      <c r="V11" s="232" t="s">
        <v>2687</v>
      </c>
      <c r="W11" s="232">
        <v>12702.5</v>
      </c>
      <c r="X11" s="232">
        <v>-7123.4</v>
      </c>
      <c r="Y11" s="233" t="s">
        <v>49</v>
      </c>
      <c r="Z11" s="87" t="s">
        <v>50</v>
      </c>
      <c r="AA11" s="233" t="s">
        <v>51</v>
      </c>
      <c r="AB11" s="234"/>
      <c r="AC11" s="233">
        <v>1</v>
      </c>
      <c r="AD11" s="233" t="s">
        <v>52</v>
      </c>
      <c r="AE11" s="234"/>
      <c r="AF11" s="234"/>
      <c r="AG11" s="233" t="s">
        <v>100</v>
      </c>
      <c r="AH11" s="233">
        <v>5</v>
      </c>
      <c r="AI11" s="233">
        <v>100</v>
      </c>
      <c r="AJ11" s="233" t="s">
        <v>54</v>
      </c>
      <c r="AK11" s="233">
        <v>5</v>
      </c>
      <c r="AL11" s="233"/>
      <c r="AM11" s="233"/>
      <c r="AN11" s="233"/>
      <c r="AO11" s="233"/>
      <c r="AP11" s="234"/>
      <c r="AQ11" s="234" t="s">
        <v>55</v>
      </c>
    </row>
    <row r="12" spans="1:43">
      <c r="A12" s="12">
        <v>9</v>
      </c>
      <c r="B12" s="21" t="s">
        <v>4164</v>
      </c>
      <c r="C12" s="5" t="s">
        <v>102</v>
      </c>
      <c r="D12" s="5" t="s">
        <v>4165</v>
      </c>
      <c r="E12" s="5" t="s">
        <v>4166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11" t="s">
        <v>46</v>
      </c>
      <c r="Q12" s="5">
        <v>222.86920000000001</v>
      </c>
      <c r="R12" s="5">
        <f t="shared" si="0"/>
        <v>222.86920000000001</v>
      </c>
      <c r="S12" s="5" t="s">
        <v>60</v>
      </c>
      <c r="T12" s="12">
        <v>9</v>
      </c>
      <c r="U12" s="231" t="s">
        <v>105</v>
      </c>
      <c r="V12" s="232" t="s">
        <v>102</v>
      </c>
      <c r="W12" s="232">
        <v>12413</v>
      </c>
      <c r="X12" s="232">
        <v>-6295.4</v>
      </c>
      <c r="Y12" s="233" t="s">
        <v>49</v>
      </c>
      <c r="Z12" s="87" t="s">
        <v>50</v>
      </c>
      <c r="AA12" s="233" t="s">
        <v>51</v>
      </c>
      <c r="AB12" s="234"/>
      <c r="AC12" s="233">
        <v>1</v>
      </c>
      <c r="AD12" s="233" t="s">
        <v>52</v>
      </c>
      <c r="AE12" s="234"/>
      <c r="AF12" s="234"/>
      <c r="AG12" s="233" t="s">
        <v>106</v>
      </c>
      <c r="AH12" s="233">
        <v>5</v>
      </c>
      <c r="AI12" s="233">
        <v>100</v>
      </c>
      <c r="AJ12" s="233" t="s">
        <v>54</v>
      </c>
      <c r="AK12" s="233">
        <v>5</v>
      </c>
      <c r="AL12" s="233"/>
      <c r="AM12" s="233"/>
      <c r="AN12" s="233"/>
      <c r="AO12" s="233"/>
      <c r="AP12" s="234"/>
      <c r="AQ12" s="234" t="s">
        <v>55</v>
      </c>
    </row>
    <row r="13" spans="1:43">
      <c r="A13" s="12">
        <v>10</v>
      </c>
      <c r="B13" s="21" t="s">
        <v>4167</v>
      </c>
      <c r="C13" s="5" t="s">
        <v>108</v>
      </c>
      <c r="D13" s="5" t="s">
        <v>4168</v>
      </c>
      <c r="E13" s="5" t="s">
        <v>4169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11" t="s">
        <v>46</v>
      </c>
      <c r="Q13" s="5">
        <v>222.8261</v>
      </c>
      <c r="R13" s="5">
        <f t="shared" si="0"/>
        <v>222.8261</v>
      </c>
      <c r="S13" s="5" t="s">
        <v>74</v>
      </c>
      <c r="T13" s="12">
        <v>10</v>
      </c>
      <c r="U13" s="231" t="s">
        <v>111</v>
      </c>
      <c r="V13" s="232" t="s">
        <v>108</v>
      </c>
      <c r="W13" s="232">
        <v>11912.6</v>
      </c>
      <c r="X13" s="232">
        <v>-6214.1</v>
      </c>
      <c r="Y13" s="233" t="s">
        <v>49</v>
      </c>
      <c r="Z13" s="87" t="s">
        <v>50</v>
      </c>
      <c r="AA13" s="233" t="s">
        <v>51</v>
      </c>
      <c r="AB13" s="234"/>
      <c r="AC13" s="233">
        <v>1</v>
      </c>
      <c r="AD13" s="233" t="s">
        <v>52</v>
      </c>
      <c r="AE13" s="234"/>
      <c r="AF13" s="234"/>
      <c r="AG13" s="233" t="s">
        <v>112</v>
      </c>
      <c r="AH13" s="233">
        <v>5</v>
      </c>
      <c r="AI13" s="233">
        <v>100</v>
      </c>
      <c r="AJ13" s="233" t="s">
        <v>54</v>
      </c>
      <c r="AK13" s="233">
        <v>5</v>
      </c>
      <c r="AL13" s="233"/>
      <c r="AM13" s="233"/>
      <c r="AN13" s="233"/>
      <c r="AO13" s="233"/>
      <c r="AP13" s="234"/>
      <c r="AQ13" s="234" t="s">
        <v>55</v>
      </c>
    </row>
    <row r="14" spans="1:43">
      <c r="A14" s="12">
        <v>317</v>
      </c>
      <c r="B14" s="21" t="s">
        <v>4170</v>
      </c>
      <c r="C14" s="5" t="s">
        <v>1764</v>
      </c>
      <c r="D14" s="5" t="s">
        <v>4171</v>
      </c>
      <c r="E14" s="5" t="s">
        <v>4172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11" t="s">
        <v>46</v>
      </c>
      <c r="Q14" s="5">
        <v>159.54249999999999</v>
      </c>
      <c r="R14" s="5">
        <f t="shared" si="0"/>
        <v>159.54249999999999</v>
      </c>
      <c r="S14" s="5" t="s">
        <v>706</v>
      </c>
      <c r="T14" s="12">
        <v>317</v>
      </c>
      <c r="U14" s="251" t="s">
        <v>1767</v>
      </c>
      <c r="V14" s="232" t="s">
        <v>1764</v>
      </c>
      <c r="W14" s="232">
        <v>12285.7</v>
      </c>
      <c r="X14" s="232">
        <v>-5587</v>
      </c>
      <c r="Y14" s="233" t="s">
        <v>49</v>
      </c>
      <c r="Z14" s="87" t="s">
        <v>50</v>
      </c>
      <c r="AA14" s="233" t="s">
        <v>51</v>
      </c>
      <c r="AB14" s="234"/>
      <c r="AC14" s="233">
        <v>1</v>
      </c>
      <c r="AD14" s="233" t="s">
        <v>52</v>
      </c>
      <c r="AE14" s="234"/>
      <c r="AF14" s="234"/>
      <c r="AG14" s="233" t="s">
        <v>118</v>
      </c>
      <c r="AH14" s="233">
        <v>5</v>
      </c>
      <c r="AI14" s="233">
        <v>100</v>
      </c>
      <c r="AJ14" s="233" t="s">
        <v>54</v>
      </c>
      <c r="AK14" s="233">
        <v>5</v>
      </c>
      <c r="AL14" s="233"/>
      <c r="AM14" s="233"/>
      <c r="AN14" s="233"/>
      <c r="AO14" s="233"/>
      <c r="AP14" s="234"/>
      <c r="AQ14" s="234" t="s">
        <v>55</v>
      </c>
    </row>
    <row r="15" spans="1:43">
      <c r="A15" s="12">
        <v>12</v>
      </c>
      <c r="B15" s="21" t="s">
        <v>4173</v>
      </c>
      <c r="C15" s="5" t="s">
        <v>120</v>
      </c>
      <c r="D15" s="5" t="s">
        <v>4174</v>
      </c>
      <c r="E15" s="5" t="s">
        <v>4175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11" t="s">
        <v>46</v>
      </c>
      <c r="Q15" s="5">
        <v>222.81059999999999</v>
      </c>
      <c r="R15" s="5">
        <f t="shared" si="0"/>
        <v>222.81059999999999</v>
      </c>
      <c r="S15" s="5" t="s">
        <v>67</v>
      </c>
      <c r="T15" s="12">
        <v>12</v>
      </c>
      <c r="U15" s="231" t="s">
        <v>123</v>
      </c>
      <c r="V15" s="232" t="s">
        <v>120</v>
      </c>
      <c r="W15" s="232">
        <v>12702.5</v>
      </c>
      <c r="X15" s="232">
        <v>-4926.3</v>
      </c>
      <c r="Y15" s="233" t="s">
        <v>49</v>
      </c>
      <c r="Z15" s="87" t="s">
        <v>50</v>
      </c>
      <c r="AA15" s="233" t="s">
        <v>51</v>
      </c>
      <c r="AB15" s="234"/>
      <c r="AC15" s="233">
        <v>1</v>
      </c>
      <c r="AD15" s="233" t="s">
        <v>52</v>
      </c>
      <c r="AE15" s="234"/>
      <c r="AF15" s="234"/>
      <c r="AG15" s="233" t="s">
        <v>124</v>
      </c>
      <c r="AH15" s="233">
        <v>5</v>
      </c>
      <c r="AI15" s="233">
        <v>100</v>
      </c>
      <c r="AJ15" s="233" t="s">
        <v>54</v>
      </c>
      <c r="AK15" s="233">
        <v>5</v>
      </c>
      <c r="AL15" s="233"/>
      <c r="AM15" s="233"/>
      <c r="AN15" s="233"/>
      <c r="AO15" s="233"/>
      <c r="AP15" s="234"/>
      <c r="AQ15" s="234" t="s">
        <v>55</v>
      </c>
    </row>
    <row r="16" spans="1:43">
      <c r="A16" s="12">
        <v>486</v>
      </c>
      <c r="B16" s="21" t="s">
        <v>4176</v>
      </c>
      <c r="C16" s="5" t="s">
        <v>3030</v>
      </c>
      <c r="D16" s="5" t="s">
        <v>4177</v>
      </c>
      <c r="E16" s="5" t="s">
        <v>4178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11" t="s">
        <v>46</v>
      </c>
      <c r="Q16" s="5">
        <v>232.87639999999999</v>
      </c>
      <c r="R16" s="5">
        <f t="shared" si="0"/>
        <v>232.87639999999999</v>
      </c>
      <c r="S16" s="5" t="s">
        <v>344</v>
      </c>
      <c r="T16" s="12">
        <v>486</v>
      </c>
      <c r="U16" s="256" t="s">
        <v>3033</v>
      </c>
      <c r="V16" s="232" t="s">
        <v>3030</v>
      </c>
      <c r="W16" s="232">
        <v>12217.9</v>
      </c>
      <c r="X16" s="232">
        <v>-4563.3999999999996</v>
      </c>
      <c r="Y16" s="233" t="s">
        <v>49</v>
      </c>
      <c r="Z16" s="87" t="s">
        <v>50</v>
      </c>
      <c r="AA16" s="233" t="s">
        <v>51</v>
      </c>
      <c r="AB16" s="234"/>
      <c r="AC16" s="233">
        <v>1</v>
      </c>
      <c r="AD16" s="233" t="s">
        <v>52</v>
      </c>
      <c r="AE16" s="234"/>
      <c r="AF16" s="234"/>
      <c r="AG16" s="233" t="s">
        <v>130</v>
      </c>
      <c r="AH16" s="233">
        <v>5</v>
      </c>
      <c r="AI16" s="233">
        <v>100</v>
      </c>
      <c r="AJ16" s="233" t="s">
        <v>54</v>
      </c>
      <c r="AK16" s="233">
        <v>5</v>
      </c>
      <c r="AL16" s="233"/>
      <c r="AM16" s="233"/>
      <c r="AN16" s="233"/>
      <c r="AO16" s="233"/>
      <c r="AP16" s="234"/>
      <c r="AQ16" s="234" t="s">
        <v>55</v>
      </c>
    </row>
    <row r="17" spans="1:43">
      <c r="A17" s="12">
        <v>14</v>
      </c>
      <c r="B17" s="21" t="s">
        <v>4179</v>
      </c>
      <c r="C17" s="5" t="s">
        <v>131</v>
      </c>
      <c r="D17" s="5" t="s">
        <v>4180</v>
      </c>
      <c r="E17" s="5" t="s">
        <v>4181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11" t="s">
        <v>46</v>
      </c>
      <c r="Q17" s="5">
        <v>222.80779999999999</v>
      </c>
      <c r="R17" s="5">
        <f t="shared" si="0"/>
        <v>222.80779999999999</v>
      </c>
      <c r="S17" s="5" t="s">
        <v>67</v>
      </c>
      <c r="T17" s="12">
        <v>14</v>
      </c>
      <c r="U17" s="231" t="s">
        <v>134</v>
      </c>
      <c r="V17" s="232" t="s">
        <v>131</v>
      </c>
      <c r="W17" s="232">
        <v>10449.6</v>
      </c>
      <c r="X17" s="232">
        <v>-7741.5</v>
      </c>
      <c r="Y17" s="233" t="s">
        <v>49</v>
      </c>
      <c r="Z17" s="87" t="s">
        <v>50</v>
      </c>
      <c r="AA17" s="233" t="s">
        <v>51</v>
      </c>
      <c r="AB17" s="234"/>
      <c r="AC17" s="233">
        <v>1</v>
      </c>
      <c r="AD17" s="233" t="s">
        <v>52</v>
      </c>
      <c r="AE17" s="234"/>
      <c r="AF17" s="234"/>
      <c r="AG17" s="233" t="s">
        <v>135</v>
      </c>
      <c r="AH17" s="233">
        <v>5</v>
      </c>
      <c r="AI17" s="233">
        <v>100</v>
      </c>
      <c r="AJ17" s="233" t="s">
        <v>54</v>
      </c>
      <c r="AK17" s="233">
        <v>5</v>
      </c>
      <c r="AL17" s="233"/>
      <c r="AM17" s="233"/>
      <c r="AN17" s="233"/>
      <c r="AO17" s="233"/>
      <c r="AP17" s="234"/>
      <c r="AQ17" s="234" t="s">
        <v>55</v>
      </c>
    </row>
    <row r="18" spans="1:43">
      <c r="A18" s="12">
        <v>15</v>
      </c>
      <c r="B18" s="21" t="s">
        <v>4182</v>
      </c>
      <c r="C18" s="5" t="s">
        <v>137</v>
      </c>
      <c r="D18" s="5" t="s">
        <v>4183</v>
      </c>
      <c r="E18" s="5" t="s">
        <v>4184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11" t="s">
        <v>46</v>
      </c>
      <c r="Q18" s="5">
        <v>222.8073</v>
      </c>
      <c r="R18" s="5">
        <f t="shared" si="0"/>
        <v>222.8073</v>
      </c>
      <c r="S18" s="5" t="s">
        <v>47</v>
      </c>
      <c r="T18" s="12">
        <v>15</v>
      </c>
      <c r="U18" s="231" t="s">
        <v>140</v>
      </c>
      <c r="V18" s="232" t="s">
        <v>137</v>
      </c>
      <c r="W18" s="232">
        <v>8272.2999999999993</v>
      </c>
      <c r="X18" s="232">
        <v>-4897.1000000000004</v>
      </c>
      <c r="Y18" s="233" t="s">
        <v>49</v>
      </c>
      <c r="Z18" s="87" t="s">
        <v>50</v>
      </c>
      <c r="AA18" s="233" t="s">
        <v>51</v>
      </c>
      <c r="AB18" s="234"/>
      <c r="AC18" s="233">
        <v>1</v>
      </c>
      <c r="AD18" s="233" t="s">
        <v>52</v>
      </c>
      <c r="AE18" s="234"/>
      <c r="AF18" s="234"/>
      <c r="AG18" s="233" t="s">
        <v>53</v>
      </c>
      <c r="AH18" s="233">
        <v>5</v>
      </c>
      <c r="AI18" s="233">
        <v>100</v>
      </c>
      <c r="AJ18" s="233" t="s">
        <v>54</v>
      </c>
      <c r="AK18" s="233">
        <v>5</v>
      </c>
      <c r="AL18" s="233"/>
      <c r="AM18" s="233"/>
      <c r="AN18" s="233"/>
      <c r="AO18" s="233"/>
      <c r="AP18" s="234"/>
      <c r="AQ18" s="234" t="s">
        <v>55</v>
      </c>
    </row>
    <row r="19" spans="1:43">
      <c r="A19" s="12">
        <v>16</v>
      </c>
      <c r="B19" s="21" t="s">
        <v>4185</v>
      </c>
      <c r="C19" s="5" t="s">
        <v>142</v>
      </c>
      <c r="D19" s="5" t="s">
        <v>4186</v>
      </c>
      <c r="E19" s="5" t="s">
        <v>4187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11" t="s">
        <v>46</v>
      </c>
      <c r="Q19" s="5">
        <v>222.83279999999999</v>
      </c>
      <c r="R19" s="5">
        <f t="shared" si="0"/>
        <v>222.83279999999999</v>
      </c>
      <c r="S19" s="5" t="s">
        <v>60</v>
      </c>
      <c r="T19" s="12">
        <v>16</v>
      </c>
      <c r="U19" s="231" t="s">
        <v>145</v>
      </c>
      <c r="V19" s="232" t="s">
        <v>142</v>
      </c>
      <c r="W19" s="232">
        <v>12915.4</v>
      </c>
      <c r="X19" s="232">
        <v>-8462.2999999999993</v>
      </c>
      <c r="Y19" s="233" t="s">
        <v>49</v>
      </c>
      <c r="Z19" s="87" t="s">
        <v>50</v>
      </c>
      <c r="AA19" s="233" t="s">
        <v>51</v>
      </c>
      <c r="AB19" s="234"/>
      <c r="AC19" s="233">
        <v>1</v>
      </c>
      <c r="AD19" s="233" t="s">
        <v>52</v>
      </c>
      <c r="AE19" s="234"/>
      <c r="AF19" s="234"/>
      <c r="AG19" s="233" t="s">
        <v>62</v>
      </c>
      <c r="AH19" s="233">
        <v>5</v>
      </c>
      <c r="AI19" s="233">
        <v>100</v>
      </c>
      <c r="AJ19" s="233" t="s">
        <v>54</v>
      </c>
      <c r="AK19" s="233">
        <v>5</v>
      </c>
      <c r="AL19" s="233"/>
      <c r="AM19" s="233"/>
      <c r="AN19" s="233"/>
      <c r="AO19" s="233"/>
      <c r="AP19" s="234"/>
      <c r="AQ19" s="234" t="s">
        <v>55</v>
      </c>
    </row>
    <row r="20" spans="1:43">
      <c r="A20" s="12">
        <v>17</v>
      </c>
      <c r="B20" s="21" t="s">
        <v>4188</v>
      </c>
      <c r="C20" s="5" t="s">
        <v>147</v>
      </c>
      <c r="D20" s="5" t="s">
        <v>4189</v>
      </c>
      <c r="E20" s="5" t="s">
        <v>4190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11" t="s">
        <v>46</v>
      </c>
      <c r="Q20" s="5">
        <v>222.79900000000001</v>
      </c>
      <c r="R20" s="5">
        <f t="shared" si="0"/>
        <v>222.79900000000001</v>
      </c>
      <c r="S20" s="5" t="s">
        <v>67</v>
      </c>
      <c r="T20" s="12">
        <v>17</v>
      </c>
      <c r="U20" s="231" t="s">
        <v>150</v>
      </c>
      <c r="V20" s="232" t="s">
        <v>147</v>
      </c>
      <c r="W20" s="232">
        <v>11553.9</v>
      </c>
      <c r="X20" s="232">
        <v>-9009.9</v>
      </c>
      <c r="Y20" s="233" t="s">
        <v>49</v>
      </c>
      <c r="Z20" s="87" t="s">
        <v>50</v>
      </c>
      <c r="AA20" s="233" t="s">
        <v>51</v>
      </c>
      <c r="AB20" s="234"/>
      <c r="AC20" s="233">
        <v>1</v>
      </c>
      <c r="AD20" s="233" t="s">
        <v>52</v>
      </c>
      <c r="AE20" s="234"/>
      <c r="AF20" s="234"/>
      <c r="AG20" s="233" t="s">
        <v>69</v>
      </c>
      <c r="AH20" s="233">
        <v>5</v>
      </c>
      <c r="AI20" s="233">
        <v>100</v>
      </c>
      <c r="AJ20" s="233" t="s">
        <v>54</v>
      </c>
      <c r="AK20" s="233">
        <v>5</v>
      </c>
      <c r="AL20" s="233"/>
      <c r="AM20" s="233"/>
      <c r="AN20" s="233"/>
      <c r="AO20" s="233"/>
      <c r="AP20" s="234"/>
      <c r="AQ20" s="234" t="s">
        <v>55</v>
      </c>
    </row>
    <row r="21" spans="1:43">
      <c r="A21" s="12">
        <v>18</v>
      </c>
      <c r="B21" s="21" t="s">
        <v>4191</v>
      </c>
      <c r="C21" s="5" t="s">
        <v>152</v>
      </c>
      <c r="D21" s="5" t="s">
        <v>4192</v>
      </c>
      <c r="E21" s="5" t="s">
        <v>4193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11" t="s">
        <v>46</v>
      </c>
      <c r="Q21" s="5">
        <v>222.84280000000001</v>
      </c>
      <c r="R21" s="5">
        <f t="shared" si="0"/>
        <v>222.84280000000001</v>
      </c>
      <c r="S21" s="5" t="s">
        <v>74</v>
      </c>
      <c r="T21" s="12">
        <v>18</v>
      </c>
      <c r="U21" s="231" t="s">
        <v>155</v>
      </c>
      <c r="V21" s="232" t="s">
        <v>152</v>
      </c>
      <c r="W21" s="232">
        <v>10289.299999999999</v>
      </c>
      <c r="X21" s="232">
        <v>-6694.5</v>
      </c>
      <c r="Y21" s="233" t="s">
        <v>49</v>
      </c>
      <c r="Z21" s="87" t="s">
        <v>50</v>
      </c>
      <c r="AA21" s="233" t="s">
        <v>51</v>
      </c>
      <c r="AB21" s="234"/>
      <c r="AC21" s="233">
        <v>1</v>
      </c>
      <c r="AD21" s="233" t="s">
        <v>52</v>
      </c>
      <c r="AE21" s="234"/>
      <c r="AF21" s="234"/>
      <c r="AG21" s="233" t="s">
        <v>76</v>
      </c>
      <c r="AH21" s="233">
        <v>5</v>
      </c>
      <c r="AI21" s="233">
        <v>100</v>
      </c>
      <c r="AJ21" s="233" t="s">
        <v>54</v>
      </c>
      <c r="AK21" s="233">
        <v>5</v>
      </c>
      <c r="AL21" s="233"/>
      <c r="AM21" s="233"/>
      <c r="AN21" s="233"/>
      <c r="AO21" s="233"/>
      <c r="AP21" s="234"/>
      <c r="AQ21" s="234" t="s">
        <v>55</v>
      </c>
    </row>
    <row r="22" spans="1:43">
      <c r="A22" s="12">
        <v>19</v>
      </c>
      <c r="B22" s="21" t="s">
        <v>4194</v>
      </c>
      <c r="C22" s="5" t="s">
        <v>157</v>
      </c>
      <c r="D22" s="5" t="s">
        <v>4195</v>
      </c>
      <c r="E22" s="5" t="s">
        <v>4196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11" t="s">
        <v>46</v>
      </c>
      <c r="Q22" s="5">
        <v>222.85740000000001</v>
      </c>
      <c r="R22" s="5">
        <f t="shared" si="0"/>
        <v>222.85740000000001</v>
      </c>
      <c r="S22" s="5" t="s">
        <v>67</v>
      </c>
      <c r="T22" s="12">
        <v>19</v>
      </c>
      <c r="U22" s="231" t="s">
        <v>160</v>
      </c>
      <c r="V22" s="232" t="s">
        <v>157</v>
      </c>
      <c r="W22" s="232">
        <v>10289.299999999999</v>
      </c>
      <c r="X22" s="232">
        <v>-5521.3</v>
      </c>
      <c r="Y22" s="233" t="s">
        <v>49</v>
      </c>
      <c r="Z22" s="87" t="s">
        <v>50</v>
      </c>
      <c r="AA22" s="233" t="s">
        <v>51</v>
      </c>
      <c r="AB22" s="234"/>
      <c r="AC22" s="233">
        <v>1</v>
      </c>
      <c r="AD22" s="233" t="s">
        <v>52</v>
      </c>
      <c r="AE22" s="234"/>
      <c r="AF22" s="234"/>
      <c r="AG22" s="233" t="s">
        <v>82</v>
      </c>
      <c r="AH22" s="233">
        <v>5</v>
      </c>
      <c r="AI22" s="233">
        <v>100</v>
      </c>
      <c r="AJ22" s="233" t="s">
        <v>54</v>
      </c>
      <c r="AK22" s="233">
        <v>5</v>
      </c>
      <c r="AL22" s="233"/>
      <c r="AM22" s="233"/>
      <c r="AN22" s="233"/>
      <c r="AO22" s="233"/>
      <c r="AP22" s="234"/>
      <c r="AQ22" s="234" t="s">
        <v>55</v>
      </c>
    </row>
    <row r="23" spans="1:43">
      <c r="A23" s="12">
        <v>20</v>
      </c>
      <c r="B23" s="21" t="s">
        <v>4197</v>
      </c>
      <c r="C23" s="5" t="s">
        <v>162</v>
      </c>
      <c r="D23" s="5" t="s">
        <v>4198</v>
      </c>
      <c r="E23" s="5" t="s">
        <v>4199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11" t="s">
        <v>46</v>
      </c>
      <c r="Q23" s="5">
        <v>222.81360000000001</v>
      </c>
      <c r="R23" s="5">
        <f t="shared" si="0"/>
        <v>222.81360000000001</v>
      </c>
      <c r="S23" s="5" t="s">
        <v>47</v>
      </c>
      <c r="T23" s="12">
        <v>20</v>
      </c>
      <c r="U23" s="231" t="s">
        <v>165</v>
      </c>
      <c r="V23" s="232" t="s">
        <v>162</v>
      </c>
      <c r="W23" s="232">
        <v>8272.2999999999993</v>
      </c>
      <c r="X23" s="232">
        <v>-3258.8</v>
      </c>
      <c r="Y23" s="233" t="s">
        <v>49</v>
      </c>
      <c r="Z23" s="87" t="s">
        <v>50</v>
      </c>
      <c r="AA23" s="233" t="s">
        <v>51</v>
      </c>
      <c r="AB23" s="234"/>
      <c r="AC23" s="233">
        <v>1</v>
      </c>
      <c r="AD23" s="233" t="s">
        <v>52</v>
      </c>
      <c r="AE23" s="234"/>
      <c r="AF23" s="234"/>
      <c r="AG23" s="233" t="s">
        <v>88</v>
      </c>
      <c r="AH23" s="233">
        <v>5</v>
      </c>
      <c r="AI23" s="233">
        <v>100</v>
      </c>
      <c r="AJ23" s="233" t="s">
        <v>54</v>
      </c>
      <c r="AK23" s="233">
        <v>5</v>
      </c>
      <c r="AL23" s="233"/>
      <c r="AM23" s="233"/>
      <c r="AN23" s="233"/>
      <c r="AO23" s="233"/>
      <c r="AP23" s="234"/>
      <c r="AQ23" s="234" t="s">
        <v>55</v>
      </c>
    </row>
    <row r="24" spans="1:43">
      <c r="A24" s="12">
        <v>21</v>
      </c>
      <c r="B24" s="21" t="s">
        <v>4200</v>
      </c>
      <c r="C24" s="5" t="s">
        <v>167</v>
      </c>
      <c r="D24" s="5" t="s">
        <v>4201</v>
      </c>
      <c r="E24" s="5" t="s">
        <v>4202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11" t="s">
        <v>46</v>
      </c>
      <c r="Q24" s="5">
        <v>222.78800000000001</v>
      </c>
      <c r="R24" s="5">
        <f t="shared" si="0"/>
        <v>222.78800000000001</v>
      </c>
      <c r="S24" s="5" t="s">
        <v>60</v>
      </c>
      <c r="T24" s="12">
        <v>21</v>
      </c>
      <c r="U24" s="231" t="s">
        <v>170</v>
      </c>
      <c r="V24" s="232" t="s">
        <v>167</v>
      </c>
      <c r="W24" s="232">
        <v>12285.7</v>
      </c>
      <c r="X24" s="232">
        <v>-7784.1</v>
      </c>
      <c r="Y24" s="233" t="s">
        <v>49</v>
      </c>
      <c r="Z24" s="87" t="s">
        <v>50</v>
      </c>
      <c r="AA24" s="233" t="s">
        <v>51</v>
      </c>
      <c r="AB24" s="234"/>
      <c r="AC24" s="233">
        <v>1</v>
      </c>
      <c r="AD24" s="233" t="s">
        <v>52</v>
      </c>
      <c r="AE24" s="234"/>
      <c r="AF24" s="234"/>
      <c r="AG24" s="233" t="s">
        <v>94</v>
      </c>
      <c r="AH24" s="233">
        <v>5</v>
      </c>
      <c r="AI24" s="233">
        <v>100</v>
      </c>
      <c r="AJ24" s="233" t="s">
        <v>54</v>
      </c>
      <c r="AK24" s="233">
        <v>5</v>
      </c>
      <c r="AL24" s="233"/>
      <c r="AM24" s="233"/>
      <c r="AN24" s="233"/>
      <c r="AO24" s="233"/>
      <c r="AP24" s="234"/>
      <c r="AQ24" s="234" t="s">
        <v>55</v>
      </c>
    </row>
    <row r="25" spans="1:43">
      <c r="A25" s="12">
        <v>22</v>
      </c>
      <c r="B25" s="21" t="s">
        <v>4203</v>
      </c>
      <c r="C25" s="5" t="s">
        <v>172</v>
      </c>
      <c r="D25" s="5" t="s">
        <v>4204</v>
      </c>
      <c r="E25" s="5" t="s">
        <v>4205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11" t="s">
        <v>46</v>
      </c>
      <c r="Q25" s="5">
        <v>222.79640000000001</v>
      </c>
      <c r="R25" s="5">
        <f t="shared" si="0"/>
        <v>222.79640000000001</v>
      </c>
      <c r="S25" s="5" t="s">
        <v>67</v>
      </c>
      <c r="T25" s="12">
        <v>22</v>
      </c>
      <c r="U25" s="231" t="s">
        <v>175</v>
      </c>
      <c r="V25" s="232" t="s">
        <v>172</v>
      </c>
      <c r="W25" s="232">
        <v>12217.9</v>
      </c>
      <c r="X25" s="232">
        <v>-6760.5</v>
      </c>
      <c r="Y25" s="233" t="s">
        <v>49</v>
      </c>
      <c r="Z25" s="87" t="s">
        <v>50</v>
      </c>
      <c r="AA25" s="233" t="s">
        <v>51</v>
      </c>
      <c r="AB25" s="234"/>
      <c r="AC25" s="233">
        <v>1</v>
      </c>
      <c r="AD25" s="233" t="s">
        <v>52</v>
      </c>
      <c r="AE25" s="234"/>
      <c r="AF25" s="234"/>
      <c r="AG25" s="233" t="s">
        <v>100</v>
      </c>
      <c r="AH25" s="233">
        <v>5</v>
      </c>
      <c r="AI25" s="233">
        <v>100</v>
      </c>
      <c r="AJ25" s="233" t="s">
        <v>54</v>
      </c>
      <c r="AK25" s="233">
        <v>5</v>
      </c>
      <c r="AL25" s="233"/>
      <c r="AM25" s="233"/>
      <c r="AN25" s="233"/>
      <c r="AO25" s="233"/>
      <c r="AP25" s="234"/>
      <c r="AQ25" s="234" t="s">
        <v>55</v>
      </c>
    </row>
    <row r="26" spans="1:43">
      <c r="A26" s="12">
        <v>23</v>
      </c>
      <c r="B26" s="21" t="s">
        <v>4206</v>
      </c>
      <c r="C26" s="5" t="s">
        <v>177</v>
      </c>
      <c r="D26" s="5" t="s">
        <v>4207</v>
      </c>
      <c r="E26" s="5" t="s">
        <v>4208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11" t="s">
        <v>46</v>
      </c>
      <c r="Q26" s="5">
        <v>222.86340000000001</v>
      </c>
      <c r="R26" s="5">
        <f t="shared" si="0"/>
        <v>222.86340000000001</v>
      </c>
      <c r="S26" s="5" t="s">
        <v>60</v>
      </c>
      <c r="T26" s="12">
        <v>23</v>
      </c>
      <c r="U26" s="231" t="s">
        <v>180</v>
      </c>
      <c r="V26" s="232" t="s">
        <v>177</v>
      </c>
      <c r="W26" s="232">
        <v>12915.4</v>
      </c>
      <c r="X26" s="232">
        <v>-6265.2</v>
      </c>
      <c r="Y26" s="233" t="s">
        <v>49</v>
      </c>
      <c r="Z26" s="87" t="s">
        <v>50</v>
      </c>
      <c r="AA26" s="233" t="s">
        <v>51</v>
      </c>
      <c r="AB26" s="234"/>
      <c r="AC26" s="233">
        <v>1</v>
      </c>
      <c r="AD26" s="233" t="s">
        <v>52</v>
      </c>
      <c r="AE26" s="234"/>
      <c r="AF26" s="234"/>
      <c r="AG26" s="233" t="s">
        <v>106</v>
      </c>
      <c r="AH26" s="233">
        <v>5</v>
      </c>
      <c r="AI26" s="233">
        <v>100</v>
      </c>
      <c r="AJ26" s="233" t="s">
        <v>54</v>
      </c>
      <c r="AK26" s="233">
        <v>5</v>
      </c>
      <c r="AL26" s="233"/>
      <c r="AM26" s="233"/>
      <c r="AN26" s="233"/>
      <c r="AO26" s="233"/>
      <c r="AP26" s="234"/>
      <c r="AQ26" s="234" t="s">
        <v>55</v>
      </c>
    </row>
    <row r="27" spans="1:43">
      <c r="A27" s="12">
        <v>97</v>
      </c>
      <c r="B27" s="21" t="s">
        <v>4209</v>
      </c>
      <c r="C27" s="5" t="s">
        <v>655</v>
      </c>
      <c r="D27" s="5" t="s">
        <v>4210</v>
      </c>
      <c r="E27" s="5" t="s">
        <v>4211</v>
      </c>
      <c r="F27" s="5" t="s">
        <v>4212</v>
      </c>
      <c r="G27" s="5"/>
      <c r="H27" s="5"/>
      <c r="I27" s="5"/>
      <c r="J27" s="5"/>
      <c r="K27" s="5"/>
      <c r="L27" s="5"/>
      <c r="M27" s="5"/>
      <c r="N27" s="5"/>
      <c r="O27" s="5"/>
      <c r="P27" s="11" t="s">
        <v>46</v>
      </c>
      <c r="Q27" s="5">
        <v>209.21260000000001</v>
      </c>
      <c r="R27" s="5">
        <f t="shared" si="0"/>
        <v>209.21260000000001</v>
      </c>
      <c r="S27" s="5" t="s">
        <v>395</v>
      </c>
      <c r="T27" s="12">
        <v>97</v>
      </c>
      <c r="U27" s="236" t="s">
        <v>659</v>
      </c>
      <c r="V27" s="232" t="s">
        <v>655</v>
      </c>
      <c r="W27" s="232">
        <v>11455.4</v>
      </c>
      <c r="X27" s="232">
        <v>-5995.7</v>
      </c>
      <c r="Y27" s="233" t="s">
        <v>49</v>
      </c>
      <c r="Z27" s="87" t="s">
        <v>50</v>
      </c>
      <c r="AA27" s="233" t="s">
        <v>51</v>
      </c>
      <c r="AB27" s="234"/>
      <c r="AC27" s="233">
        <v>1</v>
      </c>
      <c r="AD27" s="233" t="s">
        <v>52</v>
      </c>
      <c r="AE27" s="234"/>
      <c r="AF27" s="234"/>
      <c r="AG27" s="233" t="s">
        <v>112</v>
      </c>
      <c r="AH27" s="233">
        <v>5</v>
      </c>
      <c r="AI27" s="233">
        <v>100</v>
      </c>
      <c r="AJ27" s="233" t="s">
        <v>54</v>
      </c>
      <c r="AK27" s="233">
        <v>5</v>
      </c>
      <c r="AL27" s="233"/>
      <c r="AM27" s="233"/>
      <c r="AN27" s="233"/>
      <c r="AO27" s="233"/>
      <c r="AP27" s="234"/>
      <c r="AQ27" s="234" t="s">
        <v>55</v>
      </c>
    </row>
    <row r="28" spans="1:43">
      <c r="A28" s="12">
        <v>25</v>
      </c>
      <c r="B28" s="21" t="s">
        <v>4213</v>
      </c>
      <c r="C28" s="5" t="s">
        <v>187</v>
      </c>
      <c r="D28" s="5" t="s">
        <v>4214</v>
      </c>
      <c r="E28" s="5" t="s">
        <v>4215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11" t="s">
        <v>46</v>
      </c>
      <c r="Q28" s="5">
        <v>222.83279999999999</v>
      </c>
      <c r="R28" s="5">
        <f t="shared" si="0"/>
        <v>222.83279999999999</v>
      </c>
      <c r="S28" s="5" t="s">
        <v>60</v>
      </c>
      <c r="T28" s="12">
        <v>25</v>
      </c>
      <c r="U28" s="231" t="s">
        <v>190</v>
      </c>
      <c r="V28" s="232" t="s">
        <v>187</v>
      </c>
      <c r="W28" s="232">
        <v>12786.5</v>
      </c>
      <c r="X28" s="232">
        <v>-5587</v>
      </c>
      <c r="Y28" s="233" t="s">
        <v>49</v>
      </c>
      <c r="Z28" s="87" t="s">
        <v>50</v>
      </c>
      <c r="AA28" s="233" t="s">
        <v>51</v>
      </c>
      <c r="AB28" s="234"/>
      <c r="AC28" s="233">
        <v>1</v>
      </c>
      <c r="AD28" s="233" t="s">
        <v>52</v>
      </c>
      <c r="AE28" s="234"/>
      <c r="AF28" s="234"/>
      <c r="AG28" s="233" t="s">
        <v>118</v>
      </c>
      <c r="AH28" s="233">
        <v>5</v>
      </c>
      <c r="AI28" s="233">
        <v>100</v>
      </c>
      <c r="AJ28" s="233" t="s">
        <v>54</v>
      </c>
      <c r="AK28" s="233">
        <v>5</v>
      </c>
      <c r="AL28" s="233"/>
      <c r="AM28" s="233"/>
      <c r="AN28" s="233"/>
      <c r="AO28" s="233"/>
      <c r="AP28" s="234"/>
      <c r="AQ28" s="234" t="s">
        <v>55</v>
      </c>
    </row>
    <row r="29" spans="1:43">
      <c r="A29" s="12">
        <v>26</v>
      </c>
      <c r="B29" s="21" t="s">
        <v>4216</v>
      </c>
      <c r="C29" s="5" t="s">
        <v>192</v>
      </c>
      <c r="D29" s="5" t="s">
        <v>4217</v>
      </c>
      <c r="E29" s="5" t="s">
        <v>4218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11" t="s">
        <v>46</v>
      </c>
      <c r="Q29" s="5">
        <v>222.81020000000001</v>
      </c>
      <c r="R29" s="5">
        <f t="shared" si="0"/>
        <v>222.81020000000001</v>
      </c>
      <c r="S29" s="5" t="s">
        <v>67</v>
      </c>
      <c r="T29" s="12">
        <v>26</v>
      </c>
      <c r="U29" s="231" t="s">
        <v>195</v>
      </c>
      <c r="V29" s="232" t="s">
        <v>192</v>
      </c>
      <c r="W29" s="232">
        <v>12159</v>
      </c>
      <c r="X29" s="232">
        <v>-5080</v>
      </c>
      <c r="Y29" s="233" t="s">
        <v>49</v>
      </c>
      <c r="Z29" s="87" t="s">
        <v>50</v>
      </c>
      <c r="AA29" s="233" t="s">
        <v>51</v>
      </c>
      <c r="AB29" s="234"/>
      <c r="AC29" s="233">
        <v>1</v>
      </c>
      <c r="AD29" s="233" t="s">
        <v>52</v>
      </c>
      <c r="AE29" s="234"/>
      <c r="AF29" s="234"/>
      <c r="AG29" s="233" t="s">
        <v>124</v>
      </c>
      <c r="AH29" s="233">
        <v>5</v>
      </c>
      <c r="AI29" s="233">
        <v>100</v>
      </c>
      <c r="AJ29" s="233" t="s">
        <v>54</v>
      </c>
      <c r="AK29" s="233">
        <v>5</v>
      </c>
      <c r="AL29" s="233"/>
      <c r="AM29" s="233"/>
      <c r="AN29" s="233"/>
      <c r="AO29" s="233"/>
      <c r="AP29" s="234"/>
      <c r="AQ29" s="234" t="s">
        <v>55</v>
      </c>
    </row>
    <row r="30" spans="1:43">
      <c r="A30" s="12">
        <v>27</v>
      </c>
      <c r="B30" s="21" t="s">
        <v>4219</v>
      </c>
      <c r="C30" s="5" t="s">
        <v>197</v>
      </c>
      <c r="D30" s="5" t="s">
        <v>4220</v>
      </c>
      <c r="E30" s="5" t="s">
        <v>4221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11" t="s">
        <v>46</v>
      </c>
      <c r="Q30" s="5">
        <v>222.81</v>
      </c>
      <c r="R30" s="5">
        <f t="shared" si="0"/>
        <v>222.81</v>
      </c>
      <c r="S30" s="5" t="s">
        <v>60</v>
      </c>
      <c r="T30" s="12">
        <v>27</v>
      </c>
      <c r="U30" s="231" t="s">
        <v>200</v>
      </c>
      <c r="V30" s="232" t="s">
        <v>197</v>
      </c>
      <c r="W30" s="232">
        <v>12413</v>
      </c>
      <c r="X30" s="232">
        <v>-4098.3</v>
      </c>
      <c r="Y30" s="233" t="s">
        <v>49</v>
      </c>
      <c r="Z30" s="87" t="s">
        <v>50</v>
      </c>
      <c r="AA30" s="233" t="s">
        <v>51</v>
      </c>
      <c r="AB30" s="234"/>
      <c r="AC30" s="233">
        <v>1</v>
      </c>
      <c r="AD30" s="233" t="s">
        <v>52</v>
      </c>
      <c r="AE30" s="234"/>
      <c r="AF30" s="234"/>
      <c r="AG30" s="233" t="s">
        <v>130</v>
      </c>
      <c r="AH30" s="233">
        <v>5</v>
      </c>
      <c r="AI30" s="233">
        <v>100</v>
      </c>
      <c r="AJ30" s="233" t="s">
        <v>54</v>
      </c>
      <c r="AK30" s="233">
        <v>5</v>
      </c>
      <c r="AL30" s="233"/>
      <c r="AM30" s="233"/>
      <c r="AN30" s="233"/>
      <c r="AO30" s="233"/>
      <c r="AP30" s="234"/>
      <c r="AQ30" s="234" t="s">
        <v>55</v>
      </c>
    </row>
    <row r="31" spans="1:43">
      <c r="A31" s="12">
        <v>28</v>
      </c>
      <c r="B31" s="21" t="s">
        <v>4222</v>
      </c>
      <c r="C31" s="5" t="s">
        <v>202</v>
      </c>
      <c r="D31" s="5" t="s">
        <v>4223</v>
      </c>
      <c r="E31" s="5" t="s">
        <v>4224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11" t="s">
        <v>46</v>
      </c>
      <c r="Q31" s="5">
        <v>222.85290000000001</v>
      </c>
      <c r="R31" s="5">
        <f t="shared" si="0"/>
        <v>222.85290000000001</v>
      </c>
      <c r="S31" s="5" t="s">
        <v>67</v>
      </c>
      <c r="T31" s="12">
        <v>28</v>
      </c>
      <c r="U31" s="231" t="s">
        <v>205</v>
      </c>
      <c r="V31" s="232" t="s">
        <v>202</v>
      </c>
      <c r="W31" s="232">
        <v>10883.1</v>
      </c>
      <c r="X31" s="232">
        <v>-8100</v>
      </c>
      <c r="Y31" s="233" t="s">
        <v>49</v>
      </c>
      <c r="Z31" s="87" t="s">
        <v>50</v>
      </c>
      <c r="AA31" s="233" t="s">
        <v>51</v>
      </c>
      <c r="AB31" s="234"/>
      <c r="AC31" s="233">
        <v>1</v>
      </c>
      <c r="AD31" s="233" t="s">
        <v>52</v>
      </c>
      <c r="AE31" s="234"/>
      <c r="AF31" s="234"/>
      <c r="AG31" s="233" t="s">
        <v>135</v>
      </c>
      <c r="AH31" s="233">
        <v>5</v>
      </c>
      <c r="AI31" s="233">
        <v>100</v>
      </c>
      <c r="AJ31" s="233" t="s">
        <v>54</v>
      </c>
      <c r="AK31" s="233">
        <v>5</v>
      </c>
      <c r="AL31" s="233"/>
      <c r="AM31" s="233"/>
      <c r="AN31" s="233"/>
      <c r="AO31" s="233"/>
      <c r="AP31" s="234"/>
      <c r="AQ31" s="234" t="s">
        <v>55</v>
      </c>
    </row>
    <row r="32" spans="1:43">
      <c r="A32" s="12">
        <v>29</v>
      </c>
      <c r="B32" s="21" t="s">
        <v>4225</v>
      </c>
      <c r="C32" s="5" t="s">
        <v>207</v>
      </c>
      <c r="D32" s="5" t="s">
        <v>4226</v>
      </c>
      <c r="E32" s="5" t="s">
        <v>4227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11" t="s">
        <v>46</v>
      </c>
      <c r="Q32" s="5">
        <v>187.77670000000001</v>
      </c>
      <c r="R32" s="5">
        <f t="shared" si="0"/>
        <v>187.77670000000001</v>
      </c>
      <c r="S32" s="5" t="s">
        <v>60</v>
      </c>
      <c r="T32" s="12">
        <v>29</v>
      </c>
      <c r="U32" s="231" t="s">
        <v>210</v>
      </c>
      <c r="V32" s="232" t="s">
        <v>207</v>
      </c>
      <c r="W32" s="232">
        <v>10659.4</v>
      </c>
      <c r="X32" s="232">
        <v>-10665.3</v>
      </c>
      <c r="Y32" s="233" t="s">
        <v>49</v>
      </c>
      <c r="Z32" s="87" t="s">
        <v>50</v>
      </c>
      <c r="AA32" s="233" t="s">
        <v>51</v>
      </c>
      <c r="AB32" s="234"/>
      <c r="AC32" s="233">
        <v>1</v>
      </c>
      <c r="AD32" s="233" t="s">
        <v>52</v>
      </c>
      <c r="AE32" s="234"/>
      <c r="AF32" s="234"/>
      <c r="AG32" s="233" t="s">
        <v>211</v>
      </c>
      <c r="AH32" s="233">
        <v>5</v>
      </c>
      <c r="AI32" s="233">
        <v>100</v>
      </c>
      <c r="AJ32" s="233" t="s">
        <v>212</v>
      </c>
      <c r="AK32" s="233">
        <v>5</v>
      </c>
      <c r="AL32" s="233"/>
      <c r="AM32" s="233"/>
      <c r="AN32" s="233"/>
      <c r="AO32" s="233"/>
      <c r="AP32" s="234"/>
      <c r="AQ32" s="234" t="s">
        <v>55</v>
      </c>
    </row>
    <row r="33" spans="1:43">
      <c r="A33" s="12">
        <v>30</v>
      </c>
      <c r="B33" s="21" t="s">
        <v>4228</v>
      </c>
      <c r="C33" s="5" t="s">
        <v>214</v>
      </c>
      <c r="D33" s="5" t="s">
        <v>4229</v>
      </c>
      <c r="E33" s="5" t="s">
        <v>4230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11" t="s">
        <v>46</v>
      </c>
      <c r="Q33" s="5">
        <v>187.76429999999999</v>
      </c>
      <c r="R33" s="5">
        <f t="shared" si="0"/>
        <v>187.76429999999999</v>
      </c>
      <c r="S33" s="5" t="s">
        <v>60</v>
      </c>
      <c r="T33" s="12">
        <v>30</v>
      </c>
      <c r="U33" s="231" t="s">
        <v>217</v>
      </c>
      <c r="V33" s="232" t="s">
        <v>214</v>
      </c>
      <c r="W33" s="232">
        <v>11181.6</v>
      </c>
      <c r="X33" s="232">
        <v>-10770.7</v>
      </c>
      <c r="Y33" s="233" t="s">
        <v>49</v>
      </c>
      <c r="Z33" s="87" t="s">
        <v>50</v>
      </c>
      <c r="AA33" s="233" t="s">
        <v>51</v>
      </c>
      <c r="AB33" s="234"/>
      <c r="AC33" s="233">
        <v>1</v>
      </c>
      <c r="AD33" s="233" t="s">
        <v>52</v>
      </c>
      <c r="AE33" s="234"/>
      <c r="AF33" s="234"/>
      <c r="AG33" s="233" t="s">
        <v>211</v>
      </c>
      <c r="AH33" s="233">
        <v>5</v>
      </c>
      <c r="AI33" s="233">
        <v>100</v>
      </c>
      <c r="AJ33" s="233" t="s">
        <v>212</v>
      </c>
      <c r="AK33" s="233">
        <v>5</v>
      </c>
      <c r="AL33" s="233"/>
      <c r="AM33" s="233"/>
      <c r="AN33" s="233"/>
      <c r="AO33" s="233"/>
      <c r="AP33" s="234"/>
      <c r="AQ33" s="234" t="s">
        <v>55</v>
      </c>
    </row>
    <row r="34" spans="1:43">
      <c r="A34" s="12">
        <v>31</v>
      </c>
      <c r="B34" s="21" t="s">
        <v>4231</v>
      </c>
      <c r="C34" s="5" t="s">
        <v>219</v>
      </c>
      <c r="D34" s="5" t="s">
        <v>4232</v>
      </c>
      <c r="E34" s="5" t="s">
        <v>4233</v>
      </c>
      <c r="F34" s="5" t="s">
        <v>4234</v>
      </c>
      <c r="G34" s="11" t="s">
        <v>4235</v>
      </c>
      <c r="H34" s="5"/>
      <c r="I34" s="5"/>
      <c r="J34" s="5"/>
      <c r="K34" s="5"/>
      <c r="L34" s="5"/>
      <c r="M34" s="5"/>
      <c r="N34" s="5"/>
      <c r="O34" s="5"/>
      <c r="P34" s="11">
        <v>275.35379999999998</v>
      </c>
      <c r="Q34" s="5">
        <v>29.741</v>
      </c>
      <c r="R34" s="5">
        <f t="shared" si="0"/>
        <v>305.09479999999996</v>
      </c>
      <c r="S34" s="5" t="s">
        <v>224</v>
      </c>
      <c r="T34" s="12">
        <v>31</v>
      </c>
      <c r="U34" s="235" t="s">
        <v>225</v>
      </c>
      <c r="V34" s="232" t="s">
        <v>219</v>
      </c>
      <c r="W34" s="232">
        <v>6454.6</v>
      </c>
      <c r="X34" s="232">
        <v>8048.1</v>
      </c>
      <c r="Y34" s="233" t="s">
        <v>49</v>
      </c>
      <c r="Z34" s="87" t="s">
        <v>50</v>
      </c>
      <c r="AA34" s="233" t="s">
        <v>51</v>
      </c>
      <c r="AB34" s="234"/>
      <c r="AC34" s="233">
        <v>1</v>
      </c>
      <c r="AD34" s="233" t="s">
        <v>226</v>
      </c>
      <c r="AE34" s="233"/>
      <c r="AF34" s="233"/>
      <c r="AG34" s="233" t="s">
        <v>227</v>
      </c>
      <c r="AH34" s="233">
        <v>5</v>
      </c>
      <c r="AI34" s="233">
        <v>100</v>
      </c>
      <c r="AJ34" s="233" t="s">
        <v>228</v>
      </c>
      <c r="AK34" s="233">
        <v>20</v>
      </c>
      <c r="AL34" s="233"/>
      <c r="AM34" s="233" t="s">
        <v>229</v>
      </c>
      <c r="AN34" s="233"/>
      <c r="AO34" s="233"/>
      <c r="AP34" s="234" t="s">
        <v>230</v>
      </c>
      <c r="AQ34" s="234" t="s">
        <v>231</v>
      </c>
    </row>
    <row r="35" spans="1:43">
      <c r="A35" s="12">
        <v>32</v>
      </c>
      <c r="B35" s="21" t="s">
        <v>4236</v>
      </c>
      <c r="C35" s="5" t="s">
        <v>233</v>
      </c>
      <c r="D35" s="5" t="s">
        <v>4237</v>
      </c>
      <c r="E35" s="5" t="s">
        <v>4238</v>
      </c>
      <c r="F35" s="5" t="s">
        <v>4239</v>
      </c>
      <c r="G35" s="11" t="s">
        <v>4240</v>
      </c>
      <c r="H35" s="5"/>
      <c r="I35" s="5"/>
      <c r="J35" s="5"/>
      <c r="K35" s="5"/>
      <c r="L35" s="5"/>
      <c r="M35" s="5"/>
      <c r="N35" s="5"/>
      <c r="O35" s="5"/>
      <c r="P35" s="11">
        <v>275.35180000000003</v>
      </c>
      <c r="Q35" s="5">
        <v>29.748100000000001</v>
      </c>
      <c r="R35" s="5">
        <f t="shared" si="0"/>
        <v>305.09990000000005</v>
      </c>
      <c r="S35" s="5" t="s">
        <v>224</v>
      </c>
      <c r="T35" s="12">
        <v>32</v>
      </c>
      <c r="U35" s="235" t="s">
        <v>238</v>
      </c>
      <c r="V35" s="232" t="s">
        <v>233</v>
      </c>
      <c r="W35" s="232">
        <v>6821</v>
      </c>
      <c r="X35" s="232">
        <v>8695.7999999999993</v>
      </c>
      <c r="Y35" s="233" t="s">
        <v>49</v>
      </c>
      <c r="Z35" s="87" t="s">
        <v>50</v>
      </c>
      <c r="AA35" s="233" t="s">
        <v>51</v>
      </c>
      <c r="AB35" s="234"/>
      <c r="AC35" s="233">
        <v>1</v>
      </c>
      <c r="AD35" s="233" t="s">
        <v>226</v>
      </c>
      <c r="AE35" s="233"/>
      <c r="AF35" s="233"/>
      <c r="AG35" s="233" t="s">
        <v>227</v>
      </c>
      <c r="AH35" s="233">
        <v>5</v>
      </c>
      <c r="AI35" s="233">
        <v>100</v>
      </c>
      <c r="AJ35" s="233" t="s">
        <v>228</v>
      </c>
      <c r="AK35" s="233">
        <v>20</v>
      </c>
      <c r="AL35" s="233"/>
      <c r="AM35" s="233" t="s">
        <v>239</v>
      </c>
      <c r="AN35" s="233"/>
      <c r="AO35" s="233"/>
      <c r="AP35" s="234" t="s">
        <v>230</v>
      </c>
      <c r="AQ35" s="234" t="s">
        <v>231</v>
      </c>
    </row>
    <row r="36" spans="1:43">
      <c r="A36" s="12">
        <v>33</v>
      </c>
      <c r="B36" s="21" t="s">
        <v>4241</v>
      </c>
      <c r="C36" s="5" t="s">
        <v>241</v>
      </c>
      <c r="D36" s="5" t="s">
        <v>4242</v>
      </c>
      <c r="E36" s="5" t="s">
        <v>4243</v>
      </c>
      <c r="F36" s="5" t="s">
        <v>4244</v>
      </c>
      <c r="G36" s="11" t="s">
        <v>4245</v>
      </c>
      <c r="H36" s="5"/>
      <c r="I36" s="5"/>
      <c r="J36" s="5"/>
      <c r="K36" s="5"/>
      <c r="L36" s="5"/>
      <c r="M36" s="5"/>
      <c r="N36" s="5"/>
      <c r="O36" s="5"/>
      <c r="P36" s="11">
        <v>275.31580000000002</v>
      </c>
      <c r="Q36" s="5">
        <v>29.821899999999999</v>
      </c>
      <c r="R36" s="5">
        <f t="shared" si="0"/>
        <v>305.1377</v>
      </c>
      <c r="S36" s="5" t="s">
        <v>224</v>
      </c>
      <c r="T36" s="12">
        <v>33</v>
      </c>
      <c r="U36" s="235" t="s">
        <v>246</v>
      </c>
      <c r="V36" s="232" t="s">
        <v>241</v>
      </c>
      <c r="W36" s="232">
        <v>5965.9</v>
      </c>
      <c r="X36" s="232">
        <v>6421.8</v>
      </c>
      <c r="Y36" s="233" t="s">
        <v>49</v>
      </c>
      <c r="Z36" s="87" t="s">
        <v>50</v>
      </c>
      <c r="AA36" s="233" t="s">
        <v>51</v>
      </c>
      <c r="AB36" s="234"/>
      <c r="AC36" s="233">
        <v>1</v>
      </c>
      <c r="AD36" s="233" t="s">
        <v>226</v>
      </c>
      <c r="AE36" s="233"/>
      <c r="AF36" s="233"/>
      <c r="AG36" s="233" t="s">
        <v>247</v>
      </c>
      <c r="AH36" s="233">
        <v>5</v>
      </c>
      <c r="AI36" s="233">
        <v>100</v>
      </c>
      <c r="AJ36" s="233" t="s">
        <v>228</v>
      </c>
      <c r="AK36" s="233">
        <v>20</v>
      </c>
      <c r="AL36" s="233"/>
      <c r="AM36" s="233" t="s">
        <v>248</v>
      </c>
      <c r="AN36" s="233"/>
      <c r="AO36" s="233"/>
      <c r="AP36" s="234" t="s">
        <v>249</v>
      </c>
      <c r="AQ36" s="234" t="s">
        <v>231</v>
      </c>
    </row>
    <row r="37" spans="1:43">
      <c r="A37" s="12">
        <v>34</v>
      </c>
      <c r="B37" s="21" t="s">
        <v>4246</v>
      </c>
      <c r="C37" s="5" t="s">
        <v>251</v>
      </c>
      <c r="D37" s="5" t="s">
        <v>4247</v>
      </c>
      <c r="E37" s="5" t="s">
        <v>4248</v>
      </c>
      <c r="F37" s="5" t="s">
        <v>4249</v>
      </c>
      <c r="G37" s="11" t="s">
        <v>4250</v>
      </c>
      <c r="H37" s="5"/>
      <c r="I37" s="5"/>
      <c r="J37" s="5"/>
      <c r="K37" s="5"/>
      <c r="L37" s="5"/>
      <c r="M37" s="5"/>
      <c r="N37" s="5"/>
      <c r="O37" s="5"/>
      <c r="P37" s="11">
        <v>275.3143</v>
      </c>
      <c r="Q37" s="5">
        <v>29.829899999999999</v>
      </c>
      <c r="R37" s="5">
        <f t="shared" si="0"/>
        <v>305.14420000000001</v>
      </c>
      <c r="S37" s="5" t="s">
        <v>224</v>
      </c>
      <c r="T37" s="12">
        <v>34</v>
      </c>
      <c r="U37" s="235" t="s">
        <v>256</v>
      </c>
      <c r="V37" s="232" t="s">
        <v>251</v>
      </c>
      <c r="W37" s="232">
        <v>6045.6</v>
      </c>
      <c r="X37" s="232">
        <v>7444.7</v>
      </c>
      <c r="Y37" s="233" t="s">
        <v>49</v>
      </c>
      <c r="Z37" s="87" t="s">
        <v>50</v>
      </c>
      <c r="AA37" s="233" t="s">
        <v>51</v>
      </c>
      <c r="AB37" s="234"/>
      <c r="AC37" s="233">
        <v>1</v>
      </c>
      <c r="AD37" s="233" t="s">
        <v>226</v>
      </c>
      <c r="AE37" s="233"/>
      <c r="AF37" s="233"/>
      <c r="AG37" s="233" t="s">
        <v>247</v>
      </c>
      <c r="AH37" s="233">
        <v>5</v>
      </c>
      <c r="AI37" s="233">
        <v>100</v>
      </c>
      <c r="AJ37" s="233" t="s">
        <v>228</v>
      </c>
      <c r="AK37" s="233">
        <v>20</v>
      </c>
      <c r="AL37" s="233"/>
      <c r="AM37" s="233" t="s">
        <v>257</v>
      </c>
      <c r="AN37" s="233"/>
      <c r="AO37" s="233"/>
      <c r="AP37" s="234" t="s">
        <v>249</v>
      </c>
      <c r="AQ37" s="234" t="s">
        <v>231</v>
      </c>
    </row>
    <row r="38" spans="1:43">
      <c r="A38" s="12">
        <v>35</v>
      </c>
      <c r="B38" s="21" t="s">
        <v>4251</v>
      </c>
      <c r="C38" s="5" t="s">
        <v>259</v>
      </c>
      <c r="D38" s="5" t="s">
        <v>4252</v>
      </c>
      <c r="E38" s="5" t="s">
        <v>4253</v>
      </c>
      <c r="F38" s="5" t="s">
        <v>4254</v>
      </c>
      <c r="G38" s="11" t="s">
        <v>4255</v>
      </c>
      <c r="H38" s="5"/>
      <c r="I38" s="5"/>
      <c r="J38" s="5"/>
      <c r="K38" s="5"/>
      <c r="L38" s="5"/>
      <c r="M38" s="5"/>
      <c r="N38" s="5"/>
      <c r="O38" s="5"/>
      <c r="P38" s="11">
        <v>275.32240000000002</v>
      </c>
      <c r="Q38" s="5">
        <v>29.636299999999999</v>
      </c>
      <c r="R38" s="5">
        <f t="shared" si="0"/>
        <v>304.95870000000002</v>
      </c>
      <c r="S38" s="5" t="s">
        <v>264</v>
      </c>
      <c r="T38" s="12">
        <v>35</v>
      </c>
      <c r="U38" s="235" t="s">
        <v>265</v>
      </c>
      <c r="V38" s="232" t="s">
        <v>259</v>
      </c>
      <c r="W38" s="232">
        <v>7278.6</v>
      </c>
      <c r="X38" s="232">
        <v>7469.1</v>
      </c>
      <c r="Y38" s="233" t="s">
        <v>49</v>
      </c>
      <c r="Z38" s="87" t="s">
        <v>50</v>
      </c>
      <c r="AA38" s="233" t="s">
        <v>51</v>
      </c>
      <c r="AB38" s="234"/>
      <c r="AC38" s="233">
        <v>1</v>
      </c>
      <c r="AD38" s="233" t="s">
        <v>226</v>
      </c>
      <c r="AE38" s="233"/>
      <c r="AF38" s="233"/>
      <c r="AG38" s="233" t="s">
        <v>266</v>
      </c>
      <c r="AH38" s="233">
        <v>5</v>
      </c>
      <c r="AI38" s="233">
        <v>100</v>
      </c>
      <c r="AJ38" s="233" t="s">
        <v>228</v>
      </c>
      <c r="AK38" s="233">
        <v>20</v>
      </c>
      <c r="AL38" s="233"/>
      <c r="AM38" s="233" t="s">
        <v>267</v>
      </c>
      <c r="AN38" s="233"/>
      <c r="AO38" s="233"/>
      <c r="AP38" s="234" t="s">
        <v>249</v>
      </c>
      <c r="AQ38" s="234" t="s">
        <v>231</v>
      </c>
    </row>
    <row r="39" spans="1:43">
      <c r="A39" s="12">
        <v>36</v>
      </c>
      <c r="B39" s="21" t="s">
        <v>4256</v>
      </c>
      <c r="C39" s="5" t="s">
        <v>269</v>
      </c>
      <c r="D39" s="5" t="s">
        <v>4257</v>
      </c>
      <c r="E39" s="5" t="s">
        <v>4258</v>
      </c>
      <c r="F39" s="5" t="s">
        <v>4259</v>
      </c>
      <c r="G39" s="11" t="s">
        <v>4260</v>
      </c>
      <c r="H39" s="5"/>
      <c r="I39" s="5"/>
      <c r="J39" s="5"/>
      <c r="K39" s="5"/>
      <c r="L39" s="5"/>
      <c r="M39" s="5"/>
      <c r="N39" s="5"/>
      <c r="O39" s="5"/>
      <c r="P39" s="11">
        <v>275.3168</v>
      </c>
      <c r="Q39" s="5">
        <v>29.590900000000001</v>
      </c>
      <c r="R39" s="5">
        <f t="shared" si="0"/>
        <v>304.90769999999998</v>
      </c>
      <c r="S39" s="5" t="s">
        <v>264</v>
      </c>
      <c r="T39" s="12">
        <v>36</v>
      </c>
      <c r="U39" s="235" t="s">
        <v>274</v>
      </c>
      <c r="V39" s="232" t="s">
        <v>269</v>
      </c>
      <c r="W39" s="232">
        <v>7639.2</v>
      </c>
      <c r="X39" s="232">
        <v>8086.2</v>
      </c>
      <c r="Y39" s="233" t="s">
        <v>49</v>
      </c>
      <c r="Z39" s="87" t="s">
        <v>50</v>
      </c>
      <c r="AA39" s="233" t="s">
        <v>51</v>
      </c>
      <c r="AB39" s="234"/>
      <c r="AC39" s="233">
        <v>1</v>
      </c>
      <c r="AD39" s="233" t="s">
        <v>226</v>
      </c>
      <c r="AE39" s="233"/>
      <c r="AF39" s="233"/>
      <c r="AG39" s="233" t="s">
        <v>266</v>
      </c>
      <c r="AH39" s="233">
        <v>5</v>
      </c>
      <c r="AI39" s="233">
        <v>100</v>
      </c>
      <c r="AJ39" s="233" t="s">
        <v>228</v>
      </c>
      <c r="AK39" s="233">
        <v>20</v>
      </c>
      <c r="AL39" s="233"/>
      <c r="AM39" s="233" t="s">
        <v>275</v>
      </c>
      <c r="AN39" s="233"/>
      <c r="AO39" s="233"/>
      <c r="AP39" s="234" t="s">
        <v>249</v>
      </c>
      <c r="AQ39" s="234" t="s">
        <v>231</v>
      </c>
    </row>
    <row r="40" spans="1:43">
      <c r="A40" s="12">
        <v>37</v>
      </c>
      <c r="B40" s="21" t="s">
        <v>4261</v>
      </c>
      <c r="C40" s="5" t="s">
        <v>277</v>
      </c>
      <c r="D40" s="5" t="s">
        <v>4262</v>
      </c>
      <c r="E40" s="5" t="s">
        <v>4263</v>
      </c>
      <c r="F40" s="5" t="s">
        <v>4264</v>
      </c>
      <c r="G40" s="11" t="s">
        <v>4265</v>
      </c>
      <c r="H40" s="5"/>
      <c r="I40" s="5"/>
      <c r="J40" s="5"/>
      <c r="K40" s="5"/>
      <c r="L40" s="5"/>
      <c r="M40" s="5"/>
      <c r="N40" s="5"/>
      <c r="O40" s="5"/>
      <c r="P40" s="11">
        <v>275.41559999999998</v>
      </c>
      <c r="Q40" s="5">
        <v>29.839400000000001</v>
      </c>
      <c r="R40" s="5">
        <f t="shared" si="0"/>
        <v>305.255</v>
      </c>
      <c r="S40" s="5" t="s">
        <v>282</v>
      </c>
      <c r="T40" s="12">
        <v>37</v>
      </c>
      <c r="U40" s="235" t="s">
        <v>283</v>
      </c>
      <c r="V40" s="232" t="s">
        <v>277</v>
      </c>
      <c r="W40" s="232">
        <v>7283.5</v>
      </c>
      <c r="X40" s="232">
        <v>9908.9</v>
      </c>
      <c r="Y40" s="233" t="s">
        <v>49</v>
      </c>
      <c r="Z40" s="87" t="s">
        <v>50</v>
      </c>
      <c r="AA40" s="233" t="s">
        <v>51</v>
      </c>
      <c r="AB40" s="234"/>
      <c r="AC40" s="233">
        <v>1</v>
      </c>
      <c r="AD40" s="233" t="s">
        <v>226</v>
      </c>
      <c r="AE40" s="233"/>
      <c r="AF40" s="233"/>
      <c r="AG40" s="233" t="s">
        <v>284</v>
      </c>
      <c r="AH40" s="233">
        <v>5</v>
      </c>
      <c r="AI40" s="233">
        <v>100</v>
      </c>
      <c r="AJ40" s="233" t="s">
        <v>228</v>
      </c>
      <c r="AK40" s="233">
        <v>20</v>
      </c>
      <c r="AL40" s="233"/>
      <c r="AM40" s="233" t="s">
        <v>229</v>
      </c>
      <c r="AN40" s="233"/>
      <c r="AO40" s="233"/>
      <c r="AP40" s="234" t="s">
        <v>230</v>
      </c>
      <c r="AQ40" s="234" t="s">
        <v>231</v>
      </c>
    </row>
    <row r="41" spans="1:43">
      <c r="A41" s="12">
        <v>38</v>
      </c>
      <c r="B41" s="21" t="s">
        <v>4266</v>
      </c>
      <c r="C41" s="5" t="s">
        <v>286</v>
      </c>
      <c r="D41" s="5" t="s">
        <v>4267</v>
      </c>
      <c r="E41" s="5" t="s">
        <v>4268</v>
      </c>
      <c r="F41" s="5" t="s">
        <v>4269</v>
      </c>
      <c r="G41" s="11" t="s">
        <v>4270</v>
      </c>
      <c r="H41" s="5"/>
      <c r="I41" s="5"/>
      <c r="J41" s="5"/>
      <c r="K41" s="5"/>
      <c r="L41" s="5"/>
      <c r="M41" s="5"/>
      <c r="N41" s="5"/>
      <c r="O41" s="5"/>
      <c r="P41" s="11">
        <v>275.4006</v>
      </c>
      <c r="Q41" s="5">
        <v>29.837</v>
      </c>
      <c r="R41" s="5">
        <f t="shared" si="0"/>
        <v>305.23759999999999</v>
      </c>
      <c r="S41" s="5" t="s">
        <v>282</v>
      </c>
      <c r="T41" s="12">
        <v>38</v>
      </c>
      <c r="U41" s="235" t="s">
        <v>291</v>
      </c>
      <c r="V41" s="232" t="s">
        <v>286</v>
      </c>
      <c r="W41" s="232">
        <v>7123.4</v>
      </c>
      <c r="X41" s="232">
        <v>10452.4</v>
      </c>
      <c r="Y41" s="233" t="s">
        <v>49</v>
      </c>
      <c r="Z41" s="87" t="s">
        <v>50</v>
      </c>
      <c r="AA41" s="233" t="s">
        <v>51</v>
      </c>
      <c r="AB41" s="234"/>
      <c r="AC41" s="233">
        <v>1</v>
      </c>
      <c r="AD41" s="233" t="s">
        <v>226</v>
      </c>
      <c r="AE41" s="233"/>
      <c r="AF41" s="233"/>
      <c r="AG41" s="233" t="s">
        <v>284</v>
      </c>
      <c r="AH41" s="233">
        <v>5</v>
      </c>
      <c r="AI41" s="233">
        <v>100</v>
      </c>
      <c r="AJ41" s="233" t="s">
        <v>228</v>
      </c>
      <c r="AK41" s="233">
        <v>20</v>
      </c>
      <c r="AL41" s="233"/>
      <c r="AM41" s="233" t="s">
        <v>239</v>
      </c>
      <c r="AN41" s="233"/>
      <c r="AO41" s="233"/>
      <c r="AP41" s="234" t="s">
        <v>230</v>
      </c>
      <c r="AQ41" s="234" t="s">
        <v>231</v>
      </c>
    </row>
    <row r="42" spans="1:43">
      <c r="A42" s="12">
        <v>39</v>
      </c>
      <c r="B42" s="21" t="s">
        <v>4271</v>
      </c>
      <c r="C42" s="5" t="s">
        <v>293</v>
      </c>
      <c r="D42" s="5" t="s">
        <v>4272</v>
      </c>
      <c r="E42" s="5" t="s">
        <v>4273</v>
      </c>
      <c r="F42" s="5" t="s">
        <v>4274</v>
      </c>
      <c r="G42" s="11" t="s">
        <v>4275</v>
      </c>
      <c r="H42" s="11" t="s">
        <v>4276</v>
      </c>
      <c r="I42" s="5"/>
      <c r="J42" s="5"/>
      <c r="K42" s="5"/>
      <c r="L42" s="5"/>
      <c r="M42" s="5"/>
      <c r="N42" s="5"/>
      <c r="O42" s="5"/>
      <c r="P42" s="11">
        <v>275.21820000000002</v>
      </c>
      <c r="Q42" s="5">
        <v>29.933299999999999</v>
      </c>
      <c r="R42" s="5">
        <f t="shared" si="0"/>
        <v>305.1515</v>
      </c>
      <c r="S42" s="5" t="s">
        <v>299</v>
      </c>
      <c r="T42" s="12">
        <v>39</v>
      </c>
      <c r="U42" s="235" t="s">
        <v>300</v>
      </c>
      <c r="V42" s="232" t="s">
        <v>293</v>
      </c>
      <c r="W42" s="232">
        <v>6295.4</v>
      </c>
      <c r="X42" s="232">
        <v>10162.9</v>
      </c>
      <c r="Y42" s="233" t="s">
        <v>49</v>
      </c>
      <c r="Z42" s="87" t="s">
        <v>50</v>
      </c>
      <c r="AA42" s="233" t="s">
        <v>51</v>
      </c>
      <c r="AB42" s="234"/>
      <c r="AC42" s="233">
        <v>1</v>
      </c>
      <c r="AD42" s="233" t="s">
        <v>226</v>
      </c>
      <c r="AE42" s="233"/>
      <c r="AF42" s="233"/>
      <c r="AG42" s="233" t="s">
        <v>301</v>
      </c>
      <c r="AH42" s="233">
        <v>5</v>
      </c>
      <c r="AI42" s="233">
        <v>100</v>
      </c>
      <c r="AJ42" s="233" t="s">
        <v>228</v>
      </c>
      <c r="AK42" s="233">
        <v>20</v>
      </c>
      <c r="AL42" s="233"/>
      <c r="AM42" s="233" t="s">
        <v>248</v>
      </c>
      <c r="AN42" s="233"/>
      <c r="AO42" s="233"/>
      <c r="AP42" s="234" t="s">
        <v>249</v>
      </c>
      <c r="AQ42" s="234" t="s">
        <v>231</v>
      </c>
    </row>
    <row r="43" spans="1:43">
      <c r="A43" s="12">
        <v>40</v>
      </c>
      <c r="B43" s="21" t="s">
        <v>4277</v>
      </c>
      <c r="C43" s="5" t="s">
        <v>303</v>
      </c>
      <c r="D43" s="5" t="s">
        <v>4278</v>
      </c>
      <c r="E43" s="5" t="s">
        <v>4279</v>
      </c>
      <c r="F43" s="5" t="s">
        <v>4280</v>
      </c>
      <c r="G43" s="11" t="s">
        <v>4281</v>
      </c>
      <c r="H43" s="11" t="s">
        <v>4282</v>
      </c>
      <c r="I43" s="5"/>
      <c r="J43" s="5"/>
      <c r="K43" s="5"/>
      <c r="L43" s="5"/>
      <c r="M43" s="5"/>
      <c r="N43" s="5"/>
      <c r="O43" s="5"/>
      <c r="P43" s="11">
        <v>275.1678</v>
      </c>
      <c r="Q43" s="5">
        <v>29.936599999999999</v>
      </c>
      <c r="R43" s="5">
        <f t="shared" si="0"/>
        <v>305.1044</v>
      </c>
      <c r="S43" s="5" t="s">
        <v>299</v>
      </c>
      <c r="T43" s="12">
        <v>40</v>
      </c>
      <c r="U43" s="235" t="s">
        <v>309</v>
      </c>
      <c r="V43" s="232" t="s">
        <v>303</v>
      </c>
      <c r="W43" s="232">
        <v>6265.2</v>
      </c>
      <c r="X43" s="232">
        <v>10665.3</v>
      </c>
      <c r="Y43" s="233" t="s">
        <v>49</v>
      </c>
      <c r="Z43" s="87" t="s">
        <v>50</v>
      </c>
      <c r="AA43" s="233" t="s">
        <v>51</v>
      </c>
      <c r="AB43" s="234"/>
      <c r="AC43" s="233">
        <v>1</v>
      </c>
      <c r="AD43" s="233" t="s">
        <v>226</v>
      </c>
      <c r="AE43" s="233"/>
      <c r="AF43" s="233"/>
      <c r="AG43" s="233" t="s">
        <v>301</v>
      </c>
      <c r="AH43" s="233">
        <v>5</v>
      </c>
      <c r="AI43" s="233">
        <v>100</v>
      </c>
      <c r="AJ43" s="233" t="s">
        <v>228</v>
      </c>
      <c r="AK43" s="233">
        <v>20</v>
      </c>
      <c r="AL43" s="233"/>
      <c r="AM43" s="233" t="s">
        <v>257</v>
      </c>
      <c r="AN43" s="233"/>
      <c r="AO43" s="233"/>
      <c r="AP43" s="234" t="s">
        <v>249</v>
      </c>
      <c r="AQ43" s="234" t="s">
        <v>231</v>
      </c>
    </row>
    <row r="44" spans="1:43">
      <c r="A44" s="12">
        <v>41</v>
      </c>
      <c r="B44" s="21" t="s">
        <v>4283</v>
      </c>
      <c r="C44" s="5" t="s">
        <v>311</v>
      </c>
      <c r="D44" s="5" t="s">
        <v>4284</v>
      </c>
      <c r="E44" s="5" t="s">
        <v>4285</v>
      </c>
      <c r="F44" s="5" t="s">
        <v>4286</v>
      </c>
      <c r="G44" s="11" t="s">
        <v>4287</v>
      </c>
      <c r="H44" s="11" t="s">
        <v>4288</v>
      </c>
      <c r="I44" s="5"/>
      <c r="J44" s="5"/>
      <c r="K44" s="5"/>
      <c r="L44" s="5"/>
      <c r="M44" s="5"/>
      <c r="N44" s="5"/>
      <c r="O44" s="5"/>
      <c r="P44" s="11">
        <v>275.21519999999998</v>
      </c>
      <c r="Q44" s="5">
        <v>29.6142</v>
      </c>
      <c r="R44" s="5">
        <f t="shared" si="0"/>
        <v>304.82939999999996</v>
      </c>
      <c r="S44" s="5" t="s">
        <v>317</v>
      </c>
      <c r="T44" s="12">
        <v>41</v>
      </c>
      <c r="U44" s="235" t="s">
        <v>318</v>
      </c>
      <c r="V44" s="232" t="s">
        <v>311</v>
      </c>
      <c r="W44" s="232">
        <v>6668.5</v>
      </c>
      <c r="X44" s="232">
        <v>9447.6</v>
      </c>
      <c r="Y44" s="233" t="s">
        <v>49</v>
      </c>
      <c r="Z44" s="87" t="s">
        <v>50</v>
      </c>
      <c r="AA44" s="233" t="s">
        <v>51</v>
      </c>
      <c r="AB44" s="234"/>
      <c r="AC44" s="233">
        <v>1</v>
      </c>
      <c r="AD44" s="233" t="s">
        <v>226</v>
      </c>
      <c r="AE44" s="233"/>
      <c r="AF44" s="233"/>
      <c r="AG44" s="233" t="s">
        <v>319</v>
      </c>
      <c r="AH44" s="233">
        <v>5</v>
      </c>
      <c r="AI44" s="233">
        <v>100</v>
      </c>
      <c r="AJ44" s="233" t="s">
        <v>228</v>
      </c>
      <c r="AK44" s="233">
        <v>20</v>
      </c>
      <c r="AL44" s="233"/>
      <c r="AM44" s="233" t="s">
        <v>267</v>
      </c>
      <c r="AN44" s="233"/>
      <c r="AO44" s="233"/>
      <c r="AP44" s="234" t="s">
        <v>249</v>
      </c>
      <c r="AQ44" s="234" t="s">
        <v>231</v>
      </c>
    </row>
    <row r="45" spans="1:43">
      <c r="A45" s="12">
        <v>42</v>
      </c>
      <c r="B45" s="21" t="s">
        <v>4289</v>
      </c>
      <c r="C45" s="5" t="s">
        <v>321</v>
      </c>
      <c r="D45" s="5" t="s">
        <v>4290</v>
      </c>
      <c r="E45" s="5" t="s">
        <v>4291</v>
      </c>
      <c r="F45" s="5" t="s">
        <v>4292</v>
      </c>
      <c r="G45" s="11" t="s">
        <v>4293</v>
      </c>
      <c r="H45" s="11" t="s">
        <v>4294</v>
      </c>
      <c r="I45" s="5"/>
      <c r="J45" s="5"/>
      <c r="K45" s="5"/>
      <c r="L45" s="5"/>
      <c r="M45" s="5"/>
      <c r="N45" s="5"/>
      <c r="O45" s="5"/>
      <c r="P45" s="11">
        <v>275.14330000000001</v>
      </c>
      <c r="Q45" s="5">
        <v>29.585999999999999</v>
      </c>
      <c r="R45" s="5">
        <f t="shared" si="0"/>
        <v>304.72930000000002</v>
      </c>
      <c r="S45" s="5" t="s">
        <v>317</v>
      </c>
      <c r="T45" s="12">
        <v>42</v>
      </c>
      <c r="U45" s="235" t="s">
        <v>327</v>
      </c>
      <c r="V45" s="232" t="s">
        <v>321</v>
      </c>
      <c r="W45" s="232">
        <v>6760.5</v>
      </c>
      <c r="X45" s="232">
        <v>9967.7999999999993</v>
      </c>
      <c r="Y45" s="233" t="s">
        <v>49</v>
      </c>
      <c r="Z45" s="87" t="s">
        <v>50</v>
      </c>
      <c r="AA45" s="233" t="s">
        <v>51</v>
      </c>
      <c r="AB45" s="234"/>
      <c r="AC45" s="233">
        <v>1</v>
      </c>
      <c r="AD45" s="233" t="s">
        <v>226</v>
      </c>
      <c r="AE45" s="233"/>
      <c r="AF45" s="233"/>
      <c r="AG45" s="233" t="s">
        <v>319</v>
      </c>
      <c r="AH45" s="233">
        <v>5</v>
      </c>
      <c r="AI45" s="233">
        <v>100</v>
      </c>
      <c r="AJ45" s="233" t="s">
        <v>228</v>
      </c>
      <c r="AK45" s="233">
        <v>20</v>
      </c>
      <c r="AL45" s="233"/>
      <c r="AM45" s="233" t="s">
        <v>275</v>
      </c>
      <c r="AN45" s="233"/>
      <c r="AO45" s="233"/>
      <c r="AP45" s="234" t="s">
        <v>249</v>
      </c>
      <c r="AQ45" s="234" t="s">
        <v>231</v>
      </c>
    </row>
    <row r="46" spans="1:43">
      <c r="A46" s="12">
        <v>43</v>
      </c>
      <c r="B46" s="21" t="s">
        <v>4295</v>
      </c>
      <c r="C46" s="5" t="s">
        <v>329</v>
      </c>
      <c r="D46" s="5" t="s">
        <v>4296</v>
      </c>
      <c r="E46" s="5" t="s">
        <v>4297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11" t="s">
        <v>46</v>
      </c>
      <c r="Q46" s="5">
        <v>141.23349999999999</v>
      </c>
      <c r="R46" s="5">
        <f t="shared" si="0"/>
        <v>141.23349999999999</v>
      </c>
      <c r="S46" s="5" t="s">
        <v>67</v>
      </c>
      <c r="T46" s="12">
        <v>43</v>
      </c>
      <c r="U46" s="236" t="s">
        <v>332</v>
      </c>
      <c r="V46" s="232" t="s">
        <v>329</v>
      </c>
      <c r="W46" s="232">
        <v>7674.8</v>
      </c>
      <c r="X46" s="232">
        <v>2344.5</v>
      </c>
      <c r="Y46" s="233" t="s">
        <v>49</v>
      </c>
      <c r="Z46" s="87" t="s">
        <v>50</v>
      </c>
      <c r="AA46" s="233" t="s">
        <v>51</v>
      </c>
      <c r="AB46" s="234"/>
      <c r="AC46" s="233">
        <v>1</v>
      </c>
      <c r="AD46" s="233" t="s">
        <v>226</v>
      </c>
      <c r="AE46" s="234"/>
      <c r="AF46" s="234"/>
      <c r="AG46" s="234"/>
      <c r="AH46" s="233"/>
      <c r="AI46" s="233"/>
      <c r="AJ46" s="233"/>
      <c r="AK46" s="233"/>
      <c r="AL46" s="233"/>
      <c r="AM46" s="233"/>
      <c r="AN46" s="233"/>
      <c r="AO46" s="233"/>
      <c r="AP46" s="234"/>
      <c r="AQ46" s="234" t="s">
        <v>333</v>
      </c>
    </row>
    <row r="47" spans="1:43">
      <c r="A47" s="12">
        <v>44</v>
      </c>
      <c r="B47" s="21" t="s">
        <v>4298</v>
      </c>
      <c r="C47" s="5" t="s">
        <v>335</v>
      </c>
      <c r="D47" s="5" t="s">
        <v>4299</v>
      </c>
      <c r="E47" s="5" t="s">
        <v>4300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11" t="s">
        <v>46</v>
      </c>
      <c r="Q47" s="5">
        <v>214.0052</v>
      </c>
      <c r="R47" s="5">
        <f t="shared" si="0"/>
        <v>214.0052</v>
      </c>
      <c r="S47" s="5" t="s">
        <v>338</v>
      </c>
      <c r="T47" s="12">
        <v>44</v>
      </c>
      <c r="U47" s="236" t="s">
        <v>339</v>
      </c>
      <c r="V47" s="232" t="s">
        <v>335</v>
      </c>
      <c r="W47" s="232">
        <v>12786.5</v>
      </c>
      <c r="X47" s="232">
        <v>1192.8</v>
      </c>
      <c r="Y47" s="233" t="s">
        <v>49</v>
      </c>
      <c r="Z47" s="87" t="s">
        <v>50</v>
      </c>
      <c r="AA47" s="233" t="s">
        <v>51</v>
      </c>
      <c r="AB47" s="234"/>
      <c r="AC47" s="233">
        <v>1</v>
      </c>
      <c r="AD47" s="233" t="s">
        <v>52</v>
      </c>
      <c r="AE47" s="234"/>
      <c r="AF47" s="234"/>
      <c r="AG47" s="234"/>
      <c r="AH47" s="233"/>
      <c r="AI47" s="233"/>
      <c r="AJ47" s="233"/>
      <c r="AK47" s="233"/>
      <c r="AL47" s="233"/>
      <c r="AM47" s="233"/>
      <c r="AN47" s="233"/>
      <c r="AO47" s="233"/>
      <c r="AP47" s="234"/>
      <c r="AQ47" s="234" t="s">
        <v>333</v>
      </c>
    </row>
    <row r="48" spans="1:43">
      <c r="A48" s="12">
        <v>45</v>
      </c>
      <c r="B48" s="21" t="s">
        <v>4301</v>
      </c>
      <c r="C48" s="5" t="s">
        <v>341</v>
      </c>
      <c r="D48" s="5" t="s">
        <v>4302</v>
      </c>
      <c r="E48" s="5" t="s">
        <v>4303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11" t="s">
        <v>46</v>
      </c>
      <c r="Q48" s="5">
        <v>240.20060000000001</v>
      </c>
      <c r="R48" s="5">
        <f t="shared" si="0"/>
        <v>240.20060000000001</v>
      </c>
      <c r="S48" s="5" t="s">
        <v>344</v>
      </c>
      <c r="T48" s="12">
        <v>45</v>
      </c>
      <c r="U48" s="236" t="s">
        <v>345</v>
      </c>
      <c r="V48" s="232" t="s">
        <v>341</v>
      </c>
      <c r="W48" s="232">
        <v>11455.4</v>
      </c>
      <c r="X48" s="232">
        <v>-1601.5</v>
      </c>
      <c r="Y48" s="233" t="s">
        <v>49</v>
      </c>
      <c r="Z48" s="87" t="s">
        <v>50</v>
      </c>
      <c r="AA48" s="233" t="s">
        <v>51</v>
      </c>
      <c r="AB48" s="234"/>
      <c r="AC48" s="233">
        <v>1</v>
      </c>
      <c r="AD48" s="233" t="s">
        <v>226</v>
      </c>
      <c r="AE48" s="234"/>
      <c r="AF48" s="234"/>
      <c r="AG48" s="234"/>
      <c r="AH48" s="233"/>
      <c r="AI48" s="233"/>
      <c r="AJ48" s="233"/>
      <c r="AK48" s="233"/>
      <c r="AL48" s="233"/>
      <c r="AM48" s="233"/>
      <c r="AN48" s="233"/>
      <c r="AO48" s="233"/>
      <c r="AP48" s="234"/>
      <c r="AQ48" s="234" t="s">
        <v>333</v>
      </c>
    </row>
    <row r="49" spans="1:43">
      <c r="A49" s="12">
        <v>46</v>
      </c>
      <c r="B49" s="21" t="s">
        <v>4304</v>
      </c>
      <c r="C49" s="5" t="s">
        <v>347</v>
      </c>
      <c r="D49" s="5" t="s">
        <v>4305</v>
      </c>
      <c r="E49" s="5" t="s">
        <v>4306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11" t="s">
        <v>46</v>
      </c>
      <c r="Q49" s="5">
        <v>133.9616</v>
      </c>
      <c r="R49" s="5">
        <f t="shared" si="0"/>
        <v>133.9616</v>
      </c>
      <c r="S49" s="5" t="s">
        <v>60</v>
      </c>
      <c r="T49" s="12">
        <v>46</v>
      </c>
      <c r="U49" s="236" t="s">
        <v>350</v>
      </c>
      <c r="V49" s="232" t="s">
        <v>347</v>
      </c>
      <c r="W49" s="232">
        <v>12702.5</v>
      </c>
      <c r="X49" s="232">
        <v>532.1</v>
      </c>
      <c r="Y49" s="233" t="s">
        <v>49</v>
      </c>
      <c r="Z49" s="87" t="s">
        <v>50</v>
      </c>
      <c r="AA49" s="233" t="s">
        <v>51</v>
      </c>
      <c r="AB49" s="234"/>
      <c r="AC49" s="233">
        <v>1</v>
      </c>
      <c r="AD49" s="233" t="s">
        <v>226</v>
      </c>
      <c r="AE49" s="234"/>
      <c r="AF49" s="234"/>
      <c r="AG49" s="234"/>
      <c r="AH49" s="233"/>
      <c r="AI49" s="233"/>
      <c r="AJ49" s="233"/>
      <c r="AK49" s="233"/>
      <c r="AL49" s="233"/>
      <c r="AM49" s="233"/>
      <c r="AN49" s="233"/>
      <c r="AO49" s="233"/>
      <c r="AP49" s="234"/>
      <c r="AQ49" s="234" t="s">
        <v>333</v>
      </c>
    </row>
    <row r="50" spans="1:43">
      <c r="A50" s="12">
        <v>47</v>
      </c>
      <c r="B50" s="21" t="s">
        <v>4307</v>
      </c>
      <c r="C50" s="5" t="s">
        <v>352</v>
      </c>
      <c r="D50" s="5" t="s">
        <v>4308</v>
      </c>
      <c r="E50" s="5" t="s">
        <v>4309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11" t="s">
        <v>46</v>
      </c>
      <c r="Q50" s="5">
        <v>211.74299999999999</v>
      </c>
      <c r="R50" s="5">
        <f t="shared" si="0"/>
        <v>211.74299999999999</v>
      </c>
      <c r="S50" s="5" t="s">
        <v>67</v>
      </c>
      <c r="T50" s="12">
        <v>47</v>
      </c>
      <c r="U50" s="237" t="s">
        <v>355</v>
      </c>
      <c r="V50" s="232" t="s">
        <v>352</v>
      </c>
      <c r="W50" s="232">
        <v>-12915.4</v>
      </c>
      <c r="X50" s="232">
        <v>-8462.2999999999993</v>
      </c>
      <c r="Y50" s="233" t="s">
        <v>49</v>
      </c>
      <c r="Z50" s="87" t="s">
        <v>50</v>
      </c>
      <c r="AA50" s="233" t="s">
        <v>51</v>
      </c>
      <c r="AB50" s="234"/>
      <c r="AC50" s="233">
        <v>1</v>
      </c>
      <c r="AD50" s="233" t="s">
        <v>226</v>
      </c>
      <c r="AE50" s="234"/>
      <c r="AF50" s="234"/>
      <c r="AG50" s="234"/>
      <c r="AH50" s="233"/>
      <c r="AI50" s="233"/>
      <c r="AJ50" s="233"/>
      <c r="AK50" s="233"/>
      <c r="AL50" s="233"/>
      <c r="AM50" s="233"/>
      <c r="AN50" s="233"/>
      <c r="AO50" s="233"/>
      <c r="AP50" s="234"/>
      <c r="AQ50" s="234" t="s">
        <v>333</v>
      </c>
    </row>
    <row r="51" spans="1:43">
      <c r="A51" s="12">
        <v>48</v>
      </c>
      <c r="B51" s="21" t="s">
        <v>4310</v>
      </c>
      <c r="C51" s="5" t="s">
        <v>357</v>
      </c>
      <c r="D51" s="5" t="s">
        <v>4311</v>
      </c>
      <c r="E51" s="5" t="s">
        <v>4312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11" t="s">
        <v>46</v>
      </c>
      <c r="Q51" s="5">
        <v>140.0729</v>
      </c>
      <c r="R51" s="5">
        <f t="shared" si="0"/>
        <v>140.0729</v>
      </c>
      <c r="S51" s="5" t="s">
        <v>60</v>
      </c>
      <c r="T51" s="12">
        <v>48</v>
      </c>
      <c r="U51" s="237" t="s">
        <v>360</v>
      </c>
      <c r="V51" s="232" t="s">
        <v>357</v>
      </c>
      <c r="W51" s="232">
        <v>-12547</v>
      </c>
      <c r="X51" s="232">
        <v>-8975.4</v>
      </c>
      <c r="Y51" s="233" t="s">
        <v>49</v>
      </c>
      <c r="Z51" s="87" t="s">
        <v>50</v>
      </c>
      <c r="AA51" s="233" t="s">
        <v>51</v>
      </c>
      <c r="AB51" s="234"/>
      <c r="AC51" s="233">
        <v>1</v>
      </c>
      <c r="AD51" s="233" t="s">
        <v>226</v>
      </c>
      <c r="AE51" s="234"/>
      <c r="AF51" s="234"/>
      <c r="AG51" s="234"/>
      <c r="AH51" s="233"/>
      <c r="AI51" s="233"/>
      <c r="AJ51" s="233"/>
      <c r="AK51" s="233"/>
      <c r="AL51" s="233"/>
      <c r="AM51" s="233"/>
      <c r="AN51" s="233"/>
      <c r="AO51" s="233"/>
      <c r="AP51" s="234"/>
      <c r="AQ51" s="234" t="s">
        <v>333</v>
      </c>
    </row>
    <row r="52" spans="1:43">
      <c r="A52" s="12">
        <v>49</v>
      </c>
      <c r="B52" s="21" t="s">
        <v>4313</v>
      </c>
      <c r="C52" s="5" t="s">
        <v>362</v>
      </c>
      <c r="D52" s="5" t="s">
        <v>4314</v>
      </c>
      <c r="E52" s="5" t="s">
        <v>4315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11" t="s">
        <v>46</v>
      </c>
      <c r="Q52" s="5">
        <v>216.99600000000001</v>
      </c>
      <c r="R52" s="5">
        <f t="shared" si="0"/>
        <v>216.99600000000001</v>
      </c>
      <c r="S52" s="5" t="s">
        <v>67</v>
      </c>
      <c r="T52" s="12">
        <v>49</v>
      </c>
      <c r="U52" s="237" t="s">
        <v>365</v>
      </c>
      <c r="V52" s="232" t="s">
        <v>362</v>
      </c>
      <c r="W52" s="232">
        <v>-11181.6</v>
      </c>
      <c r="X52" s="232">
        <v>-10770.7</v>
      </c>
      <c r="Y52" s="233" t="s">
        <v>49</v>
      </c>
      <c r="Z52" s="87" t="s">
        <v>50</v>
      </c>
      <c r="AA52" s="233" t="s">
        <v>51</v>
      </c>
      <c r="AB52" s="234"/>
      <c r="AC52" s="233">
        <v>1</v>
      </c>
      <c r="AD52" s="233" t="s">
        <v>226</v>
      </c>
      <c r="AE52" s="234"/>
      <c r="AF52" s="234"/>
      <c r="AG52" s="234"/>
      <c r="AH52" s="233"/>
      <c r="AI52" s="233"/>
      <c r="AJ52" s="233"/>
      <c r="AK52" s="233"/>
      <c r="AL52" s="233"/>
      <c r="AM52" s="233"/>
      <c r="AN52" s="233"/>
      <c r="AO52" s="233"/>
      <c r="AP52" s="234"/>
      <c r="AQ52" s="234" t="s">
        <v>333</v>
      </c>
    </row>
    <row r="53" spans="1:43">
      <c r="A53" s="12">
        <v>50</v>
      </c>
      <c r="B53" s="21" t="s">
        <v>4316</v>
      </c>
      <c r="C53" s="5" t="s">
        <v>367</v>
      </c>
      <c r="D53" s="5" t="s">
        <v>4317</v>
      </c>
      <c r="E53" s="5" t="s">
        <v>4318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11" t="s">
        <v>46</v>
      </c>
      <c r="Q53" s="5">
        <v>218.39760000000001</v>
      </c>
      <c r="R53" s="5">
        <f t="shared" si="0"/>
        <v>218.39760000000001</v>
      </c>
      <c r="S53" s="5" t="s">
        <v>67</v>
      </c>
      <c r="T53" s="12">
        <v>50</v>
      </c>
      <c r="U53" s="237" t="s">
        <v>370</v>
      </c>
      <c r="V53" s="232" t="s">
        <v>367</v>
      </c>
      <c r="W53" s="232">
        <v>-11787</v>
      </c>
      <c r="X53" s="232">
        <v>-9771.9</v>
      </c>
      <c r="Y53" s="233" t="s">
        <v>49</v>
      </c>
      <c r="Z53" s="87" t="s">
        <v>50</v>
      </c>
      <c r="AA53" s="233" t="s">
        <v>51</v>
      </c>
      <c r="AB53" s="234"/>
      <c r="AC53" s="233">
        <v>1</v>
      </c>
      <c r="AD53" s="233" t="s">
        <v>226</v>
      </c>
      <c r="AE53" s="234"/>
      <c r="AF53" s="234"/>
      <c r="AG53" s="234"/>
      <c r="AH53" s="233"/>
      <c r="AI53" s="233"/>
      <c r="AJ53" s="233"/>
      <c r="AK53" s="233"/>
      <c r="AL53" s="233"/>
      <c r="AM53" s="233"/>
      <c r="AN53" s="233"/>
      <c r="AO53" s="233"/>
      <c r="AP53" s="234"/>
      <c r="AQ53" s="234" t="s">
        <v>333</v>
      </c>
    </row>
    <row r="54" spans="1:43">
      <c r="A54" s="12">
        <v>51</v>
      </c>
      <c r="B54" s="21" t="s">
        <v>4319</v>
      </c>
      <c r="C54" s="5" t="s">
        <v>372</v>
      </c>
      <c r="D54" s="5" t="s">
        <v>4320</v>
      </c>
      <c r="E54" s="5" t="s">
        <v>4321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11" t="s">
        <v>46</v>
      </c>
      <c r="Q54" s="5">
        <v>217.27260000000001</v>
      </c>
      <c r="R54" s="5">
        <f t="shared" si="0"/>
        <v>217.27260000000001</v>
      </c>
      <c r="S54" s="5" t="s">
        <v>67</v>
      </c>
      <c r="T54" s="12">
        <v>51</v>
      </c>
      <c r="U54" s="237" t="s">
        <v>375</v>
      </c>
      <c r="V54" s="232" t="s">
        <v>372</v>
      </c>
      <c r="W54" s="232">
        <v>-12527.8</v>
      </c>
      <c r="X54" s="232">
        <v>-10277.200000000001</v>
      </c>
      <c r="Y54" s="233" t="s">
        <v>49</v>
      </c>
      <c r="Z54" s="87" t="s">
        <v>50</v>
      </c>
      <c r="AA54" s="233" t="s">
        <v>51</v>
      </c>
      <c r="AB54" s="234"/>
      <c r="AC54" s="233">
        <v>1</v>
      </c>
      <c r="AD54" s="233" t="s">
        <v>226</v>
      </c>
      <c r="AE54" s="234"/>
      <c r="AF54" s="234"/>
      <c r="AG54" s="234"/>
      <c r="AH54" s="233"/>
      <c r="AI54" s="233"/>
      <c r="AJ54" s="233"/>
      <c r="AK54" s="233"/>
      <c r="AL54" s="233"/>
      <c r="AM54" s="233"/>
      <c r="AN54" s="233"/>
      <c r="AO54" s="233"/>
      <c r="AP54" s="234"/>
      <c r="AQ54" s="234" t="s">
        <v>333</v>
      </c>
    </row>
    <row r="55" spans="1:43">
      <c r="A55" s="12">
        <v>52</v>
      </c>
      <c r="B55" s="21" t="s">
        <v>4322</v>
      </c>
      <c r="C55" s="5" t="s">
        <v>377</v>
      </c>
      <c r="D55" s="5" t="s">
        <v>4323</v>
      </c>
      <c r="E55" s="5" t="s">
        <v>4324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11" t="s">
        <v>46</v>
      </c>
      <c r="Q55" s="5">
        <v>161.41480000000001</v>
      </c>
      <c r="R55" s="5">
        <f t="shared" si="0"/>
        <v>161.41480000000001</v>
      </c>
      <c r="S55" s="5" t="s">
        <v>74</v>
      </c>
      <c r="T55" s="12">
        <v>52</v>
      </c>
      <c r="U55" s="237" t="s">
        <v>380</v>
      </c>
      <c r="V55" s="232" t="s">
        <v>377</v>
      </c>
      <c r="W55" s="232">
        <v>-11912.6</v>
      </c>
      <c r="X55" s="232">
        <v>-8411.2000000000007</v>
      </c>
      <c r="Y55" s="233" t="s">
        <v>49</v>
      </c>
      <c r="Z55" s="87" t="s">
        <v>50</v>
      </c>
      <c r="AA55" s="233" t="s">
        <v>51</v>
      </c>
      <c r="AB55" s="234"/>
      <c r="AC55" s="233">
        <v>1</v>
      </c>
      <c r="AD55" s="233" t="s">
        <v>226</v>
      </c>
      <c r="AE55" s="234"/>
      <c r="AF55" s="234"/>
      <c r="AG55" s="234"/>
      <c r="AH55" s="233"/>
      <c r="AI55" s="233"/>
      <c r="AJ55" s="233"/>
      <c r="AK55" s="233"/>
      <c r="AL55" s="233"/>
      <c r="AM55" s="233"/>
      <c r="AN55" s="233"/>
      <c r="AO55" s="233"/>
      <c r="AP55" s="234"/>
      <c r="AQ55" s="234" t="s">
        <v>333</v>
      </c>
    </row>
    <row r="56" spans="1:43">
      <c r="A56" s="12">
        <v>53</v>
      </c>
      <c r="B56" s="21" t="s">
        <v>4325</v>
      </c>
      <c r="C56" s="5" t="s">
        <v>382</v>
      </c>
      <c r="D56" s="5" t="s">
        <v>4326</v>
      </c>
      <c r="E56" s="5" t="s">
        <v>4327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11" t="s">
        <v>46</v>
      </c>
      <c r="Q56" s="5">
        <v>216.47309999999999</v>
      </c>
      <c r="R56" s="5">
        <f t="shared" si="0"/>
        <v>216.47309999999999</v>
      </c>
      <c r="S56" s="5" t="s">
        <v>67</v>
      </c>
      <c r="T56" s="12">
        <v>53</v>
      </c>
      <c r="U56" s="237" t="s">
        <v>385</v>
      </c>
      <c r="V56" s="232" t="s">
        <v>382</v>
      </c>
      <c r="W56" s="232">
        <v>-11553.9</v>
      </c>
      <c r="X56" s="232">
        <v>-9009.9</v>
      </c>
      <c r="Y56" s="233" t="s">
        <v>49</v>
      </c>
      <c r="Z56" s="87" t="s">
        <v>50</v>
      </c>
      <c r="AA56" s="233" t="s">
        <v>51</v>
      </c>
      <c r="AB56" s="234"/>
      <c r="AC56" s="233">
        <v>1</v>
      </c>
      <c r="AD56" s="233" t="s">
        <v>226</v>
      </c>
      <c r="AE56" s="234"/>
      <c r="AF56" s="234"/>
      <c r="AG56" s="234"/>
      <c r="AH56" s="233"/>
      <c r="AI56" s="233"/>
      <c r="AJ56" s="233"/>
      <c r="AK56" s="233"/>
      <c r="AL56" s="233"/>
      <c r="AM56" s="233"/>
      <c r="AN56" s="233"/>
      <c r="AO56" s="233"/>
      <c r="AP56" s="234"/>
      <c r="AQ56" s="234" t="s">
        <v>333</v>
      </c>
    </row>
    <row r="57" spans="1:43">
      <c r="A57" s="12">
        <v>54</v>
      </c>
      <c r="B57" s="21" t="s">
        <v>4328</v>
      </c>
      <c r="C57" s="5" t="s">
        <v>387</v>
      </c>
      <c r="D57" s="5" t="s">
        <v>4329</v>
      </c>
      <c r="E57" s="5" t="s">
        <v>4330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11" t="s">
        <v>46</v>
      </c>
      <c r="Q57" s="5">
        <v>216.85390000000001</v>
      </c>
      <c r="R57" s="5">
        <f t="shared" si="0"/>
        <v>216.85390000000001</v>
      </c>
      <c r="S57" s="5" t="s">
        <v>74</v>
      </c>
      <c r="T57" s="12">
        <v>54</v>
      </c>
      <c r="U57" s="237" t="s">
        <v>390</v>
      </c>
      <c r="V57" s="232" t="s">
        <v>387</v>
      </c>
      <c r="W57" s="232">
        <v>-11467.2</v>
      </c>
      <c r="X57" s="232">
        <v>-10357.200000000001</v>
      </c>
      <c r="Y57" s="233" t="s">
        <v>49</v>
      </c>
      <c r="Z57" s="87" t="s">
        <v>50</v>
      </c>
      <c r="AA57" s="233" t="s">
        <v>51</v>
      </c>
      <c r="AB57" s="234"/>
      <c r="AC57" s="233">
        <v>1</v>
      </c>
      <c r="AD57" s="233" t="s">
        <v>226</v>
      </c>
      <c r="AE57" s="234"/>
      <c r="AF57" s="234"/>
      <c r="AG57" s="234"/>
      <c r="AH57" s="233"/>
      <c r="AI57" s="233"/>
      <c r="AJ57" s="233"/>
      <c r="AK57" s="233"/>
      <c r="AL57" s="233"/>
      <c r="AM57" s="233"/>
      <c r="AN57" s="233"/>
      <c r="AO57" s="233"/>
      <c r="AP57" s="234"/>
      <c r="AQ57" s="234" t="s">
        <v>333</v>
      </c>
    </row>
    <row r="58" spans="1:43">
      <c r="A58" s="12">
        <v>55</v>
      </c>
      <c r="B58" s="21" t="s">
        <v>4331</v>
      </c>
      <c r="C58" s="5" t="s">
        <v>392</v>
      </c>
      <c r="D58" s="5" t="s">
        <v>4332</v>
      </c>
      <c r="E58" s="5" t="s">
        <v>4333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11" t="s">
        <v>46</v>
      </c>
      <c r="Q58" s="5">
        <v>235.37639999999999</v>
      </c>
      <c r="R58" s="5">
        <f t="shared" si="0"/>
        <v>235.37639999999999</v>
      </c>
      <c r="S58" s="5" t="s">
        <v>395</v>
      </c>
      <c r="T58" s="12">
        <v>55</v>
      </c>
      <c r="U58" s="237" t="s">
        <v>396</v>
      </c>
      <c r="V58" s="232" t="s">
        <v>392</v>
      </c>
      <c r="W58" s="232">
        <v>-12413</v>
      </c>
      <c r="X58" s="232">
        <v>-8492.5</v>
      </c>
      <c r="Y58" s="233" t="s">
        <v>49</v>
      </c>
      <c r="Z58" s="87" t="s">
        <v>50</v>
      </c>
      <c r="AA58" s="233" t="s">
        <v>51</v>
      </c>
      <c r="AB58" s="234"/>
      <c r="AC58" s="233">
        <v>1</v>
      </c>
      <c r="AD58" s="233" t="s">
        <v>226</v>
      </c>
      <c r="AE58" s="234"/>
      <c r="AF58" s="234"/>
      <c r="AG58" s="234"/>
      <c r="AH58" s="233"/>
      <c r="AI58" s="233"/>
      <c r="AJ58" s="233"/>
      <c r="AK58" s="233"/>
      <c r="AL58" s="233"/>
      <c r="AM58" s="233"/>
      <c r="AN58" s="233"/>
      <c r="AO58" s="233"/>
      <c r="AP58" s="234"/>
      <c r="AQ58" s="234" t="s">
        <v>333</v>
      </c>
    </row>
    <row r="59" spans="1:43">
      <c r="A59" s="12">
        <v>56</v>
      </c>
      <c r="B59" s="21" t="s">
        <v>4334</v>
      </c>
      <c r="C59" s="5" t="s">
        <v>398</v>
      </c>
      <c r="D59" s="5" t="s">
        <v>4335</v>
      </c>
      <c r="E59" s="5" t="s">
        <v>4336</v>
      </c>
      <c r="F59" s="5" t="s">
        <v>4337</v>
      </c>
      <c r="G59" s="11" t="s">
        <v>4338</v>
      </c>
      <c r="H59" s="5"/>
      <c r="I59" s="5"/>
      <c r="J59" s="5"/>
      <c r="K59" s="5"/>
      <c r="L59" s="5"/>
      <c r="M59" s="5"/>
      <c r="N59" s="5"/>
      <c r="O59" s="5"/>
      <c r="P59" s="11">
        <v>250.0164</v>
      </c>
      <c r="Q59" s="5">
        <v>105.78830000000001</v>
      </c>
      <c r="R59" s="5">
        <f t="shared" si="0"/>
        <v>355.80470000000003</v>
      </c>
      <c r="S59" s="5" t="s">
        <v>299</v>
      </c>
      <c r="T59" s="12">
        <v>56</v>
      </c>
      <c r="U59" s="31" t="s">
        <v>403</v>
      </c>
      <c r="V59" s="232" t="s">
        <v>398</v>
      </c>
      <c r="W59" s="232">
        <v>-9012.6</v>
      </c>
      <c r="X59" s="232">
        <v>-9459.7999999999993</v>
      </c>
      <c r="Y59" s="233" t="s">
        <v>49</v>
      </c>
      <c r="Z59" s="87" t="s">
        <v>50</v>
      </c>
      <c r="AA59" s="233" t="s">
        <v>51</v>
      </c>
      <c r="AB59" s="234"/>
      <c r="AC59" s="233">
        <v>1</v>
      </c>
      <c r="AD59" s="233" t="s">
        <v>226</v>
      </c>
      <c r="AE59" s="234"/>
      <c r="AF59" s="233">
        <v>1100</v>
      </c>
      <c r="AG59" s="233" t="s">
        <v>404</v>
      </c>
      <c r="AH59" s="233">
        <v>2.5</v>
      </c>
      <c r="AI59" s="233">
        <v>85</v>
      </c>
      <c r="AJ59" s="233" t="s">
        <v>405</v>
      </c>
      <c r="AK59" s="233">
        <v>10</v>
      </c>
      <c r="AL59" s="233"/>
      <c r="AM59" s="233" t="s">
        <v>406</v>
      </c>
      <c r="AN59" s="233"/>
      <c r="AO59" s="233"/>
      <c r="AP59" s="234" t="s">
        <v>407</v>
      </c>
      <c r="AQ59" s="234" t="s">
        <v>408</v>
      </c>
    </row>
    <row r="60" spans="1:43">
      <c r="A60" s="12">
        <v>57</v>
      </c>
      <c r="B60" s="21" t="s">
        <v>4339</v>
      </c>
      <c r="C60" s="5" t="s">
        <v>410</v>
      </c>
      <c r="D60" s="5" t="s">
        <v>4340</v>
      </c>
      <c r="E60" s="5" t="s">
        <v>4341</v>
      </c>
      <c r="F60" s="5" t="s">
        <v>4342</v>
      </c>
      <c r="G60" s="11" t="s">
        <v>4343</v>
      </c>
      <c r="H60" s="5"/>
      <c r="I60" s="5"/>
      <c r="J60" s="5"/>
      <c r="K60" s="5"/>
      <c r="L60" s="5"/>
      <c r="M60" s="5"/>
      <c r="N60" s="5"/>
      <c r="O60" s="5"/>
      <c r="P60" s="11">
        <v>250.02029999999999</v>
      </c>
      <c r="Q60" s="5">
        <v>105.7915</v>
      </c>
      <c r="R60" s="5">
        <f t="shared" si="0"/>
        <v>355.81180000000001</v>
      </c>
      <c r="S60" s="5" t="s">
        <v>299</v>
      </c>
      <c r="T60" s="12">
        <v>57</v>
      </c>
      <c r="U60" s="31" t="s">
        <v>415</v>
      </c>
      <c r="V60" s="232" t="s">
        <v>410</v>
      </c>
      <c r="W60" s="232">
        <v>-9012.6</v>
      </c>
      <c r="X60" s="232">
        <v>-8748.6</v>
      </c>
      <c r="Y60" s="233" t="s">
        <v>49</v>
      </c>
      <c r="Z60" s="87" t="s">
        <v>50</v>
      </c>
      <c r="AA60" s="233" t="s">
        <v>51</v>
      </c>
      <c r="AB60" s="234"/>
      <c r="AC60" s="233">
        <v>1</v>
      </c>
      <c r="AD60" s="233" t="s">
        <v>226</v>
      </c>
      <c r="AE60" s="234"/>
      <c r="AF60" s="233">
        <v>1100</v>
      </c>
      <c r="AG60" s="233" t="s">
        <v>404</v>
      </c>
      <c r="AH60" s="233">
        <v>2.5</v>
      </c>
      <c r="AI60" s="233">
        <v>85</v>
      </c>
      <c r="AJ60" s="233" t="s">
        <v>405</v>
      </c>
      <c r="AK60" s="233">
        <v>10</v>
      </c>
      <c r="AL60" s="233"/>
      <c r="AM60" s="233" t="s">
        <v>416</v>
      </c>
      <c r="AN60" s="233"/>
      <c r="AO60" s="233"/>
      <c r="AP60" s="234" t="s">
        <v>407</v>
      </c>
      <c r="AQ60" s="234" t="s">
        <v>408</v>
      </c>
    </row>
    <row r="61" spans="1:43">
      <c r="A61" s="12">
        <v>58</v>
      </c>
      <c r="B61" s="21" t="s">
        <v>4334</v>
      </c>
      <c r="C61" s="5" t="s">
        <v>417</v>
      </c>
      <c r="D61" s="5" t="s">
        <v>4335</v>
      </c>
      <c r="E61" s="5" t="s">
        <v>4336</v>
      </c>
      <c r="F61" s="5" t="s">
        <v>4337</v>
      </c>
      <c r="G61" s="11" t="s">
        <v>4338</v>
      </c>
      <c r="H61" s="5"/>
      <c r="I61" s="5"/>
      <c r="J61" s="5"/>
      <c r="K61" s="5"/>
      <c r="L61" s="5"/>
      <c r="M61" s="5"/>
      <c r="N61" s="5"/>
      <c r="O61" s="5"/>
      <c r="P61" s="11">
        <v>250.0164</v>
      </c>
      <c r="Q61" s="5">
        <v>105.78830000000001</v>
      </c>
      <c r="R61" s="5">
        <f t="shared" si="0"/>
        <v>355.80470000000003</v>
      </c>
      <c r="S61" s="5" t="s">
        <v>299</v>
      </c>
      <c r="T61" s="12">
        <v>58</v>
      </c>
      <c r="U61" s="31" t="s">
        <v>418</v>
      </c>
      <c r="V61" s="232" t="s">
        <v>417</v>
      </c>
      <c r="W61" s="232">
        <v>-10484</v>
      </c>
      <c r="X61" s="232">
        <v>-10380.6</v>
      </c>
      <c r="Y61" s="233" t="s">
        <v>49</v>
      </c>
      <c r="Z61" s="87" t="s">
        <v>50</v>
      </c>
      <c r="AA61" s="233" t="s">
        <v>51</v>
      </c>
      <c r="AB61" s="234"/>
      <c r="AC61" s="233">
        <v>0</v>
      </c>
      <c r="AD61" s="234"/>
      <c r="AE61" s="234"/>
      <c r="AF61" s="234"/>
      <c r="AG61" s="233" t="s">
        <v>419</v>
      </c>
      <c r="AH61" s="233">
        <v>2.5</v>
      </c>
      <c r="AI61" s="233">
        <v>85</v>
      </c>
      <c r="AJ61" s="233" t="s">
        <v>405</v>
      </c>
      <c r="AK61" s="233">
        <v>10</v>
      </c>
      <c r="AL61" s="233"/>
      <c r="AM61" s="233" t="s">
        <v>406</v>
      </c>
      <c r="AN61" s="233"/>
      <c r="AO61" s="233"/>
      <c r="AP61" s="234" t="s">
        <v>407</v>
      </c>
      <c r="AQ61" s="234" t="s">
        <v>408</v>
      </c>
    </row>
    <row r="62" spans="1:43">
      <c r="A62" s="12">
        <v>59</v>
      </c>
      <c r="B62" s="21" t="s">
        <v>4339</v>
      </c>
      <c r="C62" s="5" t="s">
        <v>420</v>
      </c>
      <c r="D62" s="5" t="s">
        <v>4340</v>
      </c>
      <c r="E62" s="5" t="s">
        <v>4341</v>
      </c>
      <c r="F62" s="5" t="s">
        <v>4342</v>
      </c>
      <c r="G62" s="11" t="s">
        <v>4343</v>
      </c>
      <c r="H62" s="5"/>
      <c r="I62" s="5"/>
      <c r="J62" s="5"/>
      <c r="K62" s="5"/>
      <c r="L62" s="5"/>
      <c r="M62" s="5"/>
      <c r="N62" s="5"/>
      <c r="O62" s="5"/>
      <c r="P62" s="11">
        <v>250.02029999999999</v>
      </c>
      <c r="Q62" s="5">
        <v>105.7915</v>
      </c>
      <c r="R62" s="5">
        <f t="shared" si="0"/>
        <v>355.81180000000001</v>
      </c>
      <c r="S62" s="5" t="s">
        <v>299</v>
      </c>
      <c r="T62" s="12">
        <v>59</v>
      </c>
      <c r="U62" s="31" t="s">
        <v>421</v>
      </c>
      <c r="V62" s="232" t="s">
        <v>420</v>
      </c>
      <c r="W62" s="232">
        <v>-9983.4</v>
      </c>
      <c r="X62" s="232">
        <v>-10380.6</v>
      </c>
      <c r="Y62" s="233" t="s">
        <v>49</v>
      </c>
      <c r="Z62" s="87" t="s">
        <v>50</v>
      </c>
      <c r="AA62" s="233" t="s">
        <v>51</v>
      </c>
      <c r="AB62" s="234"/>
      <c r="AC62" s="233">
        <v>0</v>
      </c>
      <c r="AD62" s="234"/>
      <c r="AE62" s="234"/>
      <c r="AF62" s="234"/>
      <c r="AG62" s="233" t="s">
        <v>419</v>
      </c>
      <c r="AH62" s="233">
        <v>2.5</v>
      </c>
      <c r="AI62" s="233">
        <v>85</v>
      </c>
      <c r="AJ62" s="233" t="s">
        <v>405</v>
      </c>
      <c r="AK62" s="233">
        <v>10</v>
      </c>
      <c r="AL62" s="233"/>
      <c r="AM62" s="233" t="s">
        <v>416</v>
      </c>
      <c r="AN62" s="233"/>
      <c r="AO62" s="233"/>
      <c r="AP62" s="234" t="s">
        <v>407</v>
      </c>
      <c r="AQ62" s="234" t="s">
        <v>408</v>
      </c>
    </row>
    <row r="63" spans="1:43">
      <c r="A63" s="12">
        <v>60</v>
      </c>
      <c r="B63" s="21" t="s">
        <v>4344</v>
      </c>
      <c r="C63" s="5" t="s">
        <v>3466</v>
      </c>
      <c r="D63" s="5" t="s">
        <v>4345</v>
      </c>
      <c r="E63" s="5" t="s">
        <v>4346</v>
      </c>
      <c r="F63" s="5" t="s">
        <v>4347</v>
      </c>
      <c r="G63" s="11" t="s">
        <v>4348</v>
      </c>
      <c r="H63" s="5"/>
      <c r="I63" s="5"/>
      <c r="J63" s="5"/>
      <c r="K63" s="5"/>
      <c r="L63" s="5"/>
      <c r="M63" s="5"/>
      <c r="N63" s="5"/>
      <c r="O63" s="5"/>
      <c r="P63" s="11">
        <v>250.0634</v>
      </c>
      <c r="Q63" s="5">
        <v>105.7842</v>
      </c>
      <c r="R63" s="5">
        <f t="shared" si="0"/>
        <v>355.8476</v>
      </c>
      <c r="S63" s="5" t="s">
        <v>441</v>
      </c>
      <c r="T63" s="12">
        <v>60</v>
      </c>
      <c r="U63" s="31" t="s">
        <v>3471</v>
      </c>
      <c r="V63" s="232" t="s">
        <v>3466</v>
      </c>
      <c r="W63" s="232">
        <v>-7640.9</v>
      </c>
      <c r="X63" s="232">
        <v>-9129.7999999999993</v>
      </c>
      <c r="Y63" s="233" t="s">
        <v>49</v>
      </c>
      <c r="Z63" s="87" t="s">
        <v>50</v>
      </c>
      <c r="AA63" s="233" t="s">
        <v>51</v>
      </c>
      <c r="AB63" s="234"/>
      <c r="AC63" s="233">
        <v>1</v>
      </c>
      <c r="AD63" s="233" t="s">
        <v>226</v>
      </c>
      <c r="AE63" s="234"/>
      <c r="AF63" s="233">
        <v>1100</v>
      </c>
      <c r="AG63" s="233" t="s">
        <v>443</v>
      </c>
      <c r="AH63" s="233">
        <v>2.5</v>
      </c>
      <c r="AI63" s="233">
        <v>85</v>
      </c>
      <c r="AJ63" s="233" t="s">
        <v>405</v>
      </c>
      <c r="AK63" s="233">
        <v>10</v>
      </c>
      <c r="AL63" s="233"/>
      <c r="AM63" s="233" t="s">
        <v>3472</v>
      </c>
      <c r="AN63" s="233"/>
      <c r="AO63" s="233"/>
      <c r="AP63" s="234" t="s">
        <v>407</v>
      </c>
      <c r="AQ63" s="234" t="s">
        <v>408</v>
      </c>
    </row>
    <row r="64" spans="1:43">
      <c r="A64" s="12">
        <v>61</v>
      </c>
      <c r="B64" s="21" t="s">
        <v>4349</v>
      </c>
      <c r="C64" s="5" t="s">
        <v>436</v>
      </c>
      <c r="D64" s="5" t="s">
        <v>4350</v>
      </c>
      <c r="E64" s="5" t="s">
        <v>4351</v>
      </c>
      <c r="F64" s="5" t="s">
        <v>4352</v>
      </c>
      <c r="G64" s="11" t="s">
        <v>4353</v>
      </c>
      <c r="H64" s="5"/>
      <c r="I64" s="5"/>
      <c r="J64" s="5"/>
      <c r="K64" s="5"/>
      <c r="L64" s="5"/>
      <c r="M64" s="5"/>
      <c r="N64" s="5"/>
      <c r="O64" s="5"/>
      <c r="P64" s="11">
        <v>250.06469999999999</v>
      </c>
      <c r="Q64" s="5">
        <v>105.78149999999999</v>
      </c>
      <c r="R64" s="5">
        <f t="shared" si="0"/>
        <v>355.84619999999995</v>
      </c>
      <c r="S64" s="5" t="s">
        <v>441</v>
      </c>
      <c r="T64" s="12">
        <v>61</v>
      </c>
      <c r="U64" s="31" t="s">
        <v>442</v>
      </c>
      <c r="V64" s="232" t="s">
        <v>436</v>
      </c>
      <c r="W64" s="232">
        <v>-7640.9</v>
      </c>
      <c r="X64" s="232">
        <v>-8418.6</v>
      </c>
      <c r="Y64" s="233" t="s">
        <v>49</v>
      </c>
      <c r="Z64" s="87" t="s">
        <v>50</v>
      </c>
      <c r="AA64" s="233" t="s">
        <v>51</v>
      </c>
      <c r="AB64" s="234"/>
      <c r="AC64" s="233">
        <v>1</v>
      </c>
      <c r="AD64" s="233" t="s">
        <v>226</v>
      </c>
      <c r="AE64" s="234"/>
      <c r="AF64" s="233">
        <v>1100</v>
      </c>
      <c r="AG64" s="233" t="s">
        <v>443</v>
      </c>
      <c r="AH64" s="233">
        <v>2.5</v>
      </c>
      <c r="AI64" s="233">
        <v>85</v>
      </c>
      <c r="AJ64" s="233" t="s">
        <v>405</v>
      </c>
      <c r="AK64" s="233">
        <v>10</v>
      </c>
      <c r="AL64" s="233"/>
      <c r="AM64" s="233" t="s">
        <v>444</v>
      </c>
      <c r="AN64" s="233"/>
      <c r="AO64" s="233"/>
      <c r="AP64" s="234" t="s">
        <v>407</v>
      </c>
      <c r="AQ64" s="234" t="s">
        <v>408</v>
      </c>
    </row>
    <row r="65" spans="1:43">
      <c r="A65" s="12">
        <v>62</v>
      </c>
      <c r="B65" s="21" t="s">
        <v>4344</v>
      </c>
      <c r="C65" s="5" t="s">
        <v>3473</v>
      </c>
      <c r="D65" s="5" t="s">
        <v>4345</v>
      </c>
      <c r="E65" s="5" t="s">
        <v>4346</v>
      </c>
      <c r="F65" s="5" t="s">
        <v>4347</v>
      </c>
      <c r="G65" s="11" t="s">
        <v>4348</v>
      </c>
      <c r="H65" s="5"/>
      <c r="I65" s="5"/>
      <c r="J65" s="5"/>
      <c r="K65" s="5"/>
      <c r="L65" s="5"/>
      <c r="M65" s="5"/>
      <c r="N65" s="5"/>
      <c r="O65" s="5"/>
      <c r="P65" s="11">
        <v>250.0634</v>
      </c>
      <c r="Q65" s="5">
        <v>105.7842</v>
      </c>
      <c r="R65" s="5">
        <f t="shared" si="0"/>
        <v>355.8476</v>
      </c>
      <c r="S65" s="5" t="s">
        <v>441</v>
      </c>
      <c r="T65" s="12">
        <v>62</v>
      </c>
      <c r="U65" s="31" t="s">
        <v>3474</v>
      </c>
      <c r="V65" s="232" t="s">
        <v>3473</v>
      </c>
      <c r="W65" s="232">
        <v>-9801.7000000000007</v>
      </c>
      <c r="X65" s="232">
        <v>-11190</v>
      </c>
      <c r="Y65" s="233" t="s">
        <v>49</v>
      </c>
      <c r="Z65" s="87" t="s">
        <v>50</v>
      </c>
      <c r="AA65" s="233" t="s">
        <v>51</v>
      </c>
      <c r="AB65" s="234"/>
      <c r="AC65" s="233">
        <v>0</v>
      </c>
      <c r="AD65" s="234"/>
      <c r="AE65" s="234"/>
      <c r="AF65" s="234"/>
      <c r="AG65" s="233" t="s">
        <v>458</v>
      </c>
      <c r="AH65" s="233">
        <v>2.5</v>
      </c>
      <c r="AI65" s="233">
        <v>85</v>
      </c>
      <c r="AJ65" s="233" t="s">
        <v>405</v>
      </c>
      <c r="AK65" s="233">
        <v>10</v>
      </c>
      <c r="AL65" s="233"/>
      <c r="AM65" s="233" t="s">
        <v>3472</v>
      </c>
      <c r="AN65" s="233"/>
      <c r="AO65" s="233"/>
      <c r="AP65" s="234" t="s">
        <v>407</v>
      </c>
      <c r="AQ65" s="234" t="s">
        <v>408</v>
      </c>
    </row>
    <row r="66" spans="1:43">
      <c r="A66" s="12">
        <v>63</v>
      </c>
      <c r="B66" s="21" t="s">
        <v>4349</v>
      </c>
      <c r="C66" s="5" t="s">
        <v>456</v>
      </c>
      <c r="D66" s="5" t="s">
        <v>4350</v>
      </c>
      <c r="E66" s="5" t="s">
        <v>4351</v>
      </c>
      <c r="F66" s="5" t="s">
        <v>4352</v>
      </c>
      <c r="G66" s="11" t="s">
        <v>4353</v>
      </c>
      <c r="H66" s="5"/>
      <c r="I66" s="5"/>
      <c r="J66" s="5"/>
      <c r="K66" s="5"/>
      <c r="L66" s="5"/>
      <c r="M66" s="5"/>
      <c r="N66" s="5"/>
      <c r="O66" s="5"/>
      <c r="P66" s="11">
        <v>250.06469999999999</v>
      </c>
      <c r="Q66" s="5">
        <v>105.78149999999999</v>
      </c>
      <c r="R66" s="5">
        <f t="shared" si="0"/>
        <v>355.84619999999995</v>
      </c>
      <c r="S66" s="5" t="s">
        <v>441</v>
      </c>
      <c r="T66" s="12">
        <v>63</v>
      </c>
      <c r="U66" s="31" t="s">
        <v>457</v>
      </c>
      <c r="V66" s="232" t="s">
        <v>456</v>
      </c>
      <c r="W66" s="232">
        <v>-9301.2999999999993</v>
      </c>
      <c r="X66" s="232">
        <v>-11190</v>
      </c>
      <c r="Y66" s="233" t="s">
        <v>49</v>
      </c>
      <c r="Z66" s="87" t="s">
        <v>50</v>
      </c>
      <c r="AA66" s="233" t="s">
        <v>51</v>
      </c>
      <c r="AB66" s="234"/>
      <c r="AC66" s="233">
        <v>0</v>
      </c>
      <c r="AD66" s="234"/>
      <c r="AE66" s="234"/>
      <c r="AF66" s="234"/>
      <c r="AG66" s="233" t="s">
        <v>458</v>
      </c>
      <c r="AH66" s="233">
        <v>2.5</v>
      </c>
      <c r="AI66" s="233">
        <v>85</v>
      </c>
      <c r="AJ66" s="233" t="s">
        <v>405</v>
      </c>
      <c r="AK66" s="233">
        <v>10</v>
      </c>
      <c r="AL66" s="233"/>
      <c r="AM66" s="233" t="s">
        <v>444</v>
      </c>
      <c r="AN66" s="233"/>
      <c r="AO66" s="233"/>
      <c r="AP66" s="234" t="s">
        <v>407</v>
      </c>
      <c r="AQ66" s="234" t="s">
        <v>408</v>
      </c>
    </row>
    <row r="67" spans="1:43">
      <c r="A67" s="12">
        <v>64</v>
      </c>
      <c r="B67" s="21" t="s">
        <v>4354</v>
      </c>
      <c r="C67" s="5" t="s">
        <v>460</v>
      </c>
      <c r="D67" s="5" t="s">
        <v>4355</v>
      </c>
      <c r="E67" s="5" t="s">
        <v>4356</v>
      </c>
      <c r="F67" s="5" t="s">
        <v>4357</v>
      </c>
      <c r="G67" s="11" t="s">
        <v>4358</v>
      </c>
      <c r="H67" s="5"/>
      <c r="I67" s="5"/>
      <c r="J67" s="5"/>
      <c r="K67" s="5"/>
      <c r="L67" s="5"/>
      <c r="M67" s="5"/>
      <c r="N67" s="5"/>
      <c r="O67" s="5"/>
      <c r="P67" s="11">
        <v>250.04490000000001</v>
      </c>
      <c r="Q67" s="5">
        <v>105.782</v>
      </c>
      <c r="R67" s="5">
        <f t="shared" si="0"/>
        <v>355.82690000000002</v>
      </c>
      <c r="S67" s="5" t="s">
        <v>465</v>
      </c>
      <c r="T67" s="12">
        <v>64</v>
      </c>
      <c r="U67" s="31" t="s">
        <v>466</v>
      </c>
      <c r="V67" s="232" t="s">
        <v>460</v>
      </c>
      <c r="W67" s="232">
        <v>-6283.6</v>
      </c>
      <c r="X67" s="232">
        <v>-8418.6</v>
      </c>
      <c r="Y67" s="233" t="s">
        <v>49</v>
      </c>
      <c r="Z67" s="87" t="s">
        <v>50</v>
      </c>
      <c r="AA67" s="233" t="s">
        <v>51</v>
      </c>
      <c r="AB67" s="234"/>
      <c r="AC67" s="233">
        <v>1</v>
      </c>
      <c r="AD67" s="233" t="s">
        <v>226</v>
      </c>
      <c r="AE67" s="234"/>
      <c r="AF67" s="233">
        <v>1100</v>
      </c>
      <c r="AG67" s="233" t="s">
        <v>467</v>
      </c>
      <c r="AH67" s="233">
        <v>2.5</v>
      </c>
      <c r="AI67" s="233">
        <v>85</v>
      </c>
      <c r="AJ67" s="233" t="s">
        <v>405</v>
      </c>
      <c r="AK67" s="233">
        <v>10</v>
      </c>
      <c r="AL67" s="233"/>
      <c r="AM67" s="233" t="s">
        <v>468</v>
      </c>
      <c r="AN67" s="233"/>
      <c r="AO67" s="233"/>
      <c r="AP67" s="234" t="s">
        <v>407</v>
      </c>
      <c r="AQ67" s="234" t="s">
        <v>408</v>
      </c>
    </row>
    <row r="68" spans="1:43">
      <c r="A68" s="12">
        <v>65</v>
      </c>
      <c r="B68" s="21" t="s">
        <v>4359</v>
      </c>
      <c r="C68" s="5" t="s">
        <v>470</v>
      </c>
      <c r="D68" s="5" t="s">
        <v>4360</v>
      </c>
      <c r="E68" s="5" t="s">
        <v>4361</v>
      </c>
      <c r="F68" s="5" t="s">
        <v>4362</v>
      </c>
      <c r="G68" s="11" t="s">
        <v>4363</v>
      </c>
      <c r="H68" s="5"/>
      <c r="I68" s="5"/>
      <c r="J68" s="5"/>
      <c r="K68" s="5"/>
      <c r="L68" s="5"/>
      <c r="M68" s="5"/>
      <c r="N68" s="5"/>
      <c r="O68" s="5"/>
      <c r="P68" s="11">
        <v>250.0429</v>
      </c>
      <c r="Q68" s="5">
        <v>105.78619999999999</v>
      </c>
      <c r="R68" s="5">
        <f t="shared" ref="R68:R131" si="1">IF(AND(P68="",Q68=""),"",SUM(P68:Q68))</f>
        <v>355.82909999999998</v>
      </c>
      <c r="S68" s="5" t="s">
        <v>465</v>
      </c>
      <c r="T68" s="12">
        <v>65</v>
      </c>
      <c r="U68" s="31" t="s">
        <v>475</v>
      </c>
      <c r="V68" s="232" t="s">
        <v>470</v>
      </c>
      <c r="W68" s="232">
        <v>-6283.6</v>
      </c>
      <c r="X68" s="232">
        <v>-9129.7999999999993</v>
      </c>
      <c r="Y68" s="233" t="s">
        <v>49</v>
      </c>
      <c r="Z68" s="87" t="s">
        <v>50</v>
      </c>
      <c r="AA68" s="233" t="s">
        <v>51</v>
      </c>
      <c r="AB68" s="234"/>
      <c r="AC68" s="233">
        <v>1</v>
      </c>
      <c r="AD68" s="233" t="s">
        <v>226</v>
      </c>
      <c r="AE68" s="234"/>
      <c r="AF68" s="233">
        <v>1100</v>
      </c>
      <c r="AG68" s="233" t="s">
        <v>467</v>
      </c>
      <c r="AH68" s="233">
        <v>2.5</v>
      </c>
      <c r="AI68" s="233">
        <v>85</v>
      </c>
      <c r="AJ68" s="233" t="s">
        <v>405</v>
      </c>
      <c r="AK68" s="233">
        <v>10</v>
      </c>
      <c r="AL68" s="233"/>
      <c r="AM68" s="233" t="s">
        <v>476</v>
      </c>
      <c r="AN68" s="233"/>
      <c r="AO68" s="233"/>
      <c r="AP68" s="234" t="s">
        <v>407</v>
      </c>
      <c r="AQ68" s="234" t="s">
        <v>408</v>
      </c>
    </row>
    <row r="69" spans="1:43">
      <c r="A69" s="12">
        <v>66</v>
      </c>
      <c r="B69" s="21" t="s">
        <v>4354</v>
      </c>
      <c r="C69" s="5" t="s">
        <v>477</v>
      </c>
      <c r="D69" s="5" t="s">
        <v>4355</v>
      </c>
      <c r="E69" s="5" t="s">
        <v>4356</v>
      </c>
      <c r="F69" s="5" t="s">
        <v>4357</v>
      </c>
      <c r="G69" s="11" t="s">
        <v>4358</v>
      </c>
      <c r="H69" s="5"/>
      <c r="I69" s="5"/>
      <c r="J69" s="5"/>
      <c r="K69" s="5"/>
      <c r="L69" s="5"/>
      <c r="M69" s="5"/>
      <c r="N69" s="5"/>
      <c r="O69" s="5"/>
      <c r="P69" s="11">
        <v>250.04490000000001</v>
      </c>
      <c r="Q69" s="5">
        <v>105.782</v>
      </c>
      <c r="R69" s="5">
        <f t="shared" si="1"/>
        <v>355.82690000000002</v>
      </c>
      <c r="S69" s="5" t="s">
        <v>465</v>
      </c>
      <c r="T69" s="12">
        <v>66</v>
      </c>
      <c r="U69" s="31" t="s">
        <v>478</v>
      </c>
      <c r="V69" s="232" t="s">
        <v>477</v>
      </c>
      <c r="W69" s="232">
        <v>-9119.5</v>
      </c>
      <c r="X69" s="232">
        <v>-10380.6</v>
      </c>
      <c r="Y69" s="233" t="s">
        <v>49</v>
      </c>
      <c r="Z69" s="87" t="s">
        <v>50</v>
      </c>
      <c r="AA69" s="233" t="s">
        <v>51</v>
      </c>
      <c r="AB69" s="234"/>
      <c r="AC69" s="233">
        <v>0</v>
      </c>
      <c r="AD69" s="234"/>
      <c r="AE69" s="234"/>
      <c r="AF69" s="234"/>
      <c r="AG69" s="233" t="s">
        <v>479</v>
      </c>
      <c r="AH69" s="233">
        <v>2.5</v>
      </c>
      <c r="AI69" s="233">
        <v>85</v>
      </c>
      <c r="AJ69" s="233" t="s">
        <v>405</v>
      </c>
      <c r="AK69" s="233">
        <v>10</v>
      </c>
      <c r="AL69" s="233"/>
      <c r="AM69" s="233" t="s">
        <v>468</v>
      </c>
      <c r="AN69" s="233"/>
      <c r="AO69" s="233"/>
      <c r="AP69" s="234" t="s">
        <v>407</v>
      </c>
      <c r="AQ69" s="234" t="s">
        <v>408</v>
      </c>
    </row>
    <row r="70" spans="1:43">
      <c r="A70" s="12">
        <v>67</v>
      </c>
      <c r="B70" s="21" t="s">
        <v>4359</v>
      </c>
      <c r="C70" s="5" t="s">
        <v>480</v>
      </c>
      <c r="D70" s="5" t="s">
        <v>4360</v>
      </c>
      <c r="E70" s="5" t="s">
        <v>4361</v>
      </c>
      <c r="F70" s="5" t="s">
        <v>4362</v>
      </c>
      <c r="G70" s="11" t="s">
        <v>4363</v>
      </c>
      <c r="H70" s="5"/>
      <c r="I70" s="5"/>
      <c r="J70" s="5"/>
      <c r="K70" s="5"/>
      <c r="L70" s="5"/>
      <c r="M70" s="5"/>
      <c r="N70" s="5"/>
      <c r="O70" s="5"/>
      <c r="P70" s="11">
        <v>250.0429</v>
      </c>
      <c r="Q70" s="5">
        <v>105.78619999999999</v>
      </c>
      <c r="R70" s="5">
        <f t="shared" si="1"/>
        <v>355.82909999999998</v>
      </c>
      <c r="S70" s="5" t="s">
        <v>465</v>
      </c>
      <c r="T70" s="12">
        <v>67</v>
      </c>
      <c r="U70" s="31" t="s">
        <v>481</v>
      </c>
      <c r="V70" s="232" t="s">
        <v>480</v>
      </c>
      <c r="W70" s="232">
        <v>-8618.9</v>
      </c>
      <c r="X70" s="232">
        <v>-10380.6</v>
      </c>
      <c r="Y70" s="233" t="s">
        <v>49</v>
      </c>
      <c r="Z70" s="87" t="s">
        <v>50</v>
      </c>
      <c r="AA70" s="233" t="s">
        <v>51</v>
      </c>
      <c r="AB70" s="234"/>
      <c r="AC70" s="233">
        <v>0</v>
      </c>
      <c r="AD70" s="234"/>
      <c r="AE70" s="234"/>
      <c r="AF70" s="234"/>
      <c r="AG70" s="233" t="s">
        <v>479</v>
      </c>
      <c r="AH70" s="233">
        <v>2.5</v>
      </c>
      <c r="AI70" s="233">
        <v>85</v>
      </c>
      <c r="AJ70" s="233" t="s">
        <v>405</v>
      </c>
      <c r="AK70" s="233">
        <v>10</v>
      </c>
      <c r="AL70" s="233"/>
      <c r="AM70" s="233" t="s">
        <v>476</v>
      </c>
      <c r="AN70" s="233"/>
      <c r="AO70" s="233"/>
      <c r="AP70" s="234" t="s">
        <v>407</v>
      </c>
      <c r="AQ70" s="234" t="s">
        <v>408</v>
      </c>
    </row>
    <row r="71" spans="1:43">
      <c r="A71" s="12">
        <v>68</v>
      </c>
      <c r="B71" s="21" t="s">
        <v>4364</v>
      </c>
      <c r="C71" s="5" t="s">
        <v>483</v>
      </c>
      <c r="D71" s="5" t="s">
        <v>4365</v>
      </c>
      <c r="E71" s="5" t="s">
        <v>4366</v>
      </c>
      <c r="F71" s="5" t="s">
        <v>4367</v>
      </c>
      <c r="G71" s="11" t="s">
        <v>4368</v>
      </c>
      <c r="H71" s="5"/>
      <c r="I71" s="5"/>
      <c r="J71" s="5"/>
      <c r="K71" s="5"/>
      <c r="L71" s="5"/>
      <c r="M71" s="5"/>
      <c r="N71" s="5"/>
      <c r="O71" s="5"/>
      <c r="P71" s="11">
        <v>250.02610000000001</v>
      </c>
      <c r="Q71" s="5">
        <v>105.79770000000001</v>
      </c>
      <c r="R71" s="5">
        <f t="shared" si="1"/>
        <v>355.82380000000001</v>
      </c>
      <c r="S71" s="5" t="s">
        <v>488</v>
      </c>
      <c r="T71" s="12">
        <v>68</v>
      </c>
      <c r="U71" s="31" t="s">
        <v>489</v>
      </c>
      <c r="V71" s="232" t="s">
        <v>483</v>
      </c>
      <c r="W71" s="232">
        <v>-6283.6</v>
      </c>
      <c r="X71" s="232">
        <v>-6996.2</v>
      </c>
      <c r="Y71" s="233" t="s">
        <v>49</v>
      </c>
      <c r="Z71" s="87" t="s">
        <v>50</v>
      </c>
      <c r="AA71" s="233" t="s">
        <v>51</v>
      </c>
      <c r="AB71" s="234"/>
      <c r="AC71" s="233">
        <v>1</v>
      </c>
      <c r="AD71" s="233" t="s">
        <v>226</v>
      </c>
      <c r="AE71" s="234"/>
      <c r="AF71" s="233">
        <v>1100</v>
      </c>
      <c r="AG71" s="233" t="s">
        <v>490</v>
      </c>
      <c r="AH71" s="233">
        <v>2.5</v>
      </c>
      <c r="AI71" s="233">
        <v>85</v>
      </c>
      <c r="AJ71" s="233" t="s">
        <v>405</v>
      </c>
      <c r="AK71" s="233">
        <v>10</v>
      </c>
      <c r="AL71" s="233"/>
      <c r="AM71" s="233" t="s">
        <v>491</v>
      </c>
      <c r="AN71" s="233"/>
      <c r="AO71" s="233"/>
      <c r="AP71" s="234" t="s">
        <v>407</v>
      </c>
      <c r="AQ71" s="234" t="s">
        <v>408</v>
      </c>
    </row>
    <row r="72" spans="1:43">
      <c r="A72" s="12">
        <v>69</v>
      </c>
      <c r="B72" s="21" t="s">
        <v>4369</v>
      </c>
      <c r="C72" s="5" t="s">
        <v>493</v>
      </c>
      <c r="D72" s="5" t="s">
        <v>4370</v>
      </c>
      <c r="E72" s="5" t="s">
        <v>4371</v>
      </c>
      <c r="F72" s="5" t="s">
        <v>4372</v>
      </c>
      <c r="G72" s="11" t="s">
        <v>4373</v>
      </c>
      <c r="H72" s="5"/>
      <c r="I72" s="5"/>
      <c r="J72" s="5"/>
      <c r="K72" s="5"/>
      <c r="L72" s="5"/>
      <c r="M72" s="5"/>
      <c r="N72" s="5"/>
      <c r="O72" s="5"/>
      <c r="P72" s="11">
        <v>250.02019999999999</v>
      </c>
      <c r="Q72" s="5">
        <v>105.79689999999999</v>
      </c>
      <c r="R72" s="5">
        <f t="shared" si="1"/>
        <v>355.81709999999998</v>
      </c>
      <c r="S72" s="5" t="s">
        <v>488</v>
      </c>
      <c r="T72" s="12">
        <v>69</v>
      </c>
      <c r="U72" s="31" t="s">
        <v>498</v>
      </c>
      <c r="V72" s="232" t="s">
        <v>493</v>
      </c>
      <c r="W72" s="232">
        <v>-6283.6</v>
      </c>
      <c r="X72" s="232">
        <v>-6285</v>
      </c>
      <c r="Y72" s="233" t="s">
        <v>49</v>
      </c>
      <c r="Z72" s="87" t="s">
        <v>50</v>
      </c>
      <c r="AA72" s="233" t="s">
        <v>51</v>
      </c>
      <c r="AB72" s="234"/>
      <c r="AC72" s="233">
        <v>1</v>
      </c>
      <c r="AD72" s="233" t="s">
        <v>226</v>
      </c>
      <c r="AE72" s="234"/>
      <c r="AF72" s="233">
        <v>1100</v>
      </c>
      <c r="AG72" s="233" t="s">
        <v>490</v>
      </c>
      <c r="AH72" s="233">
        <v>2.5</v>
      </c>
      <c r="AI72" s="233">
        <v>85</v>
      </c>
      <c r="AJ72" s="233" t="s">
        <v>405</v>
      </c>
      <c r="AK72" s="233">
        <v>10</v>
      </c>
      <c r="AL72" s="233"/>
      <c r="AM72" s="233" t="s">
        <v>499</v>
      </c>
      <c r="AN72" s="233"/>
      <c r="AO72" s="233"/>
      <c r="AP72" s="234" t="s">
        <v>407</v>
      </c>
      <c r="AQ72" s="234" t="s">
        <v>408</v>
      </c>
    </row>
    <row r="73" spans="1:43">
      <c r="A73" s="12">
        <v>70</v>
      </c>
      <c r="B73" s="21" t="s">
        <v>4364</v>
      </c>
      <c r="C73" s="5" t="s">
        <v>500</v>
      </c>
      <c r="D73" s="5" t="s">
        <v>4365</v>
      </c>
      <c r="E73" s="5" t="s">
        <v>4366</v>
      </c>
      <c r="F73" s="5" t="s">
        <v>4367</v>
      </c>
      <c r="G73" s="11" t="s">
        <v>4368</v>
      </c>
      <c r="H73" s="5"/>
      <c r="I73" s="5"/>
      <c r="J73" s="5"/>
      <c r="K73" s="5"/>
      <c r="L73" s="5"/>
      <c r="M73" s="5"/>
      <c r="N73" s="5"/>
      <c r="O73" s="5"/>
      <c r="P73" s="11">
        <v>250.02610000000001</v>
      </c>
      <c r="Q73" s="5">
        <v>105.79770000000001</v>
      </c>
      <c r="R73" s="5">
        <f t="shared" si="1"/>
        <v>355.82380000000001</v>
      </c>
      <c r="S73" s="5" t="s">
        <v>488</v>
      </c>
      <c r="T73" s="12">
        <v>70</v>
      </c>
      <c r="U73" s="31" t="s">
        <v>501</v>
      </c>
      <c r="V73" s="232" t="s">
        <v>500</v>
      </c>
      <c r="W73" s="232">
        <v>-8437.2000000000007</v>
      </c>
      <c r="X73" s="232">
        <v>-11190</v>
      </c>
      <c r="Y73" s="233" t="s">
        <v>49</v>
      </c>
      <c r="Z73" s="87" t="s">
        <v>50</v>
      </c>
      <c r="AA73" s="233" t="s">
        <v>51</v>
      </c>
      <c r="AB73" s="234"/>
      <c r="AC73" s="233">
        <v>0</v>
      </c>
      <c r="AD73" s="234"/>
      <c r="AE73" s="234"/>
      <c r="AF73" s="234"/>
      <c r="AG73" s="233" t="s">
        <v>502</v>
      </c>
      <c r="AH73" s="233">
        <v>2.5</v>
      </c>
      <c r="AI73" s="233">
        <v>85</v>
      </c>
      <c r="AJ73" s="233" t="s">
        <v>405</v>
      </c>
      <c r="AK73" s="233">
        <v>10</v>
      </c>
      <c r="AL73" s="233"/>
      <c r="AM73" s="233" t="s">
        <v>491</v>
      </c>
      <c r="AN73" s="233"/>
      <c r="AO73" s="233"/>
      <c r="AP73" s="234" t="s">
        <v>407</v>
      </c>
      <c r="AQ73" s="234" t="s">
        <v>408</v>
      </c>
    </row>
    <row r="74" spans="1:43">
      <c r="A74" s="12">
        <v>71</v>
      </c>
      <c r="B74" s="21" t="s">
        <v>4369</v>
      </c>
      <c r="C74" s="5" t="s">
        <v>503</v>
      </c>
      <c r="D74" s="5" t="s">
        <v>4370</v>
      </c>
      <c r="E74" s="5" t="s">
        <v>4371</v>
      </c>
      <c r="F74" s="5" t="s">
        <v>4372</v>
      </c>
      <c r="G74" s="11" t="s">
        <v>4373</v>
      </c>
      <c r="H74" s="5"/>
      <c r="I74" s="5"/>
      <c r="J74" s="5"/>
      <c r="K74" s="5"/>
      <c r="L74" s="5"/>
      <c r="M74" s="5"/>
      <c r="N74" s="5"/>
      <c r="O74" s="5"/>
      <c r="P74" s="11">
        <v>250.02019999999999</v>
      </c>
      <c r="Q74" s="5">
        <v>105.79689999999999</v>
      </c>
      <c r="R74" s="5">
        <f t="shared" si="1"/>
        <v>355.81709999999998</v>
      </c>
      <c r="S74" s="5" t="s">
        <v>488</v>
      </c>
      <c r="T74" s="12">
        <v>71</v>
      </c>
      <c r="U74" s="31" t="s">
        <v>504</v>
      </c>
      <c r="V74" s="232" t="s">
        <v>503</v>
      </c>
      <c r="W74" s="232">
        <v>-7936.8</v>
      </c>
      <c r="X74" s="232">
        <v>-11190</v>
      </c>
      <c r="Y74" s="233" t="s">
        <v>49</v>
      </c>
      <c r="Z74" s="87" t="s">
        <v>50</v>
      </c>
      <c r="AA74" s="233" t="s">
        <v>51</v>
      </c>
      <c r="AB74" s="234"/>
      <c r="AC74" s="233">
        <v>0</v>
      </c>
      <c r="AD74" s="234"/>
      <c r="AE74" s="234"/>
      <c r="AF74" s="234"/>
      <c r="AG74" s="233" t="s">
        <v>502</v>
      </c>
      <c r="AH74" s="233">
        <v>2.5</v>
      </c>
      <c r="AI74" s="233">
        <v>85</v>
      </c>
      <c r="AJ74" s="233" t="s">
        <v>405</v>
      </c>
      <c r="AK74" s="233">
        <v>10</v>
      </c>
      <c r="AL74" s="233"/>
      <c r="AM74" s="233" t="s">
        <v>499</v>
      </c>
      <c r="AN74" s="233"/>
      <c r="AO74" s="233"/>
      <c r="AP74" s="234" t="s">
        <v>407</v>
      </c>
      <c r="AQ74" s="234" t="s">
        <v>408</v>
      </c>
    </row>
    <row r="75" spans="1:43">
      <c r="A75" s="12">
        <v>72</v>
      </c>
      <c r="B75" s="21" t="s">
        <v>4374</v>
      </c>
      <c r="C75" s="5" t="s">
        <v>506</v>
      </c>
      <c r="D75" s="5" t="s">
        <v>4375</v>
      </c>
      <c r="E75" s="5" t="s">
        <v>4376</v>
      </c>
      <c r="F75" s="5" t="s">
        <v>4377</v>
      </c>
      <c r="G75" s="11" t="s">
        <v>4378</v>
      </c>
      <c r="H75" s="5"/>
      <c r="I75" s="5"/>
      <c r="J75" s="5"/>
      <c r="K75" s="5"/>
      <c r="L75" s="5"/>
      <c r="M75" s="5"/>
      <c r="N75" s="5"/>
      <c r="O75" s="5"/>
      <c r="P75" s="11">
        <v>250.09889999999999</v>
      </c>
      <c r="Q75" s="5">
        <v>105.7846</v>
      </c>
      <c r="R75" s="5">
        <f t="shared" si="1"/>
        <v>355.88349999999997</v>
      </c>
      <c r="S75" s="5" t="s">
        <v>299</v>
      </c>
      <c r="T75" s="12">
        <v>72</v>
      </c>
      <c r="U75" s="31" t="s">
        <v>511</v>
      </c>
      <c r="V75" s="232" t="s">
        <v>506</v>
      </c>
      <c r="W75" s="232">
        <v>-4911.8999999999996</v>
      </c>
      <c r="X75" s="232">
        <v>-9129.7999999999993</v>
      </c>
      <c r="Y75" s="233" t="s">
        <v>49</v>
      </c>
      <c r="Z75" s="87" t="s">
        <v>50</v>
      </c>
      <c r="AA75" s="233" t="s">
        <v>51</v>
      </c>
      <c r="AB75" s="234"/>
      <c r="AC75" s="233">
        <v>1</v>
      </c>
      <c r="AD75" s="233" t="s">
        <v>226</v>
      </c>
      <c r="AE75" s="234"/>
      <c r="AF75" s="233">
        <v>1100</v>
      </c>
      <c r="AG75" s="233" t="s">
        <v>512</v>
      </c>
      <c r="AH75" s="233">
        <v>2.5</v>
      </c>
      <c r="AI75" s="233">
        <v>85</v>
      </c>
      <c r="AJ75" s="233" t="s">
        <v>405</v>
      </c>
      <c r="AK75" s="233">
        <v>10</v>
      </c>
      <c r="AL75" s="233"/>
      <c r="AM75" s="233" t="s">
        <v>513</v>
      </c>
      <c r="AN75" s="233"/>
      <c r="AO75" s="233"/>
      <c r="AP75" s="234" t="s">
        <v>407</v>
      </c>
      <c r="AQ75" s="234" t="s">
        <v>408</v>
      </c>
    </row>
    <row r="76" spans="1:43">
      <c r="A76" s="12">
        <v>73</v>
      </c>
      <c r="B76" s="21" t="s">
        <v>4379</v>
      </c>
      <c r="C76" s="5" t="s">
        <v>515</v>
      </c>
      <c r="D76" s="5" t="s">
        <v>4380</v>
      </c>
      <c r="E76" s="5" t="s">
        <v>4381</v>
      </c>
      <c r="F76" s="5" t="s">
        <v>4382</v>
      </c>
      <c r="G76" s="11" t="s">
        <v>4383</v>
      </c>
      <c r="H76" s="5"/>
      <c r="I76" s="5"/>
      <c r="J76" s="5"/>
      <c r="K76" s="5"/>
      <c r="L76" s="5"/>
      <c r="M76" s="5"/>
      <c r="N76" s="5"/>
      <c r="O76" s="5"/>
      <c r="P76" s="11">
        <v>250.09299999999999</v>
      </c>
      <c r="Q76" s="5">
        <v>105.7869</v>
      </c>
      <c r="R76" s="5">
        <f t="shared" si="1"/>
        <v>355.87990000000002</v>
      </c>
      <c r="S76" s="5" t="s">
        <v>299</v>
      </c>
      <c r="T76" s="12">
        <v>73</v>
      </c>
      <c r="U76" s="31" t="s">
        <v>520</v>
      </c>
      <c r="V76" s="232" t="s">
        <v>515</v>
      </c>
      <c r="W76" s="232">
        <v>-4911.8999999999996</v>
      </c>
      <c r="X76" s="232">
        <v>-8418.6</v>
      </c>
      <c r="Y76" s="233" t="s">
        <v>49</v>
      </c>
      <c r="Z76" s="87" t="s">
        <v>50</v>
      </c>
      <c r="AA76" s="233" t="s">
        <v>51</v>
      </c>
      <c r="AB76" s="234"/>
      <c r="AC76" s="233">
        <v>1</v>
      </c>
      <c r="AD76" s="233" t="s">
        <v>226</v>
      </c>
      <c r="AE76" s="234"/>
      <c r="AF76" s="233">
        <v>1100</v>
      </c>
      <c r="AG76" s="233" t="s">
        <v>512</v>
      </c>
      <c r="AH76" s="233">
        <v>2.5</v>
      </c>
      <c r="AI76" s="233">
        <v>85</v>
      </c>
      <c r="AJ76" s="233" t="s">
        <v>405</v>
      </c>
      <c r="AK76" s="233">
        <v>10</v>
      </c>
      <c r="AL76" s="233"/>
      <c r="AM76" s="233" t="s">
        <v>521</v>
      </c>
      <c r="AN76" s="233"/>
      <c r="AO76" s="233"/>
      <c r="AP76" s="234" t="s">
        <v>407</v>
      </c>
      <c r="AQ76" s="234" t="s">
        <v>408</v>
      </c>
    </row>
    <row r="77" spans="1:43">
      <c r="A77" s="12">
        <v>74</v>
      </c>
      <c r="B77" s="21" t="s">
        <v>4374</v>
      </c>
      <c r="C77" s="5" t="s">
        <v>522</v>
      </c>
      <c r="D77" s="5" t="s">
        <v>4375</v>
      </c>
      <c r="E77" s="5" t="s">
        <v>4376</v>
      </c>
      <c r="F77" s="5" t="s">
        <v>4377</v>
      </c>
      <c r="G77" s="11" t="s">
        <v>4378</v>
      </c>
      <c r="H77" s="5"/>
      <c r="I77" s="5"/>
      <c r="J77" s="5"/>
      <c r="K77" s="5"/>
      <c r="L77" s="5"/>
      <c r="M77" s="5"/>
      <c r="N77" s="5"/>
      <c r="O77" s="5"/>
      <c r="P77" s="11">
        <v>250.09889999999999</v>
      </c>
      <c r="Q77" s="5">
        <v>105.7846</v>
      </c>
      <c r="R77" s="5">
        <f t="shared" si="1"/>
        <v>355.88349999999997</v>
      </c>
      <c r="S77" s="5" t="s">
        <v>299</v>
      </c>
      <c r="T77" s="12">
        <v>74</v>
      </c>
      <c r="U77" s="31" t="s">
        <v>523</v>
      </c>
      <c r="V77" s="232" t="s">
        <v>522</v>
      </c>
      <c r="W77" s="232">
        <v>-7755</v>
      </c>
      <c r="X77" s="232">
        <v>-10380.6</v>
      </c>
      <c r="Y77" s="233" t="s">
        <v>49</v>
      </c>
      <c r="Z77" s="87" t="s">
        <v>50</v>
      </c>
      <c r="AA77" s="233" t="s">
        <v>51</v>
      </c>
      <c r="AB77" s="234"/>
      <c r="AC77" s="233">
        <v>0</v>
      </c>
      <c r="AD77" s="234"/>
      <c r="AE77" s="234"/>
      <c r="AF77" s="234"/>
      <c r="AG77" s="233" t="s">
        <v>524</v>
      </c>
      <c r="AH77" s="233">
        <v>2.5</v>
      </c>
      <c r="AI77" s="233">
        <v>85</v>
      </c>
      <c r="AJ77" s="233" t="s">
        <v>405</v>
      </c>
      <c r="AK77" s="233">
        <v>10</v>
      </c>
      <c r="AL77" s="233"/>
      <c r="AM77" s="233" t="s">
        <v>513</v>
      </c>
      <c r="AN77" s="233"/>
      <c r="AO77" s="233"/>
      <c r="AP77" s="234" t="s">
        <v>407</v>
      </c>
      <c r="AQ77" s="234" t="s">
        <v>408</v>
      </c>
    </row>
    <row r="78" spans="1:43">
      <c r="A78" s="12">
        <v>75</v>
      </c>
      <c r="B78" s="21" t="s">
        <v>4379</v>
      </c>
      <c r="C78" s="5" t="s">
        <v>525</v>
      </c>
      <c r="D78" s="5" t="s">
        <v>4380</v>
      </c>
      <c r="E78" s="5" t="s">
        <v>4381</v>
      </c>
      <c r="F78" s="5" t="s">
        <v>4382</v>
      </c>
      <c r="G78" s="11" t="s">
        <v>4383</v>
      </c>
      <c r="H78" s="5"/>
      <c r="I78" s="5"/>
      <c r="J78" s="5"/>
      <c r="K78" s="5"/>
      <c r="L78" s="5"/>
      <c r="M78" s="5"/>
      <c r="N78" s="5"/>
      <c r="O78" s="5"/>
      <c r="P78" s="11">
        <v>250.09299999999999</v>
      </c>
      <c r="Q78" s="5">
        <v>105.7869</v>
      </c>
      <c r="R78" s="5">
        <f t="shared" si="1"/>
        <v>355.87990000000002</v>
      </c>
      <c r="S78" s="5" t="s">
        <v>299</v>
      </c>
      <c r="T78" s="12">
        <v>75</v>
      </c>
      <c r="U78" s="31" t="s">
        <v>526</v>
      </c>
      <c r="V78" s="232" t="s">
        <v>525</v>
      </c>
      <c r="W78" s="232">
        <v>-7254.4</v>
      </c>
      <c r="X78" s="232">
        <v>-10380.6</v>
      </c>
      <c r="Y78" s="233" t="s">
        <v>49</v>
      </c>
      <c r="Z78" s="87" t="s">
        <v>50</v>
      </c>
      <c r="AA78" s="233" t="s">
        <v>51</v>
      </c>
      <c r="AB78" s="234"/>
      <c r="AC78" s="233">
        <v>0</v>
      </c>
      <c r="AD78" s="234"/>
      <c r="AE78" s="234"/>
      <c r="AF78" s="234"/>
      <c r="AG78" s="233" t="s">
        <v>524</v>
      </c>
      <c r="AH78" s="233">
        <v>2.5</v>
      </c>
      <c r="AI78" s="233">
        <v>85</v>
      </c>
      <c r="AJ78" s="233" t="s">
        <v>405</v>
      </c>
      <c r="AK78" s="233">
        <v>10</v>
      </c>
      <c r="AL78" s="233"/>
      <c r="AM78" s="233" t="s">
        <v>521</v>
      </c>
      <c r="AN78" s="233"/>
      <c r="AO78" s="233"/>
      <c r="AP78" s="234" t="s">
        <v>407</v>
      </c>
      <c r="AQ78" s="234" t="s">
        <v>408</v>
      </c>
    </row>
    <row r="79" spans="1:43">
      <c r="A79" s="12">
        <v>76</v>
      </c>
      <c r="B79" s="21" t="s">
        <v>4384</v>
      </c>
      <c r="C79" s="5" t="s">
        <v>528</v>
      </c>
      <c r="D79" s="5" t="s">
        <v>4385</v>
      </c>
      <c r="E79" s="5" t="s">
        <v>4386</v>
      </c>
      <c r="F79" s="5" t="s">
        <v>4387</v>
      </c>
      <c r="G79" s="11" t="s">
        <v>4388</v>
      </c>
      <c r="H79" s="5"/>
      <c r="I79" s="5"/>
      <c r="J79" s="5"/>
      <c r="K79" s="5"/>
      <c r="L79" s="5"/>
      <c r="M79" s="5"/>
      <c r="N79" s="5"/>
      <c r="O79" s="5"/>
      <c r="P79" s="11">
        <v>249.99199999999999</v>
      </c>
      <c r="Q79" s="5">
        <v>105.7871</v>
      </c>
      <c r="R79" s="5">
        <f t="shared" si="1"/>
        <v>355.77909999999997</v>
      </c>
      <c r="S79" s="5" t="s">
        <v>465</v>
      </c>
      <c r="T79" s="12">
        <v>76</v>
      </c>
      <c r="U79" s="31" t="s">
        <v>533</v>
      </c>
      <c r="V79" s="232" t="s">
        <v>528</v>
      </c>
      <c r="W79" s="232">
        <v>-4911.8999999999996</v>
      </c>
      <c r="X79" s="232">
        <v>-6996.2</v>
      </c>
      <c r="Y79" s="233" t="s">
        <v>49</v>
      </c>
      <c r="Z79" s="87" t="s">
        <v>50</v>
      </c>
      <c r="AA79" s="233" t="s">
        <v>51</v>
      </c>
      <c r="AB79" s="234"/>
      <c r="AC79" s="233">
        <v>1</v>
      </c>
      <c r="AD79" s="233" t="s">
        <v>226</v>
      </c>
      <c r="AE79" s="234"/>
      <c r="AF79" s="233">
        <v>1100</v>
      </c>
      <c r="AG79" s="233" t="s">
        <v>534</v>
      </c>
      <c r="AH79" s="233">
        <v>2.5</v>
      </c>
      <c r="AI79" s="233">
        <v>85</v>
      </c>
      <c r="AJ79" s="233" t="s">
        <v>405</v>
      </c>
      <c r="AK79" s="233">
        <v>10</v>
      </c>
      <c r="AL79" s="233"/>
      <c r="AM79" s="233" t="s">
        <v>535</v>
      </c>
      <c r="AN79" s="233"/>
      <c r="AO79" s="233"/>
      <c r="AP79" s="234" t="s">
        <v>407</v>
      </c>
      <c r="AQ79" s="234" t="s">
        <v>408</v>
      </c>
    </row>
    <row r="80" spans="1:43">
      <c r="A80" s="12">
        <v>77</v>
      </c>
      <c r="B80" s="21" t="s">
        <v>4389</v>
      </c>
      <c r="C80" s="5" t="s">
        <v>537</v>
      </c>
      <c r="D80" s="5" t="s">
        <v>4390</v>
      </c>
      <c r="E80" s="5" t="s">
        <v>4391</v>
      </c>
      <c r="F80" s="5" t="s">
        <v>4392</v>
      </c>
      <c r="G80" s="11" t="s">
        <v>4393</v>
      </c>
      <c r="H80" s="5"/>
      <c r="I80" s="5"/>
      <c r="J80" s="5"/>
      <c r="K80" s="5"/>
      <c r="L80" s="5"/>
      <c r="M80" s="5"/>
      <c r="N80" s="5"/>
      <c r="O80" s="5"/>
      <c r="P80" s="11">
        <v>250.0241</v>
      </c>
      <c r="Q80" s="5">
        <v>105.79130000000001</v>
      </c>
      <c r="R80" s="5">
        <f t="shared" si="1"/>
        <v>355.81540000000001</v>
      </c>
      <c r="S80" s="5" t="s">
        <v>465</v>
      </c>
      <c r="T80" s="12">
        <v>77</v>
      </c>
      <c r="U80" s="31" t="s">
        <v>542</v>
      </c>
      <c r="V80" s="232" t="s">
        <v>537</v>
      </c>
      <c r="W80" s="232">
        <v>-4911.8999999999996</v>
      </c>
      <c r="X80" s="232">
        <v>-6285</v>
      </c>
      <c r="Y80" s="233" t="s">
        <v>49</v>
      </c>
      <c r="Z80" s="87" t="s">
        <v>50</v>
      </c>
      <c r="AA80" s="233" t="s">
        <v>51</v>
      </c>
      <c r="AB80" s="234"/>
      <c r="AC80" s="233">
        <v>1</v>
      </c>
      <c r="AD80" s="233" t="s">
        <v>226</v>
      </c>
      <c r="AE80" s="234"/>
      <c r="AF80" s="233">
        <v>1100</v>
      </c>
      <c r="AG80" s="233" t="s">
        <v>534</v>
      </c>
      <c r="AH80" s="233">
        <v>2.5</v>
      </c>
      <c r="AI80" s="233">
        <v>85</v>
      </c>
      <c r="AJ80" s="233" t="s">
        <v>405</v>
      </c>
      <c r="AK80" s="233">
        <v>10</v>
      </c>
      <c r="AL80" s="233"/>
      <c r="AM80" s="233" t="s">
        <v>543</v>
      </c>
      <c r="AN80" s="233"/>
      <c r="AO80" s="233"/>
      <c r="AP80" s="234" t="s">
        <v>407</v>
      </c>
      <c r="AQ80" s="234" t="s">
        <v>408</v>
      </c>
    </row>
    <row r="81" spans="1:43">
      <c r="A81" s="12">
        <v>78</v>
      </c>
      <c r="B81" s="21" t="s">
        <v>4384</v>
      </c>
      <c r="C81" s="5" t="s">
        <v>544</v>
      </c>
      <c r="D81" s="5" t="s">
        <v>4385</v>
      </c>
      <c r="E81" s="5" t="s">
        <v>4386</v>
      </c>
      <c r="F81" s="5" t="s">
        <v>4387</v>
      </c>
      <c r="G81" s="11" t="s">
        <v>4388</v>
      </c>
      <c r="H81" s="5"/>
      <c r="I81" s="5"/>
      <c r="J81" s="5"/>
      <c r="K81" s="5"/>
      <c r="L81" s="5"/>
      <c r="M81" s="5"/>
      <c r="N81" s="5"/>
      <c r="O81" s="5"/>
      <c r="P81" s="11">
        <v>249.99199999999999</v>
      </c>
      <c r="Q81" s="5">
        <v>105.7871</v>
      </c>
      <c r="R81" s="5">
        <f t="shared" si="1"/>
        <v>355.77909999999997</v>
      </c>
      <c r="S81" s="5" t="s">
        <v>465</v>
      </c>
      <c r="T81" s="12">
        <v>78</v>
      </c>
      <c r="U81" s="31" t="s">
        <v>545</v>
      </c>
      <c r="V81" s="232" t="s">
        <v>544</v>
      </c>
      <c r="W81" s="232">
        <v>-7072.7</v>
      </c>
      <c r="X81" s="232">
        <v>-11190</v>
      </c>
      <c r="Y81" s="233" t="s">
        <v>49</v>
      </c>
      <c r="Z81" s="87" t="s">
        <v>50</v>
      </c>
      <c r="AA81" s="233" t="s">
        <v>51</v>
      </c>
      <c r="AB81" s="234"/>
      <c r="AC81" s="233">
        <v>0</v>
      </c>
      <c r="AD81" s="234"/>
      <c r="AE81" s="234"/>
      <c r="AF81" s="234"/>
      <c r="AG81" s="233" t="s">
        <v>546</v>
      </c>
      <c r="AH81" s="233">
        <v>2.5</v>
      </c>
      <c r="AI81" s="233">
        <v>85</v>
      </c>
      <c r="AJ81" s="233" t="s">
        <v>405</v>
      </c>
      <c r="AK81" s="233">
        <v>10</v>
      </c>
      <c r="AL81" s="233"/>
      <c r="AM81" s="233" t="s">
        <v>535</v>
      </c>
      <c r="AN81" s="233"/>
      <c r="AO81" s="233"/>
      <c r="AP81" s="234" t="s">
        <v>407</v>
      </c>
      <c r="AQ81" s="234" t="s">
        <v>408</v>
      </c>
    </row>
    <row r="82" spans="1:43">
      <c r="A82" s="12">
        <v>79</v>
      </c>
      <c r="B82" s="21" t="s">
        <v>4389</v>
      </c>
      <c r="C82" s="5" t="s">
        <v>547</v>
      </c>
      <c r="D82" s="5" t="s">
        <v>4390</v>
      </c>
      <c r="E82" s="5" t="s">
        <v>4391</v>
      </c>
      <c r="F82" s="5" t="s">
        <v>4392</v>
      </c>
      <c r="G82" s="11" t="s">
        <v>4393</v>
      </c>
      <c r="H82" s="5"/>
      <c r="I82" s="5"/>
      <c r="J82" s="5"/>
      <c r="K82" s="5"/>
      <c r="L82" s="5"/>
      <c r="M82" s="5"/>
      <c r="N82" s="5"/>
      <c r="O82" s="5"/>
      <c r="P82" s="11">
        <v>250.0241</v>
      </c>
      <c r="Q82" s="5">
        <v>105.79130000000001</v>
      </c>
      <c r="R82" s="5">
        <f t="shared" si="1"/>
        <v>355.81540000000001</v>
      </c>
      <c r="S82" s="5" t="s">
        <v>465</v>
      </c>
      <c r="T82" s="12">
        <v>79</v>
      </c>
      <c r="U82" s="31" t="s">
        <v>548</v>
      </c>
      <c r="V82" s="232" t="s">
        <v>547</v>
      </c>
      <c r="W82" s="232">
        <v>-6572.3</v>
      </c>
      <c r="X82" s="232">
        <v>-11190</v>
      </c>
      <c r="Y82" s="233" t="s">
        <v>49</v>
      </c>
      <c r="Z82" s="87" t="s">
        <v>50</v>
      </c>
      <c r="AA82" s="233" t="s">
        <v>51</v>
      </c>
      <c r="AB82" s="234"/>
      <c r="AC82" s="233">
        <v>0</v>
      </c>
      <c r="AD82" s="234"/>
      <c r="AE82" s="234"/>
      <c r="AF82" s="234"/>
      <c r="AG82" s="233" t="s">
        <v>546</v>
      </c>
      <c r="AH82" s="233">
        <v>2.5</v>
      </c>
      <c r="AI82" s="233">
        <v>85</v>
      </c>
      <c r="AJ82" s="233" t="s">
        <v>405</v>
      </c>
      <c r="AK82" s="233">
        <v>10</v>
      </c>
      <c r="AL82" s="233"/>
      <c r="AM82" s="233" t="s">
        <v>543</v>
      </c>
      <c r="AN82" s="233"/>
      <c r="AO82" s="233"/>
      <c r="AP82" s="234" t="s">
        <v>407</v>
      </c>
      <c r="AQ82" s="234" t="s">
        <v>408</v>
      </c>
    </row>
    <row r="83" spans="1:43">
      <c r="A83" s="12">
        <v>80</v>
      </c>
      <c r="B83" s="21" t="s">
        <v>4394</v>
      </c>
      <c r="C83" s="5" t="s">
        <v>550</v>
      </c>
      <c r="D83" s="5" t="s">
        <v>4395</v>
      </c>
      <c r="E83" s="5" t="s">
        <v>4396</v>
      </c>
      <c r="F83" s="5" t="s">
        <v>4397</v>
      </c>
      <c r="G83" s="11" t="s">
        <v>4398</v>
      </c>
      <c r="H83" s="5"/>
      <c r="I83" s="5"/>
      <c r="J83" s="5"/>
      <c r="K83" s="5"/>
      <c r="L83" s="5"/>
      <c r="M83" s="5"/>
      <c r="N83" s="5"/>
      <c r="O83" s="5"/>
      <c r="P83" s="11">
        <v>250.0693</v>
      </c>
      <c r="Q83" s="5">
        <v>105.7867</v>
      </c>
      <c r="R83" s="5">
        <f t="shared" si="1"/>
        <v>355.85599999999999</v>
      </c>
      <c r="S83" s="5" t="s">
        <v>441</v>
      </c>
      <c r="T83" s="12">
        <v>80</v>
      </c>
      <c r="U83" s="31" t="s">
        <v>555</v>
      </c>
      <c r="V83" s="232" t="s">
        <v>550</v>
      </c>
      <c r="W83" s="232">
        <v>-3554.6</v>
      </c>
      <c r="X83" s="232">
        <v>-7707.4</v>
      </c>
      <c r="Y83" s="233" t="s">
        <v>49</v>
      </c>
      <c r="Z83" s="87" t="s">
        <v>50</v>
      </c>
      <c r="AA83" s="233" t="s">
        <v>51</v>
      </c>
      <c r="AB83" s="234"/>
      <c r="AC83" s="233">
        <v>1</v>
      </c>
      <c r="AD83" s="233" t="s">
        <v>226</v>
      </c>
      <c r="AE83" s="234"/>
      <c r="AF83" s="233">
        <v>1100</v>
      </c>
      <c r="AG83" s="233" t="s">
        <v>556</v>
      </c>
      <c r="AH83" s="233">
        <v>2.5</v>
      </c>
      <c r="AI83" s="233">
        <v>85</v>
      </c>
      <c r="AJ83" s="233" t="s">
        <v>405</v>
      </c>
      <c r="AK83" s="233">
        <v>10</v>
      </c>
      <c r="AL83" s="233"/>
      <c r="AM83" s="233" t="s">
        <v>557</v>
      </c>
      <c r="AN83" s="233"/>
      <c r="AO83" s="233"/>
      <c r="AP83" s="234" t="s">
        <v>407</v>
      </c>
      <c r="AQ83" s="234" t="s">
        <v>408</v>
      </c>
    </row>
    <row r="84" spans="1:43">
      <c r="A84" s="12">
        <v>81</v>
      </c>
      <c r="B84" s="21" t="s">
        <v>4399</v>
      </c>
      <c r="C84" s="5" t="s">
        <v>559</v>
      </c>
      <c r="D84" s="5" t="s">
        <v>4400</v>
      </c>
      <c r="E84" s="5" t="s">
        <v>4401</v>
      </c>
      <c r="F84" s="5" t="s">
        <v>4402</v>
      </c>
      <c r="G84" s="11" t="s">
        <v>4403</v>
      </c>
      <c r="H84" s="5"/>
      <c r="I84" s="5"/>
      <c r="J84" s="5"/>
      <c r="K84" s="5"/>
      <c r="L84" s="5"/>
      <c r="M84" s="5"/>
      <c r="N84" s="5"/>
      <c r="O84" s="5"/>
      <c r="P84" s="11">
        <v>250.0754</v>
      </c>
      <c r="Q84" s="5">
        <v>105.7882</v>
      </c>
      <c r="R84" s="5">
        <f t="shared" si="1"/>
        <v>355.86360000000002</v>
      </c>
      <c r="S84" s="5" t="s">
        <v>441</v>
      </c>
      <c r="T84" s="12">
        <v>81</v>
      </c>
      <c r="U84" s="31" t="s">
        <v>564</v>
      </c>
      <c r="V84" s="232" t="s">
        <v>559</v>
      </c>
      <c r="W84" s="232">
        <v>-3554.6</v>
      </c>
      <c r="X84" s="232">
        <v>-6996.2</v>
      </c>
      <c r="Y84" s="233" t="s">
        <v>49</v>
      </c>
      <c r="Z84" s="87" t="s">
        <v>50</v>
      </c>
      <c r="AA84" s="233" t="s">
        <v>51</v>
      </c>
      <c r="AB84" s="234"/>
      <c r="AC84" s="233">
        <v>1</v>
      </c>
      <c r="AD84" s="233" t="s">
        <v>226</v>
      </c>
      <c r="AE84" s="234"/>
      <c r="AF84" s="233">
        <v>1100</v>
      </c>
      <c r="AG84" s="233" t="s">
        <v>556</v>
      </c>
      <c r="AH84" s="233">
        <v>2.5</v>
      </c>
      <c r="AI84" s="233">
        <v>85</v>
      </c>
      <c r="AJ84" s="233" t="s">
        <v>405</v>
      </c>
      <c r="AK84" s="233">
        <v>10</v>
      </c>
      <c r="AL84" s="233"/>
      <c r="AM84" s="233" t="s">
        <v>565</v>
      </c>
      <c r="AN84" s="233"/>
      <c r="AO84" s="233"/>
      <c r="AP84" s="234" t="s">
        <v>407</v>
      </c>
      <c r="AQ84" s="234" t="s">
        <v>408</v>
      </c>
    </row>
    <row r="85" spans="1:43">
      <c r="A85" s="12">
        <v>82</v>
      </c>
      <c r="B85" s="21" t="s">
        <v>4394</v>
      </c>
      <c r="C85" s="5" t="s">
        <v>566</v>
      </c>
      <c r="D85" s="5" t="s">
        <v>4395</v>
      </c>
      <c r="E85" s="5" t="s">
        <v>4396</v>
      </c>
      <c r="F85" s="5" t="s">
        <v>4397</v>
      </c>
      <c r="G85" s="11" t="s">
        <v>4398</v>
      </c>
      <c r="H85" s="5"/>
      <c r="I85" s="5"/>
      <c r="J85" s="5"/>
      <c r="K85" s="5"/>
      <c r="L85" s="5"/>
      <c r="M85" s="5"/>
      <c r="N85" s="5"/>
      <c r="O85" s="5"/>
      <c r="P85" s="11">
        <v>250.0693</v>
      </c>
      <c r="Q85" s="5">
        <v>105.7867</v>
      </c>
      <c r="R85" s="5">
        <f t="shared" si="1"/>
        <v>355.85599999999999</v>
      </c>
      <c r="S85" s="5" t="s">
        <v>441</v>
      </c>
      <c r="T85" s="12">
        <v>82</v>
      </c>
      <c r="U85" s="31" t="s">
        <v>567</v>
      </c>
      <c r="V85" s="232" t="s">
        <v>566</v>
      </c>
      <c r="W85" s="232">
        <v>-6390.5</v>
      </c>
      <c r="X85" s="232">
        <v>-10380.6</v>
      </c>
      <c r="Y85" s="233" t="s">
        <v>49</v>
      </c>
      <c r="Z85" s="87" t="s">
        <v>50</v>
      </c>
      <c r="AA85" s="233" t="s">
        <v>51</v>
      </c>
      <c r="AB85" s="234"/>
      <c r="AC85" s="233">
        <v>0</v>
      </c>
      <c r="AD85" s="234"/>
      <c r="AE85" s="234"/>
      <c r="AF85" s="234"/>
      <c r="AG85" s="233" t="s">
        <v>568</v>
      </c>
      <c r="AH85" s="233">
        <v>2.5</v>
      </c>
      <c r="AI85" s="233">
        <v>85</v>
      </c>
      <c r="AJ85" s="233" t="s">
        <v>405</v>
      </c>
      <c r="AK85" s="233">
        <v>10</v>
      </c>
      <c r="AL85" s="233"/>
      <c r="AM85" s="233" t="s">
        <v>557</v>
      </c>
      <c r="AN85" s="233"/>
      <c r="AO85" s="233"/>
      <c r="AP85" s="234" t="s">
        <v>407</v>
      </c>
      <c r="AQ85" s="234" t="s">
        <v>408</v>
      </c>
    </row>
    <row r="86" spans="1:43">
      <c r="A86" s="12">
        <v>83</v>
      </c>
      <c r="B86" s="21" t="s">
        <v>4399</v>
      </c>
      <c r="C86" s="5" t="s">
        <v>569</v>
      </c>
      <c r="D86" s="5" t="s">
        <v>4400</v>
      </c>
      <c r="E86" s="5" t="s">
        <v>4401</v>
      </c>
      <c r="F86" s="5" t="s">
        <v>4402</v>
      </c>
      <c r="G86" s="11" t="s">
        <v>4403</v>
      </c>
      <c r="H86" s="5"/>
      <c r="I86" s="5"/>
      <c r="J86" s="5"/>
      <c r="K86" s="5"/>
      <c r="L86" s="5"/>
      <c r="M86" s="5"/>
      <c r="N86" s="5"/>
      <c r="O86" s="5"/>
      <c r="P86" s="11">
        <v>250.0754</v>
      </c>
      <c r="Q86" s="5">
        <v>105.7882</v>
      </c>
      <c r="R86" s="5">
        <f t="shared" si="1"/>
        <v>355.86360000000002</v>
      </c>
      <c r="S86" s="5" t="s">
        <v>441</v>
      </c>
      <c r="T86" s="12">
        <v>83</v>
      </c>
      <c r="U86" s="31" t="s">
        <v>570</v>
      </c>
      <c r="V86" s="232" t="s">
        <v>569</v>
      </c>
      <c r="W86" s="232">
        <v>-5889.9</v>
      </c>
      <c r="X86" s="232">
        <v>-10380.6</v>
      </c>
      <c r="Y86" s="233" t="s">
        <v>49</v>
      </c>
      <c r="Z86" s="87" t="s">
        <v>50</v>
      </c>
      <c r="AA86" s="233" t="s">
        <v>51</v>
      </c>
      <c r="AB86" s="234"/>
      <c r="AC86" s="233">
        <v>0</v>
      </c>
      <c r="AD86" s="234"/>
      <c r="AE86" s="234"/>
      <c r="AF86" s="234"/>
      <c r="AG86" s="233" t="s">
        <v>568</v>
      </c>
      <c r="AH86" s="233">
        <v>2.5</v>
      </c>
      <c r="AI86" s="233">
        <v>85</v>
      </c>
      <c r="AJ86" s="233" t="s">
        <v>405</v>
      </c>
      <c r="AK86" s="233">
        <v>10</v>
      </c>
      <c r="AL86" s="233"/>
      <c r="AM86" s="233" t="s">
        <v>565</v>
      </c>
      <c r="AN86" s="233"/>
      <c r="AO86" s="233"/>
      <c r="AP86" s="234" t="s">
        <v>407</v>
      </c>
      <c r="AQ86" s="234" t="s">
        <v>408</v>
      </c>
    </row>
    <row r="87" spans="1:43">
      <c r="A87" s="12">
        <v>84</v>
      </c>
      <c r="B87" s="21" t="s">
        <v>4404</v>
      </c>
      <c r="C87" s="5" t="s">
        <v>572</v>
      </c>
      <c r="D87" s="5" t="s">
        <v>4405</v>
      </c>
      <c r="E87" s="5" t="s">
        <v>4406</v>
      </c>
      <c r="F87" s="5" t="s">
        <v>4407</v>
      </c>
      <c r="G87" s="11" t="s">
        <v>4408</v>
      </c>
      <c r="H87" s="5"/>
      <c r="I87" s="5"/>
      <c r="J87" s="5"/>
      <c r="K87" s="5"/>
      <c r="L87" s="5"/>
      <c r="M87" s="5"/>
      <c r="N87" s="5"/>
      <c r="O87" s="5"/>
      <c r="P87" s="11">
        <v>250.0701</v>
      </c>
      <c r="Q87" s="5">
        <v>105.7919</v>
      </c>
      <c r="R87" s="5">
        <f t="shared" si="1"/>
        <v>355.86199999999997</v>
      </c>
      <c r="S87" s="5" t="s">
        <v>488</v>
      </c>
      <c r="T87" s="12">
        <v>84</v>
      </c>
      <c r="U87" s="31" t="s">
        <v>577</v>
      </c>
      <c r="V87" s="232" t="s">
        <v>572</v>
      </c>
      <c r="W87" s="232">
        <v>-3554.6</v>
      </c>
      <c r="X87" s="232">
        <v>-5573.8</v>
      </c>
      <c r="Y87" s="233" t="s">
        <v>49</v>
      </c>
      <c r="Z87" s="87" t="s">
        <v>50</v>
      </c>
      <c r="AA87" s="233" t="s">
        <v>51</v>
      </c>
      <c r="AB87" s="234"/>
      <c r="AC87" s="233">
        <v>1</v>
      </c>
      <c r="AD87" s="233" t="s">
        <v>226</v>
      </c>
      <c r="AE87" s="234"/>
      <c r="AF87" s="233">
        <v>1100</v>
      </c>
      <c r="AG87" s="233" t="s">
        <v>578</v>
      </c>
      <c r="AH87" s="233">
        <v>2.5</v>
      </c>
      <c r="AI87" s="233">
        <v>85</v>
      </c>
      <c r="AJ87" s="233" t="s">
        <v>405</v>
      </c>
      <c r="AK87" s="233">
        <v>10</v>
      </c>
      <c r="AL87" s="233"/>
      <c r="AM87" s="233" t="s">
        <v>579</v>
      </c>
      <c r="AN87" s="233"/>
      <c r="AO87" s="233"/>
      <c r="AP87" s="234" t="s">
        <v>407</v>
      </c>
      <c r="AQ87" s="234" t="s">
        <v>408</v>
      </c>
    </row>
    <row r="88" spans="1:43">
      <c r="A88" s="12">
        <v>85</v>
      </c>
      <c r="B88" s="21" t="s">
        <v>4409</v>
      </c>
      <c r="C88" s="5" t="s">
        <v>581</v>
      </c>
      <c r="D88" s="5" t="s">
        <v>4410</v>
      </c>
      <c r="E88" s="5" t="s">
        <v>4411</v>
      </c>
      <c r="F88" s="5" t="s">
        <v>4412</v>
      </c>
      <c r="G88" s="11" t="s">
        <v>4413</v>
      </c>
      <c r="H88" s="5"/>
      <c r="I88" s="5"/>
      <c r="J88" s="5"/>
      <c r="K88" s="5"/>
      <c r="L88" s="5"/>
      <c r="M88" s="5"/>
      <c r="N88" s="5"/>
      <c r="O88" s="5"/>
      <c r="P88" s="11">
        <v>250.0795</v>
      </c>
      <c r="Q88" s="5">
        <v>105.79300000000001</v>
      </c>
      <c r="R88" s="5">
        <f t="shared" si="1"/>
        <v>355.8725</v>
      </c>
      <c r="S88" s="5" t="s">
        <v>488</v>
      </c>
      <c r="T88" s="12">
        <v>85</v>
      </c>
      <c r="U88" s="31" t="s">
        <v>586</v>
      </c>
      <c r="V88" s="232" t="s">
        <v>581</v>
      </c>
      <c r="W88" s="232">
        <v>-3554.6</v>
      </c>
      <c r="X88" s="232">
        <v>-4862.6000000000004</v>
      </c>
      <c r="Y88" s="233" t="s">
        <v>49</v>
      </c>
      <c r="Z88" s="87" t="s">
        <v>50</v>
      </c>
      <c r="AA88" s="233" t="s">
        <v>51</v>
      </c>
      <c r="AB88" s="234"/>
      <c r="AC88" s="233">
        <v>1</v>
      </c>
      <c r="AD88" s="233" t="s">
        <v>226</v>
      </c>
      <c r="AE88" s="234"/>
      <c r="AF88" s="233">
        <v>1100</v>
      </c>
      <c r="AG88" s="233" t="s">
        <v>578</v>
      </c>
      <c r="AH88" s="233">
        <v>2.5</v>
      </c>
      <c r="AI88" s="233">
        <v>85</v>
      </c>
      <c r="AJ88" s="233" t="s">
        <v>405</v>
      </c>
      <c r="AK88" s="233">
        <v>10</v>
      </c>
      <c r="AL88" s="233"/>
      <c r="AM88" s="233" t="s">
        <v>587</v>
      </c>
      <c r="AN88" s="233"/>
      <c r="AO88" s="233"/>
      <c r="AP88" s="234" t="s">
        <v>407</v>
      </c>
      <c r="AQ88" s="234" t="s">
        <v>408</v>
      </c>
    </row>
    <row r="89" spans="1:43">
      <c r="A89" s="12">
        <v>86</v>
      </c>
      <c r="B89" s="21" t="s">
        <v>4404</v>
      </c>
      <c r="C89" s="5" t="s">
        <v>588</v>
      </c>
      <c r="D89" s="5" t="s">
        <v>4405</v>
      </c>
      <c r="E89" s="5" t="s">
        <v>4406</v>
      </c>
      <c r="F89" s="5" t="s">
        <v>4407</v>
      </c>
      <c r="G89" s="11" t="s">
        <v>4408</v>
      </c>
      <c r="H89" s="5"/>
      <c r="I89" s="5"/>
      <c r="J89" s="5"/>
      <c r="K89" s="5"/>
      <c r="L89" s="5"/>
      <c r="M89" s="5"/>
      <c r="N89" s="5"/>
      <c r="O89" s="5"/>
      <c r="P89" s="11">
        <v>250.0701</v>
      </c>
      <c r="Q89" s="5">
        <v>105.7919</v>
      </c>
      <c r="R89" s="5">
        <f t="shared" si="1"/>
        <v>355.86199999999997</v>
      </c>
      <c r="S89" s="5" t="s">
        <v>488</v>
      </c>
      <c r="T89" s="12">
        <v>86</v>
      </c>
      <c r="U89" s="31" t="s">
        <v>589</v>
      </c>
      <c r="V89" s="232" t="s">
        <v>588</v>
      </c>
      <c r="W89" s="232">
        <v>-5708.2</v>
      </c>
      <c r="X89" s="232">
        <v>-11190</v>
      </c>
      <c r="Y89" s="233" t="s">
        <v>49</v>
      </c>
      <c r="Z89" s="87" t="s">
        <v>50</v>
      </c>
      <c r="AA89" s="233" t="s">
        <v>51</v>
      </c>
      <c r="AB89" s="234"/>
      <c r="AC89" s="233">
        <v>0</v>
      </c>
      <c r="AD89" s="234"/>
      <c r="AE89" s="234"/>
      <c r="AF89" s="234"/>
      <c r="AG89" s="233" t="s">
        <v>590</v>
      </c>
      <c r="AH89" s="233">
        <v>2.5</v>
      </c>
      <c r="AI89" s="233">
        <v>85</v>
      </c>
      <c r="AJ89" s="233" t="s">
        <v>405</v>
      </c>
      <c r="AK89" s="233">
        <v>10</v>
      </c>
      <c r="AL89" s="233"/>
      <c r="AM89" s="233" t="s">
        <v>579</v>
      </c>
      <c r="AN89" s="233"/>
      <c r="AO89" s="233"/>
      <c r="AP89" s="234" t="s">
        <v>407</v>
      </c>
      <c r="AQ89" s="234" t="s">
        <v>408</v>
      </c>
    </row>
    <row r="90" spans="1:43">
      <c r="A90" s="12">
        <v>87</v>
      </c>
      <c r="B90" s="21" t="s">
        <v>4409</v>
      </c>
      <c r="C90" s="5" t="s">
        <v>591</v>
      </c>
      <c r="D90" s="5" t="s">
        <v>4410</v>
      </c>
      <c r="E90" s="5" t="s">
        <v>4411</v>
      </c>
      <c r="F90" s="5" t="s">
        <v>4412</v>
      </c>
      <c r="G90" s="11" t="s">
        <v>4413</v>
      </c>
      <c r="H90" s="5"/>
      <c r="I90" s="5"/>
      <c r="J90" s="5"/>
      <c r="K90" s="5"/>
      <c r="L90" s="5"/>
      <c r="M90" s="5"/>
      <c r="N90" s="5"/>
      <c r="O90" s="5"/>
      <c r="P90" s="11">
        <v>250.0795</v>
      </c>
      <c r="Q90" s="5">
        <v>105.79300000000001</v>
      </c>
      <c r="R90" s="5">
        <f t="shared" si="1"/>
        <v>355.8725</v>
      </c>
      <c r="S90" s="5" t="s">
        <v>488</v>
      </c>
      <c r="T90" s="12">
        <v>87</v>
      </c>
      <c r="U90" s="31" t="s">
        <v>592</v>
      </c>
      <c r="V90" s="232" t="s">
        <v>591</v>
      </c>
      <c r="W90" s="232">
        <v>-5207.8</v>
      </c>
      <c r="X90" s="232">
        <v>-11190</v>
      </c>
      <c r="Y90" s="233" t="s">
        <v>49</v>
      </c>
      <c r="Z90" s="87" t="s">
        <v>50</v>
      </c>
      <c r="AA90" s="233" t="s">
        <v>51</v>
      </c>
      <c r="AB90" s="234"/>
      <c r="AC90" s="233">
        <v>0</v>
      </c>
      <c r="AD90" s="234"/>
      <c r="AE90" s="234"/>
      <c r="AF90" s="234"/>
      <c r="AG90" s="233" t="s">
        <v>590</v>
      </c>
      <c r="AH90" s="233">
        <v>2.5</v>
      </c>
      <c r="AI90" s="233">
        <v>85</v>
      </c>
      <c r="AJ90" s="233" t="s">
        <v>405</v>
      </c>
      <c r="AK90" s="233">
        <v>10</v>
      </c>
      <c r="AL90" s="233"/>
      <c r="AM90" s="233" t="s">
        <v>587</v>
      </c>
      <c r="AN90" s="233"/>
      <c r="AO90" s="233"/>
      <c r="AP90" s="234" t="s">
        <v>407</v>
      </c>
      <c r="AQ90" s="234" t="s">
        <v>408</v>
      </c>
    </row>
    <row r="91" spans="1:43">
      <c r="A91" s="12">
        <v>88</v>
      </c>
      <c r="B91" s="21" t="s">
        <v>4414</v>
      </c>
      <c r="C91" s="5" t="s">
        <v>594</v>
      </c>
      <c r="D91" s="5" t="s">
        <v>4415</v>
      </c>
      <c r="E91" s="5" t="s">
        <v>4416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11" t="s">
        <v>46</v>
      </c>
      <c r="Q91" s="5">
        <v>254.0831</v>
      </c>
      <c r="R91" s="5">
        <f t="shared" si="1"/>
        <v>254.0831</v>
      </c>
      <c r="S91" s="5" t="s">
        <v>395</v>
      </c>
      <c r="T91" s="12">
        <v>88</v>
      </c>
      <c r="U91" s="236" t="s">
        <v>597</v>
      </c>
      <c r="V91" s="232" t="s">
        <v>594</v>
      </c>
      <c r="W91" s="232">
        <v>-10633.2</v>
      </c>
      <c r="X91" s="232">
        <v>-8765.7000000000007</v>
      </c>
      <c r="Y91" s="233" t="s">
        <v>49</v>
      </c>
      <c r="Z91" s="87" t="s">
        <v>50</v>
      </c>
      <c r="AA91" s="233" t="s">
        <v>51</v>
      </c>
      <c r="AB91" s="234"/>
      <c r="AC91" s="233">
        <v>1</v>
      </c>
      <c r="AD91" s="233" t="s">
        <v>226</v>
      </c>
      <c r="AE91" s="234"/>
      <c r="AF91" s="234"/>
      <c r="AG91" s="233"/>
      <c r="AH91" s="233"/>
      <c r="AI91" s="233"/>
      <c r="AJ91" s="233"/>
      <c r="AK91" s="233"/>
      <c r="AL91" s="233"/>
      <c r="AM91" s="233"/>
      <c r="AN91" s="233"/>
      <c r="AO91" s="233"/>
      <c r="AP91" s="234"/>
      <c r="AQ91" s="234" t="s">
        <v>333</v>
      </c>
    </row>
    <row r="92" spans="1:43">
      <c r="A92" s="12">
        <v>89</v>
      </c>
      <c r="B92" s="21" t="s">
        <v>4417</v>
      </c>
      <c r="C92" s="5" t="s">
        <v>599</v>
      </c>
      <c r="D92" s="5" t="s">
        <v>4418</v>
      </c>
      <c r="E92" s="5" t="s">
        <v>4419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11" t="s">
        <v>46</v>
      </c>
      <c r="Q92" s="5">
        <v>204.38390000000001</v>
      </c>
      <c r="R92" s="5">
        <f t="shared" si="1"/>
        <v>204.38390000000001</v>
      </c>
      <c r="S92" s="5" t="s">
        <v>74</v>
      </c>
      <c r="T92" s="12">
        <v>89</v>
      </c>
      <c r="U92" s="236" t="s">
        <v>602</v>
      </c>
      <c r="V92" s="232" t="s">
        <v>599</v>
      </c>
      <c r="W92" s="232">
        <v>-11374.8</v>
      </c>
      <c r="X92" s="232">
        <v>-9478.2000000000007</v>
      </c>
      <c r="Y92" s="233" t="s">
        <v>49</v>
      </c>
      <c r="Z92" s="87" t="s">
        <v>50</v>
      </c>
      <c r="AA92" s="233" t="s">
        <v>51</v>
      </c>
      <c r="AB92" s="234"/>
      <c r="AC92" s="233">
        <v>1</v>
      </c>
      <c r="AD92" s="233" t="s">
        <v>226</v>
      </c>
      <c r="AE92" s="234"/>
      <c r="AF92" s="234"/>
      <c r="AG92" s="234"/>
      <c r="AH92" s="233"/>
      <c r="AI92" s="233"/>
      <c r="AJ92" s="233"/>
      <c r="AK92" s="233"/>
      <c r="AL92" s="233"/>
      <c r="AM92" s="233"/>
      <c r="AN92" s="233"/>
      <c r="AO92" s="233"/>
      <c r="AP92" s="234"/>
      <c r="AQ92" s="234" t="s">
        <v>333</v>
      </c>
    </row>
    <row r="93" spans="1:43">
      <c r="A93" s="12">
        <v>90</v>
      </c>
      <c r="B93" s="21" t="s">
        <v>4420</v>
      </c>
      <c r="C93" s="5" t="s">
        <v>604</v>
      </c>
      <c r="D93" s="5" t="s">
        <v>605</v>
      </c>
      <c r="E93" s="5" t="s">
        <v>605</v>
      </c>
      <c r="F93" s="5" t="s">
        <v>4421</v>
      </c>
      <c r="G93" s="5"/>
      <c r="H93" s="5"/>
      <c r="I93" s="5"/>
      <c r="J93" s="5"/>
      <c r="K93" s="5"/>
      <c r="L93" s="5"/>
      <c r="M93" s="5"/>
      <c r="N93" s="5"/>
      <c r="O93" s="5"/>
      <c r="P93" s="11" t="s">
        <v>46</v>
      </c>
      <c r="Q93" s="5">
        <v>4.2365000000000004</v>
      </c>
      <c r="R93" s="5">
        <f t="shared" si="1"/>
        <v>4.2365000000000004</v>
      </c>
      <c r="S93" s="5" t="s">
        <v>67</v>
      </c>
      <c r="T93" s="12">
        <v>90</v>
      </c>
      <c r="U93" s="236" t="s">
        <v>607</v>
      </c>
      <c r="V93" s="232" t="s">
        <v>604</v>
      </c>
      <c r="W93" s="232">
        <v>-1364.5</v>
      </c>
      <c r="X93" s="232">
        <v>-10736.6</v>
      </c>
      <c r="Y93" s="233" t="s">
        <v>49</v>
      </c>
      <c r="Z93" s="87" t="s">
        <v>50</v>
      </c>
      <c r="AA93" s="233"/>
      <c r="AB93" s="234"/>
      <c r="AC93" s="233"/>
      <c r="AD93" s="234"/>
      <c r="AE93" s="234"/>
      <c r="AF93" s="234"/>
      <c r="AG93" s="234"/>
      <c r="AH93" s="233"/>
      <c r="AI93" s="233"/>
      <c r="AJ93" s="233"/>
      <c r="AK93" s="233"/>
      <c r="AL93" s="233"/>
      <c r="AM93" s="233"/>
      <c r="AN93" s="233"/>
      <c r="AO93" s="233"/>
      <c r="AP93" s="234"/>
      <c r="AQ93" s="234" t="s">
        <v>608</v>
      </c>
    </row>
    <row r="94" spans="1:43">
      <c r="A94" s="12">
        <v>91</v>
      </c>
      <c r="B94" s="21" t="s">
        <v>4422</v>
      </c>
      <c r="C94" s="5" t="s">
        <v>610</v>
      </c>
      <c r="D94" s="5" t="s">
        <v>4423</v>
      </c>
      <c r="E94" s="5" t="s">
        <v>4424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11" t="s">
        <v>46</v>
      </c>
      <c r="Q94" s="5">
        <v>209.2253</v>
      </c>
      <c r="R94" s="5">
        <f t="shared" si="1"/>
        <v>209.2253</v>
      </c>
      <c r="S94" s="5" t="s">
        <v>60</v>
      </c>
      <c r="T94" s="12">
        <v>91</v>
      </c>
      <c r="U94" s="236" t="s">
        <v>613</v>
      </c>
      <c r="V94" s="232" t="s">
        <v>610</v>
      </c>
      <c r="W94" s="232">
        <v>546.1</v>
      </c>
      <c r="X94" s="232">
        <v>-4862.6000000000004</v>
      </c>
      <c r="Y94" s="233" t="s">
        <v>49</v>
      </c>
      <c r="Z94" s="87" t="s">
        <v>50</v>
      </c>
      <c r="AA94" s="233" t="s">
        <v>51</v>
      </c>
      <c r="AB94" s="234"/>
      <c r="AC94" s="233">
        <v>1</v>
      </c>
      <c r="AD94" s="233" t="s">
        <v>226</v>
      </c>
      <c r="AE94" s="233"/>
      <c r="AF94" s="233"/>
      <c r="AG94" s="233" t="s">
        <v>614</v>
      </c>
      <c r="AH94" s="233">
        <v>2.5</v>
      </c>
      <c r="AI94" s="233">
        <v>85</v>
      </c>
      <c r="AJ94" s="233"/>
      <c r="AK94" s="233"/>
      <c r="AL94" s="233"/>
      <c r="AM94" s="233"/>
      <c r="AN94" s="233"/>
      <c r="AO94" s="233"/>
      <c r="AP94" s="234"/>
      <c r="AQ94" s="234" t="s">
        <v>333</v>
      </c>
    </row>
    <row r="95" spans="1:43">
      <c r="A95" s="12">
        <v>92</v>
      </c>
      <c r="B95" s="21" t="s">
        <v>4425</v>
      </c>
      <c r="C95" s="5" t="s">
        <v>616</v>
      </c>
      <c r="D95" s="5" t="s">
        <v>4426</v>
      </c>
      <c r="E95" s="5" t="s">
        <v>4427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11" t="s">
        <v>46</v>
      </c>
      <c r="Q95" s="5">
        <v>209.24160000000001</v>
      </c>
      <c r="R95" s="5">
        <f t="shared" si="1"/>
        <v>209.24160000000001</v>
      </c>
      <c r="S95" s="5" t="s">
        <v>60</v>
      </c>
      <c r="T95" s="12">
        <v>92</v>
      </c>
      <c r="U95" s="236" t="s">
        <v>619</v>
      </c>
      <c r="V95" s="232" t="s">
        <v>616</v>
      </c>
      <c r="W95" s="232">
        <v>546.1</v>
      </c>
      <c r="X95" s="232">
        <v>-4151.3999999999996</v>
      </c>
      <c r="Y95" s="233" t="s">
        <v>49</v>
      </c>
      <c r="Z95" s="87" t="s">
        <v>50</v>
      </c>
      <c r="AA95" s="233" t="s">
        <v>51</v>
      </c>
      <c r="AB95" s="234"/>
      <c r="AC95" s="233">
        <v>1</v>
      </c>
      <c r="AD95" s="233" t="s">
        <v>226</v>
      </c>
      <c r="AE95" s="233"/>
      <c r="AF95" s="233"/>
      <c r="AG95" s="233" t="s">
        <v>614</v>
      </c>
      <c r="AH95" s="233">
        <v>2.5</v>
      </c>
      <c r="AI95" s="233">
        <v>85</v>
      </c>
      <c r="AJ95" s="233"/>
      <c r="AK95" s="233"/>
      <c r="AL95" s="233"/>
      <c r="AM95" s="233"/>
      <c r="AN95" s="233"/>
      <c r="AO95" s="233"/>
      <c r="AP95" s="234"/>
      <c r="AQ95" s="234" t="s">
        <v>333</v>
      </c>
    </row>
    <row r="96" spans="1:43">
      <c r="A96" s="12">
        <v>93</v>
      </c>
      <c r="B96" s="21" t="s">
        <v>4428</v>
      </c>
      <c r="C96" s="5" t="s">
        <v>621</v>
      </c>
      <c r="D96" s="5" t="s">
        <v>4429</v>
      </c>
      <c r="E96" s="5" t="s">
        <v>4430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11" t="s">
        <v>46</v>
      </c>
      <c r="Q96" s="5">
        <v>232.16739999999999</v>
      </c>
      <c r="R96" s="5">
        <f t="shared" si="1"/>
        <v>232.16739999999999</v>
      </c>
      <c r="S96" s="5" t="s">
        <v>344</v>
      </c>
      <c r="T96" s="12">
        <v>93</v>
      </c>
      <c r="U96" s="236" t="s">
        <v>624</v>
      </c>
      <c r="V96" s="232" t="s">
        <v>621</v>
      </c>
      <c r="W96" s="232">
        <v>11455.4</v>
      </c>
      <c r="X96" s="232">
        <v>1601.5</v>
      </c>
      <c r="Y96" s="233" t="s">
        <v>49</v>
      </c>
      <c r="Z96" s="87" t="s">
        <v>50</v>
      </c>
      <c r="AA96" s="233" t="s">
        <v>51</v>
      </c>
      <c r="AB96" s="234"/>
      <c r="AC96" s="233">
        <v>1</v>
      </c>
      <c r="AD96" s="233" t="s">
        <v>226</v>
      </c>
      <c r="AE96" s="234"/>
      <c r="AF96" s="234"/>
      <c r="AG96" s="234"/>
      <c r="AH96" s="233"/>
      <c r="AI96" s="233"/>
      <c r="AJ96" s="233"/>
      <c r="AK96" s="233"/>
      <c r="AL96" s="233"/>
      <c r="AM96" s="233"/>
      <c r="AN96" s="233"/>
      <c r="AO96" s="233"/>
      <c r="AP96" s="234"/>
      <c r="AQ96" s="234" t="s">
        <v>333</v>
      </c>
    </row>
    <row r="97" spans="1:43">
      <c r="A97" s="12">
        <v>94</v>
      </c>
      <c r="B97" s="21" t="s">
        <v>4431</v>
      </c>
      <c r="C97" s="5" t="s">
        <v>626</v>
      </c>
      <c r="D97" s="5" t="s">
        <v>4432</v>
      </c>
      <c r="E97" s="5" t="s">
        <v>4433</v>
      </c>
      <c r="F97" s="5" t="s">
        <v>4434</v>
      </c>
      <c r="G97" s="5" t="s">
        <v>4435</v>
      </c>
      <c r="H97" s="11" t="s">
        <v>4436</v>
      </c>
      <c r="I97" s="11" t="s">
        <v>4437</v>
      </c>
      <c r="J97" s="11" t="s">
        <v>4438</v>
      </c>
      <c r="K97" s="5"/>
      <c r="L97" s="5"/>
      <c r="M97" s="5"/>
      <c r="N97" s="5"/>
      <c r="O97" s="5"/>
      <c r="P97" s="11">
        <v>74.526499999999999</v>
      </c>
      <c r="Q97" s="5">
        <v>195.65559999999999</v>
      </c>
      <c r="R97" s="5">
        <f t="shared" si="1"/>
        <v>270.18209999999999</v>
      </c>
      <c r="S97" s="5" t="s">
        <v>634</v>
      </c>
      <c r="T97" s="12">
        <v>94</v>
      </c>
      <c r="U97" s="236" t="s">
        <v>635</v>
      </c>
      <c r="V97" s="232" t="s">
        <v>626</v>
      </c>
      <c r="W97" s="232">
        <v>5503.1</v>
      </c>
      <c r="X97" s="232">
        <v>-2344.5</v>
      </c>
      <c r="Y97" s="233" t="s">
        <v>49</v>
      </c>
      <c r="Z97" s="87" t="s">
        <v>50</v>
      </c>
      <c r="AA97" s="233" t="s">
        <v>51</v>
      </c>
      <c r="AB97" s="234"/>
      <c r="AC97" s="233">
        <v>1</v>
      </c>
      <c r="AD97" s="233" t="s">
        <v>226</v>
      </c>
      <c r="AE97" s="233"/>
      <c r="AF97" s="233"/>
      <c r="AG97" s="234"/>
      <c r="AH97" s="233"/>
      <c r="AI97" s="233"/>
      <c r="AJ97" s="233"/>
      <c r="AK97" s="233"/>
      <c r="AL97" s="233"/>
      <c r="AM97" s="233"/>
      <c r="AN97" s="233"/>
      <c r="AO97" s="233" t="s">
        <v>636</v>
      </c>
      <c r="AP97" s="234"/>
      <c r="AQ97" s="234" t="s">
        <v>637</v>
      </c>
    </row>
    <row r="98" spans="1:43">
      <c r="A98" s="12">
        <v>95</v>
      </c>
      <c r="B98" s="21" t="s">
        <v>4439</v>
      </c>
      <c r="C98" s="5" t="s">
        <v>639</v>
      </c>
      <c r="D98" s="5" t="s">
        <v>4440</v>
      </c>
      <c r="E98" s="5" t="s">
        <v>4441</v>
      </c>
      <c r="F98" s="5" t="s">
        <v>4442</v>
      </c>
      <c r="G98" s="5"/>
      <c r="H98" s="5"/>
      <c r="I98" s="5"/>
      <c r="J98" s="5"/>
      <c r="K98" s="5"/>
      <c r="L98" s="5"/>
      <c r="M98" s="5"/>
      <c r="N98" s="5"/>
      <c r="O98" s="5"/>
      <c r="P98" s="11" t="s">
        <v>46</v>
      </c>
      <c r="Q98" s="5">
        <v>261.51139999999998</v>
      </c>
      <c r="R98" s="5">
        <f t="shared" si="1"/>
        <v>261.51139999999998</v>
      </c>
      <c r="S98" s="5" t="s">
        <v>643</v>
      </c>
      <c r="T98" s="12">
        <v>95</v>
      </c>
      <c r="U98" s="236" t="s">
        <v>644</v>
      </c>
      <c r="V98" s="232" t="s">
        <v>639</v>
      </c>
      <c r="W98" s="232">
        <v>4779.2</v>
      </c>
      <c r="X98" s="232">
        <v>-2344.5</v>
      </c>
      <c r="Y98" s="233" t="s">
        <v>49</v>
      </c>
      <c r="Z98" s="87" t="s">
        <v>50</v>
      </c>
      <c r="AA98" s="233" t="s">
        <v>51</v>
      </c>
      <c r="AB98" s="234"/>
      <c r="AC98" s="233">
        <v>1</v>
      </c>
      <c r="AD98" s="233" t="s">
        <v>226</v>
      </c>
      <c r="AE98" s="233"/>
      <c r="AF98" s="233"/>
      <c r="AG98" s="234"/>
      <c r="AH98" s="233"/>
      <c r="AI98" s="233"/>
      <c r="AJ98" s="233"/>
      <c r="AK98" s="233"/>
      <c r="AL98" s="233"/>
      <c r="AM98" s="233"/>
      <c r="AN98" s="233"/>
      <c r="AO98" s="233" t="s">
        <v>636</v>
      </c>
      <c r="AP98" s="234"/>
      <c r="AQ98" s="234" t="s">
        <v>645</v>
      </c>
    </row>
    <row r="99" spans="1:43">
      <c r="A99" s="12">
        <v>96</v>
      </c>
      <c r="B99" s="21" t="s">
        <v>4443</v>
      </c>
      <c r="C99" s="5" t="s">
        <v>647</v>
      </c>
      <c r="D99" s="5" t="s">
        <v>4444</v>
      </c>
      <c r="E99" s="5" t="s">
        <v>4445</v>
      </c>
      <c r="F99" s="5" t="s">
        <v>4446</v>
      </c>
      <c r="G99" s="5"/>
      <c r="H99" s="5"/>
      <c r="I99" s="5"/>
      <c r="J99" s="5"/>
      <c r="K99" s="5"/>
      <c r="L99" s="5"/>
      <c r="M99" s="5"/>
      <c r="N99" s="5"/>
      <c r="O99" s="5"/>
      <c r="P99" s="11" t="s">
        <v>46</v>
      </c>
      <c r="Q99" s="5">
        <v>209.29810000000001</v>
      </c>
      <c r="R99" s="5">
        <f t="shared" si="1"/>
        <v>209.29810000000001</v>
      </c>
      <c r="S99" s="5" t="s">
        <v>395</v>
      </c>
      <c r="T99" s="12">
        <v>96</v>
      </c>
      <c r="U99" s="236" t="s">
        <v>651</v>
      </c>
      <c r="V99" s="232" t="s">
        <v>647</v>
      </c>
      <c r="W99" s="232">
        <v>12922</v>
      </c>
      <c r="X99" s="232">
        <v>-9407.2000000000007</v>
      </c>
      <c r="Y99" s="233" t="s">
        <v>49</v>
      </c>
      <c r="Z99" s="87" t="s">
        <v>50</v>
      </c>
      <c r="AA99" s="233" t="s">
        <v>51</v>
      </c>
      <c r="AB99" s="234"/>
      <c r="AC99" s="233">
        <v>1</v>
      </c>
      <c r="AD99" s="233" t="s">
        <v>226</v>
      </c>
      <c r="AE99" s="233"/>
      <c r="AF99" s="233"/>
      <c r="AG99" s="233" t="s">
        <v>652</v>
      </c>
      <c r="AH99" s="233">
        <v>5</v>
      </c>
      <c r="AI99" s="233">
        <v>100</v>
      </c>
      <c r="AJ99" s="233"/>
      <c r="AK99" s="233"/>
      <c r="AL99" s="233"/>
      <c r="AM99" s="233"/>
      <c r="AN99" s="233"/>
      <c r="AO99" s="233" t="s">
        <v>636</v>
      </c>
      <c r="AP99" s="234"/>
      <c r="AQ99" s="234" t="s">
        <v>653</v>
      </c>
    </row>
    <row r="100" spans="1:43">
      <c r="A100" s="12">
        <v>503</v>
      </c>
      <c r="B100" s="21" t="s">
        <v>4447</v>
      </c>
      <c r="C100" s="5" t="s">
        <v>3118</v>
      </c>
      <c r="D100" s="5" t="s">
        <v>4448</v>
      </c>
      <c r="E100" s="5" t="s">
        <v>4449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11" t="s">
        <v>46</v>
      </c>
      <c r="Q100" s="5">
        <v>232.6754</v>
      </c>
      <c r="R100" s="5">
        <f t="shared" si="1"/>
        <v>232.6754</v>
      </c>
      <c r="S100" s="5" t="s">
        <v>395</v>
      </c>
      <c r="T100" s="12">
        <v>503</v>
      </c>
      <c r="U100" s="256" t="s">
        <v>3121</v>
      </c>
      <c r="V100" s="232" t="s">
        <v>3118</v>
      </c>
      <c r="W100" s="232">
        <v>12547</v>
      </c>
      <c r="X100" s="232">
        <v>-8975.4</v>
      </c>
      <c r="Y100" s="233" t="s">
        <v>49</v>
      </c>
      <c r="Z100" s="87" t="s">
        <v>50</v>
      </c>
      <c r="AA100" s="233" t="s">
        <v>51</v>
      </c>
      <c r="AB100" s="234"/>
      <c r="AC100" s="233">
        <v>1</v>
      </c>
      <c r="AD100" s="233" t="s">
        <v>226</v>
      </c>
      <c r="AE100" s="233"/>
      <c r="AF100" s="233"/>
      <c r="AG100" s="233" t="s">
        <v>652</v>
      </c>
      <c r="AH100" s="233">
        <v>5</v>
      </c>
      <c r="AI100" s="233">
        <v>100</v>
      </c>
      <c r="AJ100" s="233"/>
      <c r="AK100" s="233"/>
      <c r="AL100" s="233"/>
      <c r="AM100" s="233"/>
      <c r="AN100" s="233"/>
      <c r="AO100" s="233" t="s">
        <v>636</v>
      </c>
      <c r="AP100" s="234"/>
      <c r="AQ100" s="234" t="s">
        <v>653</v>
      </c>
    </row>
    <row r="101" spans="1:43">
      <c r="A101" s="12">
        <v>98</v>
      </c>
      <c r="B101" s="21" t="s">
        <v>4450</v>
      </c>
      <c r="C101" s="5" t="s">
        <v>661</v>
      </c>
      <c r="D101" s="5" t="s">
        <v>4451</v>
      </c>
      <c r="E101" s="5" t="s">
        <v>4452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11" t="s">
        <v>46</v>
      </c>
      <c r="Q101" s="5">
        <v>143.96100000000001</v>
      </c>
      <c r="R101" s="5">
        <f t="shared" si="1"/>
        <v>143.96100000000001</v>
      </c>
      <c r="S101" s="5" t="s">
        <v>395</v>
      </c>
      <c r="T101" s="12">
        <v>98</v>
      </c>
      <c r="U101" s="236" t="s">
        <v>664</v>
      </c>
      <c r="V101" s="232" t="s">
        <v>661</v>
      </c>
      <c r="W101" s="232">
        <v>12397.7</v>
      </c>
      <c r="X101" s="232">
        <v>0</v>
      </c>
      <c r="Y101" s="233" t="s">
        <v>49</v>
      </c>
      <c r="Z101" s="87" t="s">
        <v>50</v>
      </c>
      <c r="AA101" s="233" t="s">
        <v>51</v>
      </c>
      <c r="AB101" s="234"/>
      <c r="AC101" s="233">
        <v>1</v>
      </c>
      <c r="AD101" s="233" t="s">
        <v>226</v>
      </c>
      <c r="AE101" s="234"/>
      <c r="AF101" s="234"/>
      <c r="AG101" s="234"/>
      <c r="AH101" s="233"/>
      <c r="AI101" s="233"/>
      <c r="AJ101" s="233"/>
      <c r="AK101" s="233"/>
      <c r="AL101" s="233"/>
      <c r="AM101" s="233"/>
      <c r="AN101" s="233"/>
      <c r="AO101" s="233"/>
      <c r="AP101" s="234"/>
      <c r="AQ101" s="234" t="s">
        <v>333</v>
      </c>
    </row>
    <row r="102" spans="1:43">
      <c r="A102" s="12">
        <v>99</v>
      </c>
      <c r="B102" s="21" t="s">
        <v>4453</v>
      </c>
      <c r="C102" s="5" t="s">
        <v>666</v>
      </c>
      <c r="D102" s="5" t="s">
        <v>605</v>
      </c>
      <c r="E102" s="5" t="s">
        <v>605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11" t="s">
        <v>46</v>
      </c>
      <c r="Q102" s="5" t="s">
        <v>46</v>
      </c>
      <c r="R102" s="5" t="str">
        <f t="shared" si="1"/>
        <v/>
      </c>
      <c r="S102" s="5" t="s">
        <v>46</v>
      </c>
      <c r="T102" s="12">
        <v>99</v>
      </c>
      <c r="U102" s="238" t="s">
        <v>667</v>
      </c>
      <c r="V102" s="239" t="s">
        <v>666</v>
      </c>
      <c r="W102" s="239"/>
      <c r="X102" s="239"/>
      <c r="Y102" s="88" t="s">
        <v>668</v>
      </c>
      <c r="Z102" s="240"/>
      <c r="AA102" s="240" t="s">
        <v>669</v>
      </c>
      <c r="AB102" s="238"/>
      <c r="AC102" s="240"/>
      <c r="AD102" s="240"/>
      <c r="AE102" s="238"/>
      <c r="AF102" s="238"/>
      <c r="AG102" s="238"/>
      <c r="AH102" s="240"/>
      <c r="AI102" s="240"/>
      <c r="AJ102" s="240"/>
      <c r="AK102" s="240"/>
      <c r="AL102" s="240"/>
      <c r="AM102" s="240"/>
      <c r="AN102" s="240"/>
      <c r="AO102" s="240"/>
      <c r="AP102" s="238"/>
      <c r="AQ102" s="235" t="s">
        <v>670</v>
      </c>
    </row>
    <row r="103" spans="1:43">
      <c r="A103" s="12">
        <v>100</v>
      </c>
      <c r="B103" s="21" t="s">
        <v>4454</v>
      </c>
      <c r="C103" s="5" t="s">
        <v>672</v>
      </c>
      <c r="D103" s="5" t="s">
        <v>4455</v>
      </c>
      <c r="E103" s="5" t="s">
        <v>4456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11" t="s">
        <v>46</v>
      </c>
      <c r="Q103" s="5">
        <v>142.33080000000001</v>
      </c>
      <c r="R103" s="5">
        <f t="shared" si="1"/>
        <v>142.33080000000001</v>
      </c>
      <c r="S103" s="5" t="s">
        <v>67</v>
      </c>
      <c r="T103" s="12">
        <v>100</v>
      </c>
      <c r="U103" s="172" t="s">
        <v>675</v>
      </c>
      <c r="V103" s="232" t="s">
        <v>672</v>
      </c>
      <c r="W103" s="232">
        <v>7674.8</v>
      </c>
      <c r="X103" s="232">
        <v>3335.2</v>
      </c>
      <c r="Y103" s="233" t="s">
        <v>49</v>
      </c>
      <c r="Z103" s="87" t="s">
        <v>50</v>
      </c>
      <c r="AA103" s="233" t="s">
        <v>51</v>
      </c>
      <c r="AB103" s="234"/>
      <c r="AC103" s="233">
        <v>1</v>
      </c>
      <c r="AD103" s="233" t="s">
        <v>226</v>
      </c>
      <c r="AE103" s="234"/>
      <c r="AF103" s="234"/>
      <c r="AG103" s="234"/>
      <c r="AH103" s="233"/>
      <c r="AI103" s="233"/>
      <c r="AJ103" s="233"/>
      <c r="AK103" s="233"/>
      <c r="AL103" s="233"/>
      <c r="AM103" s="233"/>
      <c r="AN103" s="233"/>
      <c r="AO103" s="233"/>
      <c r="AP103" s="234"/>
      <c r="AQ103" s="234" t="s">
        <v>333</v>
      </c>
    </row>
    <row r="104" spans="1:43">
      <c r="A104" s="12">
        <v>101</v>
      </c>
      <c r="B104" s="21" t="s">
        <v>4457</v>
      </c>
      <c r="C104" s="5" t="s">
        <v>677</v>
      </c>
      <c r="D104" s="5" t="s">
        <v>4458</v>
      </c>
      <c r="E104" s="5" t="s">
        <v>4459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11" t="s">
        <v>46</v>
      </c>
      <c r="Q104" s="5">
        <v>99.833399999999997</v>
      </c>
      <c r="R104" s="5">
        <f t="shared" si="1"/>
        <v>99.833399999999997</v>
      </c>
      <c r="S104" s="5" t="s">
        <v>74</v>
      </c>
      <c r="T104" s="12">
        <v>101</v>
      </c>
      <c r="U104" s="172" t="s">
        <v>680</v>
      </c>
      <c r="V104" s="232" t="s">
        <v>677</v>
      </c>
      <c r="W104" s="232">
        <v>8983.5</v>
      </c>
      <c r="X104" s="232">
        <v>3258.8</v>
      </c>
      <c r="Y104" s="233" t="s">
        <v>49</v>
      </c>
      <c r="Z104" s="87" t="s">
        <v>50</v>
      </c>
      <c r="AA104" s="233" t="s">
        <v>51</v>
      </c>
      <c r="AB104" s="234"/>
      <c r="AC104" s="233">
        <v>1</v>
      </c>
      <c r="AD104" s="233" t="s">
        <v>226</v>
      </c>
      <c r="AE104" s="234"/>
      <c r="AF104" s="234"/>
      <c r="AG104" s="234"/>
      <c r="AH104" s="233"/>
      <c r="AI104" s="233"/>
      <c r="AJ104" s="233"/>
      <c r="AK104" s="233"/>
      <c r="AL104" s="233"/>
      <c r="AM104" s="233"/>
      <c r="AN104" s="233"/>
      <c r="AO104" s="233"/>
      <c r="AP104" s="234"/>
      <c r="AQ104" s="234" t="s">
        <v>333</v>
      </c>
    </row>
    <row r="105" spans="1:43">
      <c r="A105" s="12">
        <v>102</v>
      </c>
      <c r="B105" s="21" t="s">
        <v>4460</v>
      </c>
      <c r="C105" s="5" t="s">
        <v>682</v>
      </c>
      <c r="D105" s="5" t="s">
        <v>4461</v>
      </c>
      <c r="E105" s="5" t="s">
        <v>4462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11" t="s">
        <v>46</v>
      </c>
      <c r="Q105" s="5">
        <v>241.9545</v>
      </c>
      <c r="R105" s="5">
        <f t="shared" si="1"/>
        <v>241.9545</v>
      </c>
      <c r="S105" s="5" t="s">
        <v>685</v>
      </c>
      <c r="T105" s="12">
        <v>102</v>
      </c>
      <c r="U105" s="172" t="s">
        <v>686</v>
      </c>
      <c r="V105" s="232" t="s">
        <v>682</v>
      </c>
      <c r="W105" s="232">
        <v>10359.1</v>
      </c>
      <c r="X105" s="232">
        <v>2395.1999999999998</v>
      </c>
      <c r="Y105" s="233" t="s">
        <v>49</v>
      </c>
      <c r="Z105" s="87" t="s">
        <v>50</v>
      </c>
      <c r="AA105" s="233" t="s">
        <v>51</v>
      </c>
      <c r="AB105" s="234"/>
      <c r="AC105" s="233">
        <v>1</v>
      </c>
      <c r="AD105" s="233" t="s">
        <v>226</v>
      </c>
      <c r="AE105" s="234"/>
      <c r="AF105" s="234"/>
      <c r="AG105" s="234"/>
      <c r="AH105" s="233"/>
      <c r="AI105" s="233"/>
      <c r="AJ105" s="233"/>
      <c r="AK105" s="233"/>
      <c r="AL105" s="233"/>
      <c r="AM105" s="233"/>
      <c r="AN105" s="233"/>
      <c r="AO105" s="233"/>
      <c r="AP105" s="234"/>
      <c r="AQ105" s="234" t="s">
        <v>333</v>
      </c>
    </row>
    <row r="106" spans="1:43">
      <c r="A106" s="12">
        <v>103</v>
      </c>
      <c r="B106" s="21" t="s">
        <v>4463</v>
      </c>
      <c r="C106" s="5" t="s">
        <v>688</v>
      </c>
      <c r="D106" s="5" t="s">
        <v>4464</v>
      </c>
      <c r="E106" s="5" t="s">
        <v>4465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11" t="s">
        <v>46</v>
      </c>
      <c r="Q106" s="5">
        <v>153.21789999999999</v>
      </c>
      <c r="R106" s="5">
        <f t="shared" si="1"/>
        <v>153.21789999999999</v>
      </c>
      <c r="S106" s="5" t="s">
        <v>395</v>
      </c>
      <c r="T106" s="12">
        <v>103</v>
      </c>
      <c r="U106" s="172" t="s">
        <v>691</v>
      </c>
      <c r="V106" s="232" t="s">
        <v>688</v>
      </c>
      <c r="W106" s="232">
        <v>9665.7000000000007</v>
      </c>
      <c r="X106" s="232">
        <v>3495</v>
      </c>
      <c r="Y106" s="233" t="s">
        <v>49</v>
      </c>
      <c r="Z106" s="87" t="s">
        <v>50</v>
      </c>
      <c r="AA106" s="233" t="s">
        <v>51</v>
      </c>
      <c r="AB106" s="234"/>
      <c r="AC106" s="233">
        <v>1</v>
      </c>
      <c r="AD106" s="233" t="s">
        <v>226</v>
      </c>
      <c r="AE106" s="234"/>
      <c r="AF106" s="234"/>
      <c r="AG106" s="234"/>
      <c r="AH106" s="233"/>
      <c r="AI106" s="233"/>
      <c r="AJ106" s="233"/>
      <c r="AK106" s="233"/>
      <c r="AL106" s="233"/>
      <c r="AM106" s="233"/>
      <c r="AN106" s="233"/>
      <c r="AO106" s="233"/>
      <c r="AP106" s="234"/>
      <c r="AQ106" s="234" t="s">
        <v>333</v>
      </c>
    </row>
    <row r="107" spans="1:43">
      <c r="A107" s="12">
        <v>104</v>
      </c>
      <c r="B107" s="21" t="s">
        <v>4466</v>
      </c>
      <c r="C107" s="5" t="s">
        <v>693</v>
      </c>
      <c r="D107" s="5" t="s">
        <v>4467</v>
      </c>
      <c r="E107" s="5" t="s">
        <v>4468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11" t="s">
        <v>46</v>
      </c>
      <c r="Q107" s="5">
        <v>228.3186</v>
      </c>
      <c r="R107" s="5">
        <f t="shared" si="1"/>
        <v>228.3186</v>
      </c>
      <c r="S107" s="5" t="s">
        <v>344</v>
      </c>
      <c r="T107" s="12">
        <v>104</v>
      </c>
      <c r="U107" s="172" t="s">
        <v>696</v>
      </c>
      <c r="V107" s="232" t="s">
        <v>693</v>
      </c>
      <c r="W107" s="232">
        <v>9670.7999999999993</v>
      </c>
      <c r="X107" s="232">
        <v>2204.6999999999998</v>
      </c>
      <c r="Y107" s="233" t="s">
        <v>49</v>
      </c>
      <c r="Z107" s="87" t="s">
        <v>50</v>
      </c>
      <c r="AA107" s="233" t="s">
        <v>51</v>
      </c>
      <c r="AB107" s="234"/>
      <c r="AC107" s="233">
        <v>1</v>
      </c>
      <c r="AD107" s="233" t="s">
        <v>226</v>
      </c>
      <c r="AE107" s="234"/>
      <c r="AF107" s="234"/>
      <c r="AG107" s="234"/>
      <c r="AH107" s="233"/>
      <c r="AI107" s="233"/>
      <c r="AJ107" s="233"/>
      <c r="AK107" s="233"/>
      <c r="AL107" s="233"/>
      <c r="AM107" s="233"/>
      <c r="AN107" s="233"/>
      <c r="AO107" s="233"/>
      <c r="AP107" s="234"/>
      <c r="AQ107" s="234" t="s">
        <v>333</v>
      </c>
    </row>
    <row r="108" spans="1:43">
      <c r="A108" s="12">
        <v>105</v>
      </c>
      <c r="B108" s="21" t="s">
        <v>4469</v>
      </c>
      <c r="C108" s="5" t="s">
        <v>698</v>
      </c>
      <c r="D108" s="5" t="s">
        <v>4470</v>
      </c>
      <c r="E108" s="5" t="s">
        <v>4471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11" t="s">
        <v>46</v>
      </c>
      <c r="Q108" s="5">
        <v>244.5812</v>
      </c>
      <c r="R108" s="5">
        <f t="shared" si="1"/>
        <v>244.5812</v>
      </c>
      <c r="S108" s="5" t="s">
        <v>685</v>
      </c>
      <c r="T108" s="12">
        <v>105</v>
      </c>
      <c r="U108" s="172" t="s">
        <v>701</v>
      </c>
      <c r="V108" s="232" t="s">
        <v>698</v>
      </c>
      <c r="W108" s="232">
        <v>11047.5</v>
      </c>
      <c r="X108" s="232">
        <v>2585.6999999999998</v>
      </c>
      <c r="Y108" s="233" t="s">
        <v>49</v>
      </c>
      <c r="Z108" s="87" t="s">
        <v>50</v>
      </c>
      <c r="AA108" s="233" t="s">
        <v>51</v>
      </c>
      <c r="AB108" s="234"/>
      <c r="AC108" s="233">
        <v>1</v>
      </c>
      <c r="AD108" s="233" t="s">
        <v>226</v>
      </c>
      <c r="AE108" s="234"/>
      <c r="AF108" s="234"/>
      <c r="AG108" s="234"/>
      <c r="AH108" s="233"/>
      <c r="AI108" s="233"/>
      <c r="AJ108" s="233"/>
      <c r="AK108" s="233"/>
      <c r="AL108" s="233"/>
      <c r="AM108" s="233"/>
      <c r="AN108" s="233"/>
      <c r="AO108" s="233"/>
      <c r="AP108" s="234"/>
      <c r="AQ108" s="234" t="s">
        <v>333</v>
      </c>
    </row>
    <row r="109" spans="1:43">
      <c r="A109" s="12">
        <v>106</v>
      </c>
      <c r="B109" s="21" t="s">
        <v>4472</v>
      </c>
      <c r="C109" s="5" t="s">
        <v>703</v>
      </c>
      <c r="D109" s="5" t="s">
        <v>4473</v>
      </c>
      <c r="E109" s="5" t="s">
        <v>4474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11" t="s">
        <v>46</v>
      </c>
      <c r="Q109" s="5">
        <v>162.9049</v>
      </c>
      <c r="R109" s="5">
        <f t="shared" si="1"/>
        <v>162.9049</v>
      </c>
      <c r="S109" s="5" t="s">
        <v>706</v>
      </c>
      <c r="T109" s="12">
        <v>106</v>
      </c>
      <c r="U109" s="172" t="s">
        <v>707</v>
      </c>
      <c r="V109" s="232" t="s">
        <v>703</v>
      </c>
      <c r="W109" s="232">
        <v>12413</v>
      </c>
      <c r="X109" s="232">
        <v>1901.2</v>
      </c>
      <c r="Y109" s="233" t="s">
        <v>49</v>
      </c>
      <c r="Z109" s="87" t="s">
        <v>50</v>
      </c>
      <c r="AA109" s="233" t="s">
        <v>51</v>
      </c>
      <c r="AB109" s="234"/>
      <c r="AC109" s="233">
        <v>1</v>
      </c>
      <c r="AD109" s="233" t="s">
        <v>226</v>
      </c>
      <c r="AE109" s="234"/>
      <c r="AF109" s="234"/>
      <c r="AG109" s="234"/>
      <c r="AH109" s="233"/>
      <c r="AI109" s="233"/>
      <c r="AJ109" s="233"/>
      <c r="AK109" s="233"/>
      <c r="AL109" s="233"/>
      <c r="AM109" s="233"/>
      <c r="AN109" s="233"/>
      <c r="AO109" s="233"/>
      <c r="AP109" s="234"/>
      <c r="AQ109" s="234" t="s">
        <v>333</v>
      </c>
    </row>
    <row r="110" spans="1:43">
      <c r="A110" s="12">
        <v>107</v>
      </c>
      <c r="B110" s="21" t="s">
        <v>4475</v>
      </c>
      <c r="C110" s="5" t="s">
        <v>709</v>
      </c>
      <c r="D110" s="5" t="s">
        <v>4476</v>
      </c>
      <c r="E110" s="5" t="s">
        <v>4477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11" t="s">
        <v>46</v>
      </c>
      <c r="Q110" s="5">
        <v>151.60140000000001</v>
      </c>
      <c r="R110" s="5">
        <f t="shared" si="1"/>
        <v>151.60140000000001</v>
      </c>
      <c r="S110" s="5" t="s">
        <v>395</v>
      </c>
      <c r="T110" s="12">
        <v>107</v>
      </c>
      <c r="U110" s="172" t="s">
        <v>712</v>
      </c>
      <c r="V110" s="232" t="s">
        <v>709</v>
      </c>
      <c r="W110" s="232">
        <v>6950.9</v>
      </c>
      <c r="X110" s="232">
        <v>3335.2</v>
      </c>
      <c r="Y110" s="233" t="s">
        <v>49</v>
      </c>
      <c r="Z110" s="87" t="s">
        <v>50</v>
      </c>
      <c r="AA110" s="233" t="s">
        <v>51</v>
      </c>
      <c r="AB110" s="234"/>
      <c r="AC110" s="233">
        <v>1</v>
      </c>
      <c r="AD110" s="233" t="s">
        <v>226</v>
      </c>
      <c r="AE110" s="234"/>
      <c r="AF110" s="234"/>
      <c r="AG110" s="234"/>
      <c r="AH110" s="233"/>
      <c r="AI110" s="233"/>
      <c r="AJ110" s="233"/>
      <c r="AK110" s="233"/>
      <c r="AL110" s="233"/>
      <c r="AM110" s="233"/>
      <c r="AN110" s="233"/>
      <c r="AO110" s="233"/>
      <c r="AP110" s="234"/>
      <c r="AQ110" s="234" t="s">
        <v>333</v>
      </c>
    </row>
    <row r="111" spans="1:43">
      <c r="A111" s="12">
        <v>108</v>
      </c>
      <c r="B111" s="21" t="s">
        <v>4478</v>
      </c>
      <c r="C111" s="5" t="s">
        <v>714</v>
      </c>
      <c r="D111" s="5" t="s">
        <v>4479</v>
      </c>
      <c r="E111" s="5" t="s">
        <v>4480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 t="s">
        <v>46</v>
      </c>
      <c r="Q111" s="5">
        <v>105.1824</v>
      </c>
      <c r="R111" s="5">
        <f t="shared" si="1"/>
        <v>105.1824</v>
      </c>
      <c r="S111" s="5" t="s">
        <v>74</v>
      </c>
      <c r="T111" s="12">
        <v>108</v>
      </c>
      <c r="U111" s="172" t="s">
        <v>717</v>
      </c>
      <c r="V111" s="232" t="s">
        <v>714</v>
      </c>
      <c r="W111" s="232">
        <v>8982.5</v>
      </c>
      <c r="X111" s="232">
        <v>2014.2</v>
      </c>
      <c r="Y111" s="233" t="s">
        <v>49</v>
      </c>
      <c r="Z111" s="87" t="s">
        <v>50</v>
      </c>
      <c r="AA111" s="233" t="s">
        <v>51</v>
      </c>
      <c r="AB111" s="234"/>
      <c r="AC111" s="233">
        <v>1</v>
      </c>
      <c r="AD111" s="233" t="s">
        <v>226</v>
      </c>
      <c r="AE111" s="234"/>
      <c r="AF111" s="234"/>
      <c r="AG111" s="234"/>
      <c r="AH111" s="233"/>
      <c r="AI111" s="233"/>
      <c r="AJ111" s="233"/>
      <c r="AK111" s="233"/>
      <c r="AL111" s="233"/>
      <c r="AM111" s="233"/>
      <c r="AN111" s="233"/>
      <c r="AO111" s="233"/>
      <c r="AP111" s="234"/>
      <c r="AQ111" s="234" t="s">
        <v>333</v>
      </c>
    </row>
    <row r="112" spans="1:43">
      <c r="A112" s="12">
        <v>109</v>
      </c>
      <c r="B112" s="21" t="s">
        <v>4481</v>
      </c>
      <c r="C112" s="5" t="s">
        <v>719</v>
      </c>
      <c r="D112" s="5" t="s">
        <v>4482</v>
      </c>
      <c r="E112" s="5" t="s">
        <v>4483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11" t="s">
        <v>46</v>
      </c>
      <c r="Q112" s="5">
        <v>241.15360000000001</v>
      </c>
      <c r="R112" s="5">
        <f t="shared" si="1"/>
        <v>241.15360000000001</v>
      </c>
      <c r="S112" s="5" t="s">
        <v>685</v>
      </c>
      <c r="T112" s="12">
        <v>109</v>
      </c>
      <c r="U112" s="172" t="s">
        <v>722</v>
      </c>
      <c r="V112" s="232" t="s">
        <v>719</v>
      </c>
      <c r="W112" s="232">
        <v>10316.299999999999</v>
      </c>
      <c r="X112" s="232">
        <v>3843</v>
      </c>
      <c r="Y112" s="233" t="s">
        <v>49</v>
      </c>
      <c r="Z112" s="87" t="s">
        <v>50</v>
      </c>
      <c r="AA112" s="233" t="s">
        <v>51</v>
      </c>
      <c r="AB112" s="234"/>
      <c r="AC112" s="233">
        <v>1</v>
      </c>
      <c r="AD112" s="233" t="s">
        <v>226</v>
      </c>
      <c r="AE112" s="234"/>
      <c r="AF112" s="234"/>
      <c r="AG112" s="234"/>
      <c r="AH112" s="233"/>
      <c r="AI112" s="233"/>
      <c r="AJ112" s="233"/>
      <c r="AK112" s="233"/>
      <c r="AL112" s="233"/>
      <c r="AM112" s="233"/>
      <c r="AN112" s="233"/>
      <c r="AO112" s="233"/>
      <c r="AP112" s="234"/>
      <c r="AQ112" s="234" t="s">
        <v>333</v>
      </c>
    </row>
    <row r="113" spans="1:43">
      <c r="A113" s="12">
        <v>110</v>
      </c>
      <c r="B113" s="21" t="s">
        <v>4484</v>
      </c>
      <c r="C113" s="5" t="s">
        <v>724</v>
      </c>
      <c r="D113" s="5" t="s">
        <v>4485</v>
      </c>
      <c r="E113" s="5" t="s">
        <v>4486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11" t="s">
        <v>46</v>
      </c>
      <c r="Q113" s="5">
        <v>146.91030000000001</v>
      </c>
      <c r="R113" s="5">
        <f t="shared" si="1"/>
        <v>146.91030000000001</v>
      </c>
      <c r="S113" s="5" t="s">
        <v>395</v>
      </c>
      <c r="T113" s="12">
        <v>110</v>
      </c>
      <c r="U113" s="172" t="s">
        <v>727</v>
      </c>
      <c r="V113" s="232" t="s">
        <v>724</v>
      </c>
      <c r="W113" s="232">
        <v>12217.9</v>
      </c>
      <c r="X113" s="232">
        <v>2366.3000000000002</v>
      </c>
      <c r="Y113" s="233" t="s">
        <v>49</v>
      </c>
      <c r="Z113" s="87" t="s">
        <v>50</v>
      </c>
      <c r="AA113" s="233" t="s">
        <v>51</v>
      </c>
      <c r="AB113" s="234"/>
      <c r="AC113" s="233">
        <v>1</v>
      </c>
      <c r="AD113" s="233" t="s">
        <v>226</v>
      </c>
      <c r="AE113" s="234"/>
      <c r="AF113" s="234"/>
      <c r="AG113" s="234"/>
      <c r="AH113" s="233"/>
      <c r="AI113" s="233"/>
      <c r="AJ113" s="233"/>
      <c r="AK113" s="233"/>
      <c r="AL113" s="233"/>
      <c r="AM113" s="233"/>
      <c r="AN113" s="233"/>
      <c r="AO113" s="233"/>
      <c r="AP113" s="234"/>
      <c r="AQ113" s="234" t="s">
        <v>333</v>
      </c>
    </row>
    <row r="114" spans="1:43">
      <c r="A114" s="12">
        <v>111</v>
      </c>
      <c r="B114" s="21" t="s">
        <v>4487</v>
      </c>
      <c r="C114" s="5" t="s">
        <v>729</v>
      </c>
      <c r="D114" s="5" t="s">
        <v>4488</v>
      </c>
      <c r="E114" s="5" t="s">
        <v>4489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11" t="s">
        <v>46</v>
      </c>
      <c r="Q114" s="5">
        <v>169.92910000000001</v>
      </c>
      <c r="R114" s="5">
        <f t="shared" si="1"/>
        <v>169.92910000000001</v>
      </c>
      <c r="S114" s="5" t="s">
        <v>732</v>
      </c>
      <c r="T114" s="12">
        <v>111</v>
      </c>
      <c r="U114" s="172" t="s">
        <v>733</v>
      </c>
      <c r="V114" s="232" t="s">
        <v>729</v>
      </c>
      <c r="W114" s="232">
        <v>11697.7</v>
      </c>
      <c r="X114" s="232">
        <v>2274.3000000000002</v>
      </c>
      <c r="Y114" s="233" t="s">
        <v>49</v>
      </c>
      <c r="Z114" s="87" t="s">
        <v>50</v>
      </c>
      <c r="AA114" s="233" t="s">
        <v>51</v>
      </c>
      <c r="AB114" s="234"/>
      <c r="AC114" s="233">
        <v>1</v>
      </c>
      <c r="AD114" s="233" t="s">
        <v>226</v>
      </c>
      <c r="AE114" s="234"/>
      <c r="AF114" s="234"/>
      <c r="AG114" s="234"/>
      <c r="AH114" s="233"/>
      <c r="AI114" s="233"/>
      <c r="AJ114" s="233"/>
      <c r="AK114" s="233"/>
      <c r="AL114" s="233"/>
      <c r="AM114" s="233"/>
      <c r="AN114" s="233"/>
      <c r="AO114" s="233"/>
      <c r="AP114" s="234"/>
      <c r="AQ114" s="234" t="s">
        <v>333</v>
      </c>
    </row>
    <row r="115" spans="1:43">
      <c r="A115" s="12">
        <v>112</v>
      </c>
      <c r="B115" s="21" t="s">
        <v>4490</v>
      </c>
      <c r="C115" s="5" t="s">
        <v>735</v>
      </c>
      <c r="D115" s="5" t="s">
        <v>4491</v>
      </c>
      <c r="E115" s="5" t="s">
        <v>4492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11" t="s">
        <v>46</v>
      </c>
      <c r="Q115" s="5">
        <v>118.0535</v>
      </c>
      <c r="R115" s="5">
        <f t="shared" si="1"/>
        <v>118.0535</v>
      </c>
      <c r="S115" s="5" t="s">
        <v>60</v>
      </c>
      <c r="T115" s="12">
        <v>112</v>
      </c>
      <c r="U115" s="172" t="s">
        <v>738</v>
      </c>
      <c r="V115" s="232" t="s">
        <v>735</v>
      </c>
      <c r="W115" s="232">
        <v>12702.5</v>
      </c>
      <c r="X115" s="232">
        <v>2729.2</v>
      </c>
      <c r="Y115" s="233" t="s">
        <v>49</v>
      </c>
      <c r="Z115" s="87" t="s">
        <v>50</v>
      </c>
      <c r="AA115" s="233" t="s">
        <v>51</v>
      </c>
      <c r="AB115" s="234"/>
      <c r="AC115" s="233">
        <v>1</v>
      </c>
      <c r="AD115" s="233" t="s">
        <v>226</v>
      </c>
      <c r="AE115" s="234"/>
      <c r="AF115" s="234"/>
      <c r="AG115" s="234"/>
      <c r="AH115" s="233"/>
      <c r="AI115" s="233"/>
      <c r="AJ115" s="233"/>
      <c r="AK115" s="233"/>
      <c r="AL115" s="233"/>
      <c r="AM115" s="233"/>
      <c r="AN115" s="233"/>
      <c r="AO115" s="233"/>
      <c r="AP115" s="234"/>
      <c r="AQ115" s="234" t="s">
        <v>333</v>
      </c>
    </row>
    <row r="116" spans="1:43">
      <c r="A116" s="12">
        <v>113</v>
      </c>
      <c r="B116" s="21" t="s">
        <v>4493</v>
      </c>
      <c r="C116" s="5" t="s">
        <v>740</v>
      </c>
      <c r="D116" s="5" t="s">
        <v>4494</v>
      </c>
      <c r="E116" s="5" t="s">
        <v>4495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11" t="s">
        <v>46</v>
      </c>
      <c r="Q116" s="5">
        <v>135.89680000000001</v>
      </c>
      <c r="R116" s="5">
        <f t="shared" si="1"/>
        <v>135.89680000000001</v>
      </c>
      <c r="S116" s="5" t="s">
        <v>60</v>
      </c>
      <c r="T116" s="12">
        <v>113</v>
      </c>
      <c r="U116" s="241" t="s">
        <v>743</v>
      </c>
      <c r="V116" s="232" t="s">
        <v>740</v>
      </c>
      <c r="W116" s="232">
        <v>-12915.4</v>
      </c>
      <c r="X116" s="232">
        <v>-6265.2</v>
      </c>
      <c r="Y116" s="233" t="s">
        <v>49</v>
      </c>
      <c r="Z116" s="87" t="s">
        <v>50</v>
      </c>
      <c r="AA116" s="233" t="s">
        <v>51</v>
      </c>
      <c r="AB116" s="234"/>
      <c r="AC116" s="233">
        <v>1</v>
      </c>
      <c r="AD116" s="233" t="s">
        <v>226</v>
      </c>
      <c r="AE116" s="234"/>
      <c r="AF116" s="234"/>
      <c r="AG116" s="234"/>
      <c r="AH116" s="233"/>
      <c r="AI116" s="233"/>
      <c r="AJ116" s="233"/>
      <c r="AK116" s="233"/>
      <c r="AL116" s="233"/>
      <c r="AM116" s="233"/>
      <c r="AN116" s="233"/>
      <c r="AO116" s="233"/>
      <c r="AP116" s="234"/>
      <c r="AQ116" s="234" t="s">
        <v>333</v>
      </c>
    </row>
    <row r="117" spans="1:43">
      <c r="A117" s="12">
        <v>114</v>
      </c>
      <c r="B117" s="21" t="s">
        <v>4496</v>
      </c>
      <c r="C117" s="5" t="s">
        <v>745</v>
      </c>
      <c r="D117" s="5" t="s">
        <v>4497</v>
      </c>
      <c r="E117" s="5" t="s">
        <v>4498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11" t="s">
        <v>46</v>
      </c>
      <c r="Q117" s="5">
        <v>134.4025</v>
      </c>
      <c r="R117" s="5">
        <f t="shared" si="1"/>
        <v>134.4025</v>
      </c>
      <c r="S117" s="5" t="s">
        <v>60</v>
      </c>
      <c r="T117" s="12">
        <v>114</v>
      </c>
      <c r="U117" s="241" t="s">
        <v>748</v>
      </c>
      <c r="V117" s="232" t="s">
        <v>745</v>
      </c>
      <c r="W117" s="232">
        <v>-12786.5</v>
      </c>
      <c r="X117" s="232">
        <v>-5587</v>
      </c>
      <c r="Y117" s="233" t="s">
        <v>49</v>
      </c>
      <c r="Z117" s="87" t="s">
        <v>50</v>
      </c>
      <c r="AA117" s="233" t="s">
        <v>51</v>
      </c>
      <c r="AB117" s="234"/>
      <c r="AC117" s="233">
        <v>1</v>
      </c>
      <c r="AD117" s="233" t="s">
        <v>226</v>
      </c>
      <c r="AE117" s="234"/>
      <c r="AF117" s="234"/>
      <c r="AG117" s="234"/>
      <c r="AH117" s="233"/>
      <c r="AI117" s="233"/>
      <c r="AJ117" s="233"/>
      <c r="AK117" s="233"/>
      <c r="AL117" s="233"/>
      <c r="AM117" s="233"/>
      <c r="AN117" s="233"/>
      <c r="AO117" s="233"/>
      <c r="AP117" s="234"/>
      <c r="AQ117" s="234" t="s">
        <v>333</v>
      </c>
    </row>
    <row r="118" spans="1:43">
      <c r="A118" s="12">
        <v>115</v>
      </c>
      <c r="B118" s="21" t="s">
        <v>4499</v>
      </c>
      <c r="C118" s="5" t="s">
        <v>750</v>
      </c>
      <c r="D118" s="5" t="s">
        <v>4500</v>
      </c>
      <c r="E118" s="5" t="s">
        <v>4501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11" t="s">
        <v>46</v>
      </c>
      <c r="Q118" s="5">
        <v>165.22130000000001</v>
      </c>
      <c r="R118" s="5">
        <f t="shared" si="1"/>
        <v>165.22130000000001</v>
      </c>
      <c r="S118" s="5" t="s">
        <v>74</v>
      </c>
      <c r="T118" s="12">
        <v>115</v>
      </c>
      <c r="U118" s="241" t="s">
        <v>753</v>
      </c>
      <c r="V118" s="232" t="s">
        <v>750</v>
      </c>
      <c r="W118" s="232">
        <v>-12702.5</v>
      </c>
      <c r="X118" s="232">
        <v>-7123.4</v>
      </c>
      <c r="Y118" s="233" t="s">
        <v>49</v>
      </c>
      <c r="Z118" s="87" t="s">
        <v>50</v>
      </c>
      <c r="AA118" s="233" t="s">
        <v>51</v>
      </c>
      <c r="AB118" s="234"/>
      <c r="AC118" s="233">
        <v>1</v>
      </c>
      <c r="AD118" s="233" t="s">
        <v>226</v>
      </c>
      <c r="AE118" s="234"/>
      <c r="AF118" s="234"/>
      <c r="AG118" s="234"/>
      <c r="AH118" s="233"/>
      <c r="AI118" s="233"/>
      <c r="AJ118" s="233"/>
      <c r="AK118" s="233"/>
      <c r="AL118" s="233"/>
      <c r="AM118" s="233"/>
      <c r="AN118" s="233"/>
      <c r="AO118" s="233"/>
      <c r="AP118" s="234"/>
      <c r="AQ118" s="234" t="s">
        <v>333</v>
      </c>
    </row>
    <row r="119" spans="1:43">
      <c r="A119" s="12">
        <v>116</v>
      </c>
      <c r="B119" s="21" t="s">
        <v>4502</v>
      </c>
      <c r="C119" s="5" t="s">
        <v>755</v>
      </c>
      <c r="D119" s="5" t="s">
        <v>4503</v>
      </c>
      <c r="E119" s="5" t="s">
        <v>4504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11" t="s">
        <v>46</v>
      </c>
      <c r="Q119" s="5">
        <v>162.7099</v>
      </c>
      <c r="R119" s="5">
        <f t="shared" si="1"/>
        <v>162.7099</v>
      </c>
      <c r="S119" s="5" t="s">
        <v>47</v>
      </c>
      <c r="T119" s="12">
        <v>116</v>
      </c>
      <c r="U119" s="241" t="s">
        <v>758</v>
      </c>
      <c r="V119" s="232" t="s">
        <v>755</v>
      </c>
      <c r="W119" s="232">
        <v>-11455.4</v>
      </c>
      <c r="X119" s="232">
        <v>-5995.7</v>
      </c>
      <c r="Y119" s="233" t="s">
        <v>49</v>
      </c>
      <c r="Z119" s="87" t="s">
        <v>50</v>
      </c>
      <c r="AA119" s="233" t="s">
        <v>51</v>
      </c>
      <c r="AB119" s="234"/>
      <c r="AC119" s="233">
        <v>1</v>
      </c>
      <c r="AD119" s="233" t="s">
        <v>226</v>
      </c>
      <c r="AE119" s="234"/>
      <c r="AF119" s="234"/>
      <c r="AG119" s="234"/>
      <c r="AH119" s="233"/>
      <c r="AI119" s="233"/>
      <c r="AJ119" s="233"/>
      <c r="AK119" s="233"/>
      <c r="AL119" s="233"/>
      <c r="AM119" s="233"/>
      <c r="AN119" s="233"/>
      <c r="AO119" s="233"/>
      <c r="AP119" s="234"/>
      <c r="AQ119" s="234" t="s">
        <v>333</v>
      </c>
    </row>
    <row r="120" spans="1:43">
      <c r="A120" s="12">
        <v>117</v>
      </c>
      <c r="B120" s="21" t="s">
        <v>4505</v>
      </c>
      <c r="C120" s="5" t="s">
        <v>760</v>
      </c>
      <c r="D120" s="5" t="s">
        <v>4506</v>
      </c>
      <c r="E120" s="5" t="s">
        <v>4507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11" t="s">
        <v>46</v>
      </c>
      <c r="Q120" s="5">
        <v>230.99350000000001</v>
      </c>
      <c r="R120" s="5">
        <f t="shared" si="1"/>
        <v>230.99350000000001</v>
      </c>
      <c r="S120" s="5" t="s">
        <v>685</v>
      </c>
      <c r="T120" s="12">
        <v>117</v>
      </c>
      <c r="U120" s="241" t="s">
        <v>763</v>
      </c>
      <c r="V120" s="232" t="s">
        <v>760</v>
      </c>
      <c r="W120" s="232">
        <v>-11697.7</v>
      </c>
      <c r="X120" s="232">
        <v>-6668.5</v>
      </c>
      <c r="Y120" s="233" t="s">
        <v>49</v>
      </c>
      <c r="Z120" s="87" t="s">
        <v>50</v>
      </c>
      <c r="AA120" s="233" t="s">
        <v>51</v>
      </c>
      <c r="AB120" s="234"/>
      <c r="AC120" s="233">
        <v>1</v>
      </c>
      <c r="AD120" s="233" t="s">
        <v>226</v>
      </c>
      <c r="AE120" s="234"/>
      <c r="AF120" s="234"/>
      <c r="AG120" s="234"/>
      <c r="AH120" s="233"/>
      <c r="AI120" s="233"/>
      <c r="AJ120" s="233"/>
      <c r="AK120" s="233"/>
      <c r="AL120" s="233"/>
      <c r="AM120" s="233"/>
      <c r="AN120" s="233"/>
      <c r="AO120" s="233"/>
      <c r="AP120" s="234"/>
      <c r="AQ120" s="234" t="s">
        <v>333</v>
      </c>
    </row>
    <row r="121" spans="1:43">
      <c r="A121" s="12">
        <v>118</v>
      </c>
      <c r="B121" s="21" t="s">
        <v>4508</v>
      </c>
      <c r="C121" s="5" t="s">
        <v>765</v>
      </c>
      <c r="D121" s="5" t="s">
        <v>4509</v>
      </c>
      <c r="E121" s="5" t="s">
        <v>4510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11" t="s">
        <v>46</v>
      </c>
      <c r="Q121" s="5">
        <v>168.85149999999999</v>
      </c>
      <c r="R121" s="5">
        <f t="shared" si="1"/>
        <v>168.85149999999999</v>
      </c>
      <c r="S121" s="5" t="s">
        <v>74</v>
      </c>
      <c r="T121" s="12">
        <v>118</v>
      </c>
      <c r="U121" s="241" t="s">
        <v>768</v>
      </c>
      <c r="V121" s="232" t="s">
        <v>765</v>
      </c>
      <c r="W121" s="232">
        <v>-12159</v>
      </c>
      <c r="X121" s="232">
        <v>-5080</v>
      </c>
      <c r="Y121" s="233" t="s">
        <v>49</v>
      </c>
      <c r="Z121" s="87" t="s">
        <v>50</v>
      </c>
      <c r="AA121" s="233" t="s">
        <v>51</v>
      </c>
      <c r="AB121" s="234"/>
      <c r="AC121" s="233">
        <v>1</v>
      </c>
      <c r="AD121" s="233" t="s">
        <v>226</v>
      </c>
      <c r="AE121" s="234"/>
      <c r="AF121" s="234"/>
      <c r="AG121" s="234"/>
      <c r="AH121" s="233"/>
      <c r="AI121" s="233"/>
      <c r="AJ121" s="233"/>
      <c r="AK121" s="233"/>
      <c r="AL121" s="233"/>
      <c r="AM121" s="233"/>
      <c r="AN121" s="233"/>
      <c r="AO121" s="233"/>
      <c r="AP121" s="234"/>
      <c r="AQ121" s="234" t="s">
        <v>333</v>
      </c>
    </row>
    <row r="122" spans="1:43">
      <c r="A122" s="12">
        <v>119</v>
      </c>
      <c r="B122" s="21" t="s">
        <v>4511</v>
      </c>
      <c r="C122" s="5" t="s">
        <v>770</v>
      </c>
      <c r="D122" s="5" t="s">
        <v>4512</v>
      </c>
      <c r="E122" s="5" t="s">
        <v>4513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11" t="s">
        <v>46</v>
      </c>
      <c r="Q122" s="5">
        <v>198.7209</v>
      </c>
      <c r="R122" s="5">
        <f t="shared" si="1"/>
        <v>198.7209</v>
      </c>
      <c r="S122" s="5" t="s">
        <v>67</v>
      </c>
      <c r="T122" s="12">
        <v>119</v>
      </c>
      <c r="U122" s="241" t="s">
        <v>773</v>
      </c>
      <c r="V122" s="232" t="s">
        <v>770</v>
      </c>
      <c r="W122" s="232">
        <v>-12217.9</v>
      </c>
      <c r="X122" s="232">
        <v>-6760.5</v>
      </c>
      <c r="Y122" s="233" t="s">
        <v>49</v>
      </c>
      <c r="Z122" s="87" t="s">
        <v>50</v>
      </c>
      <c r="AA122" s="233" t="s">
        <v>51</v>
      </c>
      <c r="AB122" s="234"/>
      <c r="AC122" s="233">
        <v>1</v>
      </c>
      <c r="AD122" s="233" t="s">
        <v>226</v>
      </c>
      <c r="AE122" s="234"/>
      <c r="AF122" s="234"/>
      <c r="AG122" s="234"/>
      <c r="AH122" s="233"/>
      <c r="AI122" s="233"/>
      <c r="AJ122" s="233"/>
      <c r="AK122" s="233"/>
      <c r="AL122" s="233"/>
      <c r="AM122" s="233"/>
      <c r="AN122" s="233"/>
      <c r="AO122" s="233"/>
      <c r="AP122" s="234"/>
      <c r="AQ122" s="234" t="s">
        <v>333</v>
      </c>
    </row>
    <row r="123" spans="1:43">
      <c r="A123" s="12">
        <v>120</v>
      </c>
      <c r="B123" s="21" t="s">
        <v>4514</v>
      </c>
      <c r="C123" s="5" t="s">
        <v>775</v>
      </c>
      <c r="D123" s="5" t="s">
        <v>4515</v>
      </c>
      <c r="E123" s="5" t="s">
        <v>4516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11" t="s">
        <v>46</v>
      </c>
      <c r="Q123" s="5">
        <v>203.06</v>
      </c>
      <c r="R123" s="5">
        <f t="shared" si="1"/>
        <v>203.06</v>
      </c>
      <c r="S123" s="5" t="s">
        <v>67</v>
      </c>
      <c r="T123" s="12">
        <v>120</v>
      </c>
      <c r="U123" s="241" t="s">
        <v>778</v>
      </c>
      <c r="V123" s="232" t="s">
        <v>775</v>
      </c>
      <c r="W123" s="232">
        <v>-12285.7</v>
      </c>
      <c r="X123" s="232">
        <v>-5587</v>
      </c>
      <c r="Y123" s="233" t="s">
        <v>49</v>
      </c>
      <c r="Z123" s="87" t="s">
        <v>50</v>
      </c>
      <c r="AA123" s="233" t="s">
        <v>51</v>
      </c>
      <c r="AB123" s="234"/>
      <c r="AC123" s="233">
        <v>1</v>
      </c>
      <c r="AD123" s="233" t="s">
        <v>226</v>
      </c>
      <c r="AE123" s="234"/>
      <c r="AF123" s="234"/>
      <c r="AG123" s="234"/>
      <c r="AH123" s="233"/>
      <c r="AI123" s="233"/>
      <c r="AJ123" s="233"/>
      <c r="AK123" s="233"/>
      <c r="AL123" s="233"/>
      <c r="AM123" s="233"/>
      <c r="AN123" s="233"/>
      <c r="AO123" s="233"/>
      <c r="AP123" s="234"/>
      <c r="AQ123" s="234" t="s">
        <v>333</v>
      </c>
    </row>
    <row r="124" spans="1:43">
      <c r="A124" s="12">
        <v>121</v>
      </c>
      <c r="B124" s="21" t="s">
        <v>4517</v>
      </c>
      <c r="C124" s="5" t="s">
        <v>780</v>
      </c>
      <c r="D124" s="5" t="s">
        <v>4518</v>
      </c>
      <c r="E124" s="5" t="s">
        <v>4519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11" t="s">
        <v>46</v>
      </c>
      <c r="Q124" s="5">
        <v>168.8133</v>
      </c>
      <c r="R124" s="5">
        <f t="shared" si="1"/>
        <v>168.8133</v>
      </c>
      <c r="S124" s="5" t="s">
        <v>74</v>
      </c>
      <c r="T124" s="12">
        <v>121</v>
      </c>
      <c r="U124" s="241" t="s">
        <v>783</v>
      </c>
      <c r="V124" s="232" t="s">
        <v>780</v>
      </c>
      <c r="W124" s="232">
        <v>-12413</v>
      </c>
      <c r="X124" s="232">
        <v>-6295.4</v>
      </c>
      <c r="Y124" s="233" t="s">
        <v>49</v>
      </c>
      <c r="Z124" s="87" t="s">
        <v>50</v>
      </c>
      <c r="AA124" s="233" t="s">
        <v>51</v>
      </c>
      <c r="AB124" s="234"/>
      <c r="AC124" s="233">
        <v>1</v>
      </c>
      <c r="AD124" s="233" t="s">
        <v>226</v>
      </c>
      <c r="AE124" s="234"/>
      <c r="AF124" s="234"/>
      <c r="AG124" s="234"/>
      <c r="AH124" s="233"/>
      <c r="AI124" s="233"/>
      <c r="AJ124" s="233"/>
      <c r="AK124" s="233"/>
      <c r="AL124" s="233"/>
      <c r="AM124" s="233"/>
      <c r="AN124" s="233"/>
      <c r="AO124" s="233"/>
      <c r="AP124" s="234"/>
      <c r="AQ124" s="234" t="s">
        <v>333</v>
      </c>
    </row>
    <row r="125" spans="1:43">
      <c r="A125" s="12">
        <v>122</v>
      </c>
      <c r="B125" s="21" t="s">
        <v>4520</v>
      </c>
      <c r="C125" s="5" t="s">
        <v>785</v>
      </c>
      <c r="D125" s="5" t="s">
        <v>4521</v>
      </c>
      <c r="E125" s="5" t="s">
        <v>4522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11" t="s">
        <v>46</v>
      </c>
      <c r="Q125" s="5">
        <v>127.8338</v>
      </c>
      <c r="R125" s="5">
        <f t="shared" si="1"/>
        <v>127.8338</v>
      </c>
      <c r="S125" s="5" t="s">
        <v>60</v>
      </c>
      <c r="T125" s="12">
        <v>122</v>
      </c>
      <c r="U125" s="241" t="s">
        <v>788</v>
      </c>
      <c r="V125" s="232" t="s">
        <v>785</v>
      </c>
      <c r="W125" s="232">
        <v>-12702.5</v>
      </c>
      <c r="X125" s="232">
        <v>-4926.3</v>
      </c>
      <c r="Y125" s="233" t="s">
        <v>49</v>
      </c>
      <c r="Z125" s="87" t="s">
        <v>50</v>
      </c>
      <c r="AA125" s="233" t="s">
        <v>51</v>
      </c>
      <c r="AB125" s="234"/>
      <c r="AC125" s="233">
        <v>1</v>
      </c>
      <c r="AD125" s="233" t="s">
        <v>226</v>
      </c>
      <c r="AE125" s="234"/>
      <c r="AF125" s="234"/>
      <c r="AG125" s="234"/>
      <c r="AH125" s="233"/>
      <c r="AI125" s="233"/>
      <c r="AJ125" s="233"/>
      <c r="AK125" s="233"/>
      <c r="AL125" s="233"/>
      <c r="AM125" s="233"/>
      <c r="AN125" s="233"/>
      <c r="AO125" s="233"/>
      <c r="AP125" s="234"/>
      <c r="AQ125" s="234" t="s">
        <v>333</v>
      </c>
    </row>
    <row r="126" spans="1:43">
      <c r="A126" s="12">
        <v>123</v>
      </c>
      <c r="B126" s="21" t="s">
        <v>4523</v>
      </c>
      <c r="C126" s="5" t="s">
        <v>790</v>
      </c>
      <c r="D126" s="5" t="s">
        <v>4524</v>
      </c>
      <c r="E126" s="5" t="s">
        <v>4525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11" t="s">
        <v>46</v>
      </c>
      <c r="Q126" s="5">
        <v>195.14949999999999</v>
      </c>
      <c r="R126" s="5">
        <f t="shared" si="1"/>
        <v>195.14949999999999</v>
      </c>
      <c r="S126" s="5" t="s">
        <v>67</v>
      </c>
      <c r="T126" s="12">
        <v>123</v>
      </c>
      <c r="U126" s="241" t="s">
        <v>793</v>
      </c>
      <c r="V126" s="232" t="s">
        <v>790</v>
      </c>
      <c r="W126" s="232">
        <v>-12285.7</v>
      </c>
      <c r="X126" s="232">
        <v>-7784.1</v>
      </c>
      <c r="Y126" s="233" t="s">
        <v>49</v>
      </c>
      <c r="Z126" s="87" t="s">
        <v>50</v>
      </c>
      <c r="AA126" s="233" t="s">
        <v>51</v>
      </c>
      <c r="AB126" s="234"/>
      <c r="AC126" s="233">
        <v>1</v>
      </c>
      <c r="AD126" s="233" t="s">
        <v>226</v>
      </c>
      <c r="AE126" s="234"/>
      <c r="AF126" s="234"/>
      <c r="AG126" s="234"/>
      <c r="AH126" s="233"/>
      <c r="AI126" s="233"/>
      <c r="AJ126" s="233"/>
      <c r="AK126" s="233"/>
      <c r="AL126" s="233"/>
      <c r="AM126" s="233"/>
      <c r="AN126" s="233"/>
      <c r="AO126" s="233"/>
      <c r="AP126" s="234"/>
      <c r="AQ126" s="234" t="s">
        <v>333</v>
      </c>
    </row>
    <row r="127" spans="1:43">
      <c r="A127" s="12">
        <v>124</v>
      </c>
      <c r="B127" s="21" t="s">
        <v>4526</v>
      </c>
      <c r="C127" s="5" t="s">
        <v>795</v>
      </c>
      <c r="D127" s="5" t="s">
        <v>4527</v>
      </c>
      <c r="E127" s="5" t="s">
        <v>4528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11" t="s">
        <v>46</v>
      </c>
      <c r="Q127" s="5">
        <v>230.5762</v>
      </c>
      <c r="R127" s="5">
        <f t="shared" si="1"/>
        <v>230.5762</v>
      </c>
      <c r="S127" s="5" t="s">
        <v>395</v>
      </c>
      <c r="T127" s="12">
        <v>124</v>
      </c>
      <c r="U127" s="241" t="s">
        <v>798</v>
      </c>
      <c r="V127" s="232" t="s">
        <v>795</v>
      </c>
      <c r="W127" s="232">
        <v>-12159</v>
      </c>
      <c r="X127" s="232">
        <v>-7277.1</v>
      </c>
      <c r="Y127" s="233" t="s">
        <v>49</v>
      </c>
      <c r="Z127" s="87" t="s">
        <v>50</v>
      </c>
      <c r="AA127" s="233" t="s">
        <v>51</v>
      </c>
      <c r="AB127" s="234"/>
      <c r="AC127" s="233">
        <v>1</v>
      </c>
      <c r="AD127" s="233" t="s">
        <v>226</v>
      </c>
      <c r="AE127" s="234"/>
      <c r="AF127" s="234"/>
      <c r="AG127" s="234"/>
      <c r="AH127" s="233"/>
      <c r="AI127" s="233"/>
      <c r="AJ127" s="233"/>
      <c r="AK127" s="233"/>
      <c r="AL127" s="233"/>
      <c r="AM127" s="233"/>
      <c r="AN127" s="233"/>
      <c r="AO127" s="233"/>
      <c r="AP127" s="234"/>
      <c r="AQ127" s="234" t="s">
        <v>333</v>
      </c>
    </row>
    <row r="128" spans="1:43">
      <c r="A128" s="12">
        <v>125</v>
      </c>
      <c r="B128" s="21" t="s">
        <v>4529</v>
      </c>
      <c r="C128" s="5" t="s">
        <v>800</v>
      </c>
      <c r="D128" s="5" t="s">
        <v>4530</v>
      </c>
      <c r="E128" s="5" t="s">
        <v>4531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11" t="s">
        <v>46</v>
      </c>
      <c r="Q128" s="5">
        <v>139.559</v>
      </c>
      <c r="R128" s="5">
        <f t="shared" si="1"/>
        <v>139.559</v>
      </c>
      <c r="S128" s="5" t="s">
        <v>60</v>
      </c>
      <c r="T128" s="12">
        <v>125</v>
      </c>
      <c r="U128" s="241" t="s">
        <v>803</v>
      </c>
      <c r="V128" s="232" t="s">
        <v>800</v>
      </c>
      <c r="W128" s="232">
        <v>-12786.5</v>
      </c>
      <c r="X128" s="232">
        <v>-7784.1</v>
      </c>
      <c r="Y128" s="233" t="s">
        <v>49</v>
      </c>
      <c r="Z128" s="87" t="s">
        <v>50</v>
      </c>
      <c r="AA128" s="233" t="s">
        <v>51</v>
      </c>
      <c r="AB128" s="234"/>
      <c r="AC128" s="233">
        <v>1</v>
      </c>
      <c r="AD128" s="233" t="s">
        <v>226</v>
      </c>
      <c r="AE128" s="234"/>
      <c r="AF128" s="234"/>
      <c r="AG128" s="234"/>
      <c r="AH128" s="233"/>
      <c r="AI128" s="233"/>
      <c r="AJ128" s="233"/>
      <c r="AK128" s="233"/>
      <c r="AL128" s="233"/>
      <c r="AM128" s="233"/>
      <c r="AN128" s="233"/>
      <c r="AO128" s="233"/>
      <c r="AP128" s="234"/>
      <c r="AQ128" s="234" t="s">
        <v>333</v>
      </c>
    </row>
    <row r="129" spans="1:43">
      <c r="A129" s="12">
        <v>126</v>
      </c>
      <c r="B129" s="21" t="s">
        <v>4532</v>
      </c>
      <c r="C129" s="5" t="s">
        <v>805</v>
      </c>
      <c r="D129" s="5" t="s">
        <v>4533</v>
      </c>
      <c r="E129" s="5" t="s">
        <v>4534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11" t="s">
        <v>46</v>
      </c>
      <c r="Q129" s="5">
        <v>229.4452</v>
      </c>
      <c r="R129" s="5">
        <f t="shared" si="1"/>
        <v>229.4452</v>
      </c>
      <c r="S129" s="5" t="s">
        <v>395</v>
      </c>
      <c r="T129" s="12">
        <v>126</v>
      </c>
      <c r="U129" s="241" t="s">
        <v>808</v>
      </c>
      <c r="V129" s="232" t="s">
        <v>805</v>
      </c>
      <c r="W129" s="232">
        <v>-11912.6</v>
      </c>
      <c r="X129" s="232">
        <v>-6214.1</v>
      </c>
      <c r="Y129" s="233" t="s">
        <v>49</v>
      </c>
      <c r="Z129" s="87" t="s">
        <v>50</v>
      </c>
      <c r="AA129" s="233" t="s">
        <v>51</v>
      </c>
      <c r="AB129" s="234"/>
      <c r="AC129" s="233">
        <v>1</v>
      </c>
      <c r="AD129" s="233" t="s">
        <v>226</v>
      </c>
      <c r="AE129" s="234"/>
      <c r="AF129" s="234"/>
      <c r="AG129" s="234"/>
      <c r="AH129" s="233"/>
      <c r="AI129" s="233"/>
      <c r="AJ129" s="233"/>
      <c r="AK129" s="233"/>
      <c r="AL129" s="233"/>
      <c r="AM129" s="233"/>
      <c r="AN129" s="233"/>
      <c r="AO129" s="233"/>
      <c r="AP129" s="234"/>
      <c r="AQ129" s="234" t="s">
        <v>333</v>
      </c>
    </row>
    <row r="130" spans="1:43">
      <c r="A130" s="12">
        <v>127</v>
      </c>
      <c r="B130" s="21" t="s">
        <v>4535</v>
      </c>
      <c r="C130" s="5" t="s">
        <v>810</v>
      </c>
      <c r="D130" s="5" t="s">
        <v>4536</v>
      </c>
      <c r="E130" s="5" t="s">
        <v>4537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11" t="s">
        <v>46</v>
      </c>
      <c r="Q130" s="5">
        <v>210.13030000000001</v>
      </c>
      <c r="R130" s="5">
        <f t="shared" si="1"/>
        <v>210.13030000000001</v>
      </c>
      <c r="S130" s="5" t="s">
        <v>732</v>
      </c>
      <c r="T130" s="12">
        <v>127</v>
      </c>
      <c r="U130" s="242" t="s">
        <v>813</v>
      </c>
      <c r="V130" s="232" t="s">
        <v>810</v>
      </c>
      <c r="W130" s="232">
        <v>-10945.9</v>
      </c>
      <c r="X130" s="232">
        <v>-5854.3</v>
      </c>
      <c r="Y130" s="233" t="s">
        <v>49</v>
      </c>
      <c r="Z130" s="87" t="s">
        <v>50</v>
      </c>
      <c r="AA130" s="233" t="s">
        <v>51</v>
      </c>
      <c r="AB130" s="234"/>
      <c r="AC130" s="233">
        <v>1</v>
      </c>
      <c r="AD130" s="233" t="s">
        <v>226</v>
      </c>
      <c r="AE130" s="234"/>
      <c r="AF130" s="234"/>
      <c r="AG130" s="234"/>
      <c r="AH130" s="233"/>
      <c r="AI130" s="233"/>
      <c r="AJ130" s="233"/>
      <c r="AK130" s="233"/>
      <c r="AL130" s="233"/>
      <c r="AM130" s="233"/>
      <c r="AN130" s="233"/>
      <c r="AO130" s="233"/>
      <c r="AP130" s="234"/>
      <c r="AQ130" s="234" t="s">
        <v>333</v>
      </c>
    </row>
    <row r="131" spans="1:43">
      <c r="A131" s="12">
        <v>128</v>
      </c>
      <c r="B131" s="21" t="s">
        <v>4538</v>
      </c>
      <c r="C131" s="5" t="s">
        <v>815</v>
      </c>
      <c r="D131" s="5" t="s">
        <v>4539</v>
      </c>
      <c r="E131" s="5" t="s">
        <v>4540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11" t="s">
        <v>46</v>
      </c>
      <c r="Q131" s="5">
        <v>222.2225</v>
      </c>
      <c r="R131" s="5">
        <f t="shared" si="1"/>
        <v>222.2225</v>
      </c>
      <c r="S131" s="5" t="s">
        <v>395</v>
      </c>
      <c r="T131" s="12">
        <v>128</v>
      </c>
      <c r="U131" s="242" t="s">
        <v>818</v>
      </c>
      <c r="V131" s="232" t="s">
        <v>815</v>
      </c>
      <c r="W131" s="232">
        <v>-9665.7000000000007</v>
      </c>
      <c r="X131" s="232">
        <v>-3495</v>
      </c>
      <c r="Y131" s="233" t="s">
        <v>49</v>
      </c>
      <c r="Z131" s="87" t="s">
        <v>50</v>
      </c>
      <c r="AA131" s="233" t="s">
        <v>51</v>
      </c>
      <c r="AB131" s="234"/>
      <c r="AC131" s="233">
        <v>1</v>
      </c>
      <c r="AD131" s="233" t="s">
        <v>226</v>
      </c>
      <c r="AE131" s="234"/>
      <c r="AF131" s="234"/>
      <c r="AG131" s="234"/>
      <c r="AH131" s="233"/>
      <c r="AI131" s="233"/>
      <c r="AJ131" s="233"/>
      <c r="AK131" s="233"/>
      <c r="AL131" s="233"/>
      <c r="AM131" s="233"/>
      <c r="AN131" s="233"/>
      <c r="AO131" s="233"/>
      <c r="AP131" s="234"/>
      <c r="AQ131" s="234" t="s">
        <v>333</v>
      </c>
    </row>
    <row r="132" spans="1:43">
      <c r="A132" s="12">
        <v>129</v>
      </c>
      <c r="B132" s="21" t="s">
        <v>4541</v>
      </c>
      <c r="C132" s="5" t="s">
        <v>820</v>
      </c>
      <c r="D132" s="5" t="s">
        <v>4542</v>
      </c>
      <c r="E132" s="5" t="s">
        <v>4543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11" t="s">
        <v>46</v>
      </c>
      <c r="Q132" s="5">
        <v>162.29859999999999</v>
      </c>
      <c r="R132" s="5">
        <f t="shared" ref="R132:R195" si="2">IF(AND(P132="",Q132=""),"",SUM(P132:Q132))</f>
        <v>162.29859999999999</v>
      </c>
      <c r="S132" s="5" t="s">
        <v>47</v>
      </c>
      <c r="T132" s="12">
        <v>129</v>
      </c>
      <c r="U132" s="242" t="s">
        <v>823</v>
      </c>
      <c r="V132" s="232" t="s">
        <v>820</v>
      </c>
      <c r="W132" s="232">
        <v>-8983.5</v>
      </c>
      <c r="X132" s="232">
        <v>-4897.1000000000004</v>
      </c>
      <c r="Y132" s="233" t="s">
        <v>49</v>
      </c>
      <c r="Z132" s="87" t="s">
        <v>50</v>
      </c>
      <c r="AA132" s="233" t="s">
        <v>51</v>
      </c>
      <c r="AB132" s="234"/>
      <c r="AC132" s="233">
        <v>1</v>
      </c>
      <c r="AD132" s="233" t="s">
        <v>226</v>
      </c>
      <c r="AE132" s="234"/>
      <c r="AF132" s="234"/>
      <c r="AG132" s="234"/>
      <c r="AH132" s="233"/>
      <c r="AI132" s="233"/>
      <c r="AJ132" s="233"/>
      <c r="AK132" s="233"/>
      <c r="AL132" s="233"/>
      <c r="AM132" s="233"/>
      <c r="AN132" s="233"/>
      <c r="AO132" s="233"/>
      <c r="AP132" s="234"/>
      <c r="AQ132" s="234" t="s">
        <v>333</v>
      </c>
    </row>
    <row r="133" spans="1:43">
      <c r="A133" s="12">
        <v>130</v>
      </c>
      <c r="B133" s="21" t="s">
        <v>4544</v>
      </c>
      <c r="C133" s="5" t="s">
        <v>825</v>
      </c>
      <c r="D133" s="5" t="s">
        <v>4545</v>
      </c>
      <c r="E133" s="5" t="s">
        <v>4546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11" t="s">
        <v>46</v>
      </c>
      <c r="Q133" s="5">
        <v>166.9177</v>
      </c>
      <c r="R133" s="5">
        <f t="shared" si="2"/>
        <v>166.9177</v>
      </c>
      <c r="S133" s="5" t="s">
        <v>74</v>
      </c>
      <c r="T133" s="12">
        <v>130</v>
      </c>
      <c r="U133" s="242" t="s">
        <v>828</v>
      </c>
      <c r="V133" s="232" t="s">
        <v>825</v>
      </c>
      <c r="W133" s="232">
        <v>-12786.5</v>
      </c>
      <c r="X133" s="232">
        <v>-3389.9</v>
      </c>
      <c r="Y133" s="233" t="s">
        <v>49</v>
      </c>
      <c r="Z133" s="87" t="s">
        <v>50</v>
      </c>
      <c r="AA133" s="233" t="s">
        <v>51</v>
      </c>
      <c r="AB133" s="234"/>
      <c r="AC133" s="233">
        <v>1</v>
      </c>
      <c r="AD133" s="233" t="s">
        <v>226</v>
      </c>
      <c r="AE133" s="234"/>
      <c r="AF133" s="234"/>
      <c r="AG133" s="234"/>
      <c r="AH133" s="233"/>
      <c r="AI133" s="233"/>
      <c r="AJ133" s="233"/>
      <c r="AK133" s="233"/>
      <c r="AL133" s="233"/>
      <c r="AM133" s="233"/>
      <c r="AN133" s="233"/>
      <c r="AO133" s="233"/>
      <c r="AP133" s="234"/>
      <c r="AQ133" s="234" t="s">
        <v>333</v>
      </c>
    </row>
    <row r="134" spans="1:43">
      <c r="A134" s="12">
        <v>131</v>
      </c>
      <c r="B134" s="21" t="s">
        <v>4547</v>
      </c>
      <c r="C134" s="5" t="s">
        <v>830</v>
      </c>
      <c r="D134" s="5" t="s">
        <v>4548</v>
      </c>
      <c r="E134" s="5" t="s">
        <v>4549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11" t="s">
        <v>46</v>
      </c>
      <c r="Q134" s="5">
        <v>143.10409999999999</v>
      </c>
      <c r="R134" s="5">
        <f t="shared" si="2"/>
        <v>143.10409999999999</v>
      </c>
      <c r="S134" s="5" t="s">
        <v>47</v>
      </c>
      <c r="T134" s="12">
        <v>131</v>
      </c>
      <c r="U134" s="242" t="s">
        <v>833</v>
      </c>
      <c r="V134" s="232" t="s">
        <v>830</v>
      </c>
      <c r="W134" s="232">
        <v>-11047.5</v>
      </c>
      <c r="X134" s="232">
        <v>-2585.6999999999998</v>
      </c>
      <c r="Y134" s="233" t="s">
        <v>49</v>
      </c>
      <c r="Z134" s="87" t="s">
        <v>50</v>
      </c>
      <c r="AA134" s="233" t="s">
        <v>51</v>
      </c>
      <c r="AB134" s="234"/>
      <c r="AC134" s="233">
        <v>1</v>
      </c>
      <c r="AD134" s="233" t="s">
        <v>226</v>
      </c>
      <c r="AE134" s="234"/>
      <c r="AF134" s="234"/>
      <c r="AG134" s="234"/>
      <c r="AH134" s="233"/>
      <c r="AI134" s="233"/>
      <c r="AJ134" s="233"/>
      <c r="AK134" s="233"/>
      <c r="AL134" s="233"/>
      <c r="AM134" s="233"/>
      <c r="AN134" s="233"/>
      <c r="AO134" s="233"/>
      <c r="AP134" s="234"/>
      <c r="AQ134" s="234" t="s">
        <v>333</v>
      </c>
    </row>
    <row r="135" spans="1:43">
      <c r="A135" s="12">
        <v>132</v>
      </c>
      <c r="B135" s="21" t="s">
        <v>4550</v>
      </c>
      <c r="C135" s="5" t="s">
        <v>835</v>
      </c>
      <c r="D135" s="5" t="s">
        <v>4551</v>
      </c>
      <c r="E135" s="5" t="s">
        <v>4552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11" t="s">
        <v>46</v>
      </c>
      <c r="Q135" s="5">
        <v>216.4057</v>
      </c>
      <c r="R135" s="5">
        <f t="shared" si="2"/>
        <v>216.4057</v>
      </c>
      <c r="S135" s="5" t="s">
        <v>395</v>
      </c>
      <c r="T135" s="12">
        <v>132</v>
      </c>
      <c r="U135" s="242" t="s">
        <v>838</v>
      </c>
      <c r="V135" s="232" t="s">
        <v>835</v>
      </c>
      <c r="W135" s="232">
        <v>-11455.4</v>
      </c>
      <c r="X135" s="232">
        <v>-3798.6</v>
      </c>
      <c r="Y135" s="233" t="s">
        <v>49</v>
      </c>
      <c r="Z135" s="87" t="s">
        <v>50</v>
      </c>
      <c r="AA135" s="233" t="s">
        <v>51</v>
      </c>
      <c r="AB135" s="234"/>
      <c r="AC135" s="233">
        <v>1</v>
      </c>
      <c r="AD135" s="233" t="s">
        <v>226</v>
      </c>
      <c r="AE135" s="234"/>
      <c r="AF135" s="234"/>
      <c r="AG135" s="234"/>
      <c r="AH135" s="233"/>
      <c r="AI135" s="233"/>
      <c r="AJ135" s="233"/>
      <c r="AK135" s="233"/>
      <c r="AL135" s="233"/>
      <c r="AM135" s="233"/>
      <c r="AN135" s="233"/>
      <c r="AO135" s="233"/>
      <c r="AP135" s="234"/>
      <c r="AQ135" s="234" t="s">
        <v>333</v>
      </c>
    </row>
    <row r="136" spans="1:43">
      <c r="A136" s="12">
        <v>133</v>
      </c>
      <c r="B136" s="21" t="s">
        <v>4553</v>
      </c>
      <c r="C136" s="5" t="s">
        <v>840</v>
      </c>
      <c r="D136" s="5" t="s">
        <v>4554</v>
      </c>
      <c r="E136" s="5" t="s">
        <v>4555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11" t="s">
        <v>46</v>
      </c>
      <c r="Q136" s="5">
        <v>136.44980000000001</v>
      </c>
      <c r="R136" s="5">
        <f t="shared" si="2"/>
        <v>136.44980000000001</v>
      </c>
      <c r="S136" s="5" t="s">
        <v>47</v>
      </c>
      <c r="T136" s="12">
        <v>133</v>
      </c>
      <c r="U136" s="242" t="s">
        <v>843</v>
      </c>
      <c r="V136" s="232" t="s">
        <v>840</v>
      </c>
      <c r="W136" s="232">
        <v>-12285.7</v>
      </c>
      <c r="X136" s="232">
        <v>-3389.9</v>
      </c>
      <c r="Y136" s="233" t="s">
        <v>49</v>
      </c>
      <c r="Z136" s="87" t="s">
        <v>50</v>
      </c>
      <c r="AA136" s="233" t="s">
        <v>51</v>
      </c>
      <c r="AB136" s="234"/>
      <c r="AC136" s="233">
        <v>1</v>
      </c>
      <c r="AD136" s="233" t="s">
        <v>226</v>
      </c>
      <c r="AE136" s="234"/>
      <c r="AF136" s="234"/>
      <c r="AG136" s="234"/>
      <c r="AH136" s="233"/>
      <c r="AI136" s="233"/>
      <c r="AJ136" s="233"/>
      <c r="AK136" s="233"/>
      <c r="AL136" s="233"/>
      <c r="AM136" s="233"/>
      <c r="AN136" s="233"/>
      <c r="AO136" s="233"/>
      <c r="AP136" s="234"/>
      <c r="AQ136" s="234" t="s">
        <v>333</v>
      </c>
    </row>
    <row r="137" spans="1:43">
      <c r="A137" s="12">
        <v>134</v>
      </c>
      <c r="B137" s="21" t="s">
        <v>4556</v>
      </c>
      <c r="C137" s="5" t="s">
        <v>845</v>
      </c>
      <c r="D137" s="5" t="s">
        <v>4557</v>
      </c>
      <c r="E137" s="5" t="s">
        <v>4558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11" t="s">
        <v>46</v>
      </c>
      <c r="Q137" s="5">
        <v>187.44560000000001</v>
      </c>
      <c r="R137" s="5">
        <f t="shared" si="2"/>
        <v>187.44560000000001</v>
      </c>
      <c r="S137" s="5" t="s">
        <v>67</v>
      </c>
      <c r="T137" s="12">
        <v>134</v>
      </c>
      <c r="U137" s="242" t="s">
        <v>848</v>
      </c>
      <c r="V137" s="232" t="s">
        <v>845</v>
      </c>
      <c r="W137" s="232">
        <v>-12413</v>
      </c>
      <c r="X137" s="232">
        <v>-4098.3</v>
      </c>
      <c r="Y137" s="233" t="s">
        <v>49</v>
      </c>
      <c r="Z137" s="87" t="s">
        <v>50</v>
      </c>
      <c r="AA137" s="233" t="s">
        <v>51</v>
      </c>
      <c r="AB137" s="234"/>
      <c r="AC137" s="233">
        <v>1</v>
      </c>
      <c r="AD137" s="233" t="s">
        <v>226</v>
      </c>
      <c r="AE137" s="234"/>
      <c r="AF137" s="234"/>
      <c r="AG137" s="234"/>
      <c r="AH137" s="233"/>
      <c r="AI137" s="233"/>
      <c r="AJ137" s="233"/>
      <c r="AK137" s="233"/>
      <c r="AL137" s="233"/>
      <c r="AM137" s="233"/>
      <c r="AN137" s="233"/>
      <c r="AO137" s="233"/>
      <c r="AP137" s="234"/>
      <c r="AQ137" s="234" t="s">
        <v>333</v>
      </c>
    </row>
    <row r="138" spans="1:43">
      <c r="A138" s="12">
        <v>135</v>
      </c>
      <c r="B138" s="21" t="s">
        <v>4559</v>
      </c>
      <c r="C138" s="5" t="s">
        <v>850</v>
      </c>
      <c r="D138" s="5" t="s">
        <v>4560</v>
      </c>
      <c r="E138" s="5" t="s">
        <v>4561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11" t="s">
        <v>46</v>
      </c>
      <c r="Q138" s="5">
        <v>156.61519999999999</v>
      </c>
      <c r="R138" s="5">
        <f t="shared" si="2"/>
        <v>156.61519999999999</v>
      </c>
      <c r="S138" s="5" t="s">
        <v>47</v>
      </c>
      <c r="T138" s="12">
        <v>135</v>
      </c>
      <c r="U138" s="242" t="s">
        <v>853</v>
      </c>
      <c r="V138" s="232" t="s">
        <v>850</v>
      </c>
      <c r="W138" s="232">
        <v>-7674.8</v>
      </c>
      <c r="X138" s="232">
        <v>-4325.8999999999996</v>
      </c>
      <c r="Y138" s="233" t="s">
        <v>49</v>
      </c>
      <c r="Z138" s="87" t="s">
        <v>50</v>
      </c>
      <c r="AA138" s="233" t="s">
        <v>51</v>
      </c>
      <c r="AB138" s="234"/>
      <c r="AC138" s="233">
        <v>1</v>
      </c>
      <c r="AD138" s="233" t="s">
        <v>226</v>
      </c>
      <c r="AE138" s="234"/>
      <c r="AF138" s="234"/>
      <c r="AG138" s="234"/>
      <c r="AH138" s="233"/>
      <c r="AI138" s="233"/>
      <c r="AJ138" s="233"/>
      <c r="AK138" s="233"/>
      <c r="AL138" s="233"/>
      <c r="AM138" s="233"/>
      <c r="AN138" s="233"/>
      <c r="AO138" s="233"/>
      <c r="AP138" s="234"/>
      <c r="AQ138" s="234" t="s">
        <v>333</v>
      </c>
    </row>
    <row r="139" spans="1:43">
      <c r="A139" s="12">
        <v>136</v>
      </c>
      <c r="B139" s="21" t="s">
        <v>4562</v>
      </c>
      <c r="C139" s="5" t="s">
        <v>855</v>
      </c>
      <c r="D139" s="5" t="s">
        <v>4563</v>
      </c>
      <c r="E139" s="5" t="s">
        <v>4564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11" t="s">
        <v>46</v>
      </c>
      <c r="Q139" s="5">
        <v>147.167</v>
      </c>
      <c r="R139" s="5">
        <f t="shared" si="2"/>
        <v>147.167</v>
      </c>
      <c r="S139" s="5" t="s">
        <v>47</v>
      </c>
      <c r="T139" s="12">
        <v>136</v>
      </c>
      <c r="U139" s="242" t="s">
        <v>858</v>
      </c>
      <c r="V139" s="232" t="s">
        <v>855</v>
      </c>
      <c r="W139" s="232">
        <v>-6950.9</v>
      </c>
      <c r="X139" s="232">
        <v>-3335.2</v>
      </c>
      <c r="Y139" s="233" t="s">
        <v>49</v>
      </c>
      <c r="Z139" s="87" t="s">
        <v>50</v>
      </c>
      <c r="AA139" s="233" t="s">
        <v>51</v>
      </c>
      <c r="AB139" s="234"/>
      <c r="AC139" s="233">
        <v>1</v>
      </c>
      <c r="AD139" s="233" t="s">
        <v>226</v>
      </c>
      <c r="AE139" s="234"/>
      <c r="AF139" s="234"/>
      <c r="AG139" s="234"/>
      <c r="AH139" s="233"/>
      <c r="AI139" s="233"/>
      <c r="AJ139" s="233"/>
      <c r="AK139" s="233"/>
      <c r="AL139" s="233"/>
      <c r="AM139" s="233"/>
      <c r="AN139" s="233"/>
      <c r="AO139" s="233"/>
      <c r="AP139" s="234"/>
      <c r="AQ139" s="234" t="s">
        <v>333</v>
      </c>
    </row>
    <row r="140" spans="1:43">
      <c r="A140" s="12">
        <v>137</v>
      </c>
      <c r="B140" s="21" t="s">
        <v>4565</v>
      </c>
      <c r="C140" s="5" t="s">
        <v>860</v>
      </c>
      <c r="D140" s="5" t="s">
        <v>4566</v>
      </c>
      <c r="E140" s="5" t="s">
        <v>4567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11" t="s">
        <v>46</v>
      </c>
      <c r="Q140" s="5">
        <v>185.27699999999999</v>
      </c>
      <c r="R140" s="5">
        <f t="shared" si="2"/>
        <v>185.27699999999999</v>
      </c>
      <c r="S140" s="5" t="s">
        <v>67</v>
      </c>
      <c r="T140" s="12">
        <v>137</v>
      </c>
      <c r="U140" s="242" t="s">
        <v>863</v>
      </c>
      <c r="V140" s="232" t="s">
        <v>860</v>
      </c>
      <c r="W140" s="232">
        <v>-12159</v>
      </c>
      <c r="X140" s="232">
        <v>-2882.9</v>
      </c>
      <c r="Y140" s="233" t="s">
        <v>49</v>
      </c>
      <c r="Z140" s="87" t="s">
        <v>50</v>
      </c>
      <c r="AA140" s="233" t="s">
        <v>51</v>
      </c>
      <c r="AB140" s="234"/>
      <c r="AC140" s="233">
        <v>1</v>
      </c>
      <c r="AD140" s="233" t="s">
        <v>226</v>
      </c>
      <c r="AE140" s="234"/>
      <c r="AF140" s="234"/>
      <c r="AG140" s="234"/>
      <c r="AH140" s="233"/>
      <c r="AI140" s="233"/>
      <c r="AJ140" s="233"/>
      <c r="AK140" s="233"/>
      <c r="AL140" s="233"/>
      <c r="AM140" s="233"/>
      <c r="AN140" s="233"/>
      <c r="AO140" s="233"/>
      <c r="AP140" s="234"/>
      <c r="AQ140" s="234" t="s">
        <v>333</v>
      </c>
    </row>
    <row r="141" spans="1:43">
      <c r="A141" s="12">
        <v>138</v>
      </c>
      <c r="B141" s="21" t="s">
        <v>4568</v>
      </c>
      <c r="C141" s="5" t="s">
        <v>865</v>
      </c>
      <c r="D141" s="5" t="s">
        <v>4569</v>
      </c>
      <c r="E141" s="5" t="s">
        <v>4570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11" t="s">
        <v>46</v>
      </c>
      <c r="Q141" s="5">
        <v>131.41919999999999</v>
      </c>
      <c r="R141" s="5">
        <f t="shared" si="2"/>
        <v>131.41919999999999</v>
      </c>
      <c r="S141" s="5" t="s">
        <v>60</v>
      </c>
      <c r="T141" s="12">
        <v>138</v>
      </c>
      <c r="U141" s="242" t="s">
        <v>868</v>
      </c>
      <c r="V141" s="232" t="s">
        <v>865</v>
      </c>
      <c r="W141" s="232">
        <v>-12915.4</v>
      </c>
      <c r="X141" s="232">
        <v>-4068.1</v>
      </c>
      <c r="Y141" s="233" t="s">
        <v>49</v>
      </c>
      <c r="Z141" s="87" t="s">
        <v>50</v>
      </c>
      <c r="AA141" s="233" t="s">
        <v>51</v>
      </c>
      <c r="AB141" s="234"/>
      <c r="AC141" s="233">
        <v>1</v>
      </c>
      <c r="AD141" s="233" t="s">
        <v>226</v>
      </c>
      <c r="AE141" s="234"/>
      <c r="AF141" s="234"/>
      <c r="AG141" s="234"/>
      <c r="AH141" s="233"/>
      <c r="AI141" s="233"/>
      <c r="AJ141" s="233"/>
      <c r="AK141" s="233"/>
      <c r="AL141" s="233"/>
      <c r="AM141" s="233"/>
      <c r="AN141" s="233"/>
      <c r="AO141" s="233"/>
      <c r="AP141" s="234"/>
      <c r="AQ141" s="234" t="s">
        <v>333</v>
      </c>
    </row>
    <row r="142" spans="1:43">
      <c r="A142" s="12">
        <v>139</v>
      </c>
      <c r="B142" s="21" t="s">
        <v>4571</v>
      </c>
      <c r="C142" s="5" t="s">
        <v>870</v>
      </c>
      <c r="D142" s="5" t="s">
        <v>4572</v>
      </c>
      <c r="E142" s="5" t="s">
        <v>4573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11" t="s">
        <v>46</v>
      </c>
      <c r="Q142" s="5">
        <v>142.1713</v>
      </c>
      <c r="R142" s="5">
        <f t="shared" si="2"/>
        <v>142.1713</v>
      </c>
      <c r="S142" s="5" t="s">
        <v>47</v>
      </c>
      <c r="T142" s="12">
        <v>139</v>
      </c>
      <c r="U142" s="242" t="s">
        <v>873</v>
      </c>
      <c r="V142" s="232" t="s">
        <v>870</v>
      </c>
      <c r="W142" s="232">
        <v>-10945.9</v>
      </c>
      <c r="X142" s="232">
        <v>-4224</v>
      </c>
      <c r="Y142" s="233" t="s">
        <v>49</v>
      </c>
      <c r="Z142" s="87" t="s">
        <v>50</v>
      </c>
      <c r="AA142" s="233" t="s">
        <v>51</v>
      </c>
      <c r="AB142" s="234"/>
      <c r="AC142" s="233">
        <v>1</v>
      </c>
      <c r="AD142" s="233" t="s">
        <v>226</v>
      </c>
      <c r="AE142" s="234"/>
      <c r="AF142" s="234"/>
      <c r="AG142" s="234"/>
      <c r="AH142" s="233"/>
      <c r="AI142" s="233"/>
      <c r="AJ142" s="233"/>
      <c r="AK142" s="233"/>
      <c r="AL142" s="233"/>
      <c r="AM142" s="233"/>
      <c r="AN142" s="233"/>
      <c r="AO142" s="233"/>
      <c r="AP142" s="234"/>
      <c r="AQ142" s="234" t="s">
        <v>333</v>
      </c>
    </row>
    <row r="143" spans="1:43">
      <c r="A143" s="12">
        <v>140</v>
      </c>
      <c r="B143" s="21" t="s">
        <v>4574</v>
      </c>
      <c r="C143" s="5" t="s">
        <v>875</v>
      </c>
      <c r="D143" s="5" t="s">
        <v>4575</v>
      </c>
      <c r="E143" s="5" t="s">
        <v>4576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11" t="s">
        <v>46</v>
      </c>
      <c r="Q143" s="5">
        <v>151.62780000000001</v>
      </c>
      <c r="R143" s="5">
        <f t="shared" si="2"/>
        <v>151.62780000000001</v>
      </c>
      <c r="S143" s="5" t="s">
        <v>47</v>
      </c>
      <c r="T143" s="12">
        <v>140</v>
      </c>
      <c r="U143" s="242" t="s">
        <v>878</v>
      </c>
      <c r="V143" s="232" t="s">
        <v>875</v>
      </c>
      <c r="W143" s="232">
        <v>-10316.299999999999</v>
      </c>
      <c r="X143" s="232">
        <v>-3843</v>
      </c>
      <c r="Y143" s="233" t="s">
        <v>49</v>
      </c>
      <c r="Z143" s="87" t="s">
        <v>50</v>
      </c>
      <c r="AA143" s="233" t="s">
        <v>51</v>
      </c>
      <c r="AB143" s="234"/>
      <c r="AC143" s="233">
        <v>1</v>
      </c>
      <c r="AD143" s="233" t="s">
        <v>226</v>
      </c>
      <c r="AE143" s="234"/>
      <c r="AF143" s="234"/>
      <c r="AG143" s="234"/>
      <c r="AH143" s="233"/>
      <c r="AI143" s="233"/>
      <c r="AJ143" s="233"/>
      <c r="AK143" s="233"/>
      <c r="AL143" s="233"/>
      <c r="AM143" s="233"/>
      <c r="AN143" s="233"/>
      <c r="AO143" s="233"/>
      <c r="AP143" s="234"/>
      <c r="AQ143" s="234" t="s">
        <v>333</v>
      </c>
    </row>
    <row r="144" spans="1:43">
      <c r="A144" s="12">
        <v>141</v>
      </c>
      <c r="B144" s="21" t="s">
        <v>4577</v>
      </c>
      <c r="C144" s="5" t="s">
        <v>880</v>
      </c>
      <c r="D144" s="5" t="s">
        <v>4578</v>
      </c>
      <c r="E144" s="5" t="s">
        <v>4579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11" t="s">
        <v>46</v>
      </c>
      <c r="Q144" s="5">
        <v>162.69739999999999</v>
      </c>
      <c r="R144" s="5">
        <f t="shared" si="2"/>
        <v>162.69739999999999</v>
      </c>
      <c r="S144" s="5" t="s">
        <v>47</v>
      </c>
      <c r="T144" s="12">
        <v>141</v>
      </c>
      <c r="U144" s="242" t="s">
        <v>883</v>
      </c>
      <c r="V144" s="232" t="s">
        <v>880</v>
      </c>
      <c r="W144" s="232">
        <v>-11697.7</v>
      </c>
      <c r="X144" s="232">
        <v>-4471.3999999999996</v>
      </c>
      <c r="Y144" s="233" t="s">
        <v>49</v>
      </c>
      <c r="Z144" s="87" t="s">
        <v>50</v>
      </c>
      <c r="AA144" s="233" t="s">
        <v>51</v>
      </c>
      <c r="AB144" s="234"/>
      <c r="AC144" s="233">
        <v>1</v>
      </c>
      <c r="AD144" s="233" t="s">
        <v>226</v>
      </c>
      <c r="AE144" s="234"/>
      <c r="AF144" s="234"/>
      <c r="AG144" s="234"/>
      <c r="AH144" s="233"/>
      <c r="AI144" s="233"/>
      <c r="AJ144" s="233"/>
      <c r="AK144" s="233"/>
      <c r="AL144" s="233"/>
      <c r="AM144" s="233"/>
      <c r="AN144" s="233"/>
      <c r="AO144" s="233"/>
      <c r="AP144" s="234"/>
      <c r="AQ144" s="234" t="s">
        <v>333</v>
      </c>
    </row>
    <row r="145" spans="1:43">
      <c r="A145" s="12">
        <v>142</v>
      </c>
      <c r="B145" s="21" t="s">
        <v>4580</v>
      </c>
      <c r="C145" s="5" t="s">
        <v>885</v>
      </c>
      <c r="D145" s="5" t="s">
        <v>4581</v>
      </c>
      <c r="E145" s="5" t="s">
        <v>4582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11" t="s">
        <v>46</v>
      </c>
      <c r="Q145" s="5">
        <v>219.13</v>
      </c>
      <c r="R145" s="5">
        <f t="shared" si="2"/>
        <v>219.13</v>
      </c>
      <c r="S145" s="5" t="s">
        <v>732</v>
      </c>
      <c r="T145" s="12">
        <v>142</v>
      </c>
      <c r="U145" s="242" t="s">
        <v>888</v>
      </c>
      <c r="V145" s="232" t="s">
        <v>885</v>
      </c>
      <c r="W145" s="232">
        <v>-7674.8</v>
      </c>
      <c r="X145" s="232">
        <v>-3335.2</v>
      </c>
      <c r="Y145" s="233" t="s">
        <v>49</v>
      </c>
      <c r="Z145" s="87" t="s">
        <v>50</v>
      </c>
      <c r="AA145" s="233" t="s">
        <v>51</v>
      </c>
      <c r="AB145" s="234"/>
      <c r="AC145" s="233">
        <v>1</v>
      </c>
      <c r="AD145" s="233" t="s">
        <v>226</v>
      </c>
      <c r="AE145" s="234"/>
      <c r="AF145" s="234"/>
      <c r="AG145" s="234"/>
      <c r="AH145" s="233"/>
      <c r="AI145" s="233"/>
      <c r="AJ145" s="233"/>
      <c r="AK145" s="233"/>
      <c r="AL145" s="233"/>
      <c r="AM145" s="233"/>
      <c r="AN145" s="233"/>
      <c r="AO145" s="233"/>
      <c r="AP145" s="234"/>
      <c r="AQ145" s="234" t="s">
        <v>333</v>
      </c>
    </row>
    <row r="146" spans="1:43">
      <c r="A146" s="12">
        <v>143</v>
      </c>
      <c r="B146" s="21" t="s">
        <v>4583</v>
      </c>
      <c r="C146" s="5" t="s">
        <v>890</v>
      </c>
      <c r="D146" s="5" t="s">
        <v>4584</v>
      </c>
      <c r="E146" s="5" t="s">
        <v>4585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11" t="s">
        <v>46</v>
      </c>
      <c r="Q146" s="5">
        <v>163.06880000000001</v>
      </c>
      <c r="R146" s="5">
        <f t="shared" si="2"/>
        <v>163.06880000000001</v>
      </c>
      <c r="S146" s="5" t="s">
        <v>47</v>
      </c>
      <c r="T146" s="12">
        <v>143</v>
      </c>
      <c r="U146" s="242" t="s">
        <v>893</v>
      </c>
      <c r="V146" s="232" t="s">
        <v>890</v>
      </c>
      <c r="W146" s="232">
        <v>-6950.9</v>
      </c>
      <c r="X146" s="232">
        <v>-4325.8999999999996</v>
      </c>
      <c r="Y146" s="233" t="s">
        <v>49</v>
      </c>
      <c r="Z146" s="87" t="s">
        <v>50</v>
      </c>
      <c r="AA146" s="233" t="s">
        <v>51</v>
      </c>
      <c r="AB146" s="234"/>
      <c r="AC146" s="233">
        <v>1</v>
      </c>
      <c r="AD146" s="233" t="s">
        <v>226</v>
      </c>
      <c r="AE146" s="234"/>
      <c r="AF146" s="234"/>
      <c r="AG146" s="234"/>
      <c r="AH146" s="233"/>
      <c r="AI146" s="233"/>
      <c r="AJ146" s="233"/>
      <c r="AK146" s="233"/>
      <c r="AL146" s="233"/>
      <c r="AM146" s="233"/>
      <c r="AN146" s="233"/>
      <c r="AO146" s="233"/>
      <c r="AP146" s="234"/>
      <c r="AQ146" s="234" t="s">
        <v>333</v>
      </c>
    </row>
    <row r="147" spans="1:43">
      <c r="A147" s="12">
        <v>144</v>
      </c>
      <c r="B147" s="21" t="s">
        <v>4586</v>
      </c>
      <c r="C147" s="5" t="s">
        <v>895</v>
      </c>
      <c r="D147" s="5" t="s">
        <v>4587</v>
      </c>
      <c r="E147" s="5" t="s">
        <v>4588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11" t="s">
        <v>46</v>
      </c>
      <c r="Q147" s="5">
        <v>169.65960000000001</v>
      </c>
      <c r="R147" s="5">
        <f t="shared" si="2"/>
        <v>169.65960000000001</v>
      </c>
      <c r="S147" s="5" t="s">
        <v>74</v>
      </c>
      <c r="T147" s="12">
        <v>144</v>
      </c>
      <c r="U147" s="242" t="s">
        <v>898</v>
      </c>
      <c r="V147" s="232" t="s">
        <v>895</v>
      </c>
      <c r="W147" s="232">
        <v>-12217.9</v>
      </c>
      <c r="X147" s="232">
        <v>-4563.3999999999996</v>
      </c>
      <c r="Y147" s="233" t="s">
        <v>49</v>
      </c>
      <c r="Z147" s="87" t="s">
        <v>50</v>
      </c>
      <c r="AA147" s="233" t="s">
        <v>51</v>
      </c>
      <c r="AB147" s="234"/>
      <c r="AC147" s="233">
        <v>1</v>
      </c>
      <c r="AD147" s="233" t="s">
        <v>226</v>
      </c>
      <c r="AE147" s="234"/>
      <c r="AF147" s="234"/>
      <c r="AG147" s="234"/>
      <c r="AH147" s="233"/>
      <c r="AI147" s="233"/>
      <c r="AJ147" s="233"/>
      <c r="AK147" s="233"/>
      <c r="AL147" s="233"/>
      <c r="AM147" s="233"/>
      <c r="AN147" s="233"/>
      <c r="AO147" s="233"/>
      <c r="AP147" s="234"/>
      <c r="AQ147" s="234" t="s">
        <v>333</v>
      </c>
    </row>
    <row r="148" spans="1:43">
      <c r="A148" s="12">
        <v>145</v>
      </c>
      <c r="B148" s="21" t="s">
        <v>4589</v>
      </c>
      <c r="C148" s="5" t="s">
        <v>900</v>
      </c>
      <c r="D148" s="5" t="s">
        <v>4590</v>
      </c>
      <c r="E148" s="5" t="s">
        <v>4591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11" t="s">
        <v>46</v>
      </c>
      <c r="Q148" s="5">
        <v>223.88759999999999</v>
      </c>
      <c r="R148" s="5">
        <f t="shared" si="2"/>
        <v>223.88759999999999</v>
      </c>
      <c r="S148" s="5" t="s">
        <v>732</v>
      </c>
      <c r="T148" s="12">
        <v>145</v>
      </c>
      <c r="U148" s="242" t="s">
        <v>903</v>
      </c>
      <c r="V148" s="232" t="s">
        <v>900</v>
      </c>
      <c r="W148" s="232">
        <v>-11912.6</v>
      </c>
      <c r="X148" s="232">
        <v>-4017</v>
      </c>
      <c r="Y148" s="233" t="s">
        <v>49</v>
      </c>
      <c r="Z148" s="87" t="s">
        <v>50</v>
      </c>
      <c r="AA148" s="233" t="s">
        <v>51</v>
      </c>
      <c r="AB148" s="234"/>
      <c r="AC148" s="233">
        <v>1</v>
      </c>
      <c r="AD148" s="233" t="s">
        <v>226</v>
      </c>
      <c r="AE148" s="234"/>
      <c r="AF148" s="234"/>
      <c r="AG148" s="234"/>
      <c r="AH148" s="233"/>
      <c r="AI148" s="233"/>
      <c r="AJ148" s="233"/>
      <c r="AK148" s="233"/>
      <c r="AL148" s="233"/>
      <c r="AM148" s="233"/>
      <c r="AN148" s="233"/>
      <c r="AO148" s="233"/>
      <c r="AP148" s="234"/>
      <c r="AQ148" s="234" t="s">
        <v>333</v>
      </c>
    </row>
    <row r="149" spans="1:43">
      <c r="A149" s="12">
        <v>146</v>
      </c>
      <c r="B149" s="21" t="s">
        <v>4592</v>
      </c>
      <c r="C149" s="5" t="s">
        <v>905</v>
      </c>
      <c r="D149" s="5" t="s">
        <v>4593</v>
      </c>
      <c r="E149" s="5" t="s">
        <v>4594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11" t="s">
        <v>46</v>
      </c>
      <c r="Q149" s="5">
        <v>211.0078</v>
      </c>
      <c r="R149" s="5">
        <f t="shared" si="2"/>
        <v>211.0078</v>
      </c>
      <c r="S149" s="5" t="s">
        <v>395</v>
      </c>
      <c r="T149" s="12">
        <v>146</v>
      </c>
      <c r="U149" s="242" t="s">
        <v>908</v>
      </c>
      <c r="V149" s="232" t="s">
        <v>905</v>
      </c>
      <c r="W149" s="232">
        <v>-8983.5</v>
      </c>
      <c r="X149" s="232">
        <v>-3258.8</v>
      </c>
      <c r="Y149" s="233" t="s">
        <v>49</v>
      </c>
      <c r="Z149" s="87" t="s">
        <v>50</v>
      </c>
      <c r="AA149" s="233" t="s">
        <v>51</v>
      </c>
      <c r="AB149" s="234"/>
      <c r="AC149" s="233">
        <v>1</v>
      </c>
      <c r="AD149" s="233" t="s">
        <v>226</v>
      </c>
      <c r="AE149" s="234"/>
      <c r="AF149" s="234"/>
      <c r="AG149" s="234"/>
      <c r="AH149" s="233"/>
      <c r="AI149" s="233"/>
      <c r="AJ149" s="233"/>
      <c r="AK149" s="233"/>
      <c r="AL149" s="233"/>
      <c r="AM149" s="233"/>
      <c r="AN149" s="233"/>
      <c r="AO149" s="233"/>
      <c r="AP149" s="234"/>
      <c r="AQ149" s="234" t="s">
        <v>333</v>
      </c>
    </row>
    <row r="150" spans="1:43">
      <c r="A150" s="12">
        <v>147</v>
      </c>
      <c r="B150" s="21" t="s">
        <v>4595</v>
      </c>
      <c r="C150" s="5" t="s">
        <v>910</v>
      </c>
      <c r="D150" s="5" t="s">
        <v>4596</v>
      </c>
      <c r="E150" s="5" t="s">
        <v>4597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11" t="s">
        <v>46</v>
      </c>
      <c r="Q150" s="5">
        <v>227.4862</v>
      </c>
      <c r="R150" s="5">
        <f t="shared" si="2"/>
        <v>227.4862</v>
      </c>
      <c r="S150" s="5" t="s">
        <v>685</v>
      </c>
      <c r="T150" s="12">
        <v>147</v>
      </c>
      <c r="U150" s="242" t="s">
        <v>913</v>
      </c>
      <c r="V150" s="232" t="s">
        <v>910</v>
      </c>
      <c r="W150" s="232">
        <v>-10289.299999999999</v>
      </c>
      <c r="X150" s="232">
        <v>-5521.3</v>
      </c>
      <c r="Y150" s="233" t="s">
        <v>49</v>
      </c>
      <c r="Z150" s="87" t="s">
        <v>50</v>
      </c>
      <c r="AA150" s="233" t="s">
        <v>51</v>
      </c>
      <c r="AB150" s="234"/>
      <c r="AC150" s="233">
        <v>1</v>
      </c>
      <c r="AD150" s="233" t="s">
        <v>226</v>
      </c>
      <c r="AE150" s="234"/>
      <c r="AF150" s="234"/>
      <c r="AG150" s="234"/>
      <c r="AH150" s="233"/>
      <c r="AI150" s="233"/>
      <c r="AJ150" s="233"/>
      <c r="AK150" s="233"/>
      <c r="AL150" s="233"/>
      <c r="AM150" s="233"/>
      <c r="AN150" s="233"/>
      <c r="AO150" s="233"/>
      <c r="AP150" s="234"/>
      <c r="AQ150" s="234" t="s">
        <v>333</v>
      </c>
    </row>
    <row r="151" spans="1:43">
      <c r="A151" s="12">
        <v>148</v>
      </c>
      <c r="B151" s="21" t="s">
        <v>4598</v>
      </c>
      <c r="C151" s="5" t="s">
        <v>915</v>
      </c>
      <c r="D151" s="5" t="s">
        <v>4599</v>
      </c>
      <c r="E151" s="5" t="s">
        <v>4600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11" t="s">
        <v>46</v>
      </c>
      <c r="Q151" s="5">
        <v>226.41810000000001</v>
      </c>
      <c r="R151" s="5">
        <f t="shared" si="2"/>
        <v>226.41810000000001</v>
      </c>
      <c r="S151" s="5" t="s">
        <v>395</v>
      </c>
      <c r="T151" s="12">
        <v>148</v>
      </c>
      <c r="U151" s="242" t="s">
        <v>918</v>
      </c>
      <c r="V151" s="232" t="s">
        <v>915</v>
      </c>
      <c r="W151" s="232">
        <v>-9665.7000000000007</v>
      </c>
      <c r="X151" s="232">
        <v>-5133.3</v>
      </c>
      <c r="Y151" s="233" t="s">
        <v>49</v>
      </c>
      <c r="Z151" s="87" t="s">
        <v>50</v>
      </c>
      <c r="AA151" s="233" t="s">
        <v>51</v>
      </c>
      <c r="AB151" s="234"/>
      <c r="AC151" s="233">
        <v>1</v>
      </c>
      <c r="AD151" s="233" t="s">
        <v>226</v>
      </c>
      <c r="AE151" s="234"/>
      <c r="AF151" s="234"/>
      <c r="AG151" s="234"/>
      <c r="AH151" s="233"/>
      <c r="AI151" s="233"/>
      <c r="AJ151" s="233"/>
      <c r="AK151" s="233"/>
      <c r="AL151" s="233"/>
      <c r="AM151" s="233"/>
      <c r="AN151" s="233"/>
      <c r="AO151" s="233"/>
      <c r="AP151" s="234"/>
      <c r="AQ151" s="234" t="s">
        <v>333</v>
      </c>
    </row>
    <row r="152" spans="1:43">
      <c r="A152" s="12">
        <v>149</v>
      </c>
      <c r="B152" s="21" t="s">
        <v>4601</v>
      </c>
      <c r="C152" s="5" t="s">
        <v>920</v>
      </c>
      <c r="D152" s="5" t="s">
        <v>4602</v>
      </c>
      <c r="E152" s="5" t="s">
        <v>4603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11" t="s">
        <v>46</v>
      </c>
      <c r="Q152" s="5">
        <v>151.6138</v>
      </c>
      <c r="R152" s="5">
        <f t="shared" si="2"/>
        <v>151.6138</v>
      </c>
      <c r="S152" s="5" t="s">
        <v>74</v>
      </c>
      <c r="T152" s="12">
        <v>149</v>
      </c>
      <c r="U152" s="243" t="s">
        <v>923</v>
      </c>
      <c r="V152" s="232" t="s">
        <v>920</v>
      </c>
      <c r="W152" s="232">
        <v>-12905.7</v>
      </c>
      <c r="X152" s="232">
        <v>0</v>
      </c>
      <c r="Y152" s="233" t="s">
        <v>49</v>
      </c>
      <c r="Z152" s="87" t="s">
        <v>50</v>
      </c>
      <c r="AA152" s="233" t="s">
        <v>51</v>
      </c>
      <c r="AB152" s="234"/>
      <c r="AC152" s="233">
        <v>1</v>
      </c>
      <c r="AD152" s="233" t="s">
        <v>226</v>
      </c>
      <c r="AE152" s="234"/>
      <c r="AF152" s="234"/>
      <c r="AG152" s="234"/>
      <c r="AH152" s="233"/>
      <c r="AI152" s="233"/>
      <c r="AJ152" s="233"/>
      <c r="AK152" s="233"/>
      <c r="AL152" s="233"/>
      <c r="AM152" s="233"/>
      <c r="AN152" s="233"/>
      <c r="AO152" s="233"/>
      <c r="AP152" s="234"/>
      <c r="AQ152" s="234" t="s">
        <v>333</v>
      </c>
    </row>
    <row r="153" spans="1:43">
      <c r="A153" s="12">
        <v>150</v>
      </c>
      <c r="B153" s="21" t="s">
        <v>4604</v>
      </c>
      <c r="C153" s="5" t="s">
        <v>925</v>
      </c>
      <c r="D153" s="5" t="s">
        <v>4605</v>
      </c>
      <c r="E153" s="5" t="s">
        <v>4606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11" t="s">
        <v>46</v>
      </c>
      <c r="Q153" s="5">
        <v>154.77680000000001</v>
      </c>
      <c r="R153" s="5">
        <f t="shared" si="2"/>
        <v>154.77680000000001</v>
      </c>
      <c r="S153" s="5" t="s">
        <v>74</v>
      </c>
      <c r="T153" s="12">
        <v>150</v>
      </c>
      <c r="U153" s="243" t="s">
        <v>928</v>
      </c>
      <c r="V153" s="232" t="s">
        <v>925</v>
      </c>
      <c r="W153" s="232">
        <v>-12159</v>
      </c>
      <c r="X153" s="232">
        <v>-692.2</v>
      </c>
      <c r="Y153" s="233" t="s">
        <v>49</v>
      </c>
      <c r="Z153" s="87" t="s">
        <v>50</v>
      </c>
      <c r="AA153" s="233" t="s">
        <v>51</v>
      </c>
      <c r="AB153" s="234"/>
      <c r="AC153" s="233">
        <v>1</v>
      </c>
      <c r="AD153" s="233" t="s">
        <v>226</v>
      </c>
      <c r="AE153" s="234"/>
      <c r="AF153" s="234"/>
      <c r="AG153" s="234"/>
      <c r="AH153" s="233"/>
      <c r="AI153" s="233"/>
      <c r="AJ153" s="233"/>
      <c r="AK153" s="233"/>
      <c r="AL153" s="233"/>
      <c r="AM153" s="233"/>
      <c r="AN153" s="233"/>
      <c r="AO153" s="233"/>
      <c r="AP153" s="234"/>
      <c r="AQ153" s="234" t="s">
        <v>333</v>
      </c>
    </row>
    <row r="154" spans="1:43">
      <c r="A154" s="12">
        <v>151</v>
      </c>
      <c r="B154" s="21" t="s">
        <v>4607</v>
      </c>
      <c r="C154" s="5" t="s">
        <v>930</v>
      </c>
      <c r="D154" s="5" t="s">
        <v>4608</v>
      </c>
      <c r="E154" s="5" t="s">
        <v>4609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11" t="s">
        <v>46</v>
      </c>
      <c r="Q154" s="5">
        <v>187.33500000000001</v>
      </c>
      <c r="R154" s="5">
        <f t="shared" si="2"/>
        <v>187.33500000000001</v>
      </c>
      <c r="S154" s="5" t="s">
        <v>706</v>
      </c>
      <c r="T154" s="12">
        <v>151</v>
      </c>
      <c r="U154" s="243" t="s">
        <v>933</v>
      </c>
      <c r="V154" s="232" t="s">
        <v>930</v>
      </c>
      <c r="W154" s="232">
        <v>-9670.7999999999993</v>
      </c>
      <c r="X154" s="232">
        <v>-2204.6999999999998</v>
      </c>
      <c r="Y154" s="233" t="s">
        <v>49</v>
      </c>
      <c r="Z154" s="87" t="s">
        <v>50</v>
      </c>
      <c r="AA154" s="233" t="s">
        <v>51</v>
      </c>
      <c r="AB154" s="233" t="s">
        <v>934</v>
      </c>
      <c r="AC154" s="233">
        <v>1</v>
      </c>
      <c r="AD154" s="233" t="s">
        <v>226</v>
      </c>
      <c r="AE154" s="234"/>
      <c r="AF154" s="234"/>
      <c r="AG154" s="234"/>
      <c r="AH154" s="233"/>
      <c r="AI154" s="233"/>
      <c r="AJ154" s="233" t="s">
        <v>935</v>
      </c>
      <c r="AK154" s="233">
        <v>1500</v>
      </c>
      <c r="AL154" s="233"/>
      <c r="AM154" s="233"/>
      <c r="AN154" s="233"/>
      <c r="AO154" s="233"/>
      <c r="AP154" s="234"/>
      <c r="AQ154" s="234" t="s">
        <v>936</v>
      </c>
    </row>
    <row r="155" spans="1:43">
      <c r="A155" s="12">
        <v>152</v>
      </c>
      <c r="B155" s="21" t="s">
        <v>4610</v>
      </c>
      <c r="C155" s="5" t="s">
        <v>938</v>
      </c>
      <c r="D155" s="5" t="s">
        <v>4611</v>
      </c>
      <c r="E155" s="5" t="s">
        <v>4612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11" t="s">
        <v>46</v>
      </c>
      <c r="Q155" s="5">
        <v>210.3272</v>
      </c>
      <c r="R155" s="5">
        <f t="shared" si="2"/>
        <v>210.3272</v>
      </c>
      <c r="S155" s="5" t="s">
        <v>344</v>
      </c>
      <c r="T155" s="12">
        <v>152</v>
      </c>
      <c r="U155" s="243" t="s">
        <v>941</v>
      </c>
      <c r="V155" s="232" t="s">
        <v>938</v>
      </c>
      <c r="W155" s="232">
        <v>-10359.1</v>
      </c>
      <c r="X155" s="232">
        <v>-2395.1999999999998</v>
      </c>
      <c r="Y155" s="233" t="s">
        <v>49</v>
      </c>
      <c r="Z155" s="87" t="s">
        <v>50</v>
      </c>
      <c r="AA155" s="233" t="s">
        <v>51</v>
      </c>
      <c r="AB155" s="233" t="s">
        <v>934</v>
      </c>
      <c r="AC155" s="233">
        <v>1</v>
      </c>
      <c r="AD155" s="233" t="s">
        <v>226</v>
      </c>
      <c r="AE155" s="234"/>
      <c r="AF155" s="234"/>
      <c r="AG155" s="234"/>
      <c r="AH155" s="233"/>
      <c r="AI155" s="233"/>
      <c r="AJ155" s="233" t="s">
        <v>935</v>
      </c>
      <c r="AK155" s="233">
        <v>1500</v>
      </c>
      <c r="AL155" s="233"/>
      <c r="AM155" s="233"/>
      <c r="AN155" s="233"/>
      <c r="AO155" s="233"/>
      <c r="AP155" s="234"/>
      <c r="AQ155" s="234" t="s">
        <v>936</v>
      </c>
    </row>
    <row r="156" spans="1:43">
      <c r="A156" s="12">
        <v>153</v>
      </c>
      <c r="B156" s="21" t="s">
        <v>4613</v>
      </c>
      <c r="C156" s="5" t="s">
        <v>943</v>
      </c>
      <c r="D156" s="5" t="s">
        <v>4614</v>
      </c>
      <c r="E156" s="5" t="s">
        <v>4615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11" t="s">
        <v>46</v>
      </c>
      <c r="Q156" s="5">
        <v>187.72669999999999</v>
      </c>
      <c r="R156" s="5">
        <f t="shared" si="2"/>
        <v>187.72669999999999</v>
      </c>
      <c r="S156" s="5" t="s">
        <v>344</v>
      </c>
      <c r="T156" s="12">
        <v>153</v>
      </c>
      <c r="U156" s="243" t="s">
        <v>946</v>
      </c>
      <c r="V156" s="232" t="s">
        <v>943</v>
      </c>
      <c r="W156" s="232">
        <v>-12285.7</v>
      </c>
      <c r="X156" s="232">
        <v>-1192.8</v>
      </c>
      <c r="Y156" s="233" t="s">
        <v>49</v>
      </c>
      <c r="Z156" s="87" t="s">
        <v>50</v>
      </c>
      <c r="AA156" s="233" t="s">
        <v>51</v>
      </c>
      <c r="AB156" s="233" t="s">
        <v>934</v>
      </c>
      <c r="AC156" s="233">
        <v>1</v>
      </c>
      <c r="AD156" s="233" t="s">
        <v>226</v>
      </c>
      <c r="AE156" s="234"/>
      <c r="AF156" s="234"/>
      <c r="AG156" s="234"/>
      <c r="AH156" s="233"/>
      <c r="AI156" s="233"/>
      <c r="AJ156" s="233" t="s">
        <v>935</v>
      </c>
      <c r="AK156" s="233">
        <v>1500</v>
      </c>
      <c r="AL156" s="233"/>
      <c r="AM156" s="233"/>
      <c r="AN156" s="233"/>
      <c r="AO156" s="233"/>
      <c r="AP156" s="234"/>
      <c r="AQ156" s="234" t="s">
        <v>936</v>
      </c>
    </row>
    <row r="157" spans="1:43">
      <c r="A157" s="12">
        <v>154</v>
      </c>
      <c r="B157" s="21" t="s">
        <v>4616</v>
      </c>
      <c r="C157" s="5" t="s">
        <v>948</v>
      </c>
      <c r="D157" s="5" t="s">
        <v>4617</v>
      </c>
      <c r="E157" s="5" t="s">
        <v>4618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11" t="s">
        <v>46</v>
      </c>
      <c r="Q157" s="5">
        <v>186.24039999999999</v>
      </c>
      <c r="R157" s="5">
        <f t="shared" si="2"/>
        <v>186.24039999999999</v>
      </c>
      <c r="S157" s="5" t="s">
        <v>60</v>
      </c>
      <c r="T157" s="12">
        <v>154</v>
      </c>
      <c r="U157" s="243" t="s">
        <v>951</v>
      </c>
      <c r="V157" s="232" t="s">
        <v>948</v>
      </c>
      <c r="W157" s="232">
        <v>-12786.5</v>
      </c>
      <c r="X157" s="232">
        <v>-1192.8</v>
      </c>
      <c r="Y157" s="233" t="s">
        <v>49</v>
      </c>
      <c r="Z157" s="87" t="s">
        <v>50</v>
      </c>
      <c r="AA157" s="233" t="s">
        <v>51</v>
      </c>
      <c r="AB157" s="233" t="s">
        <v>934</v>
      </c>
      <c r="AC157" s="233">
        <v>1</v>
      </c>
      <c r="AD157" s="233" t="s">
        <v>226</v>
      </c>
      <c r="AE157" s="234"/>
      <c r="AF157" s="234"/>
      <c r="AG157" s="234"/>
      <c r="AH157" s="233"/>
      <c r="AI157" s="233"/>
      <c r="AJ157" s="233" t="s">
        <v>935</v>
      </c>
      <c r="AK157" s="233">
        <v>1500</v>
      </c>
      <c r="AL157" s="233"/>
      <c r="AM157" s="233"/>
      <c r="AN157" s="233"/>
      <c r="AO157" s="233"/>
      <c r="AP157" s="234"/>
      <c r="AQ157" s="234" t="s">
        <v>936</v>
      </c>
    </row>
    <row r="158" spans="1:43">
      <c r="A158" s="12">
        <v>155</v>
      </c>
      <c r="B158" s="21" t="s">
        <v>4619</v>
      </c>
      <c r="C158" s="5" t="s">
        <v>953</v>
      </c>
      <c r="D158" s="5" t="s">
        <v>4620</v>
      </c>
      <c r="E158" s="5" t="s">
        <v>4621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11" t="s">
        <v>46</v>
      </c>
      <c r="Q158" s="5">
        <v>198.40029999999999</v>
      </c>
      <c r="R158" s="5">
        <f t="shared" si="2"/>
        <v>198.40029999999999</v>
      </c>
      <c r="S158" s="5" t="s">
        <v>338</v>
      </c>
      <c r="T158" s="12">
        <v>155</v>
      </c>
      <c r="U158" s="243" t="s">
        <v>956</v>
      </c>
      <c r="V158" s="232" t="s">
        <v>953</v>
      </c>
      <c r="W158" s="232">
        <v>-11455.4</v>
      </c>
      <c r="X158" s="232">
        <v>-1601.5</v>
      </c>
      <c r="Y158" s="233" t="s">
        <v>49</v>
      </c>
      <c r="Z158" s="87" t="s">
        <v>50</v>
      </c>
      <c r="AA158" s="233" t="s">
        <v>51</v>
      </c>
      <c r="AB158" s="233" t="s">
        <v>934</v>
      </c>
      <c r="AC158" s="233">
        <v>1</v>
      </c>
      <c r="AD158" s="233" t="s">
        <v>226</v>
      </c>
      <c r="AE158" s="234"/>
      <c r="AF158" s="234"/>
      <c r="AG158" s="234"/>
      <c r="AH158" s="233"/>
      <c r="AI158" s="233"/>
      <c r="AJ158" s="233" t="s">
        <v>935</v>
      </c>
      <c r="AK158" s="233">
        <v>1500</v>
      </c>
      <c r="AL158" s="233"/>
      <c r="AM158" s="233"/>
      <c r="AN158" s="233"/>
      <c r="AO158" s="233"/>
      <c r="AP158" s="234"/>
      <c r="AQ158" s="234" t="s">
        <v>936</v>
      </c>
    </row>
    <row r="159" spans="1:43">
      <c r="A159" s="12">
        <v>156</v>
      </c>
      <c r="B159" s="21" t="s">
        <v>4622</v>
      </c>
      <c r="C159" s="5" t="s">
        <v>958</v>
      </c>
      <c r="D159" s="5" t="s">
        <v>4623</v>
      </c>
      <c r="E159" s="5" t="s">
        <v>4624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11" t="s">
        <v>46</v>
      </c>
      <c r="Q159" s="5">
        <v>198.1865</v>
      </c>
      <c r="R159" s="5">
        <f t="shared" si="2"/>
        <v>198.1865</v>
      </c>
      <c r="S159" s="5" t="s">
        <v>706</v>
      </c>
      <c r="T159" s="12">
        <v>156</v>
      </c>
      <c r="U159" s="243" t="s">
        <v>961</v>
      </c>
      <c r="V159" s="232" t="s">
        <v>958</v>
      </c>
      <c r="W159" s="232">
        <v>-11912.6</v>
      </c>
      <c r="X159" s="232">
        <v>-1819.9</v>
      </c>
      <c r="Y159" s="233" t="s">
        <v>49</v>
      </c>
      <c r="Z159" s="87" t="s">
        <v>50</v>
      </c>
      <c r="AA159" s="233" t="s">
        <v>51</v>
      </c>
      <c r="AB159" s="233" t="s">
        <v>934</v>
      </c>
      <c r="AC159" s="233">
        <v>1</v>
      </c>
      <c r="AD159" s="233" t="s">
        <v>226</v>
      </c>
      <c r="AE159" s="234"/>
      <c r="AF159" s="234"/>
      <c r="AG159" s="234"/>
      <c r="AH159" s="233"/>
      <c r="AI159" s="233"/>
      <c r="AJ159" s="233" t="s">
        <v>935</v>
      </c>
      <c r="AK159" s="233">
        <v>1500</v>
      </c>
      <c r="AL159" s="233"/>
      <c r="AM159" s="233"/>
      <c r="AN159" s="233"/>
      <c r="AO159" s="233"/>
      <c r="AP159" s="234"/>
      <c r="AQ159" s="234" t="s">
        <v>936</v>
      </c>
    </row>
    <row r="160" spans="1:43">
      <c r="A160" s="12">
        <v>157</v>
      </c>
      <c r="B160" s="21" t="s">
        <v>4625</v>
      </c>
      <c r="C160" s="5" t="s">
        <v>963</v>
      </c>
      <c r="D160" s="5" t="s">
        <v>4626</v>
      </c>
      <c r="E160" s="5" t="s">
        <v>4627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11" t="s">
        <v>46</v>
      </c>
      <c r="Q160" s="5">
        <v>187.6825</v>
      </c>
      <c r="R160" s="5">
        <f t="shared" si="2"/>
        <v>187.6825</v>
      </c>
      <c r="S160" s="5" t="s">
        <v>60</v>
      </c>
      <c r="T160" s="12">
        <v>157</v>
      </c>
      <c r="U160" s="243" t="s">
        <v>966</v>
      </c>
      <c r="V160" s="232" t="s">
        <v>963</v>
      </c>
      <c r="W160" s="232">
        <v>-12915.4</v>
      </c>
      <c r="X160" s="232">
        <v>-1871</v>
      </c>
      <c r="Y160" s="233" t="s">
        <v>49</v>
      </c>
      <c r="Z160" s="87" t="s">
        <v>50</v>
      </c>
      <c r="AA160" s="233" t="s">
        <v>51</v>
      </c>
      <c r="AB160" s="233" t="s">
        <v>934</v>
      </c>
      <c r="AC160" s="233">
        <v>1</v>
      </c>
      <c r="AD160" s="233" t="s">
        <v>226</v>
      </c>
      <c r="AE160" s="234"/>
      <c r="AF160" s="234"/>
      <c r="AG160" s="234"/>
      <c r="AH160" s="233"/>
      <c r="AI160" s="233"/>
      <c r="AJ160" s="233" t="s">
        <v>935</v>
      </c>
      <c r="AK160" s="233">
        <v>1500</v>
      </c>
      <c r="AL160" s="233"/>
      <c r="AM160" s="233"/>
      <c r="AN160" s="233"/>
      <c r="AO160" s="233"/>
      <c r="AP160" s="234"/>
      <c r="AQ160" s="234" t="s">
        <v>936</v>
      </c>
    </row>
    <row r="161" spans="1:43">
      <c r="A161" s="12">
        <v>158</v>
      </c>
      <c r="B161" s="21" t="s">
        <v>4628</v>
      </c>
      <c r="C161" s="5" t="s">
        <v>968</v>
      </c>
      <c r="D161" s="5" t="s">
        <v>4629</v>
      </c>
      <c r="E161" s="5" t="s">
        <v>4630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11" t="s">
        <v>46</v>
      </c>
      <c r="Q161" s="5">
        <v>190.95769999999999</v>
      </c>
      <c r="R161" s="5">
        <f t="shared" si="2"/>
        <v>190.95769999999999</v>
      </c>
      <c r="S161" s="5" t="s">
        <v>74</v>
      </c>
      <c r="T161" s="12">
        <v>158</v>
      </c>
      <c r="U161" s="243" t="s">
        <v>971</v>
      </c>
      <c r="V161" s="232" t="s">
        <v>968</v>
      </c>
      <c r="W161" s="232">
        <v>-12413</v>
      </c>
      <c r="X161" s="232">
        <v>-1901.2</v>
      </c>
      <c r="Y161" s="233" t="s">
        <v>49</v>
      </c>
      <c r="Z161" s="87" t="s">
        <v>50</v>
      </c>
      <c r="AA161" s="233" t="s">
        <v>51</v>
      </c>
      <c r="AB161" s="233" t="s">
        <v>934</v>
      </c>
      <c r="AC161" s="233">
        <v>1</v>
      </c>
      <c r="AD161" s="233" t="s">
        <v>226</v>
      </c>
      <c r="AE161" s="234"/>
      <c r="AF161" s="234"/>
      <c r="AG161" s="234"/>
      <c r="AH161" s="233"/>
      <c r="AI161" s="233"/>
      <c r="AJ161" s="233" t="s">
        <v>935</v>
      </c>
      <c r="AK161" s="233">
        <v>1500</v>
      </c>
      <c r="AL161" s="233"/>
      <c r="AM161" s="233"/>
      <c r="AN161" s="233"/>
      <c r="AO161" s="233"/>
      <c r="AP161" s="234"/>
      <c r="AQ161" s="234" t="s">
        <v>936</v>
      </c>
    </row>
    <row r="162" spans="1:43">
      <c r="A162" s="12">
        <v>159</v>
      </c>
      <c r="B162" s="21" t="s">
        <v>4631</v>
      </c>
      <c r="C162" s="5" t="s">
        <v>973</v>
      </c>
      <c r="D162" s="5" t="s">
        <v>4632</v>
      </c>
      <c r="E162" s="5" t="s">
        <v>4633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11" t="s">
        <v>46</v>
      </c>
      <c r="Q162" s="5">
        <v>187.7056</v>
      </c>
      <c r="R162" s="5">
        <f t="shared" si="2"/>
        <v>187.7056</v>
      </c>
      <c r="S162" s="5" t="s">
        <v>344</v>
      </c>
      <c r="T162" s="12">
        <v>159</v>
      </c>
      <c r="U162" s="243" t="s">
        <v>976</v>
      </c>
      <c r="V162" s="232" t="s">
        <v>973</v>
      </c>
      <c r="W162" s="232">
        <v>-12217.9</v>
      </c>
      <c r="X162" s="232">
        <v>-2366.3000000000002</v>
      </c>
      <c r="Y162" s="233" t="s">
        <v>49</v>
      </c>
      <c r="Z162" s="87" t="s">
        <v>50</v>
      </c>
      <c r="AA162" s="233" t="s">
        <v>51</v>
      </c>
      <c r="AB162" s="233" t="s">
        <v>934</v>
      </c>
      <c r="AC162" s="233">
        <v>1</v>
      </c>
      <c r="AD162" s="233" t="s">
        <v>226</v>
      </c>
      <c r="AE162" s="234"/>
      <c r="AF162" s="234"/>
      <c r="AG162" s="234"/>
      <c r="AH162" s="233"/>
      <c r="AI162" s="233"/>
      <c r="AJ162" s="233" t="s">
        <v>935</v>
      </c>
      <c r="AK162" s="233">
        <v>1500</v>
      </c>
      <c r="AL162" s="233"/>
      <c r="AM162" s="233"/>
      <c r="AN162" s="233"/>
      <c r="AO162" s="233"/>
      <c r="AP162" s="234"/>
      <c r="AQ162" s="234" t="s">
        <v>936</v>
      </c>
    </row>
    <row r="163" spans="1:43">
      <c r="A163" s="12">
        <v>160</v>
      </c>
      <c r="B163" s="21" t="s">
        <v>4634</v>
      </c>
      <c r="C163" s="5" t="s">
        <v>978</v>
      </c>
      <c r="D163" s="5" t="s">
        <v>4635</v>
      </c>
      <c r="E163" s="5" t="s">
        <v>4636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11" t="s">
        <v>46</v>
      </c>
      <c r="Q163" s="5">
        <v>207.92850000000001</v>
      </c>
      <c r="R163" s="5">
        <f t="shared" si="2"/>
        <v>207.92850000000001</v>
      </c>
      <c r="S163" s="5" t="s">
        <v>344</v>
      </c>
      <c r="T163" s="12">
        <v>160</v>
      </c>
      <c r="U163" s="243" t="s">
        <v>981</v>
      </c>
      <c r="V163" s="232" t="s">
        <v>978</v>
      </c>
      <c r="W163" s="232">
        <v>-11697.7</v>
      </c>
      <c r="X163" s="232">
        <v>-2274.3000000000002</v>
      </c>
      <c r="Y163" s="233" t="s">
        <v>49</v>
      </c>
      <c r="Z163" s="87" t="s">
        <v>50</v>
      </c>
      <c r="AA163" s="233" t="s">
        <v>51</v>
      </c>
      <c r="AB163" s="233" t="s">
        <v>934</v>
      </c>
      <c r="AC163" s="233">
        <v>1</v>
      </c>
      <c r="AD163" s="233" t="s">
        <v>226</v>
      </c>
      <c r="AE163" s="234"/>
      <c r="AF163" s="234"/>
      <c r="AG163" s="234"/>
      <c r="AH163" s="233"/>
      <c r="AI163" s="233"/>
      <c r="AJ163" s="233" t="s">
        <v>935</v>
      </c>
      <c r="AK163" s="233">
        <v>1500</v>
      </c>
      <c r="AL163" s="233"/>
      <c r="AM163" s="233"/>
      <c r="AN163" s="233"/>
      <c r="AO163" s="233"/>
      <c r="AP163" s="234"/>
      <c r="AQ163" s="234" t="s">
        <v>936</v>
      </c>
    </row>
    <row r="164" spans="1:43">
      <c r="A164" s="12">
        <v>161</v>
      </c>
      <c r="B164" s="21" t="s">
        <v>4637</v>
      </c>
      <c r="C164" s="5" t="s">
        <v>983</v>
      </c>
      <c r="D164" s="5" t="s">
        <v>4638</v>
      </c>
      <c r="E164" s="5" t="s">
        <v>4639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11" t="s">
        <v>46</v>
      </c>
      <c r="Q164" s="5">
        <v>183.3407</v>
      </c>
      <c r="R164" s="5">
        <f t="shared" si="2"/>
        <v>183.3407</v>
      </c>
      <c r="S164" s="5" t="s">
        <v>67</v>
      </c>
      <c r="T164" s="12">
        <v>161</v>
      </c>
      <c r="U164" s="243" t="s">
        <v>986</v>
      </c>
      <c r="V164" s="232" t="s">
        <v>983</v>
      </c>
      <c r="W164" s="232">
        <v>-12702.5</v>
      </c>
      <c r="X164" s="232">
        <v>-532.1</v>
      </c>
      <c r="Y164" s="233" t="s">
        <v>49</v>
      </c>
      <c r="Z164" s="87" t="s">
        <v>50</v>
      </c>
      <c r="AA164" s="233" t="s">
        <v>51</v>
      </c>
      <c r="AB164" s="234"/>
      <c r="AC164" s="233">
        <v>1</v>
      </c>
      <c r="AD164" s="233" t="s">
        <v>226</v>
      </c>
      <c r="AE164" s="234"/>
      <c r="AF164" s="234"/>
      <c r="AG164" s="234"/>
      <c r="AH164" s="233"/>
      <c r="AI164" s="233"/>
      <c r="AJ164" s="233"/>
      <c r="AK164" s="233"/>
      <c r="AL164" s="233"/>
      <c r="AM164" s="233"/>
      <c r="AN164" s="233"/>
      <c r="AO164" s="233"/>
      <c r="AP164" s="234"/>
      <c r="AQ164" s="234" t="s">
        <v>333</v>
      </c>
    </row>
    <row r="165" spans="1:43">
      <c r="A165" s="12">
        <v>162</v>
      </c>
      <c r="B165" s="21" t="s">
        <v>4640</v>
      </c>
      <c r="C165" s="5" t="s">
        <v>988</v>
      </c>
      <c r="D165" s="5" t="s">
        <v>4641</v>
      </c>
      <c r="E165" s="5" t="s">
        <v>4642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11" t="s">
        <v>46</v>
      </c>
      <c r="Q165" s="5">
        <v>187.06460000000001</v>
      </c>
      <c r="R165" s="5">
        <f t="shared" si="2"/>
        <v>187.06460000000001</v>
      </c>
      <c r="S165" s="5" t="s">
        <v>344</v>
      </c>
      <c r="T165" s="12">
        <v>162</v>
      </c>
      <c r="U165" s="243" t="s">
        <v>991</v>
      </c>
      <c r="V165" s="232" t="s">
        <v>988</v>
      </c>
      <c r="W165" s="232">
        <v>-8891</v>
      </c>
      <c r="X165" s="232">
        <v>-579.1</v>
      </c>
      <c r="Y165" s="233" t="s">
        <v>49</v>
      </c>
      <c r="Z165" s="87" t="s">
        <v>50</v>
      </c>
      <c r="AA165" s="233" t="s">
        <v>51</v>
      </c>
      <c r="AB165" s="233" t="s">
        <v>934</v>
      </c>
      <c r="AC165" s="233">
        <v>1</v>
      </c>
      <c r="AD165" s="233" t="s">
        <v>226</v>
      </c>
      <c r="AE165" s="234"/>
      <c r="AF165" s="234"/>
      <c r="AG165" s="234"/>
      <c r="AH165" s="233"/>
      <c r="AI165" s="233"/>
      <c r="AJ165" s="233" t="s">
        <v>935</v>
      </c>
      <c r="AK165" s="233">
        <v>1500</v>
      </c>
      <c r="AL165" s="233"/>
      <c r="AM165" s="233"/>
      <c r="AN165" s="233"/>
      <c r="AO165" s="233"/>
      <c r="AP165" s="234"/>
      <c r="AQ165" s="234" t="s">
        <v>936</v>
      </c>
    </row>
    <row r="166" spans="1:43">
      <c r="A166" s="12">
        <v>163</v>
      </c>
      <c r="B166" s="21" t="s">
        <v>4643</v>
      </c>
      <c r="C166" s="5" t="s">
        <v>993</v>
      </c>
      <c r="D166" s="5" t="s">
        <v>4644</v>
      </c>
      <c r="E166" s="5" t="s">
        <v>4645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11" t="s">
        <v>46</v>
      </c>
      <c r="Q166" s="5">
        <v>186.0728</v>
      </c>
      <c r="R166" s="5">
        <f t="shared" si="2"/>
        <v>186.0728</v>
      </c>
      <c r="S166" s="5" t="s">
        <v>338</v>
      </c>
      <c r="T166" s="12">
        <v>163</v>
      </c>
      <c r="U166" s="243" t="s">
        <v>996</v>
      </c>
      <c r="V166" s="232" t="s">
        <v>993</v>
      </c>
      <c r="W166" s="232">
        <v>-9602.2000000000007</v>
      </c>
      <c r="X166" s="232">
        <v>-579.1</v>
      </c>
      <c r="Y166" s="233" t="s">
        <v>49</v>
      </c>
      <c r="Z166" s="87" t="s">
        <v>50</v>
      </c>
      <c r="AA166" s="233" t="s">
        <v>51</v>
      </c>
      <c r="AB166" s="233" t="s">
        <v>934</v>
      </c>
      <c r="AC166" s="233">
        <v>1</v>
      </c>
      <c r="AD166" s="233" t="s">
        <v>226</v>
      </c>
      <c r="AE166" s="234"/>
      <c r="AF166" s="234"/>
      <c r="AG166" s="234"/>
      <c r="AH166" s="233"/>
      <c r="AI166" s="233"/>
      <c r="AJ166" s="233" t="s">
        <v>935</v>
      </c>
      <c r="AK166" s="233">
        <v>1500</v>
      </c>
      <c r="AL166" s="233"/>
      <c r="AM166" s="233"/>
      <c r="AN166" s="233"/>
      <c r="AO166" s="233"/>
      <c r="AP166" s="234"/>
      <c r="AQ166" s="234" t="s">
        <v>936</v>
      </c>
    </row>
    <row r="167" spans="1:43">
      <c r="A167" s="12">
        <v>164</v>
      </c>
      <c r="B167" s="21" t="s">
        <v>4646</v>
      </c>
      <c r="C167" s="5" t="s">
        <v>998</v>
      </c>
      <c r="D167" s="5" t="s">
        <v>4647</v>
      </c>
      <c r="E167" s="5" t="s">
        <v>4648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11" t="s">
        <v>46</v>
      </c>
      <c r="Q167" s="5">
        <v>204.36539999999999</v>
      </c>
      <c r="R167" s="5">
        <f t="shared" si="2"/>
        <v>204.36539999999999</v>
      </c>
      <c r="S167" s="5" t="s">
        <v>395</v>
      </c>
      <c r="T167" s="12">
        <v>164</v>
      </c>
      <c r="U167" s="243" t="s">
        <v>1001</v>
      </c>
      <c r="V167" s="232" t="s">
        <v>998</v>
      </c>
      <c r="W167" s="232">
        <v>-10313.4</v>
      </c>
      <c r="X167" s="232">
        <v>-579.1</v>
      </c>
      <c r="Y167" s="233" t="s">
        <v>49</v>
      </c>
      <c r="Z167" s="87" t="s">
        <v>50</v>
      </c>
      <c r="AA167" s="233" t="s">
        <v>51</v>
      </c>
      <c r="AB167" s="234"/>
      <c r="AC167" s="233">
        <v>1</v>
      </c>
      <c r="AD167" s="233" t="s">
        <v>226</v>
      </c>
      <c r="AE167" s="234"/>
      <c r="AF167" s="234"/>
      <c r="AG167" s="234"/>
      <c r="AH167" s="233"/>
      <c r="AI167" s="233"/>
      <c r="AJ167" s="233"/>
      <c r="AK167" s="233"/>
      <c r="AL167" s="233"/>
      <c r="AM167" s="233"/>
      <c r="AN167" s="233"/>
      <c r="AO167" s="233"/>
      <c r="AP167" s="234"/>
      <c r="AQ167" s="234" t="s">
        <v>333</v>
      </c>
    </row>
    <row r="168" spans="1:43">
      <c r="A168" s="12">
        <v>165</v>
      </c>
      <c r="B168" s="21" t="s">
        <v>4649</v>
      </c>
      <c r="C168" s="5" t="s">
        <v>1003</v>
      </c>
      <c r="D168" s="5" t="s">
        <v>4650</v>
      </c>
      <c r="E168" s="5" t="s">
        <v>4651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11" t="s">
        <v>46</v>
      </c>
      <c r="Q168" s="5">
        <v>179.86269999999999</v>
      </c>
      <c r="R168" s="5">
        <f t="shared" si="2"/>
        <v>179.86269999999999</v>
      </c>
      <c r="S168" s="5" t="s">
        <v>67</v>
      </c>
      <c r="T168" s="12">
        <v>165</v>
      </c>
      <c r="U168" s="243" t="s">
        <v>1006</v>
      </c>
      <c r="V168" s="232" t="s">
        <v>1003</v>
      </c>
      <c r="W168" s="232">
        <v>-11024.6</v>
      </c>
      <c r="X168" s="232">
        <v>-579.1</v>
      </c>
      <c r="Y168" s="233" t="s">
        <v>49</v>
      </c>
      <c r="Z168" s="87" t="s">
        <v>50</v>
      </c>
      <c r="AA168" s="233" t="s">
        <v>51</v>
      </c>
      <c r="AB168" s="234"/>
      <c r="AC168" s="233">
        <v>1</v>
      </c>
      <c r="AD168" s="233" t="s">
        <v>226</v>
      </c>
      <c r="AE168" s="234"/>
      <c r="AF168" s="234"/>
      <c r="AG168" s="234"/>
      <c r="AH168" s="233"/>
      <c r="AI168" s="233"/>
      <c r="AJ168" s="233"/>
      <c r="AK168" s="233"/>
      <c r="AL168" s="233"/>
      <c r="AM168" s="233"/>
      <c r="AN168" s="233"/>
      <c r="AO168" s="233"/>
      <c r="AP168" s="234"/>
      <c r="AQ168" s="234" t="s">
        <v>333</v>
      </c>
    </row>
    <row r="169" spans="1:43">
      <c r="A169" s="12">
        <v>166</v>
      </c>
      <c r="B169" s="21" t="s">
        <v>4652</v>
      </c>
      <c r="C169" s="5" t="s">
        <v>1008</v>
      </c>
      <c r="D169" s="5" t="s">
        <v>4653</v>
      </c>
      <c r="E169" s="5" t="s">
        <v>4654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11" t="s">
        <v>46</v>
      </c>
      <c r="Q169" s="5">
        <v>150.41499999999999</v>
      </c>
      <c r="R169" s="5">
        <f t="shared" si="2"/>
        <v>150.41499999999999</v>
      </c>
      <c r="S169" s="5" t="s">
        <v>47</v>
      </c>
      <c r="T169" s="12">
        <v>166</v>
      </c>
      <c r="U169" s="243" t="s">
        <v>1011</v>
      </c>
      <c r="V169" s="232" t="s">
        <v>1008</v>
      </c>
      <c r="W169" s="232">
        <v>-6950.9</v>
      </c>
      <c r="X169" s="232">
        <v>-1353.8</v>
      </c>
      <c r="Y169" s="233" t="s">
        <v>49</v>
      </c>
      <c r="Z169" s="87" t="s">
        <v>50</v>
      </c>
      <c r="AA169" s="233" t="s">
        <v>51</v>
      </c>
      <c r="AB169" s="234"/>
      <c r="AC169" s="233">
        <v>1</v>
      </c>
      <c r="AD169" s="233" t="s">
        <v>226</v>
      </c>
      <c r="AE169" s="234"/>
      <c r="AF169" s="234"/>
      <c r="AG169" s="234"/>
      <c r="AH169" s="233"/>
      <c r="AI169" s="233"/>
      <c r="AJ169" s="233"/>
      <c r="AK169" s="233"/>
      <c r="AL169" s="233"/>
      <c r="AM169" s="233"/>
      <c r="AN169" s="233"/>
      <c r="AO169" s="233"/>
      <c r="AP169" s="234"/>
      <c r="AQ169" s="234" t="s">
        <v>333</v>
      </c>
    </row>
    <row r="170" spans="1:43">
      <c r="A170" s="12">
        <v>167</v>
      </c>
      <c r="B170" s="21" t="s">
        <v>4655</v>
      </c>
      <c r="C170" s="5" t="s">
        <v>1013</v>
      </c>
      <c r="D170" s="5" t="s">
        <v>4656</v>
      </c>
      <c r="E170" s="5" t="s">
        <v>4657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11" t="s">
        <v>46</v>
      </c>
      <c r="Q170" s="5">
        <v>164.17959999999999</v>
      </c>
      <c r="R170" s="5">
        <f t="shared" si="2"/>
        <v>164.17959999999999</v>
      </c>
      <c r="S170" s="5" t="s">
        <v>395</v>
      </c>
      <c r="T170" s="12">
        <v>167</v>
      </c>
      <c r="U170" s="243" t="s">
        <v>1016</v>
      </c>
      <c r="V170" s="232" t="s">
        <v>1013</v>
      </c>
      <c r="W170" s="232">
        <v>-6227</v>
      </c>
      <c r="X170" s="232">
        <v>-1353.8</v>
      </c>
      <c r="Y170" s="233" t="s">
        <v>49</v>
      </c>
      <c r="Z170" s="87" t="s">
        <v>50</v>
      </c>
      <c r="AA170" s="233" t="s">
        <v>51</v>
      </c>
      <c r="AB170" s="234"/>
      <c r="AC170" s="233">
        <v>1</v>
      </c>
      <c r="AD170" s="233" t="s">
        <v>226</v>
      </c>
      <c r="AE170" s="234"/>
      <c r="AF170" s="234"/>
      <c r="AG170" s="234"/>
      <c r="AH170" s="233"/>
      <c r="AI170" s="233"/>
      <c r="AJ170" s="233"/>
      <c r="AK170" s="233"/>
      <c r="AL170" s="233"/>
      <c r="AM170" s="233"/>
      <c r="AN170" s="233"/>
      <c r="AO170" s="233"/>
      <c r="AP170" s="234"/>
      <c r="AQ170" s="234" t="s">
        <v>333</v>
      </c>
    </row>
    <row r="171" spans="1:43">
      <c r="A171" s="12">
        <v>168</v>
      </c>
      <c r="B171" s="21" t="s">
        <v>4658</v>
      </c>
      <c r="C171" s="5" t="s">
        <v>1018</v>
      </c>
      <c r="D171" s="5" t="s">
        <v>4659</v>
      </c>
      <c r="E171" s="5" t="s">
        <v>4660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11" t="s">
        <v>46</v>
      </c>
      <c r="Q171" s="5">
        <v>127.44029999999999</v>
      </c>
      <c r="R171" s="5">
        <f t="shared" si="2"/>
        <v>127.44029999999999</v>
      </c>
      <c r="S171" s="5" t="s">
        <v>60</v>
      </c>
      <c r="T171" s="12">
        <v>168</v>
      </c>
      <c r="U171" s="243" t="s">
        <v>1021</v>
      </c>
      <c r="V171" s="232" t="s">
        <v>1018</v>
      </c>
      <c r="W171" s="232">
        <v>-12702.5</v>
      </c>
      <c r="X171" s="232">
        <v>-2729.2</v>
      </c>
      <c r="Y171" s="233" t="s">
        <v>49</v>
      </c>
      <c r="Z171" s="87" t="s">
        <v>50</v>
      </c>
      <c r="AA171" s="233" t="s">
        <v>51</v>
      </c>
      <c r="AB171" s="234"/>
      <c r="AC171" s="233">
        <v>1</v>
      </c>
      <c r="AD171" s="233" t="s">
        <v>226</v>
      </c>
      <c r="AE171" s="234"/>
      <c r="AF171" s="234"/>
      <c r="AG171" s="234"/>
      <c r="AH171" s="233"/>
      <c r="AI171" s="233"/>
      <c r="AJ171" s="233"/>
      <c r="AK171" s="233"/>
      <c r="AL171" s="233"/>
      <c r="AM171" s="233"/>
      <c r="AN171" s="233"/>
      <c r="AO171" s="233"/>
      <c r="AP171" s="234"/>
      <c r="AQ171" s="234" t="s">
        <v>333</v>
      </c>
    </row>
    <row r="172" spans="1:43">
      <c r="A172" s="12">
        <v>169</v>
      </c>
      <c r="B172" s="21" t="s">
        <v>4661</v>
      </c>
      <c r="C172" s="5" t="s">
        <v>1023</v>
      </c>
      <c r="D172" s="5" t="s">
        <v>4662</v>
      </c>
      <c r="E172" s="5" t="s">
        <v>4663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11" t="s">
        <v>46</v>
      </c>
      <c r="Q172" s="5">
        <v>211.8708</v>
      </c>
      <c r="R172" s="5">
        <f t="shared" si="2"/>
        <v>211.8708</v>
      </c>
      <c r="S172" s="5" t="s">
        <v>395</v>
      </c>
      <c r="T172" s="12">
        <v>169</v>
      </c>
      <c r="U172" s="243" t="s">
        <v>1026</v>
      </c>
      <c r="V172" s="232" t="s">
        <v>1023</v>
      </c>
      <c r="W172" s="232">
        <v>-7674.8</v>
      </c>
      <c r="X172" s="232">
        <v>-1353.8</v>
      </c>
      <c r="Y172" s="233" t="s">
        <v>49</v>
      </c>
      <c r="Z172" s="87" t="s">
        <v>50</v>
      </c>
      <c r="AA172" s="233" t="s">
        <v>51</v>
      </c>
      <c r="AB172" s="234"/>
      <c r="AC172" s="233">
        <v>1</v>
      </c>
      <c r="AD172" s="233" t="s">
        <v>226</v>
      </c>
      <c r="AE172" s="234"/>
      <c r="AF172" s="234"/>
      <c r="AG172" s="234"/>
      <c r="AH172" s="233"/>
      <c r="AI172" s="233"/>
      <c r="AJ172" s="233"/>
      <c r="AK172" s="233"/>
      <c r="AL172" s="233"/>
      <c r="AM172" s="233"/>
      <c r="AN172" s="233"/>
      <c r="AO172" s="233"/>
      <c r="AP172" s="234"/>
      <c r="AQ172" s="234" t="s">
        <v>333</v>
      </c>
    </row>
    <row r="173" spans="1:43">
      <c r="A173" s="12">
        <v>170</v>
      </c>
      <c r="B173" s="21" t="s">
        <v>4664</v>
      </c>
      <c r="C173" s="5" t="s">
        <v>1028</v>
      </c>
      <c r="D173" s="5" t="s">
        <v>4665</v>
      </c>
      <c r="E173" s="5" t="s">
        <v>4666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11" t="s">
        <v>46</v>
      </c>
      <c r="Q173" s="5">
        <v>214.69759999999999</v>
      </c>
      <c r="R173" s="5">
        <f t="shared" si="2"/>
        <v>214.69759999999999</v>
      </c>
      <c r="S173" s="5" t="s">
        <v>344</v>
      </c>
      <c r="T173" s="12">
        <v>170</v>
      </c>
      <c r="U173" s="243" t="s">
        <v>1031</v>
      </c>
      <c r="V173" s="232" t="s">
        <v>1028</v>
      </c>
      <c r="W173" s="232">
        <v>-7674.8</v>
      </c>
      <c r="X173" s="232">
        <v>-2344.5</v>
      </c>
      <c r="Y173" s="233" t="s">
        <v>49</v>
      </c>
      <c r="Z173" s="87" t="s">
        <v>50</v>
      </c>
      <c r="AA173" s="233" t="s">
        <v>51</v>
      </c>
      <c r="AB173" s="233" t="s">
        <v>934</v>
      </c>
      <c r="AC173" s="233">
        <v>1</v>
      </c>
      <c r="AD173" s="233" t="s">
        <v>226</v>
      </c>
      <c r="AE173" s="234"/>
      <c r="AF173" s="234"/>
      <c r="AG173" s="234"/>
      <c r="AH173" s="233"/>
      <c r="AI173" s="233"/>
      <c r="AJ173" s="233" t="s">
        <v>935</v>
      </c>
      <c r="AK173" s="233">
        <v>1500</v>
      </c>
      <c r="AL173" s="233"/>
      <c r="AM173" s="233"/>
      <c r="AN173" s="233"/>
      <c r="AO173" s="233"/>
      <c r="AP173" s="234"/>
      <c r="AQ173" s="234" t="s">
        <v>936</v>
      </c>
    </row>
    <row r="174" spans="1:43">
      <c r="A174" s="12">
        <v>171</v>
      </c>
      <c r="B174" s="21" t="s">
        <v>4667</v>
      </c>
      <c r="C174" s="5" t="s">
        <v>1033</v>
      </c>
      <c r="D174" s="5" t="s">
        <v>4668</v>
      </c>
      <c r="E174" s="5" t="s">
        <v>4669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11" t="s">
        <v>46</v>
      </c>
      <c r="Q174" s="5">
        <v>205.77780000000001</v>
      </c>
      <c r="R174" s="5">
        <f t="shared" si="2"/>
        <v>205.77780000000001</v>
      </c>
      <c r="S174" s="5" t="s">
        <v>706</v>
      </c>
      <c r="T174" s="12">
        <v>171</v>
      </c>
      <c r="U174" s="243" t="s">
        <v>1036</v>
      </c>
      <c r="V174" s="232" t="s">
        <v>1033</v>
      </c>
      <c r="W174" s="232">
        <v>-6950.9</v>
      </c>
      <c r="X174" s="232">
        <v>-2344.5</v>
      </c>
      <c r="Y174" s="233" t="s">
        <v>49</v>
      </c>
      <c r="Z174" s="87" t="s">
        <v>50</v>
      </c>
      <c r="AA174" s="233" t="s">
        <v>51</v>
      </c>
      <c r="AB174" s="233" t="s">
        <v>934</v>
      </c>
      <c r="AC174" s="233">
        <v>1</v>
      </c>
      <c r="AD174" s="233" t="s">
        <v>226</v>
      </c>
      <c r="AE174" s="234"/>
      <c r="AF174" s="234"/>
      <c r="AG174" s="234"/>
      <c r="AH174" s="233"/>
      <c r="AI174" s="233"/>
      <c r="AJ174" s="233" t="s">
        <v>935</v>
      </c>
      <c r="AK174" s="233">
        <v>1500</v>
      </c>
      <c r="AL174" s="233"/>
      <c r="AM174" s="233"/>
      <c r="AN174" s="233"/>
      <c r="AO174" s="233"/>
      <c r="AP174" s="234"/>
      <c r="AQ174" s="234" t="s">
        <v>936</v>
      </c>
    </row>
    <row r="175" spans="1:43">
      <c r="A175" s="12">
        <v>172</v>
      </c>
      <c r="B175" s="21" t="s">
        <v>4670</v>
      </c>
      <c r="C175" s="5" t="s">
        <v>1038</v>
      </c>
      <c r="D175" s="5" t="s">
        <v>4671</v>
      </c>
      <c r="E175" s="5" t="s">
        <v>4672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11" t="s">
        <v>46</v>
      </c>
      <c r="Q175" s="5">
        <v>205.6583</v>
      </c>
      <c r="R175" s="5">
        <f t="shared" si="2"/>
        <v>205.6583</v>
      </c>
      <c r="S175" s="5" t="s">
        <v>344</v>
      </c>
      <c r="T175" s="12">
        <v>172</v>
      </c>
      <c r="U175" s="243" t="s">
        <v>1041</v>
      </c>
      <c r="V175" s="232" t="s">
        <v>1038</v>
      </c>
      <c r="W175" s="232">
        <v>-8982.5</v>
      </c>
      <c r="X175" s="232">
        <v>-2014.2</v>
      </c>
      <c r="Y175" s="233" t="s">
        <v>49</v>
      </c>
      <c r="Z175" s="87" t="s">
        <v>50</v>
      </c>
      <c r="AA175" s="233" t="s">
        <v>51</v>
      </c>
      <c r="AB175" s="233" t="s">
        <v>934</v>
      </c>
      <c r="AC175" s="233">
        <v>1</v>
      </c>
      <c r="AD175" s="233" t="s">
        <v>226</v>
      </c>
      <c r="AE175" s="234"/>
      <c r="AF175" s="234"/>
      <c r="AG175" s="234"/>
      <c r="AH175" s="233"/>
      <c r="AI175" s="233"/>
      <c r="AJ175" s="233" t="s">
        <v>935</v>
      </c>
      <c r="AK175" s="233">
        <v>1500</v>
      </c>
      <c r="AL175" s="233"/>
      <c r="AM175" s="233"/>
      <c r="AN175" s="233"/>
      <c r="AO175" s="233"/>
      <c r="AP175" s="234"/>
      <c r="AQ175" s="234" t="s">
        <v>936</v>
      </c>
    </row>
    <row r="176" spans="1:43">
      <c r="A176" s="12">
        <v>173</v>
      </c>
      <c r="B176" s="21" t="s">
        <v>4673</v>
      </c>
      <c r="C176" s="5" t="s">
        <v>1043</v>
      </c>
      <c r="D176" s="5" t="s">
        <v>4674</v>
      </c>
      <c r="E176" s="5" t="s">
        <v>4675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11" t="s">
        <v>46</v>
      </c>
      <c r="Q176" s="5">
        <v>123.33629999999999</v>
      </c>
      <c r="R176" s="5">
        <f t="shared" si="2"/>
        <v>123.33629999999999</v>
      </c>
      <c r="S176" s="5" t="s">
        <v>395</v>
      </c>
      <c r="T176" s="12">
        <v>173</v>
      </c>
      <c r="U176" s="244" t="s">
        <v>1046</v>
      </c>
      <c r="V176" s="232" t="s">
        <v>1043</v>
      </c>
      <c r="W176" s="232">
        <v>10883.1</v>
      </c>
      <c r="X176" s="232">
        <v>8100</v>
      </c>
      <c r="Y176" s="233" t="s">
        <v>49</v>
      </c>
      <c r="Z176" s="87" t="s">
        <v>50</v>
      </c>
      <c r="AA176" s="233" t="s">
        <v>51</v>
      </c>
      <c r="AB176" s="234"/>
      <c r="AC176" s="233">
        <v>1</v>
      </c>
      <c r="AD176" s="233" t="s">
        <v>226</v>
      </c>
      <c r="AE176" s="234"/>
      <c r="AF176" s="234"/>
      <c r="AG176" s="234"/>
      <c r="AH176" s="233"/>
      <c r="AI176" s="233"/>
      <c r="AJ176" s="233"/>
      <c r="AK176" s="233"/>
      <c r="AL176" s="233"/>
      <c r="AM176" s="233"/>
      <c r="AN176" s="233"/>
      <c r="AO176" s="233"/>
      <c r="AP176" s="234"/>
      <c r="AQ176" s="234" t="s">
        <v>333</v>
      </c>
    </row>
    <row r="177" spans="1:43">
      <c r="A177" s="12">
        <v>174</v>
      </c>
      <c r="B177" s="21" t="s">
        <v>4676</v>
      </c>
      <c r="C177" s="5" t="s">
        <v>1048</v>
      </c>
      <c r="D177" s="5" t="s">
        <v>4677</v>
      </c>
      <c r="E177" s="5" t="s">
        <v>4678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11" t="s">
        <v>46</v>
      </c>
      <c r="Q177" s="5">
        <v>94.855900000000005</v>
      </c>
      <c r="R177" s="5">
        <f t="shared" si="2"/>
        <v>94.855900000000005</v>
      </c>
      <c r="S177" s="5" t="s">
        <v>60</v>
      </c>
      <c r="T177" s="12">
        <v>174</v>
      </c>
      <c r="U177" s="244" t="s">
        <v>1051</v>
      </c>
      <c r="V177" s="232" t="s">
        <v>1048</v>
      </c>
      <c r="W177" s="232">
        <v>10689.6</v>
      </c>
      <c r="X177" s="232">
        <v>10162.9</v>
      </c>
      <c r="Y177" s="233" t="s">
        <v>49</v>
      </c>
      <c r="Z177" s="87" t="s">
        <v>50</v>
      </c>
      <c r="AA177" s="233" t="s">
        <v>51</v>
      </c>
      <c r="AB177" s="234"/>
      <c r="AC177" s="233">
        <v>1</v>
      </c>
      <c r="AD177" s="233" t="s">
        <v>226</v>
      </c>
      <c r="AE177" s="234"/>
      <c r="AF177" s="234"/>
      <c r="AG177" s="234"/>
      <c r="AH177" s="233"/>
      <c r="AI177" s="233"/>
      <c r="AJ177" s="233"/>
      <c r="AK177" s="233"/>
      <c r="AL177" s="233"/>
      <c r="AM177" s="233"/>
      <c r="AN177" s="233"/>
      <c r="AO177" s="233"/>
      <c r="AP177" s="234"/>
      <c r="AQ177" s="234" t="s">
        <v>333</v>
      </c>
    </row>
    <row r="178" spans="1:43">
      <c r="A178" s="12">
        <v>175</v>
      </c>
      <c r="B178" s="21" t="s">
        <v>4679</v>
      </c>
      <c r="C178" s="5" t="s">
        <v>1053</v>
      </c>
      <c r="D178" s="5" t="s">
        <v>4680</v>
      </c>
      <c r="E178" s="5" t="s">
        <v>4681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11" t="s">
        <v>46</v>
      </c>
      <c r="Q178" s="5">
        <v>98.837199999999996</v>
      </c>
      <c r="R178" s="5">
        <f t="shared" si="2"/>
        <v>98.837199999999996</v>
      </c>
      <c r="S178" s="5" t="s">
        <v>67</v>
      </c>
      <c r="T178" s="12">
        <v>175</v>
      </c>
      <c r="U178" s="244" t="s">
        <v>1056</v>
      </c>
      <c r="V178" s="232" t="s">
        <v>1053</v>
      </c>
      <c r="W178" s="232">
        <v>8462.2999999999993</v>
      </c>
      <c r="X178" s="232">
        <v>10665.3</v>
      </c>
      <c r="Y178" s="233" t="s">
        <v>49</v>
      </c>
      <c r="Z178" s="87" t="s">
        <v>50</v>
      </c>
      <c r="AA178" s="233" t="s">
        <v>51</v>
      </c>
      <c r="AB178" s="234"/>
      <c r="AC178" s="233">
        <v>1</v>
      </c>
      <c r="AD178" s="233" t="s">
        <v>226</v>
      </c>
      <c r="AE178" s="234"/>
      <c r="AF178" s="234"/>
      <c r="AG178" s="234"/>
      <c r="AH178" s="233"/>
      <c r="AI178" s="233"/>
      <c r="AJ178" s="233"/>
      <c r="AK178" s="233"/>
      <c r="AL178" s="233"/>
      <c r="AM178" s="233"/>
      <c r="AN178" s="233"/>
      <c r="AO178" s="233"/>
      <c r="AP178" s="234"/>
      <c r="AQ178" s="234" t="s">
        <v>333</v>
      </c>
    </row>
    <row r="179" spans="1:43">
      <c r="A179" s="12">
        <v>176</v>
      </c>
      <c r="B179" s="21" t="s">
        <v>4682</v>
      </c>
      <c r="C179" s="5" t="s">
        <v>1058</v>
      </c>
      <c r="D179" s="5" t="s">
        <v>4683</v>
      </c>
      <c r="E179" s="5" t="s">
        <v>4684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11" t="s">
        <v>46</v>
      </c>
      <c r="Q179" s="5">
        <v>103.249</v>
      </c>
      <c r="R179" s="5">
        <f t="shared" si="2"/>
        <v>103.249</v>
      </c>
      <c r="S179" s="5" t="s">
        <v>74</v>
      </c>
      <c r="T179" s="12">
        <v>176</v>
      </c>
      <c r="U179" s="244" t="s">
        <v>1061</v>
      </c>
      <c r="V179" s="232" t="s">
        <v>1058</v>
      </c>
      <c r="W179" s="232">
        <v>8492.5</v>
      </c>
      <c r="X179" s="232">
        <v>10162.9</v>
      </c>
      <c r="Y179" s="233" t="s">
        <v>49</v>
      </c>
      <c r="Z179" s="87" t="s">
        <v>50</v>
      </c>
      <c r="AA179" s="233" t="s">
        <v>51</v>
      </c>
      <c r="AB179" s="234"/>
      <c r="AC179" s="233">
        <v>1</v>
      </c>
      <c r="AD179" s="233" t="s">
        <v>226</v>
      </c>
      <c r="AE179" s="234"/>
      <c r="AF179" s="234"/>
      <c r="AG179" s="234"/>
      <c r="AH179" s="233"/>
      <c r="AI179" s="233"/>
      <c r="AJ179" s="233"/>
      <c r="AK179" s="233"/>
      <c r="AL179" s="233"/>
      <c r="AM179" s="233"/>
      <c r="AN179" s="233"/>
      <c r="AO179" s="233"/>
      <c r="AP179" s="234"/>
      <c r="AQ179" s="234" t="s">
        <v>333</v>
      </c>
    </row>
    <row r="180" spans="1:43">
      <c r="A180" s="12">
        <v>177</v>
      </c>
      <c r="B180" s="21" t="s">
        <v>4685</v>
      </c>
      <c r="C180" s="5" t="s">
        <v>1063</v>
      </c>
      <c r="D180" s="5" t="s">
        <v>4686</v>
      </c>
      <c r="E180" s="5" t="s">
        <v>4687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11" t="s">
        <v>46</v>
      </c>
      <c r="Q180" s="5">
        <v>104.03959999999999</v>
      </c>
      <c r="R180" s="5">
        <f t="shared" si="2"/>
        <v>104.03959999999999</v>
      </c>
      <c r="S180" s="5" t="s">
        <v>67</v>
      </c>
      <c r="T180" s="12">
        <v>177</v>
      </c>
      <c r="U180" s="244" t="s">
        <v>1066</v>
      </c>
      <c r="V180" s="232" t="s">
        <v>1063</v>
      </c>
      <c r="W180" s="232">
        <v>11374.8</v>
      </c>
      <c r="X180" s="232">
        <v>9478.2000000000007</v>
      </c>
      <c r="Y180" s="233" t="s">
        <v>49</v>
      </c>
      <c r="Z180" s="87" t="s">
        <v>50</v>
      </c>
      <c r="AA180" s="233" t="s">
        <v>51</v>
      </c>
      <c r="AB180" s="234"/>
      <c r="AC180" s="233">
        <v>1</v>
      </c>
      <c r="AD180" s="233" t="s">
        <v>226</v>
      </c>
      <c r="AE180" s="234"/>
      <c r="AF180" s="234"/>
      <c r="AG180" s="234"/>
      <c r="AH180" s="233"/>
      <c r="AI180" s="233"/>
      <c r="AJ180" s="233"/>
      <c r="AK180" s="233"/>
      <c r="AL180" s="233"/>
      <c r="AM180" s="233"/>
      <c r="AN180" s="233"/>
      <c r="AO180" s="233"/>
      <c r="AP180" s="234"/>
      <c r="AQ180" s="234" t="s">
        <v>333</v>
      </c>
    </row>
    <row r="181" spans="1:43">
      <c r="A181" s="12">
        <v>178</v>
      </c>
      <c r="B181" s="21" t="s">
        <v>4688</v>
      </c>
      <c r="C181" s="5" t="s">
        <v>1068</v>
      </c>
      <c r="D181" s="5" t="s">
        <v>4689</v>
      </c>
      <c r="E181" s="5" t="s">
        <v>4690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11" t="s">
        <v>46</v>
      </c>
      <c r="Q181" s="5">
        <v>128.6583</v>
      </c>
      <c r="R181" s="5">
        <f t="shared" si="2"/>
        <v>128.6583</v>
      </c>
      <c r="S181" s="5" t="s">
        <v>395</v>
      </c>
      <c r="T181" s="12">
        <v>178</v>
      </c>
      <c r="U181" s="244" t="s">
        <v>1071</v>
      </c>
      <c r="V181" s="232" t="s">
        <v>1068</v>
      </c>
      <c r="W181" s="232">
        <v>9665.7000000000007</v>
      </c>
      <c r="X181" s="232">
        <v>6346.5</v>
      </c>
      <c r="Y181" s="233" t="s">
        <v>49</v>
      </c>
      <c r="Z181" s="87" t="s">
        <v>50</v>
      </c>
      <c r="AA181" s="233" t="s">
        <v>51</v>
      </c>
      <c r="AB181" s="234"/>
      <c r="AC181" s="233">
        <v>1</v>
      </c>
      <c r="AD181" s="233" t="s">
        <v>226</v>
      </c>
      <c r="AE181" s="234"/>
      <c r="AF181" s="234"/>
      <c r="AG181" s="234"/>
      <c r="AH181" s="233"/>
      <c r="AI181" s="233"/>
      <c r="AJ181" s="233"/>
      <c r="AK181" s="233"/>
      <c r="AL181" s="233"/>
      <c r="AM181" s="233"/>
      <c r="AN181" s="233"/>
      <c r="AO181" s="233"/>
      <c r="AP181" s="234"/>
      <c r="AQ181" s="234" t="s">
        <v>333</v>
      </c>
    </row>
    <row r="182" spans="1:43">
      <c r="A182" s="12">
        <v>179</v>
      </c>
      <c r="B182" s="21" t="s">
        <v>4691</v>
      </c>
      <c r="C182" s="5" t="s">
        <v>1073</v>
      </c>
      <c r="D182" s="5" t="s">
        <v>4692</v>
      </c>
      <c r="E182" s="5" t="s">
        <v>4693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11" t="s">
        <v>46</v>
      </c>
      <c r="Q182" s="5">
        <v>101.5592</v>
      </c>
      <c r="R182" s="5">
        <f t="shared" si="2"/>
        <v>101.5592</v>
      </c>
      <c r="S182" s="5" t="s">
        <v>60</v>
      </c>
      <c r="T182" s="12">
        <v>179</v>
      </c>
      <c r="U182" s="244" t="s">
        <v>1076</v>
      </c>
      <c r="V182" s="232" t="s">
        <v>1073</v>
      </c>
      <c r="W182" s="232">
        <v>9981.2000000000007</v>
      </c>
      <c r="X182" s="232">
        <v>10536.4</v>
      </c>
      <c r="Y182" s="233" t="s">
        <v>49</v>
      </c>
      <c r="Z182" s="87" t="s">
        <v>50</v>
      </c>
      <c r="AA182" s="233" t="s">
        <v>51</v>
      </c>
      <c r="AB182" s="234"/>
      <c r="AC182" s="233">
        <v>1</v>
      </c>
      <c r="AD182" s="233" t="s">
        <v>226</v>
      </c>
      <c r="AE182" s="234"/>
      <c r="AF182" s="234"/>
      <c r="AG182" s="234"/>
      <c r="AH182" s="233"/>
      <c r="AI182" s="233"/>
      <c r="AJ182" s="233"/>
      <c r="AK182" s="233"/>
      <c r="AL182" s="233"/>
      <c r="AM182" s="233"/>
      <c r="AN182" s="233"/>
      <c r="AO182" s="233"/>
      <c r="AP182" s="234"/>
      <c r="AQ182" s="234" t="s">
        <v>333</v>
      </c>
    </row>
    <row r="183" spans="1:43">
      <c r="A183" s="12">
        <v>180</v>
      </c>
      <c r="B183" s="21" t="s">
        <v>4694</v>
      </c>
      <c r="C183" s="5" t="s">
        <v>1078</v>
      </c>
      <c r="D183" s="5" t="s">
        <v>4695</v>
      </c>
      <c r="E183" s="5" t="s">
        <v>4696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11" t="s">
        <v>46</v>
      </c>
      <c r="Q183" s="5">
        <v>110.2336</v>
      </c>
      <c r="R183" s="5">
        <f t="shared" si="2"/>
        <v>110.2336</v>
      </c>
      <c r="S183" s="5" t="s">
        <v>67</v>
      </c>
      <c r="T183" s="12">
        <v>180</v>
      </c>
      <c r="U183" s="244" t="s">
        <v>1081</v>
      </c>
      <c r="V183" s="232" t="s">
        <v>1078</v>
      </c>
      <c r="W183" s="232">
        <v>8498.2000000000007</v>
      </c>
      <c r="X183" s="232">
        <v>7554.1</v>
      </c>
      <c r="Y183" s="233" t="s">
        <v>49</v>
      </c>
      <c r="Z183" s="87" t="s">
        <v>50</v>
      </c>
      <c r="AA183" s="233" t="s">
        <v>51</v>
      </c>
      <c r="AB183" s="234"/>
      <c r="AC183" s="233">
        <v>1</v>
      </c>
      <c r="AD183" s="233" t="s">
        <v>226</v>
      </c>
      <c r="AE183" s="234"/>
      <c r="AF183" s="234"/>
      <c r="AG183" s="234"/>
      <c r="AH183" s="233"/>
      <c r="AI183" s="233"/>
      <c r="AJ183" s="233"/>
      <c r="AK183" s="233"/>
      <c r="AL183" s="233"/>
      <c r="AM183" s="233"/>
      <c r="AN183" s="233"/>
      <c r="AO183" s="233"/>
      <c r="AP183" s="234"/>
      <c r="AQ183" s="234" t="s">
        <v>333</v>
      </c>
    </row>
    <row r="184" spans="1:43">
      <c r="A184" s="12">
        <v>181</v>
      </c>
      <c r="B184" s="21" t="s">
        <v>4697</v>
      </c>
      <c r="C184" s="5" t="s">
        <v>1083</v>
      </c>
      <c r="D184" s="5" t="s">
        <v>4698</v>
      </c>
      <c r="E184" s="5" t="s">
        <v>4699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11" t="s">
        <v>46</v>
      </c>
      <c r="Q184" s="5">
        <v>91.660899999999998</v>
      </c>
      <c r="R184" s="5">
        <f t="shared" si="2"/>
        <v>91.660899999999998</v>
      </c>
      <c r="S184" s="5" t="s">
        <v>60</v>
      </c>
      <c r="T184" s="12">
        <v>181</v>
      </c>
      <c r="U184" s="244" t="s">
        <v>1086</v>
      </c>
      <c r="V184" s="232" t="s">
        <v>1083</v>
      </c>
      <c r="W184" s="232">
        <v>9320.5</v>
      </c>
      <c r="X184" s="232">
        <v>10452.4</v>
      </c>
      <c r="Y184" s="233" t="s">
        <v>49</v>
      </c>
      <c r="Z184" s="87" t="s">
        <v>50</v>
      </c>
      <c r="AA184" s="233" t="s">
        <v>51</v>
      </c>
      <c r="AB184" s="234"/>
      <c r="AC184" s="233">
        <v>1</v>
      </c>
      <c r="AD184" s="233" t="s">
        <v>226</v>
      </c>
      <c r="AE184" s="234"/>
      <c r="AF184" s="234"/>
      <c r="AG184" s="234"/>
      <c r="AH184" s="233"/>
      <c r="AI184" s="233"/>
      <c r="AJ184" s="233"/>
      <c r="AK184" s="233"/>
      <c r="AL184" s="233"/>
      <c r="AM184" s="233"/>
      <c r="AN184" s="233"/>
      <c r="AO184" s="233"/>
      <c r="AP184" s="234"/>
      <c r="AQ184" s="234" t="s">
        <v>333</v>
      </c>
    </row>
    <row r="185" spans="1:43">
      <c r="A185" s="12">
        <v>182</v>
      </c>
      <c r="B185" s="21" t="s">
        <v>4700</v>
      </c>
      <c r="C185" s="5" t="s">
        <v>1088</v>
      </c>
      <c r="D185" s="5" t="s">
        <v>4701</v>
      </c>
      <c r="E185" s="5" t="s">
        <v>4702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11" t="s">
        <v>46</v>
      </c>
      <c r="Q185" s="5">
        <v>118.541</v>
      </c>
      <c r="R185" s="5">
        <f t="shared" si="2"/>
        <v>118.541</v>
      </c>
      <c r="S185" s="5" t="s">
        <v>395</v>
      </c>
      <c r="T185" s="12">
        <v>182</v>
      </c>
      <c r="U185" s="244" t="s">
        <v>1091</v>
      </c>
      <c r="V185" s="232" t="s">
        <v>1088</v>
      </c>
      <c r="W185" s="232">
        <v>9480.6</v>
      </c>
      <c r="X185" s="232">
        <v>9908.9</v>
      </c>
      <c r="Y185" s="233" t="s">
        <v>49</v>
      </c>
      <c r="Z185" s="87" t="s">
        <v>50</v>
      </c>
      <c r="AA185" s="233" t="s">
        <v>51</v>
      </c>
      <c r="AB185" s="234"/>
      <c r="AC185" s="233">
        <v>1</v>
      </c>
      <c r="AD185" s="233" t="s">
        <v>226</v>
      </c>
      <c r="AE185" s="234"/>
      <c r="AF185" s="234"/>
      <c r="AG185" s="234"/>
      <c r="AH185" s="233"/>
      <c r="AI185" s="233"/>
      <c r="AJ185" s="233"/>
      <c r="AK185" s="233"/>
      <c r="AL185" s="233"/>
      <c r="AM185" s="233"/>
      <c r="AN185" s="233"/>
      <c r="AO185" s="233"/>
      <c r="AP185" s="234"/>
      <c r="AQ185" s="234" t="s">
        <v>333</v>
      </c>
    </row>
    <row r="186" spans="1:43">
      <c r="A186" s="12">
        <v>183</v>
      </c>
      <c r="B186" s="21" t="s">
        <v>4703</v>
      </c>
      <c r="C186" s="5" t="s">
        <v>1093</v>
      </c>
      <c r="D186" s="5" t="s">
        <v>4704</v>
      </c>
      <c r="E186" s="5" t="s">
        <v>4705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11" t="s">
        <v>46</v>
      </c>
      <c r="Q186" s="5">
        <v>122.6692</v>
      </c>
      <c r="R186" s="5">
        <f t="shared" si="2"/>
        <v>122.6692</v>
      </c>
      <c r="S186" s="5" t="s">
        <v>395</v>
      </c>
      <c r="T186" s="12">
        <v>183</v>
      </c>
      <c r="U186" s="244" t="s">
        <v>1096</v>
      </c>
      <c r="V186" s="232" t="s">
        <v>1093</v>
      </c>
      <c r="W186" s="232">
        <v>8957.6</v>
      </c>
      <c r="X186" s="232">
        <v>9967.7999999999993</v>
      </c>
      <c r="Y186" s="233" t="s">
        <v>49</v>
      </c>
      <c r="Z186" s="87" t="s">
        <v>50</v>
      </c>
      <c r="AA186" s="233" t="s">
        <v>51</v>
      </c>
      <c r="AB186" s="234"/>
      <c r="AC186" s="233">
        <v>1</v>
      </c>
      <c r="AD186" s="233" t="s">
        <v>226</v>
      </c>
      <c r="AE186" s="234"/>
      <c r="AF186" s="234"/>
      <c r="AG186" s="234"/>
      <c r="AH186" s="233"/>
      <c r="AI186" s="233"/>
      <c r="AJ186" s="233"/>
      <c r="AK186" s="233"/>
      <c r="AL186" s="233"/>
      <c r="AM186" s="233"/>
      <c r="AN186" s="233"/>
      <c r="AO186" s="233"/>
      <c r="AP186" s="234"/>
      <c r="AQ186" s="234" t="s">
        <v>333</v>
      </c>
    </row>
    <row r="187" spans="1:43">
      <c r="A187" s="12">
        <v>184</v>
      </c>
      <c r="B187" s="21" t="s">
        <v>4706</v>
      </c>
      <c r="C187" s="5" t="s">
        <v>1098</v>
      </c>
      <c r="D187" s="5" t="s">
        <v>4707</v>
      </c>
      <c r="E187" s="5" t="s">
        <v>4708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11" t="s">
        <v>46</v>
      </c>
      <c r="Q187" s="5">
        <v>109.4258</v>
      </c>
      <c r="R187" s="5">
        <f t="shared" si="2"/>
        <v>109.4258</v>
      </c>
      <c r="S187" s="5" t="s">
        <v>74</v>
      </c>
      <c r="T187" s="12">
        <v>184</v>
      </c>
      <c r="U187" s="244" t="s">
        <v>1101</v>
      </c>
      <c r="V187" s="232" t="s">
        <v>1098</v>
      </c>
      <c r="W187" s="232">
        <v>8865.6</v>
      </c>
      <c r="X187" s="232">
        <v>9447.6</v>
      </c>
      <c r="Y187" s="233" t="s">
        <v>49</v>
      </c>
      <c r="Z187" s="87" t="s">
        <v>50</v>
      </c>
      <c r="AA187" s="233" t="s">
        <v>51</v>
      </c>
      <c r="AB187" s="234"/>
      <c r="AC187" s="233">
        <v>1</v>
      </c>
      <c r="AD187" s="233" t="s">
        <v>226</v>
      </c>
      <c r="AE187" s="234"/>
      <c r="AF187" s="234"/>
      <c r="AG187" s="234"/>
      <c r="AH187" s="233"/>
      <c r="AI187" s="233"/>
      <c r="AJ187" s="233"/>
      <c r="AK187" s="233"/>
      <c r="AL187" s="233"/>
      <c r="AM187" s="233"/>
      <c r="AN187" s="233"/>
      <c r="AO187" s="233"/>
      <c r="AP187" s="234"/>
      <c r="AQ187" s="234" t="s">
        <v>333</v>
      </c>
    </row>
    <row r="188" spans="1:43">
      <c r="A188" s="12">
        <v>185</v>
      </c>
      <c r="B188" s="21" t="s">
        <v>4709</v>
      </c>
      <c r="C188" s="5" t="s">
        <v>1103</v>
      </c>
      <c r="D188" s="5" t="s">
        <v>4710</v>
      </c>
      <c r="E188" s="5" t="s">
        <v>4711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11" t="s">
        <v>46</v>
      </c>
      <c r="Q188" s="5">
        <v>91.0197</v>
      </c>
      <c r="R188" s="5">
        <f t="shared" si="2"/>
        <v>91.0197</v>
      </c>
      <c r="S188" s="5" t="s">
        <v>60</v>
      </c>
      <c r="T188" s="12">
        <v>185</v>
      </c>
      <c r="U188" s="244" t="s">
        <v>1106</v>
      </c>
      <c r="V188" s="232" t="s">
        <v>1103</v>
      </c>
      <c r="W188" s="232">
        <v>7784.1</v>
      </c>
      <c r="X188" s="232">
        <v>10536.4</v>
      </c>
      <c r="Y188" s="233" t="s">
        <v>49</v>
      </c>
      <c r="Z188" s="87" t="s">
        <v>50</v>
      </c>
      <c r="AA188" s="233" t="s">
        <v>51</v>
      </c>
      <c r="AB188" s="234"/>
      <c r="AC188" s="233">
        <v>1</v>
      </c>
      <c r="AD188" s="233" t="s">
        <v>226</v>
      </c>
      <c r="AE188" s="234"/>
      <c r="AF188" s="234"/>
      <c r="AG188" s="234"/>
      <c r="AH188" s="233"/>
      <c r="AI188" s="233"/>
      <c r="AJ188" s="233"/>
      <c r="AK188" s="233"/>
      <c r="AL188" s="233"/>
      <c r="AM188" s="233"/>
      <c r="AN188" s="233"/>
      <c r="AO188" s="233"/>
      <c r="AP188" s="234"/>
      <c r="AQ188" s="234" t="s">
        <v>333</v>
      </c>
    </row>
    <row r="189" spans="1:43">
      <c r="A189" s="12">
        <v>186</v>
      </c>
      <c r="B189" s="21" t="s">
        <v>4712</v>
      </c>
      <c r="C189" s="5" t="s">
        <v>1108</v>
      </c>
      <c r="D189" s="5" t="s">
        <v>4713</v>
      </c>
      <c r="E189" s="5" t="s">
        <v>4714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11" t="s">
        <v>46</v>
      </c>
      <c r="Q189" s="5">
        <v>108.25320000000001</v>
      </c>
      <c r="R189" s="5">
        <f t="shared" si="2"/>
        <v>108.25320000000001</v>
      </c>
      <c r="S189" s="5" t="s">
        <v>74</v>
      </c>
      <c r="T189" s="12">
        <v>186</v>
      </c>
      <c r="U189" s="244" t="s">
        <v>1111</v>
      </c>
      <c r="V189" s="232" t="s">
        <v>1108</v>
      </c>
      <c r="W189" s="232">
        <v>10608.3</v>
      </c>
      <c r="X189" s="232">
        <v>9662.5</v>
      </c>
      <c r="Y189" s="233" t="s">
        <v>49</v>
      </c>
      <c r="Z189" s="87" t="s">
        <v>50</v>
      </c>
      <c r="AA189" s="233" t="s">
        <v>51</v>
      </c>
      <c r="AB189" s="234"/>
      <c r="AC189" s="233">
        <v>1</v>
      </c>
      <c r="AD189" s="233" t="s">
        <v>226</v>
      </c>
      <c r="AE189" s="234"/>
      <c r="AF189" s="234"/>
      <c r="AG189" s="234"/>
      <c r="AH189" s="233"/>
      <c r="AI189" s="233"/>
      <c r="AJ189" s="233"/>
      <c r="AK189" s="233"/>
      <c r="AL189" s="233"/>
      <c r="AM189" s="233"/>
      <c r="AN189" s="233"/>
      <c r="AO189" s="233"/>
      <c r="AP189" s="234"/>
      <c r="AQ189" s="234" t="s">
        <v>333</v>
      </c>
    </row>
    <row r="190" spans="1:43">
      <c r="A190" s="12">
        <v>187</v>
      </c>
      <c r="B190" s="21" t="s">
        <v>4715</v>
      </c>
      <c r="C190" s="5" t="s">
        <v>1113</v>
      </c>
      <c r="D190" s="5" t="s">
        <v>4716</v>
      </c>
      <c r="E190" s="5" t="s">
        <v>4717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11" t="s">
        <v>46</v>
      </c>
      <c r="Q190" s="5">
        <v>123.25839999999999</v>
      </c>
      <c r="R190" s="5">
        <f t="shared" si="2"/>
        <v>123.25839999999999</v>
      </c>
      <c r="S190" s="5" t="s">
        <v>395</v>
      </c>
      <c r="T190" s="12">
        <v>187</v>
      </c>
      <c r="U190" s="244" t="s">
        <v>1116</v>
      </c>
      <c r="V190" s="232" t="s">
        <v>1113</v>
      </c>
      <c r="W190" s="232">
        <v>10633.2</v>
      </c>
      <c r="X190" s="232">
        <v>8765.7000000000007</v>
      </c>
      <c r="Y190" s="233" t="s">
        <v>49</v>
      </c>
      <c r="Z190" s="87" t="s">
        <v>50</v>
      </c>
      <c r="AA190" s="233" t="s">
        <v>51</v>
      </c>
      <c r="AB190" s="234"/>
      <c r="AC190" s="233">
        <v>1</v>
      </c>
      <c r="AD190" s="233" t="s">
        <v>226</v>
      </c>
      <c r="AE190" s="234"/>
      <c r="AF190" s="234"/>
      <c r="AG190" s="234"/>
      <c r="AH190" s="233"/>
      <c r="AI190" s="233"/>
      <c r="AJ190" s="233"/>
      <c r="AK190" s="233"/>
      <c r="AL190" s="233"/>
      <c r="AM190" s="233"/>
      <c r="AN190" s="233"/>
      <c r="AO190" s="233"/>
      <c r="AP190" s="234"/>
      <c r="AQ190" s="234" t="s">
        <v>333</v>
      </c>
    </row>
    <row r="191" spans="1:43">
      <c r="A191" s="12">
        <v>188</v>
      </c>
      <c r="B191" s="21" t="s">
        <v>4718</v>
      </c>
      <c r="C191" s="5" t="s">
        <v>1118</v>
      </c>
      <c r="D191" s="5" t="s">
        <v>4719</v>
      </c>
      <c r="E191" s="5" t="s">
        <v>4720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11" t="s">
        <v>46</v>
      </c>
      <c r="Q191" s="5">
        <v>104.8865</v>
      </c>
      <c r="R191" s="5">
        <f t="shared" si="2"/>
        <v>104.8865</v>
      </c>
      <c r="S191" s="5" t="s">
        <v>67</v>
      </c>
      <c r="T191" s="12">
        <v>188</v>
      </c>
      <c r="U191" s="244" t="s">
        <v>1121</v>
      </c>
      <c r="V191" s="232" t="s">
        <v>1118</v>
      </c>
      <c r="W191" s="232">
        <v>9981.2000000000007</v>
      </c>
      <c r="X191" s="232">
        <v>10035.6</v>
      </c>
      <c r="Y191" s="233" t="s">
        <v>49</v>
      </c>
      <c r="Z191" s="87" t="s">
        <v>50</v>
      </c>
      <c r="AA191" s="233" t="s">
        <v>51</v>
      </c>
      <c r="AB191" s="234"/>
      <c r="AC191" s="233">
        <v>1</v>
      </c>
      <c r="AD191" s="233" t="s">
        <v>226</v>
      </c>
      <c r="AE191" s="234"/>
      <c r="AF191" s="234"/>
      <c r="AG191" s="234"/>
      <c r="AH191" s="233"/>
      <c r="AI191" s="233"/>
      <c r="AJ191" s="233"/>
      <c r="AK191" s="233"/>
      <c r="AL191" s="233"/>
      <c r="AM191" s="233"/>
      <c r="AN191" s="233"/>
      <c r="AO191" s="233"/>
      <c r="AP191" s="234"/>
      <c r="AQ191" s="234" t="s">
        <v>333</v>
      </c>
    </row>
    <row r="192" spans="1:43">
      <c r="A192" s="12">
        <v>189</v>
      </c>
      <c r="B192" s="21" t="s">
        <v>4721</v>
      </c>
      <c r="C192" s="5" t="s">
        <v>1123</v>
      </c>
      <c r="D192" s="5" t="s">
        <v>4722</v>
      </c>
      <c r="E192" s="5" t="s">
        <v>4723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11" t="s">
        <v>46</v>
      </c>
      <c r="Q192" s="5">
        <v>93.349900000000005</v>
      </c>
      <c r="R192" s="5">
        <f t="shared" si="2"/>
        <v>93.349900000000005</v>
      </c>
      <c r="S192" s="5" t="s">
        <v>60</v>
      </c>
      <c r="T192" s="12">
        <v>189</v>
      </c>
      <c r="U192" s="244" t="s">
        <v>1126</v>
      </c>
      <c r="V192" s="232" t="s">
        <v>1123</v>
      </c>
      <c r="W192" s="232">
        <v>8192.7999999999993</v>
      </c>
      <c r="X192" s="232">
        <v>9205.2999999999993</v>
      </c>
      <c r="Y192" s="233" t="s">
        <v>49</v>
      </c>
      <c r="Z192" s="87" t="s">
        <v>50</v>
      </c>
      <c r="AA192" s="233" t="s">
        <v>51</v>
      </c>
      <c r="AB192" s="234"/>
      <c r="AC192" s="233">
        <v>1</v>
      </c>
      <c r="AD192" s="233" t="s">
        <v>226</v>
      </c>
      <c r="AE192" s="234"/>
      <c r="AF192" s="234"/>
      <c r="AG192" s="234"/>
      <c r="AH192" s="233"/>
      <c r="AI192" s="233"/>
      <c r="AJ192" s="233"/>
      <c r="AK192" s="233"/>
      <c r="AL192" s="233"/>
      <c r="AM192" s="233"/>
      <c r="AN192" s="233"/>
      <c r="AO192" s="233"/>
      <c r="AP192" s="234"/>
      <c r="AQ192" s="234" t="s">
        <v>333</v>
      </c>
    </row>
    <row r="193" spans="1:43">
      <c r="A193" s="12">
        <v>190</v>
      </c>
      <c r="B193" s="21" t="s">
        <v>4724</v>
      </c>
      <c r="C193" s="5" t="s">
        <v>1128</v>
      </c>
      <c r="D193" s="5" t="s">
        <v>4725</v>
      </c>
      <c r="E193" s="5" t="s">
        <v>4726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11" t="s">
        <v>46</v>
      </c>
      <c r="Q193" s="5">
        <v>103.6643</v>
      </c>
      <c r="R193" s="5">
        <f t="shared" si="2"/>
        <v>103.6643</v>
      </c>
      <c r="S193" s="5" t="s">
        <v>60</v>
      </c>
      <c r="T193" s="12">
        <v>190</v>
      </c>
      <c r="U193" s="244" t="s">
        <v>1131</v>
      </c>
      <c r="V193" s="232" t="s">
        <v>1128</v>
      </c>
      <c r="W193" s="232">
        <v>8272.2999999999993</v>
      </c>
      <c r="X193" s="232">
        <v>6110.3</v>
      </c>
      <c r="Y193" s="233" t="s">
        <v>49</v>
      </c>
      <c r="Z193" s="87" t="s">
        <v>50</v>
      </c>
      <c r="AA193" s="233" t="s">
        <v>51</v>
      </c>
      <c r="AB193" s="234"/>
      <c r="AC193" s="233">
        <v>1</v>
      </c>
      <c r="AD193" s="233" t="s">
        <v>226</v>
      </c>
      <c r="AE193" s="234"/>
      <c r="AF193" s="234"/>
      <c r="AG193" s="234"/>
      <c r="AH193" s="233"/>
      <c r="AI193" s="233"/>
      <c r="AJ193" s="233"/>
      <c r="AK193" s="233"/>
      <c r="AL193" s="233"/>
      <c r="AM193" s="233"/>
      <c r="AN193" s="233"/>
      <c r="AO193" s="233"/>
      <c r="AP193" s="234"/>
      <c r="AQ193" s="234" t="s">
        <v>333</v>
      </c>
    </row>
    <row r="194" spans="1:43">
      <c r="A194" s="12">
        <v>191</v>
      </c>
      <c r="B194" s="21" t="s">
        <v>4727</v>
      </c>
      <c r="C194" s="5" t="s">
        <v>1133</v>
      </c>
      <c r="D194" s="5" t="s">
        <v>4728</v>
      </c>
      <c r="E194" s="5" t="s">
        <v>4729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11" t="s">
        <v>46</v>
      </c>
      <c r="Q194" s="5">
        <v>104.6131</v>
      </c>
      <c r="R194" s="5">
        <f t="shared" si="2"/>
        <v>104.6131</v>
      </c>
      <c r="S194" s="5" t="s">
        <v>74</v>
      </c>
      <c r="T194" s="12">
        <v>191</v>
      </c>
      <c r="U194" s="244" t="s">
        <v>1136</v>
      </c>
      <c r="V194" s="232" t="s">
        <v>1133</v>
      </c>
      <c r="W194" s="232">
        <v>11553.9</v>
      </c>
      <c r="X194" s="232">
        <v>9009.9</v>
      </c>
      <c r="Y194" s="233" t="s">
        <v>49</v>
      </c>
      <c r="Z194" s="87" t="s">
        <v>50</v>
      </c>
      <c r="AA194" s="233" t="s">
        <v>51</v>
      </c>
      <c r="AB194" s="234"/>
      <c r="AC194" s="233">
        <v>1</v>
      </c>
      <c r="AD194" s="233" t="s">
        <v>226</v>
      </c>
      <c r="AE194" s="234"/>
      <c r="AF194" s="234"/>
      <c r="AG194" s="234"/>
      <c r="AH194" s="233"/>
      <c r="AI194" s="233"/>
      <c r="AJ194" s="233"/>
      <c r="AK194" s="233"/>
      <c r="AL194" s="233"/>
      <c r="AM194" s="233"/>
      <c r="AN194" s="233"/>
      <c r="AO194" s="233"/>
      <c r="AP194" s="234"/>
      <c r="AQ194" s="234" t="s">
        <v>333</v>
      </c>
    </row>
    <row r="195" spans="1:43">
      <c r="A195" s="12">
        <v>192</v>
      </c>
      <c r="B195" s="21" t="s">
        <v>4730</v>
      </c>
      <c r="C195" s="5" t="s">
        <v>1138</v>
      </c>
      <c r="D195" s="5" t="s">
        <v>4731</v>
      </c>
      <c r="E195" s="5" t="s">
        <v>4732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11" t="s">
        <v>46</v>
      </c>
      <c r="Q195" s="5">
        <v>117.6647</v>
      </c>
      <c r="R195" s="5">
        <f t="shared" si="2"/>
        <v>117.6647</v>
      </c>
      <c r="S195" s="5" t="s">
        <v>74</v>
      </c>
      <c r="T195" s="12">
        <v>192</v>
      </c>
      <c r="U195" s="244" t="s">
        <v>1141</v>
      </c>
      <c r="V195" s="232" t="s">
        <v>1138</v>
      </c>
      <c r="W195" s="232">
        <v>8883.7999999999993</v>
      </c>
      <c r="X195" s="232">
        <v>8165.2</v>
      </c>
      <c r="Y195" s="233" t="s">
        <v>49</v>
      </c>
      <c r="Z195" s="87" t="s">
        <v>50</v>
      </c>
      <c r="AA195" s="233" t="s">
        <v>51</v>
      </c>
      <c r="AB195" s="234"/>
      <c r="AC195" s="233">
        <v>1</v>
      </c>
      <c r="AD195" s="233" t="s">
        <v>226</v>
      </c>
      <c r="AE195" s="234"/>
      <c r="AF195" s="234"/>
      <c r="AG195" s="234"/>
      <c r="AH195" s="233"/>
      <c r="AI195" s="233"/>
      <c r="AJ195" s="233"/>
      <c r="AK195" s="233"/>
      <c r="AL195" s="233"/>
      <c r="AM195" s="233"/>
      <c r="AN195" s="233"/>
      <c r="AO195" s="233"/>
      <c r="AP195" s="234"/>
      <c r="AQ195" s="234" t="s">
        <v>333</v>
      </c>
    </row>
    <row r="196" spans="1:43">
      <c r="A196" s="12">
        <v>193</v>
      </c>
      <c r="B196" s="21" t="s">
        <v>4733</v>
      </c>
      <c r="C196" s="5" t="s">
        <v>1143</v>
      </c>
      <c r="D196" s="5" t="s">
        <v>4734</v>
      </c>
      <c r="E196" s="5" t="s">
        <v>4735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11" t="s">
        <v>46</v>
      </c>
      <c r="Q196" s="5">
        <v>116.1434</v>
      </c>
      <c r="R196" s="5">
        <f t="shared" ref="R196:R259" si="3">IF(AND(P196="",Q196=""),"",SUM(P196:Q196))</f>
        <v>116.1434</v>
      </c>
      <c r="S196" s="5" t="s">
        <v>74</v>
      </c>
      <c r="T196" s="12">
        <v>193</v>
      </c>
      <c r="U196" s="244" t="s">
        <v>1146</v>
      </c>
      <c r="V196" s="232" t="s">
        <v>1143</v>
      </c>
      <c r="W196" s="232">
        <v>8983.5</v>
      </c>
      <c r="X196" s="232">
        <v>6110.3</v>
      </c>
      <c r="Y196" s="233" t="s">
        <v>49</v>
      </c>
      <c r="Z196" s="87" t="s">
        <v>50</v>
      </c>
      <c r="AA196" s="233" t="s">
        <v>51</v>
      </c>
      <c r="AB196" s="234"/>
      <c r="AC196" s="233">
        <v>1</v>
      </c>
      <c r="AD196" s="233" t="s">
        <v>226</v>
      </c>
      <c r="AE196" s="234"/>
      <c r="AF196" s="234"/>
      <c r="AG196" s="234"/>
      <c r="AH196" s="233"/>
      <c r="AI196" s="233"/>
      <c r="AJ196" s="233"/>
      <c r="AK196" s="233"/>
      <c r="AL196" s="233"/>
      <c r="AM196" s="233"/>
      <c r="AN196" s="233"/>
      <c r="AO196" s="233"/>
      <c r="AP196" s="234"/>
      <c r="AQ196" s="234" t="s">
        <v>333</v>
      </c>
    </row>
    <row r="197" spans="1:43">
      <c r="A197" s="12">
        <v>194</v>
      </c>
      <c r="B197" s="21" t="s">
        <v>4736</v>
      </c>
      <c r="C197" s="5" t="s">
        <v>1148</v>
      </c>
      <c r="D197" s="5" t="s">
        <v>4737</v>
      </c>
      <c r="E197" s="5" t="s">
        <v>4738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11" t="s">
        <v>46</v>
      </c>
      <c r="Q197" s="5">
        <v>118.24290000000001</v>
      </c>
      <c r="R197" s="5">
        <f t="shared" si="3"/>
        <v>118.24290000000001</v>
      </c>
      <c r="S197" s="5" t="s">
        <v>395</v>
      </c>
      <c r="T197" s="12">
        <v>194</v>
      </c>
      <c r="U197" s="244" t="s">
        <v>1151</v>
      </c>
      <c r="V197" s="232" t="s">
        <v>1148</v>
      </c>
      <c r="W197" s="232">
        <v>9973.5</v>
      </c>
      <c r="X197" s="232">
        <v>7962.3</v>
      </c>
      <c r="Y197" s="233" t="s">
        <v>49</v>
      </c>
      <c r="Z197" s="87" t="s">
        <v>50</v>
      </c>
      <c r="AA197" s="233" t="s">
        <v>51</v>
      </c>
      <c r="AB197" s="234"/>
      <c r="AC197" s="233">
        <v>1</v>
      </c>
      <c r="AD197" s="233" t="s">
        <v>226</v>
      </c>
      <c r="AE197" s="234"/>
      <c r="AF197" s="234"/>
      <c r="AG197" s="234"/>
      <c r="AH197" s="233"/>
      <c r="AI197" s="233"/>
      <c r="AJ197" s="233"/>
      <c r="AK197" s="233"/>
      <c r="AL197" s="233"/>
      <c r="AM197" s="233"/>
      <c r="AN197" s="233"/>
      <c r="AO197" s="233"/>
      <c r="AP197" s="234"/>
      <c r="AQ197" s="234" t="s">
        <v>333</v>
      </c>
    </row>
    <row r="198" spans="1:43">
      <c r="A198" s="12">
        <v>195</v>
      </c>
      <c r="B198" s="21" t="s">
        <v>4739</v>
      </c>
      <c r="C198" s="5" t="s">
        <v>1153</v>
      </c>
      <c r="D198" s="5" t="s">
        <v>4740</v>
      </c>
      <c r="E198" s="5" t="s">
        <v>4741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11" t="s">
        <v>46</v>
      </c>
      <c r="Q198" s="5">
        <v>125.568</v>
      </c>
      <c r="R198" s="5">
        <f t="shared" si="3"/>
        <v>125.568</v>
      </c>
      <c r="S198" s="5" t="s">
        <v>395</v>
      </c>
      <c r="T198" s="12">
        <v>195</v>
      </c>
      <c r="U198" s="244" t="s">
        <v>1156</v>
      </c>
      <c r="V198" s="232" t="s">
        <v>1153</v>
      </c>
      <c r="W198" s="232">
        <v>9217.2000000000007</v>
      </c>
      <c r="X198" s="232">
        <v>8793.7999999999993</v>
      </c>
      <c r="Y198" s="233" t="s">
        <v>49</v>
      </c>
      <c r="Z198" s="87" t="s">
        <v>50</v>
      </c>
      <c r="AA198" s="233" t="s">
        <v>51</v>
      </c>
      <c r="AB198" s="234"/>
      <c r="AC198" s="233">
        <v>1</v>
      </c>
      <c r="AD198" s="233" t="s">
        <v>226</v>
      </c>
      <c r="AE198" s="234"/>
      <c r="AF198" s="234"/>
      <c r="AG198" s="234"/>
      <c r="AH198" s="233"/>
      <c r="AI198" s="233"/>
      <c r="AJ198" s="233"/>
      <c r="AK198" s="233"/>
      <c r="AL198" s="233"/>
      <c r="AM198" s="233"/>
      <c r="AN198" s="233"/>
      <c r="AO198" s="233"/>
      <c r="AP198" s="234"/>
      <c r="AQ198" s="234" t="s">
        <v>333</v>
      </c>
    </row>
    <row r="199" spans="1:43">
      <c r="A199" s="12">
        <v>196</v>
      </c>
      <c r="B199" s="21" t="s">
        <v>4742</v>
      </c>
      <c r="C199" s="5" t="s">
        <v>1158</v>
      </c>
      <c r="D199" s="5" t="s">
        <v>4743</v>
      </c>
      <c r="E199" s="5" t="s">
        <v>4744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11" t="s">
        <v>46</v>
      </c>
      <c r="Q199" s="5">
        <v>118.7089</v>
      </c>
      <c r="R199" s="5">
        <f t="shared" si="3"/>
        <v>118.7089</v>
      </c>
      <c r="S199" s="5" t="s">
        <v>67</v>
      </c>
      <c r="T199" s="12">
        <v>196</v>
      </c>
      <c r="U199" s="244" t="s">
        <v>1161</v>
      </c>
      <c r="V199" s="232" t="s">
        <v>1158</v>
      </c>
      <c r="W199" s="232">
        <v>8411.2000000000007</v>
      </c>
      <c r="X199" s="232">
        <v>9662.5</v>
      </c>
      <c r="Y199" s="233" t="s">
        <v>49</v>
      </c>
      <c r="Z199" s="87" t="s">
        <v>50</v>
      </c>
      <c r="AA199" s="233" t="s">
        <v>51</v>
      </c>
      <c r="AB199" s="234"/>
      <c r="AC199" s="233">
        <v>1</v>
      </c>
      <c r="AD199" s="233" t="s">
        <v>226</v>
      </c>
      <c r="AE199" s="234"/>
      <c r="AF199" s="234"/>
      <c r="AG199" s="234"/>
      <c r="AH199" s="233"/>
      <c r="AI199" s="233"/>
      <c r="AJ199" s="233"/>
      <c r="AK199" s="233"/>
      <c r="AL199" s="233"/>
      <c r="AM199" s="233"/>
      <c r="AN199" s="233"/>
      <c r="AO199" s="233"/>
      <c r="AP199" s="234"/>
      <c r="AQ199" s="234" t="s">
        <v>333</v>
      </c>
    </row>
    <row r="200" spans="1:43">
      <c r="A200" s="12">
        <v>197</v>
      </c>
      <c r="B200" s="21" t="s">
        <v>4745</v>
      </c>
      <c r="C200" s="5" t="s">
        <v>1163</v>
      </c>
      <c r="D200" s="5" t="s">
        <v>4746</v>
      </c>
      <c r="E200" s="5" t="s">
        <v>4747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11" t="s">
        <v>46</v>
      </c>
      <c r="Q200" s="5">
        <v>184.41470000000001</v>
      </c>
      <c r="R200" s="5">
        <f t="shared" si="3"/>
        <v>184.41470000000001</v>
      </c>
      <c r="S200" s="5" t="s">
        <v>395</v>
      </c>
      <c r="T200" s="12">
        <v>197</v>
      </c>
      <c r="U200" s="245" t="s">
        <v>1166</v>
      </c>
      <c r="V200" s="232" t="s">
        <v>1163</v>
      </c>
      <c r="W200" s="232">
        <v>-11912.6</v>
      </c>
      <c r="X200" s="232">
        <v>8411.2000000000007</v>
      </c>
      <c r="Y200" s="233" t="s">
        <v>49</v>
      </c>
      <c r="Z200" s="87" t="s">
        <v>50</v>
      </c>
      <c r="AA200" s="233" t="s">
        <v>51</v>
      </c>
      <c r="AB200" s="233" t="s">
        <v>934</v>
      </c>
      <c r="AC200" s="233">
        <v>1</v>
      </c>
      <c r="AD200" s="233" t="s">
        <v>226</v>
      </c>
      <c r="AE200" s="234"/>
      <c r="AF200" s="234"/>
      <c r="AG200" s="234"/>
      <c r="AH200" s="233"/>
      <c r="AI200" s="233"/>
      <c r="AJ200" s="233" t="s">
        <v>1167</v>
      </c>
      <c r="AK200" s="233">
        <v>1500</v>
      </c>
      <c r="AL200" s="233"/>
      <c r="AM200" s="233"/>
      <c r="AN200" s="233"/>
      <c r="AO200" s="233"/>
      <c r="AP200" s="234"/>
      <c r="AQ200" s="234" t="s">
        <v>936</v>
      </c>
    </row>
    <row r="201" spans="1:43">
      <c r="A201" s="12">
        <v>198</v>
      </c>
      <c r="B201" s="21" t="s">
        <v>4748</v>
      </c>
      <c r="C201" s="5" t="s">
        <v>1169</v>
      </c>
      <c r="D201" s="5" t="s">
        <v>4749</v>
      </c>
      <c r="E201" s="5" t="s">
        <v>4750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11" t="s">
        <v>46</v>
      </c>
      <c r="Q201" s="5">
        <v>173.70060000000001</v>
      </c>
      <c r="R201" s="5">
        <f t="shared" si="3"/>
        <v>173.70060000000001</v>
      </c>
      <c r="S201" s="5" t="s">
        <v>395</v>
      </c>
      <c r="T201" s="12">
        <v>198</v>
      </c>
      <c r="U201" s="245" t="s">
        <v>1172</v>
      </c>
      <c r="V201" s="232" t="s">
        <v>1169</v>
      </c>
      <c r="W201" s="232">
        <v>-8883.7999999999993</v>
      </c>
      <c r="X201" s="232">
        <v>8165.2</v>
      </c>
      <c r="Y201" s="233" t="s">
        <v>49</v>
      </c>
      <c r="Z201" s="87" t="s">
        <v>50</v>
      </c>
      <c r="AA201" s="233" t="s">
        <v>51</v>
      </c>
      <c r="AB201" s="233" t="s">
        <v>934</v>
      </c>
      <c r="AC201" s="233">
        <v>1</v>
      </c>
      <c r="AD201" s="233" t="s">
        <v>226</v>
      </c>
      <c r="AE201" s="234"/>
      <c r="AF201" s="234"/>
      <c r="AG201" s="234"/>
      <c r="AH201" s="233"/>
      <c r="AI201" s="233"/>
      <c r="AJ201" s="233" t="s">
        <v>1167</v>
      </c>
      <c r="AK201" s="233">
        <v>1500</v>
      </c>
      <c r="AL201" s="233"/>
      <c r="AM201" s="233"/>
      <c r="AN201" s="233"/>
      <c r="AO201" s="233"/>
      <c r="AP201" s="234"/>
      <c r="AQ201" s="234" t="s">
        <v>936</v>
      </c>
    </row>
    <row r="202" spans="1:43">
      <c r="A202" s="12">
        <v>199</v>
      </c>
      <c r="B202" s="21" t="s">
        <v>4751</v>
      </c>
      <c r="C202" s="5" t="s">
        <v>1174</v>
      </c>
      <c r="D202" s="5" t="s">
        <v>4752</v>
      </c>
      <c r="E202" s="5" t="s">
        <v>4753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11" t="s">
        <v>46</v>
      </c>
      <c r="Q202" s="5">
        <v>171.94159999999999</v>
      </c>
      <c r="R202" s="5">
        <f t="shared" si="3"/>
        <v>171.94159999999999</v>
      </c>
      <c r="S202" s="5" t="s">
        <v>74</v>
      </c>
      <c r="T202" s="12">
        <v>199</v>
      </c>
      <c r="U202" s="245" t="s">
        <v>1177</v>
      </c>
      <c r="V202" s="232" t="s">
        <v>1174</v>
      </c>
      <c r="W202" s="232">
        <v>-9217.2000000000007</v>
      </c>
      <c r="X202" s="232">
        <v>8793.7999999999993</v>
      </c>
      <c r="Y202" s="233" t="s">
        <v>49</v>
      </c>
      <c r="Z202" s="87" t="s">
        <v>50</v>
      </c>
      <c r="AA202" s="233" t="s">
        <v>51</v>
      </c>
      <c r="AB202" s="233" t="s">
        <v>934</v>
      </c>
      <c r="AC202" s="233">
        <v>1</v>
      </c>
      <c r="AD202" s="233" t="s">
        <v>226</v>
      </c>
      <c r="AE202" s="234"/>
      <c r="AF202" s="234"/>
      <c r="AG202" s="234"/>
      <c r="AH202" s="233"/>
      <c r="AI202" s="233"/>
      <c r="AJ202" s="233" t="s">
        <v>1167</v>
      </c>
      <c r="AK202" s="233">
        <v>1500</v>
      </c>
      <c r="AL202" s="233"/>
      <c r="AM202" s="233"/>
      <c r="AN202" s="233"/>
      <c r="AO202" s="233"/>
      <c r="AP202" s="234"/>
      <c r="AQ202" s="234" t="s">
        <v>936</v>
      </c>
    </row>
    <row r="203" spans="1:43">
      <c r="A203" s="12">
        <v>200</v>
      </c>
      <c r="B203" s="21" t="s">
        <v>4754</v>
      </c>
      <c r="C203" s="5" t="s">
        <v>1179</v>
      </c>
      <c r="D203" s="5" t="s">
        <v>4755</v>
      </c>
      <c r="E203" s="5" t="s">
        <v>4756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11" t="s">
        <v>46</v>
      </c>
      <c r="Q203" s="5">
        <v>175.5478</v>
      </c>
      <c r="R203" s="5">
        <f t="shared" si="3"/>
        <v>175.5478</v>
      </c>
      <c r="S203" s="5" t="s">
        <v>67</v>
      </c>
      <c r="T203" s="12">
        <v>200</v>
      </c>
      <c r="U203" s="245" t="s">
        <v>1182</v>
      </c>
      <c r="V203" s="232" t="s">
        <v>1179</v>
      </c>
      <c r="W203" s="232">
        <v>-10689.6</v>
      </c>
      <c r="X203" s="232">
        <v>10162.9</v>
      </c>
      <c r="Y203" s="233" t="s">
        <v>49</v>
      </c>
      <c r="Z203" s="87" t="s">
        <v>50</v>
      </c>
      <c r="AA203" s="233" t="s">
        <v>51</v>
      </c>
      <c r="AB203" s="233" t="s">
        <v>934</v>
      </c>
      <c r="AC203" s="233">
        <v>1</v>
      </c>
      <c r="AD203" s="233" t="s">
        <v>226</v>
      </c>
      <c r="AE203" s="234"/>
      <c r="AF203" s="234"/>
      <c r="AG203" s="234"/>
      <c r="AH203" s="233"/>
      <c r="AI203" s="233"/>
      <c r="AJ203" s="233" t="s">
        <v>1167</v>
      </c>
      <c r="AK203" s="233">
        <v>1500</v>
      </c>
      <c r="AL203" s="233"/>
      <c r="AM203" s="233"/>
      <c r="AN203" s="233"/>
      <c r="AO203" s="233"/>
      <c r="AP203" s="234"/>
      <c r="AQ203" s="234" t="s">
        <v>936</v>
      </c>
    </row>
    <row r="204" spans="1:43">
      <c r="A204" s="12">
        <v>201</v>
      </c>
      <c r="B204" s="21" t="s">
        <v>4757</v>
      </c>
      <c r="C204" s="5" t="s">
        <v>1184</v>
      </c>
      <c r="D204" s="5" t="s">
        <v>4758</v>
      </c>
      <c r="E204" s="5" t="s">
        <v>4759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11" t="s">
        <v>46</v>
      </c>
      <c r="Q204" s="5">
        <v>165.3777</v>
      </c>
      <c r="R204" s="5">
        <f t="shared" si="3"/>
        <v>165.3777</v>
      </c>
      <c r="S204" s="5" t="s">
        <v>60</v>
      </c>
      <c r="T204" s="12">
        <v>201</v>
      </c>
      <c r="U204" s="245" t="s">
        <v>1187</v>
      </c>
      <c r="V204" s="232" t="s">
        <v>1184</v>
      </c>
      <c r="W204" s="232">
        <v>-9981.2000000000007</v>
      </c>
      <c r="X204" s="232">
        <v>10536.4</v>
      </c>
      <c r="Y204" s="233" t="s">
        <v>49</v>
      </c>
      <c r="Z204" s="87" t="s">
        <v>50</v>
      </c>
      <c r="AA204" s="233" t="s">
        <v>51</v>
      </c>
      <c r="AB204" s="233" t="s">
        <v>934</v>
      </c>
      <c r="AC204" s="233">
        <v>1</v>
      </c>
      <c r="AD204" s="233" t="s">
        <v>226</v>
      </c>
      <c r="AE204" s="234"/>
      <c r="AF204" s="234"/>
      <c r="AG204" s="234"/>
      <c r="AH204" s="233"/>
      <c r="AI204" s="233"/>
      <c r="AJ204" s="233" t="s">
        <v>1167</v>
      </c>
      <c r="AK204" s="233">
        <v>1500</v>
      </c>
      <c r="AL204" s="233"/>
      <c r="AM204" s="233"/>
      <c r="AN204" s="233"/>
      <c r="AO204" s="233"/>
      <c r="AP204" s="234"/>
      <c r="AQ204" s="234" t="s">
        <v>936</v>
      </c>
    </row>
    <row r="205" spans="1:43">
      <c r="A205" s="12">
        <v>202</v>
      </c>
      <c r="B205" s="21" t="s">
        <v>4760</v>
      </c>
      <c r="C205" s="5" t="s">
        <v>1189</v>
      </c>
      <c r="D205" s="5" t="s">
        <v>4761</v>
      </c>
      <c r="E205" s="5" t="s">
        <v>4762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11" t="s">
        <v>46</v>
      </c>
      <c r="Q205" s="5">
        <v>172.89189999999999</v>
      </c>
      <c r="R205" s="5">
        <f t="shared" si="3"/>
        <v>172.89189999999999</v>
      </c>
      <c r="S205" s="5" t="s">
        <v>74</v>
      </c>
      <c r="T205" s="12">
        <v>202</v>
      </c>
      <c r="U205" s="245" t="s">
        <v>1192</v>
      </c>
      <c r="V205" s="232" t="s">
        <v>1189</v>
      </c>
      <c r="W205" s="232">
        <v>-11374.8</v>
      </c>
      <c r="X205" s="232">
        <v>9478.2000000000007</v>
      </c>
      <c r="Y205" s="233" t="s">
        <v>49</v>
      </c>
      <c r="Z205" s="87" t="s">
        <v>50</v>
      </c>
      <c r="AA205" s="233" t="s">
        <v>51</v>
      </c>
      <c r="AB205" s="233" t="s">
        <v>934</v>
      </c>
      <c r="AC205" s="233">
        <v>1</v>
      </c>
      <c r="AD205" s="233" t="s">
        <v>226</v>
      </c>
      <c r="AE205" s="234"/>
      <c r="AF205" s="234"/>
      <c r="AG205" s="234"/>
      <c r="AH205" s="233"/>
      <c r="AI205" s="233"/>
      <c r="AJ205" s="233" t="s">
        <v>1167</v>
      </c>
      <c r="AK205" s="233">
        <v>1500</v>
      </c>
      <c r="AL205" s="233"/>
      <c r="AM205" s="233"/>
      <c r="AN205" s="233"/>
      <c r="AO205" s="233"/>
      <c r="AP205" s="234"/>
      <c r="AQ205" s="234" t="s">
        <v>936</v>
      </c>
    </row>
    <row r="206" spans="1:43">
      <c r="A206" s="12">
        <v>203</v>
      </c>
      <c r="B206" s="21" t="s">
        <v>4763</v>
      </c>
      <c r="C206" s="5" t="s">
        <v>1194</v>
      </c>
      <c r="D206" s="5" t="s">
        <v>4764</v>
      </c>
      <c r="E206" s="5" t="s">
        <v>4765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11" t="s">
        <v>46</v>
      </c>
      <c r="Q206" s="5">
        <v>169.0789</v>
      </c>
      <c r="R206" s="5">
        <f t="shared" si="3"/>
        <v>169.0789</v>
      </c>
      <c r="S206" s="5" t="s">
        <v>67</v>
      </c>
      <c r="T206" s="12">
        <v>203</v>
      </c>
      <c r="U206" s="245" t="s">
        <v>1197</v>
      </c>
      <c r="V206" s="232" t="s">
        <v>1194</v>
      </c>
      <c r="W206" s="232">
        <v>-11467.2</v>
      </c>
      <c r="X206" s="232">
        <v>10357.200000000001</v>
      </c>
      <c r="Y206" s="233" t="s">
        <v>49</v>
      </c>
      <c r="Z206" s="87" t="s">
        <v>50</v>
      </c>
      <c r="AA206" s="233" t="s">
        <v>51</v>
      </c>
      <c r="AB206" s="233" t="s">
        <v>934</v>
      </c>
      <c r="AC206" s="233">
        <v>1</v>
      </c>
      <c r="AD206" s="233" t="s">
        <v>226</v>
      </c>
      <c r="AE206" s="234"/>
      <c r="AF206" s="234"/>
      <c r="AG206" s="234"/>
      <c r="AH206" s="233"/>
      <c r="AI206" s="233"/>
      <c r="AJ206" s="233" t="s">
        <v>1167</v>
      </c>
      <c r="AK206" s="233">
        <v>1500</v>
      </c>
      <c r="AL206" s="233"/>
      <c r="AM206" s="233"/>
      <c r="AN206" s="233"/>
      <c r="AO206" s="233"/>
      <c r="AP206" s="234"/>
      <c r="AQ206" s="234" t="s">
        <v>936</v>
      </c>
    </row>
    <row r="207" spans="1:43">
      <c r="A207" s="12">
        <v>204</v>
      </c>
      <c r="B207" s="21" t="s">
        <v>4766</v>
      </c>
      <c r="C207" s="5" t="s">
        <v>1199</v>
      </c>
      <c r="D207" s="5" t="s">
        <v>4767</v>
      </c>
      <c r="E207" s="5" t="s">
        <v>4768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11" t="s">
        <v>46</v>
      </c>
      <c r="Q207" s="5">
        <v>194.85310000000001</v>
      </c>
      <c r="R207" s="5">
        <f t="shared" si="3"/>
        <v>194.85310000000001</v>
      </c>
      <c r="S207" s="5" t="s">
        <v>395</v>
      </c>
      <c r="T207" s="12">
        <v>204</v>
      </c>
      <c r="U207" s="245" t="s">
        <v>1202</v>
      </c>
      <c r="V207" s="232" t="s">
        <v>1199</v>
      </c>
      <c r="W207" s="232">
        <v>-9973.5</v>
      </c>
      <c r="X207" s="232">
        <v>7962.3</v>
      </c>
      <c r="Y207" s="233" t="s">
        <v>49</v>
      </c>
      <c r="Z207" s="87" t="s">
        <v>50</v>
      </c>
      <c r="AA207" s="233" t="s">
        <v>51</v>
      </c>
      <c r="AB207" s="233" t="s">
        <v>934</v>
      </c>
      <c r="AC207" s="233">
        <v>1</v>
      </c>
      <c r="AD207" s="233" t="s">
        <v>226</v>
      </c>
      <c r="AE207" s="234"/>
      <c r="AF207" s="234"/>
      <c r="AG207" s="234"/>
      <c r="AH207" s="233"/>
      <c r="AI207" s="233"/>
      <c r="AJ207" s="233" t="s">
        <v>1167</v>
      </c>
      <c r="AK207" s="233">
        <v>1500</v>
      </c>
      <c r="AL207" s="233"/>
      <c r="AM207" s="233"/>
      <c r="AN207" s="233"/>
      <c r="AO207" s="233"/>
      <c r="AP207" s="234"/>
      <c r="AQ207" s="234" t="s">
        <v>936</v>
      </c>
    </row>
    <row r="208" spans="1:43">
      <c r="A208" s="12">
        <v>205</v>
      </c>
      <c r="B208" s="21" t="s">
        <v>4769</v>
      </c>
      <c r="C208" s="5" t="s">
        <v>1204</v>
      </c>
      <c r="D208" s="5" t="s">
        <v>4770</v>
      </c>
      <c r="E208" s="5" t="s">
        <v>4771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11" t="s">
        <v>46</v>
      </c>
      <c r="Q208" s="5">
        <v>181.37020000000001</v>
      </c>
      <c r="R208" s="5">
        <f t="shared" si="3"/>
        <v>181.37020000000001</v>
      </c>
      <c r="S208" s="5" t="s">
        <v>395</v>
      </c>
      <c r="T208" s="12">
        <v>205</v>
      </c>
      <c r="U208" s="245" t="s">
        <v>1207</v>
      </c>
      <c r="V208" s="232" t="s">
        <v>1204</v>
      </c>
      <c r="W208" s="232">
        <v>-11553.9</v>
      </c>
      <c r="X208" s="232">
        <v>9009.9</v>
      </c>
      <c r="Y208" s="233" t="s">
        <v>49</v>
      </c>
      <c r="Z208" s="87" t="s">
        <v>50</v>
      </c>
      <c r="AA208" s="233" t="s">
        <v>51</v>
      </c>
      <c r="AB208" s="233" t="s">
        <v>934</v>
      </c>
      <c r="AC208" s="233">
        <v>1</v>
      </c>
      <c r="AD208" s="233" t="s">
        <v>226</v>
      </c>
      <c r="AE208" s="234"/>
      <c r="AF208" s="234"/>
      <c r="AG208" s="234"/>
      <c r="AH208" s="233"/>
      <c r="AI208" s="233"/>
      <c r="AJ208" s="233" t="s">
        <v>1167</v>
      </c>
      <c r="AK208" s="233">
        <v>1500</v>
      </c>
      <c r="AL208" s="233"/>
      <c r="AM208" s="233"/>
      <c r="AN208" s="233"/>
      <c r="AO208" s="233"/>
      <c r="AP208" s="234"/>
      <c r="AQ208" s="234" t="s">
        <v>936</v>
      </c>
    </row>
    <row r="209" spans="1:43">
      <c r="A209" s="12">
        <v>206</v>
      </c>
      <c r="B209" s="21" t="s">
        <v>4772</v>
      </c>
      <c r="C209" s="5" t="s">
        <v>1209</v>
      </c>
      <c r="D209" s="5" t="s">
        <v>4773</v>
      </c>
      <c r="E209" s="5" t="s">
        <v>4774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11" t="s">
        <v>46</v>
      </c>
      <c r="Q209" s="5">
        <v>170.49459999999999</v>
      </c>
      <c r="R209" s="5">
        <f t="shared" si="3"/>
        <v>170.49459999999999</v>
      </c>
      <c r="S209" s="5" t="s">
        <v>395</v>
      </c>
      <c r="T209" s="12">
        <v>206</v>
      </c>
      <c r="U209" s="245" t="s">
        <v>1212</v>
      </c>
      <c r="V209" s="232" t="s">
        <v>1209</v>
      </c>
      <c r="W209" s="232">
        <v>-10389.9</v>
      </c>
      <c r="X209" s="232">
        <v>9205.2999999999993</v>
      </c>
      <c r="Y209" s="233" t="s">
        <v>49</v>
      </c>
      <c r="Z209" s="87" t="s">
        <v>50</v>
      </c>
      <c r="AA209" s="233" t="s">
        <v>51</v>
      </c>
      <c r="AB209" s="233" t="s">
        <v>934</v>
      </c>
      <c r="AC209" s="233">
        <v>1</v>
      </c>
      <c r="AD209" s="233" t="s">
        <v>226</v>
      </c>
      <c r="AE209" s="234"/>
      <c r="AF209" s="234"/>
      <c r="AG209" s="234"/>
      <c r="AH209" s="233"/>
      <c r="AI209" s="233"/>
      <c r="AJ209" s="233"/>
      <c r="AK209" s="233"/>
      <c r="AL209" s="233"/>
      <c r="AM209" s="233"/>
      <c r="AN209" s="233"/>
      <c r="AO209" s="233"/>
      <c r="AP209" s="234"/>
      <c r="AQ209" s="234" t="s">
        <v>936</v>
      </c>
    </row>
    <row r="210" spans="1:43">
      <c r="A210" s="12">
        <v>207</v>
      </c>
      <c r="B210" s="21" t="s">
        <v>4775</v>
      </c>
      <c r="C210" s="5" t="s">
        <v>1214</v>
      </c>
      <c r="D210" s="5" t="s">
        <v>4776</v>
      </c>
      <c r="E210" s="5" t="s">
        <v>4777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11" t="s">
        <v>46</v>
      </c>
      <c r="Q210" s="5">
        <v>165.04329999999999</v>
      </c>
      <c r="R210" s="5">
        <f t="shared" si="3"/>
        <v>165.04329999999999</v>
      </c>
      <c r="S210" s="5" t="s">
        <v>344</v>
      </c>
      <c r="T210" s="12">
        <v>207</v>
      </c>
      <c r="U210" s="245" t="s">
        <v>1217</v>
      </c>
      <c r="V210" s="232" t="s">
        <v>1214</v>
      </c>
      <c r="W210" s="232">
        <v>-8983.5</v>
      </c>
      <c r="X210" s="232">
        <v>6110.3</v>
      </c>
      <c r="Y210" s="233" t="s">
        <v>49</v>
      </c>
      <c r="Z210" s="87" t="s">
        <v>50</v>
      </c>
      <c r="AA210" s="233" t="s">
        <v>51</v>
      </c>
      <c r="AB210" s="233" t="s">
        <v>934</v>
      </c>
      <c r="AC210" s="233">
        <v>1</v>
      </c>
      <c r="AD210" s="233" t="s">
        <v>226</v>
      </c>
      <c r="AE210" s="234"/>
      <c r="AF210" s="234"/>
      <c r="AG210" s="234"/>
      <c r="AH210" s="233"/>
      <c r="AI210" s="233"/>
      <c r="AJ210" s="233" t="s">
        <v>1167</v>
      </c>
      <c r="AK210" s="233">
        <v>1500</v>
      </c>
      <c r="AL210" s="233"/>
      <c r="AM210" s="233"/>
      <c r="AN210" s="233"/>
      <c r="AO210" s="233"/>
      <c r="AP210" s="234"/>
      <c r="AQ210" s="234" t="s">
        <v>936</v>
      </c>
    </row>
    <row r="211" spans="1:43">
      <c r="A211" s="12">
        <v>208</v>
      </c>
      <c r="B211" s="21" t="s">
        <v>4778</v>
      </c>
      <c r="C211" s="5" t="s">
        <v>1219</v>
      </c>
      <c r="D211" s="5" t="s">
        <v>4779</v>
      </c>
      <c r="E211" s="5" t="s">
        <v>4780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11" t="s">
        <v>46</v>
      </c>
      <c r="Q211" s="5">
        <v>176.5249</v>
      </c>
      <c r="R211" s="5">
        <f t="shared" si="3"/>
        <v>176.5249</v>
      </c>
      <c r="S211" s="5" t="s">
        <v>74</v>
      </c>
      <c r="T211" s="12">
        <v>208</v>
      </c>
      <c r="U211" s="245" t="s">
        <v>1222</v>
      </c>
      <c r="V211" s="232" t="s">
        <v>1219</v>
      </c>
      <c r="W211" s="232">
        <v>-11181.6</v>
      </c>
      <c r="X211" s="232">
        <v>10770.7</v>
      </c>
      <c r="Y211" s="233" t="s">
        <v>49</v>
      </c>
      <c r="Z211" s="87" t="s">
        <v>50</v>
      </c>
      <c r="AA211" s="233" t="s">
        <v>51</v>
      </c>
      <c r="AB211" s="233" t="s">
        <v>934</v>
      </c>
      <c r="AC211" s="233">
        <v>1</v>
      </c>
      <c r="AD211" s="233" t="s">
        <v>226</v>
      </c>
      <c r="AE211" s="234"/>
      <c r="AF211" s="234"/>
      <c r="AG211" s="234"/>
      <c r="AH211" s="233"/>
      <c r="AI211" s="233"/>
      <c r="AJ211" s="233" t="s">
        <v>1167</v>
      </c>
      <c r="AK211" s="233">
        <v>1500</v>
      </c>
      <c r="AL211" s="233"/>
      <c r="AM211" s="233"/>
      <c r="AN211" s="233"/>
      <c r="AO211" s="233"/>
      <c r="AP211" s="234"/>
      <c r="AQ211" s="234" t="s">
        <v>936</v>
      </c>
    </row>
    <row r="212" spans="1:43">
      <c r="A212" s="12">
        <v>209</v>
      </c>
      <c r="B212" s="21" t="s">
        <v>4781</v>
      </c>
      <c r="C212" s="5" t="s">
        <v>1224</v>
      </c>
      <c r="D212" s="5" t="s">
        <v>4782</v>
      </c>
      <c r="E212" s="5" t="s">
        <v>4783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11" t="s">
        <v>46</v>
      </c>
      <c r="Q212" s="5">
        <v>171.4503</v>
      </c>
      <c r="R212" s="5">
        <f t="shared" si="3"/>
        <v>171.4503</v>
      </c>
      <c r="S212" s="5" t="s">
        <v>74</v>
      </c>
      <c r="T212" s="12">
        <v>209</v>
      </c>
      <c r="U212" s="245" t="s">
        <v>1227</v>
      </c>
      <c r="V212" s="232" t="s">
        <v>1224</v>
      </c>
      <c r="W212" s="232">
        <v>-7933.8</v>
      </c>
      <c r="X212" s="232">
        <v>7624.6</v>
      </c>
      <c r="Y212" s="233" t="s">
        <v>49</v>
      </c>
      <c r="Z212" s="87" t="s">
        <v>50</v>
      </c>
      <c r="AA212" s="233" t="s">
        <v>51</v>
      </c>
      <c r="AB212" s="233" t="s">
        <v>934</v>
      </c>
      <c r="AC212" s="233">
        <v>1</v>
      </c>
      <c r="AD212" s="233" t="s">
        <v>226</v>
      </c>
      <c r="AE212" s="234"/>
      <c r="AF212" s="234"/>
      <c r="AG212" s="234"/>
      <c r="AH212" s="233"/>
      <c r="AI212" s="233"/>
      <c r="AJ212" s="233" t="s">
        <v>1167</v>
      </c>
      <c r="AK212" s="233">
        <v>1500</v>
      </c>
      <c r="AL212" s="233"/>
      <c r="AM212" s="233"/>
      <c r="AN212" s="233"/>
      <c r="AO212" s="233"/>
      <c r="AP212" s="234"/>
      <c r="AQ212" s="234" t="s">
        <v>936</v>
      </c>
    </row>
    <row r="213" spans="1:43">
      <c r="A213" s="12">
        <v>210</v>
      </c>
      <c r="B213" s="21" t="s">
        <v>4784</v>
      </c>
      <c r="C213" s="5" t="s">
        <v>1229</v>
      </c>
      <c r="D213" s="5" t="s">
        <v>4785</v>
      </c>
      <c r="E213" s="5" t="s">
        <v>4786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11" t="s">
        <v>46</v>
      </c>
      <c r="Q213" s="5">
        <v>165.1241</v>
      </c>
      <c r="R213" s="5">
        <f t="shared" si="3"/>
        <v>165.1241</v>
      </c>
      <c r="S213" s="5" t="s">
        <v>60</v>
      </c>
      <c r="T213" s="12">
        <v>210</v>
      </c>
      <c r="U213" s="245" t="s">
        <v>1232</v>
      </c>
      <c r="V213" s="232" t="s">
        <v>1229</v>
      </c>
      <c r="W213" s="232">
        <v>-10659.4</v>
      </c>
      <c r="X213" s="232">
        <v>10665.3</v>
      </c>
      <c r="Y213" s="233" t="s">
        <v>49</v>
      </c>
      <c r="Z213" s="87" t="s">
        <v>50</v>
      </c>
      <c r="AA213" s="233" t="s">
        <v>51</v>
      </c>
      <c r="AB213" s="233" t="s">
        <v>934</v>
      </c>
      <c r="AC213" s="233">
        <v>1</v>
      </c>
      <c r="AD213" s="233" t="s">
        <v>226</v>
      </c>
      <c r="AE213" s="234"/>
      <c r="AF213" s="234"/>
      <c r="AG213" s="234"/>
      <c r="AH213" s="233"/>
      <c r="AI213" s="233"/>
      <c r="AJ213" s="233" t="s">
        <v>1167</v>
      </c>
      <c r="AK213" s="233">
        <v>1500</v>
      </c>
      <c r="AL213" s="233"/>
      <c r="AM213" s="233"/>
      <c r="AN213" s="233"/>
      <c r="AO213" s="233"/>
      <c r="AP213" s="234"/>
      <c r="AQ213" s="234" t="s">
        <v>936</v>
      </c>
    </row>
    <row r="214" spans="1:43">
      <c r="A214" s="12">
        <v>211</v>
      </c>
      <c r="B214" s="21" t="s">
        <v>4787</v>
      </c>
      <c r="C214" s="5" t="s">
        <v>1234</v>
      </c>
      <c r="D214" s="5" t="s">
        <v>4788</v>
      </c>
      <c r="E214" s="5" t="s">
        <v>4789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11" t="s">
        <v>46</v>
      </c>
      <c r="Q214" s="5">
        <v>166.85720000000001</v>
      </c>
      <c r="R214" s="5">
        <f t="shared" si="3"/>
        <v>166.85720000000001</v>
      </c>
      <c r="S214" s="5" t="s">
        <v>344</v>
      </c>
      <c r="T214" s="12">
        <v>211</v>
      </c>
      <c r="U214" s="245" t="s">
        <v>1237</v>
      </c>
      <c r="V214" s="232" t="s">
        <v>1234</v>
      </c>
      <c r="W214" s="232">
        <v>-10608.3</v>
      </c>
      <c r="X214" s="232">
        <v>9662.5</v>
      </c>
      <c r="Y214" s="233" t="s">
        <v>49</v>
      </c>
      <c r="Z214" s="87" t="s">
        <v>50</v>
      </c>
      <c r="AA214" s="233" t="s">
        <v>51</v>
      </c>
      <c r="AB214" s="233" t="s">
        <v>934</v>
      </c>
      <c r="AC214" s="233">
        <v>1</v>
      </c>
      <c r="AD214" s="233" t="s">
        <v>226</v>
      </c>
      <c r="AE214" s="234"/>
      <c r="AF214" s="234"/>
      <c r="AG214" s="234"/>
      <c r="AH214" s="233"/>
      <c r="AI214" s="233"/>
      <c r="AJ214" s="233" t="s">
        <v>1167</v>
      </c>
      <c r="AK214" s="233">
        <v>1500</v>
      </c>
      <c r="AL214" s="233"/>
      <c r="AM214" s="233"/>
      <c r="AN214" s="233"/>
      <c r="AO214" s="233"/>
      <c r="AP214" s="234"/>
      <c r="AQ214" s="234" t="s">
        <v>936</v>
      </c>
    </row>
    <row r="215" spans="1:43">
      <c r="A215" s="12">
        <v>212</v>
      </c>
      <c r="B215" s="21" t="s">
        <v>4790</v>
      </c>
      <c r="C215" s="5" t="s">
        <v>1239</v>
      </c>
      <c r="D215" s="5" t="s">
        <v>4791</v>
      </c>
      <c r="E215" s="5" t="s">
        <v>4792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11" t="s">
        <v>46</v>
      </c>
      <c r="Q215" s="5">
        <v>173.452</v>
      </c>
      <c r="R215" s="5">
        <f t="shared" si="3"/>
        <v>173.452</v>
      </c>
      <c r="S215" s="5" t="s">
        <v>395</v>
      </c>
      <c r="T215" s="12">
        <v>212</v>
      </c>
      <c r="U215" s="245" t="s">
        <v>1242</v>
      </c>
      <c r="V215" s="232" t="s">
        <v>1239</v>
      </c>
      <c r="W215" s="232">
        <v>-8498.2000000000007</v>
      </c>
      <c r="X215" s="232">
        <v>7554.1</v>
      </c>
      <c r="Y215" s="233" t="s">
        <v>49</v>
      </c>
      <c r="Z215" s="87" t="s">
        <v>50</v>
      </c>
      <c r="AA215" s="233" t="s">
        <v>51</v>
      </c>
      <c r="AB215" s="233" t="s">
        <v>934</v>
      </c>
      <c r="AC215" s="233">
        <v>1</v>
      </c>
      <c r="AD215" s="233" t="s">
        <v>226</v>
      </c>
      <c r="AE215" s="234"/>
      <c r="AF215" s="234"/>
      <c r="AG215" s="234"/>
      <c r="AH215" s="233"/>
      <c r="AI215" s="233"/>
      <c r="AJ215" s="233" t="s">
        <v>1167</v>
      </c>
      <c r="AK215" s="233">
        <v>1500</v>
      </c>
      <c r="AL215" s="233"/>
      <c r="AM215" s="233"/>
      <c r="AN215" s="233"/>
      <c r="AO215" s="233"/>
      <c r="AP215" s="234"/>
      <c r="AQ215" s="234" t="s">
        <v>936</v>
      </c>
    </row>
    <row r="216" spans="1:43">
      <c r="A216" s="12">
        <v>213</v>
      </c>
      <c r="B216" s="21" t="s">
        <v>4793</v>
      </c>
      <c r="C216" s="5" t="s">
        <v>1244</v>
      </c>
      <c r="D216" s="5" t="s">
        <v>4794</v>
      </c>
      <c r="E216" s="5" t="s">
        <v>4795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11" t="s">
        <v>46</v>
      </c>
      <c r="Q216" s="5">
        <v>172.20070000000001</v>
      </c>
      <c r="R216" s="5">
        <f t="shared" si="3"/>
        <v>172.20070000000001</v>
      </c>
      <c r="S216" s="5" t="s">
        <v>74</v>
      </c>
      <c r="T216" s="12">
        <v>213</v>
      </c>
      <c r="U216" s="245" t="s">
        <v>1247</v>
      </c>
      <c r="V216" s="232" t="s">
        <v>1244</v>
      </c>
      <c r="W216" s="232">
        <v>-12141</v>
      </c>
      <c r="X216" s="232">
        <v>9411.9</v>
      </c>
      <c r="Y216" s="233" t="s">
        <v>49</v>
      </c>
      <c r="Z216" s="87" t="s">
        <v>50</v>
      </c>
      <c r="AA216" s="233" t="s">
        <v>51</v>
      </c>
      <c r="AB216" s="233" t="s">
        <v>934</v>
      </c>
      <c r="AC216" s="233">
        <v>1</v>
      </c>
      <c r="AD216" s="233" t="s">
        <v>226</v>
      </c>
      <c r="AE216" s="234"/>
      <c r="AF216" s="234"/>
      <c r="AG216" s="234"/>
      <c r="AH216" s="233"/>
      <c r="AI216" s="233"/>
      <c r="AJ216" s="233" t="s">
        <v>1167</v>
      </c>
      <c r="AK216" s="233">
        <v>1500</v>
      </c>
      <c r="AL216" s="233"/>
      <c r="AM216" s="233"/>
      <c r="AN216" s="233"/>
      <c r="AO216" s="233"/>
      <c r="AP216" s="234"/>
      <c r="AQ216" s="234" t="s">
        <v>936</v>
      </c>
    </row>
    <row r="217" spans="1:43">
      <c r="A217" s="12">
        <v>214</v>
      </c>
      <c r="B217" s="21" t="s">
        <v>4796</v>
      </c>
      <c r="C217" s="5" t="s">
        <v>1249</v>
      </c>
      <c r="D217" s="5" t="s">
        <v>4797</v>
      </c>
      <c r="E217" s="5" t="s">
        <v>4798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11" t="s">
        <v>46</v>
      </c>
      <c r="Q217" s="5">
        <v>174.15289999999999</v>
      </c>
      <c r="R217" s="5">
        <f t="shared" si="3"/>
        <v>174.15289999999999</v>
      </c>
      <c r="S217" s="5" t="s">
        <v>74</v>
      </c>
      <c r="T217" s="12">
        <v>214</v>
      </c>
      <c r="U217" s="245" t="s">
        <v>1252</v>
      </c>
      <c r="V217" s="232" t="s">
        <v>1249</v>
      </c>
      <c r="W217" s="232">
        <v>-12413</v>
      </c>
      <c r="X217" s="232">
        <v>8492.5</v>
      </c>
      <c r="Y217" s="233" t="s">
        <v>49</v>
      </c>
      <c r="Z217" s="87" t="s">
        <v>50</v>
      </c>
      <c r="AA217" s="233" t="s">
        <v>51</v>
      </c>
      <c r="AB217" s="233" t="s">
        <v>934</v>
      </c>
      <c r="AC217" s="233">
        <v>1</v>
      </c>
      <c r="AD217" s="233" t="s">
        <v>226</v>
      </c>
      <c r="AE217" s="234"/>
      <c r="AF217" s="234"/>
      <c r="AG217" s="234"/>
      <c r="AH217" s="233"/>
      <c r="AI217" s="233"/>
      <c r="AJ217" s="233" t="s">
        <v>1167</v>
      </c>
      <c r="AK217" s="233">
        <v>1500</v>
      </c>
      <c r="AL217" s="233"/>
      <c r="AM217" s="233"/>
      <c r="AN217" s="233"/>
      <c r="AO217" s="233"/>
      <c r="AP217" s="234"/>
      <c r="AQ217" s="234" t="s">
        <v>936</v>
      </c>
    </row>
    <row r="218" spans="1:43">
      <c r="A218" s="12">
        <v>215</v>
      </c>
      <c r="B218" s="21" t="s">
        <v>4799</v>
      </c>
      <c r="C218" s="5" t="s">
        <v>1254</v>
      </c>
      <c r="D218" s="5" t="s">
        <v>4800</v>
      </c>
      <c r="E218" s="5" t="s">
        <v>4801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11" t="s">
        <v>46</v>
      </c>
      <c r="Q218" s="5">
        <v>169.8691</v>
      </c>
      <c r="R218" s="5">
        <f t="shared" si="3"/>
        <v>169.8691</v>
      </c>
      <c r="S218" s="5" t="s">
        <v>60</v>
      </c>
      <c r="T218" s="12">
        <v>215</v>
      </c>
      <c r="U218" s="245" t="s">
        <v>1257</v>
      </c>
      <c r="V218" s="232" t="s">
        <v>1254</v>
      </c>
      <c r="W218" s="232">
        <v>-12915.4</v>
      </c>
      <c r="X218" s="232">
        <v>8462.2999999999993</v>
      </c>
      <c r="Y218" s="233" t="s">
        <v>49</v>
      </c>
      <c r="Z218" s="87" t="s">
        <v>50</v>
      </c>
      <c r="AA218" s="233" t="s">
        <v>51</v>
      </c>
      <c r="AB218" s="233" t="s">
        <v>934</v>
      </c>
      <c r="AC218" s="233">
        <v>1</v>
      </c>
      <c r="AD218" s="233" t="s">
        <v>226</v>
      </c>
      <c r="AE218" s="234"/>
      <c r="AF218" s="234"/>
      <c r="AG218" s="234"/>
      <c r="AH218" s="233"/>
      <c r="AI218" s="233"/>
      <c r="AJ218" s="233" t="s">
        <v>1167</v>
      </c>
      <c r="AK218" s="233">
        <v>1500</v>
      </c>
      <c r="AL218" s="233"/>
      <c r="AM218" s="233"/>
      <c r="AN218" s="233"/>
      <c r="AO218" s="233"/>
      <c r="AP218" s="234"/>
      <c r="AQ218" s="234" t="s">
        <v>936</v>
      </c>
    </row>
    <row r="219" spans="1:43">
      <c r="A219" s="12">
        <v>216</v>
      </c>
      <c r="B219" s="21" t="s">
        <v>4802</v>
      </c>
      <c r="C219" s="5" t="s">
        <v>1259</v>
      </c>
      <c r="D219" s="5" t="s">
        <v>4803</v>
      </c>
      <c r="E219" s="5" t="s">
        <v>4804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11" t="s">
        <v>46</v>
      </c>
      <c r="Q219" s="5">
        <v>166.13470000000001</v>
      </c>
      <c r="R219" s="5">
        <f t="shared" si="3"/>
        <v>166.13470000000001</v>
      </c>
      <c r="S219" s="5" t="s">
        <v>60</v>
      </c>
      <c r="T219" s="12">
        <v>216</v>
      </c>
      <c r="U219" s="245" t="s">
        <v>1262</v>
      </c>
      <c r="V219" s="232" t="s">
        <v>1259</v>
      </c>
      <c r="W219" s="232">
        <v>-10633.2</v>
      </c>
      <c r="X219" s="232">
        <v>8765.7000000000007</v>
      </c>
      <c r="Y219" s="233" t="s">
        <v>49</v>
      </c>
      <c r="Z219" s="87" t="s">
        <v>50</v>
      </c>
      <c r="AA219" s="233" t="s">
        <v>51</v>
      </c>
      <c r="AB219" s="233" t="s">
        <v>934</v>
      </c>
      <c r="AC219" s="233">
        <v>1</v>
      </c>
      <c r="AD219" s="233" t="s">
        <v>226</v>
      </c>
      <c r="AE219" s="234"/>
      <c r="AF219" s="234"/>
      <c r="AG219" s="234"/>
      <c r="AH219" s="233"/>
      <c r="AI219" s="233"/>
      <c r="AJ219" s="233" t="s">
        <v>1167</v>
      </c>
      <c r="AK219" s="233">
        <v>1500</v>
      </c>
      <c r="AL219" s="233"/>
      <c r="AM219" s="233"/>
      <c r="AN219" s="233"/>
      <c r="AO219" s="233"/>
      <c r="AP219" s="234"/>
      <c r="AQ219" s="234" t="s">
        <v>936</v>
      </c>
    </row>
    <row r="220" spans="1:43">
      <c r="A220" s="12">
        <v>217</v>
      </c>
      <c r="B220" s="21" t="s">
        <v>4805</v>
      </c>
      <c r="C220" s="5" t="s">
        <v>1264</v>
      </c>
      <c r="D220" s="5" t="s">
        <v>4806</v>
      </c>
      <c r="E220" s="5" t="s">
        <v>4807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11" t="s">
        <v>46</v>
      </c>
      <c r="Q220" s="5">
        <v>165.53559999999999</v>
      </c>
      <c r="R220" s="5">
        <f t="shared" si="3"/>
        <v>165.53559999999999</v>
      </c>
      <c r="S220" s="5" t="s">
        <v>395</v>
      </c>
      <c r="T220" s="12">
        <v>217</v>
      </c>
      <c r="U220" s="245" t="s">
        <v>1267</v>
      </c>
      <c r="V220" s="232" t="s">
        <v>1264</v>
      </c>
      <c r="W220" s="232">
        <v>-11787</v>
      </c>
      <c r="X220" s="232">
        <v>9771.9</v>
      </c>
      <c r="Y220" s="233" t="s">
        <v>49</v>
      </c>
      <c r="Z220" s="87" t="s">
        <v>50</v>
      </c>
      <c r="AA220" s="233" t="s">
        <v>51</v>
      </c>
      <c r="AB220" s="233" t="s">
        <v>934</v>
      </c>
      <c r="AC220" s="233">
        <v>1</v>
      </c>
      <c r="AD220" s="233" t="s">
        <v>226</v>
      </c>
      <c r="AE220" s="234"/>
      <c r="AF220" s="234"/>
      <c r="AG220" s="234"/>
      <c r="AH220" s="233"/>
      <c r="AI220" s="233"/>
      <c r="AJ220" s="233" t="s">
        <v>1167</v>
      </c>
      <c r="AK220" s="233">
        <v>1500</v>
      </c>
      <c r="AL220" s="233"/>
      <c r="AM220" s="233"/>
      <c r="AN220" s="233"/>
      <c r="AO220" s="233"/>
      <c r="AP220" s="234"/>
      <c r="AQ220" s="234" t="s">
        <v>936</v>
      </c>
    </row>
    <row r="221" spans="1:43">
      <c r="A221" s="12">
        <v>218</v>
      </c>
      <c r="B221" s="21" t="s">
        <v>4808</v>
      </c>
      <c r="C221" s="5" t="s">
        <v>1269</v>
      </c>
      <c r="D221" s="5" t="s">
        <v>4809</v>
      </c>
      <c r="E221" s="5" t="s">
        <v>4810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11" t="s">
        <v>46</v>
      </c>
      <c r="Q221" s="5">
        <v>180.38800000000001</v>
      </c>
      <c r="R221" s="5">
        <f t="shared" si="3"/>
        <v>180.38800000000001</v>
      </c>
      <c r="S221" s="5" t="s">
        <v>67</v>
      </c>
      <c r="T221" s="12">
        <v>218</v>
      </c>
      <c r="U221" s="245" t="s">
        <v>1272</v>
      </c>
      <c r="V221" s="232" t="s">
        <v>1269</v>
      </c>
      <c r="W221" s="232">
        <v>-8005.6</v>
      </c>
      <c r="X221" s="232">
        <v>8695.7999999999993</v>
      </c>
      <c r="Y221" s="233" t="s">
        <v>49</v>
      </c>
      <c r="Z221" s="87" t="s">
        <v>50</v>
      </c>
      <c r="AA221" s="233" t="s">
        <v>51</v>
      </c>
      <c r="AB221" s="233" t="s">
        <v>934</v>
      </c>
      <c r="AC221" s="233">
        <v>1</v>
      </c>
      <c r="AD221" s="233" t="s">
        <v>226</v>
      </c>
      <c r="AE221" s="234"/>
      <c r="AF221" s="234"/>
      <c r="AG221" s="234"/>
      <c r="AH221" s="233"/>
      <c r="AI221" s="233"/>
      <c r="AJ221" s="233" t="s">
        <v>1167</v>
      </c>
      <c r="AK221" s="233">
        <v>1500</v>
      </c>
      <c r="AL221" s="233"/>
      <c r="AM221" s="233"/>
      <c r="AN221" s="233"/>
      <c r="AO221" s="233"/>
      <c r="AP221" s="234"/>
      <c r="AQ221" s="234" t="s">
        <v>936</v>
      </c>
    </row>
    <row r="222" spans="1:43">
      <c r="A222" s="12">
        <v>219</v>
      </c>
      <c r="B222" s="21" t="s">
        <v>4811</v>
      </c>
      <c r="C222" s="5" t="s">
        <v>1274</v>
      </c>
      <c r="D222" s="5" t="s">
        <v>4812</v>
      </c>
      <c r="E222" s="5" t="s">
        <v>4813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11" t="s">
        <v>46</v>
      </c>
      <c r="Q222" s="5">
        <v>230.8827</v>
      </c>
      <c r="R222" s="5">
        <f t="shared" si="3"/>
        <v>230.8827</v>
      </c>
      <c r="S222" s="5" t="s">
        <v>685</v>
      </c>
      <c r="T222" s="12">
        <v>219</v>
      </c>
      <c r="U222" s="246" t="s">
        <v>1277</v>
      </c>
      <c r="V222" s="232" t="s">
        <v>1274</v>
      </c>
      <c r="W222" s="232">
        <v>-10316.299999999999</v>
      </c>
      <c r="X222" s="232">
        <v>3843</v>
      </c>
      <c r="Y222" s="233" t="s">
        <v>49</v>
      </c>
      <c r="Z222" s="87" t="s">
        <v>50</v>
      </c>
      <c r="AA222" s="233" t="s">
        <v>51</v>
      </c>
      <c r="AB222" s="234"/>
      <c r="AC222" s="233">
        <v>1</v>
      </c>
      <c r="AD222" s="233" t="s">
        <v>226</v>
      </c>
      <c r="AE222" s="234"/>
      <c r="AF222" s="234"/>
      <c r="AG222" s="234"/>
      <c r="AH222" s="233"/>
      <c r="AI222" s="233"/>
      <c r="AJ222" s="233"/>
      <c r="AK222" s="233"/>
      <c r="AL222" s="233"/>
      <c r="AM222" s="233"/>
      <c r="AN222" s="233"/>
      <c r="AO222" s="233"/>
      <c r="AP222" s="234"/>
      <c r="AQ222" s="234" t="s">
        <v>333</v>
      </c>
    </row>
    <row r="223" spans="1:43">
      <c r="A223" s="12">
        <v>220</v>
      </c>
      <c r="B223" s="21" t="s">
        <v>4814</v>
      </c>
      <c r="C223" s="5" t="s">
        <v>1279</v>
      </c>
      <c r="D223" s="5" t="s">
        <v>4815</v>
      </c>
      <c r="E223" s="5" t="s">
        <v>4816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11" t="s">
        <v>46</v>
      </c>
      <c r="Q223" s="5">
        <v>201.4212</v>
      </c>
      <c r="R223" s="5">
        <f t="shared" si="3"/>
        <v>201.4212</v>
      </c>
      <c r="S223" s="5" t="s">
        <v>395</v>
      </c>
      <c r="T223" s="12">
        <v>220</v>
      </c>
      <c r="U223" s="246" t="s">
        <v>1282</v>
      </c>
      <c r="V223" s="232" t="s">
        <v>1279</v>
      </c>
      <c r="W223" s="232">
        <v>-12413</v>
      </c>
      <c r="X223" s="232">
        <v>4098.3</v>
      </c>
      <c r="Y223" s="233" t="s">
        <v>49</v>
      </c>
      <c r="Z223" s="87" t="s">
        <v>50</v>
      </c>
      <c r="AA223" s="233" t="s">
        <v>51</v>
      </c>
      <c r="AB223" s="234"/>
      <c r="AC223" s="233">
        <v>1</v>
      </c>
      <c r="AD223" s="233" t="s">
        <v>226</v>
      </c>
      <c r="AE223" s="234"/>
      <c r="AF223" s="234"/>
      <c r="AG223" s="234"/>
      <c r="AH223" s="233"/>
      <c r="AI223" s="233"/>
      <c r="AJ223" s="233"/>
      <c r="AK223" s="233"/>
      <c r="AL223" s="233"/>
      <c r="AM223" s="233"/>
      <c r="AN223" s="233"/>
      <c r="AO223" s="233"/>
      <c r="AP223" s="234"/>
      <c r="AQ223" s="234" t="s">
        <v>333</v>
      </c>
    </row>
    <row r="224" spans="1:43">
      <c r="A224" s="12">
        <v>221</v>
      </c>
      <c r="B224" s="21" t="s">
        <v>4817</v>
      </c>
      <c r="C224" s="5" t="s">
        <v>1284</v>
      </c>
      <c r="D224" s="5" t="s">
        <v>4818</v>
      </c>
      <c r="E224" s="5" t="s">
        <v>4819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11" t="s">
        <v>46</v>
      </c>
      <c r="Q224" s="5">
        <v>185.45529999999999</v>
      </c>
      <c r="R224" s="5">
        <f t="shared" si="3"/>
        <v>185.45529999999999</v>
      </c>
      <c r="S224" s="5" t="s">
        <v>344</v>
      </c>
      <c r="T224" s="12">
        <v>221</v>
      </c>
      <c r="U224" s="246" t="s">
        <v>1287</v>
      </c>
      <c r="V224" s="232" t="s">
        <v>1284</v>
      </c>
      <c r="W224" s="232">
        <v>-10945.9</v>
      </c>
      <c r="X224" s="232">
        <v>4224</v>
      </c>
      <c r="Y224" s="233" t="s">
        <v>49</v>
      </c>
      <c r="Z224" s="87" t="s">
        <v>50</v>
      </c>
      <c r="AA224" s="233" t="s">
        <v>51</v>
      </c>
      <c r="AB224" s="233" t="s">
        <v>934</v>
      </c>
      <c r="AC224" s="233">
        <v>1</v>
      </c>
      <c r="AD224" s="233" t="s">
        <v>226</v>
      </c>
      <c r="AE224" s="234"/>
      <c r="AF224" s="234"/>
      <c r="AG224" s="234"/>
      <c r="AH224" s="233"/>
      <c r="AI224" s="233"/>
      <c r="AJ224" s="233" t="s">
        <v>1167</v>
      </c>
      <c r="AK224" s="233">
        <v>1500</v>
      </c>
      <c r="AL224" s="233"/>
      <c r="AM224" s="233"/>
      <c r="AN224" s="233"/>
      <c r="AO224" s="233"/>
      <c r="AP224" s="234"/>
      <c r="AQ224" s="234" t="s">
        <v>936</v>
      </c>
    </row>
    <row r="225" spans="1:43">
      <c r="A225" s="12">
        <v>222</v>
      </c>
      <c r="B225" s="21" t="s">
        <v>4820</v>
      </c>
      <c r="C225" s="5" t="s">
        <v>1289</v>
      </c>
      <c r="D225" s="5" t="s">
        <v>4821</v>
      </c>
      <c r="E225" s="5" t="s">
        <v>4822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11" t="s">
        <v>46</v>
      </c>
      <c r="Q225" s="5">
        <v>172.25909999999999</v>
      </c>
      <c r="R225" s="5">
        <f t="shared" si="3"/>
        <v>172.25909999999999</v>
      </c>
      <c r="S225" s="5" t="s">
        <v>60</v>
      </c>
      <c r="T225" s="12">
        <v>222</v>
      </c>
      <c r="U225" s="246" t="s">
        <v>1292</v>
      </c>
      <c r="V225" s="232" t="s">
        <v>1289</v>
      </c>
      <c r="W225" s="232">
        <v>-12786.5</v>
      </c>
      <c r="X225" s="232">
        <v>5587</v>
      </c>
      <c r="Y225" s="233" t="s">
        <v>49</v>
      </c>
      <c r="Z225" s="87" t="s">
        <v>50</v>
      </c>
      <c r="AA225" s="233" t="s">
        <v>51</v>
      </c>
      <c r="AB225" s="233" t="s">
        <v>934</v>
      </c>
      <c r="AC225" s="233">
        <v>1</v>
      </c>
      <c r="AD225" s="233" t="s">
        <v>226</v>
      </c>
      <c r="AE225" s="234"/>
      <c r="AF225" s="234"/>
      <c r="AG225" s="234"/>
      <c r="AH225" s="233"/>
      <c r="AI225" s="233"/>
      <c r="AJ225" s="233" t="s">
        <v>1167</v>
      </c>
      <c r="AK225" s="233">
        <v>1500</v>
      </c>
      <c r="AL225" s="233"/>
      <c r="AM225" s="233"/>
      <c r="AN225" s="233"/>
      <c r="AO225" s="233"/>
      <c r="AP225" s="234"/>
      <c r="AQ225" s="234" t="s">
        <v>936</v>
      </c>
    </row>
    <row r="226" spans="1:43">
      <c r="A226" s="12">
        <v>223</v>
      </c>
      <c r="B226" s="21" t="s">
        <v>4823</v>
      </c>
      <c r="C226" s="5" t="s">
        <v>1294</v>
      </c>
      <c r="D226" s="5" t="s">
        <v>4824</v>
      </c>
      <c r="E226" s="5" t="s">
        <v>4825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11" t="s">
        <v>46</v>
      </c>
      <c r="Q226" s="5">
        <v>179.08</v>
      </c>
      <c r="R226" s="5">
        <f t="shared" si="3"/>
        <v>179.08</v>
      </c>
      <c r="S226" s="5" t="s">
        <v>706</v>
      </c>
      <c r="T226" s="12">
        <v>223</v>
      </c>
      <c r="U226" s="246" t="s">
        <v>1297</v>
      </c>
      <c r="V226" s="232" t="s">
        <v>1294</v>
      </c>
      <c r="W226" s="232">
        <v>-10289.299999999999</v>
      </c>
      <c r="X226" s="232">
        <v>6694.5</v>
      </c>
      <c r="Y226" s="233" t="s">
        <v>49</v>
      </c>
      <c r="Z226" s="87" t="s">
        <v>50</v>
      </c>
      <c r="AA226" s="233" t="s">
        <v>51</v>
      </c>
      <c r="AB226" s="233" t="s">
        <v>934</v>
      </c>
      <c r="AC226" s="233">
        <v>1</v>
      </c>
      <c r="AD226" s="233" t="s">
        <v>226</v>
      </c>
      <c r="AE226" s="234"/>
      <c r="AF226" s="234"/>
      <c r="AG226" s="234"/>
      <c r="AH226" s="233"/>
      <c r="AI226" s="233"/>
      <c r="AJ226" s="233" t="s">
        <v>1167</v>
      </c>
      <c r="AK226" s="233">
        <v>1500</v>
      </c>
      <c r="AL226" s="233"/>
      <c r="AM226" s="233"/>
      <c r="AN226" s="233"/>
      <c r="AO226" s="233"/>
      <c r="AP226" s="234"/>
      <c r="AQ226" s="234" t="s">
        <v>936</v>
      </c>
    </row>
    <row r="227" spans="1:43">
      <c r="A227" s="12">
        <v>224</v>
      </c>
      <c r="B227" s="21" t="s">
        <v>4826</v>
      </c>
      <c r="C227" s="5" t="s">
        <v>1299</v>
      </c>
      <c r="D227" s="5" t="s">
        <v>4827</v>
      </c>
      <c r="E227" s="5" t="s">
        <v>4828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11" t="s">
        <v>46</v>
      </c>
      <c r="Q227" s="5">
        <v>185.74950000000001</v>
      </c>
      <c r="R227" s="5">
        <f t="shared" si="3"/>
        <v>185.74950000000001</v>
      </c>
      <c r="S227" s="5" t="s">
        <v>706</v>
      </c>
      <c r="T227" s="12">
        <v>224</v>
      </c>
      <c r="U227" s="246" t="s">
        <v>1302</v>
      </c>
      <c r="V227" s="232" t="s">
        <v>1299</v>
      </c>
      <c r="W227" s="232">
        <v>-11455.4</v>
      </c>
      <c r="X227" s="232">
        <v>5995.7</v>
      </c>
      <c r="Y227" s="233" t="s">
        <v>49</v>
      </c>
      <c r="Z227" s="87" t="s">
        <v>50</v>
      </c>
      <c r="AA227" s="233" t="s">
        <v>51</v>
      </c>
      <c r="AB227" s="233" t="s">
        <v>934</v>
      </c>
      <c r="AC227" s="233">
        <v>1</v>
      </c>
      <c r="AD227" s="233" t="s">
        <v>226</v>
      </c>
      <c r="AE227" s="234"/>
      <c r="AF227" s="234"/>
      <c r="AG227" s="234"/>
      <c r="AH227" s="233"/>
      <c r="AI227" s="233"/>
      <c r="AJ227" s="233" t="s">
        <v>1167</v>
      </c>
      <c r="AK227" s="233">
        <v>1500</v>
      </c>
      <c r="AL227" s="233"/>
      <c r="AM227" s="233"/>
      <c r="AN227" s="233"/>
      <c r="AO227" s="233"/>
      <c r="AP227" s="234"/>
      <c r="AQ227" s="234" t="s">
        <v>936</v>
      </c>
    </row>
    <row r="228" spans="1:43">
      <c r="A228" s="12">
        <v>225</v>
      </c>
      <c r="B228" s="21" t="s">
        <v>4829</v>
      </c>
      <c r="C228" s="5" t="s">
        <v>1304</v>
      </c>
      <c r="D228" s="5" t="s">
        <v>4830</v>
      </c>
      <c r="E228" s="5" t="s">
        <v>4831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11" t="s">
        <v>46</v>
      </c>
      <c r="Q228" s="5">
        <v>165.75810000000001</v>
      </c>
      <c r="R228" s="5">
        <f t="shared" si="3"/>
        <v>165.75810000000001</v>
      </c>
      <c r="S228" s="5" t="s">
        <v>60</v>
      </c>
      <c r="T228" s="12">
        <v>225</v>
      </c>
      <c r="U228" s="246" t="s">
        <v>1307</v>
      </c>
      <c r="V228" s="232" t="s">
        <v>1304</v>
      </c>
      <c r="W228" s="232">
        <v>-12915.4</v>
      </c>
      <c r="X228" s="232">
        <v>6265.2</v>
      </c>
      <c r="Y228" s="233" t="s">
        <v>49</v>
      </c>
      <c r="Z228" s="87" t="s">
        <v>50</v>
      </c>
      <c r="AA228" s="233" t="s">
        <v>51</v>
      </c>
      <c r="AB228" s="233" t="s">
        <v>934</v>
      </c>
      <c r="AC228" s="233">
        <v>1</v>
      </c>
      <c r="AD228" s="233" t="s">
        <v>226</v>
      </c>
      <c r="AE228" s="234"/>
      <c r="AF228" s="234"/>
      <c r="AG228" s="234"/>
      <c r="AH228" s="233"/>
      <c r="AI228" s="233"/>
      <c r="AJ228" s="233" t="s">
        <v>1167</v>
      </c>
      <c r="AK228" s="233">
        <v>1500</v>
      </c>
      <c r="AL228" s="233"/>
      <c r="AM228" s="233"/>
      <c r="AN228" s="233"/>
      <c r="AO228" s="233"/>
      <c r="AP228" s="234"/>
      <c r="AQ228" s="234" t="s">
        <v>936</v>
      </c>
    </row>
    <row r="229" spans="1:43">
      <c r="A229" s="12">
        <v>226</v>
      </c>
      <c r="B229" s="21" t="s">
        <v>4832</v>
      </c>
      <c r="C229" s="5" t="s">
        <v>1309</v>
      </c>
      <c r="D229" s="5" t="s">
        <v>4833</v>
      </c>
      <c r="E229" s="5" t="s">
        <v>4834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11" t="s">
        <v>46</v>
      </c>
      <c r="Q229" s="5">
        <v>170.5472</v>
      </c>
      <c r="R229" s="5">
        <f t="shared" si="3"/>
        <v>170.5472</v>
      </c>
      <c r="S229" s="5" t="s">
        <v>344</v>
      </c>
      <c r="T229" s="12">
        <v>226</v>
      </c>
      <c r="U229" s="246" t="s">
        <v>1312</v>
      </c>
      <c r="V229" s="232" t="s">
        <v>1309</v>
      </c>
      <c r="W229" s="232">
        <v>-10945.9</v>
      </c>
      <c r="X229" s="232">
        <v>5854.3</v>
      </c>
      <c r="Y229" s="233" t="s">
        <v>49</v>
      </c>
      <c r="Z229" s="87" t="s">
        <v>50</v>
      </c>
      <c r="AA229" s="233" t="s">
        <v>51</v>
      </c>
      <c r="AB229" s="233" t="s">
        <v>934</v>
      </c>
      <c r="AC229" s="233">
        <v>1</v>
      </c>
      <c r="AD229" s="233" t="s">
        <v>226</v>
      </c>
      <c r="AE229" s="234"/>
      <c r="AF229" s="234"/>
      <c r="AG229" s="234"/>
      <c r="AH229" s="233"/>
      <c r="AI229" s="233"/>
      <c r="AJ229" s="233" t="s">
        <v>1167</v>
      </c>
      <c r="AK229" s="233">
        <v>1500</v>
      </c>
      <c r="AL229" s="233"/>
      <c r="AM229" s="233"/>
      <c r="AN229" s="233"/>
      <c r="AO229" s="233"/>
      <c r="AP229" s="234"/>
      <c r="AQ229" s="234" t="s">
        <v>936</v>
      </c>
    </row>
    <row r="230" spans="1:43">
      <c r="A230" s="12">
        <v>227</v>
      </c>
      <c r="B230" s="21" t="s">
        <v>4835</v>
      </c>
      <c r="C230" s="5" t="s">
        <v>1314</v>
      </c>
      <c r="D230" s="5" t="s">
        <v>4836</v>
      </c>
      <c r="E230" s="5" t="s">
        <v>4837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11" t="s">
        <v>46</v>
      </c>
      <c r="Q230" s="5">
        <v>182.4742</v>
      </c>
      <c r="R230" s="5">
        <f t="shared" si="3"/>
        <v>182.4742</v>
      </c>
      <c r="S230" s="5" t="s">
        <v>706</v>
      </c>
      <c r="T230" s="12">
        <v>227</v>
      </c>
      <c r="U230" s="246" t="s">
        <v>1317</v>
      </c>
      <c r="V230" s="232" t="s">
        <v>1314</v>
      </c>
      <c r="W230" s="232">
        <v>-11697.7</v>
      </c>
      <c r="X230" s="232">
        <v>4471.3999999999996</v>
      </c>
      <c r="Y230" s="233" t="s">
        <v>49</v>
      </c>
      <c r="Z230" s="87" t="s">
        <v>50</v>
      </c>
      <c r="AA230" s="233" t="s">
        <v>51</v>
      </c>
      <c r="AB230" s="233" t="s">
        <v>934</v>
      </c>
      <c r="AC230" s="233">
        <v>1</v>
      </c>
      <c r="AD230" s="233" t="s">
        <v>226</v>
      </c>
      <c r="AE230" s="234"/>
      <c r="AF230" s="234"/>
      <c r="AG230" s="234"/>
      <c r="AH230" s="233"/>
      <c r="AI230" s="233"/>
      <c r="AJ230" s="233" t="s">
        <v>1167</v>
      </c>
      <c r="AK230" s="233">
        <v>1500</v>
      </c>
      <c r="AL230" s="233"/>
      <c r="AM230" s="233"/>
      <c r="AN230" s="233"/>
      <c r="AO230" s="233"/>
      <c r="AP230" s="234"/>
      <c r="AQ230" s="234" t="s">
        <v>936</v>
      </c>
    </row>
    <row r="231" spans="1:43">
      <c r="A231" s="12">
        <v>228</v>
      </c>
      <c r="B231" s="21" t="s">
        <v>4838</v>
      </c>
      <c r="C231" s="5" t="s">
        <v>1319</v>
      </c>
      <c r="D231" s="5" t="s">
        <v>4839</v>
      </c>
      <c r="E231" s="5" t="s">
        <v>4840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11" t="s">
        <v>46</v>
      </c>
      <c r="Q231" s="5">
        <v>184.21469999999999</v>
      </c>
      <c r="R231" s="5">
        <f t="shared" si="3"/>
        <v>184.21469999999999</v>
      </c>
      <c r="S231" s="5" t="s">
        <v>60</v>
      </c>
      <c r="T231" s="12">
        <v>228</v>
      </c>
      <c r="U231" s="246" t="s">
        <v>1322</v>
      </c>
      <c r="V231" s="232" t="s">
        <v>1319</v>
      </c>
      <c r="W231" s="232">
        <v>-12915.4</v>
      </c>
      <c r="X231" s="232">
        <v>4068.1</v>
      </c>
      <c r="Y231" s="233" t="s">
        <v>49</v>
      </c>
      <c r="Z231" s="87" t="s">
        <v>50</v>
      </c>
      <c r="AA231" s="233" t="s">
        <v>51</v>
      </c>
      <c r="AB231" s="233" t="s">
        <v>934</v>
      </c>
      <c r="AC231" s="233">
        <v>1</v>
      </c>
      <c r="AD231" s="233" t="s">
        <v>226</v>
      </c>
      <c r="AE231" s="234"/>
      <c r="AF231" s="234"/>
      <c r="AG231" s="234"/>
      <c r="AH231" s="233"/>
      <c r="AI231" s="233"/>
      <c r="AJ231" s="233" t="s">
        <v>1167</v>
      </c>
      <c r="AK231" s="233">
        <v>1500</v>
      </c>
      <c r="AL231" s="233"/>
      <c r="AM231" s="233"/>
      <c r="AN231" s="233"/>
      <c r="AO231" s="233"/>
      <c r="AP231" s="234"/>
      <c r="AQ231" s="234" t="s">
        <v>936</v>
      </c>
    </row>
    <row r="232" spans="1:43">
      <c r="A232" s="12">
        <v>229</v>
      </c>
      <c r="B232" s="21" t="s">
        <v>4841</v>
      </c>
      <c r="C232" s="5" t="s">
        <v>1324</v>
      </c>
      <c r="D232" s="5" t="s">
        <v>4842</v>
      </c>
      <c r="E232" s="5" t="s">
        <v>4843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11" t="s">
        <v>46</v>
      </c>
      <c r="Q232" s="5">
        <v>170.77199999999999</v>
      </c>
      <c r="R232" s="5">
        <f t="shared" si="3"/>
        <v>170.77199999999999</v>
      </c>
      <c r="S232" s="5" t="s">
        <v>706</v>
      </c>
      <c r="T232" s="12">
        <v>229</v>
      </c>
      <c r="U232" s="246" t="s">
        <v>1327</v>
      </c>
      <c r="V232" s="232" t="s">
        <v>1324</v>
      </c>
      <c r="W232" s="232">
        <v>-9665.7000000000007</v>
      </c>
      <c r="X232" s="232">
        <v>5133.3</v>
      </c>
      <c r="Y232" s="233" t="s">
        <v>49</v>
      </c>
      <c r="Z232" s="87" t="s">
        <v>50</v>
      </c>
      <c r="AA232" s="233" t="s">
        <v>51</v>
      </c>
      <c r="AB232" s="233" t="s">
        <v>934</v>
      </c>
      <c r="AC232" s="233">
        <v>1</v>
      </c>
      <c r="AD232" s="233" t="s">
        <v>226</v>
      </c>
      <c r="AE232" s="234"/>
      <c r="AF232" s="234"/>
      <c r="AG232" s="234"/>
      <c r="AH232" s="233"/>
      <c r="AI232" s="233"/>
      <c r="AJ232" s="233" t="s">
        <v>1167</v>
      </c>
      <c r="AK232" s="233">
        <v>1500</v>
      </c>
      <c r="AL232" s="233"/>
      <c r="AM232" s="233"/>
      <c r="AN232" s="233"/>
      <c r="AO232" s="233"/>
      <c r="AP232" s="234"/>
      <c r="AQ232" s="234" t="s">
        <v>936</v>
      </c>
    </row>
    <row r="233" spans="1:43">
      <c r="A233" s="12">
        <v>230</v>
      </c>
      <c r="B233" s="21" t="s">
        <v>4844</v>
      </c>
      <c r="C233" s="5" t="s">
        <v>1329</v>
      </c>
      <c r="D233" s="5" t="s">
        <v>4845</v>
      </c>
      <c r="E233" s="5" t="s">
        <v>4846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11" t="s">
        <v>46</v>
      </c>
      <c r="Q233" s="5">
        <v>179.25479999999999</v>
      </c>
      <c r="R233" s="5">
        <f t="shared" si="3"/>
        <v>179.25479999999999</v>
      </c>
      <c r="S233" s="5" t="s">
        <v>67</v>
      </c>
      <c r="T233" s="12">
        <v>230</v>
      </c>
      <c r="U233" s="246" t="s">
        <v>1332</v>
      </c>
      <c r="V233" s="232" t="s">
        <v>1329</v>
      </c>
      <c r="W233" s="232">
        <v>-10945.9</v>
      </c>
      <c r="X233" s="232">
        <v>7035.5</v>
      </c>
      <c r="Y233" s="233" t="s">
        <v>49</v>
      </c>
      <c r="Z233" s="87" t="s">
        <v>50</v>
      </c>
      <c r="AA233" s="233" t="s">
        <v>51</v>
      </c>
      <c r="AB233" s="233" t="s">
        <v>934</v>
      </c>
      <c r="AC233" s="233">
        <v>1</v>
      </c>
      <c r="AD233" s="233" t="s">
        <v>226</v>
      </c>
      <c r="AE233" s="234"/>
      <c r="AF233" s="234"/>
      <c r="AG233" s="234"/>
      <c r="AH233" s="233"/>
      <c r="AI233" s="233"/>
      <c r="AJ233" s="233" t="s">
        <v>1167</v>
      </c>
      <c r="AK233" s="233">
        <v>1500</v>
      </c>
      <c r="AL233" s="233"/>
      <c r="AM233" s="233"/>
      <c r="AN233" s="233"/>
      <c r="AO233" s="233"/>
      <c r="AP233" s="234"/>
      <c r="AQ233" s="234" t="s">
        <v>936</v>
      </c>
    </row>
    <row r="234" spans="1:43">
      <c r="A234" s="12">
        <v>231</v>
      </c>
      <c r="B234" s="21" t="s">
        <v>4847</v>
      </c>
      <c r="C234" s="5" t="s">
        <v>1334</v>
      </c>
      <c r="D234" s="5" t="s">
        <v>4848</v>
      </c>
      <c r="E234" s="5" t="s">
        <v>4849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11" t="s">
        <v>46</v>
      </c>
      <c r="Q234" s="5">
        <v>195.4487</v>
      </c>
      <c r="R234" s="5">
        <f t="shared" si="3"/>
        <v>195.4487</v>
      </c>
      <c r="S234" s="5" t="s">
        <v>395</v>
      </c>
      <c r="T234" s="12">
        <v>231</v>
      </c>
      <c r="U234" s="246" t="s">
        <v>1337</v>
      </c>
      <c r="V234" s="232" t="s">
        <v>1334</v>
      </c>
      <c r="W234" s="232">
        <v>-12159</v>
      </c>
      <c r="X234" s="232">
        <v>5080</v>
      </c>
      <c r="Y234" s="233" t="s">
        <v>49</v>
      </c>
      <c r="Z234" s="87" t="s">
        <v>50</v>
      </c>
      <c r="AA234" s="233" t="s">
        <v>51</v>
      </c>
      <c r="AB234" s="234"/>
      <c r="AC234" s="233">
        <v>1</v>
      </c>
      <c r="AD234" s="233" t="s">
        <v>226</v>
      </c>
      <c r="AE234" s="234"/>
      <c r="AF234" s="234"/>
      <c r="AG234" s="234"/>
      <c r="AH234" s="233"/>
      <c r="AI234" s="233"/>
      <c r="AJ234" s="233"/>
      <c r="AK234" s="233"/>
      <c r="AL234" s="233"/>
      <c r="AM234" s="233"/>
      <c r="AN234" s="233"/>
      <c r="AO234" s="233"/>
      <c r="AP234" s="234"/>
      <c r="AQ234" s="234" t="s">
        <v>333</v>
      </c>
    </row>
    <row r="235" spans="1:43">
      <c r="A235" s="12">
        <v>232</v>
      </c>
      <c r="B235" s="21" t="s">
        <v>4850</v>
      </c>
      <c r="C235" s="5" t="s">
        <v>1339</v>
      </c>
      <c r="D235" s="5" t="s">
        <v>4851</v>
      </c>
      <c r="E235" s="5" t="s">
        <v>4852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11" t="s">
        <v>46</v>
      </c>
      <c r="Q235" s="5">
        <v>173.26009999999999</v>
      </c>
      <c r="R235" s="5">
        <f t="shared" si="3"/>
        <v>173.26009999999999</v>
      </c>
      <c r="S235" s="5" t="s">
        <v>67</v>
      </c>
      <c r="T235" s="12">
        <v>232</v>
      </c>
      <c r="U235" s="246" t="s">
        <v>1342</v>
      </c>
      <c r="V235" s="232" t="s">
        <v>1339</v>
      </c>
      <c r="W235" s="232">
        <v>-11912.6</v>
      </c>
      <c r="X235" s="232">
        <v>6214.1</v>
      </c>
      <c r="Y235" s="233" t="s">
        <v>49</v>
      </c>
      <c r="Z235" s="87" t="s">
        <v>50</v>
      </c>
      <c r="AA235" s="233" t="s">
        <v>51</v>
      </c>
      <c r="AB235" s="233" t="s">
        <v>934</v>
      </c>
      <c r="AC235" s="233">
        <v>1</v>
      </c>
      <c r="AD235" s="233" t="s">
        <v>226</v>
      </c>
      <c r="AE235" s="234"/>
      <c r="AF235" s="234"/>
      <c r="AG235" s="234"/>
      <c r="AH235" s="233"/>
      <c r="AI235" s="233"/>
      <c r="AJ235" s="233"/>
      <c r="AK235" s="233"/>
      <c r="AL235" s="233"/>
      <c r="AM235" s="233"/>
      <c r="AN235" s="233"/>
      <c r="AO235" s="233"/>
      <c r="AP235" s="234"/>
      <c r="AQ235" s="234" t="s">
        <v>936</v>
      </c>
    </row>
    <row r="236" spans="1:43">
      <c r="A236" s="12">
        <v>233</v>
      </c>
      <c r="B236" s="21" t="s">
        <v>4853</v>
      </c>
      <c r="C236" s="5" t="s">
        <v>1344</v>
      </c>
      <c r="D236" s="5" t="s">
        <v>4854</v>
      </c>
      <c r="E236" s="5" t="s">
        <v>4855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11" t="s">
        <v>46</v>
      </c>
      <c r="Q236" s="5">
        <v>137.17699999999999</v>
      </c>
      <c r="R236" s="5">
        <f t="shared" si="3"/>
        <v>137.17699999999999</v>
      </c>
      <c r="S236" s="5" t="s">
        <v>47</v>
      </c>
      <c r="T236" s="12">
        <v>233</v>
      </c>
      <c r="U236" s="246" t="s">
        <v>1347</v>
      </c>
      <c r="V236" s="232" t="s">
        <v>1344</v>
      </c>
      <c r="W236" s="232">
        <v>-11912.6</v>
      </c>
      <c r="X236" s="232">
        <v>4017</v>
      </c>
      <c r="Y236" s="233" t="s">
        <v>49</v>
      </c>
      <c r="Z236" s="87" t="s">
        <v>50</v>
      </c>
      <c r="AA236" s="233" t="s">
        <v>51</v>
      </c>
      <c r="AB236" s="234"/>
      <c r="AC236" s="233">
        <v>1</v>
      </c>
      <c r="AD236" s="233" t="s">
        <v>226</v>
      </c>
      <c r="AE236" s="234"/>
      <c r="AF236" s="234"/>
      <c r="AG236" s="234"/>
      <c r="AH236" s="233"/>
      <c r="AI236" s="233"/>
      <c r="AJ236" s="233"/>
      <c r="AK236" s="233"/>
      <c r="AL236" s="233"/>
      <c r="AM236" s="233"/>
      <c r="AN236" s="233"/>
      <c r="AO236" s="233"/>
      <c r="AP236" s="234"/>
      <c r="AQ236" s="234" t="s">
        <v>333</v>
      </c>
    </row>
    <row r="237" spans="1:43">
      <c r="A237" s="12">
        <v>234</v>
      </c>
      <c r="B237" s="21" t="s">
        <v>4856</v>
      </c>
      <c r="C237" s="5" t="s">
        <v>1349</v>
      </c>
      <c r="D237" s="5" t="s">
        <v>4857</v>
      </c>
      <c r="E237" s="5" t="s">
        <v>4858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11" t="s">
        <v>46</v>
      </c>
      <c r="Q237" s="5">
        <v>104.2149</v>
      </c>
      <c r="R237" s="5">
        <f t="shared" si="3"/>
        <v>104.2149</v>
      </c>
      <c r="S237" s="5" t="s">
        <v>60</v>
      </c>
      <c r="T237" s="12">
        <v>234</v>
      </c>
      <c r="U237" s="246" t="s">
        <v>1352</v>
      </c>
      <c r="V237" s="232" t="s">
        <v>1349</v>
      </c>
      <c r="W237" s="232">
        <v>-7674.8</v>
      </c>
      <c r="X237" s="232">
        <v>4325.8999999999996</v>
      </c>
      <c r="Y237" s="233" t="s">
        <v>49</v>
      </c>
      <c r="Z237" s="87" t="s">
        <v>50</v>
      </c>
      <c r="AA237" s="233" t="s">
        <v>51</v>
      </c>
      <c r="AB237" s="234"/>
      <c r="AC237" s="233">
        <v>1</v>
      </c>
      <c r="AD237" s="233" t="s">
        <v>226</v>
      </c>
      <c r="AE237" s="234"/>
      <c r="AF237" s="234"/>
      <c r="AG237" s="234"/>
      <c r="AH237" s="233"/>
      <c r="AI237" s="233"/>
      <c r="AJ237" s="233"/>
      <c r="AK237" s="233"/>
      <c r="AL237" s="233"/>
      <c r="AM237" s="233"/>
      <c r="AN237" s="233"/>
      <c r="AO237" s="233"/>
      <c r="AP237" s="234"/>
      <c r="AQ237" s="234" t="s">
        <v>333</v>
      </c>
    </row>
    <row r="238" spans="1:43">
      <c r="A238" s="12">
        <v>235</v>
      </c>
      <c r="B238" s="21" t="s">
        <v>4859</v>
      </c>
      <c r="C238" s="5" t="s">
        <v>1354</v>
      </c>
      <c r="D238" s="5" t="s">
        <v>4860</v>
      </c>
      <c r="E238" s="5" t="s">
        <v>4861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11" t="s">
        <v>46</v>
      </c>
      <c r="Q238" s="5">
        <v>208.02799999999999</v>
      </c>
      <c r="R238" s="5">
        <f t="shared" si="3"/>
        <v>208.02799999999999</v>
      </c>
      <c r="S238" s="5" t="s">
        <v>395</v>
      </c>
      <c r="T238" s="12">
        <v>235</v>
      </c>
      <c r="U238" s="246" t="s">
        <v>1357</v>
      </c>
      <c r="V238" s="232" t="s">
        <v>1354</v>
      </c>
      <c r="W238" s="232">
        <v>-11455.4</v>
      </c>
      <c r="X238" s="232">
        <v>3798.6</v>
      </c>
      <c r="Y238" s="233" t="s">
        <v>49</v>
      </c>
      <c r="Z238" s="87" t="s">
        <v>50</v>
      </c>
      <c r="AA238" s="233" t="s">
        <v>51</v>
      </c>
      <c r="AB238" s="234"/>
      <c r="AC238" s="233">
        <v>1</v>
      </c>
      <c r="AD238" s="233" t="s">
        <v>226</v>
      </c>
      <c r="AE238" s="234"/>
      <c r="AF238" s="234"/>
      <c r="AG238" s="234"/>
      <c r="AH238" s="233"/>
      <c r="AI238" s="233"/>
      <c r="AJ238" s="233"/>
      <c r="AK238" s="233"/>
      <c r="AL238" s="233"/>
      <c r="AM238" s="233"/>
      <c r="AN238" s="233"/>
      <c r="AO238" s="233"/>
      <c r="AP238" s="234"/>
      <c r="AQ238" s="234" t="s">
        <v>333</v>
      </c>
    </row>
    <row r="239" spans="1:43">
      <c r="A239" s="12">
        <v>236</v>
      </c>
      <c r="B239" s="21" t="s">
        <v>4862</v>
      </c>
      <c r="C239" s="5" t="s">
        <v>1359</v>
      </c>
      <c r="D239" s="5" t="s">
        <v>4863</v>
      </c>
      <c r="E239" s="5" t="s">
        <v>4864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11" t="s">
        <v>46</v>
      </c>
      <c r="Q239" s="5">
        <v>102.50749999999999</v>
      </c>
      <c r="R239" s="5">
        <f t="shared" si="3"/>
        <v>102.50749999999999</v>
      </c>
      <c r="S239" s="5" t="s">
        <v>60</v>
      </c>
      <c r="T239" s="12">
        <v>236</v>
      </c>
      <c r="U239" s="246" t="s">
        <v>1362</v>
      </c>
      <c r="V239" s="232" t="s">
        <v>1359</v>
      </c>
      <c r="W239" s="232">
        <v>-8983.5</v>
      </c>
      <c r="X239" s="232">
        <v>4897.1000000000004</v>
      </c>
      <c r="Y239" s="233" t="s">
        <v>49</v>
      </c>
      <c r="Z239" s="87" t="s">
        <v>50</v>
      </c>
      <c r="AA239" s="233" t="s">
        <v>51</v>
      </c>
      <c r="AB239" s="234"/>
      <c r="AC239" s="233">
        <v>1</v>
      </c>
      <c r="AD239" s="233" t="s">
        <v>226</v>
      </c>
      <c r="AE239" s="234"/>
      <c r="AF239" s="234"/>
      <c r="AG239" s="234"/>
      <c r="AH239" s="233"/>
      <c r="AI239" s="233"/>
      <c r="AJ239" s="233"/>
      <c r="AK239" s="233"/>
      <c r="AL239" s="233"/>
      <c r="AM239" s="233"/>
      <c r="AN239" s="233"/>
      <c r="AO239" s="233"/>
      <c r="AP239" s="234"/>
      <c r="AQ239" s="234" t="s">
        <v>333</v>
      </c>
    </row>
    <row r="240" spans="1:43">
      <c r="A240" s="12">
        <v>237</v>
      </c>
      <c r="B240" s="21" t="s">
        <v>4865</v>
      </c>
      <c r="C240" s="5" t="s">
        <v>1364</v>
      </c>
      <c r="D240" s="5" t="s">
        <v>4866</v>
      </c>
      <c r="E240" s="5" t="s">
        <v>4867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11" t="s">
        <v>46</v>
      </c>
      <c r="Q240" s="5">
        <v>102.8171</v>
      </c>
      <c r="R240" s="5">
        <f t="shared" si="3"/>
        <v>102.8171</v>
      </c>
      <c r="S240" s="5" t="s">
        <v>60</v>
      </c>
      <c r="T240" s="12">
        <v>237</v>
      </c>
      <c r="U240" s="246" t="s">
        <v>1367</v>
      </c>
      <c r="V240" s="232" t="s">
        <v>1364</v>
      </c>
      <c r="W240" s="232">
        <v>-8272.2999999999993</v>
      </c>
      <c r="X240" s="232">
        <v>3258.8</v>
      </c>
      <c r="Y240" s="233" t="s">
        <v>49</v>
      </c>
      <c r="Z240" s="87" t="s">
        <v>50</v>
      </c>
      <c r="AA240" s="233" t="s">
        <v>51</v>
      </c>
      <c r="AB240" s="234"/>
      <c r="AC240" s="233">
        <v>1</v>
      </c>
      <c r="AD240" s="233" t="s">
        <v>226</v>
      </c>
      <c r="AE240" s="234"/>
      <c r="AF240" s="234"/>
      <c r="AG240" s="234"/>
      <c r="AH240" s="233"/>
      <c r="AI240" s="233"/>
      <c r="AJ240" s="233"/>
      <c r="AK240" s="233"/>
      <c r="AL240" s="233"/>
      <c r="AM240" s="233"/>
      <c r="AN240" s="233"/>
      <c r="AO240" s="233"/>
      <c r="AP240" s="234"/>
      <c r="AQ240" s="234" t="s">
        <v>333</v>
      </c>
    </row>
    <row r="241" spans="1:43">
      <c r="A241" s="12">
        <v>238</v>
      </c>
      <c r="B241" s="21" t="s">
        <v>4868</v>
      </c>
      <c r="C241" s="5" t="s">
        <v>1369</v>
      </c>
      <c r="D241" s="5" t="s">
        <v>4869</v>
      </c>
      <c r="E241" s="5" t="s">
        <v>4870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11" t="s">
        <v>46</v>
      </c>
      <c r="Q241" s="5">
        <v>143.3931</v>
      </c>
      <c r="R241" s="5">
        <f t="shared" si="3"/>
        <v>143.3931</v>
      </c>
      <c r="S241" s="5" t="s">
        <v>47</v>
      </c>
      <c r="T241" s="12">
        <v>238</v>
      </c>
      <c r="U241" s="246" t="s">
        <v>1372</v>
      </c>
      <c r="V241" s="232" t="s">
        <v>1369</v>
      </c>
      <c r="W241" s="232">
        <v>-9665.7000000000007</v>
      </c>
      <c r="X241" s="232">
        <v>3495</v>
      </c>
      <c r="Y241" s="233" t="s">
        <v>49</v>
      </c>
      <c r="Z241" s="87" t="s">
        <v>50</v>
      </c>
      <c r="AA241" s="233" t="s">
        <v>51</v>
      </c>
      <c r="AB241" s="234"/>
      <c r="AC241" s="233">
        <v>1</v>
      </c>
      <c r="AD241" s="233" t="s">
        <v>226</v>
      </c>
      <c r="AE241" s="234"/>
      <c r="AF241" s="234"/>
      <c r="AG241" s="234"/>
      <c r="AH241" s="233"/>
      <c r="AI241" s="233"/>
      <c r="AJ241" s="233"/>
      <c r="AK241" s="233"/>
      <c r="AL241" s="233"/>
      <c r="AM241" s="233"/>
      <c r="AN241" s="233"/>
      <c r="AO241" s="233"/>
      <c r="AP241" s="234"/>
      <c r="AQ241" s="234" t="s">
        <v>333</v>
      </c>
    </row>
    <row r="242" spans="1:43">
      <c r="A242" s="12">
        <v>239</v>
      </c>
      <c r="B242" s="21" t="s">
        <v>4871</v>
      </c>
      <c r="C242" s="5" t="s">
        <v>1374</v>
      </c>
      <c r="D242" s="5" t="s">
        <v>4872</v>
      </c>
      <c r="E242" s="5" t="s">
        <v>4873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11" t="s">
        <v>46</v>
      </c>
      <c r="Q242" s="5">
        <v>237.3502</v>
      </c>
      <c r="R242" s="5">
        <f t="shared" si="3"/>
        <v>237.3502</v>
      </c>
      <c r="S242" s="5" t="s">
        <v>685</v>
      </c>
      <c r="T242" s="12">
        <v>239</v>
      </c>
      <c r="U242" s="246" t="s">
        <v>1377</v>
      </c>
      <c r="V242" s="232" t="s">
        <v>1374</v>
      </c>
      <c r="W242" s="232">
        <v>-10289.299999999999</v>
      </c>
      <c r="X242" s="232">
        <v>5521.3</v>
      </c>
      <c r="Y242" s="233" t="s">
        <v>49</v>
      </c>
      <c r="Z242" s="87" t="s">
        <v>50</v>
      </c>
      <c r="AA242" s="233" t="s">
        <v>51</v>
      </c>
      <c r="AB242" s="234"/>
      <c r="AC242" s="233">
        <v>1</v>
      </c>
      <c r="AD242" s="233" t="s">
        <v>226</v>
      </c>
      <c r="AE242" s="234"/>
      <c r="AF242" s="234"/>
      <c r="AG242" s="234"/>
      <c r="AH242" s="233"/>
      <c r="AI242" s="233"/>
      <c r="AJ242" s="233"/>
      <c r="AK242" s="233"/>
      <c r="AL242" s="233"/>
      <c r="AM242" s="233"/>
      <c r="AN242" s="233"/>
      <c r="AO242" s="233"/>
      <c r="AP242" s="234"/>
      <c r="AQ242" s="234" t="s">
        <v>333</v>
      </c>
    </row>
    <row r="243" spans="1:43">
      <c r="A243" s="12">
        <v>240</v>
      </c>
      <c r="B243" s="21" t="s">
        <v>4874</v>
      </c>
      <c r="C243" s="5" t="s">
        <v>1379</v>
      </c>
      <c r="D243" s="5" t="s">
        <v>4875</v>
      </c>
      <c r="E243" s="5" t="s">
        <v>4876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11" t="s">
        <v>46</v>
      </c>
      <c r="Q243" s="5">
        <v>170.01509999999999</v>
      </c>
      <c r="R243" s="5">
        <f t="shared" si="3"/>
        <v>170.01509999999999</v>
      </c>
      <c r="S243" s="5" t="s">
        <v>74</v>
      </c>
      <c r="T243" s="12">
        <v>240</v>
      </c>
      <c r="U243" s="246" t="s">
        <v>1382</v>
      </c>
      <c r="V243" s="232" t="s">
        <v>1379</v>
      </c>
      <c r="W243" s="232">
        <v>-12702.5</v>
      </c>
      <c r="X243" s="232">
        <v>4926.3</v>
      </c>
      <c r="Y243" s="233" t="s">
        <v>49</v>
      </c>
      <c r="Z243" s="87" t="s">
        <v>50</v>
      </c>
      <c r="AA243" s="233" t="s">
        <v>51</v>
      </c>
      <c r="AB243" s="233" t="s">
        <v>934</v>
      </c>
      <c r="AC243" s="233">
        <v>1</v>
      </c>
      <c r="AD243" s="233" t="s">
        <v>226</v>
      </c>
      <c r="AE243" s="234"/>
      <c r="AF243" s="234"/>
      <c r="AG243" s="234"/>
      <c r="AH243" s="233"/>
      <c r="AI243" s="233"/>
      <c r="AJ243" s="233" t="s">
        <v>1167</v>
      </c>
      <c r="AK243" s="233">
        <v>1500</v>
      </c>
      <c r="AL243" s="233"/>
      <c r="AM243" s="233"/>
      <c r="AN243" s="233"/>
      <c r="AO243" s="233"/>
      <c r="AP243" s="234"/>
      <c r="AQ243" s="234" t="s">
        <v>936</v>
      </c>
    </row>
    <row r="244" spans="1:43">
      <c r="A244" s="12">
        <v>241</v>
      </c>
      <c r="B244" s="21" t="s">
        <v>4877</v>
      </c>
      <c r="C244" s="5" t="s">
        <v>1384</v>
      </c>
      <c r="D244" s="5" t="s">
        <v>4878</v>
      </c>
      <c r="E244" s="5" t="s">
        <v>4879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11" t="s">
        <v>46</v>
      </c>
      <c r="Q244" s="5">
        <v>175.8262</v>
      </c>
      <c r="R244" s="5">
        <f t="shared" si="3"/>
        <v>175.8262</v>
      </c>
      <c r="S244" s="5" t="s">
        <v>67</v>
      </c>
      <c r="T244" s="12">
        <v>241</v>
      </c>
      <c r="U244" s="246" t="s">
        <v>1387</v>
      </c>
      <c r="V244" s="232" t="s">
        <v>1384</v>
      </c>
      <c r="W244" s="232">
        <v>-12217.9</v>
      </c>
      <c r="X244" s="232">
        <v>4563.3999999999996</v>
      </c>
      <c r="Y244" s="233" t="s">
        <v>49</v>
      </c>
      <c r="Z244" s="87" t="s">
        <v>50</v>
      </c>
      <c r="AA244" s="233" t="s">
        <v>51</v>
      </c>
      <c r="AB244" s="233" t="s">
        <v>934</v>
      </c>
      <c r="AC244" s="233">
        <v>1</v>
      </c>
      <c r="AD244" s="233" t="s">
        <v>226</v>
      </c>
      <c r="AE244" s="234"/>
      <c r="AF244" s="234"/>
      <c r="AG244" s="234"/>
      <c r="AH244" s="233"/>
      <c r="AI244" s="233"/>
      <c r="AJ244" s="233" t="s">
        <v>1167</v>
      </c>
      <c r="AK244" s="233">
        <v>1500</v>
      </c>
      <c r="AL244" s="233"/>
      <c r="AM244" s="233"/>
      <c r="AN244" s="233"/>
      <c r="AO244" s="233"/>
      <c r="AP244" s="234"/>
      <c r="AQ244" s="234" t="s">
        <v>936</v>
      </c>
    </row>
    <row r="245" spans="1:43">
      <c r="A245" s="12">
        <v>242</v>
      </c>
      <c r="B245" s="21" t="s">
        <v>4880</v>
      </c>
      <c r="C245" s="5" t="s">
        <v>1389</v>
      </c>
      <c r="D245" s="5" t="s">
        <v>4881</v>
      </c>
      <c r="E245" s="5" t="s">
        <v>4882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11" t="s">
        <v>46</v>
      </c>
      <c r="Q245" s="5">
        <v>173.7852</v>
      </c>
      <c r="R245" s="5">
        <f t="shared" si="3"/>
        <v>173.7852</v>
      </c>
      <c r="S245" s="5" t="s">
        <v>74</v>
      </c>
      <c r="T245" s="12">
        <v>242</v>
      </c>
      <c r="U245" s="246" t="s">
        <v>1392</v>
      </c>
      <c r="V245" s="232" t="s">
        <v>1389</v>
      </c>
      <c r="W245" s="232">
        <v>-12285.7</v>
      </c>
      <c r="X245" s="232">
        <v>5587</v>
      </c>
      <c r="Y245" s="233" t="s">
        <v>49</v>
      </c>
      <c r="Z245" s="87" t="s">
        <v>50</v>
      </c>
      <c r="AA245" s="233" t="s">
        <v>51</v>
      </c>
      <c r="AB245" s="233" t="s">
        <v>934</v>
      </c>
      <c r="AC245" s="233">
        <v>1</v>
      </c>
      <c r="AD245" s="233" t="s">
        <v>226</v>
      </c>
      <c r="AE245" s="234"/>
      <c r="AF245" s="234"/>
      <c r="AG245" s="234"/>
      <c r="AH245" s="233"/>
      <c r="AI245" s="233"/>
      <c r="AJ245" s="233" t="s">
        <v>1167</v>
      </c>
      <c r="AK245" s="233">
        <v>1500</v>
      </c>
      <c r="AL245" s="233"/>
      <c r="AM245" s="233"/>
      <c r="AN245" s="233"/>
      <c r="AO245" s="233"/>
      <c r="AP245" s="234"/>
      <c r="AQ245" s="234" t="s">
        <v>936</v>
      </c>
    </row>
    <row r="246" spans="1:43">
      <c r="A246" s="12">
        <v>243</v>
      </c>
      <c r="B246" s="21" t="s">
        <v>4883</v>
      </c>
      <c r="C246" s="5" t="s">
        <v>1394</v>
      </c>
      <c r="D246" s="5" t="s">
        <v>4884</v>
      </c>
      <c r="E246" s="5" t="s">
        <v>4885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11" t="s">
        <v>46</v>
      </c>
      <c r="Q246" s="5">
        <v>186.1283</v>
      </c>
      <c r="R246" s="5">
        <f t="shared" si="3"/>
        <v>186.1283</v>
      </c>
      <c r="S246" s="5" t="s">
        <v>344</v>
      </c>
      <c r="T246" s="12">
        <v>243</v>
      </c>
      <c r="U246" s="247" t="s">
        <v>1397</v>
      </c>
      <c r="V246" s="232" t="s">
        <v>1394</v>
      </c>
      <c r="W246" s="232">
        <v>-8983.5</v>
      </c>
      <c r="X246" s="232">
        <v>3258.8</v>
      </c>
      <c r="Y246" s="233" t="s">
        <v>49</v>
      </c>
      <c r="Z246" s="87" t="s">
        <v>50</v>
      </c>
      <c r="AA246" s="233" t="s">
        <v>51</v>
      </c>
      <c r="AB246" s="233" t="s">
        <v>934</v>
      </c>
      <c r="AC246" s="233">
        <v>1</v>
      </c>
      <c r="AD246" s="233" t="s">
        <v>226</v>
      </c>
      <c r="AE246" s="234"/>
      <c r="AF246" s="234"/>
      <c r="AG246" s="234"/>
      <c r="AH246" s="233"/>
      <c r="AI246" s="233"/>
      <c r="AJ246" s="233" t="s">
        <v>935</v>
      </c>
      <c r="AK246" s="233">
        <v>1500</v>
      </c>
      <c r="AL246" s="233"/>
      <c r="AM246" s="233"/>
      <c r="AN246" s="233"/>
      <c r="AO246" s="233"/>
      <c r="AP246" s="234"/>
      <c r="AQ246" s="234" t="s">
        <v>936</v>
      </c>
    </row>
    <row r="247" spans="1:43">
      <c r="A247" s="12">
        <v>244</v>
      </c>
      <c r="B247" s="21" t="s">
        <v>4886</v>
      </c>
      <c r="C247" s="5" t="s">
        <v>1399</v>
      </c>
      <c r="D247" s="5" t="s">
        <v>4887</v>
      </c>
      <c r="E247" s="5" t="s">
        <v>4888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11" t="s">
        <v>46</v>
      </c>
      <c r="Q247" s="5">
        <v>196.99379999999999</v>
      </c>
      <c r="R247" s="5">
        <f t="shared" si="3"/>
        <v>196.99379999999999</v>
      </c>
      <c r="S247" s="5" t="s">
        <v>74</v>
      </c>
      <c r="T247" s="12">
        <v>244</v>
      </c>
      <c r="U247" s="247" t="s">
        <v>1402</v>
      </c>
      <c r="V247" s="232" t="s">
        <v>1399</v>
      </c>
      <c r="W247" s="232">
        <v>-7674.8</v>
      </c>
      <c r="X247" s="232">
        <v>3335.2</v>
      </c>
      <c r="Y247" s="233" t="s">
        <v>49</v>
      </c>
      <c r="Z247" s="87" t="s">
        <v>50</v>
      </c>
      <c r="AA247" s="233" t="s">
        <v>51</v>
      </c>
      <c r="AB247" s="233" t="s">
        <v>934</v>
      </c>
      <c r="AC247" s="233">
        <v>1</v>
      </c>
      <c r="AD247" s="233" t="s">
        <v>226</v>
      </c>
      <c r="AE247" s="234"/>
      <c r="AF247" s="234"/>
      <c r="AG247" s="234"/>
      <c r="AH247" s="233"/>
      <c r="AI247" s="233"/>
      <c r="AJ247" s="233" t="s">
        <v>935</v>
      </c>
      <c r="AK247" s="233">
        <v>1500</v>
      </c>
      <c r="AL247" s="233"/>
      <c r="AM247" s="233"/>
      <c r="AN247" s="233"/>
      <c r="AO247" s="233"/>
      <c r="AP247" s="234"/>
      <c r="AQ247" s="234" t="s">
        <v>936</v>
      </c>
    </row>
    <row r="248" spans="1:43">
      <c r="A248" s="12">
        <v>245</v>
      </c>
      <c r="B248" s="21" t="s">
        <v>4889</v>
      </c>
      <c r="C248" s="5" t="s">
        <v>1404</v>
      </c>
      <c r="D248" s="5" t="s">
        <v>4890</v>
      </c>
      <c r="E248" s="5" t="s">
        <v>4891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11" t="s">
        <v>46</v>
      </c>
      <c r="Q248" s="5">
        <v>200.90979999999999</v>
      </c>
      <c r="R248" s="5">
        <f t="shared" si="3"/>
        <v>200.90979999999999</v>
      </c>
      <c r="S248" s="5" t="s">
        <v>706</v>
      </c>
      <c r="T248" s="12">
        <v>245</v>
      </c>
      <c r="U248" s="247" t="s">
        <v>1407</v>
      </c>
      <c r="V248" s="232" t="s">
        <v>1404</v>
      </c>
      <c r="W248" s="232">
        <v>-11697.7</v>
      </c>
      <c r="X248" s="232">
        <v>2274.3000000000002</v>
      </c>
      <c r="Y248" s="233" t="s">
        <v>49</v>
      </c>
      <c r="Z248" s="87" t="s">
        <v>50</v>
      </c>
      <c r="AA248" s="233" t="s">
        <v>51</v>
      </c>
      <c r="AB248" s="233" t="s">
        <v>934</v>
      </c>
      <c r="AC248" s="233">
        <v>1</v>
      </c>
      <c r="AD248" s="233" t="s">
        <v>226</v>
      </c>
      <c r="AE248" s="234"/>
      <c r="AF248" s="234"/>
      <c r="AG248" s="234"/>
      <c r="AH248" s="233"/>
      <c r="AI248" s="233"/>
      <c r="AJ248" s="233" t="s">
        <v>935</v>
      </c>
      <c r="AK248" s="233">
        <v>1500</v>
      </c>
      <c r="AL248" s="233"/>
      <c r="AM248" s="233"/>
      <c r="AN248" s="233"/>
      <c r="AO248" s="233"/>
      <c r="AP248" s="234"/>
      <c r="AQ248" s="234" t="s">
        <v>936</v>
      </c>
    </row>
    <row r="249" spans="1:43">
      <c r="A249" s="12">
        <v>246</v>
      </c>
      <c r="B249" s="21" t="s">
        <v>4892</v>
      </c>
      <c r="C249" s="5" t="s">
        <v>1409</v>
      </c>
      <c r="D249" s="5" t="s">
        <v>4893</v>
      </c>
      <c r="E249" s="5" t="s">
        <v>4894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11" t="s">
        <v>46</v>
      </c>
      <c r="Q249" s="5">
        <v>186.55269999999999</v>
      </c>
      <c r="R249" s="5">
        <f t="shared" si="3"/>
        <v>186.55269999999999</v>
      </c>
      <c r="S249" s="5" t="s">
        <v>338</v>
      </c>
      <c r="T249" s="12">
        <v>246</v>
      </c>
      <c r="U249" s="247" t="s">
        <v>1412</v>
      </c>
      <c r="V249" s="232" t="s">
        <v>1409</v>
      </c>
      <c r="W249" s="232">
        <v>-12413</v>
      </c>
      <c r="X249" s="232">
        <v>1901.2</v>
      </c>
      <c r="Y249" s="233" t="s">
        <v>49</v>
      </c>
      <c r="Z249" s="87" t="s">
        <v>50</v>
      </c>
      <c r="AA249" s="233" t="s">
        <v>51</v>
      </c>
      <c r="AB249" s="233" t="s">
        <v>934</v>
      </c>
      <c r="AC249" s="233">
        <v>1</v>
      </c>
      <c r="AD249" s="233" t="s">
        <v>226</v>
      </c>
      <c r="AE249" s="234"/>
      <c r="AF249" s="234"/>
      <c r="AG249" s="234"/>
      <c r="AH249" s="233"/>
      <c r="AI249" s="233"/>
      <c r="AJ249" s="233" t="s">
        <v>935</v>
      </c>
      <c r="AK249" s="233">
        <v>1500</v>
      </c>
      <c r="AL249" s="233"/>
      <c r="AM249" s="233"/>
      <c r="AN249" s="233"/>
      <c r="AO249" s="233"/>
      <c r="AP249" s="234"/>
      <c r="AQ249" s="234" t="s">
        <v>936</v>
      </c>
    </row>
    <row r="250" spans="1:43">
      <c r="A250" s="12">
        <v>247</v>
      </c>
      <c r="B250" s="21" t="s">
        <v>4895</v>
      </c>
      <c r="C250" s="5" t="s">
        <v>1414</v>
      </c>
      <c r="D250" s="5" t="s">
        <v>4896</v>
      </c>
      <c r="E250" s="5" t="s">
        <v>4897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11" t="s">
        <v>46</v>
      </c>
      <c r="Q250" s="5">
        <v>185.98349999999999</v>
      </c>
      <c r="R250" s="5">
        <f t="shared" si="3"/>
        <v>185.98349999999999</v>
      </c>
      <c r="S250" s="5" t="s">
        <v>60</v>
      </c>
      <c r="T250" s="12">
        <v>247</v>
      </c>
      <c r="U250" s="247" t="s">
        <v>1417</v>
      </c>
      <c r="V250" s="232" t="s">
        <v>1414</v>
      </c>
      <c r="W250" s="232">
        <v>-12915.4</v>
      </c>
      <c r="X250" s="232">
        <v>1871</v>
      </c>
      <c r="Y250" s="233" t="s">
        <v>49</v>
      </c>
      <c r="Z250" s="87" t="s">
        <v>50</v>
      </c>
      <c r="AA250" s="233" t="s">
        <v>51</v>
      </c>
      <c r="AB250" s="233" t="s">
        <v>934</v>
      </c>
      <c r="AC250" s="233">
        <v>1</v>
      </c>
      <c r="AD250" s="233" t="s">
        <v>226</v>
      </c>
      <c r="AE250" s="234"/>
      <c r="AF250" s="234"/>
      <c r="AG250" s="234"/>
      <c r="AH250" s="233"/>
      <c r="AI250" s="233"/>
      <c r="AJ250" s="233" t="s">
        <v>935</v>
      </c>
      <c r="AK250" s="233">
        <v>1500</v>
      </c>
      <c r="AL250" s="233"/>
      <c r="AM250" s="233"/>
      <c r="AN250" s="233"/>
      <c r="AO250" s="233"/>
      <c r="AP250" s="234"/>
      <c r="AQ250" s="234" t="s">
        <v>936</v>
      </c>
    </row>
    <row r="251" spans="1:43">
      <c r="A251" s="12">
        <v>248</v>
      </c>
      <c r="B251" s="21" t="s">
        <v>4898</v>
      </c>
      <c r="C251" s="5" t="s">
        <v>1419</v>
      </c>
      <c r="D251" s="5" t="s">
        <v>4899</v>
      </c>
      <c r="E251" s="5" t="s">
        <v>4900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11" t="s">
        <v>46</v>
      </c>
      <c r="Q251" s="5">
        <v>186.99760000000001</v>
      </c>
      <c r="R251" s="5">
        <f t="shared" si="3"/>
        <v>186.99760000000001</v>
      </c>
      <c r="S251" s="5" t="s">
        <v>344</v>
      </c>
      <c r="T251" s="12">
        <v>248</v>
      </c>
      <c r="U251" s="247" t="s">
        <v>1422</v>
      </c>
      <c r="V251" s="232" t="s">
        <v>1419</v>
      </c>
      <c r="W251" s="232">
        <v>-11912.6</v>
      </c>
      <c r="X251" s="232">
        <v>1819.9</v>
      </c>
      <c r="Y251" s="233" t="s">
        <v>49</v>
      </c>
      <c r="Z251" s="87" t="s">
        <v>50</v>
      </c>
      <c r="AA251" s="233" t="s">
        <v>51</v>
      </c>
      <c r="AB251" s="233" t="s">
        <v>934</v>
      </c>
      <c r="AC251" s="233">
        <v>1</v>
      </c>
      <c r="AD251" s="233" t="s">
        <v>226</v>
      </c>
      <c r="AE251" s="234"/>
      <c r="AF251" s="234"/>
      <c r="AG251" s="234"/>
      <c r="AH251" s="233"/>
      <c r="AI251" s="233"/>
      <c r="AJ251" s="233" t="s">
        <v>935</v>
      </c>
      <c r="AK251" s="233">
        <v>1500</v>
      </c>
      <c r="AL251" s="233"/>
      <c r="AM251" s="233"/>
      <c r="AN251" s="233"/>
      <c r="AO251" s="233"/>
      <c r="AP251" s="234"/>
      <c r="AQ251" s="234" t="s">
        <v>936</v>
      </c>
    </row>
    <row r="252" spans="1:43">
      <c r="A252" s="12">
        <v>249</v>
      </c>
      <c r="B252" s="21" t="s">
        <v>4901</v>
      </c>
      <c r="C252" s="5" t="s">
        <v>1424</v>
      </c>
      <c r="D252" s="5" t="s">
        <v>4902</v>
      </c>
      <c r="E252" s="5" t="s">
        <v>4903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11" t="s">
        <v>46</v>
      </c>
      <c r="Q252" s="5">
        <v>189.37569999999999</v>
      </c>
      <c r="R252" s="5">
        <f t="shared" si="3"/>
        <v>189.37569999999999</v>
      </c>
      <c r="S252" s="5" t="s">
        <v>338</v>
      </c>
      <c r="T252" s="12">
        <v>249</v>
      </c>
      <c r="U252" s="247" t="s">
        <v>1427</v>
      </c>
      <c r="V252" s="232" t="s">
        <v>1424</v>
      </c>
      <c r="W252" s="232">
        <v>-11455.4</v>
      </c>
      <c r="X252" s="232">
        <v>1601.5</v>
      </c>
      <c r="Y252" s="233" t="s">
        <v>49</v>
      </c>
      <c r="Z252" s="87" t="s">
        <v>50</v>
      </c>
      <c r="AA252" s="233" t="s">
        <v>51</v>
      </c>
      <c r="AB252" s="233" t="s">
        <v>934</v>
      </c>
      <c r="AC252" s="233">
        <v>1</v>
      </c>
      <c r="AD252" s="233" t="s">
        <v>226</v>
      </c>
      <c r="AE252" s="234"/>
      <c r="AF252" s="234"/>
      <c r="AG252" s="234"/>
      <c r="AH252" s="233"/>
      <c r="AI252" s="233"/>
      <c r="AJ252" s="233" t="s">
        <v>935</v>
      </c>
      <c r="AK252" s="233">
        <v>1500</v>
      </c>
      <c r="AL252" s="233"/>
      <c r="AM252" s="233"/>
      <c r="AN252" s="233"/>
      <c r="AO252" s="233"/>
      <c r="AP252" s="234"/>
      <c r="AQ252" s="234" t="s">
        <v>936</v>
      </c>
    </row>
    <row r="253" spans="1:43">
      <c r="A253" s="12">
        <v>250</v>
      </c>
      <c r="B253" s="21" t="s">
        <v>4904</v>
      </c>
      <c r="C253" s="5" t="s">
        <v>1429</v>
      </c>
      <c r="D253" s="5" t="s">
        <v>4905</v>
      </c>
      <c r="E253" s="5" t="s">
        <v>4906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11" t="s">
        <v>46</v>
      </c>
      <c r="Q253" s="5">
        <v>188.50479999999999</v>
      </c>
      <c r="R253" s="5">
        <f t="shared" si="3"/>
        <v>188.50479999999999</v>
      </c>
      <c r="S253" s="5" t="s">
        <v>60</v>
      </c>
      <c r="T253" s="12">
        <v>250</v>
      </c>
      <c r="U253" s="247" t="s">
        <v>1432</v>
      </c>
      <c r="V253" s="232" t="s">
        <v>1429</v>
      </c>
      <c r="W253" s="232">
        <v>-12786.5</v>
      </c>
      <c r="X253" s="232">
        <v>1192.8</v>
      </c>
      <c r="Y253" s="233" t="s">
        <v>49</v>
      </c>
      <c r="Z253" s="87" t="s">
        <v>50</v>
      </c>
      <c r="AA253" s="233" t="s">
        <v>51</v>
      </c>
      <c r="AB253" s="233" t="s">
        <v>934</v>
      </c>
      <c r="AC253" s="233">
        <v>1</v>
      </c>
      <c r="AD253" s="233" t="s">
        <v>226</v>
      </c>
      <c r="AE253" s="234"/>
      <c r="AF253" s="234"/>
      <c r="AG253" s="234"/>
      <c r="AH253" s="233"/>
      <c r="AI253" s="233"/>
      <c r="AJ253" s="233" t="s">
        <v>935</v>
      </c>
      <c r="AK253" s="233">
        <v>1500</v>
      </c>
      <c r="AL253" s="233"/>
      <c r="AM253" s="233"/>
      <c r="AN253" s="233"/>
      <c r="AO253" s="233"/>
      <c r="AP253" s="234"/>
      <c r="AQ253" s="234" t="s">
        <v>936</v>
      </c>
    </row>
    <row r="254" spans="1:43">
      <c r="A254" s="12">
        <v>251</v>
      </c>
      <c r="B254" s="21" t="s">
        <v>4907</v>
      </c>
      <c r="C254" s="5" t="s">
        <v>1434</v>
      </c>
      <c r="D254" s="5" t="s">
        <v>4908</v>
      </c>
      <c r="E254" s="5" t="s">
        <v>4909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11" t="s">
        <v>46</v>
      </c>
      <c r="Q254" s="5">
        <v>193.7381</v>
      </c>
      <c r="R254" s="5">
        <f t="shared" si="3"/>
        <v>193.7381</v>
      </c>
      <c r="S254" s="5" t="s">
        <v>74</v>
      </c>
      <c r="T254" s="12">
        <v>251</v>
      </c>
      <c r="U254" s="247" t="s">
        <v>1437</v>
      </c>
      <c r="V254" s="232" t="s">
        <v>1434</v>
      </c>
      <c r="W254" s="232">
        <v>-12285.7</v>
      </c>
      <c r="X254" s="232">
        <v>1192.8</v>
      </c>
      <c r="Y254" s="233" t="s">
        <v>49</v>
      </c>
      <c r="Z254" s="87" t="s">
        <v>50</v>
      </c>
      <c r="AA254" s="233" t="s">
        <v>51</v>
      </c>
      <c r="AB254" s="233" t="s">
        <v>934</v>
      </c>
      <c r="AC254" s="233">
        <v>1</v>
      </c>
      <c r="AD254" s="233" t="s">
        <v>226</v>
      </c>
      <c r="AE254" s="234"/>
      <c r="AF254" s="234"/>
      <c r="AG254" s="234"/>
      <c r="AH254" s="233"/>
      <c r="AI254" s="233"/>
      <c r="AJ254" s="233" t="s">
        <v>935</v>
      </c>
      <c r="AK254" s="233">
        <v>1500</v>
      </c>
      <c r="AL254" s="233"/>
      <c r="AM254" s="233"/>
      <c r="AN254" s="233"/>
      <c r="AO254" s="233"/>
      <c r="AP254" s="234"/>
      <c r="AQ254" s="234" t="s">
        <v>936</v>
      </c>
    </row>
    <row r="255" spans="1:43">
      <c r="A255" s="12">
        <v>252</v>
      </c>
      <c r="B255" s="21" t="s">
        <v>4910</v>
      </c>
      <c r="C255" s="5" t="s">
        <v>1439</v>
      </c>
      <c r="D255" s="5" t="s">
        <v>4911</v>
      </c>
      <c r="E255" s="5" t="s">
        <v>4912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11" t="s">
        <v>46</v>
      </c>
      <c r="Q255" s="5">
        <v>200.3733</v>
      </c>
      <c r="R255" s="5">
        <f t="shared" si="3"/>
        <v>200.3733</v>
      </c>
      <c r="S255" s="5" t="s">
        <v>706</v>
      </c>
      <c r="T255" s="12">
        <v>252</v>
      </c>
      <c r="U255" s="247" t="s">
        <v>1442</v>
      </c>
      <c r="V255" s="232" t="s">
        <v>1439</v>
      </c>
      <c r="W255" s="232">
        <v>-12159</v>
      </c>
      <c r="X255" s="232">
        <v>692.2</v>
      </c>
      <c r="Y255" s="233" t="s">
        <v>49</v>
      </c>
      <c r="Z255" s="87" t="s">
        <v>50</v>
      </c>
      <c r="AA255" s="233" t="s">
        <v>51</v>
      </c>
      <c r="AB255" s="233" t="s">
        <v>934</v>
      </c>
      <c r="AC255" s="233">
        <v>1</v>
      </c>
      <c r="AD255" s="233" t="s">
        <v>226</v>
      </c>
      <c r="AE255" s="234"/>
      <c r="AF255" s="234"/>
      <c r="AG255" s="234"/>
      <c r="AH255" s="233"/>
      <c r="AI255" s="233"/>
      <c r="AJ255" s="233" t="s">
        <v>935</v>
      </c>
      <c r="AK255" s="233">
        <v>1500</v>
      </c>
      <c r="AL255" s="233"/>
      <c r="AM255" s="233"/>
      <c r="AN255" s="233"/>
      <c r="AO255" s="233"/>
      <c r="AP255" s="234"/>
      <c r="AQ255" s="234" t="s">
        <v>936</v>
      </c>
    </row>
    <row r="256" spans="1:43">
      <c r="A256" s="12">
        <v>253</v>
      </c>
      <c r="B256" s="21" t="s">
        <v>4913</v>
      </c>
      <c r="C256" s="5" t="s">
        <v>1444</v>
      </c>
      <c r="D256" s="5" t="s">
        <v>4914</v>
      </c>
      <c r="E256" s="5" t="s">
        <v>4915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11" t="s">
        <v>46</v>
      </c>
      <c r="Q256" s="5">
        <v>189.60429999999999</v>
      </c>
      <c r="R256" s="5">
        <f t="shared" si="3"/>
        <v>189.60429999999999</v>
      </c>
      <c r="S256" s="5" t="s">
        <v>60</v>
      </c>
      <c r="T256" s="12">
        <v>253</v>
      </c>
      <c r="U256" s="247" t="s">
        <v>1447</v>
      </c>
      <c r="V256" s="232" t="s">
        <v>1444</v>
      </c>
      <c r="W256" s="232">
        <v>-12702.5</v>
      </c>
      <c r="X256" s="232">
        <v>532.1</v>
      </c>
      <c r="Y256" s="233" t="s">
        <v>49</v>
      </c>
      <c r="Z256" s="87" t="s">
        <v>50</v>
      </c>
      <c r="AA256" s="233" t="s">
        <v>51</v>
      </c>
      <c r="AB256" s="233" t="s">
        <v>934</v>
      </c>
      <c r="AC256" s="233">
        <v>1</v>
      </c>
      <c r="AD256" s="233" t="s">
        <v>226</v>
      </c>
      <c r="AE256" s="234"/>
      <c r="AF256" s="234"/>
      <c r="AG256" s="234"/>
      <c r="AH256" s="233"/>
      <c r="AI256" s="233"/>
      <c r="AJ256" s="233" t="s">
        <v>935</v>
      </c>
      <c r="AK256" s="233">
        <v>1500</v>
      </c>
      <c r="AL256" s="233"/>
      <c r="AM256" s="233"/>
      <c r="AN256" s="233"/>
      <c r="AO256" s="233"/>
      <c r="AP256" s="234"/>
      <c r="AQ256" s="234" t="s">
        <v>936</v>
      </c>
    </row>
    <row r="257" spans="1:43">
      <c r="A257" s="12">
        <v>254</v>
      </c>
      <c r="B257" s="21" t="s">
        <v>4916</v>
      </c>
      <c r="C257" s="5" t="s">
        <v>1449</v>
      </c>
      <c r="D257" s="5" t="s">
        <v>4917</v>
      </c>
      <c r="E257" s="5" t="s">
        <v>4918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11" t="s">
        <v>46</v>
      </c>
      <c r="Q257" s="5">
        <v>185.4349</v>
      </c>
      <c r="R257" s="5">
        <f t="shared" si="3"/>
        <v>185.4349</v>
      </c>
      <c r="S257" s="5" t="s">
        <v>60</v>
      </c>
      <c r="T257" s="12">
        <v>254</v>
      </c>
      <c r="U257" s="247" t="s">
        <v>1452</v>
      </c>
      <c r="V257" s="232" t="s">
        <v>1449</v>
      </c>
      <c r="W257" s="232">
        <v>-12397.7</v>
      </c>
      <c r="X257" s="232">
        <v>0</v>
      </c>
      <c r="Y257" s="233" t="s">
        <v>49</v>
      </c>
      <c r="Z257" s="87" t="s">
        <v>50</v>
      </c>
      <c r="AA257" s="233" t="s">
        <v>51</v>
      </c>
      <c r="AB257" s="233" t="s">
        <v>934</v>
      </c>
      <c r="AC257" s="233">
        <v>1</v>
      </c>
      <c r="AD257" s="233" t="s">
        <v>226</v>
      </c>
      <c r="AE257" s="234"/>
      <c r="AF257" s="234"/>
      <c r="AG257" s="234"/>
      <c r="AH257" s="233"/>
      <c r="AI257" s="233"/>
      <c r="AJ257" s="233" t="s">
        <v>935</v>
      </c>
      <c r="AK257" s="233">
        <v>1500</v>
      </c>
      <c r="AL257" s="233"/>
      <c r="AM257" s="233"/>
      <c r="AN257" s="233"/>
      <c r="AO257" s="233"/>
      <c r="AP257" s="234"/>
      <c r="AQ257" s="234" t="s">
        <v>936</v>
      </c>
    </row>
    <row r="258" spans="1:43">
      <c r="A258" s="12">
        <v>255</v>
      </c>
      <c r="B258" s="21" t="s">
        <v>4919</v>
      </c>
      <c r="C258" s="5" t="s">
        <v>1454</v>
      </c>
      <c r="D258" s="5" t="s">
        <v>4920</v>
      </c>
      <c r="E258" s="5" t="s">
        <v>4921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11" t="s">
        <v>46</v>
      </c>
      <c r="Q258" s="5">
        <v>179.11600000000001</v>
      </c>
      <c r="R258" s="5">
        <f t="shared" si="3"/>
        <v>179.11600000000001</v>
      </c>
      <c r="S258" s="5" t="s">
        <v>344</v>
      </c>
      <c r="T258" s="12">
        <v>255</v>
      </c>
      <c r="U258" s="247" t="s">
        <v>1457</v>
      </c>
      <c r="V258" s="232" t="s">
        <v>1454</v>
      </c>
      <c r="W258" s="232">
        <v>-10359.1</v>
      </c>
      <c r="X258" s="232">
        <v>2395.1999999999998</v>
      </c>
      <c r="Y258" s="233" t="s">
        <v>49</v>
      </c>
      <c r="Z258" s="87" t="s">
        <v>50</v>
      </c>
      <c r="AA258" s="233" t="s">
        <v>51</v>
      </c>
      <c r="AB258" s="233" t="s">
        <v>934</v>
      </c>
      <c r="AC258" s="233">
        <v>1</v>
      </c>
      <c r="AD258" s="233" t="s">
        <v>226</v>
      </c>
      <c r="AE258" s="234"/>
      <c r="AF258" s="234"/>
      <c r="AG258" s="234"/>
      <c r="AH258" s="233"/>
      <c r="AI258" s="233"/>
      <c r="AJ258" s="233"/>
      <c r="AK258" s="233"/>
      <c r="AL258" s="233"/>
      <c r="AM258" s="233"/>
      <c r="AN258" s="233"/>
      <c r="AO258" s="233"/>
      <c r="AP258" s="234"/>
      <c r="AQ258" s="234" t="s">
        <v>936</v>
      </c>
    </row>
    <row r="259" spans="1:43">
      <c r="A259" s="12">
        <v>256</v>
      </c>
      <c r="B259" s="21" t="s">
        <v>4922</v>
      </c>
      <c r="C259" s="5" t="s">
        <v>1459</v>
      </c>
      <c r="D259" s="5" t="s">
        <v>4923</v>
      </c>
      <c r="E259" s="5" t="s">
        <v>4924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11" t="s">
        <v>46</v>
      </c>
      <c r="Q259" s="5">
        <v>187.2474</v>
      </c>
      <c r="R259" s="5">
        <f t="shared" si="3"/>
        <v>187.2474</v>
      </c>
      <c r="S259" s="5" t="s">
        <v>338</v>
      </c>
      <c r="T259" s="12">
        <v>256</v>
      </c>
      <c r="U259" s="247" t="s">
        <v>1462</v>
      </c>
      <c r="V259" s="232" t="s">
        <v>1459</v>
      </c>
      <c r="W259" s="232">
        <v>-11047.5</v>
      </c>
      <c r="X259" s="232">
        <v>2585.6999999999998</v>
      </c>
      <c r="Y259" s="233" t="s">
        <v>49</v>
      </c>
      <c r="Z259" s="87" t="s">
        <v>50</v>
      </c>
      <c r="AA259" s="233" t="s">
        <v>51</v>
      </c>
      <c r="AB259" s="233" t="s">
        <v>934</v>
      </c>
      <c r="AC259" s="233">
        <v>1</v>
      </c>
      <c r="AD259" s="233" t="s">
        <v>226</v>
      </c>
      <c r="AE259" s="234"/>
      <c r="AF259" s="234"/>
      <c r="AG259" s="234"/>
      <c r="AH259" s="233"/>
      <c r="AI259" s="233"/>
      <c r="AJ259" s="233" t="s">
        <v>935</v>
      </c>
      <c r="AK259" s="233">
        <v>1500</v>
      </c>
      <c r="AL259" s="233"/>
      <c r="AM259" s="233"/>
      <c r="AN259" s="233"/>
      <c r="AO259" s="233"/>
      <c r="AP259" s="234"/>
      <c r="AQ259" s="234" t="s">
        <v>936</v>
      </c>
    </row>
    <row r="260" spans="1:43">
      <c r="A260" s="12">
        <v>257</v>
      </c>
      <c r="B260" s="21" t="s">
        <v>4925</v>
      </c>
      <c r="C260" s="5" t="s">
        <v>1464</v>
      </c>
      <c r="D260" s="5" t="s">
        <v>4926</v>
      </c>
      <c r="E260" s="5" t="s">
        <v>4927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11" t="s">
        <v>46</v>
      </c>
      <c r="Q260" s="5">
        <v>196.31899999999999</v>
      </c>
      <c r="R260" s="5">
        <f t="shared" ref="R260:R323" si="4">IF(AND(P260="",Q260=""),"",SUM(P260:Q260))</f>
        <v>196.31899999999999</v>
      </c>
      <c r="S260" s="5" t="s">
        <v>74</v>
      </c>
      <c r="T260" s="12">
        <v>257</v>
      </c>
      <c r="U260" s="247" t="s">
        <v>1467</v>
      </c>
      <c r="V260" s="232" t="s">
        <v>1464</v>
      </c>
      <c r="W260" s="232">
        <v>-6950.9</v>
      </c>
      <c r="X260" s="232">
        <v>3335.2</v>
      </c>
      <c r="Y260" s="233" t="s">
        <v>49</v>
      </c>
      <c r="Z260" s="87" t="s">
        <v>50</v>
      </c>
      <c r="AA260" s="233" t="s">
        <v>51</v>
      </c>
      <c r="AB260" s="233" t="s">
        <v>934</v>
      </c>
      <c r="AC260" s="233">
        <v>1</v>
      </c>
      <c r="AD260" s="233" t="s">
        <v>226</v>
      </c>
      <c r="AE260" s="234"/>
      <c r="AF260" s="234"/>
      <c r="AG260" s="234"/>
      <c r="AH260" s="233"/>
      <c r="AI260" s="233"/>
      <c r="AJ260" s="233" t="s">
        <v>935</v>
      </c>
      <c r="AK260" s="233">
        <v>1500</v>
      </c>
      <c r="AL260" s="233"/>
      <c r="AM260" s="233"/>
      <c r="AN260" s="233"/>
      <c r="AO260" s="233"/>
      <c r="AP260" s="234"/>
      <c r="AQ260" s="234" t="s">
        <v>936</v>
      </c>
    </row>
    <row r="261" spans="1:43">
      <c r="A261" s="12">
        <v>258</v>
      </c>
      <c r="B261" s="21" t="s">
        <v>4928</v>
      </c>
      <c r="C261" s="5" t="s">
        <v>1469</v>
      </c>
      <c r="D261" s="5" t="s">
        <v>4929</v>
      </c>
      <c r="E261" s="5" t="s">
        <v>4930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11" t="s">
        <v>46</v>
      </c>
      <c r="Q261" s="5">
        <v>187.14060000000001</v>
      </c>
      <c r="R261" s="5">
        <f t="shared" si="4"/>
        <v>187.14060000000001</v>
      </c>
      <c r="S261" s="5" t="s">
        <v>67</v>
      </c>
      <c r="T261" s="12">
        <v>258</v>
      </c>
      <c r="U261" s="247" t="s">
        <v>1472</v>
      </c>
      <c r="V261" s="232" t="s">
        <v>1469</v>
      </c>
      <c r="W261" s="232">
        <v>-12786.5</v>
      </c>
      <c r="X261" s="232">
        <v>3389.9</v>
      </c>
      <c r="Y261" s="233" t="s">
        <v>49</v>
      </c>
      <c r="Z261" s="87" t="s">
        <v>50</v>
      </c>
      <c r="AA261" s="233" t="s">
        <v>51</v>
      </c>
      <c r="AB261" s="233" t="s">
        <v>934</v>
      </c>
      <c r="AC261" s="233">
        <v>1</v>
      </c>
      <c r="AD261" s="233" t="s">
        <v>226</v>
      </c>
      <c r="AE261" s="234"/>
      <c r="AF261" s="234"/>
      <c r="AG261" s="234"/>
      <c r="AH261" s="233"/>
      <c r="AI261" s="233"/>
      <c r="AJ261" s="233" t="s">
        <v>935</v>
      </c>
      <c r="AK261" s="233">
        <v>1500</v>
      </c>
      <c r="AL261" s="233"/>
      <c r="AM261" s="233"/>
      <c r="AN261" s="233"/>
      <c r="AO261" s="233"/>
      <c r="AP261" s="234"/>
      <c r="AQ261" s="234" t="s">
        <v>936</v>
      </c>
    </row>
    <row r="262" spans="1:43">
      <c r="A262" s="12">
        <v>259</v>
      </c>
      <c r="B262" s="21" t="s">
        <v>4931</v>
      </c>
      <c r="C262" s="5" t="s">
        <v>1474</v>
      </c>
      <c r="D262" s="5" t="s">
        <v>4932</v>
      </c>
      <c r="E262" s="5" t="s">
        <v>4933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11" t="s">
        <v>46</v>
      </c>
      <c r="Q262" s="5">
        <v>193.34950000000001</v>
      </c>
      <c r="R262" s="5">
        <f t="shared" si="4"/>
        <v>193.34950000000001</v>
      </c>
      <c r="S262" s="5" t="s">
        <v>74</v>
      </c>
      <c r="T262" s="12">
        <v>259</v>
      </c>
      <c r="U262" s="247" t="s">
        <v>1477</v>
      </c>
      <c r="V262" s="232" t="s">
        <v>1474</v>
      </c>
      <c r="W262" s="232">
        <v>-12285.7</v>
      </c>
      <c r="X262" s="232">
        <v>3389.9</v>
      </c>
      <c r="Y262" s="233" t="s">
        <v>49</v>
      </c>
      <c r="Z262" s="87" t="s">
        <v>50</v>
      </c>
      <c r="AA262" s="233" t="s">
        <v>51</v>
      </c>
      <c r="AB262" s="233" t="s">
        <v>934</v>
      </c>
      <c r="AC262" s="233">
        <v>1</v>
      </c>
      <c r="AD262" s="233" t="s">
        <v>226</v>
      </c>
      <c r="AE262" s="234"/>
      <c r="AF262" s="234"/>
      <c r="AG262" s="234"/>
      <c r="AH262" s="233"/>
      <c r="AI262" s="233"/>
      <c r="AJ262" s="233" t="s">
        <v>935</v>
      </c>
      <c r="AK262" s="233">
        <v>1500</v>
      </c>
      <c r="AL262" s="233"/>
      <c r="AM262" s="233"/>
      <c r="AN262" s="233"/>
      <c r="AO262" s="233"/>
      <c r="AP262" s="234"/>
      <c r="AQ262" s="234" t="s">
        <v>936</v>
      </c>
    </row>
    <row r="263" spans="1:43">
      <c r="A263" s="12">
        <v>260</v>
      </c>
      <c r="B263" s="21" t="s">
        <v>4934</v>
      </c>
      <c r="C263" s="5" t="s">
        <v>1479</v>
      </c>
      <c r="D263" s="5" t="s">
        <v>4935</v>
      </c>
      <c r="E263" s="5" t="s">
        <v>4936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11" t="s">
        <v>46</v>
      </c>
      <c r="Q263" s="5">
        <v>185.2544</v>
      </c>
      <c r="R263" s="5">
        <f t="shared" si="4"/>
        <v>185.2544</v>
      </c>
      <c r="S263" s="5" t="s">
        <v>344</v>
      </c>
      <c r="T263" s="12">
        <v>260</v>
      </c>
      <c r="U263" s="247" t="s">
        <v>1482</v>
      </c>
      <c r="V263" s="232" t="s">
        <v>1479</v>
      </c>
      <c r="W263" s="232">
        <v>-12159</v>
      </c>
      <c r="X263" s="232">
        <v>2882.9</v>
      </c>
      <c r="Y263" s="233" t="s">
        <v>49</v>
      </c>
      <c r="Z263" s="87" t="s">
        <v>50</v>
      </c>
      <c r="AA263" s="233" t="s">
        <v>51</v>
      </c>
      <c r="AB263" s="233" t="s">
        <v>934</v>
      </c>
      <c r="AC263" s="233">
        <v>1</v>
      </c>
      <c r="AD263" s="233" t="s">
        <v>226</v>
      </c>
      <c r="AE263" s="234"/>
      <c r="AF263" s="234"/>
      <c r="AG263" s="234"/>
      <c r="AH263" s="233"/>
      <c r="AI263" s="233"/>
      <c r="AJ263" s="233" t="s">
        <v>935</v>
      </c>
      <c r="AK263" s="233">
        <v>1500</v>
      </c>
      <c r="AL263" s="233"/>
      <c r="AM263" s="233"/>
      <c r="AN263" s="233"/>
      <c r="AO263" s="233"/>
      <c r="AP263" s="234"/>
      <c r="AQ263" s="234" t="s">
        <v>936</v>
      </c>
    </row>
    <row r="264" spans="1:43">
      <c r="A264" s="12">
        <v>261</v>
      </c>
      <c r="B264" s="21" t="s">
        <v>4937</v>
      </c>
      <c r="C264" s="5" t="s">
        <v>1484</v>
      </c>
      <c r="D264" s="5" t="s">
        <v>4938</v>
      </c>
      <c r="E264" s="5" t="s">
        <v>4939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11" t="s">
        <v>46</v>
      </c>
      <c r="Q264" s="5">
        <v>190.37370000000001</v>
      </c>
      <c r="R264" s="5">
        <f t="shared" si="4"/>
        <v>190.37370000000001</v>
      </c>
      <c r="S264" s="5" t="s">
        <v>60</v>
      </c>
      <c r="T264" s="12">
        <v>261</v>
      </c>
      <c r="U264" s="247" t="s">
        <v>1487</v>
      </c>
      <c r="V264" s="232" t="s">
        <v>1484</v>
      </c>
      <c r="W264" s="232">
        <v>-12702.5</v>
      </c>
      <c r="X264" s="232">
        <v>2729.2</v>
      </c>
      <c r="Y264" s="233" t="s">
        <v>49</v>
      </c>
      <c r="Z264" s="87" t="s">
        <v>50</v>
      </c>
      <c r="AA264" s="233" t="s">
        <v>51</v>
      </c>
      <c r="AB264" s="233" t="s">
        <v>934</v>
      </c>
      <c r="AC264" s="233">
        <v>1</v>
      </c>
      <c r="AD264" s="233" t="s">
        <v>226</v>
      </c>
      <c r="AE264" s="234"/>
      <c r="AF264" s="234"/>
      <c r="AG264" s="234"/>
      <c r="AH264" s="233"/>
      <c r="AI264" s="233"/>
      <c r="AJ264" s="233" t="s">
        <v>935</v>
      </c>
      <c r="AK264" s="233">
        <v>1500</v>
      </c>
      <c r="AL264" s="233"/>
      <c r="AM264" s="233"/>
      <c r="AN264" s="233"/>
      <c r="AO264" s="233"/>
      <c r="AP264" s="234"/>
      <c r="AQ264" s="234" t="s">
        <v>936</v>
      </c>
    </row>
    <row r="265" spans="1:43">
      <c r="A265" s="12">
        <v>262</v>
      </c>
      <c r="B265" s="21" t="s">
        <v>4940</v>
      </c>
      <c r="C265" s="5" t="s">
        <v>1489</v>
      </c>
      <c r="D265" s="5" t="s">
        <v>4941</v>
      </c>
      <c r="E265" s="5" t="s">
        <v>4942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11" t="s">
        <v>46</v>
      </c>
      <c r="Q265" s="5">
        <v>193.6157</v>
      </c>
      <c r="R265" s="5">
        <f t="shared" si="4"/>
        <v>193.6157</v>
      </c>
      <c r="S265" s="5" t="s">
        <v>74</v>
      </c>
      <c r="T265" s="12">
        <v>262</v>
      </c>
      <c r="U265" s="247" t="s">
        <v>1492</v>
      </c>
      <c r="V265" s="232" t="s">
        <v>1489</v>
      </c>
      <c r="W265" s="232">
        <v>-12217.9</v>
      </c>
      <c r="X265" s="232">
        <v>2366.3000000000002</v>
      </c>
      <c r="Y265" s="233" t="s">
        <v>49</v>
      </c>
      <c r="Z265" s="87" t="s">
        <v>50</v>
      </c>
      <c r="AA265" s="233" t="s">
        <v>51</v>
      </c>
      <c r="AB265" s="233" t="s">
        <v>934</v>
      </c>
      <c r="AC265" s="233">
        <v>1</v>
      </c>
      <c r="AD265" s="233" t="s">
        <v>226</v>
      </c>
      <c r="AE265" s="234"/>
      <c r="AF265" s="234"/>
      <c r="AG265" s="234"/>
      <c r="AH265" s="233"/>
      <c r="AI265" s="233"/>
      <c r="AJ265" s="233" t="s">
        <v>935</v>
      </c>
      <c r="AK265" s="233">
        <v>1500</v>
      </c>
      <c r="AL265" s="233"/>
      <c r="AM265" s="233"/>
      <c r="AN265" s="233"/>
      <c r="AO265" s="233"/>
      <c r="AP265" s="234"/>
      <c r="AQ265" s="234" t="s">
        <v>936</v>
      </c>
    </row>
    <row r="266" spans="1:43">
      <c r="A266" s="12">
        <v>263</v>
      </c>
      <c r="B266" s="21" t="s">
        <v>4943</v>
      </c>
      <c r="C266" s="5" t="s">
        <v>1494</v>
      </c>
      <c r="D266" s="5" t="s">
        <v>4944</v>
      </c>
      <c r="E266" s="5" t="s">
        <v>4945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11" t="s">
        <v>46</v>
      </c>
      <c r="Q266" s="5">
        <v>170.13820000000001</v>
      </c>
      <c r="R266" s="5">
        <f t="shared" si="4"/>
        <v>170.13820000000001</v>
      </c>
      <c r="S266" s="5" t="s">
        <v>395</v>
      </c>
      <c r="T266" s="12">
        <v>263</v>
      </c>
      <c r="U266" s="248" t="s">
        <v>1497</v>
      </c>
      <c r="V266" s="232" t="s">
        <v>1494</v>
      </c>
      <c r="W266" s="232">
        <v>8271.2999999999993</v>
      </c>
      <c r="X266" s="232">
        <v>-2014.2</v>
      </c>
      <c r="Y266" s="233" t="s">
        <v>49</v>
      </c>
      <c r="Z266" s="87" t="s">
        <v>50</v>
      </c>
      <c r="AA266" s="233" t="s">
        <v>51</v>
      </c>
      <c r="AB266" s="234"/>
      <c r="AC266" s="233">
        <v>1</v>
      </c>
      <c r="AD266" s="233" t="s">
        <v>226</v>
      </c>
      <c r="AE266" s="234"/>
      <c r="AF266" s="234"/>
      <c r="AG266" s="234"/>
      <c r="AH266" s="233"/>
      <c r="AI266" s="233"/>
      <c r="AJ266" s="233"/>
      <c r="AK266" s="233"/>
      <c r="AL266" s="233"/>
      <c r="AM266" s="233"/>
      <c r="AN266" s="233"/>
      <c r="AO266" s="233"/>
      <c r="AP266" s="234"/>
      <c r="AQ266" s="234" t="s">
        <v>333</v>
      </c>
    </row>
    <row r="267" spans="1:43">
      <c r="A267" s="12">
        <v>264</v>
      </c>
      <c r="B267" s="21" t="s">
        <v>4946</v>
      </c>
      <c r="C267" s="5" t="s">
        <v>1499</v>
      </c>
      <c r="D267" s="5" t="s">
        <v>4947</v>
      </c>
      <c r="E267" s="5" t="s">
        <v>4948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11" t="s">
        <v>46</v>
      </c>
      <c r="Q267" s="5">
        <v>234.31649999999999</v>
      </c>
      <c r="R267" s="5">
        <f t="shared" si="4"/>
        <v>234.31649999999999</v>
      </c>
      <c r="S267" s="5" t="s">
        <v>344</v>
      </c>
      <c r="T267" s="12">
        <v>264</v>
      </c>
      <c r="U267" s="248" t="s">
        <v>1502</v>
      </c>
      <c r="V267" s="232" t="s">
        <v>1499</v>
      </c>
      <c r="W267" s="232">
        <v>8982.5</v>
      </c>
      <c r="X267" s="232">
        <v>-2014.2</v>
      </c>
      <c r="Y267" s="233" t="s">
        <v>49</v>
      </c>
      <c r="Z267" s="87" t="s">
        <v>50</v>
      </c>
      <c r="AA267" s="233" t="s">
        <v>51</v>
      </c>
      <c r="AB267" s="234"/>
      <c r="AC267" s="233">
        <v>1</v>
      </c>
      <c r="AD267" s="233" t="s">
        <v>226</v>
      </c>
      <c r="AE267" s="234"/>
      <c r="AF267" s="234"/>
      <c r="AG267" s="234"/>
      <c r="AH267" s="233"/>
      <c r="AI267" s="233"/>
      <c r="AJ267" s="233"/>
      <c r="AK267" s="233"/>
      <c r="AL267" s="233"/>
      <c r="AM267" s="233"/>
      <c r="AN267" s="233"/>
      <c r="AO267" s="233"/>
      <c r="AP267" s="234"/>
      <c r="AQ267" s="234" t="s">
        <v>333</v>
      </c>
    </row>
    <row r="268" spans="1:43">
      <c r="A268" s="12">
        <v>265</v>
      </c>
      <c r="B268" s="21" t="s">
        <v>4949</v>
      </c>
      <c r="C268" s="5" t="s">
        <v>1504</v>
      </c>
      <c r="D268" s="5" t="s">
        <v>4950</v>
      </c>
      <c r="E268" s="5" t="s">
        <v>4951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11" t="s">
        <v>46</v>
      </c>
      <c r="Q268" s="5">
        <v>189.51060000000001</v>
      </c>
      <c r="R268" s="5">
        <f t="shared" si="4"/>
        <v>189.51060000000001</v>
      </c>
      <c r="S268" s="5" t="s">
        <v>732</v>
      </c>
      <c r="T268" s="12">
        <v>265</v>
      </c>
      <c r="U268" s="248" t="s">
        <v>1507</v>
      </c>
      <c r="V268" s="232" t="s">
        <v>1504</v>
      </c>
      <c r="W268" s="232">
        <v>12159</v>
      </c>
      <c r="X268" s="232">
        <v>-2882.9</v>
      </c>
      <c r="Y268" s="233" t="s">
        <v>49</v>
      </c>
      <c r="Z268" s="87" t="s">
        <v>50</v>
      </c>
      <c r="AA268" s="233" t="s">
        <v>51</v>
      </c>
      <c r="AB268" s="234"/>
      <c r="AC268" s="233">
        <v>1</v>
      </c>
      <c r="AD268" s="233" t="s">
        <v>226</v>
      </c>
      <c r="AE268" s="234"/>
      <c r="AF268" s="234"/>
      <c r="AG268" s="234"/>
      <c r="AH268" s="233"/>
      <c r="AI268" s="233"/>
      <c r="AJ268" s="233"/>
      <c r="AK268" s="233"/>
      <c r="AL268" s="233"/>
      <c r="AM268" s="233"/>
      <c r="AN268" s="233"/>
      <c r="AO268" s="233"/>
      <c r="AP268" s="234"/>
      <c r="AQ268" s="234" t="s">
        <v>333</v>
      </c>
    </row>
    <row r="269" spans="1:43">
      <c r="A269" s="12">
        <v>266</v>
      </c>
      <c r="B269" s="21" t="s">
        <v>4952</v>
      </c>
      <c r="C269" s="5" t="s">
        <v>1509</v>
      </c>
      <c r="D269" s="5" t="s">
        <v>4953</v>
      </c>
      <c r="E269" s="5" t="s">
        <v>4954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11" t="s">
        <v>46</v>
      </c>
      <c r="Q269" s="5">
        <v>133.0059</v>
      </c>
      <c r="R269" s="5">
        <f t="shared" si="4"/>
        <v>133.0059</v>
      </c>
      <c r="S269" s="5" t="s">
        <v>74</v>
      </c>
      <c r="T269" s="12">
        <v>266</v>
      </c>
      <c r="U269" s="248" t="s">
        <v>1512</v>
      </c>
      <c r="V269" s="232" t="s">
        <v>1509</v>
      </c>
      <c r="W269" s="232">
        <v>12702.5</v>
      </c>
      <c r="X269" s="232">
        <v>-2729.2</v>
      </c>
      <c r="Y269" s="233" t="s">
        <v>49</v>
      </c>
      <c r="Z269" s="87" t="s">
        <v>50</v>
      </c>
      <c r="AA269" s="233" t="s">
        <v>51</v>
      </c>
      <c r="AB269" s="234"/>
      <c r="AC269" s="233">
        <v>1</v>
      </c>
      <c r="AD269" s="233" t="s">
        <v>226</v>
      </c>
      <c r="AE269" s="234"/>
      <c r="AF269" s="234"/>
      <c r="AG269" s="234"/>
      <c r="AH269" s="233"/>
      <c r="AI269" s="233"/>
      <c r="AJ269" s="233"/>
      <c r="AK269" s="233"/>
      <c r="AL269" s="233"/>
      <c r="AM269" s="233"/>
      <c r="AN269" s="233"/>
      <c r="AO269" s="233"/>
      <c r="AP269" s="234"/>
      <c r="AQ269" s="234" t="s">
        <v>333</v>
      </c>
    </row>
    <row r="270" spans="1:43">
      <c r="A270" s="12">
        <v>267</v>
      </c>
      <c r="B270" s="21" t="s">
        <v>4955</v>
      </c>
      <c r="C270" s="5" t="s">
        <v>1514</v>
      </c>
      <c r="D270" s="5" t="s">
        <v>4956</v>
      </c>
      <c r="E270" s="5" t="s">
        <v>4957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11" t="s">
        <v>46</v>
      </c>
      <c r="Q270" s="5">
        <v>250.77869999999999</v>
      </c>
      <c r="R270" s="5">
        <f t="shared" si="4"/>
        <v>250.77869999999999</v>
      </c>
      <c r="S270" s="5" t="s">
        <v>344</v>
      </c>
      <c r="T270" s="12">
        <v>267</v>
      </c>
      <c r="U270" s="248" t="s">
        <v>1517</v>
      </c>
      <c r="V270" s="232" t="s">
        <v>1514</v>
      </c>
      <c r="W270" s="232">
        <v>11697.7</v>
      </c>
      <c r="X270" s="232">
        <v>-2274.3000000000002</v>
      </c>
      <c r="Y270" s="233" t="s">
        <v>49</v>
      </c>
      <c r="Z270" s="87" t="s">
        <v>50</v>
      </c>
      <c r="AA270" s="233" t="s">
        <v>51</v>
      </c>
      <c r="AB270" s="234"/>
      <c r="AC270" s="233">
        <v>1</v>
      </c>
      <c r="AD270" s="233" t="s">
        <v>226</v>
      </c>
      <c r="AE270" s="234"/>
      <c r="AF270" s="234"/>
      <c r="AG270" s="234"/>
      <c r="AH270" s="233"/>
      <c r="AI270" s="233"/>
      <c r="AJ270" s="233"/>
      <c r="AK270" s="233"/>
      <c r="AL270" s="233"/>
      <c r="AM270" s="233"/>
      <c r="AN270" s="233"/>
      <c r="AO270" s="233"/>
      <c r="AP270" s="234"/>
      <c r="AQ270" s="234" t="s">
        <v>333</v>
      </c>
    </row>
    <row r="271" spans="1:43">
      <c r="A271" s="12">
        <v>268</v>
      </c>
      <c r="B271" s="21" t="s">
        <v>4958</v>
      </c>
      <c r="C271" s="5" t="s">
        <v>1519</v>
      </c>
      <c r="D271" s="5" t="s">
        <v>4959</v>
      </c>
      <c r="E271" s="5" t="s">
        <v>4960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11" t="s">
        <v>46</v>
      </c>
      <c r="Q271" s="5">
        <v>137.8937</v>
      </c>
      <c r="R271" s="5">
        <f t="shared" si="4"/>
        <v>137.8937</v>
      </c>
      <c r="S271" s="5" t="s">
        <v>395</v>
      </c>
      <c r="T271" s="12">
        <v>268</v>
      </c>
      <c r="U271" s="248" t="s">
        <v>1522</v>
      </c>
      <c r="V271" s="232" t="s">
        <v>1519</v>
      </c>
      <c r="W271" s="232">
        <v>12217.9</v>
      </c>
      <c r="X271" s="232">
        <v>-2366.3000000000002</v>
      </c>
      <c r="Y271" s="233" t="s">
        <v>49</v>
      </c>
      <c r="Z271" s="87" t="s">
        <v>50</v>
      </c>
      <c r="AA271" s="233" t="s">
        <v>51</v>
      </c>
      <c r="AB271" s="234"/>
      <c r="AC271" s="233">
        <v>1</v>
      </c>
      <c r="AD271" s="233" t="s">
        <v>226</v>
      </c>
      <c r="AE271" s="234"/>
      <c r="AF271" s="234"/>
      <c r="AG271" s="234"/>
      <c r="AH271" s="233"/>
      <c r="AI271" s="233"/>
      <c r="AJ271" s="233"/>
      <c r="AK271" s="233"/>
      <c r="AL271" s="233"/>
      <c r="AM271" s="233"/>
      <c r="AN271" s="233"/>
      <c r="AO271" s="233"/>
      <c r="AP271" s="234"/>
      <c r="AQ271" s="234" t="s">
        <v>333</v>
      </c>
    </row>
    <row r="272" spans="1:43">
      <c r="A272" s="12">
        <v>269</v>
      </c>
      <c r="B272" s="21" t="s">
        <v>4961</v>
      </c>
      <c r="C272" s="5" t="s">
        <v>1524</v>
      </c>
      <c r="D272" s="5" t="s">
        <v>4962</v>
      </c>
      <c r="E272" s="5" t="s">
        <v>4963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11" t="s">
        <v>46</v>
      </c>
      <c r="Q272" s="5">
        <v>133.4581</v>
      </c>
      <c r="R272" s="5">
        <f t="shared" si="4"/>
        <v>133.4581</v>
      </c>
      <c r="S272" s="5" t="s">
        <v>74</v>
      </c>
      <c r="T272" s="12">
        <v>269</v>
      </c>
      <c r="U272" s="248" t="s">
        <v>1527</v>
      </c>
      <c r="V272" s="232" t="s">
        <v>1524</v>
      </c>
      <c r="W272" s="232">
        <v>12413</v>
      </c>
      <c r="X272" s="232">
        <v>-1901.2</v>
      </c>
      <c r="Y272" s="233" t="s">
        <v>49</v>
      </c>
      <c r="Z272" s="87" t="s">
        <v>50</v>
      </c>
      <c r="AA272" s="233" t="s">
        <v>51</v>
      </c>
      <c r="AB272" s="234"/>
      <c r="AC272" s="233">
        <v>1</v>
      </c>
      <c r="AD272" s="233" t="s">
        <v>226</v>
      </c>
      <c r="AE272" s="234"/>
      <c r="AF272" s="234"/>
      <c r="AG272" s="234"/>
      <c r="AH272" s="233"/>
      <c r="AI272" s="233"/>
      <c r="AJ272" s="233"/>
      <c r="AK272" s="233"/>
      <c r="AL272" s="233"/>
      <c r="AM272" s="233"/>
      <c r="AN272" s="233"/>
      <c r="AO272" s="233"/>
      <c r="AP272" s="234"/>
      <c r="AQ272" s="234" t="s">
        <v>333</v>
      </c>
    </row>
    <row r="273" spans="1:43">
      <c r="A273" s="12">
        <v>270</v>
      </c>
      <c r="B273" s="21" t="s">
        <v>4964</v>
      </c>
      <c r="C273" s="5" t="s">
        <v>1529</v>
      </c>
      <c r="D273" s="5" t="s">
        <v>4965</v>
      </c>
      <c r="E273" s="5" t="s">
        <v>4966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11" t="s">
        <v>46</v>
      </c>
      <c r="Q273" s="5">
        <v>164.5249</v>
      </c>
      <c r="R273" s="5">
        <f t="shared" si="4"/>
        <v>164.5249</v>
      </c>
      <c r="S273" s="5" t="s">
        <v>732</v>
      </c>
      <c r="T273" s="12">
        <v>270</v>
      </c>
      <c r="U273" s="248" t="s">
        <v>1532</v>
      </c>
      <c r="V273" s="232" t="s">
        <v>1529</v>
      </c>
      <c r="W273" s="232">
        <v>11912.6</v>
      </c>
      <c r="X273" s="232">
        <v>-1819.9</v>
      </c>
      <c r="Y273" s="233" t="s">
        <v>49</v>
      </c>
      <c r="Z273" s="87" t="s">
        <v>50</v>
      </c>
      <c r="AA273" s="233" t="s">
        <v>51</v>
      </c>
      <c r="AB273" s="234"/>
      <c r="AC273" s="233">
        <v>1</v>
      </c>
      <c r="AD273" s="233" t="s">
        <v>226</v>
      </c>
      <c r="AE273" s="234"/>
      <c r="AF273" s="234"/>
      <c r="AG273" s="234"/>
      <c r="AH273" s="233"/>
      <c r="AI273" s="233"/>
      <c r="AJ273" s="233"/>
      <c r="AK273" s="233"/>
      <c r="AL273" s="233"/>
      <c r="AM273" s="233"/>
      <c r="AN273" s="233"/>
      <c r="AO273" s="233"/>
      <c r="AP273" s="234"/>
      <c r="AQ273" s="234" t="s">
        <v>333</v>
      </c>
    </row>
    <row r="274" spans="1:43">
      <c r="A274" s="12">
        <v>271</v>
      </c>
      <c r="B274" s="21" t="s">
        <v>4967</v>
      </c>
      <c r="C274" s="5" t="s">
        <v>1534</v>
      </c>
      <c r="D274" s="5" t="s">
        <v>4968</v>
      </c>
      <c r="E274" s="5" t="s">
        <v>4969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11" t="s">
        <v>46</v>
      </c>
      <c r="Q274" s="5">
        <v>153.05779999999999</v>
      </c>
      <c r="R274" s="5">
        <f t="shared" si="4"/>
        <v>153.05779999999999</v>
      </c>
      <c r="S274" s="5" t="s">
        <v>395</v>
      </c>
      <c r="T274" s="12">
        <v>271</v>
      </c>
      <c r="U274" s="248" t="s">
        <v>1537</v>
      </c>
      <c r="V274" s="232" t="s">
        <v>1534</v>
      </c>
      <c r="W274" s="232">
        <v>12915.4</v>
      </c>
      <c r="X274" s="232">
        <v>-1871</v>
      </c>
      <c r="Y274" s="233" t="s">
        <v>49</v>
      </c>
      <c r="Z274" s="87" t="s">
        <v>50</v>
      </c>
      <c r="AA274" s="233" t="s">
        <v>51</v>
      </c>
      <c r="AB274" s="234"/>
      <c r="AC274" s="233">
        <v>1</v>
      </c>
      <c r="AD274" s="233" t="s">
        <v>226</v>
      </c>
      <c r="AE274" s="234"/>
      <c r="AF274" s="234"/>
      <c r="AG274" s="234"/>
      <c r="AH274" s="233"/>
      <c r="AI274" s="233"/>
      <c r="AJ274" s="233"/>
      <c r="AK274" s="233"/>
      <c r="AL274" s="233"/>
      <c r="AM274" s="233"/>
      <c r="AN274" s="233"/>
      <c r="AO274" s="233"/>
      <c r="AP274" s="234"/>
      <c r="AQ274" s="234" t="s">
        <v>333</v>
      </c>
    </row>
    <row r="275" spans="1:43">
      <c r="A275" s="12">
        <v>272</v>
      </c>
      <c r="B275" s="21" t="s">
        <v>4970</v>
      </c>
      <c r="C275" s="5" t="s">
        <v>1539</v>
      </c>
      <c r="D275" s="5" t="s">
        <v>4971</v>
      </c>
      <c r="E275" s="5" t="s">
        <v>4972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11" t="s">
        <v>46</v>
      </c>
      <c r="Q275" s="5">
        <v>229.9854</v>
      </c>
      <c r="R275" s="5">
        <f t="shared" si="4"/>
        <v>229.9854</v>
      </c>
      <c r="S275" s="5" t="s">
        <v>344</v>
      </c>
      <c r="T275" s="12">
        <v>272</v>
      </c>
      <c r="U275" s="248" t="s">
        <v>1542</v>
      </c>
      <c r="V275" s="232" t="s">
        <v>1539</v>
      </c>
      <c r="W275" s="232">
        <v>9602.2000000000007</v>
      </c>
      <c r="X275" s="232">
        <v>-579.1</v>
      </c>
      <c r="Y275" s="233" t="s">
        <v>49</v>
      </c>
      <c r="Z275" s="87" t="s">
        <v>50</v>
      </c>
      <c r="AA275" s="233" t="s">
        <v>51</v>
      </c>
      <c r="AB275" s="234"/>
      <c r="AC275" s="233">
        <v>1</v>
      </c>
      <c r="AD275" s="233" t="s">
        <v>226</v>
      </c>
      <c r="AE275" s="234"/>
      <c r="AF275" s="234"/>
      <c r="AG275" s="234"/>
      <c r="AH275" s="233"/>
      <c r="AI275" s="233"/>
      <c r="AJ275" s="233"/>
      <c r="AK275" s="233"/>
      <c r="AL275" s="233"/>
      <c r="AM275" s="233"/>
      <c r="AN275" s="233"/>
      <c r="AO275" s="233"/>
      <c r="AP275" s="234"/>
      <c r="AQ275" s="234" t="s">
        <v>333</v>
      </c>
    </row>
    <row r="276" spans="1:43">
      <c r="A276" s="12">
        <v>273</v>
      </c>
      <c r="B276" s="21" t="s">
        <v>4973</v>
      </c>
      <c r="C276" s="5" t="s">
        <v>1544</v>
      </c>
      <c r="D276" s="5" t="s">
        <v>4974</v>
      </c>
      <c r="E276" s="5" t="s">
        <v>4975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11" t="s">
        <v>46</v>
      </c>
      <c r="Q276" s="5">
        <v>254.24870000000001</v>
      </c>
      <c r="R276" s="5">
        <f t="shared" si="4"/>
        <v>254.24870000000001</v>
      </c>
      <c r="S276" s="5" t="s">
        <v>685</v>
      </c>
      <c r="T276" s="12">
        <v>273</v>
      </c>
      <c r="U276" s="248" t="s">
        <v>1547</v>
      </c>
      <c r="V276" s="232" t="s">
        <v>1544</v>
      </c>
      <c r="W276" s="232">
        <v>8891</v>
      </c>
      <c r="X276" s="232">
        <v>-579.1</v>
      </c>
      <c r="Y276" s="233" t="s">
        <v>49</v>
      </c>
      <c r="Z276" s="87" t="s">
        <v>50</v>
      </c>
      <c r="AA276" s="233" t="s">
        <v>51</v>
      </c>
      <c r="AB276" s="234"/>
      <c r="AC276" s="233">
        <v>1</v>
      </c>
      <c r="AD276" s="233" t="s">
        <v>226</v>
      </c>
      <c r="AE276" s="234"/>
      <c r="AF276" s="234"/>
      <c r="AG276" s="234"/>
      <c r="AH276" s="233"/>
      <c r="AI276" s="233"/>
      <c r="AJ276" s="233"/>
      <c r="AK276" s="233"/>
      <c r="AL276" s="233"/>
      <c r="AM276" s="233"/>
      <c r="AN276" s="233"/>
      <c r="AO276" s="233"/>
      <c r="AP276" s="234"/>
      <c r="AQ276" s="234" t="s">
        <v>333</v>
      </c>
    </row>
    <row r="277" spans="1:43">
      <c r="A277" s="12">
        <v>274</v>
      </c>
      <c r="B277" s="21" t="s">
        <v>4976</v>
      </c>
      <c r="C277" s="5" t="s">
        <v>1549</v>
      </c>
      <c r="D277" s="5" t="s">
        <v>4977</v>
      </c>
      <c r="E277" s="5" t="s">
        <v>4978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11" t="s">
        <v>46</v>
      </c>
      <c r="Q277" s="5">
        <v>178.11330000000001</v>
      </c>
      <c r="R277" s="5">
        <f t="shared" si="4"/>
        <v>178.11330000000001</v>
      </c>
      <c r="S277" s="5" t="s">
        <v>732</v>
      </c>
      <c r="T277" s="12">
        <v>274</v>
      </c>
      <c r="U277" s="248" t="s">
        <v>1552</v>
      </c>
      <c r="V277" s="232" t="s">
        <v>1549</v>
      </c>
      <c r="W277" s="232">
        <v>10313.4</v>
      </c>
      <c r="X277" s="232">
        <v>-579.1</v>
      </c>
      <c r="Y277" s="233" t="s">
        <v>49</v>
      </c>
      <c r="Z277" s="87" t="s">
        <v>50</v>
      </c>
      <c r="AA277" s="233" t="s">
        <v>51</v>
      </c>
      <c r="AB277" s="234"/>
      <c r="AC277" s="233">
        <v>1</v>
      </c>
      <c r="AD277" s="233" t="s">
        <v>226</v>
      </c>
      <c r="AE277" s="234"/>
      <c r="AF277" s="234"/>
      <c r="AG277" s="234"/>
      <c r="AH277" s="233"/>
      <c r="AI277" s="233"/>
      <c r="AJ277" s="233"/>
      <c r="AK277" s="233"/>
      <c r="AL277" s="233"/>
      <c r="AM277" s="233"/>
      <c r="AN277" s="233"/>
      <c r="AO277" s="233"/>
      <c r="AP277" s="234"/>
      <c r="AQ277" s="234" t="s">
        <v>333</v>
      </c>
    </row>
    <row r="278" spans="1:43">
      <c r="A278" s="12">
        <v>275</v>
      </c>
      <c r="B278" s="21" t="s">
        <v>4979</v>
      </c>
      <c r="C278" s="5" t="s">
        <v>1554</v>
      </c>
      <c r="D278" s="5" t="s">
        <v>4980</v>
      </c>
      <c r="E278" s="5" t="s">
        <v>4981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11" t="s">
        <v>46</v>
      </c>
      <c r="Q278" s="5">
        <v>166.2183</v>
      </c>
      <c r="R278" s="5">
        <f t="shared" si="4"/>
        <v>166.2183</v>
      </c>
      <c r="S278" s="5" t="s">
        <v>706</v>
      </c>
      <c r="T278" s="12">
        <v>275</v>
      </c>
      <c r="U278" s="248" t="s">
        <v>1557</v>
      </c>
      <c r="V278" s="232" t="s">
        <v>1554</v>
      </c>
      <c r="W278" s="232">
        <v>11024.6</v>
      </c>
      <c r="X278" s="232">
        <v>-579.1</v>
      </c>
      <c r="Y278" s="233" t="s">
        <v>49</v>
      </c>
      <c r="Z278" s="87" t="s">
        <v>50</v>
      </c>
      <c r="AA278" s="233" t="s">
        <v>51</v>
      </c>
      <c r="AB278" s="234"/>
      <c r="AC278" s="233">
        <v>1</v>
      </c>
      <c r="AD278" s="233" t="s">
        <v>226</v>
      </c>
      <c r="AE278" s="234"/>
      <c r="AF278" s="234"/>
      <c r="AG278" s="234"/>
      <c r="AH278" s="233"/>
      <c r="AI278" s="233"/>
      <c r="AJ278" s="233"/>
      <c r="AK278" s="233"/>
      <c r="AL278" s="233"/>
      <c r="AM278" s="233"/>
      <c r="AN278" s="233"/>
      <c r="AO278" s="233"/>
      <c r="AP278" s="234"/>
      <c r="AQ278" s="234" t="s">
        <v>333</v>
      </c>
    </row>
    <row r="279" spans="1:43">
      <c r="A279" s="12">
        <v>276</v>
      </c>
      <c r="B279" s="21" t="s">
        <v>4982</v>
      </c>
      <c r="C279" s="5" t="s">
        <v>1559</v>
      </c>
      <c r="D279" s="5" t="s">
        <v>4983</v>
      </c>
      <c r="E279" s="5" t="s">
        <v>4984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11" t="s">
        <v>46</v>
      </c>
      <c r="Q279" s="5">
        <v>139.34739999999999</v>
      </c>
      <c r="R279" s="5">
        <f t="shared" si="4"/>
        <v>139.34739999999999</v>
      </c>
      <c r="S279" s="5" t="s">
        <v>74</v>
      </c>
      <c r="T279" s="12">
        <v>276</v>
      </c>
      <c r="U279" s="248" t="s">
        <v>1562</v>
      </c>
      <c r="V279" s="232" t="s">
        <v>1559</v>
      </c>
      <c r="W279" s="232">
        <v>11912.6</v>
      </c>
      <c r="X279" s="232">
        <v>-4017</v>
      </c>
      <c r="Y279" s="233" t="s">
        <v>49</v>
      </c>
      <c r="Z279" s="87" t="s">
        <v>50</v>
      </c>
      <c r="AA279" s="233" t="s">
        <v>51</v>
      </c>
      <c r="AB279" s="234"/>
      <c r="AC279" s="233">
        <v>1</v>
      </c>
      <c r="AD279" s="233" t="s">
        <v>226</v>
      </c>
      <c r="AE279" s="234"/>
      <c r="AF279" s="234"/>
      <c r="AG279" s="234"/>
      <c r="AH279" s="233"/>
      <c r="AI279" s="233"/>
      <c r="AJ279" s="233"/>
      <c r="AK279" s="233"/>
      <c r="AL279" s="233"/>
      <c r="AM279" s="233"/>
      <c r="AN279" s="233"/>
      <c r="AO279" s="233"/>
      <c r="AP279" s="234"/>
      <c r="AQ279" s="234" t="s">
        <v>333</v>
      </c>
    </row>
    <row r="280" spans="1:43">
      <c r="A280" s="12">
        <v>277</v>
      </c>
      <c r="B280" s="21" t="s">
        <v>4985</v>
      </c>
      <c r="C280" s="5" t="s">
        <v>1564</v>
      </c>
      <c r="D280" s="5" t="s">
        <v>4986</v>
      </c>
      <c r="E280" s="5" t="s">
        <v>4987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11" t="s">
        <v>46</v>
      </c>
      <c r="Q280" s="5">
        <v>185.43469999999999</v>
      </c>
      <c r="R280" s="5">
        <f t="shared" si="4"/>
        <v>185.43469999999999</v>
      </c>
      <c r="S280" s="5" t="s">
        <v>732</v>
      </c>
      <c r="T280" s="12">
        <v>277</v>
      </c>
      <c r="U280" s="248" t="s">
        <v>1567</v>
      </c>
      <c r="V280" s="232" t="s">
        <v>1564</v>
      </c>
      <c r="W280" s="232">
        <v>12285.7</v>
      </c>
      <c r="X280" s="232">
        <v>-3389.9</v>
      </c>
      <c r="Y280" s="233" t="s">
        <v>49</v>
      </c>
      <c r="Z280" s="87" t="s">
        <v>50</v>
      </c>
      <c r="AA280" s="233" t="s">
        <v>51</v>
      </c>
      <c r="AB280" s="234"/>
      <c r="AC280" s="233">
        <v>1</v>
      </c>
      <c r="AD280" s="233" t="s">
        <v>226</v>
      </c>
      <c r="AE280" s="234"/>
      <c r="AF280" s="234"/>
      <c r="AG280" s="234"/>
      <c r="AH280" s="233"/>
      <c r="AI280" s="233"/>
      <c r="AJ280" s="233"/>
      <c r="AK280" s="233"/>
      <c r="AL280" s="233"/>
      <c r="AM280" s="233"/>
      <c r="AN280" s="233"/>
      <c r="AO280" s="233"/>
      <c r="AP280" s="234"/>
      <c r="AQ280" s="234" t="s">
        <v>333</v>
      </c>
    </row>
    <row r="281" spans="1:43">
      <c r="A281" s="12">
        <v>278</v>
      </c>
      <c r="B281" s="21" t="s">
        <v>4988</v>
      </c>
      <c r="C281" s="5" t="s">
        <v>1569</v>
      </c>
      <c r="D281" s="5" t="s">
        <v>4989</v>
      </c>
      <c r="E281" s="5" t="s">
        <v>4990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11" t="s">
        <v>46</v>
      </c>
      <c r="Q281" s="5">
        <v>151.81800000000001</v>
      </c>
      <c r="R281" s="5">
        <f t="shared" si="4"/>
        <v>151.81800000000001</v>
      </c>
      <c r="S281" s="5" t="s">
        <v>395</v>
      </c>
      <c r="T281" s="12">
        <v>278</v>
      </c>
      <c r="U281" s="248" t="s">
        <v>1572</v>
      </c>
      <c r="V281" s="232" t="s">
        <v>1569</v>
      </c>
      <c r="W281" s="232">
        <v>11455.4</v>
      </c>
      <c r="X281" s="232">
        <v>-3798.6</v>
      </c>
      <c r="Y281" s="233" t="s">
        <v>49</v>
      </c>
      <c r="Z281" s="87" t="s">
        <v>50</v>
      </c>
      <c r="AA281" s="233" t="s">
        <v>51</v>
      </c>
      <c r="AB281" s="234"/>
      <c r="AC281" s="233">
        <v>1</v>
      </c>
      <c r="AD281" s="233" t="s">
        <v>226</v>
      </c>
      <c r="AE281" s="234"/>
      <c r="AF281" s="234"/>
      <c r="AG281" s="234"/>
      <c r="AH281" s="233"/>
      <c r="AI281" s="233"/>
      <c r="AJ281" s="233"/>
      <c r="AK281" s="233"/>
      <c r="AL281" s="233"/>
      <c r="AM281" s="233"/>
      <c r="AN281" s="233"/>
      <c r="AO281" s="233"/>
      <c r="AP281" s="234"/>
      <c r="AQ281" s="234" t="s">
        <v>333</v>
      </c>
    </row>
    <row r="282" spans="1:43">
      <c r="A282" s="12">
        <v>279</v>
      </c>
      <c r="B282" s="21" t="s">
        <v>4991</v>
      </c>
      <c r="C282" s="5" t="s">
        <v>1574</v>
      </c>
      <c r="D282" s="5" t="s">
        <v>4992</v>
      </c>
      <c r="E282" s="5" t="s">
        <v>4993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11" t="s">
        <v>46</v>
      </c>
      <c r="Q282" s="5">
        <v>151.1721</v>
      </c>
      <c r="R282" s="5">
        <f t="shared" si="4"/>
        <v>151.1721</v>
      </c>
      <c r="S282" s="5" t="s">
        <v>395</v>
      </c>
      <c r="T282" s="12">
        <v>279</v>
      </c>
      <c r="U282" s="248" t="s">
        <v>1577</v>
      </c>
      <c r="V282" s="232" t="s">
        <v>1574</v>
      </c>
      <c r="W282" s="232">
        <v>12786.5</v>
      </c>
      <c r="X282" s="232">
        <v>-3389.9</v>
      </c>
      <c r="Y282" s="233" t="s">
        <v>49</v>
      </c>
      <c r="Z282" s="87" t="s">
        <v>50</v>
      </c>
      <c r="AA282" s="233" t="s">
        <v>51</v>
      </c>
      <c r="AB282" s="234"/>
      <c r="AC282" s="233">
        <v>1</v>
      </c>
      <c r="AD282" s="233" t="s">
        <v>226</v>
      </c>
      <c r="AE282" s="234"/>
      <c r="AF282" s="234"/>
      <c r="AG282" s="234"/>
      <c r="AH282" s="233"/>
      <c r="AI282" s="233"/>
      <c r="AJ282" s="233"/>
      <c r="AK282" s="233"/>
      <c r="AL282" s="233"/>
      <c r="AM282" s="233"/>
      <c r="AN282" s="233"/>
      <c r="AO282" s="233"/>
      <c r="AP282" s="234"/>
      <c r="AQ282" s="234" t="s">
        <v>333</v>
      </c>
    </row>
    <row r="283" spans="1:43">
      <c r="A283" s="12">
        <v>280</v>
      </c>
      <c r="B283" s="21" t="s">
        <v>4994</v>
      </c>
      <c r="C283" s="5" t="s">
        <v>1579</v>
      </c>
      <c r="D283" s="5" t="s">
        <v>4995</v>
      </c>
      <c r="E283" s="5" t="s">
        <v>4996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11" t="s">
        <v>46</v>
      </c>
      <c r="Q283" s="5">
        <v>105.9817</v>
      </c>
      <c r="R283" s="5">
        <f t="shared" si="4"/>
        <v>105.9817</v>
      </c>
      <c r="S283" s="5" t="s">
        <v>60</v>
      </c>
      <c r="T283" s="12">
        <v>280</v>
      </c>
      <c r="U283" s="249" t="s">
        <v>1582</v>
      </c>
      <c r="V283" s="232" t="s">
        <v>1579</v>
      </c>
      <c r="W283" s="232">
        <v>12786.5</v>
      </c>
      <c r="X283" s="232">
        <v>5587</v>
      </c>
      <c r="Y283" s="233" t="s">
        <v>49</v>
      </c>
      <c r="Z283" s="87" t="s">
        <v>50</v>
      </c>
      <c r="AA283" s="233" t="s">
        <v>51</v>
      </c>
      <c r="AB283" s="234"/>
      <c r="AC283" s="233">
        <v>1</v>
      </c>
      <c r="AD283" s="233" t="s">
        <v>226</v>
      </c>
      <c r="AE283" s="234"/>
      <c r="AF283" s="234"/>
      <c r="AG283" s="234"/>
      <c r="AH283" s="233"/>
      <c r="AI283" s="233"/>
      <c r="AJ283" s="233"/>
      <c r="AK283" s="233"/>
      <c r="AL283" s="233"/>
      <c r="AM283" s="233"/>
      <c r="AN283" s="233"/>
      <c r="AO283" s="233"/>
      <c r="AP283" s="234"/>
      <c r="AQ283" s="234" t="s">
        <v>333</v>
      </c>
    </row>
    <row r="284" spans="1:43">
      <c r="A284" s="12">
        <v>281</v>
      </c>
      <c r="B284" s="21" t="s">
        <v>4997</v>
      </c>
      <c r="C284" s="5" t="s">
        <v>1584</v>
      </c>
      <c r="D284" s="5" t="s">
        <v>4998</v>
      </c>
      <c r="E284" s="5" t="s">
        <v>4999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11" t="s">
        <v>46</v>
      </c>
      <c r="Q284" s="5">
        <v>127.6212</v>
      </c>
      <c r="R284" s="5">
        <f t="shared" si="4"/>
        <v>127.6212</v>
      </c>
      <c r="S284" s="5" t="s">
        <v>74</v>
      </c>
      <c r="T284" s="12">
        <v>281</v>
      </c>
      <c r="U284" s="249" t="s">
        <v>1587</v>
      </c>
      <c r="V284" s="232" t="s">
        <v>1584</v>
      </c>
      <c r="W284" s="232">
        <v>12159</v>
      </c>
      <c r="X284" s="232">
        <v>5080</v>
      </c>
      <c r="Y284" s="233" t="s">
        <v>49</v>
      </c>
      <c r="Z284" s="87" t="s">
        <v>50</v>
      </c>
      <c r="AA284" s="233" t="s">
        <v>51</v>
      </c>
      <c r="AB284" s="234"/>
      <c r="AC284" s="233">
        <v>1</v>
      </c>
      <c r="AD284" s="233" t="s">
        <v>226</v>
      </c>
      <c r="AE284" s="234"/>
      <c r="AF284" s="234"/>
      <c r="AG284" s="234"/>
      <c r="AH284" s="233"/>
      <c r="AI284" s="233"/>
      <c r="AJ284" s="233"/>
      <c r="AK284" s="233"/>
      <c r="AL284" s="233"/>
      <c r="AM284" s="233"/>
      <c r="AN284" s="233"/>
      <c r="AO284" s="233"/>
      <c r="AP284" s="234"/>
      <c r="AQ284" s="234" t="s">
        <v>333</v>
      </c>
    </row>
    <row r="285" spans="1:43">
      <c r="A285" s="12">
        <v>282</v>
      </c>
      <c r="B285" s="21" t="s">
        <v>5000</v>
      </c>
      <c r="C285" s="5" t="s">
        <v>1589</v>
      </c>
      <c r="D285" s="5" t="s">
        <v>5001</v>
      </c>
      <c r="E285" s="5" t="s">
        <v>5002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11" t="s">
        <v>46</v>
      </c>
      <c r="Q285" s="5">
        <v>111.17449999999999</v>
      </c>
      <c r="R285" s="5">
        <f t="shared" si="4"/>
        <v>111.17449999999999</v>
      </c>
      <c r="S285" s="5" t="s">
        <v>60</v>
      </c>
      <c r="T285" s="12">
        <v>282</v>
      </c>
      <c r="U285" s="249" t="s">
        <v>1592</v>
      </c>
      <c r="V285" s="232" t="s">
        <v>1589</v>
      </c>
      <c r="W285" s="232">
        <v>12915.4</v>
      </c>
      <c r="X285" s="232">
        <v>4068.1</v>
      </c>
      <c r="Y285" s="233" t="s">
        <v>49</v>
      </c>
      <c r="Z285" s="87" t="s">
        <v>50</v>
      </c>
      <c r="AA285" s="233" t="s">
        <v>51</v>
      </c>
      <c r="AB285" s="234"/>
      <c r="AC285" s="233">
        <v>1</v>
      </c>
      <c r="AD285" s="233" t="s">
        <v>226</v>
      </c>
      <c r="AE285" s="234"/>
      <c r="AF285" s="234"/>
      <c r="AG285" s="234"/>
      <c r="AH285" s="233"/>
      <c r="AI285" s="233"/>
      <c r="AJ285" s="233"/>
      <c r="AK285" s="233"/>
      <c r="AL285" s="233"/>
      <c r="AM285" s="233"/>
      <c r="AN285" s="233"/>
      <c r="AO285" s="233"/>
      <c r="AP285" s="234"/>
      <c r="AQ285" s="234" t="s">
        <v>333</v>
      </c>
    </row>
    <row r="286" spans="1:43">
      <c r="A286" s="12">
        <v>283</v>
      </c>
      <c r="B286" s="21" t="s">
        <v>5003</v>
      </c>
      <c r="C286" s="5" t="s">
        <v>1594</v>
      </c>
      <c r="D286" s="5" t="s">
        <v>5004</v>
      </c>
      <c r="E286" s="5" t="s">
        <v>5005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11" t="s">
        <v>46</v>
      </c>
      <c r="Q286" s="5">
        <v>164.35499999999999</v>
      </c>
      <c r="R286" s="5">
        <f t="shared" si="4"/>
        <v>164.35499999999999</v>
      </c>
      <c r="S286" s="5" t="s">
        <v>706</v>
      </c>
      <c r="T286" s="12">
        <v>283</v>
      </c>
      <c r="U286" s="249" t="s">
        <v>1597</v>
      </c>
      <c r="V286" s="232" t="s">
        <v>1594</v>
      </c>
      <c r="W286" s="232">
        <v>11697.7</v>
      </c>
      <c r="X286" s="232">
        <v>4471.3999999999996</v>
      </c>
      <c r="Y286" s="233" t="s">
        <v>49</v>
      </c>
      <c r="Z286" s="87" t="s">
        <v>50</v>
      </c>
      <c r="AA286" s="233" t="s">
        <v>51</v>
      </c>
      <c r="AB286" s="234"/>
      <c r="AC286" s="233">
        <v>1</v>
      </c>
      <c r="AD286" s="233" t="s">
        <v>226</v>
      </c>
      <c r="AE286" s="234"/>
      <c r="AF286" s="234"/>
      <c r="AG286" s="234"/>
      <c r="AH286" s="233"/>
      <c r="AI286" s="233"/>
      <c r="AJ286" s="233"/>
      <c r="AK286" s="233"/>
      <c r="AL286" s="233"/>
      <c r="AM286" s="233"/>
      <c r="AN286" s="233"/>
      <c r="AO286" s="233"/>
      <c r="AP286" s="234"/>
      <c r="AQ286" s="234" t="s">
        <v>333</v>
      </c>
    </row>
    <row r="287" spans="1:43">
      <c r="A287" s="12">
        <v>284</v>
      </c>
      <c r="B287" s="21" t="s">
        <v>5006</v>
      </c>
      <c r="C287" s="5" t="s">
        <v>1599</v>
      </c>
      <c r="D287" s="5" t="s">
        <v>5007</v>
      </c>
      <c r="E287" s="5" t="s">
        <v>5008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11" t="s">
        <v>46</v>
      </c>
      <c r="Q287" s="5">
        <v>230.91030000000001</v>
      </c>
      <c r="R287" s="5">
        <f t="shared" si="4"/>
        <v>230.91030000000001</v>
      </c>
      <c r="S287" s="5" t="s">
        <v>344</v>
      </c>
      <c r="T287" s="12">
        <v>284</v>
      </c>
      <c r="U287" s="249" t="s">
        <v>1602</v>
      </c>
      <c r="V287" s="232" t="s">
        <v>1599</v>
      </c>
      <c r="W287" s="232">
        <v>10289.299999999999</v>
      </c>
      <c r="X287" s="232">
        <v>5521.3</v>
      </c>
      <c r="Y287" s="233" t="s">
        <v>49</v>
      </c>
      <c r="Z287" s="87" t="s">
        <v>50</v>
      </c>
      <c r="AA287" s="233" t="s">
        <v>51</v>
      </c>
      <c r="AB287" s="234"/>
      <c r="AC287" s="233">
        <v>1</v>
      </c>
      <c r="AD287" s="233" t="s">
        <v>226</v>
      </c>
      <c r="AE287" s="234"/>
      <c r="AF287" s="234"/>
      <c r="AG287" s="234"/>
      <c r="AH287" s="233"/>
      <c r="AI287" s="233"/>
      <c r="AJ287" s="233"/>
      <c r="AK287" s="233"/>
      <c r="AL287" s="233"/>
      <c r="AM287" s="233"/>
      <c r="AN287" s="233"/>
      <c r="AO287" s="233"/>
      <c r="AP287" s="234"/>
      <c r="AQ287" s="234" t="s">
        <v>333</v>
      </c>
    </row>
    <row r="288" spans="1:43">
      <c r="A288" s="12">
        <v>285</v>
      </c>
      <c r="B288" s="21" t="s">
        <v>5009</v>
      </c>
      <c r="C288" s="5" t="s">
        <v>1604</v>
      </c>
      <c r="D288" s="5" t="s">
        <v>5010</v>
      </c>
      <c r="E288" s="5" t="s">
        <v>5011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11" t="s">
        <v>46</v>
      </c>
      <c r="Q288" s="5">
        <v>175.1037</v>
      </c>
      <c r="R288" s="5">
        <f t="shared" si="4"/>
        <v>175.1037</v>
      </c>
      <c r="S288" s="5" t="s">
        <v>732</v>
      </c>
      <c r="T288" s="12">
        <v>285</v>
      </c>
      <c r="U288" s="249" t="s">
        <v>1607</v>
      </c>
      <c r="V288" s="232" t="s">
        <v>1604</v>
      </c>
      <c r="W288" s="232">
        <v>9665.7000000000007</v>
      </c>
      <c r="X288" s="232">
        <v>5133.3</v>
      </c>
      <c r="Y288" s="233" t="s">
        <v>49</v>
      </c>
      <c r="Z288" s="87" t="s">
        <v>50</v>
      </c>
      <c r="AA288" s="233" t="s">
        <v>51</v>
      </c>
      <c r="AB288" s="234"/>
      <c r="AC288" s="233">
        <v>1</v>
      </c>
      <c r="AD288" s="233" t="s">
        <v>226</v>
      </c>
      <c r="AE288" s="234"/>
      <c r="AF288" s="234"/>
      <c r="AG288" s="234"/>
      <c r="AH288" s="233"/>
      <c r="AI288" s="233"/>
      <c r="AJ288" s="233"/>
      <c r="AK288" s="233"/>
      <c r="AL288" s="233"/>
      <c r="AM288" s="233"/>
      <c r="AN288" s="233"/>
      <c r="AO288" s="233"/>
      <c r="AP288" s="234"/>
      <c r="AQ288" s="234" t="s">
        <v>333</v>
      </c>
    </row>
    <row r="289" spans="1:43">
      <c r="A289" s="12">
        <v>286</v>
      </c>
      <c r="B289" s="21" t="s">
        <v>5012</v>
      </c>
      <c r="C289" s="5" t="s">
        <v>1609</v>
      </c>
      <c r="D289" s="5" t="s">
        <v>5013</v>
      </c>
      <c r="E289" s="5" t="s">
        <v>5014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11" t="s">
        <v>46</v>
      </c>
      <c r="Q289" s="5">
        <v>144.70509999999999</v>
      </c>
      <c r="R289" s="5">
        <f t="shared" si="4"/>
        <v>144.70509999999999</v>
      </c>
      <c r="S289" s="5" t="s">
        <v>395</v>
      </c>
      <c r="T289" s="12">
        <v>286</v>
      </c>
      <c r="U289" s="249" t="s">
        <v>1612</v>
      </c>
      <c r="V289" s="232" t="s">
        <v>1609</v>
      </c>
      <c r="W289" s="232">
        <v>8983.5</v>
      </c>
      <c r="X289" s="232">
        <v>4897.1000000000004</v>
      </c>
      <c r="Y289" s="233" t="s">
        <v>49</v>
      </c>
      <c r="Z289" s="87" t="s">
        <v>50</v>
      </c>
      <c r="AA289" s="233" t="s">
        <v>51</v>
      </c>
      <c r="AB289" s="234"/>
      <c r="AC289" s="233">
        <v>1</v>
      </c>
      <c r="AD289" s="233" t="s">
        <v>226</v>
      </c>
      <c r="AE289" s="234"/>
      <c r="AF289" s="234"/>
      <c r="AG289" s="234"/>
      <c r="AH289" s="233"/>
      <c r="AI289" s="233"/>
      <c r="AJ289" s="233"/>
      <c r="AK289" s="233"/>
      <c r="AL289" s="233"/>
      <c r="AM289" s="233"/>
      <c r="AN289" s="233"/>
      <c r="AO289" s="233"/>
      <c r="AP289" s="234"/>
      <c r="AQ289" s="234" t="s">
        <v>333</v>
      </c>
    </row>
    <row r="290" spans="1:43">
      <c r="A290" s="12">
        <v>287</v>
      </c>
      <c r="B290" s="21" t="s">
        <v>5015</v>
      </c>
      <c r="C290" s="5" t="s">
        <v>1614</v>
      </c>
      <c r="D290" s="5" t="s">
        <v>5016</v>
      </c>
      <c r="E290" s="5" t="s">
        <v>5017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11" t="s">
        <v>46</v>
      </c>
      <c r="Q290" s="5">
        <v>108.6001</v>
      </c>
      <c r="R290" s="5">
        <f t="shared" si="4"/>
        <v>108.6001</v>
      </c>
      <c r="S290" s="5" t="s">
        <v>67</v>
      </c>
      <c r="T290" s="12">
        <v>287</v>
      </c>
      <c r="U290" s="249" t="s">
        <v>1617</v>
      </c>
      <c r="V290" s="232" t="s">
        <v>1614</v>
      </c>
      <c r="W290" s="232">
        <v>6950.9</v>
      </c>
      <c r="X290" s="232">
        <v>5316.6</v>
      </c>
      <c r="Y290" s="233" t="s">
        <v>49</v>
      </c>
      <c r="Z290" s="87" t="s">
        <v>50</v>
      </c>
      <c r="AA290" s="233" t="s">
        <v>51</v>
      </c>
      <c r="AB290" s="234"/>
      <c r="AC290" s="233">
        <v>1</v>
      </c>
      <c r="AD290" s="233" t="s">
        <v>226</v>
      </c>
      <c r="AE290" s="234"/>
      <c r="AF290" s="234"/>
      <c r="AG290" s="234"/>
      <c r="AH290" s="233"/>
      <c r="AI290" s="233"/>
      <c r="AJ290" s="233"/>
      <c r="AK290" s="233"/>
      <c r="AL290" s="233"/>
      <c r="AM290" s="233"/>
      <c r="AN290" s="233"/>
      <c r="AO290" s="233"/>
      <c r="AP290" s="234"/>
      <c r="AQ290" s="234" t="s">
        <v>333</v>
      </c>
    </row>
    <row r="291" spans="1:43">
      <c r="A291" s="12">
        <v>288</v>
      </c>
      <c r="B291" s="21" t="s">
        <v>5018</v>
      </c>
      <c r="C291" s="5" t="s">
        <v>1619</v>
      </c>
      <c r="D291" s="5" t="s">
        <v>5019</v>
      </c>
      <c r="E291" s="5" t="s">
        <v>5020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11" t="s">
        <v>46</v>
      </c>
      <c r="Q291" s="5">
        <v>114.8323</v>
      </c>
      <c r="R291" s="5">
        <f t="shared" si="4"/>
        <v>114.8323</v>
      </c>
      <c r="S291" s="5" t="s">
        <v>74</v>
      </c>
      <c r="T291" s="12">
        <v>288</v>
      </c>
      <c r="U291" s="249" t="s">
        <v>1622</v>
      </c>
      <c r="V291" s="232" t="s">
        <v>1619</v>
      </c>
      <c r="W291" s="232">
        <v>7674.8</v>
      </c>
      <c r="X291" s="232">
        <v>5316.6</v>
      </c>
      <c r="Y291" s="233" t="s">
        <v>49</v>
      </c>
      <c r="Z291" s="87" t="s">
        <v>50</v>
      </c>
      <c r="AA291" s="233" t="s">
        <v>51</v>
      </c>
      <c r="AB291" s="234"/>
      <c r="AC291" s="233">
        <v>1</v>
      </c>
      <c r="AD291" s="233" t="s">
        <v>226</v>
      </c>
      <c r="AE291" s="234"/>
      <c r="AF291" s="234"/>
      <c r="AG291" s="234"/>
      <c r="AH291" s="233"/>
      <c r="AI291" s="233"/>
      <c r="AJ291" s="233"/>
      <c r="AK291" s="233"/>
      <c r="AL291" s="233"/>
      <c r="AM291" s="233"/>
      <c r="AN291" s="233"/>
      <c r="AO291" s="233"/>
      <c r="AP291" s="234"/>
      <c r="AQ291" s="234" t="s">
        <v>333</v>
      </c>
    </row>
    <row r="292" spans="1:43">
      <c r="A292" s="12">
        <v>289</v>
      </c>
      <c r="B292" s="21" t="s">
        <v>5021</v>
      </c>
      <c r="C292" s="5" t="s">
        <v>1624</v>
      </c>
      <c r="D292" s="5" t="s">
        <v>5022</v>
      </c>
      <c r="E292" s="5" t="s">
        <v>5023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11" t="s">
        <v>46</v>
      </c>
      <c r="Q292" s="5">
        <v>123.3223</v>
      </c>
      <c r="R292" s="5">
        <f t="shared" si="4"/>
        <v>123.3223</v>
      </c>
      <c r="S292" s="5" t="s">
        <v>67</v>
      </c>
      <c r="T292" s="12">
        <v>289</v>
      </c>
      <c r="U292" s="249" t="s">
        <v>1627</v>
      </c>
      <c r="V292" s="232" t="s">
        <v>1624</v>
      </c>
      <c r="W292" s="232">
        <v>12413</v>
      </c>
      <c r="X292" s="232">
        <v>4098.3</v>
      </c>
      <c r="Y292" s="233" t="s">
        <v>49</v>
      </c>
      <c r="Z292" s="87" t="s">
        <v>50</v>
      </c>
      <c r="AA292" s="233" t="s">
        <v>51</v>
      </c>
      <c r="AB292" s="234"/>
      <c r="AC292" s="233">
        <v>1</v>
      </c>
      <c r="AD292" s="233" t="s">
        <v>226</v>
      </c>
      <c r="AE292" s="234"/>
      <c r="AF292" s="234"/>
      <c r="AG292" s="234"/>
      <c r="AH292" s="233"/>
      <c r="AI292" s="233"/>
      <c r="AJ292" s="233"/>
      <c r="AK292" s="233"/>
      <c r="AL292" s="233"/>
      <c r="AM292" s="233"/>
      <c r="AN292" s="233"/>
      <c r="AO292" s="233"/>
      <c r="AP292" s="234"/>
      <c r="AQ292" s="234" t="s">
        <v>333</v>
      </c>
    </row>
    <row r="293" spans="1:43">
      <c r="A293" s="12">
        <v>290</v>
      </c>
      <c r="B293" s="21" t="s">
        <v>5024</v>
      </c>
      <c r="C293" s="5" t="s">
        <v>1629</v>
      </c>
      <c r="D293" s="5" t="s">
        <v>5025</v>
      </c>
      <c r="E293" s="5" t="s">
        <v>5026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11" t="s">
        <v>46</v>
      </c>
      <c r="Q293" s="5">
        <v>129.24209999999999</v>
      </c>
      <c r="R293" s="5">
        <f t="shared" si="4"/>
        <v>129.24209999999999</v>
      </c>
      <c r="S293" s="5" t="s">
        <v>395</v>
      </c>
      <c r="T293" s="12">
        <v>290</v>
      </c>
      <c r="U293" s="249" t="s">
        <v>1632</v>
      </c>
      <c r="V293" s="232" t="s">
        <v>1629</v>
      </c>
      <c r="W293" s="232">
        <v>12285.7</v>
      </c>
      <c r="X293" s="232">
        <v>5587</v>
      </c>
      <c r="Y293" s="233" t="s">
        <v>49</v>
      </c>
      <c r="Z293" s="87" t="s">
        <v>50</v>
      </c>
      <c r="AA293" s="233" t="s">
        <v>51</v>
      </c>
      <c r="AB293" s="234"/>
      <c r="AC293" s="233">
        <v>1</v>
      </c>
      <c r="AD293" s="233" t="s">
        <v>226</v>
      </c>
      <c r="AE293" s="234"/>
      <c r="AF293" s="234"/>
      <c r="AG293" s="234"/>
      <c r="AH293" s="233"/>
      <c r="AI293" s="233"/>
      <c r="AJ293" s="233"/>
      <c r="AK293" s="233"/>
      <c r="AL293" s="233"/>
      <c r="AM293" s="233"/>
      <c r="AN293" s="233"/>
      <c r="AO293" s="233"/>
      <c r="AP293" s="234"/>
      <c r="AQ293" s="234" t="s">
        <v>333</v>
      </c>
    </row>
    <row r="294" spans="1:43">
      <c r="A294" s="12">
        <v>291</v>
      </c>
      <c r="B294" s="21" t="s">
        <v>5027</v>
      </c>
      <c r="C294" s="5" t="s">
        <v>1634</v>
      </c>
      <c r="D294" s="5" t="s">
        <v>5028</v>
      </c>
      <c r="E294" s="5" t="s">
        <v>5029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11" t="s">
        <v>46</v>
      </c>
      <c r="Q294" s="5">
        <v>96.297799999999995</v>
      </c>
      <c r="R294" s="5">
        <f t="shared" si="4"/>
        <v>96.297799999999995</v>
      </c>
      <c r="S294" s="5" t="s">
        <v>60</v>
      </c>
      <c r="T294" s="12">
        <v>291</v>
      </c>
      <c r="U294" s="249" t="s">
        <v>1637</v>
      </c>
      <c r="V294" s="232" t="s">
        <v>1634</v>
      </c>
      <c r="W294" s="232">
        <v>6950.9</v>
      </c>
      <c r="X294" s="232">
        <v>4325.8999999999996</v>
      </c>
      <c r="Y294" s="233" t="s">
        <v>49</v>
      </c>
      <c r="Z294" s="87" t="s">
        <v>50</v>
      </c>
      <c r="AA294" s="233" t="s">
        <v>51</v>
      </c>
      <c r="AB294" s="234"/>
      <c r="AC294" s="233">
        <v>1</v>
      </c>
      <c r="AD294" s="233" t="s">
        <v>226</v>
      </c>
      <c r="AE294" s="234"/>
      <c r="AF294" s="234"/>
      <c r="AG294" s="234"/>
      <c r="AH294" s="233"/>
      <c r="AI294" s="233"/>
      <c r="AJ294" s="233"/>
      <c r="AK294" s="233"/>
      <c r="AL294" s="233"/>
      <c r="AM294" s="233"/>
      <c r="AN294" s="233"/>
      <c r="AO294" s="233"/>
      <c r="AP294" s="234"/>
      <c r="AQ294" s="234" t="s">
        <v>333</v>
      </c>
    </row>
    <row r="295" spans="1:43">
      <c r="A295" s="12">
        <v>292</v>
      </c>
      <c r="B295" s="21" t="s">
        <v>5030</v>
      </c>
      <c r="C295" s="5" t="s">
        <v>1639</v>
      </c>
      <c r="D295" s="5" t="s">
        <v>5031</v>
      </c>
      <c r="E295" s="5" t="s">
        <v>5032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11" t="s">
        <v>46</v>
      </c>
      <c r="Q295" s="5">
        <v>123.5389</v>
      </c>
      <c r="R295" s="5">
        <f t="shared" si="4"/>
        <v>123.5389</v>
      </c>
      <c r="S295" s="5" t="s">
        <v>67</v>
      </c>
      <c r="T295" s="12">
        <v>292</v>
      </c>
      <c r="U295" s="249" t="s">
        <v>1642</v>
      </c>
      <c r="V295" s="232" t="s">
        <v>1639</v>
      </c>
      <c r="W295" s="232">
        <v>7674.8</v>
      </c>
      <c r="X295" s="232">
        <v>4325.8999999999996</v>
      </c>
      <c r="Y295" s="233" t="s">
        <v>49</v>
      </c>
      <c r="Z295" s="87" t="s">
        <v>50</v>
      </c>
      <c r="AA295" s="233" t="s">
        <v>51</v>
      </c>
      <c r="AB295" s="234"/>
      <c r="AC295" s="233">
        <v>1</v>
      </c>
      <c r="AD295" s="233" t="s">
        <v>226</v>
      </c>
      <c r="AE295" s="234"/>
      <c r="AF295" s="234"/>
      <c r="AG295" s="234"/>
      <c r="AH295" s="233"/>
      <c r="AI295" s="233"/>
      <c r="AJ295" s="233"/>
      <c r="AK295" s="233"/>
      <c r="AL295" s="233"/>
      <c r="AM295" s="233"/>
      <c r="AN295" s="233"/>
      <c r="AO295" s="233"/>
      <c r="AP295" s="234"/>
      <c r="AQ295" s="234" t="s">
        <v>333</v>
      </c>
    </row>
    <row r="296" spans="1:43">
      <c r="A296" s="12">
        <v>293</v>
      </c>
      <c r="B296" s="21" t="s">
        <v>5033</v>
      </c>
      <c r="C296" s="5" t="s">
        <v>1644</v>
      </c>
      <c r="D296" s="5" t="s">
        <v>5034</v>
      </c>
      <c r="E296" s="5" t="s">
        <v>5035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11" t="s">
        <v>46</v>
      </c>
      <c r="Q296" s="5">
        <v>121.7196</v>
      </c>
      <c r="R296" s="5">
        <f t="shared" si="4"/>
        <v>121.7196</v>
      </c>
      <c r="S296" s="5" t="s">
        <v>74</v>
      </c>
      <c r="T296" s="12">
        <v>293</v>
      </c>
      <c r="U296" s="249" t="s">
        <v>1647</v>
      </c>
      <c r="V296" s="232" t="s">
        <v>1644</v>
      </c>
      <c r="W296" s="232">
        <v>12217.9</v>
      </c>
      <c r="X296" s="232">
        <v>4563.3999999999996</v>
      </c>
      <c r="Y296" s="233" t="s">
        <v>49</v>
      </c>
      <c r="Z296" s="87" t="s">
        <v>50</v>
      </c>
      <c r="AA296" s="233" t="s">
        <v>51</v>
      </c>
      <c r="AB296" s="234"/>
      <c r="AC296" s="233">
        <v>1</v>
      </c>
      <c r="AD296" s="233" t="s">
        <v>226</v>
      </c>
      <c r="AE296" s="234"/>
      <c r="AF296" s="234"/>
      <c r="AG296" s="234"/>
      <c r="AH296" s="233"/>
      <c r="AI296" s="233"/>
      <c r="AJ296" s="233"/>
      <c r="AK296" s="233"/>
      <c r="AL296" s="233"/>
      <c r="AM296" s="233"/>
      <c r="AN296" s="233"/>
      <c r="AO296" s="233"/>
      <c r="AP296" s="234"/>
      <c r="AQ296" s="234" t="s">
        <v>333</v>
      </c>
    </row>
    <row r="297" spans="1:43">
      <c r="A297" s="12">
        <v>294</v>
      </c>
      <c r="B297" s="21" t="s">
        <v>5036</v>
      </c>
      <c r="C297" s="5" t="s">
        <v>1649</v>
      </c>
      <c r="D297" s="5" t="s">
        <v>5037</v>
      </c>
      <c r="E297" s="5" t="s">
        <v>5038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11" t="s">
        <v>46</v>
      </c>
      <c r="Q297" s="5">
        <v>231.74600000000001</v>
      </c>
      <c r="R297" s="5">
        <f t="shared" si="4"/>
        <v>231.74600000000001</v>
      </c>
      <c r="S297" s="5" t="s">
        <v>344</v>
      </c>
      <c r="T297" s="12">
        <v>294</v>
      </c>
      <c r="U297" s="249" t="s">
        <v>1652</v>
      </c>
      <c r="V297" s="232" t="s">
        <v>1649</v>
      </c>
      <c r="W297" s="232">
        <v>11455.4</v>
      </c>
      <c r="X297" s="232">
        <v>5995.7</v>
      </c>
      <c r="Y297" s="233" t="s">
        <v>49</v>
      </c>
      <c r="Z297" s="87" t="s">
        <v>50</v>
      </c>
      <c r="AA297" s="233" t="s">
        <v>51</v>
      </c>
      <c r="AB297" s="234"/>
      <c r="AC297" s="233">
        <v>1</v>
      </c>
      <c r="AD297" s="233" t="s">
        <v>226</v>
      </c>
      <c r="AE297" s="234"/>
      <c r="AF297" s="234"/>
      <c r="AG297" s="234"/>
      <c r="AH297" s="233"/>
      <c r="AI297" s="233"/>
      <c r="AJ297" s="233"/>
      <c r="AK297" s="233"/>
      <c r="AL297" s="233"/>
      <c r="AM297" s="233"/>
      <c r="AN297" s="233"/>
      <c r="AO297" s="233"/>
      <c r="AP297" s="234"/>
      <c r="AQ297" s="234" t="s">
        <v>333</v>
      </c>
    </row>
    <row r="298" spans="1:43">
      <c r="A298" s="12">
        <v>295</v>
      </c>
      <c r="B298" s="21" t="s">
        <v>5039</v>
      </c>
      <c r="C298" s="5" t="s">
        <v>1654</v>
      </c>
      <c r="D298" s="5" t="s">
        <v>5040</v>
      </c>
      <c r="E298" s="5" t="s">
        <v>5041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11" t="s">
        <v>46</v>
      </c>
      <c r="Q298" s="5">
        <v>113.6777</v>
      </c>
      <c r="R298" s="5">
        <f t="shared" si="4"/>
        <v>113.6777</v>
      </c>
      <c r="S298" s="5" t="s">
        <v>67</v>
      </c>
      <c r="T298" s="12">
        <v>295</v>
      </c>
      <c r="U298" s="249" t="s">
        <v>1657</v>
      </c>
      <c r="V298" s="232" t="s">
        <v>1654</v>
      </c>
      <c r="W298" s="232">
        <v>12702.5</v>
      </c>
      <c r="X298" s="232">
        <v>4926.3</v>
      </c>
      <c r="Y298" s="233" t="s">
        <v>49</v>
      </c>
      <c r="Z298" s="87" t="s">
        <v>50</v>
      </c>
      <c r="AA298" s="233" t="s">
        <v>51</v>
      </c>
      <c r="AB298" s="234"/>
      <c r="AC298" s="233">
        <v>1</v>
      </c>
      <c r="AD298" s="233" t="s">
        <v>226</v>
      </c>
      <c r="AE298" s="234"/>
      <c r="AF298" s="234"/>
      <c r="AG298" s="234"/>
      <c r="AH298" s="233"/>
      <c r="AI298" s="233"/>
      <c r="AJ298" s="233"/>
      <c r="AK298" s="233"/>
      <c r="AL298" s="233"/>
      <c r="AM298" s="233"/>
      <c r="AN298" s="233"/>
      <c r="AO298" s="233"/>
      <c r="AP298" s="234"/>
      <c r="AQ298" s="234" t="s">
        <v>333</v>
      </c>
    </row>
    <row r="299" spans="1:43">
      <c r="A299" s="12">
        <v>296</v>
      </c>
      <c r="B299" s="21" t="s">
        <v>5042</v>
      </c>
      <c r="C299" s="5" t="s">
        <v>1659</v>
      </c>
      <c r="D299" s="5" t="s">
        <v>5043</v>
      </c>
      <c r="E299" s="5" t="s">
        <v>5044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11" t="s">
        <v>46</v>
      </c>
      <c r="Q299" s="5">
        <v>177.06389999999999</v>
      </c>
      <c r="R299" s="5">
        <f t="shared" si="4"/>
        <v>177.06389999999999</v>
      </c>
      <c r="S299" s="5" t="s">
        <v>732</v>
      </c>
      <c r="T299" s="12">
        <v>296</v>
      </c>
      <c r="U299" s="249" t="s">
        <v>1662</v>
      </c>
      <c r="V299" s="232" t="s">
        <v>1659</v>
      </c>
      <c r="W299" s="232">
        <v>10945.9</v>
      </c>
      <c r="X299" s="232">
        <v>4224</v>
      </c>
      <c r="Y299" s="233" t="s">
        <v>49</v>
      </c>
      <c r="Z299" s="87" t="s">
        <v>50</v>
      </c>
      <c r="AA299" s="233" t="s">
        <v>51</v>
      </c>
      <c r="AB299" s="234"/>
      <c r="AC299" s="233">
        <v>1</v>
      </c>
      <c r="AD299" s="233" t="s">
        <v>226</v>
      </c>
      <c r="AE299" s="234"/>
      <c r="AF299" s="234"/>
      <c r="AG299" s="234"/>
      <c r="AH299" s="233"/>
      <c r="AI299" s="233"/>
      <c r="AJ299" s="233"/>
      <c r="AK299" s="233"/>
      <c r="AL299" s="233"/>
      <c r="AM299" s="233"/>
      <c r="AN299" s="233"/>
      <c r="AO299" s="233"/>
      <c r="AP299" s="234"/>
      <c r="AQ299" s="234" t="s">
        <v>333</v>
      </c>
    </row>
    <row r="300" spans="1:43">
      <c r="A300" s="12">
        <v>297</v>
      </c>
      <c r="B300" s="21" t="s">
        <v>5045</v>
      </c>
      <c r="C300" s="5" t="s">
        <v>1664</v>
      </c>
      <c r="D300" s="5" t="s">
        <v>5046</v>
      </c>
      <c r="E300" s="5" t="s">
        <v>5047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11" t="s">
        <v>46</v>
      </c>
      <c r="Q300" s="5">
        <v>227.3648</v>
      </c>
      <c r="R300" s="5">
        <f t="shared" si="4"/>
        <v>227.3648</v>
      </c>
      <c r="S300" s="5" t="s">
        <v>685</v>
      </c>
      <c r="T300" s="12">
        <v>297</v>
      </c>
      <c r="U300" s="250" t="s">
        <v>1667</v>
      </c>
      <c r="V300" s="232" t="s">
        <v>1664</v>
      </c>
      <c r="W300" s="232">
        <v>-12159</v>
      </c>
      <c r="X300" s="232">
        <v>7277.1</v>
      </c>
      <c r="Y300" s="233" t="s">
        <v>49</v>
      </c>
      <c r="Z300" s="87" t="s">
        <v>50</v>
      </c>
      <c r="AA300" s="233" t="s">
        <v>51</v>
      </c>
      <c r="AB300" s="234"/>
      <c r="AC300" s="233">
        <v>1</v>
      </c>
      <c r="AD300" s="233" t="s">
        <v>226</v>
      </c>
      <c r="AE300" s="234"/>
      <c r="AF300" s="234"/>
      <c r="AG300" s="234"/>
      <c r="AH300" s="233"/>
      <c r="AI300" s="233"/>
      <c r="AJ300" s="233"/>
      <c r="AK300" s="233"/>
      <c r="AL300" s="233"/>
      <c r="AM300" s="233"/>
      <c r="AN300" s="233"/>
      <c r="AO300" s="233"/>
      <c r="AP300" s="234"/>
      <c r="AQ300" s="234" t="s">
        <v>333</v>
      </c>
    </row>
    <row r="301" spans="1:43">
      <c r="A301" s="12">
        <v>298</v>
      </c>
      <c r="B301" s="21" t="s">
        <v>5048</v>
      </c>
      <c r="C301" s="5" t="s">
        <v>1669</v>
      </c>
      <c r="D301" s="5" t="s">
        <v>5049</v>
      </c>
      <c r="E301" s="5" t="s">
        <v>5050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11" t="s">
        <v>46</v>
      </c>
      <c r="Q301" s="5">
        <v>185.0258</v>
      </c>
      <c r="R301" s="5">
        <f t="shared" si="4"/>
        <v>185.0258</v>
      </c>
      <c r="S301" s="5" t="s">
        <v>395</v>
      </c>
      <c r="T301" s="12">
        <v>298</v>
      </c>
      <c r="U301" s="250" t="s">
        <v>1672</v>
      </c>
      <c r="V301" s="232" t="s">
        <v>1669</v>
      </c>
      <c r="W301" s="232">
        <v>-12285.7</v>
      </c>
      <c r="X301" s="232">
        <v>7784.1</v>
      </c>
      <c r="Y301" s="233" t="s">
        <v>49</v>
      </c>
      <c r="Z301" s="87" t="s">
        <v>50</v>
      </c>
      <c r="AA301" s="233" t="s">
        <v>51</v>
      </c>
      <c r="AB301" s="234"/>
      <c r="AC301" s="233">
        <v>1</v>
      </c>
      <c r="AD301" s="233" t="s">
        <v>226</v>
      </c>
      <c r="AE301" s="234"/>
      <c r="AF301" s="234"/>
      <c r="AG301" s="234"/>
      <c r="AH301" s="233"/>
      <c r="AI301" s="233"/>
      <c r="AJ301" s="233"/>
      <c r="AK301" s="233"/>
      <c r="AL301" s="233"/>
      <c r="AM301" s="233"/>
      <c r="AN301" s="233"/>
      <c r="AO301" s="233"/>
      <c r="AP301" s="234"/>
      <c r="AQ301" s="234" t="s">
        <v>333</v>
      </c>
    </row>
    <row r="302" spans="1:43">
      <c r="A302" s="12">
        <v>299</v>
      </c>
      <c r="B302" s="21" t="s">
        <v>5051</v>
      </c>
      <c r="C302" s="5" t="s">
        <v>1674</v>
      </c>
      <c r="D302" s="5" t="s">
        <v>5052</v>
      </c>
      <c r="E302" s="5" t="s">
        <v>5053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11" t="s">
        <v>46</v>
      </c>
      <c r="Q302" s="5">
        <v>139.8056</v>
      </c>
      <c r="R302" s="5">
        <f t="shared" si="4"/>
        <v>139.8056</v>
      </c>
      <c r="S302" s="5" t="s">
        <v>74</v>
      </c>
      <c r="T302" s="12">
        <v>299</v>
      </c>
      <c r="U302" s="250" t="s">
        <v>1677</v>
      </c>
      <c r="V302" s="232" t="s">
        <v>1674</v>
      </c>
      <c r="W302" s="232">
        <v>-12702.5</v>
      </c>
      <c r="X302" s="232">
        <v>7123.4</v>
      </c>
      <c r="Y302" s="233" t="s">
        <v>49</v>
      </c>
      <c r="Z302" s="87" t="s">
        <v>50</v>
      </c>
      <c r="AA302" s="233" t="s">
        <v>51</v>
      </c>
      <c r="AB302" s="234"/>
      <c r="AC302" s="233">
        <v>1</v>
      </c>
      <c r="AD302" s="233" t="s">
        <v>226</v>
      </c>
      <c r="AE302" s="234"/>
      <c r="AF302" s="234"/>
      <c r="AG302" s="234"/>
      <c r="AH302" s="233"/>
      <c r="AI302" s="233"/>
      <c r="AJ302" s="233"/>
      <c r="AK302" s="233"/>
      <c r="AL302" s="233"/>
      <c r="AM302" s="233"/>
      <c r="AN302" s="233"/>
      <c r="AO302" s="233"/>
      <c r="AP302" s="234"/>
      <c r="AQ302" s="234" t="s">
        <v>333</v>
      </c>
    </row>
    <row r="303" spans="1:43">
      <c r="A303" s="12">
        <v>300</v>
      </c>
      <c r="B303" s="21" t="s">
        <v>5054</v>
      </c>
      <c r="C303" s="5" t="s">
        <v>1679</v>
      </c>
      <c r="D303" s="5" t="s">
        <v>5055</v>
      </c>
      <c r="E303" s="5" t="s">
        <v>5056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11" t="s">
        <v>46</v>
      </c>
      <c r="Q303" s="5">
        <v>140.72460000000001</v>
      </c>
      <c r="R303" s="5">
        <f t="shared" si="4"/>
        <v>140.72460000000001</v>
      </c>
      <c r="S303" s="5" t="s">
        <v>74</v>
      </c>
      <c r="T303" s="12">
        <v>300</v>
      </c>
      <c r="U303" s="250" t="s">
        <v>1682</v>
      </c>
      <c r="V303" s="232" t="s">
        <v>1679</v>
      </c>
      <c r="W303" s="232">
        <v>-12786.5</v>
      </c>
      <c r="X303" s="232">
        <v>7784.1</v>
      </c>
      <c r="Y303" s="233" t="s">
        <v>49</v>
      </c>
      <c r="Z303" s="87" t="s">
        <v>50</v>
      </c>
      <c r="AA303" s="233" t="s">
        <v>51</v>
      </c>
      <c r="AB303" s="234"/>
      <c r="AC303" s="233">
        <v>1</v>
      </c>
      <c r="AD303" s="233" t="s">
        <v>226</v>
      </c>
      <c r="AE303" s="234"/>
      <c r="AF303" s="234"/>
      <c r="AG303" s="234"/>
      <c r="AH303" s="233"/>
      <c r="AI303" s="233"/>
      <c r="AJ303" s="233"/>
      <c r="AK303" s="233"/>
      <c r="AL303" s="233"/>
      <c r="AM303" s="233"/>
      <c r="AN303" s="233"/>
      <c r="AO303" s="233"/>
      <c r="AP303" s="234"/>
      <c r="AQ303" s="234" t="s">
        <v>333</v>
      </c>
    </row>
    <row r="304" spans="1:43">
      <c r="A304" s="12">
        <v>301</v>
      </c>
      <c r="B304" s="21" t="s">
        <v>5057</v>
      </c>
      <c r="C304" s="5" t="s">
        <v>1684</v>
      </c>
      <c r="D304" s="5" t="s">
        <v>5058</v>
      </c>
      <c r="E304" s="5" t="s">
        <v>5059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11" t="s">
        <v>46</v>
      </c>
      <c r="Q304" s="5">
        <v>146.75489999999999</v>
      </c>
      <c r="R304" s="5">
        <f t="shared" si="4"/>
        <v>146.75489999999999</v>
      </c>
      <c r="S304" s="5" t="s">
        <v>47</v>
      </c>
      <c r="T304" s="12">
        <v>301</v>
      </c>
      <c r="U304" s="250" t="s">
        <v>1687</v>
      </c>
      <c r="V304" s="232" t="s">
        <v>1684</v>
      </c>
      <c r="W304" s="232">
        <v>-11455.4</v>
      </c>
      <c r="X304" s="232">
        <v>8192.7999999999993</v>
      </c>
      <c r="Y304" s="233" t="s">
        <v>49</v>
      </c>
      <c r="Z304" s="87" t="s">
        <v>50</v>
      </c>
      <c r="AA304" s="233" t="s">
        <v>51</v>
      </c>
      <c r="AB304" s="234"/>
      <c r="AC304" s="233">
        <v>1</v>
      </c>
      <c r="AD304" s="233" t="s">
        <v>226</v>
      </c>
      <c r="AE304" s="234"/>
      <c r="AF304" s="234"/>
      <c r="AG304" s="234"/>
      <c r="AH304" s="233"/>
      <c r="AI304" s="233"/>
      <c r="AJ304" s="233"/>
      <c r="AK304" s="233"/>
      <c r="AL304" s="233"/>
      <c r="AM304" s="233"/>
      <c r="AN304" s="233"/>
      <c r="AO304" s="233"/>
      <c r="AP304" s="234"/>
      <c r="AQ304" s="234" t="s">
        <v>333</v>
      </c>
    </row>
    <row r="305" spans="1:43">
      <c r="A305" s="12">
        <v>302</v>
      </c>
      <c r="B305" s="21" t="s">
        <v>5060</v>
      </c>
      <c r="C305" s="5" t="s">
        <v>1689</v>
      </c>
      <c r="D305" s="5" t="s">
        <v>5061</v>
      </c>
      <c r="E305" s="5" t="s">
        <v>5062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11" t="s">
        <v>46</v>
      </c>
      <c r="Q305" s="5">
        <v>194.4521</v>
      </c>
      <c r="R305" s="5">
        <f t="shared" si="4"/>
        <v>194.4521</v>
      </c>
      <c r="S305" s="5" t="s">
        <v>395</v>
      </c>
      <c r="T305" s="12">
        <v>302</v>
      </c>
      <c r="U305" s="250" t="s">
        <v>1692</v>
      </c>
      <c r="V305" s="232" t="s">
        <v>1689</v>
      </c>
      <c r="W305" s="232">
        <v>-12217.9</v>
      </c>
      <c r="X305" s="232">
        <v>6760.5</v>
      </c>
      <c r="Y305" s="233" t="s">
        <v>49</v>
      </c>
      <c r="Z305" s="87" t="s">
        <v>50</v>
      </c>
      <c r="AA305" s="233" t="s">
        <v>51</v>
      </c>
      <c r="AB305" s="234"/>
      <c r="AC305" s="233">
        <v>1</v>
      </c>
      <c r="AD305" s="233" t="s">
        <v>226</v>
      </c>
      <c r="AE305" s="234"/>
      <c r="AF305" s="234"/>
      <c r="AG305" s="234"/>
      <c r="AH305" s="233"/>
      <c r="AI305" s="233"/>
      <c r="AJ305" s="233"/>
      <c r="AK305" s="233"/>
      <c r="AL305" s="233"/>
      <c r="AM305" s="233"/>
      <c r="AN305" s="233"/>
      <c r="AO305" s="233"/>
      <c r="AP305" s="234"/>
      <c r="AQ305" s="234" t="s">
        <v>333</v>
      </c>
    </row>
    <row r="306" spans="1:43">
      <c r="A306" s="12">
        <v>303</v>
      </c>
      <c r="B306" s="21" t="s">
        <v>5063</v>
      </c>
      <c r="C306" s="5" t="s">
        <v>1694</v>
      </c>
      <c r="D306" s="5" t="s">
        <v>5064</v>
      </c>
      <c r="E306" s="5" t="s">
        <v>5065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11" t="s">
        <v>46</v>
      </c>
      <c r="Q306" s="5">
        <v>189.25450000000001</v>
      </c>
      <c r="R306" s="5">
        <f t="shared" si="4"/>
        <v>189.25450000000001</v>
      </c>
      <c r="S306" s="5" t="s">
        <v>395</v>
      </c>
      <c r="T306" s="12">
        <v>303</v>
      </c>
      <c r="U306" s="250" t="s">
        <v>1697</v>
      </c>
      <c r="V306" s="232" t="s">
        <v>1694</v>
      </c>
      <c r="W306" s="232">
        <v>-12413</v>
      </c>
      <c r="X306" s="232">
        <v>6295.4</v>
      </c>
      <c r="Y306" s="233" t="s">
        <v>49</v>
      </c>
      <c r="Z306" s="87" t="s">
        <v>50</v>
      </c>
      <c r="AA306" s="233" t="s">
        <v>51</v>
      </c>
      <c r="AB306" s="234"/>
      <c r="AC306" s="233">
        <v>1</v>
      </c>
      <c r="AD306" s="233" t="s">
        <v>226</v>
      </c>
      <c r="AE306" s="234"/>
      <c r="AF306" s="234"/>
      <c r="AG306" s="234"/>
      <c r="AH306" s="233"/>
      <c r="AI306" s="233"/>
      <c r="AJ306" s="233"/>
      <c r="AK306" s="233"/>
      <c r="AL306" s="233"/>
      <c r="AM306" s="233"/>
      <c r="AN306" s="233"/>
      <c r="AO306" s="233"/>
      <c r="AP306" s="234"/>
      <c r="AQ306" s="234" t="s">
        <v>333</v>
      </c>
    </row>
    <row r="307" spans="1:43">
      <c r="A307" s="12">
        <v>304</v>
      </c>
      <c r="B307" s="21" t="s">
        <v>5066</v>
      </c>
      <c r="C307" s="5" t="s">
        <v>1699</v>
      </c>
      <c r="D307" s="5" t="s">
        <v>5067</v>
      </c>
      <c r="E307" s="5" t="s">
        <v>5068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11" t="s">
        <v>46</v>
      </c>
      <c r="Q307" s="5">
        <v>236.92609999999999</v>
      </c>
      <c r="R307" s="5">
        <f t="shared" si="4"/>
        <v>236.92609999999999</v>
      </c>
      <c r="S307" s="5" t="s">
        <v>685</v>
      </c>
      <c r="T307" s="12">
        <v>304</v>
      </c>
      <c r="U307" s="250" t="s">
        <v>1702</v>
      </c>
      <c r="V307" s="232" t="s">
        <v>1699</v>
      </c>
      <c r="W307" s="232">
        <v>-11697.7</v>
      </c>
      <c r="X307" s="232">
        <v>6668.5</v>
      </c>
      <c r="Y307" s="233" t="s">
        <v>49</v>
      </c>
      <c r="Z307" s="87" t="s">
        <v>50</v>
      </c>
      <c r="AA307" s="233" t="s">
        <v>51</v>
      </c>
      <c r="AB307" s="234"/>
      <c r="AC307" s="233">
        <v>1</v>
      </c>
      <c r="AD307" s="233" t="s">
        <v>226</v>
      </c>
      <c r="AE307" s="234"/>
      <c r="AF307" s="234"/>
      <c r="AG307" s="234"/>
      <c r="AH307" s="233"/>
      <c r="AI307" s="233"/>
      <c r="AJ307" s="233"/>
      <c r="AK307" s="233"/>
      <c r="AL307" s="233"/>
      <c r="AM307" s="233"/>
      <c r="AN307" s="233"/>
      <c r="AO307" s="233"/>
      <c r="AP307" s="234"/>
      <c r="AQ307" s="234" t="s">
        <v>333</v>
      </c>
    </row>
    <row r="308" spans="1:43">
      <c r="A308" s="12">
        <v>305</v>
      </c>
      <c r="B308" s="21" t="s">
        <v>5069</v>
      </c>
      <c r="C308" s="5" t="s">
        <v>1704</v>
      </c>
      <c r="D308" s="5" t="s">
        <v>5070</v>
      </c>
      <c r="E308" s="5" t="s">
        <v>5071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11" t="s">
        <v>46</v>
      </c>
      <c r="Q308" s="5">
        <v>167.44730000000001</v>
      </c>
      <c r="R308" s="5">
        <f t="shared" si="4"/>
        <v>167.44730000000001</v>
      </c>
      <c r="S308" s="5" t="s">
        <v>732</v>
      </c>
      <c r="T308" s="12">
        <v>305</v>
      </c>
      <c r="U308" s="251" t="s">
        <v>1707</v>
      </c>
      <c r="V308" s="232" t="s">
        <v>1704</v>
      </c>
      <c r="W308" s="232">
        <v>10945.9</v>
      </c>
      <c r="X308" s="232">
        <v>7035.5</v>
      </c>
      <c r="Y308" s="233" t="s">
        <v>49</v>
      </c>
      <c r="Z308" s="87" t="s">
        <v>50</v>
      </c>
      <c r="AA308" s="233" t="s">
        <v>51</v>
      </c>
      <c r="AB308" s="234"/>
      <c r="AC308" s="233">
        <v>1</v>
      </c>
      <c r="AD308" s="233" t="s">
        <v>226</v>
      </c>
      <c r="AE308" s="234"/>
      <c r="AF308" s="234"/>
      <c r="AG308" s="234"/>
      <c r="AH308" s="233"/>
      <c r="AI308" s="233"/>
      <c r="AJ308" s="233"/>
      <c r="AK308" s="233"/>
      <c r="AL308" s="233"/>
      <c r="AM308" s="233"/>
      <c r="AN308" s="233"/>
      <c r="AO308" s="233"/>
      <c r="AP308" s="234"/>
      <c r="AQ308" s="234" t="s">
        <v>333</v>
      </c>
    </row>
    <row r="309" spans="1:43">
      <c r="A309" s="12">
        <v>306</v>
      </c>
      <c r="B309" s="21" t="s">
        <v>5072</v>
      </c>
      <c r="C309" s="5" t="s">
        <v>1709</v>
      </c>
      <c r="D309" s="5" t="s">
        <v>5073</v>
      </c>
      <c r="E309" s="5" t="s">
        <v>5074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11" t="s">
        <v>46</v>
      </c>
      <c r="Q309" s="5">
        <v>110.8462</v>
      </c>
      <c r="R309" s="5">
        <f t="shared" si="4"/>
        <v>110.8462</v>
      </c>
      <c r="S309" s="5" t="s">
        <v>67</v>
      </c>
      <c r="T309" s="12">
        <v>306</v>
      </c>
      <c r="U309" s="251" t="s">
        <v>1712</v>
      </c>
      <c r="V309" s="232" t="s">
        <v>1709</v>
      </c>
      <c r="W309" s="232">
        <v>12547</v>
      </c>
      <c r="X309" s="232">
        <v>8975.4</v>
      </c>
      <c r="Y309" s="233" t="s">
        <v>49</v>
      </c>
      <c r="Z309" s="87" t="s">
        <v>50</v>
      </c>
      <c r="AA309" s="233" t="s">
        <v>51</v>
      </c>
      <c r="AB309" s="234"/>
      <c r="AC309" s="233">
        <v>1</v>
      </c>
      <c r="AD309" s="233" t="s">
        <v>226</v>
      </c>
      <c r="AE309" s="234"/>
      <c r="AF309" s="234"/>
      <c r="AG309" s="234"/>
      <c r="AH309" s="233"/>
      <c r="AI309" s="233"/>
      <c r="AJ309" s="233"/>
      <c r="AK309" s="233"/>
      <c r="AL309" s="233"/>
      <c r="AM309" s="233"/>
      <c r="AN309" s="233"/>
      <c r="AO309" s="233"/>
      <c r="AP309" s="234"/>
      <c r="AQ309" s="234" t="s">
        <v>333</v>
      </c>
    </row>
    <row r="310" spans="1:43">
      <c r="A310" s="12">
        <v>307</v>
      </c>
      <c r="B310" s="21" t="s">
        <v>5075</v>
      </c>
      <c r="C310" s="5" t="s">
        <v>1714</v>
      </c>
      <c r="D310" s="5" t="s">
        <v>5076</v>
      </c>
      <c r="E310" s="5" t="s">
        <v>5077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11" t="s">
        <v>46</v>
      </c>
      <c r="Q310" s="5">
        <v>110.6627</v>
      </c>
      <c r="R310" s="5">
        <f t="shared" si="4"/>
        <v>110.6627</v>
      </c>
      <c r="S310" s="5" t="s">
        <v>60</v>
      </c>
      <c r="T310" s="12">
        <v>307</v>
      </c>
      <c r="U310" s="251" t="s">
        <v>1717</v>
      </c>
      <c r="V310" s="232" t="s">
        <v>1714</v>
      </c>
      <c r="W310" s="232">
        <v>12702.5</v>
      </c>
      <c r="X310" s="232">
        <v>7123.4</v>
      </c>
      <c r="Y310" s="233" t="s">
        <v>49</v>
      </c>
      <c r="Z310" s="87" t="s">
        <v>50</v>
      </c>
      <c r="AA310" s="233" t="s">
        <v>51</v>
      </c>
      <c r="AB310" s="234"/>
      <c r="AC310" s="233">
        <v>1</v>
      </c>
      <c r="AD310" s="233" t="s">
        <v>226</v>
      </c>
      <c r="AE310" s="234"/>
      <c r="AF310" s="234"/>
      <c r="AG310" s="234"/>
      <c r="AH310" s="233"/>
      <c r="AI310" s="233"/>
      <c r="AJ310" s="233"/>
      <c r="AK310" s="233"/>
      <c r="AL310" s="233"/>
      <c r="AM310" s="233"/>
      <c r="AN310" s="233"/>
      <c r="AO310" s="233"/>
      <c r="AP310" s="234"/>
      <c r="AQ310" s="234" t="s">
        <v>333</v>
      </c>
    </row>
    <row r="311" spans="1:43">
      <c r="A311" s="12">
        <v>308</v>
      </c>
      <c r="B311" s="21" t="s">
        <v>5078</v>
      </c>
      <c r="C311" s="5" t="s">
        <v>1719</v>
      </c>
      <c r="D311" s="5" t="s">
        <v>5079</v>
      </c>
      <c r="E311" s="5" t="s">
        <v>5080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11" t="s">
        <v>46</v>
      </c>
      <c r="Q311" s="5">
        <v>145.53149999999999</v>
      </c>
      <c r="R311" s="5">
        <f t="shared" si="4"/>
        <v>145.53149999999999</v>
      </c>
      <c r="S311" s="5" t="s">
        <v>395</v>
      </c>
      <c r="T311" s="12">
        <v>308</v>
      </c>
      <c r="U311" s="251" t="s">
        <v>1722</v>
      </c>
      <c r="V311" s="232" t="s">
        <v>1719</v>
      </c>
      <c r="W311" s="232">
        <v>12217.9</v>
      </c>
      <c r="X311" s="232">
        <v>6760.5</v>
      </c>
      <c r="Y311" s="233" t="s">
        <v>49</v>
      </c>
      <c r="Z311" s="87" t="s">
        <v>50</v>
      </c>
      <c r="AA311" s="233" t="s">
        <v>51</v>
      </c>
      <c r="AB311" s="234"/>
      <c r="AC311" s="233">
        <v>1</v>
      </c>
      <c r="AD311" s="233" t="s">
        <v>226</v>
      </c>
      <c r="AE311" s="234"/>
      <c r="AF311" s="234"/>
      <c r="AG311" s="234"/>
      <c r="AH311" s="233"/>
      <c r="AI311" s="233"/>
      <c r="AJ311" s="233"/>
      <c r="AK311" s="233"/>
      <c r="AL311" s="233"/>
      <c r="AM311" s="233"/>
      <c r="AN311" s="233"/>
      <c r="AO311" s="233"/>
      <c r="AP311" s="234"/>
      <c r="AQ311" s="234" t="s">
        <v>333</v>
      </c>
    </row>
    <row r="312" spans="1:43">
      <c r="A312" s="12">
        <v>309</v>
      </c>
      <c r="B312" s="21" t="s">
        <v>5081</v>
      </c>
      <c r="C312" s="5" t="s">
        <v>1724</v>
      </c>
      <c r="D312" s="5" t="s">
        <v>5082</v>
      </c>
      <c r="E312" s="5" t="s">
        <v>5083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11" t="s">
        <v>46</v>
      </c>
      <c r="Q312" s="5">
        <v>163.47640000000001</v>
      </c>
      <c r="R312" s="5">
        <f t="shared" si="4"/>
        <v>163.47640000000001</v>
      </c>
      <c r="S312" s="5" t="s">
        <v>732</v>
      </c>
      <c r="T312" s="12">
        <v>309</v>
      </c>
      <c r="U312" s="251" t="s">
        <v>1727</v>
      </c>
      <c r="V312" s="232" t="s">
        <v>1724</v>
      </c>
      <c r="W312" s="232">
        <v>11912.6</v>
      </c>
      <c r="X312" s="232">
        <v>6214.1</v>
      </c>
      <c r="Y312" s="233" t="s">
        <v>49</v>
      </c>
      <c r="Z312" s="87" t="s">
        <v>50</v>
      </c>
      <c r="AA312" s="233" t="s">
        <v>51</v>
      </c>
      <c r="AB312" s="234"/>
      <c r="AC312" s="233">
        <v>1</v>
      </c>
      <c r="AD312" s="233" t="s">
        <v>226</v>
      </c>
      <c r="AE312" s="234"/>
      <c r="AF312" s="234"/>
      <c r="AG312" s="234"/>
      <c r="AH312" s="233"/>
      <c r="AI312" s="233"/>
      <c r="AJ312" s="233"/>
      <c r="AK312" s="233"/>
      <c r="AL312" s="233"/>
      <c r="AM312" s="233"/>
      <c r="AN312" s="233"/>
      <c r="AO312" s="233"/>
      <c r="AP312" s="234"/>
      <c r="AQ312" s="234" t="s">
        <v>333</v>
      </c>
    </row>
    <row r="313" spans="1:43">
      <c r="A313" s="12">
        <v>310</v>
      </c>
      <c r="B313" s="21" t="s">
        <v>5084</v>
      </c>
      <c r="C313" s="5" t="s">
        <v>1729</v>
      </c>
      <c r="D313" s="5" t="s">
        <v>5085</v>
      </c>
      <c r="E313" s="5" t="s">
        <v>5086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11" t="s">
        <v>46</v>
      </c>
      <c r="Q313" s="5">
        <v>102.5193</v>
      </c>
      <c r="R313" s="5">
        <f t="shared" si="4"/>
        <v>102.5193</v>
      </c>
      <c r="S313" s="5" t="s">
        <v>74</v>
      </c>
      <c r="T313" s="12">
        <v>310</v>
      </c>
      <c r="U313" s="251" t="s">
        <v>1732</v>
      </c>
      <c r="V313" s="232" t="s">
        <v>1729</v>
      </c>
      <c r="W313" s="232">
        <v>12915.4</v>
      </c>
      <c r="X313" s="232">
        <v>8462.2999999999993</v>
      </c>
      <c r="Y313" s="233" t="s">
        <v>49</v>
      </c>
      <c r="Z313" s="87" t="s">
        <v>50</v>
      </c>
      <c r="AA313" s="233" t="s">
        <v>51</v>
      </c>
      <c r="AB313" s="234"/>
      <c r="AC313" s="233">
        <v>1</v>
      </c>
      <c r="AD313" s="233" t="s">
        <v>226</v>
      </c>
      <c r="AE313" s="234"/>
      <c r="AF313" s="234"/>
      <c r="AG313" s="234"/>
      <c r="AH313" s="233"/>
      <c r="AI313" s="233"/>
      <c r="AJ313" s="233"/>
      <c r="AK313" s="233"/>
      <c r="AL313" s="233"/>
      <c r="AM313" s="233"/>
      <c r="AN313" s="233"/>
      <c r="AO313" s="233"/>
      <c r="AP313" s="234"/>
      <c r="AQ313" s="234" t="s">
        <v>333</v>
      </c>
    </row>
    <row r="314" spans="1:43">
      <c r="A314" s="12">
        <v>311</v>
      </c>
      <c r="B314" s="21" t="s">
        <v>5087</v>
      </c>
      <c r="C314" s="5" t="s">
        <v>1734</v>
      </c>
      <c r="D314" s="5" t="s">
        <v>5088</v>
      </c>
      <c r="E314" s="5" t="s">
        <v>5089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11" t="s">
        <v>46</v>
      </c>
      <c r="Q314" s="5">
        <v>117.3415</v>
      </c>
      <c r="R314" s="5">
        <f t="shared" si="4"/>
        <v>117.3415</v>
      </c>
      <c r="S314" s="5" t="s">
        <v>395</v>
      </c>
      <c r="T314" s="12">
        <v>311</v>
      </c>
      <c r="U314" s="251" t="s">
        <v>1737</v>
      </c>
      <c r="V314" s="232" t="s">
        <v>1734</v>
      </c>
      <c r="W314" s="232">
        <v>12413</v>
      </c>
      <c r="X314" s="232">
        <v>8492.5</v>
      </c>
      <c r="Y314" s="233" t="s">
        <v>49</v>
      </c>
      <c r="Z314" s="87" t="s">
        <v>50</v>
      </c>
      <c r="AA314" s="233" t="s">
        <v>51</v>
      </c>
      <c r="AB314" s="234"/>
      <c r="AC314" s="233">
        <v>1</v>
      </c>
      <c r="AD314" s="233" t="s">
        <v>226</v>
      </c>
      <c r="AE314" s="234"/>
      <c r="AF314" s="234"/>
      <c r="AG314" s="234"/>
      <c r="AH314" s="233"/>
      <c r="AI314" s="233"/>
      <c r="AJ314" s="233"/>
      <c r="AK314" s="233"/>
      <c r="AL314" s="233"/>
      <c r="AM314" s="233"/>
      <c r="AN314" s="233"/>
      <c r="AO314" s="233"/>
      <c r="AP314" s="234"/>
      <c r="AQ314" s="234" t="s">
        <v>333</v>
      </c>
    </row>
    <row r="315" spans="1:43">
      <c r="A315" s="12">
        <v>312</v>
      </c>
      <c r="B315" s="21" t="s">
        <v>5090</v>
      </c>
      <c r="C315" s="5" t="s">
        <v>1739</v>
      </c>
      <c r="D315" s="5" t="s">
        <v>5091</v>
      </c>
      <c r="E315" s="5" t="s">
        <v>5092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11" t="s">
        <v>46</v>
      </c>
      <c r="Q315" s="5">
        <v>101.99930000000001</v>
      </c>
      <c r="R315" s="5">
        <f t="shared" si="4"/>
        <v>101.99930000000001</v>
      </c>
      <c r="S315" s="5" t="s">
        <v>60</v>
      </c>
      <c r="T315" s="12">
        <v>312</v>
      </c>
      <c r="U315" s="251" t="s">
        <v>1742</v>
      </c>
      <c r="V315" s="232" t="s">
        <v>1739</v>
      </c>
      <c r="W315" s="232">
        <v>12786.5</v>
      </c>
      <c r="X315" s="232">
        <v>7784.1</v>
      </c>
      <c r="Y315" s="233" t="s">
        <v>49</v>
      </c>
      <c r="Z315" s="87" t="s">
        <v>50</v>
      </c>
      <c r="AA315" s="233" t="s">
        <v>51</v>
      </c>
      <c r="AB315" s="234"/>
      <c r="AC315" s="233">
        <v>1</v>
      </c>
      <c r="AD315" s="233" t="s">
        <v>226</v>
      </c>
      <c r="AE315" s="234"/>
      <c r="AF315" s="234"/>
      <c r="AG315" s="234"/>
      <c r="AH315" s="233"/>
      <c r="AI315" s="233"/>
      <c r="AJ315" s="233"/>
      <c r="AK315" s="233"/>
      <c r="AL315" s="233"/>
      <c r="AM315" s="233"/>
      <c r="AN315" s="233"/>
      <c r="AO315" s="233"/>
      <c r="AP315" s="234"/>
      <c r="AQ315" s="234" t="s">
        <v>333</v>
      </c>
    </row>
    <row r="316" spans="1:43">
      <c r="A316" s="12">
        <v>313</v>
      </c>
      <c r="B316" s="21" t="s">
        <v>5093</v>
      </c>
      <c r="C316" s="5" t="s">
        <v>1744</v>
      </c>
      <c r="D316" s="5" t="s">
        <v>5094</v>
      </c>
      <c r="E316" s="5" t="s">
        <v>5095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11" t="s">
        <v>46</v>
      </c>
      <c r="Q316" s="5">
        <v>112.0039</v>
      </c>
      <c r="R316" s="5">
        <f t="shared" si="4"/>
        <v>112.0039</v>
      </c>
      <c r="S316" s="5" t="s">
        <v>67</v>
      </c>
      <c r="T316" s="12">
        <v>313</v>
      </c>
      <c r="U316" s="251" t="s">
        <v>1747</v>
      </c>
      <c r="V316" s="232" t="s">
        <v>1744</v>
      </c>
      <c r="W316" s="232">
        <v>12285.7</v>
      </c>
      <c r="X316" s="232">
        <v>7784.1</v>
      </c>
      <c r="Y316" s="233" t="s">
        <v>49</v>
      </c>
      <c r="Z316" s="87" t="s">
        <v>50</v>
      </c>
      <c r="AA316" s="233" t="s">
        <v>51</v>
      </c>
      <c r="AB316" s="234"/>
      <c r="AC316" s="233">
        <v>1</v>
      </c>
      <c r="AD316" s="233" t="s">
        <v>226</v>
      </c>
      <c r="AE316" s="234"/>
      <c r="AF316" s="234"/>
      <c r="AG316" s="234"/>
      <c r="AH316" s="233"/>
      <c r="AI316" s="233"/>
      <c r="AJ316" s="233"/>
      <c r="AK316" s="233"/>
      <c r="AL316" s="233"/>
      <c r="AM316" s="233"/>
      <c r="AN316" s="233"/>
      <c r="AO316" s="233"/>
      <c r="AP316" s="234"/>
      <c r="AQ316" s="234" t="s">
        <v>333</v>
      </c>
    </row>
    <row r="317" spans="1:43">
      <c r="A317" s="12">
        <v>314</v>
      </c>
      <c r="B317" s="21" t="s">
        <v>5096</v>
      </c>
      <c r="C317" s="5" t="s">
        <v>1749</v>
      </c>
      <c r="D317" s="5" t="s">
        <v>5097</v>
      </c>
      <c r="E317" s="5" t="s">
        <v>5098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11" t="s">
        <v>46</v>
      </c>
      <c r="Q317" s="5">
        <v>113.3573</v>
      </c>
      <c r="R317" s="5">
        <f t="shared" si="4"/>
        <v>113.3573</v>
      </c>
      <c r="S317" s="5" t="s">
        <v>74</v>
      </c>
      <c r="T317" s="12">
        <v>314</v>
      </c>
      <c r="U317" s="251" t="s">
        <v>1752</v>
      </c>
      <c r="V317" s="232" t="s">
        <v>1749</v>
      </c>
      <c r="W317" s="232">
        <v>12413</v>
      </c>
      <c r="X317" s="232">
        <v>6295.4</v>
      </c>
      <c r="Y317" s="233" t="s">
        <v>49</v>
      </c>
      <c r="Z317" s="87" t="s">
        <v>50</v>
      </c>
      <c r="AA317" s="233" t="s">
        <v>51</v>
      </c>
      <c r="AB317" s="234"/>
      <c r="AC317" s="233">
        <v>1</v>
      </c>
      <c r="AD317" s="233" t="s">
        <v>226</v>
      </c>
      <c r="AE317" s="234"/>
      <c r="AF317" s="234"/>
      <c r="AG317" s="234"/>
      <c r="AH317" s="233"/>
      <c r="AI317" s="233"/>
      <c r="AJ317" s="233"/>
      <c r="AK317" s="233"/>
      <c r="AL317" s="233"/>
      <c r="AM317" s="233"/>
      <c r="AN317" s="233"/>
      <c r="AO317" s="233"/>
      <c r="AP317" s="234"/>
      <c r="AQ317" s="234" t="s">
        <v>333</v>
      </c>
    </row>
    <row r="318" spans="1:43">
      <c r="A318" s="12">
        <v>315</v>
      </c>
      <c r="B318" s="21" t="s">
        <v>5099</v>
      </c>
      <c r="C318" s="5" t="s">
        <v>1754</v>
      </c>
      <c r="D318" s="5" t="s">
        <v>5100</v>
      </c>
      <c r="E318" s="5" t="s">
        <v>5101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11" t="s">
        <v>46</v>
      </c>
      <c r="Q318" s="5">
        <v>154.3271</v>
      </c>
      <c r="R318" s="5">
        <f t="shared" si="4"/>
        <v>154.3271</v>
      </c>
      <c r="S318" s="5" t="s">
        <v>706</v>
      </c>
      <c r="T318" s="12">
        <v>315</v>
      </c>
      <c r="U318" s="251" t="s">
        <v>1757</v>
      </c>
      <c r="V318" s="232" t="s">
        <v>1754</v>
      </c>
      <c r="W318" s="232">
        <v>10289.299999999999</v>
      </c>
      <c r="X318" s="232">
        <v>6694.5</v>
      </c>
      <c r="Y318" s="233" t="s">
        <v>49</v>
      </c>
      <c r="Z318" s="87" t="s">
        <v>50</v>
      </c>
      <c r="AA318" s="233" t="s">
        <v>51</v>
      </c>
      <c r="AB318" s="234"/>
      <c r="AC318" s="233">
        <v>1</v>
      </c>
      <c r="AD318" s="233" t="s">
        <v>226</v>
      </c>
      <c r="AE318" s="234"/>
      <c r="AF318" s="234"/>
      <c r="AG318" s="234"/>
      <c r="AH318" s="233"/>
      <c r="AI318" s="233"/>
      <c r="AJ318" s="233"/>
      <c r="AK318" s="233"/>
      <c r="AL318" s="233"/>
      <c r="AM318" s="233"/>
      <c r="AN318" s="233"/>
      <c r="AO318" s="233"/>
      <c r="AP318" s="234"/>
      <c r="AQ318" s="234" t="s">
        <v>333</v>
      </c>
    </row>
    <row r="319" spans="1:43">
      <c r="A319" s="12">
        <v>316</v>
      </c>
      <c r="B319" s="21" t="s">
        <v>5102</v>
      </c>
      <c r="C319" s="5" t="s">
        <v>1759</v>
      </c>
      <c r="D319" s="5" t="s">
        <v>5103</v>
      </c>
      <c r="E319" s="5" t="s">
        <v>5104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11" t="s">
        <v>46</v>
      </c>
      <c r="Q319" s="5">
        <v>111.6895</v>
      </c>
      <c r="R319" s="5">
        <f t="shared" si="4"/>
        <v>111.6895</v>
      </c>
      <c r="S319" s="5" t="s">
        <v>67</v>
      </c>
      <c r="T319" s="12">
        <v>316</v>
      </c>
      <c r="U319" s="251" t="s">
        <v>1762</v>
      </c>
      <c r="V319" s="232" t="s">
        <v>1759</v>
      </c>
      <c r="W319" s="232">
        <v>12915.4</v>
      </c>
      <c r="X319" s="232">
        <v>6265.2</v>
      </c>
      <c r="Y319" s="233" t="s">
        <v>49</v>
      </c>
      <c r="Z319" s="87" t="s">
        <v>50</v>
      </c>
      <c r="AA319" s="233" t="s">
        <v>51</v>
      </c>
      <c r="AB319" s="234"/>
      <c r="AC319" s="233">
        <v>1</v>
      </c>
      <c r="AD319" s="233" t="s">
        <v>226</v>
      </c>
      <c r="AE319" s="234"/>
      <c r="AF319" s="234"/>
      <c r="AG319" s="234"/>
      <c r="AH319" s="233"/>
      <c r="AI319" s="233"/>
      <c r="AJ319" s="233"/>
      <c r="AK319" s="233"/>
      <c r="AL319" s="233"/>
      <c r="AM319" s="233"/>
      <c r="AN319" s="233"/>
      <c r="AO319" s="233"/>
      <c r="AP319" s="234"/>
      <c r="AQ319" s="234" t="s">
        <v>333</v>
      </c>
    </row>
    <row r="320" spans="1:43">
      <c r="A320" s="12">
        <v>491</v>
      </c>
      <c r="B320" s="21" t="s">
        <v>5105</v>
      </c>
      <c r="C320" s="5" t="s">
        <v>3060</v>
      </c>
      <c r="D320" s="5" t="s">
        <v>5106</v>
      </c>
      <c r="E320" s="5" t="s">
        <v>5107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11" t="s">
        <v>46</v>
      </c>
      <c r="Q320" s="5">
        <v>232.52189999999999</v>
      </c>
      <c r="R320" s="5">
        <f t="shared" si="4"/>
        <v>232.52189999999999</v>
      </c>
      <c r="S320" s="5" t="s">
        <v>395</v>
      </c>
      <c r="T320" s="12">
        <v>491</v>
      </c>
      <c r="U320" s="256" t="s">
        <v>3063</v>
      </c>
      <c r="V320" s="232" t="s">
        <v>3060</v>
      </c>
      <c r="W320" s="232">
        <v>11697.7</v>
      </c>
      <c r="X320" s="232">
        <v>6668.5</v>
      </c>
      <c r="Y320" s="233" t="s">
        <v>49</v>
      </c>
      <c r="Z320" s="87" t="s">
        <v>50</v>
      </c>
      <c r="AA320" s="233" t="s">
        <v>51</v>
      </c>
      <c r="AB320" s="234"/>
      <c r="AC320" s="233">
        <v>1</v>
      </c>
      <c r="AD320" s="233" t="s">
        <v>226</v>
      </c>
      <c r="AE320" s="234"/>
      <c r="AF320" s="234"/>
      <c r="AG320" s="234"/>
      <c r="AH320" s="233"/>
      <c r="AI320" s="233"/>
      <c r="AJ320" s="233"/>
      <c r="AK320" s="233"/>
      <c r="AL320" s="233"/>
      <c r="AM320" s="233"/>
      <c r="AN320" s="233"/>
      <c r="AO320" s="233"/>
      <c r="AP320" s="234"/>
      <c r="AQ320" s="234" t="s">
        <v>333</v>
      </c>
    </row>
    <row r="321" spans="1:43">
      <c r="A321" s="12">
        <v>318</v>
      </c>
      <c r="B321" s="21" t="s">
        <v>5108</v>
      </c>
      <c r="C321" s="5" t="s">
        <v>1769</v>
      </c>
      <c r="D321" s="5" t="s">
        <v>5109</v>
      </c>
      <c r="E321" s="5" t="s">
        <v>5110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11" t="s">
        <v>46</v>
      </c>
      <c r="Q321" s="5">
        <v>148.3442</v>
      </c>
      <c r="R321" s="5">
        <f t="shared" si="4"/>
        <v>148.3442</v>
      </c>
      <c r="S321" s="5" t="s">
        <v>67</v>
      </c>
      <c r="T321" s="12">
        <v>318</v>
      </c>
      <c r="U321" s="252" t="s">
        <v>1772</v>
      </c>
      <c r="V321" s="232" t="s">
        <v>1769</v>
      </c>
      <c r="W321" s="232">
        <v>-8411.2000000000007</v>
      </c>
      <c r="X321" s="232">
        <v>9662.5</v>
      </c>
      <c r="Y321" s="233" t="s">
        <v>49</v>
      </c>
      <c r="Z321" s="87" t="s">
        <v>50</v>
      </c>
      <c r="AA321" s="233" t="s">
        <v>51</v>
      </c>
      <c r="AB321" s="234"/>
      <c r="AC321" s="233">
        <v>1</v>
      </c>
      <c r="AD321" s="233" t="s">
        <v>226</v>
      </c>
      <c r="AE321" s="234"/>
      <c r="AF321" s="234"/>
      <c r="AG321" s="234"/>
      <c r="AH321" s="233"/>
      <c r="AI321" s="233"/>
      <c r="AJ321" s="233"/>
      <c r="AK321" s="233"/>
      <c r="AL321" s="233"/>
      <c r="AM321" s="233"/>
      <c r="AN321" s="233"/>
      <c r="AO321" s="233"/>
      <c r="AP321" s="234"/>
      <c r="AQ321" s="234" t="s">
        <v>333</v>
      </c>
    </row>
    <row r="322" spans="1:43">
      <c r="A322" s="12">
        <v>319</v>
      </c>
      <c r="B322" s="21" t="s">
        <v>5111</v>
      </c>
      <c r="C322" s="5" t="s">
        <v>1774</v>
      </c>
      <c r="D322" s="5" t="s">
        <v>5112</v>
      </c>
      <c r="E322" s="5" t="s">
        <v>5113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11" t="s">
        <v>46</v>
      </c>
      <c r="Q322" s="5">
        <v>96.871099999999998</v>
      </c>
      <c r="R322" s="5">
        <f t="shared" si="4"/>
        <v>96.871099999999998</v>
      </c>
      <c r="S322" s="5" t="s">
        <v>60</v>
      </c>
      <c r="T322" s="12">
        <v>319</v>
      </c>
      <c r="U322" s="252" t="s">
        <v>1777</v>
      </c>
      <c r="V322" s="232" t="s">
        <v>1774</v>
      </c>
      <c r="W322" s="232">
        <v>-8269</v>
      </c>
      <c r="X322" s="232">
        <v>11189</v>
      </c>
      <c r="Y322" s="233" t="s">
        <v>49</v>
      </c>
      <c r="Z322" s="87" t="s">
        <v>50</v>
      </c>
      <c r="AA322" s="233" t="s">
        <v>51</v>
      </c>
      <c r="AB322" s="234"/>
      <c r="AC322" s="233">
        <v>1</v>
      </c>
      <c r="AD322" s="233" t="s">
        <v>226</v>
      </c>
      <c r="AE322" s="234"/>
      <c r="AF322" s="234"/>
      <c r="AG322" s="234"/>
      <c r="AH322" s="233"/>
      <c r="AI322" s="233"/>
      <c r="AJ322" s="233"/>
      <c r="AK322" s="233"/>
      <c r="AL322" s="233"/>
      <c r="AM322" s="233"/>
      <c r="AN322" s="233"/>
      <c r="AO322" s="233"/>
      <c r="AP322" s="234"/>
      <c r="AQ322" s="234" t="s">
        <v>333</v>
      </c>
    </row>
    <row r="323" spans="1:43">
      <c r="A323" s="12">
        <v>320</v>
      </c>
      <c r="B323" s="21" t="s">
        <v>5114</v>
      </c>
      <c r="C323" s="5" t="s">
        <v>1779</v>
      </c>
      <c r="D323" s="5" t="s">
        <v>5115</v>
      </c>
      <c r="E323" s="5" t="s">
        <v>5116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11" t="s">
        <v>46</v>
      </c>
      <c r="Q323" s="5">
        <v>163.10849999999999</v>
      </c>
      <c r="R323" s="5">
        <f t="shared" si="4"/>
        <v>163.10849999999999</v>
      </c>
      <c r="S323" s="5" t="s">
        <v>67</v>
      </c>
      <c r="T323" s="12">
        <v>320</v>
      </c>
      <c r="U323" s="252" t="s">
        <v>1782</v>
      </c>
      <c r="V323" s="232" t="s">
        <v>1779</v>
      </c>
      <c r="W323" s="232">
        <v>-8462.2999999999993</v>
      </c>
      <c r="X323" s="232">
        <v>10665.3</v>
      </c>
      <c r="Y323" s="233" t="s">
        <v>49</v>
      </c>
      <c r="Z323" s="87" t="s">
        <v>50</v>
      </c>
      <c r="AA323" s="233" t="s">
        <v>51</v>
      </c>
      <c r="AB323" s="234"/>
      <c r="AC323" s="233">
        <v>1</v>
      </c>
      <c r="AD323" s="233" t="s">
        <v>226</v>
      </c>
      <c r="AE323" s="234"/>
      <c r="AF323" s="234"/>
      <c r="AG323" s="234"/>
      <c r="AH323" s="233"/>
      <c r="AI323" s="233"/>
      <c r="AJ323" s="233"/>
      <c r="AK323" s="233"/>
      <c r="AL323" s="233"/>
      <c r="AM323" s="233"/>
      <c r="AN323" s="233"/>
      <c r="AO323" s="233"/>
      <c r="AP323" s="234"/>
      <c r="AQ323" s="234" t="s">
        <v>333</v>
      </c>
    </row>
    <row r="324" spans="1:43">
      <c r="A324" s="12">
        <v>321</v>
      </c>
      <c r="B324" s="21" t="s">
        <v>5117</v>
      </c>
      <c r="C324" s="5" t="s">
        <v>1784</v>
      </c>
      <c r="D324" s="5" t="s">
        <v>5118</v>
      </c>
      <c r="E324" s="5" t="s">
        <v>5119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11" t="s">
        <v>46</v>
      </c>
      <c r="Q324" s="5">
        <v>99.896500000000003</v>
      </c>
      <c r="R324" s="5">
        <f t="shared" ref="R324:R387" si="5">IF(AND(P324="",Q324=""),"",SUM(P324:Q324))</f>
        <v>99.896500000000003</v>
      </c>
      <c r="S324" s="5" t="s">
        <v>74</v>
      </c>
      <c r="T324" s="12">
        <v>321</v>
      </c>
      <c r="U324" s="252" t="s">
        <v>1787</v>
      </c>
      <c r="V324" s="232" t="s">
        <v>1784</v>
      </c>
      <c r="W324" s="232">
        <v>-8492.5</v>
      </c>
      <c r="X324" s="232">
        <v>10162.9</v>
      </c>
      <c r="Y324" s="233" t="s">
        <v>49</v>
      </c>
      <c r="Z324" s="87" t="s">
        <v>50</v>
      </c>
      <c r="AA324" s="233" t="s">
        <v>51</v>
      </c>
      <c r="AB324" s="234"/>
      <c r="AC324" s="233">
        <v>1</v>
      </c>
      <c r="AD324" s="233" t="s">
        <v>226</v>
      </c>
      <c r="AE324" s="234"/>
      <c r="AF324" s="234"/>
      <c r="AG324" s="234"/>
      <c r="AH324" s="233"/>
      <c r="AI324" s="233"/>
      <c r="AJ324" s="233"/>
      <c r="AK324" s="233"/>
      <c r="AL324" s="233"/>
      <c r="AM324" s="233"/>
      <c r="AN324" s="233"/>
      <c r="AO324" s="233"/>
      <c r="AP324" s="234"/>
      <c r="AQ324" s="234" t="s">
        <v>333</v>
      </c>
    </row>
    <row r="325" spans="1:43">
      <c r="A325" s="12">
        <v>322</v>
      </c>
      <c r="B325" s="21" t="s">
        <v>5120</v>
      </c>
      <c r="C325" s="5" t="s">
        <v>1789</v>
      </c>
      <c r="D325" s="5" t="s">
        <v>5121</v>
      </c>
      <c r="E325" s="5" t="s">
        <v>5122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11" t="s">
        <v>46</v>
      </c>
      <c r="Q325" s="5">
        <v>87.703800000000001</v>
      </c>
      <c r="R325" s="5">
        <f t="shared" si="5"/>
        <v>87.703800000000001</v>
      </c>
      <c r="S325" s="5" t="s">
        <v>60</v>
      </c>
      <c r="T325" s="12">
        <v>322</v>
      </c>
      <c r="U325" s="252" t="s">
        <v>1792</v>
      </c>
      <c r="V325" s="232" t="s">
        <v>1789</v>
      </c>
      <c r="W325" s="232">
        <v>-8957.6</v>
      </c>
      <c r="X325" s="232">
        <v>9967.7999999999993</v>
      </c>
      <c r="Y325" s="233" t="s">
        <v>49</v>
      </c>
      <c r="Z325" s="87" t="s">
        <v>50</v>
      </c>
      <c r="AA325" s="233" t="s">
        <v>51</v>
      </c>
      <c r="AB325" s="234"/>
      <c r="AC325" s="233">
        <v>1</v>
      </c>
      <c r="AD325" s="233" t="s">
        <v>226</v>
      </c>
      <c r="AE325" s="234"/>
      <c r="AF325" s="234"/>
      <c r="AG325" s="234"/>
      <c r="AH325" s="233"/>
      <c r="AI325" s="233"/>
      <c r="AJ325" s="233"/>
      <c r="AK325" s="233"/>
      <c r="AL325" s="233"/>
      <c r="AM325" s="233"/>
      <c r="AN325" s="233"/>
      <c r="AO325" s="233"/>
      <c r="AP325" s="234"/>
      <c r="AQ325" s="234" t="s">
        <v>333</v>
      </c>
    </row>
    <row r="326" spans="1:43">
      <c r="A326" s="12">
        <v>323</v>
      </c>
      <c r="B326" s="21" t="s">
        <v>5123</v>
      </c>
      <c r="C326" s="5" t="s">
        <v>1794</v>
      </c>
      <c r="D326" s="5" t="s">
        <v>5124</v>
      </c>
      <c r="E326" s="5" t="s">
        <v>5125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11" t="s">
        <v>46</v>
      </c>
      <c r="Q326" s="5">
        <v>189.11269999999999</v>
      </c>
      <c r="R326" s="5">
        <f t="shared" si="5"/>
        <v>189.11269999999999</v>
      </c>
      <c r="S326" s="5" t="s">
        <v>395</v>
      </c>
      <c r="T326" s="12">
        <v>323</v>
      </c>
      <c r="U326" s="252" t="s">
        <v>1797</v>
      </c>
      <c r="V326" s="232" t="s">
        <v>1794</v>
      </c>
      <c r="W326" s="232">
        <v>-8865.6</v>
      </c>
      <c r="X326" s="232">
        <v>9447.6</v>
      </c>
      <c r="Y326" s="233" t="s">
        <v>49</v>
      </c>
      <c r="Z326" s="87" t="s">
        <v>50</v>
      </c>
      <c r="AA326" s="233" t="s">
        <v>51</v>
      </c>
      <c r="AB326" s="234"/>
      <c r="AC326" s="233">
        <v>1</v>
      </c>
      <c r="AD326" s="233" t="s">
        <v>226</v>
      </c>
      <c r="AE326" s="234"/>
      <c r="AF326" s="234"/>
      <c r="AG326" s="234"/>
      <c r="AH326" s="233"/>
      <c r="AI326" s="233"/>
      <c r="AJ326" s="233"/>
      <c r="AK326" s="233"/>
      <c r="AL326" s="233"/>
      <c r="AM326" s="233"/>
      <c r="AN326" s="233"/>
      <c r="AO326" s="233"/>
      <c r="AP326" s="234"/>
      <c r="AQ326" s="234" t="s">
        <v>333</v>
      </c>
    </row>
    <row r="327" spans="1:43">
      <c r="A327" s="12">
        <v>324</v>
      </c>
      <c r="B327" s="21" t="s">
        <v>5126</v>
      </c>
      <c r="C327" s="5" t="s">
        <v>1799</v>
      </c>
      <c r="D327" s="5" t="s">
        <v>5127</v>
      </c>
      <c r="E327" s="5" t="s">
        <v>5128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11" t="s">
        <v>46</v>
      </c>
      <c r="Q327" s="5">
        <v>137.5624</v>
      </c>
      <c r="R327" s="5">
        <f t="shared" si="5"/>
        <v>137.5624</v>
      </c>
      <c r="S327" s="5" t="s">
        <v>67</v>
      </c>
      <c r="T327" s="12">
        <v>324</v>
      </c>
      <c r="U327" s="252" t="s">
        <v>1802</v>
      </c>
      <c r="V327" s="232" t="s">
        <v>1799</v>
      </c>
      <c r="W327" s="232">
        <v>-9320.5</v>
      </c>
      <c r="X327" s="232">
        <v>10452.4</v>
      </c>
      <c r="Y327" s="233" t="s">
        <v>49</v>
      </c>
      <c r="Z327" s="87" t="s">
        <v>50</v>
      </c>
      <c r="AA327" s="233" t="s">
        <v>51</v>
      </c>
      <c r="AB327" s="234"/>
      <c r="AC327" s="233">
        <v>1</v>
      </c>
      <c r="AD327" s="233" t="s">
        <v>226</v>
      </c>
      <c r="AE327" s="234"/>
      <c r="AF327" s="234"/>
      <c r="AG327" s="234"/>
      <c r="AH327" s="233"/>
      <c r="AI327" s="233"/>
      <c r="AJ327" s="233"/>
      <c r="AK327" s="233"/>
      <c r="AL327" s="233"/>
      <c r="AM327" s="233"/>
      <c r="AN327" s="233"/>
      <c r="AO327" s="233"/>
      <c r="AP327" s="234"/>
      <c r="AQ327" s="234" t="s">
        <v>333</v>
      </c>
    </row>
    <row r="328" spans="1:43">
      <c r="A328" s="12">
        <v>325</v>
      </c>
      <c r="B328" s="21" t="s">
        <v>5129</v>
      </c>
      <c r="C328" s="5" t="s">
        <v>1804</v>
      </c>
      <c r="D328" s="5" t="s">
        <v>5130</v>
      </c>
      <c r="E328" s="5" t="s">
        <v>5131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11" t="s">
        <v>46</v>
      </c>
      <c r="Q328" s="5">
        <v>102.5347</v>
      </c>
      <c r="R328" s="5">
        <f t="shared" si="5"/>
        <v>102.5347</v>
      </c>
      <c r="S328" s="5" t="s">
        <v>74</v>
      </c>
      <c r="T328" s="12">
        <v>325</v>
      </c>
      <c r="U328" s="252" t="s">
        <v>1807</v>
      </c>
      <c r="V328" s="232" t="s">
        <v>1804</v>
      </c>
      <c r="W328" s="232">
        <v>-9480.6</v>
      </c>
      <c r="X328" s="232">
        <v>9908.9</v>
      </c>
      <c r="Y328" s="233" t="s">
        <v>49</v>
      </c>
      <c r="Z328" s="87" t="s">
        <v>50</v>
      </c>
      <c r="AA328" s="233" t="s">
        <v>51</v>
      </c>
      <c r="AB328" s="234"/>
      <c r="AC328" s="233">
        <v>1</v>
      </c>
      <c r="AD328" s="233" t="s">
        <v>226</v>
      </c>
      <c r="AE328" s="234"/>
      <c r="AF328" s="234"/>
      <c r="AG328" s="234"/>
      <c r="AH328" s="233"/>
      <c r="AI328" s="233"/>
      <c r="AJ328" s="233"/>
      <c r="AK328" s="233"/>
      <c r="AL328" s="233"/>
      <c r="AM328" s="233"/>
      <c r="AN328" s="233"/>
      <c r="AO328" s="233"/>
      <c r="AP328" s="234"/>
      <c r="AQ328" s="234" t="s">
        <v>333</v>
      </c>
    </row>
    <row r="329" spans="1:43">
      <c r="A329" s="12">
        <v>326</v>
      </c>
      <c r="B329" s="21" t="s">
        <v>5132</v>
      </c>
      <c r="C329" s="5" t="s">
        <v>1809</v>
      </c>
      <c r="D329" s="5" t="s">
        <v>5133</v>
      </c>
      <c r="E329" s="5" t="s">
        <v>5134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11" t="s">
        <v>46</v>
      </c>
      <c r="Q329" s="5">
        <v>211.03039999999999</v>
      </c>
      <c r="R329" s="5">
        <f t="shared" si="5"/>
        <v>211.03039999999999</v>
      </c>
      <c r="S329" s="5" t="s">
        <v>338</v>
      </c>
      <c r="T329" s="12">
        <v>326</v>
      </c>
      <c r="U329" s="253" t="s">
        <v>1812</v>
      </c>
      <c r="V329" s="232" t="s">
        <v>1809</v>
      </c>
      <c r="W329" s="232">
        <v>6950.9</v>
      </c>
      <c r="X329" s="232">
        <v>1353.8</v>
      </c>
      <c r="Y329" s="233" t="s">
        <v>49</v>
      </c>
      <c r="Z329" s="87" t="s">
        <v>50</v>
      </c>
      <c r="AA329" s="233" t="s">
        <v>51</v>
      </c>
      <c r="AB329" s="234"/>
      <c r="AC329" s="233">
        <v>1</v>
      </c>
      <c r="AD329" s="233" t="s">
        <v>52</v>
      </c>
      <c r="AE329" s="234"/>
      <c r="AF329" s="233"/>
      <c r="AG329" s="234"/>
      <c r="AH329" s="233"/>
      <c r="AI329" s="233"/>
      <c r="AJ329" s="233"/>
      <c r="AK329" s="233"/>
      <c r="AL329" s="233"/>
      <c r="AM329" s="233"/>
      <c r="AN329" s="233"/>
      <c r="AO329" s="233"/>
      <c r="AP329" s="234"/>
      <c r="AQ329" s="234" t="s">
        <v>333</v>
      </c>
    </row>
    <row r="330" spans="1:43">
      <c r="A330" s="12">
        <v>327</v>
      </c>
      <c r="B330" s="21" t="s">
        <v>5135</v>
      </c>
      <c r="C330" s="5" t="s">
        <v>1814</v>
      </c>
      <c r="D330" s="5" t="s">
        <v>5136</v>
      </c>
      <c r="E330" s="5" t="s">
        <v>5137</v>
      </c>
      <c r="F330" s="5" t="s">
        <v>5138</v>
      </c>
      <c r="G330" s="5"/>
      <c r="H330" s="5"/>
      <c r="I330" s="5"/>
      <c r="J330" s="5"/>
      <c r="K330" s="5"/>
      <c r="L330" s="5"/>
      <c r="M330" s="5"/>
      <c r="N330" s="5"/>
      <c r="O330" s="5"/>
      <c r="P330" s="11" t="s">
        <v>46</v>
      </c>
      <c r="Q330" s="5">
        <v>257.85989999999998</v>
      </c>
      <c r="R330" s="5">
        <f t="shared" si="5"/>
        <v>257.85989999999998</v>
      </c>
      <c r="S330" s="5" t="s">
        <v>1818</v>
      </c>
      <c r="T330" s="12">
        <v>327</v>
      </c>
      <c r="U330" s="253" t="s">
        <v>1819</v>
      </c>
      <c r="V330" s="232" t="s">
        <v>1814</v>
      </c>
      <c r="W330" s="232">
        <v>12702.5</v>
      </c>
      <c r="X330" s="232">
        <v>-532.1</v>
      </c>
      <c r="Y330" s="233" t="s">
        <v>49</v>
      </c>
      <c r="Z330" s="87" t="s">
        <v>50</v>
      </c>
      <c r="AA330" s="233" t="s">
        <v>51</v>
      </c>
      <c r="AB330" s="234"/>
      <c r="AC330" s="233">
        <v>1</v>
      </c>
      <c r="AD330" s="233" t="s">
        <v>226</v>
      </c>
      <c r="AE330" s="234"/>
      <c r="AF330" s="233">
        <v>18000</v>
      </c>
      <c r="AG330" s="234"/>
      <c r="AH330" s="233"/>
      <c r="AI330" s="233"/>
      <c r="AJ330" s="233" t="s">
        <v>1820</v>
      </c>
      <c r="AK330" s="233">
        <v>250</v>
      </c>
      <c r="AL330" s="233"/>
      <c r="AM330" s="233"/>
      <c r="AN330" s="233"/>
      <c r="AO330" s="233"/>
      <c r="AP330" s="234"/>
      <c r="AQ330" s="254" t="s">
        <v>1821</v>
      </c>
    </row>
    <row r="331" spans="1:43">
      <c r="A331" s="12">
        <v>328</v>
      </c>
      <c r="B331" s="21" t="s">
        <v>5139</v>
      </c>
      <c r="C331" s="5" t="s">
        <v>1823</v>
      </c>
      <c r="D331" s="5" t="s">
        <v>5140</v>
      </c>
      <c r="E331" s="5" t="s">
        <v>5141</v>
      </c>
      <c r="F331" s="5" t="s">
        <v>5142</v>
      </c>
      <c r="G331" s="5"/>
      <c r="H331" s="5"/>
      <c r="I331" s="5"/>
      <c r="J331" s="5"/>
      <c r="K331" s="5"/>
      <c r="L331" s="5"/>
      <c r="M331" s="5"/>
      <c r="N331" s="5"/>
      <c r="O331" s="5"/>
      <c r="P331" s="11" t="s">
        <v>46</v>
      </c>
      <c r="Q331" s="5">
        <v>257.83479999999997</v>
      </c>
      <c r="R331" s="5">
        <f t="shared" si="5"/>
        <v>257.83479999999997</v>
      </c>
      <c r="S331" s="5" t="s">
        <v>1827</v>
      </c>
      <c r="T331" s="12">
        <v>328</v>
      </c>
      <c r="U331" s="253" t="s">
        <v>1828</v>
      </c>
      <c r="V331" s="232" t="s">
        <v>1823</v>
      </c>
      <c r="W331" s="232">
        <v>12786.5</v>
      </c>
      <c r="X331" s="232">
        <v>-1192.8</v>
      </c>
      <c r="Y331" s="233" t="s">
        <v>49</v>
      </c>
      <c r="Z331" s="87" t="s">
        <v>50</v>
      </c>
      <c r="AA331" s="233" t="s">
        <v>51</v>
      </c>
      <c r="AB331" s="234"/>
      <c r="AC331" s="233">
        <v>1</v>
      </c>
      <c r="AD331" s="233" t="s">
        <v>226</v>
      </c>
      <c r="AE331" s="234"/>
      <c r="AF331" s="233">
        <v>18000</v>
      </c>
      <c r="AG331" s="234"/>
      <c r="AH331" s="233"/>
      <c r="AI331" s="233"/>
      <c r="AJ331" s="233" t="s">
        <v>1820</v>
      </c>
      <c r="AK331" s="233">
        <v>250</v>
      </c>
      <c r="AL331" s="233"/>
      <c r="AM331" s="233"/>
      <c r="AN331" s="233"/>
      <c r="AO331" s="233"/>
      <c r="AP331" s="234"/>
      <c r="AQ331" s="254" t="s">
        <v>1821</v>
      </c>
    </row>
    <row r="332" spans="1:43">
      <c r="A332" s="12">
        <v>329</v>
      </c>
      <c r="B332" s="21" t="s">
        <v>5143</v>
      </c>
      <c r="C332" s="5" t="s">
        <v>1830</v>
      </c>
      <c r="D332" s="5" t="s">
        <v>5144</v>
      </c>
      <c r="E332" s="5" t="s">
        <v>5145</v>
      </c>
      <c r="F332" s="5" t="s">
        <v>5146</v>
      </c>
      <c r="G332" s="5"/>
      <c r="H332" s="5"/>
      <c r="I332" s="5"/>
      <c r="J332" s="5"/>
      <c r="K332" s="5"/>
      <c r="L332" s="5"/>
      <c r="M332" s="5"/>
      <c r="N332" s="5"/>
      <c r="O332" s="5"/>
      <c r="P332" s="11" t="s">
        <v>46</v>
      </c>
      <c r="Q332" s="5">
        <v>257.83699999999999</v>
      </c>
      <c r="R332" s="5">
        <f t="shared" si="5"/>
        <v>257.83699999999999</v>
      </c>
      <c r="S332" s="5" t="s">
        <v>1834</v>
      </c>
      <c r="T332" s="12">
        <v>329</v>
      </c>
      <c r="U332" s="253" t="s">
        <v>1835</v>
      </c>
      <c r="V332" s="232" t="s">
        <v>1830</v>
      </c>
      <c r="W332" s="232">
        <v>12285.7</v>
      </c>
      <c r="X332" s="232">
        <v>-1192.8</v>
      </c>
      <c r="Y332" s="233" t="s">
        <v>49</v>
      </c>
      <c r="Z332" s="87" t="s">
        <v>50</v>
      </c>
      <c r="AA332" s="233" t="s">
        <v>51</v>
      </c>
      <c r="AB332" s="234"/>
      <c r="AC332" s="233">
        <v>1</v>
      </c>
      <c r="AD332" s="233" t="s">
        <v>226</v>
      </c>
      <c r="AE332" s="234"/>
      <c r="AF332" s="233">
        <v>18000</v>
      </c>
      <c r="AG332" s="234"/>
      <c r="AH332" s="233"/>
      <c r="AI332" s="233"/>
      <c r="AJ332" s="233" t="s">
        <v>1820</v>
      </c>
      <c r="AK332" s="233">
        <v>250</v>
      </c>
      <c r="AL332" s="233"/>
      <c r="AM332" s="233"/>
      <c r="AN332" s="233"/>
      <c r="AO332" s="233"/>
      <c r="AP332" s="234"/>
      <c r="AQ332" s="254" t="s">
        <v>1821</v>
      </c>
    </row>
    <row r="333" spans="1:43">
      <c r="A333" s="12">
        <v>330</v>
      </c>
      <c r="B333" s="21" t="s">
        <v>5147</v>
      </c>
      <c r="C333" s="5" t="s">
        <v>1837</v>
      </c>
      <c r="D333" s="5" t="s">
        <v>5148</v>
      </c>
      <c r="E333" s="5" t="s">
        <v>5149</v>
      </c>
      <c r="F333" s="5" t="s">
        <v>5150</v>
      </c>
      <c r="G333" s="5"/>
      <c r="H333" s="5"/>
      <c r="I333" s="5"/>
      <c r="J333" s="5"/>
      <c r="K333" s="5"/>
      <c r="L333" s="5"/>
      <c r="M333" s="5"/>
      <c r="N333" s="5"/>
      <c r="O333" s="5"/>
      <c r="P333" s="11" t="s">
        <v>46</v>
      </c>
      <c r="Q333" s="5">
        <v>257.82190000000003</v>
      </c>
      <c r="R333" s="5">
        <f t="shared" si="5"/>
        <v>257.82190000000003</v>
      </c>
      <c r="S333" s="5" t="s">
        <v>1841</v>
      </c>
      <c r="T333" s="12">
        <v>330</v>
      </c>
      <c r="U333" s="253" t="s">
        <v>1842</v>
      </c>
      <c r="V333" s="232" t="s">
        <v>1837</v>
      </c>
      <c r="W333" s="232">
        <v>12159</v>
      </c>
      <c r="X333" s="232">
        <v>-692.2</v>
      </c>
      <c r="Y333" s="233" t="s">
        <v>49</v>
      </c>
      <c r="Z333" s="87" t="s">
        <v>50</v>
      </c>
      <c r="AA333" s="233" t="s">
        <v>51</v>
      </c>
      <c r="AB333" s="234"/>
      <c r="AC333" s="233">
        <v>1</v>
      </c>
      <c r="AD333" s="233" t="s">
        <v>226</v>
      </c>
      <c r="AE333" s="234"/>
      <c r="AF333" s="233">
        <v>18000</v>
      </c>
      <c r="AG333" s="234"/>
      <c r="AH333" s="233"/>
      <c r="AI333" s="233"/>
      <c r="AJ333" s="233" t="s">
        <v>1820</v>
      </c>
      <c r="AK333" s="233">
        <v>250</v>
      </c>
      <c r="AL333" s="233"/>
      <c r="AM333" s="233"/>
      <c r="AN333" s="233"/>
      <c r="AO333" s="233"/>
      <c r="AP333" s="234"/>
      <c r="AQ333" s="254" t="s">
        <v>1821</v>
      </c>
    </row>
    <row r="334" spans="1:43">
      <c r="A334" s="12">
        <v>331</v>
      </c>
      <c r="B334" s="21" t="s">
        <v>5151</v>
      </c>
      <c r="C334" s="5" t="s">
        <v>1844</v>
      </c>
      <c r="D334" s="5" t="s">
        <v>5152</v>
      </c>
      <c r="E334" s="5" t="s">
        <v>5153</v>
      </c>
      <c r="F334" s="5" t="s">
        <v>5154</v>
      </c>
      <c r="G334" s="5"/>
      <c r="H334" s="5"/>
      <c r="I334" s="5"/>
      <c r="J334" s="5"/>
      <c r="K334" s="5"/>
      <c r="L334" s="5"/>
      <c r="M334" s="5"/>
      <c r="N334" s="5"/>
      <c r="O334" s="5"/>
      <c r="P334" s="11" t="s">
        <v>46</v>
      </c>
      <c r="Q334" s="5">
        <v>257.8972</v>
      </c>
      <c r="R334" s="5">
        <f t="shared" si="5"/>
        <v>257.8972</v>
      </c>
      <c r="S334" s="5" t="s">
        <v>1848</v>
      </c>
      <c r="T334" s="12">
        <v>331</v>
      </c>
      <c r="U334" s="253" t="s">
        <v>1849</v>
      </c>
      <c r="V334" s="232" t="s">
        <v>1844</v>
      </c>
      <c r="W334" s="232">
        <v>12905.7</v>
      </c>
      <c r="X334" s="232">
        <v>0</v>
      </c>
      <c r="Y334" s="233" t="s">
        <v>49</v>
      </c>
      <c r="Z334" s="87" t="s">
        <v>50</v>
      </c>
      <c r="AA334" s="233" t="s">
        <v>51</v>
      </c>
      <c r="AB334" s="234"/>
      <c r="AC334" s="233">
        <v>1</v>
      </c>
      <c r="AD334" s="233" t="s">
        <v>226</v>
      </c>
      <c r="AE334" s="234"/>
      <c r="AF334" s="233">
        <v>18000</v>
      </c>
      <c r="AG334" s="234"/>
      <c r="AH334" s="233"/>
      <c r="AI334" s="233"/>
      <c r="AJ334" s="233" t="s">
        <v>1820</v>
      </c>
      <c r="AK334" s="233">
        <v>250</v>
      </c>
      <c r="AL334" s="233"/>
      <c r="AM334" s="233"/>
      <c r="AN334" s="233"/>
      <c r="AO334" s="233"/>
      <c r="AP334" s="234"/>
      <c r="AQ334" s="254" t="s">
        <v>1821</v>
      </c>
    </row>
    <row r="335" spans="1:43">
      <c r="A335" s="12">
        <v>332</v>
      </c>
      <c r="B335" s="21" t="s">
        <v>5155</v>
      </c>
      <c r="C335" s="5" t="s">
        <v>1851</v>
      </c>
      <c r="D335" s="5" t="s">
        <v>5156</v>
      </c>
      <c r="E335" s="5" t="s">
        <v>5157</v>
      </c>
      <c r="F335" s="5" t="s">
        <v>5158</v>
      </c>
      <c r="G335" s="5"/>
      <c r="H335" s="5"/>
      <c r="I335" s="5"/>
      <c r="J335" s="5"/>
      <c r="K335" s="5"/>
      <c r="L335" s="5"/>
      <c r="M335" s="5"/>
      <c r="N335" s="5"/>
      <c r="O335" s="5"/>
      <c r="P335" s="11" t="s">
        <v>46</v>
      </c>
      <c r="Q335" s="5">
        <v>159.5351</v>
      </c>
      <c r="R335" s="5">
        <f t="shared" si="5"/>
        <v>159.5351</v>
      </c>
      <c r="S335" s="5" t="s">
        <v>1855</v>
      </c>
      <c r="T335" s="12">
        <v>332</v>
      </c>
      <c r="U335" s="238" t="s">
        <v>1856</v>
      </c>
      <c r="V335" s="239" t="s">
        <v>1851</v>
      </c>
      <c r="W335" s="239"/>
      <c r="X335" s="239"/>
      <c r="Y335" s="240" t="s">
        <v>49</v>
      </c>
      <c r="Z335" s="240"/>
      <c r="AA335" s="240" t="s">
        <v>51</v>
      </c>
      <c r="AB335" s="238"/>
      <c r="AC335" s="240">
        <v>1</v>
      </c>
      <c r="AD335" s="240" t="s">
        <v>52</v>
      </c>
      <c r="AE335" s="238"/>
      <c r="AF335" s="238"/>
      <c r="AG335" s="238"/>
      <c r="AH335" s="240"/>
      <c r="AI335" s="240"/>
      <c r="AJ335" s="240"/>
      <c r="AK335" s="240"/>
      <c r="AL335" s="240"/>
      <c r="AM335" s="240"/>
      <c r="AN335" s="240"/>
      <c r="AO335" s="240"/>
      <c r="AP335" s="238"/>
      <c r="AQ335" s="238" t="s">
        <v>1857</v>
      </c>
    </row>
    <row r="336" spans="1:43">
      <c r="A336" s="12">
        <v>498</v>
      </c>
      <c r="B336" s="21" t="s">
        <v>5159</v>
      </c>
      <c r="C336" s="5" t="s">
        <v>3093</v>
      </c>
      <c r="D336" s="5" t="s">
        <v>5160</v>
      </c>
      <c r="E336" s="5" t="s">
        <v>5161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11" t="s">
        <v>46</v>
      </c>
      <c r="Q336" s="5">
        <v>232.74889999999999</v>
      </c>
      <c r="R336" s="5">
        <f t="shared" si="5"/>
        <v>232.74889999999999</v>
      </c>
      <c r="S336" s="5" t="s">
        <v>706</v>
      </c>
      <c r="T336" s="12">
        <v>498</v>
      </c>
      <c r="U336" s="256" t="s">
        <v>3096</v>
      </c>
      <c r="V336" s="232" t="s">
        <v>3093</v>
      </c>
      <c r="W336" s="232">
        <v>12786.5</v>
      </c>
      <c r="X336" s="232">
        <v>3389.9</v>
      </c>
      <c r="Y336" s="233" t="s">
        <v>49</v>
      </c>
      <c r="Z336" s="87" t="s">
        <v>50</v>
      </c>
      <c r="AA336" s="233" t="s">
        <v>51</v>
      </c>
      <c r="AB336" s="234"/>
      <c r="AC336" s="233">
        <v>1</v>
      </c>
      <c r="AD336" s="233" t="s">
        <v>52</v>
      </c>
      <c r="AE336" s="234"/>
      <c r="AF336" s="234"/>
      <c r="AG336" s="234"/>
      <c r="AH336" s="233"/>
      <c r="AI336" s="233"/>
      <c r="AJ336" s="233"/>
      <c r="AK336" s="233"/>
      <c r="AL336" s="233"/>
      <c r="AM336" s="233"/>
      <c r="AN336" s="233"/>
      <c r="AO336" s="233"/>
      <c r="AP336" s="234"/>
      <c r="AQ336" s="234" t="s">
        <v>333</v>
      </c>
    </row>
    <row r="337" spans="1:43">
      <c r="A337" s="12">
        <v>334</v>
      </c>
      <c r="B337" s="21" t="s">
        <v>5162</v>
      </c>
      <c r="C337" s="5" t="s">
        <v>1864</v>
      </c>
      <c r="D337" s="5" t="s">
        <v>5163</v>
      </c>
      <c r="E337" s="5" t="s">
        <v>5164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11" t="s">
        <v>46</v>
      </c>
      <c r="Q337" s="5">
        <v>226.05879999999999</v>
      </c>
      <c r="R337" s="5">
        <f t="shared" si="5"/>
        <v>226.05879999999999</v>
      </c>
      <c r="S337" s="5" t="s">
        <v>338</v>
      </c>
      <c r="T337" s="12">
        <v>334</v>
      </c>
      <c r="U337" s="253" t="s">
        <v>1867</v>
      </c>
      <c r="V337" s="232" t="s">
        <v>1864</v>
      </c>
      <c r="W337" s="232">
        <v>11455.4</v>
      </c>
      <c r="X337" s="232">
        <v>3798.6</v>
      </c>
      <c r="Y337" s="233" t="s">
        <v>49</v>
      </c>
      <c r="Z337" s="87" t="s">
        <v>50</v>
      </c>
      <c r="AA337" s="233" t="s">
        <v>51</v>
      </c>
      <c r="AB337" s="234"/>
      <c r="AC337" s="233">
        <v>1</v>
      </c>
      <c r="AD337" s="233" t="s">
        <v>52</v>
      </c>
      <c r="AE337" s="234"/>
      <c r="AF337" s="234"/>
      <c r="AG337" s="234"/>
      <c r="AH337" s="233"/>
      <c r="AI337" s="233"/>
      <c r="AJ337" s="233"/>
      <c r="AK337" s="233"/>
      <c r="AL337" s="233"/>
      <c r="AM337" s="233"/>
      <c r="AN337" s="233"/>
      <c r="AO337" s="233"/>
      <c r="AP337" s="234"/>
      <c r="AQ337" s="234" t="s">
        <v>333</v>
      </c>
    </row>
    <row r="338" spans="1:43">
      <c r="A338" s="12">
        <v>335</v>
      </c>
      <c r="B338" s="21" t="s">
        <v>5165</v>
      </c>
      <c r="C338" s="5" t="s">
        <v>1869</v>
      </c>
      <c r="D338" s="5" t="s">
        <v>5166</v>
      </c>
      <c r="E338" s="5" t="s">
        <v>5167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11" t="s">
        <v>46</v>
      </c>
      <c r="Q338" s="5">
        <v>151.5522</v>
      </c>
      <c r="R338" s="5">
        <f t="shared" si="5"/>
        <v>151.5522</v>
      </c>
      <c r="S338" s="5" t="s">
        <v>60</v>
      </c>
      <c r="T338" s="12">
        <v>335</v>
      </c>
      <c r="U338" s="253" t="s">
        <v>1872</v>
      </c>
      <c r="V338" s="232" t="s">
        <v>1869</v>
      </c>
      <c r="W338" s="232">
        <v>-7674.8</v>
      </c>
      <c r="X338" s="232">
        <v>1353.8</v>
      </c>
      <c r="Y338" s="233" t="s">
        <v>49</v>
      </c>
      <c r="Z338" s="87" t="s">
        <v>50</v>
      </c>
      <c r="AA338" s="233" t="s">
        <v>51</v>
      </c>
      <c r="AB338" s="234"/>
      <c r="AC338" s="233">
        <v>1</v>
      </c>
      <c r="AD338" s="233" t="s">
        <v>52</v>
      </c>
      <c r="AE338" s="234"/>
      <c r="AF338" s="234"/>
      <c r="AG338" s="234"/>
      <c r="AH338" s="233"/>
      <c r="AI338" s="233"/>
      <c r="AJ338" s="233"/>
      <c r="AK338" s="233"/>
      <c r="AL338" s="233"/>
      <c r="AM338" s="233"/>
      <c r="AN338" s="233"/>
      <c r="AO338" s="233"/>
      <c r="AP338" s="234"/>
      <c r="AQ338" s="234" t="s">
        <v>333</v>
      </c>
    </row>
    <row r="339" spans="1:43">
      <c r="A339" s="12">
        <v>336</v>
      </c>
      <c r="B339" s="21" t="s">
        <v>5168</v>
      </c>
      <c r="C339" s="5" t="s">
        <v>1874</v>
      </c>
      <c r="D339" s="5" t="s">
        <v>605</v>
      </c>
      <c r="E339" s="5" t="s">
        <v>605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11" t="s">
        <v>46</v>
      </c>
      <c r="Q339" s="5" t="s">
        <v>46</v>
      </c>
      <c r="R339" s="5" t="str">
        <f t="shared" si="5"/>
        <v/>
      </c>
      <c r="S339" s="5" t="s">
        <v>46</v>
      </c>
      <c r="T339" s="12">
        <v>336</v>
      </c>
      <c r="U339" s="253" t="s">
        <v>1875</v>
      </c>
      <c r="V339" s="232" t="s">
        <v>1874</v>
      </c>
      <c r="W339" s="232">
        <v>-3275.1</v>
      </c>
      <c r="X339" s="232">
        <v>4151.3999999999996</v>
      </c>
      <c r="Y339" s="87" t="s">
        <v>668</v>
      </c>
      <c r="Z339" s="87" t="s">
        <v>50</v>
      </c>
      <c r="AA339" s="233" t="s">
        <v>669</v>
      </c>
      <c r="AB339" s="234"/>
      <c r="AC339" s="233"/>
      <c r="AD339" s="234"/>
      <c r="AE339" s="234"/>
      <c r="AF339" s="234"/>
      <c r="AG339" s="234"/>
      <c r="AH339" s="233"/>
      <c r="AI339" s="233"/>
      <c r="AJ339" s="233"/>
      <c r="AK339" s="233"/>
      <c r="AL339" s="233"/>
      <c r="AM339" s="233"/>
      <c r="AN339" s="233"/>
      <c r="AO339" s="233"/>
      <c r="AP339" s="234"/>
      <c r="AQ339" s="235" t="s">
        <v>1876</v>
      </c>
    </row>
    <row r="340" spans="1:43">
      <c r="A340" s="12">
        <v>337</v>
      </c>
      <c r="B340" s="21" t="s">
        <v>5169</v>
      </c>
      <c r="C340" s="5" t="s">
        <v>1878</v>
      </c>
      <c r="D340" s="5" t="s">
        <v>605</v>
      </c>
      <c r="E340" s="5" t="s">
        <v>605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11" t="s">
        <v>46</v>
      </c>
      <c r="Q340" s="5" t="s">
        <v>46</v>
      </c>
      <c r="R340" s="5" t="str">
        <f t="shared" si="5"/>
        <v/>
      </c>
      <c r="S340" s="5" t="s">
        <v>46</v>
      </c>
      <c r="T340" s="12">
        <v>337</v>
      </c>
      <c r="U340" s="253" t="s">
        <v>1879</v>
      </c>
      <c r="V340" s="232" t="s">
        <v>1878</v>
      </c>
      <c r="W340" s="232">
        <v>-3275.1</v>
      </c>
      <c r="X340" s="232">
        <v>4862.6000000000004</v>
      </c>
      <c r="Y340" s="87" t="s">
        <v>668</v>
      </c>
      <c r="Z340" s="87" t="s">
        <v>50</v>
      </c>
      <c r="AA340" s="233" t="s">
        <v>669</v>
      </c>
      <c r="AB340" s="234"/>
      <c r="AC340" s="233"/>
      <c r="AD340" s="234"/>
      <c r="AE340" s="234"/>
      <c r="AF340" s="234"/>
      <c r="AG340" s="234"/>
      <c r="AH340" s="233"/>
      <c r="AI340" s="233"/>
      <c r="AJ340" s="233"/>
      <c r="AK340" s="233"/>
      <c r="AL340" s="233"/>
      <c r="AM340" s="233"/>
      <c r="AN340" s="233"/>
      <c r="AO340" s="233"/>
      <c r="AP340" s="234"/>
      <c r="AQ340" s="235" t="s">
        <v>1880</v>
      </c>
    </row>
    <row r="341" spans="1:43">
      <c r="A341" s="12">
        <v>338</v>
      </c>
      <c r="B341" s="21" t="s">
        <v>5170</v>
      </c>
      <c r="C341" s="5" t="s">
        <v>1882</v>
      </c>
      <c r="D341" s="5" t="s">
        <v>5171</v>
      </c>
      <c r="E341" s="5" t="s">
        <v>5172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11" t="s">
        <v>46</v>
      </c>
      <c r="Q341" s="5">
        <v>145.48519999999999</v>
      </c>
      <c r="R341" s="5">
        <f t="shared" si="5"/>
        <v>145.48519999999999</v>
      </c>
      <c r="S341" s="5" t="s">
        <v>67</v>
      </c>
      <c r="T341" s="12">
        <v>338</v>
      </c>
      <c r="U341" s="253" t="s">
        <v>1885</v>
      </c>
      <c r="V341" s="232" t="s">
        <v>1882</v>
      </c>
      <c r="W341" s="232">
        <v>7674.8</v>
      </c>
      <c r="X341" s="232">
        <v>1353.8</v>
      </c>
      <c r="Y341" s="233" t="s">
        <v>49</v>
      </c>
      <c r="Z341" s="87" t="s">
        <v>50</v>
      </c>
      <c r="AA341" s="233" t="s">
        <v>51</v>
      </c>
      <c r="AB341" s="234"/>
      <c r="AC341" s="233">
        <v>1</v>
      </c>
      <c r="AD341" s="233" t="s">
        <v>226</v>
      </c>
      <c r="AE341" s="234"/>
      <c r="AF341" s="234"/>
      <c r="AG341" s="234"/>
      <c r="AH341" s="233"/>
      <c r="AI341" s="233"/>
      <c r="AJ341" s="233"/>
      <c r="AK341" s="233"/>
      <c r="AL341" s="233"/>
      <c r="AM341" s="233"/>
      <c r="AN341" s="233"/>
      <c r="AO341" s="233"/>
      <c r="AP341" s="234"/>
      <c r="AQ341" s="234" t="s">
        <v>333</v>
      </c>
    </row>
    <row r="342" spans="1:43">
      <c r="A342" s="12">
        <v>339</v>
      </c>
      <c r="B342" s="21" t="s">
        <v>5173</v>
      </c>
      <c r="C342" s="5" t="s">
        <v>1887</v>
      </c>
      <c r="D342" s="5" t="s">
        <v>5174</v>
      </c>
      <c r="E342" s="5" t="s">
        <v>5175</v>
      </c>
      <c r="F342" s="5" t="s">
        <v>5176</v>
      </c>
      <c r="G342" s="5" t="s">
        <v>5177</v>
      </c>
      <c r="H342" s="11" t="s">
        <v>5178</v>
      </c>
      <c r="I342" s="5"/>
      <c r="J342" s="5"/>
      <c r="K342" s="5"/>
      <c r="L342" s="5"/>
      <c r="M342" s="5"/>
      <c r="N342" s="5"/>
      <c r="O342" s="5"/>
      <c r="P342" s="11">
        <v>258.04790000000003</v>
      </c>
      <c r="Q342" s="5">
        <v>55.334499999999998</v>
      </c>
      <c r="R342" s="5">
        <f t="shared" si="5"/>
        <v>313.38240000000002</v>
      </c>
      <c r="S342" s="5" t="s">
        <v>1893</v>
      </c>
      <c r="T342" s="12">
        <v>339</v>
      </c>
      <c r="U342" s="255" t="s">
        <v>1894</v>
      </c>
      <c r="V342" s="232" t="s">
        <v>1887</v>
      </c>
      <c r="W342" s="232">
        <v>4911.8999999999996</v>
      </c>
      <c r="X342" s="232">
        <v>8418.6</v>
      </c>
      <c r="Y342" s="233" t="s">
        <v>49</v>
      </c>
      <c r="Z342" s="87" t="s">
        <v>50</v>
      </c>
      <c r="AA342" s="233" t="s">
        <v>51</v>
      </c>
      <c r="AB342" s="234"/>
      <c r="AC342" s="233">
        <v>1</v>
      </c>
      <c r="AD342" s="233" t="s">
        <v>226</v>
      </c>
      <c r="AE342" s="233"/>
      <c r="AF342" s="233"/>
      <c r="AG342" s="233" t="s">
        <v>1895</v>
      </c>
      <c r="AH342" s="233">
        <v>5</v>
      </c>
      <c r="AI342" s="233">
        <v>85</v>
      </c>
      <c r="AJ342" s="233" t="s">
        <v>432</v>
      </c>
      <c r="AK342" s="233">
        <v>100</v>
      </c>
      <c r="AL342" s="233"/>
      <c r="AM342" s="233" t="s">
        <v>1896</v>
      </c>
      <c r="AN342" s="233"/>
      <c r="AO342" s="233"/>
      <c r="AP342" s="234" t="s">
        <v>1897</v>
      </c>
      <c r="AQ342" s="234" t="s">
        <v>408</v>
      </c>
    </row>
    <row r="343" spans="1:43">
      <c r="A343" s="12">
        <v>340</v>
      </c>
      <c r="B343" s="21" t="s">
        <v>5179</v>
      </c>
      <c r="C343" s="5" t="s">
        <v>1899</v>
      </c>
      <c r="D343" s="5" t="s">
        <v>5180</v>
      </c>
      <c r="E343" s="5" t="s">
        <v>5181</v>
      </c>
      <c r="F343" s="5" t="s">
        <v>5182</v>
      </c>
      <c r="G343" s="5" t="s">
        <v>5183</v>
      </c>
      <c r="H343" s="11" t="s">
        <v>5184</v>
      </c>
      <c r="I343" s="5"/>
      <c r="J343" s="5"/>
      <c r="K343" s="5"/>
      <c r="L343" s="5"/>
      <c r="M343" s="5"/>
      <c r="N343" s="5"/>
      <c r="O343" s="5"/>
      <c r="P343" s="11">
        <v>258.0462</v>
      </c>
      <c r="Q343" s="5">
        <v>55.330300000000001</v>
      </c>
      <c r="R343" s="5">
        <f t="shared" si="5"/>
        <v>313.37650000000002</v>
      </c>
      <c r="S343" s="5" t="s">
        <v>1893</v>
      </c>
      <c r="T343" s="12">
        <v>340</v>
      </c>
      <c r="U343" s="255" t="s">
        <v>1905</v>
      </c>
      <c r="V343" s="232" t="s">
        <v>1899</v>
      </c>
      <c r="W343" s="232">
        <v>4911.8999999999996</v>
      </c>
      <c r="X343" s="232">
        <v>9129.7999999999993</v>
      </c>
      <c r="Y343" s="233" t="s">
        <v>49</v>
      </c>
      <c r="Z343" s="87" t="s">
        <v>50</v>
      </c>
      <c r="AA343" s="233" t="s">
        <v>51</v>
      </c>
      <c r="AB343" s="234"/>
      <c r="AC343" s="233">
        <v>1</v>
      </c>
      <c r="AD343" s="233" t="s">
        <v>226</v>
      </c>
      <c r="AE343" s="233"/>
      <c r="AF343" s="233"/>
      <c r="AG343" s="233" t="s">
        <v>1895</v>
      </c>
      <c r="AH343" s="233">
        <v>5</v>
      </c>
      <c r="AI343" s="233">
        <v>85</v>
      </c>
      <c r="AJ343" s="233" t="s">
        <v>432</v>
      </c>
      <c r="AK343" s="233">
        <v>100</v>
      </c>
      <c r="AL343" s="233"/>
      <c r="AM343" s="233" t="s">
        <v>1906</v>
      </c>
      <c r="AN343" s="233"/>
      <c r="AO343" s="233"/>
      <c r="AP343" s="234" t="s">
        <v>1897</v>
      </c>
      <c r="AQ343" s="234" t="s">
        <v>408</v>
      </c>
    </row>
    <row r="344" spans="1:43">
      <c r="A344" s="12">
        <v>341</v>
      </c>
      <c r="B344" s="21" t="s">
        <v>5185</v>
      </c>
      <c r="C344" s="5" t="s">
        <v>1908</v>
      </c>
      <c r="D344" s="5" t="s">
        <v>5186</v>
      </c>
      <c r="E344" s="5" t="s">
        <v>5187</v>
      </c>
      <c r="F344" s="5" t="s">
        <v>5188</v>
      </c>
      <c r="G344" s="5" t="s">
        <v>5189</v>
      </c>
      <c r="H344" s="11" t="s">
        <v>5190</v>
      </c>
      <c r="I344" s="5"/>
      <c r="J344" s="5"/>
      <c r="K344" s="5"/>
      <c r="L344" s="5"/>
      <c r="M344" s="5"/>
      <c r="N344" s="5"/>
      <c r="O344" s="5"/>
      <c r="P344" s="11">
        <v>258.03829999999999</v>
      </c>
      <c r="Q344" s="5">
        <v>54.676900000000003</v>
      </c>
      <c r="R344" s="5">
        <f t="shared" si="5"/>
        <v>312.71519999999998</v>
      </c>
      <c r="S344" s="5" t="s">
        <v>1914</v>
      </c>
      <c r="T344" s="12">
        <v>341</v>
      </c>
      <c r="U344" s="255" t="s">
        <v>1915</v>
      </c>
      <c r="V344" s="232" t="s">
        <v>1908</v>
      </c>
      <c r="W344" s="232">
        <v>5708.2</v>
      </c>
      <c r="X344" s="232">
        <v>11190</v>
      </c>
      <c r="Y344" s="233" t="s">
        <v>49</v>
      </c>
      <c r="Z344" s="87" t="s">
        <v>50</v>
      </c>
      <c r="AA344" s="233" t="s">
        <v>51</v>
      </c>
      <c r="AB344" s="234"/>
      <c r="AC344" s="233">
        <v>1</v>
      </c>
      <c r="AD344" s="233" t="s">
        <v>226</v>
      </c>
      <c r="AE344" s="233"/>
      <c r="AF344" s="233"/>
      <c r="AG344" s="233" t="s">
        <v>1895</v>
      </c>
      <c r="AH344" s="233">
        <v>5</v>
      </c>
      <c r="AI344" s="233">
        <v>85</v>
      </c>
      <c r="AJ344" s="233" t="s">
        <v>432</v>
      </c>
      <c r="AK344" s="233">
        <v>100</v>
      </c>
      <c r="AL344" s="233"/>
      <c r="AM344" s="233" t="s">
        <v>1896</v>
      </c>
      <c r="AN344" s="233"/>
      <c r="AO344" s="233"/>
      <c r="AP344" s="234" t="s">
        <v>1897</v>
      </c>
      <c r="AQ344" s="234" t="s">
        <v>408</v>
      </c>
    </row>
    <row r="345" spans="1:43">
      <c r="A345" s="12">
        <v>342</v>
      </c>
      <c r="B345" s="21" t="s">
        <v>5191</v>
      </c>
      <c r="C345" s="5" t="s">
        <v>1917</v>
      </c>
      <c r="D345" s="5" t="s">
        <v>5192</v>
      </c>
      <c r="E345" s="5" t="s">
        <v>5193</v>
      </c>
      <c r="F345" s="5" t="s">
        <v>5194</v>
      </c>
      <c r="G345" s="5" t="s">
        <v>5195</v>
      </c>
      <c r="H345" s="11" t="s">
        <v>5196</v>
      </c>
      <c r="I345" s="5"/>
      <c r="J345" s="5"/>
      <c r="K345" s="5"/>
      <c r="L345" s="5"/>
      <c r="M345" s="5"/>
      <c r="N345" s="5"/>
      <c r="O345" s="5"/>
      <c r="P345" s="11">
        <v>258.01519999999999</v>
      </c>
      <c r="Q345" s="5">
        <v>54.688600000000001</v>
      </c>
      <c r="R345" s="5">
        <f t="shared" si="5"/>
        <v>312.7038</v>
      </c>
      <c r="S345" s="5" t="s">
        <v>1914</v>
      </c>
      <c r="T345" s="12">
        <v>342</v>
      </c>
      <c r="U345" s="255" t="s">
        <v>1923</v>
      </c>
      <c r="V345" s="232" t="s">
        <v>1917</v>
      </c>
      <c r="W345" s="232">
        <v>5207.8</v>
      </c>
      <c r="X345" s="232">
        <v>11190</v>
      </c>
      <c r="Y345" s="233" t="s">
        <v>49</v>
      </c>
      <c r="Z345" s="87" t="s">
        <v>50</v>
      </c>
      <c r="AA345" s="233" t="s">
        <v>51</v>
      </c>
      <c r="AB345" s="234"/>
      <c r="AC345" s="233">
        <v>1</v>
      </c>
      <c r="AD345" s="233" t="s">
        <v>226</v>
      </c>
      <c r="AE345" s="233"/>
      <c r="AF345" s="233"/>
      <c r="AG345" s="233" t="s">
        <v>1895</v>
      </c>
      <c r="AH345" s="233">
        <v>5</v>
      </c>
      <c r="AI345" s="233">
        <v>85</v>
      </c>
      <c r="AJ345" s="233" t="s">
        <v>432</v>
      </c>
      <c r="AK345" s="233">
        <v>100</v>
      </c>
      <c r="AL345" s="233"/>
      <c r="AM345" s="233" t="s">
        <v>1906</v>
      </c>
      <c r="AN345" s="233"/>
      <c r="AO345" s="233"/>
      <c r="AP345" s="234" t="s">
        <v>1897</v>
      </c>
      <c r="AQ345" s="234" t="s">
        <v>408</v>
      </c>
    </row>
    <row r="346" spans="1:43">
      <c r="A346" s="12">
        <v>343</v>
      </c>
      <c r="B346" s="21" t="s">
        <v>5197</v>
      </c>
      <c r="C346" s="5" t="s">
        <v>1925</v>
      </c>
      <c r="D346" s="5" t="s">
        <v>5198</v>
      </c>
      <c r="E346" s="5" t="s">
        <v>5199</v>
      </c>
      <c r="F346" s="5" t="s">
        <v>5200</v>
      </c>
      <c r="G346" s="5" t="s">
        <v>5201</v>
      </c>
      <c r="H346" s="11" t="s">
        <v>5202</v>
      </c>
      <c r="I346" s="5"/>
      <c r="J346" s="5"/>
      <c r="K346" s="5"/>
      <c r="L346" s="5"/>
      <c r="M346" s="5"/>
      <c r="N346" s="5"/>
      <c r="O346" s="5"/>
      <c r="P346" s="11">
        <v>258.06540000000001</v>
      </c>
      <c r="Q346" s="5">
        <v>54.610900000000001</v>
      </c>
      <c r="R346" s="5">
        <f t="shared" si="5"/>
        <v>312.67630000000003</v>
      </c>
      <c r="S346" s="5" t="s">
        <v>1931</v>
      </c>
      <c r="T346" s="12">
        <v>343</v>
      </c>
      <c r="U346" s="255" t="s">
        <v>1932</v>
      </c>
      <c r="V346" s="232" t="s">
        <v>1925</v>
      </c>
      <c r="W346" s="232">
        <v>-546.1</v>
      </c>
      <c r="X346" s="232">
        <v>6285</v>
      </c>
      <c r="Y346" s="233" t="s">
        <v>49</v>
      </c>
      <c r="Z346" s="87" t="s">
        <v>50</v>
      </c>
      <c r="AA346" s="233" t="s">
        <v>51</v>
      </c>
      <c r="AB346" s="234"/>
      <c r="AC346" s="233">
        <v>1</v>
      </c>
      <c r="AD346" s="233" t="s">
        <v>226</v>
      </c>
      <c r="AE346" s="233"/>
      <c r="AF346" s="233"/>
      <c r="AG346" s="233" t="s">
        <v>1933</v>
      </c>
      <c r="AH346" s="233">
        <v>5</v>
      </c>
      <c r="AI346" s="233">
        <v>85</v>
      </c>
      <c r="AJ346" s="233" t="s">
        <v>432</v>
      </c>
      <c r="AK346" s="233">
        <v>100</v>
      </c>
      <c r="AL346" s="233"/>
      <c r="AM346" s="233" t="s">
        <v>1934</v>
      </c>
      <c r="AN346" s="233"/>
      <c r="AO346" s="233"/>
      <c r="AP346" s="234" t="s">
        <v>1897</v>
      </c>
      <c r="AQ346" s="234" t="s">
        <v>408</v>
      </c>
    </row>
    <row r="347" spans="1:43">
      <c r="A347" s="12">
        <v>344</v>
      </c>
      <c r="B347" s="21" t="s">
        <v>5203</v>
      </c>
      <c r="C347" s="5" t="s">
        <v>1936</v>
      </c>
      <c r="D347" s="5" t="s">
        <v>5204</v>
      </c>
      <c r="E347" s="5" t="s">
        <v>5205</v>
      </c>
      <c r="F347" s="5" t="s">
        <v>5206</v>
      </c>
      <c r="G347" s="5" t="s">
        <v>5207</v>
      </c>
      <c r="H347" s="11" t="s">
        <v>5208</v>
      </c>
      <c r="I347" s="5"/>
      <c r="J347" s="5"/>
      <c r="K347" s="5"/>
      <c r="L347" s="5"/>
      <c r="M347" s="5"/>
      <c r="N347" s="5"/>
      <c r="O347" s="5"/>
      <c r="P347" s="11">
        <v>258.09629999999999</v>
      </c>
      <c r="Q347" s="5">
        <v>54.626399999999997</v>
      </c>
      <c r="R347" s="5">
        <f t="shared" si="5"/>
        <v>312.72269999999997</v>
      </c>
      <c r="S347" s="5" t="s">
        <v>1931</v>
      </c>
      <c r="T347" s="12">
        <v>344</v>
      </c>
      <c r="U347" s="255" t="s">
        <v>1942</v>
      </c>
      <c r="V347" s="232" t="s">
        <v>1936</v>
      </c>
      <c r="W347" s="232">
        <v>-546.1</v>
      </c>
      <c r="X347" s="232">
        <v>6996.2</v>
      </c>
      <c r="Y347" s="233" t="s">
        <v>49</v>
      </c>
      <c r="Z347" s="87" t="s">
        <v>50</v>
      </c>
      <c r="AA347" s="233" t="s">
        <v>51</v>
      </c>
      <c r="AB347" s="234"/>
      <c r="AC347" s="233">
        <v>1</v>
      </c>
      <c r="AD347" s="233" t="s">
        <v>226</v>
      </c>
      <c r="AE347" s="233"/>
      <c r="AF347" s="233"/>
      <c r="AG347" s="233" t="s">
        <v>1933</v>
      </c>
      <c r="AH347" s="233">
        <v>5</v>
      </c>
      <c r="AI347" s="233">
        <v>85</v>
      </c>
      <c r="AJ347" s="233" t="s">
        <v>432</v>
      </c>
      <c r="AK347" s="233">
        <v>100</v>
      </c>
      <c r="AL347" s="233"/>
      <c r="AM347" s="233" t="s">
        <v>1943</v>
      </c>
      <c r="AN347" s="233"/>
      <c r="AO347" s="233"/>
      <c r="AP347" s="234" t="s">
        <v>1897</v>
      </c>
      <c r="AQ347" s="234" t="s">
        <v>408</v>
      </c>
    </row>
    <row r="348" spans="1:43">
      <c r="A348" s="12">
        <v>345</v>
      </c>
      <c r="B348" s="21" t="s">
        <v>5209</v>
      </c>
      <c r="C348" s="5" t="s">
        <v>1945</v>
      </c>
      <c r="D348" s="5" t="s">
        <v>5210</v>
      </c>
      <c r="E348" s="5" t="s">
        <v>5211</v>
      </c>
      <c r="F348" s="5" t="s">
        <v>5212</v>
      </c>
      <c r="G348" s="5" t="s">
        <v>5213</v>
      </c>
      <c r="H348" s="11" t="s">
        <v>5214</v>
      </c>
      <c r="I348" s="5"/>
      <c r="J348" s="5"/>
      <c r="K348" s="5"/>
      <c r="L348" s="5"/>
      <c r="M348" s="5"/>
      <c r="N348" s="5"/>
      <c r="O348" s="5"/>
      <c r="P348" s="11">
        <v>258.02890000000002</v>
      </c>
      <c r="Q348" s="5">
        <v>54.688400000000001</v>
      </c>
      <c r="R348" s="5">
        <f t="shared" si="5"/>
        <v>312.71730000000002</v>
      </c>
      <c r="S348" s="5" t="s">
        <v>452</v>
      </c>
      <c r="T348" s="12">
        <v>345</v>
      </c>
      <c r="U348" s="255" t="s">
        <v>1951</v>
      </c>
      <c r="V348" s="232" t="s">
        <v>1945</v>
      </c>
      <c r="W348" s="232">
        <v>-432</v>
      </c>
      <c r="X348" s="232">
        <v>10380.6</v>
      </c>
      <c r="Y348" s="233" t="s">
        <v>49</v>
      </c>
      <c r="Z348" s="87" t="s">
        <v>50</v>
      </c>
      <c r="AA348" s="233" t="s">
        <v>51</v>
      </c>
      <c r="AB348" s="234"/>
      <c r="AC348" s="233">
        <v>1</v>
      </c>
      <c r="AD348" s="233" t="s">
        <v>226</v>
      </c>
      <c r="AE348" s="233"/>
      <c r="AF348" s="233"/>
      <c r="AG348" s="233" t="s">
        <v>1933</v>
      </c>
      <c r="AH348" s="233">
        <v>5</v>
      </c>
      <c r="AI348" s="233">
        <v>85</v>
      </c>
      <c r="AJ348" s="233" t="s">
        <v>432</v>
      </c>
      <c r="AK348" s="233">
        <v>100</v>
      </c>
      <c r="AL348" s="233"/>
      <c r="AM348" s="233" t="s">
        <v>1934</v>
      </c>
      <c r="AN348" s="233"/>
      <c r="AO348" s="233"/>
      <c r="AP348" s="234" t="s">
        <v>1897</v>
      </c>
      <c r="AQ348" s="234" t="s">
        <v>408</v>
      </c>
    </row>
    <row r="349" spans="1:43">
      <c r="A349" s="12">
        <v>346</v>
      </c>
      <c r="B349" s="21" t="s">
        <v>5215</v>
      </c>
      <c r="C349" s="5" t="s">
        <v>1953</v>
      </c>
      <c r="D349" s="5" t="s">
        <v>5216</v>
      </c>
      <c r="E349" s="5" t="s">
        <v>5217</v>
      </c>
      <c r="F349" s="5" t="s">
        <v>5218</v>
      </c>
      <c r="G349" s="5" t="s">
        <v>5219</v>
      </c>
      <c r="H349" s="11" t="s">
        <v>5220</v>
      </c>
      <c r="I349" s="5"/>
      <c r="J349" s="5"/>
      <c r="K349" s="5"/>
      <c r="L349" s="5"/>
      <c r="M349" s="5"/>
      <c r="N349" s="5"/>
      <c r="O349" s="5"/>
      <c r="P349" s="11">
        <v>258.01139999999998</v>
      </c>
      <c r="Q349" s="5">
        <v>54.714599999999997</v>
      </c>
      <c r="R349" s="5">
        <f t="shared" si="5"/>
        <v>312.726</v>
      </c>
      <c r="S349" s="5" t="s">
        <v>452</v>
      </c>
      <c r="T349" s="12">
        <v>346</v>
      </c>
      <c r="U349" s="255" t="s">
        <v>1959</v>
      </c>
      <c r="V349" s="232" t="s">
        <v>1953</v>
      </c>
      <c r="W349" s="232">
        <v>-932.4</v>
      </c>
      <c r="X349" s="232">
        <v>10380.6</v>
      </c>
      <c r="Y349" s="233" t="s">
        <v>49</v>
      </c>
      <c r="Z349" s="87" t="s">
        <v>50</v>
      </c>
      <c r="AA349" s="233" t="s">
        <v>51</v>
      </c>
      <c r="AB349" s="234"/>
      <c r="AC349" s="233">
        <v>1</v>
      </c>
      <c r="AD349" s="233" t="s">
        <v>226</v>
      </c>
      <c r="AE349" s="233"/>
      <c r="AF349" s="233"/>
      <c r="AG349" s="233" t="s">
        <v>1933</v>
      </c>
      <c r="AH349" s="233">
        <v>5</v>
      </c>
      <c r="AI349" s="233">
        <v>85</v>
      </c>
      <c r="AJ349" s="233" t="s">
        <v>432</v>
      </c>
      <c r="AK349" s="233">
        <v>100</v>
      </c>
      <c r="AL349" s="233"/>
      <c r="AM349" s="233" t="s">
        <v>1943</v>
      </c>
      <c r="AN349" s="233"/>
      <c r="AO349" s="233"/>
      <c r="AP349" s="234" t="s">
        <v>1897</v>
      </c>
      <c r="AQ349" s="234" t="s">
        <v>408</v>
      </c>
    </row>
    <row r="350" spans="1:43">
      <c r="A350" s="12">
        <v>347</v>
      </c>
      <c r="B350" s="21" t="s">
        <v>5221</v>
      </c>
      <c r="C350" s="5" t="s">
        <v>1961</v>
      </c>
      <c r="D350" s="5" t="s">
        <v>5222</v>
      </c>
      <c r="E350" s="5" t="s">
        <v>5223</v>
      </c>
      <c r="F350" s="5" t="s">
        <v>5224</v>
      </c>
      <c r="G350" s="5" t="s">
        <v>5225</v>
      </c>
      <c r="H350" s="11" t="s">
        <v>5226</v>
      </c>
      <c r="I350" s="5"/>
      <c r="J350" s="5"/>
      <c r="K350" s="5"/>
      <c r="L350" s="5"/>
      <c r="M350" s="5"/>
      <c r="N350" s="5"/>
      <c r="O350" s="5"/>
      <c r="P350" s="11">
        <v>258.00380000000001</v>
      </c>
      <c r="Q350" s="5">
        <v>54.685400000000001</v>
      </c>
      <c r="R350" s="5">
        <f t="shared" si="5"/>
        <v>312.68920000000003</v>
      </c>
      <c r="S350" s="5" t="s">
        <v>1967</v>
      </c>
      <c r="T350" s="12">
        <v>347</v>
      </c>
      <c r="U350" s="255" t="s">
        <v>1968</v>
      </c>
      <c r="V350" s="232" t="s">
        <v>1961</v>
      </c>
      <c r="W350" s="232">
        <v>-1903.4</v>
      </c>
      <c r="X350" s="232">
        <v>6996.2</v>
      </c>
      <c r="Y350" s="233" t="s">
        <v>49</v>
      </c>
      <c r="Z350" s="87" t="s">
        <v>50</v>
      </c>
      <c r="AA350" s="233" t="s">
        <v>51</v>
      </c>
      <c r="AB350" s="234"/>
      <c r="AC350" s="233">
        <v>1</v>
      </c>
      <c r="AD350" s="233" t="s">
        <v>226</v>
      </c>
      <c r="AE350" s="233"/>
      <c r="AF350" s="233"/>
      <c r="AG350" s="233" t="s">
        <v>1969</v>
      </c>
      <c r="AH350" s="233">
        <v>5</v>
      </c>
      <c r="AI350" s="233">
        <v>85</v>
      </c>
      <c r="AJ350" s="233" t="s">
        <v>432</v>
      </c>
      <c r="AK350" s="233">
        <v>100</v>
      </c>
      <c r="AL350" s="233"/>
      <c r="AM350" s="233" t="s">
        <v>1970</v>
      </c>
      <c r="AN350" s="233"/>
      <c r="AO350" s="233"/>
      <c r="AP350" s="234" t="s">
        <v>1897</v>
      </c>
      <c r="AQ350" s="234" t="s">
        <v>408</v>
      </c>
    </row>
    <row r="351" spans="1:43">
      <c r="A351" s="12">
        <v>348</v>
      </c>
      <c r="B351" s="21" t="s">
        <v>5227</v>
      </c>
      <c r="C351" s="5" t="s">
        <v>1972</v>
      </c>
      <c r="D351" s="5" t="s">
        <v>5228</v>
      </c>
      <c r="E351" s="5" t="s">
        <v>5229</v>
      </c>
      <c r="F351" s="5" t="s">
        <v>5230</v>
      </c>
      <c r="G351" s="5" t="s">
        <v>5231</v>
      </c>
      <c r="H351" s="11" t="s">
        <v>5232</v>
      </c>
      <c r="I351" s="5"/>
      <c r="J351" s="5"/>
      <c r="K351" s="5"/>
      <c r="L351" s="5"/>
      <c r="M351" s="5"/>
      <c r="N351" s="5"/>
      <c r="O351" s="5"/>
      <c r="P351" s="11">
        <v>257.99799999999999</v>
      </c>
      <c r="Q351" s="5">
        <v>54.683799999999998</v>
      </c>
      <c r="R351" s="5">
        <f t="shared" si="5"/>
        <v>312.68180000000001</v>
      </c>
      <c r="S351" s="5" t="s">
        <v>1967</v>
      </c>
      <c r="T351" s="12">
        <v>348</v>
      </c>
      <c r="U351" s="255" t="s">
        <v>1978</v>
      </c>
      <c r="V351" s="232" t="s">
        <v>1972</v>
      </c>
      <c r="W351" s="232">
        <v>-1903.4</v>
      </c>
      <c r="X351" s="232">
        <v>7707.4</v>
      </c>
      <c r="Y351" s="233" t="s">
        <v>49</v>
      </c>
      <c r="Z351" s="87" t="s">
        <v>50</v>
      </c>
      <c r="AA351" s="233" t="s">
        <v>51</v>
      </c>
      <c r="AB351" s="234"/>
      <c r="AC351" s="233">
        <v>1</v>
      </c>
      <c r="AD351" s="233" t="s">
        <v>226</v>
      </c>
      <c r="AE351" s="233"/>
      <c r="AF351" s="233"/>
      <c r="AG351" s="233" t="s">
        <v>1969</v>
      </c>
      <c r="AH351" s="233">
        <v>5</v>
      </c>
      <c r="AI351" s="233">
        <v>85</v>
      </c>
      <c r="AJ351" s="233" t="s">
        <v>432</v>
      </c>
      <c r="AK351" s="233">
        <v>100</v>
      </c>
      <c r="AL351" s="233"/>
      <c r="AM351" s="233" t="s">
        <v>1979</v>
      </c>
      <c r="AN351" s="233"/>
      <c r="AO351" s="233"/>
      <c r="AP351" s="234" t="s">
        <v>1897</v>
      </c>
      <c r="AQ351" s="234" t="s">
        <v>408</v>
      </c>
    </row>
    <row r="352" spans="1:43">
      <c r="A352" s="12">
        <v>349</v>
      </c>
      <c r="B352" s="21" t="s">
        <v>5233</v>
      </c>
      <c r="C352" s="5" t="s">
        <v>1981</v>
      </c>
      <c r="D352" s="5" t="s">
        <v>5234</v>
      </c>
      <c r="E352" s="5" t="s">
        <v>5235</v>
      </c>
      <c r="F352" s="5" t="s">
        <v>5236</v>
      </c>
      <c r="G352" s="5" t="s">
        <v>5237</v>
      </c>
      <c r="H352" s="11" t="s">
        <v>5238</v>
      </c>
      <c r="I352" s="5"/>
      <c r="J352" s="5"/>
      <c r="K352" s="5"/>
      <c r="L352" s="5"/>
      <c r="M352" s="5"/>
      <c r="N352" s="5"/>
      <c r="O352" s="5"/>
      <c r="P352" s="11">
        <v>258.00200000000001</v>
      </c>
      <c r="Q352" s="5">
        <v>54.530500000000004</v>
      </c>
      <c r="R352" s="5">
        <f t="shared" si="5"/>
        <v>312.53250000000003</v>
      </c>
      <c r="S352" s="5" t="s">
        <v>465</v>
      </c>
      <c r="T352" s="12">
        <v>349</v>
      </c>
      <c r="U352" s="255" t="s">
        <v>1987</v>
      </c>
      <c r="V352" s="232" t="s">
        <v>1981</v>
      </c>
      <c r="W352" s="232">
        <v>-1114.3</v>
      </c>
      <c r="X352" s="232">
        <v>11190</v>
      </c>
      <c r="Y352" s="233" t="s">
        <v>49</v>
      </c>
      <c r="Z352" s="87" t="s">
        <v>50</v>
      </c>
      <c r="AA352" s="233" t="s">
        <v>51</v>
      </c>
      <c r="AB352" s="234"/>
      <c r="AC352" s="233">
        <v>1</v>
      </c>
      <c r="AD352" s="233" t="s">
        <v>226</v>
      </c>
      <c r="AE352" s="233"/>
      <c r="AF352" s="233"/>
      <c r="AG352" s="233" t="s">
        <v>1969</v>
      </c>
      <c r="AH352" s="233">
        <v>5</v>
      </c>
      <c r="AI352" s="233">
        <v>85</v>
      </c>
      <c r="AJ352" s="233" t="s">
        <v>432</v>
      </c>
      <c r="AK352" s="233">
        <v>100</v>
      </c>
      <c r="AL352" s="233"/>
      <c r="AM352" s="233" t="s">
        <v>1970</v>
      </c>
      <c r="AN352" s="233"/>
      <c r="AO352" s="233"/>
      <c r="AP352" s="234" t="s">
        <v>1897</v>
      </c>
      <c r="AQ352" s="234" t="s">
        <v>408</v>
      </c>
    </row>
    <row r="353" spans="1:43">
      <c r="A353" s="12">
        <v>350</v>
      </c>
      <c r="B353" s="21" t="s">
        <v>5239</v>
      </c>
      <c r="C353" s="5" t="s">
        <v>1989</v>
      </c>
      <c r="D353" s="5" t="s">
        <v>5240</v>
      </c>
      <c r="E353" s="5" t="s">
        <v>5241</v>
      </c>
      <c r="F353" s="5" t="s">
        <v>5242</v>
      </c>
      <c r="G353" s="5" t="s">
        <v>5243</v>
      </c>
      <c r="H353" s="11" t="s">
        <v>5244</v>
      </c>
      <c r="I353" s="5"/>
      <c r="J353" s="5"/>
      <c r="K353" s="5"/>
      <c r="L353" s="5"/>
      <c r="M353" s="5"/>
      <c r="N353" s="5"/>
      <c r="O353" s="5"/>
      <c r="P353" s="11">
        <v>258.00009999999997</v>
      </c>
      <c r="Q353" s="5">
        <v>54.4923</v>
      </c>
      <c r="R353" s="5">
        <f t="shared" si="5"/>
        <v>312.49239999999998</v>
      </c>
      <c r="S353" s="5" t="s">
        <v>465</v>
      </c>
      <c r="T353" s="12">
        <v>350</v>
      </c>
      <c r="U353" s="255" t="s">
        <v>1995</v>
      </c>
      <c r="V353" s="232" t="s">
        <v>1989</v>
      </c>
      <c r="W353" s="232">
        <v>-1614.7</v>
      </c>
      <c r="X353" s="232">
        <v>11190</v>
      </c>
      <c r="Y353" s="233" t="s">
        <v>49</v>
      </c>
      <c r="Z353" s="87" t="s">
        <v>50</v>
      </c>
      <c r="AA353" s="233" t="s">
        <v>51</v>
      </c>
      <c r="AB353" s="234"/>
      <c r="AC353" s="233">
        <v>1</v>
      </c>
      <c r="AD353" s="233" t="s">
        <v>226</v>
      </c>
      <c r="AE353" s="233"/>
      <c r="AF353" s="233"/>
      <c r="AG353" s="233" t="s">
        <v>1969</v>
      </c>
      <c r="AH353" s="233">
        <v>5</v>
      </c>
      <c r="AI353" s="233">
        <v>85</v>
      </c>
      <c r="AJ353" s="233" t="s">
        <v>432</v>
      </c>
      <c r="AK353" s="233">
        <v>100</v>
      </c>
      <c r="AL353" s="233"/>
      <c r="AM353" s="233" t="s">
        <v>1979</v>
      </c>
      <c r="AN353" s="233"/>
      <c r="AO353" s="233"/>
      <c r="AP353" s="234" t="s">
        <v>1897</v>
      </c>
      <c r="AQ353" s="234" t="s">
        <v>408</v>
      </c>
    </row>
    <row r="354" spans="1:43">
      <c r="A354" s="12">
        <v>351</v>
      </c>
      <c r="B354" s="21" t="s">
        <v>5245</v>
      </c>
      <c r="C354" s="5" t="s">
        <v>1997</v>
      </c>
      <c r="D354" s="5" t="s">
        <v>5246</v>
      </c>
      <c r="E354" s="5" t="s">
        <v>5247</v>
      </c>
      <c r="F354" s="5" t="s">
        <v>5248</v>
      </c>
      <c r="G354" s="5" t="s">
        <v>5249</v>
      </c>
      <c r="H354" s="11" t="s">
        <v>5250</v>
      </c>
      <c r="I354" s="5"/>
      <c r="J354" s="5"/>
      <c r="K354" s="5"/>
      <c r="L354" s="5"/>
      <c r="M354" s="5"/>
      <c r="N354" s="5"/>
      <c r="O354" s="5"/>
      <c r="P354" s="11">
        <v>258.02510000000001</v>
      </c>
      <c r="Q354" s="5">
        <v>54.689900000000002</v>
      </c>
      <c r="R354" s="5">
        <f t="shared" si="5"/>
        <v>312.71500000000003</v>
      </c>
      <c r="S354" s="5" t="s">
        <v>2003</v>
      </c>
      <c r="T354" s="12">
        <v>351</v>
      </c>
      <c r="U354" s="255" t="s">
        <v>2004</v>
      </c>
      <c r="V354" s="232" t="s">
        <v>1997</v>
      </c>
      <c r="W354" s="232">
        <v>-1903.4</v>
      </c>
      <c r="X354" s="232">
        <v>4862.6000000000004</v>
      </c>
      <c r="Y354" s="233" t="s">
        <v>49</v>
      </c>
      <c r="Z354" s="87" t="s">
        <v>50</v>
      </c>
      <c r="AA354" s="233" t="s">
        <v>51</v>
      </c>
      <c r="AB354" s="234"/>
      <c r="AC354" s="233">
        <v>1</v>
      </c>
      <c r="AD354" s="233" t="s">
        <v>226</v>
      </c>
      <c r="AE354" s="233"/>
      <c r="AF354" s="233"/>
      <c r="AG354" s="233" t="s">
        <v>2005</v>
      </c>
      <c r="AH354" s="233">
        <v>5</v>
      </c>
      <c r="AI354" s="233">
        <v>85</v>
      </c>
      <c r="AJ354" s="233" t="s">
        <v>432</v>
      </c>
      <c r="AK354" s="233">
        <v>100</v>
      </c>
      <c r="AL354" s="233"/>
      <c r="AM354" s="233" t="s">
        <v>2006</v>
      </c>
      <c r="AN354" s="233"/>
      <c r="AO354" s="233"/>
      <c r="AP354" s="234" t="s">
        <v>1897</v>
      </c>
      <c r="AQ354" s="234" t="s">
        <v>408</v>
      </c>
    </row>
    <row r="355" spans="1:43">
      <c r="A355" s="12">
        <v>352</v>
      </c>
      <c r="B355" s="21" t="s">
        <v>5251</v>
      </c>
      <c r="C355" s="5" t="s">
        <v>2008</v>
      </c>
      <c r="D355" s="5" t="s">
        <v>5252</v>
      </c>
      <c r="E355" s="5" t="s">
        <v>5253</v>
      </c>
      <c r="F355" s="5" t="s">
        <v>5254</v>
      </c>
      <c r="G355" s="5" t="s">
        <v>5255</v>
      </c>
      <c r="H355" s="11" t="s">
        <v>5256</v>
      </c>
      <c r="I355" s="5"/>
      <c r="J355" s="5"/>
      <c r="K355" s="5"/>
      <c r="L355" s="5"/>
      <c r="M355" s="5"/>
      <c r="N355" s="5"/>
      <c r="O355" s="5"/>
      <c r="P355" s="11">
        <v>258.02280000000002</v>
      </c>
      <c r="Q355" s="5">
        <v>54.689900000000002</v>
      </c>
      <c r="R355" s="5">
        <f t="shared" si="5"/>
        <v>312.71270000000004</v>
      </c>
      <c r="S355" s="5" t="s">
        <v>2003</v>
      </c>
      <c r="T355" s="12">
        <v>352</v>
      </c>
      <c r="U355" s="255" t="s">
        <v>2014</v>
      </c>
      <c r="V355" s="232" t="s">
        <v>2008</v>
      </c>
      <c r="W355" s="232">
        <v>-1903.4</v>
      </c>
      <c r="X355" s="232">
        <v>5573.8</v>
      </c>
      <c r="Y355" s="233" t="s">
        <v>49</v>
      </c>
      <c r="Z355" s="87" t="s">
        <v>50</v>
      </c>
      <c r="AA355" s="233" t="s">
        <v>51</v>
      </c>
      <c r="AB355" s="234"/>
      <c r="AC355" s="233">
        <v>1</v>
      </c>
      <c r="AD355" s="233" t="s">
        <v>226</v>
      </c>
      <c r="AE355" s="233"/>
      <c r="AF355" s="233"/>
      <c r="AG355" s="233" t="s">
        <v>2005</v>
      </c>
      <c r="AH355" s="233">
        <v>5</v>
      </c>
      <c r="AI355" s="233">
        <v>85</v>
      </c>
      <c r="AJ355" s="233" t="s">
        <v>432</v>
      </c>
      <c r="AK355" s="233">
        <v>100</v>
      </c>
      <c r="AL355" s="233"/>
      <c r="AM355" s="233" t="s">
        <v>2015</v>
      </c>
      <c r="AN355" s="233"/>
      <c r="AO355" s="233"/>
      <c r="AP355" s="234" t="s">
        <v>1897</v>
      </c>
      <c r="AQ355" s="234" t="s">
        <v>408</v>
      </c>
    </row>
    <row r="356" spans="1:43">
      <c r="A356" s="12">
        <v>353</v>
      </c>
      <c r="B356" s="21" t="s">
        <v>5257</v>
      </c>
      <c r="C356" s="5" t="s">
        <v>2017</v>
      </c>
      <c r="D356" s="5" t="s">
        <v>5258</v>
      </c>
      <c r="E356" s="5" t="s">
        <v>5259</v>
      </c>
      <c r="F356" s="5" t="s">
        <v>5260</v>
      </c>
      <c r="G356" s="5" t="s">
        <v>5261</v>
      </c>
      <c r="H356" s="11" t="s">
        <v>5262</v>
      </c>
      <c r="I356" s="5"/>
      <c r="J356" s="5"/>
      <c r="K356" s="5"/>
      <c r="L356" s="5"/>
      <c r="M356" s="5"/>
      <c r="N356" s="5"/>
      <c r="O356" s="5"/>
      <c r="P356" s="11">
        <v>258.0478</v>
      </c>
      <c r="Q356" s="5">
        <v>54.641500000000001</v>
      </c>
      <c r="R356" s="5">
        <f t="shared" si="5"/>
        <v>312.6893</v>
      </c>
      <c r="S356" s="5" t="s">
        <v>1893</v>
      </c>
      <c r="T356" s="12">
        <v>353</v>
      </c>
      <c r="U356" s="255" t="s">
        <v>2023</v>
      </c>
      <c r="V356" s="232" t="s">
        <v>2017</v>
      </c>
      <c r="W356" s="232">
        <v>-1796.6</v>
      </c>
      <c r="X356" s="232">
        <v>10380.6</v>
      </c>
      <c r="Y356" s="233" t="s">
        <v>49</v>
      </c>
      <c r="Z356" s="87" t="s">
        <v>50</v>
      </c>
      <c r="AA356" s="233" t="s">
        <v>51</v>
      </c>
      <c r="AB356" s="234"/>
      <c r="AC356" s="233">
        <v>1</v>
      </c>
      <c r="AD356" s="233" t="s">
        <v>226</v>
      </c>
      <c r="AE356" s="233"/>
      <c r="AF356" s="233"/>
      <c r="AG356" s="233" t="s">
        <v>2005</v>
      </c>
      <c r="AH356" s="233">
        <v>5</v>
      </c>
      <c r="AI356" s="233">
        <v>85</v>
      </c>
      <c r="AJ356" s="233" t="s">
        <v>432</v>
      </c>
      <c r="AK356" s="233">
        <v>100</v>
      </c>
      <c r="AL356" s="233"/>
      <c r="AM356" s="233" t="s">
        <v>2006</v>
      </c>
      <c r="AN356" s="233"/>
      <c r="AO356" s="233"/>
      <c r="AP356" s="234" t="s">
        <v>1897</v>
      </c>
      <c r="AQ356" s="234" t="s">
        <v>408</v>
      </c>
    </row>
    <row r="357" spans="1:43">
      <c r="A357" s="12">
        <v>354</v>
      </c>
      <c r="B357" s="21" t="s">
        <v>5263</v>
      </c>
      <c r="C357" s="5" t="s">
        <v>2025</v>
      </c>
      <c r="D357" s="5" t="s">
        <v>5264</v>
      </c>
      <c r="E357" s="5" t="s">
        <v>5265</v>
      </c>
      <c r="F357" s="5" t="s">
        <v>5266</v>
      </c>
      <c r="G357" s="5" t="s">
        <v>5267</v>
      </c>
      <c r="H357" s="11" t="s">
        <v>5268</v>
      </c>
      <c r="I357" s="5"/>
      <c r="J357" s="5"/>
      <c r="K357" s="5"/>
      <c r="L357" s="5"/>
      <c r="M357" s="5"/>
      <c r="N357" s="5"/>
      <c r="O357" s="5"/>
      <c r="P357" s="11">
        <v>258.04790000000003</v>
      </c>
      <c r="Q357" s="5">
        <v>54.636600000000001</v>
      </c>
      <c r="R357" s="5">
        <f t="shared" si="5"/>
        <v>312.68450000000001</v>
      </c>
      <c r="S357" s="5" t="s">
        <v>1893</v>
      </c>
      <c r="T357" s="12">
        <v>354</v>
      </c>
      <c r="U357" s="255" t="s">
        <v>2031</v>
      </c>
      <c r="V357" s="232" t="s">
        <v>2025</v>
      </c>
      <c r="W357" s="232">
        <v>-2297</v>
      </c>
      <c r="X357" s="232">
        <v>10380.6</v>
      </c>
      <c r="Y357" s="233" t="s">
        <v>49</v>
      </c>
      <c r="Z357" s="87" t="s">
        <v>50</v>
      </c>
      <c r="AA357" s="233" t="s">
        <v>51</v>
      </c>
      <c r="AB357" s="234"/>
      <c r="AC357" s="233">
        <v>1</v>
      </c>
      <c r="AD357" s="233" t="s">
        <v>226</v>
      </c>
      <c r="AE357" s="233"/>
      <c r="AF357" s="233"/>
      <c r="AG357" s="233" t="s">
        <v>2005</v>
      </c>
      <c r="AH357" s="233">
        <v>5</v>
      </c>
      <c r="AI357" s="233">
        <v>85</v>
      </c>
      <c r="AJ357" s="233" t="s">
        <v>432</v>
      </c>
      <c r="AK357" s="233">
        <v>100</v>
      </c>
      <c r="AL357" s="233"/>
      <c r="AM357" s="233" t="s">
        <v>2015</v>
      </c>
      <c r="AN357" s="233"/>
      <c r="AO357" s="233"/>
      <c r="AP357" s="234" t="s">
        <v>1897</v>
      </c>
      <c r="AQ357" s="234" t="s">
        <v>408</v>
      </c>
    </row>
    <row r="358" spans="1:43">
      <c r="A358" s="12">
        <v>355</v>
      </c>
      <c r="B358" s="21" t="s">
        <v>5269</v>
      </c>
      <c r="C358" s="5" t="s">
        <v>2033</v>
      </c>
      <c r="D358" s="5" t="s">
        <v>5270</v>
      </c>
      <c r="E358" s="5" t="s">
        <v>5271</v>
      </c>
      <c r="F358" s="5" t="s">
        <v>5272</v>
      </c>
      <c r="G358" s="5" t="s">
        <v>5273</v>
      </c>
      <c r="H358" s="11" t="s">
        <v>5274</v>
      </c>
      <c r="I358" s="5"/>
      <c r="J358" s="5"/>
      <c r="K358" s="5"/>
      <c r="L358" s="5"/>
      <c r="M358" s="5"/>
      <c r="N358" s="5"/>
      <c r="O358" s="5"/>
      <c r="P358" s="11">
        <v>258.05700000000002</v>
      </c>
      <c r="Q358" s="5">
        <v>54.660600000000002</v>
      </c>
      <c r="R358" s="5">
        <f t="shared" si="5"/>
        <v>312.7176</v>
      </c>
      <c r="S358" s="5" t="s">
        <v>1827</v>
      </c>
      <c r="T358" s="12">
        <v>355</v>
      </c>
      <c r="U358" s="255" t="s">
        <v>2039</v>
      </c>
      <c r="V358" s="232" t="s">
        <v>2033</v>
      </c>
      <c r="W358" s="232">
        <v>-3275.1</v>
      </c>
      <c r="X358" s="232">
        <v>8418.6</v>
      </c>
      <c r="Y358" s="233" t="s">
        <v>49</v>
      </c>
      <c r="Z358" s="87" t="s">
        <v>50</v>
      </c>
      <c r="AA358" s="233" t="s">
        <v>51</v>
      </c>
      <c r="AB358" s="234"/>
      <c r="AC358" s="233">
        <v>1</v>
      </c>
      <c r="AD358" s="233" t="s">
        <v>226</v>
      </c>
      <c r="AE358" s="233"/>
      <c r="AF358" s="233"/>
      <c r="AG358" s="233" t="s">
        <v>2040</v>
      </c>
      <c r="AH358" s="233">
        <v>5</v>
      </c>
      <c r="AI358" s="233">
        <v>85</v>
      </c>
      <c r="AJ358" s="233" t="s">
        <v>432</v>
      </c>
      <c r="AK358" s="233">
        <v>100</v>
      </c>
      <c r="AL358" s="233"/>
      <c r="AM358" s="233" t="s">
        <v>2041</v>
      </c>
      <c r="AN358" s="233"/>
      <c r="AO358" s="233"/>
      <c r="AP358" s="234" t="s">
        <v>1897</v>
      </c>
      <c r="AQ358" s="234" t="s">
        <v>408</v>
      </c>
    </row>
    <row r="359" spans="1:43">
      <c r="A359" s="12">
        <v>356</v>
      </c>
      <c r="B359" s="21" t="s">
        <v>5275</v>
      </c>
      <c r="C359" s="5" t="s">
        <v>2043</v>
      </c>
      <c r="D359" s="5" t="s">
        <v>5276</v>
      </c>
      <c r="E359" s="5" t="s">
        <v>5277</v>
      </c>
      <c r="F359" s="5" t="s">
        <v>5278</v>
      </c>
      <c r="G359" s="5" t="s">
        <v>5279</v>
      </c>
      <c r="H359" s="11" t="s">
        <v>5280</v>
      </c>
      <c r="I359" s="5"/>
      <c r="J359" s="5"/>
      <c r="K359" s="5"/>
      <c r="L359" s="5"/>
      <c r="M359" s="5"/>
      <c r="N359" s="5"/>
      <c r="O359" s="5"/>
      <c r="P359" s="11">
        <v>258.02789999999999</v>
      </c>
      <c r="Q359" s="5">
        <v>54.6631</v>
      </c>
      <c r="R359" s="5">
        <f t="shared" si="5"/>
        <v>312.69099999999997</v>
      </c>
      <c r="S359" s="5" t="s">
        <v>1827</v>
      </c>
      <c r="T359" s="12">
        <v>356</v>
      </c>
      <c r="U359" s="255" t="s">
        <v>2049</v>
      </c>
      <c r="V359" s="232" t="s">
        <v>2043</v>
      </c>
      <c r="W359" s="232">
        <v>-3275.1</v>
      </c>
      <c r="X359" s="232">
        <v>9129.7999999999993</v>
      </c>
      <c r="Y359" s="233" t="s">
        <v>49</v>
      </c>
      <c r="Z359" s="87" t="s">
        <v>50</v>
      </c>
      <c r="AA359" s="233" t="s">
        <v>51</v>
      </c>
      <c r="AB359" s="234"/>
      <c r="AC359" s="233">
        <v>1</v>
      </c>
      <c r="AD359" s="233" t="s">
        <v>226</v>
      </c>
      <c r="AE359" s="233"/>
      <c r="AF359" s="233"/>
      <c r="AG359" s="233" t="s">
        <v>2040</v>
      </c>
      <c r="AH359" s="233">
        <v>5</v>
      </c>
      <c r="AI359" s="233">
        <v>85</v>
      </c>
      <c r="AJ359" s="233" t="s">
        <v>432</v>
      </c>
      <c r="AK359" s="233">
        <v>100</v>
      </c>
      <c r="AL359" s="233"/>
      <c r="AM359" s="233" t="s">
        <v>2050</v>
      </c>
      <c r="AN359" s="233"/>
      <c r="AO359" s="233"/>
      <c r="AP359" s="234" t="s">
        <v>1897</v>
      </c>
      <c r="AQ359" s="234" t="s">
        <v>408</v>
      </c>
    </row>
    <row r="360" spans="1:43">
      <c r="A360" s="12">
        <v>357</v>
      </c>
      <c r="B360" s="21" t="s">
        <v>5281</v>
      </c>
      <c r="C360" s="5" t="s">
        <v>2052</v>
      </c>
      <c r="D360" s="5" t="s">
        <v>5282</v>
      </c>
      <c r="E360" s="5" t="s">
        <v>5283</v>
      </c>
      <c r="F360" s="5" t="s">
        <v>5284</v>
      </c>
      <c r="G360" s="5" t="s">
        <v>5285</v>
      </c>
      <c r="H360" s="11" t="s">
        <v>5286</v>
      </c>
      <c r="I360" s="5"/>
      <c r="J360" s="5"/>
      <c r="K360" s="5"/>
      <c r="L360" s="5"/>
      <c r="M360" s="5"/>
      <c r="N360" s="5"/>
      <c r="O360" s="5"/>
      <c r="P360" s="11">
        <v>258.07510000000002</v>
      </c>
      <c r="Q360" s="5">
        <v>54.652700000000003</v>
      </c>
      <c r="R360" s="5">
        <f t="shared" si="5"/>
        <v>312.7278</v>
      </c>
      <c r="S360" s="5" t="s">
        <v>2058</v>
      </c>
      <c r="T360" s="12">
        <v>357</v>
      </c>
      <c r="U360" s="255" t="s">
        <v>2059</v>
      </c>
      <c r="V360" s="232" t="s">
        <v>2052</v>
      </c>
      <c r="W360" s="232">
        <v>-2478.8000000000002</v>
      </c>
      <c r="X360" s="232">
        <v>11190</v>
      </c>
      <c r="Y360" s="233" t="s">
        <v>49</v>
      </c>
      <c r="Z360" s="87" t="s">
        <v>50</v>
      </c>
      <c r="AA360" s="233" t="s">
        <v>51</v>
      </c>
      <c r="AB360" s="234"/>
      <c r="AC360" s="233">
        <v>1</v>
      </c>
      <c r="AD360" s="233" t="s">
        <v>226</v>
      </c>
      <c r="AE360" s="233"/>
      <c r="AF360" s="233"/>
      <c r="AG360" s="233" t="s">
        <v>2040</v>
      </c>
      <c r="AH360" s="233">
        <v>5</v>
      </c>
      <c r="AI360" s="233">
        <v>85</v>
      </c>
      <c r="AJ360" s="233" t="s">
        <v>432</v>
      </c>
      <c r="AK360" s="233">
        <v>100</v>
      </c>
      <c r="AL360" s="233"/>
      <c r="AM360" s="233" t="s">
        <v>2041</v>
      </c>
      <c r="AN360" s="233"/>
      <c r="AO360" s="233"/>
      <c r="AP360" s="234" t="s">
        <v>1897</v>
      </c>
      <c r="AQ360" s="234" t="s">
        <v>408</v>
      </c>
    </row>
    <row r="361" spans="1:43">
      <c r="A361" s="12">
        <v>358</v>
      </c>
      <c r="B361" s="21" t="s">
        <v>5287</v>
      </c>
      <c r="C361" s="5" t="s">
        <v>2061</v>
      </c>
      <c r="D361" s="5" t="s">
        <v>5288</v>
      </c>
      <c r="E361" s="5" t="s">
        <v>5289</v>
      </c>
      <c r="F361" s="5" t="s">
        <v>5290</v>
      </c>
      <c r="G361" s="5" t="s">
        <v>5291</v>
      </c>
      <c r="H361" s="11" t="s">
        <v>5292</v>
      </c>
      <c r="I361" s="5"/>
      <c r="J361" s="5"/>
      <c r="K361" s="5"/>
      <c r="L361" s="5"/>
      <c r="M361" s="5"/>
      <c r="N361" s="5"/>
      <c r="O361" s="5"/>
      <c r="P361" s="11">
        <v>258.07839999999999</v>
      </c>
      <c r="Q361" s="5">
        <v>54.698300000000003</v>
      </c>
      <c r="R361" s="5">
        <f t="shared" si="5"/>
        <v>312.77670000000001</v>
      </c>
      <c r="S361" s="5" t="s">
        <v>2058</v>
      </c>
      <c r="T361" s="12">
        <v>358</v>
      </c>
      <c r="U361" s="255" t="s">
        <v>2067</v>
      </c>
      <c r="V361" s="232" t="s">
        <v>2061</v>
      </c>
      <c r="W361" s="232">
        <v>-2979.2</v>
      </c>
      <c r="X361" s="232">
        <v>11190</v>
      </c>
      <c r="Y361" s="233" t="s">
        <v>49</v>
      </c>
      <c r="Z361" s="87" t="s">
        <v>50</v>
      </c>
      <c r="AA361" s="233" t="s">
        <v>51</v>
      </c>
      <c r="AB361" s="234"/>
      <c r="AC361" s="233">
        <v>1</v>
      </c>
      <c r="AD361" s="233" t="s">
        <v>226</v>
      </c>
      <c r="AE361" s="233"/>
      <c r="AF361" s="233"/>
      <c r="AG361" s="233" t="s">
        <v>2040</v>
      </c>
      <c r="AH361" s="233">
        <v>5</v>
      </c>
      <c r="AI361" s="233">
        <v>85</v>
      </c>
      <c r="AJ361" s="233" t="s">
        <v>432</v>
      </c>
      <c r="AK361" s="233">
        <v>100</v>
      </c>
      <c r="AL361" s="233"/>
      <c r="AM361" s="233" t="s">
        <v>2050</v>
      </c>
      <c r="AN361" s="233"/>
      <c r="AO361" s="233"/>
      <c r="AP361" s="234" t="s">
        <v>1897</v>
      </c>
      <c r="AQ361" s="234" t="s">
        <v>408</v>
      </c>
    </row>
    <row r="362" spans="1:43">
      <c r="A362" s="12">
        <v>359</v>
      </c>
      <c r="B362" s="21" t="s">
        <v>5293</v>
      </c>
      <c r="C362" s="5" t="s">
        <v>2069</v>
      </c>
      <c r="D362" s="5" t="s">
        <v>5294</v>
      </c>
      <c r="E362" s="5" t="s">
        <v>5295</v>
      </c>
      <c r="F362" s="5" t="s">
        <v>5296</v>
      </c>
      <c r="G362" s="5" t="s">
        <v>5297</v>
      </c>
      <c r="H362" s="11" t="s">
        <v>5298</v>
      </c>
      <c r="I362" s="5"/>
      <c r="J362" s="5"/>
      <c r="K362" s="5"/>
      <c r="L362" s="5"/>
      <c r="M362" s="5"/>
      <c r="N362" s="5"/>
      <c r="O362" s="5"/>
      <c r="P362" s="11">
        <v>258.0061</v>
      </c>
      <c r="Q362" s="5">
        <v>54.841099999999997</v>
      </c>
      <c r="R362" s="5">
        <f t="shared" si="5"/>
        <v>312.84719999999999</v>
      </c>
      <c r="S362" s="5" t="s">
        <v>441</v>
      </c>
      <c r="T362" s="12">
        <v>359</v>
      </c>
      <c r="U362" s="255" t="s">
        <v>2075</v>
      </c>
      <c r="V362" s="232" t="s">
        <v>2069</v>
      </c>
      <c r="W362" s="232">
        <v>-3275.1</v>
      </c>
      <c r="X362" s="232">
        <v>6285</v>
      </c>
      <c r="Y362" s="233" t="s">
        <v>49</v>
      </c>
      <c r="Z362" s="87" t="s">
        <v>50</v>
      </c>
      <c r="AA362" s="233" t="s">
        <v>51</v>
      </c>
      <c r="AB362" s="234"/>
      <c r="AC362" s="233">
        <v>1</v>
      </c>
      <c r="AD362" s="233" t="s">
        <v>226</v>
      </c>
      <c r="AE362" s="233"/>
      <c r="AF362" s="233"/>
      <c r="AG362" s="233" t="s">
        <v>2076</v>
      </c>
      <c r="AH362" s="233">
        <v>5</v>
      </c>
      <c r="AI362" s="233">
        <v>85</v>
      </c>
      <c r="AJ362" s="233" t="s">
        <v>432</v>
      </c>
      <c r="AK362" s="233">
        <v>100</v>
      </c>
      <c r="AL362" s="233"/>
      <c r="AM362" s="233" t="s">
        <v>2077</v>
      </c>
      <c r="AN362" s="233"/>
      <c r="AO362" s="233"/>
      <c r="AP362" s="234" t="s">
        <v>1897</v>
      </c>
      <c r="AQ362" s="234" t="s">
        <v>408</v>
      </c>
    </row>
    <row r="363" spans="1:43">
      <c r="A363" s="12">
        <v>360</v>
      </c>
      <c r="B363" s="21" t="s">
        <v>5299</v>
      </c>
      <c r="C363" s="5" t="s">
        <v>2079</v>
      </c>
      <c r="D363" s="5" t="s">
        <v>5300</v>
      </c>
      <c r="E363" s="5" t="s">
        <v>5301</v>
      </c>
      <c r="F363" s="5" t="s">
        <v>5302</v>
      </c>
      <c r="G363" s="5" t="s">
        <v>5303</v>
      </c>
      <c r="H363" s="11" t="s">
        <v>5304</v>
      </c>
      <c r="I363" s="5"/>
      <c r="J363" s="5"/>
      <c r="K363" s="5"/>
      <c r="L363" s="5"/>
      <c r="M363" s="5"/>
      <c r="N363" s="5"/>
      <c r="O363" s="5"/>
      <c r="P363" s="11">
        <v>258.01479999999998</v>
      </c>
      <c r="Q363" s="5">
        <v>54.826599999999999</v>
      </c>
      <c r="R363" s="5">
        <f t="shared" si="5"/>
        <v>312.84139999999996</v>
      </c>
      <c r="S363" s="5" t="s">
        <v>441</v>
      </c>
      <c r="T363" s="12">
        <v>360</v>
      </c>
      <c r="U363" s="255" t="s">
        <v>2085</v>
      </c>
      <c r="V363" s="232" t="s">
        <v>2079</v>
      </c>
      <c r="W363" s="232">
        <v>-3275.1</v>
      </c>
      <c r="X363" s="232">
        <v>6996.2</v>
      </c>
      <c r="Y363" s="233" t="s">
        <v>49</v>
      </c>
      <c r="Z363" s="87" t="s">
        <v>50</v>
      </c>
      <c r="AA363" s="233" t="s">
        <v>51</v>
      </c>
      <c r="AB363" s="234"/>
      <c r="AC363" s="233">
        <v>1</v>
      </c>
      <c r="AD363" s="233" t="s">
        <v>226</v>
      </c>
      <c r="AE363" s="233"/>
      <c r="AF363" s="233"/>
      <c r="AG363" s="233" t="s">
        <v>2076</v>
      </c>
      <c r="AH363" s="233">
        <v>5</v>
      </c>
      <c r="AI363" s="233">
        <v>85</v>
      </c>
      <c r="AJ363" s="233" t="s">
        <v>432</v>
      </c>
      <c r="AK363" s="233">
        <v>100</v>
      </c>
      <c r="AL363" s="233"/>
      <c r="AM363" s="233" t="s">
        <v>2086</v>
      </c>
      <c r="AN363" s="233"/>
      <c r="AO363" s="233"/>
      <c r="AP363" s="234" t="s">
        <v>1897</v>
      </c>
      <c r="AQ363" s="234" t="s">
        <v>408</v>
      </c>
    </row>
    <row r="364" spans="1:43">
      <c r="A364" s="12">
        <v>361</v>
      </c>
      <c r="B364" s="21" t="s">
        <v>5305</v>
      </c>
      <c r="C364" s="5" t="s">
        <v>2088</v>
      </c>
      <c r="D364" s="5" t="s">
        <v>5306</v>
      </c>
      <c r="E364" s="5" t="s">
        <v>5307</v>
      </c>
      <c r="F364" s="5" t="s">
        <v>5308</v>
      </c>
      <c r="G364" s="5" t="s">
        <v>5309</v>
      </c>
      <c r="H364" s="11" t="s">
        <v>5310</v>
      </c>
      <c r="I364" s="5"/>
      <c r="J364" s="5"/>
      <c r="K364" s="5"/>
      <c r="L364" s="5"/>
      <c r="M364" s="5"/>
      <c r="N364" s="5"/>
      <c r="O364" s="5"/>
      <c r="P364" s="11">
        <v>258.01929999999999</v>
      </c>
      <c r="Q364" s="5">
        <v>54.639800000000001</v>
      </c>
      <c r="R364" s="5">
        <f t="shared" si="5"/>
        <v>312.65909999999997</v>
      </c>
      <c r="S364" s="5" t="s">
        <v>317</v>
      </c>
      <c r="T364" s="12">
        <v>361</v>
      </c>
      <c r="U364" s="255" t="s">
        <v>2094</v>
      </c>
      <c r="V364" s="232" t="s">
        <v>2088</v>
      </c>
      <c r="W364" s="232">
        <v>-3161</v>
      </c>
      <c r="X364" s="232">
        <v>10380.6</v>
      </c>
      <c r="Y364" s="233" t="s">
        <v>49</v>
      </c>
      <c r="Z364" s="87" t="s">
        <v>50</v>
      </c>
      <c r="AA364" s="233" t="s">
        <v>51</v>
      </c>
      <c r="AB364" s="234"/>
      <c r="AC364" s="233">
        <v>1</v>
      </c>
      <c r="AD364" s="233" t="s">
        <v>226</v>
      </c>
      <c r="AE364" s="233"/>
      <c r="AF364" s="233"/>
      <c r="AG364" s="233" t="s">
        <v>2076</v>
      </c>
      <c r="AH364" s="233">
        <v>5</v>
      </c>
      <c r="AI364" s="233">
        <v>85</v>
      </c>
      <c r="AJ364" s="233" t="s">
        <v>432</v>
      </c>
      <c r="AK364" s="233">
        <v>100</v>
      </c>
      <c r="AL364" s="233"/>
      <c r="AM364" s="233" t="s">
        <v>2077</v>
      </c>
      <c r="AN364" s="233"/>
      <c r="AO364" s="233"/>
      <c r="AP364" s="234" t="s">
        <v>1897</v>
      </c>
      <c r="AQ364" s="234" t="s">
        <v>408</v>
      </c>
    </row>
    <row r="365" spans="1:43">
      <c r="A365" s="12">
        <v>362</v>
      </c>
      <c r="B365" s="21" t="s">
        <v>5311</v>
      </c>
      <c r="C365" s="5" t="s">
        <v>2096</v>
      </c>
      <c r="D365" s="5" t="s">
        <v>5312</v>
      </c>
      <c r="E365" s="5" t="s">
        <v>5313</v>
      </c>
      <c r="F365" s="5" t="s">
        <v>5314</v>
      </c>
      <c r="G365" s="5" t="s">
        <v>5315</v>
      </c>
      <c r="H365" s="11" t="s">
        <v>5316</v>
      </c>
      <c r="I365" s="5"/>
      <c r="J365" s="5"/>
      <c r="K365" s="5"/>
      <c r="L365" s="5"/>
      <c r="M365" s="5"/>
      <c r="N365" s="5"/>
      <c r="O365" s="5"/>
      <c r="P365" s="11">
        <v>258.04109999999997</v>
      </c>
      <c r="Q365" s="5">
        <v>54.599600000000002</v>
      </c>
      <c r="R365" s="5">
        <f t="shared" si="5"/>
        <v>312.64069999999998</v>
      </c>
      <c r="S365" s="5" t="s">
        <v>317</v>
      </c>
      <c r="T365" s="12">
        <v>362</v>
      </c>
      <c r="U365" s="255" t="s">
        <v>2102</v>
      </c>
      <c r="V365" s="232" t="s">
        <v>2096</v>
      </c>
      <c r="W365" s="232">
        <v>-3661.4</v>
      </c>
      <c r="X365" s="232">
        <v>10380.6</v>
      </c>
      <c r="Y365" s="233" t="s">
        <v>49</v>
      </c>
      <c r="Z365" s="87" t="s">
        <v>50</v>
      </c>
      <c r="AA365" s="233" t="s">
        <v>51</v>
      </c>
      <c r="AB365" s="234"/>
      <c r="AC365" s="233">
        <v>1</v>
      </c>
      <c r="AD365" s="233" t="s">
        <v>226</v>
      </c>
      <c r="AE365" s="233"/>
      <c r="AF365" s="233"/>
      <c r="AG365" s="233" t="s">
        <v>2076</v>
      </c>
      <c r="AH365" s="233">
        <v>5</v>
      </c>
      <c r="AI365" s="233">
        <v>85</v>
      </c>
      <c r="AJ365" s="233" t="s">
        <v>432</v>
      </c>
      <c r="AK365" s="233">
        <v>100</v>
      </c>
      <c r="AL365" s="233"/>
      <c r="AM365" s="233" t="s">
        <v>2086</v>
      </c>
      <c r="AN365" s="233"/>
      <c r="AO365" s="233"/>
      <c r="AP365" s="234" t="s">
        <v>1897</v>
      </c>
      <c r="AQ365" s="234" t="s">
        <v>408</v>
      </c>
    </row>
    <row r="366" spans="1:43">
      <c r="A366" s="12">
        <v>363</v>
      </c>
      <c r="B366" s="21" t="s">
        <v>5317</v>
      </c>
      <c r="C366" s="5" t="s">
        <v>2104</v>
      </c>
      <c r="D366" s="5" t="s">
        <v>5318</v>
      </c>
      <c r="E366" s="5" t="s">
        <v>5319</v>
      </c>
      <c r="F366" s="5" t="s">
        <v>5320</v>
      </c>
      <c r="G366" s="5" t="s">
        <v>5321</v>
      </c>
      <c r="H366" s="11" t="s">
        <v>5322</v>
      </c>
      <c r="I366" s="5"/>
      <c r="J366" s="5"/>
      <c r="K366" s="5"/>
      <c r="L366" s="5"/>
      <c r="M366" s="5"/>
      <c r="N366" s="5"/>
      <c r="O366" s="5"/>
      <c r="P366" s="11">
        <v>258.06150000000002</v>
      </c>
      <c r="Q366" s="5">
        <v>54.772599999999997</v>
      </c>
      <c r="R366" s="5">
        <f t="shared" si="5"/>
        <v>312.83410000000003</v>
      </c>
      <c r="S366" s="5" t="s">
        <v>224</v>
      </c>
      <c r="T366" s="12">
        <v>363</v>
      </c>
      <c r="U366" s="255" t="s">
        <v>2110</v>
      </c>
      <c r="V366" s="232" t="s">
        <v>2104</v>
      </c>
      <c r="W366" s="232">
        <v>-4632.3999999999996</v>
      </c>
      <c r="X366" s="232">
        <v>6996.2</v>
      </c>
      <c r="Y366" s="233" t="s">
        <v>49</v>
      </c>
      <c r="Z366" s="87" t="s">
        <v>50</v>
      </c>
      <c r="AA366" s="233" t="s">
        <v>51</v>
      </c>
      <c r="AB366" s="234"/>
      <c r="AC366" s="233">
        <v>1</v>
      </c>
      <c r="AD366" s="233" t="s">
        <v>226</v>
      </c>
      <c r="AE366" s="233"/>
      <c r="AF366" s="233"/>
      <c r="AG366" s="233" t="s">
        <v>2111</v>
      </c>
      <c r="AH366" s="233">
        <v>5</v>
      </c>
      <c r="AI366" s="233">
        <v>85</v>
      </c>
      <c r="AJ366" s="233" t="s">
        <v>432</v>
      </c>
      <c r="AK366" s="233">
        <v>100</v>
      </c>
      <c r="AL366" s="233"/>
      <c r="AM366" s="233" t="s">
        <v>2112</v>
      </c>
      <c r="AN366" s="233"/>
      <c r="AO366" s="233"/>
      <c r="AP366" s="234" t="s">
        <v>1897</v>
      </c>
      <c r="AQ366" s="234" t="s">
        <v>408</v>
      </c>
    </row>
    <row r="367" spans="1:43">
      <c r="A367" s="12">
        <v>364</v>
      </c>
      <c r="B367" s="21" t="s">
        <v>5323</v>
      </c>
      <c r="C367" s="5" t="s">
        <v>2114</v>
      </c>
      <c r="D367" s="5" t="s">
        <v>5324</v>
      </c>
      <c r="E367" s="5" t="s">
        <v>5325</v>
      </c>
      <c r="F367" s="5" t="s">
        <v>5326</v>
      </c>
      <c r="G367" s="5" t="s">
        <v>5327</v>
      </c>
      <c r="H367" s="11" t="s">
        <v>5328</v>
      </c>
      <c r="I367" s="5"/>
      <c r="J367" s="5"/>
      <c r="K367" s="5"/>
      <c r="L367" s="5"/>
      <c r="M367" s="5"/>
      <c r="N367" s="5"/>
      <c r="O367" s="5"/>
      <c r="P367" s="11">
        <v>258.05900000000003</v>
      </c>
      <c r="Q367" s="5">
        <v>54.778599999999997</v>
      </c>
      <c r="R367" s="5">
        <f t="shared" si="5"/>
        <v>312.83760000000001</v>
      </c>
      <c r="S367" s="5" t="s">
        <v>224</v>
      </c>
      <c r="T367" s="12">
        <v>364</v>
      </c>
      <c r="U367" s="255" t="s">
        <v>2120</v>
      </c>
      <c r="V367" s="232" t="s">
        <v>2114</v>
      </c>
      <c r="W367" s="232">
        <v>-4632.3999999999996</v>
      </c>
      <c r="X367" s="232">
        <v>7707.4</v>
      </c>
      <c r="Y367" s="233" t="s">
        <v>49</v>
      </c>
      <c r="Z367" s="87" t="s">
        <v>50</v>
      </c>
      <c r="AA367" s="233" t="s">
        <v>51</v>
      </c>
      <c r="AB367" s="234"/>
      <c r="AC367" s="233">
        <v>1</v>
      </c>
      <c r="AD367" s="233" t="s">
        <v>226</v>
      </c>
      <c r="AE367" s="233"/>
      <c r="AF367" s="233"/>
      <c r="AG367" s="233" t="s">
        <v>2111</v>
      </c>
      <c r="AH367" s="233">
        <v>5</v>
      </c>
      <c r="AI367" s="233">
        <v>85</v>
      </c>
      <c r="AJ367" s="233" t="s">
        <v>432</v>
      </c>
      <c r="AK367" s="233">
        <v>100</v>
      </c>
      <c r="AL367" s="233"/>
      <c r="AM367" s="233" t="s">
        <v>2121</v>
      </c>
      <c r="AN367" s="233"/>
      <c r="AO367" s="233"/>
      <c r="AP367" s="234" t="s">
        <v>1897</v>
      </c>
      <c r="AQ367" s="234" t="s">
        <v>408</v>
      </c>
    </row>
    <row r="368" spans="1:43">
      <c r="A368" s="12">
        <v>365</v>
      </c>
      <c r="B368" s="21" t="s">
        <v>5329</v>
      </c>
      <c r="C368" s="5" t="s">
        <v>2123</v>
      </c>
      <c r="D368" s="5" t="s">
        <v>5330</v>
      </c>
      <c r="E368" s="5" t="s">
        <v>5331</v>
      </c>
      <c r="F368" s="5" t="s">
        <v>5332</v>
      </c>
      <c r="G368" s="5" t="s">
        <v>5333</v>
      </c>
      <c r="H368" s="11" t="s">
        <v>5334</v>
      </c>
      <c r="I368" s="5"/>
      <c r="J368" s="5"/>
      <c r="K368" s="5"/>
      <c r="L368" s="5"/>
      <c r="M368" s="5"/>
      <c r="N368" s="5"/>
      <c r="O368" s="5"/>
      <c r="P368" s="11">
        <v>257.99740000000003</v>
      </c>
      <c r="Q368" s="5">
        <v>54.786999999999999</v>
      </c>
      <c r="R368" s="5">
        <f t="shared" si="5"/>
        <v>312.78440000000001</v>
      </c>
      <c r="S368" s="5" t="s">
        <v>452</v>
      </c>
      <c r="T368" s="12">
        <v>365</v>
      </c>
      <c r="U368" s="255" t="s">
        <v>2129</v>
      </c>
      <c r="V368" s="232" t="s">
        <v>2123</v>
      </c>
      <c r="W368" s="232">
        <v>-3843.3</v>
      </c>
      <c r="X368" s="232">
        <v>11190</v>
      </c>
      <c r="Y368" s="233" t="s">
        <v>49</v>
      </c>
      <c r="Z368" s="87" t="s">
        <v>50</v>
      </c>
      <c r="AA368" s="233" t="s">
        <v>51</v>
      </c>
      <c r="AB368" s="234"/>
      <c r="AC368" s="233">
        <v>1</v>
      </c>
      <c r="AD368" s="233" t="s">
        <v>226</v>
      </c>
      <c r="AE368" s="233"/>
      <c r="AF368" s="233"/>
      <c r="AG368" s="233" t="s">
        <v>2111</v>
      </c>
      <c r="AH368" s="233">
        <v>5</v>
      </c>
      <c r="AI368" s="233">
        <v>85</v>
      </c>
      <c r="AJ368" s="233" t="s">
        <v>432</v>
      </c>
      <c r="AK368" s="233">
        <v>100</v>
      </c>
      <c r="AL368" s="233"/>
      <c r="AM368" s="233" t="s">
        <v>2112</v>
      </c>
      <c r="AN368" s="233"/>
      <c r="AO368" s="233"/>
      <c r="AP368" s="234" t="s">
        <v>1897</v>
      </c>
      <c r="AQ368" s="234" t="s">
        <v>408</v>
      </c>
    </row>
    <row r="369" spans="1:43">
      <c r="A369" s="12">
        <v>366</v>
      </c>
      <c r="B369" s="21" t="s">
        <v>5335</v>
      </c>
      <c r="C369" s="5" t="s">
        <v>2131</v>
      </c>
      <c r="D369" s="5" t="s">
        <v>5336</v>
      </c>
      <c r="E369" s="5" t="s">
        <v>5337</v>
      </c>
      <c r="F369" s="5" t="s">
        <v>5338</v>
      </c>
      <c r="G369" s="5" t="s">
        <v>5339</v>
      </c>
      <c r="H369" s="11" t="s">
        <v>5340</v>
      </c>
      <c r="I369" s="5"/>
      <c r="J369" s="5"/>
      <c r="K369" s="5"/>
      <c r="L369" s="5"/>
      <c r="M369" s="5"/>
      <c r="N369" s="5"/>
      <c r="O369" s="5"/>
      <c r="P369" s="11">
        <v>258.00819999999999</v>
      </c>
      <c r="Q369" s="5">
        <v>54.770800000000001</v>
      </c>
      <c r="R369" s="5">
        <f t="shared" si="5"/>
        <v>312.779</v>
      </c>
      <c r="S369" s="5" t="s">
        <v>452</v>
      </c>
      <c r="T369" s="12">
        <v>366</v>
      </c>
      <c r="U369" s="255" t="s">
        <v>2137</v>
      </c>
      <c r="V369" s="232" t="s">
        <v>2131</v>
      </c>
      <c r="W369" s="232">
        <v>-4343.7</v>
      </c>
      <c r="X369" s="232">
        <v>11190</v>
      </c>
      <c r="Y369" s="233" t="s">
        <v>49</v>
      </c>
      <c r="Z369" s="87" t="s">
        <v>50</v>
      </c>
      <c r="AA369" s="233" t="s">
        <v>51</v>
      </c>
      <c r="AB369" s="234"/>
      <c r="AC369" s="233">
        <v>1</v>
      </c>
      <c r="AD369" s="233" t="s">
        <v>226</v>
      </c>
      <c r="AE369" s="233"/>
      <c r="AF369" s="233"/>
      <c r="AG369" s="233" t="s">
        <v>2111</v>
      </c>
      <c r="AH369" s="233">
        <v>5</v>
      </c>
      <c r="AI369" s="233">
        <v>85</v>
      </c>
      <c r="AJ369" s="233" t="s">
        <v>432</v>
      </c>
      <c r="AK369" s="233">
        <v>100</v>
      </c>
      <c r="AL369" s="233"/>
      <c r="AM369" s="233" t="s">
        <v>2121</v>
      </c>
      <c r="AN369" s="233"/>
      <c r="AO369" s="233"/>
      <c r="AP369" s="234" t="s">
        <v>1897</v>
      </c>
      <c r="AQ369" s="234" t="s">
        <v>408</v>
      </c>
    </row>
    <row r="370" spans="1:43">
      <c r="A370" s="12">
        <v>367</v>
      </c>
      <c r="B370" s="21" t="s">
        <v>5341</v>
      </c>
      <c r="C370" s="5" t="s">
        <v>2139</v>
      </c>
      <c r="D370" s="5" t="s">
        <v>5342</v>
      </c>
      <c r="E370" s="5" t="s">
        <v>5343</v>
      </c>
      <c r="F370" s="5" t="s">
        <v>5344</v>
      </c>
      <c r="G370" s="5" t="s">
        <v>5345</v>
      </c>
      <c r="H370" s="11" t="s">
        <v>5346</v>
      </c>
      <c r="I370" s="5"/>
      <c r="J370" s="5"/>
      <c r="K370" s="5"/>
      <c r="L370" s="5"/>
      <c r="M370" s="5"/>
      <c r="N370" s="5"/>
      <c r="O370" s="5"/>
      <c r="P370" s="11">
        <v>258.05779999999999</v>
      </c>
      <c r="Q370" s="5">
        <v>54.549599999999998</v>
      </c>
      <c r="R370" s="5">
        <f t="shared" si="5"/>
        <v>312.60739999999998</v>
      </c>
      <c r="S370" s="5" t="s">
        <v>2003</v>
      </c>
      <c r="T370" s="12">
        <v>367</v>
      </c>
      <c r="U370" s="255" t="s">
        <v>2145</v>
      </c>
      <c r="V370" s="232" t="s">
        <v>2139</v>
      </c>
      <c r="W370" s="232">
        <v>-4632.3999999999996</v>
      </c>
      <c r="X370" s="232">
        <v>4862.6000000000004</v>
      </c>
      <c r="Y370" s="233" t="s">
        <v>49</v>
      </c>
      <c r="Z370" s="87" t="s">
        <v>50</v>
      </c>
      <c r="AA370" s="233" t="s">
        <v>51</v>
      </c>
      <c r="AB370" s="234"/>
      <c r="AC370" s="233">
        <v>1</v>
      </c>
      <c r="AD370" s="233" t="s">
        <v>226</v>
      </c>
      <c r="AE370" s="233"/>
      <c r="AF370" s="233"/>
      <c r="AG370" s="233" t="s">
        <v>2146</v>
      </c>
      <c r="AH370" s="233">
        <v>5</v>
      </c>
      <c r="AI370" s="233">
        <v>85</v>
      </c>
      <c r="AJ370" s="233" t="s">
        <v>432</v>
      </c>
      <c r="AK370" s="233">
        <v>100</v>
      </c>
      <c r="AL370" s="233"/>
      <c r="AM370" s="233" t="s">
        <v>2147</v>
      </c>
      <c r="AN370" s="233"/>
      <c r="AO370" s="233"/>
      <c r="AP370" s="234" t="s">
        <v>1897</v>
      </c>
      <c r="AQ370" s="234" t="s">
        <v>408</v>
      </c>
    </row>
    <row r="371" spans="1:43">
      <c r="A371" s="12">
        <v>368</v>
      </c>
      <c r="B371" s="21" t="s">
        <v>5347</v>
      </c>
      <c r="C371" s="5" t="s">
        <v>2149</v>
      </c>
      <c r="D371" s="5" t="s">
        <v>5348</v>
      </c>
      <c r="E371" s="5" t="s">
        <v>5349</v>
      </c>
      <c r="F371" s="5" t="s">
        <v>5350</v>
      </c>
      <c r="G371" s="5" t="s">
        <v>5351</v>
      </c>
      <c r="H371" s="11" t="s">
        <v>5352</v>
      </c>
      <c r="I371" s="5"/>
      <c r="J371" s="5"/>
      <c r="K371" s="5"/>
      <c r="L371" s="5"/>
      <c r="M371" s="5"/>
      <c r="N371" s="5"/>
      <c r="O371" s="5"/>
      <c r="P371" s="11">
        <v>258.06180000000001</v>
      </c>
      <c r="Q371" s="5">
        <v>54.553600000000003</v>
      </c>
      <c r="R371" s="5">
        <f t="shared" si="5"/>
        <v>312.61540000000002</v>
      </c>
      <c r="S371" s="5" t="s">
        <v>2003</v>
      </c>
      <c r="T371" s="12">
        <v>368</v>
      </c>
      <c r="U371" s="255" t="s">
        <v>2155</v>
      </c>
      <c r="V371" s="232" t="s">
        <v>2149</v>
      </c>
      <c r="W371" s="232">
        <v>-4632.3999999999996</v>
      </c>
      <c r="X371" s="232">
        <v>5573.8</v>
      </c>
      <c r="Y371" s="233" t="s">
        <v>49</v>
      </c>
      <c r="Z371" s="87" t="s">
        <v>50</v>
      </c>
      <c r="AA371" s="233" t="s">
        <v>51</v>
      </c>
      <c r="AB371" s="234"/>
      <c r="AC371" s="233">
        <v>1</v>
      </c>
      <c r="AD371" s="233" t="s">
        <v>226</v>
      </c>
      <c r="AE371" s="233"/>
      <c r="AF371" s="233"/>
      <c r="AG371" s="233" t="s">
        <v>2146</v>
      </c>
      <c r="AH371" s="233">
        <v>5</v>
      </c>
      <c r="AI371" s="233">
        <v>85</v>
      </c>
      <c r="AJ371" s="233" t="s">
        <v>432</v>
      </c>
      <c r="AK371" s="233">
        <v>100</v>
      </c>
      <c r="AL371" s="233"/>
      <c r="AM371" s="233" t="s">
        <v>2156</v>
      </c>
      <c r="AN371" s="233"/>
      <c r="AO371" s="233"/>
      <c r="AP371" s="234" t="s">
        <v>1897</v>
      </c>
      <c r="AQ371" s="234" t="s">
        <v>408</v>
      </c>
    </row>
    <row r="372" spans="1:43">
      <c r="A372" s="12">
        <v>369</v>
      </c>
      <c r="B372" s="21" t="s">
        <v>5353</v>
      </c>
      <c r="C372" s="5" t="s">
        <v>2158</v>
      </c>
      <c r="D372" s="5" t="s">
        <v>5354</v>
      </c>
      <c r="E372" s="5" t="s">
        <v>5355</v>
      </c>
      <c r="F372" s="5" t="s">
        <v>5356</v>
      </c>
      <c r="G372" s="5" t="s">
        <v>5357</v>
      </c>
      <c r="H372" s="11" t="s">
        <v>5358</v>
      </c>
      <c r="I372" s="5"/>
      <c r="J372" s="5"/>
      <c r="K372" s="5"/>
      <c r="L372" s="5"/>
      <c r="M372" s="5"/>
      <c r="N372" s="5"/>
      <c r="O372" s="5"/>
      <c r="P372" s="11">
        <v>258.01179999999999</v>
      </c>
      <c r="Q372" s="5">
        <v>54.666600000000003</v>
      </c>
      <c r="R372" s="5">
        <f t="shared" si="5"/>
        <v>312.67840000000001</v>
      </c>
      <c r="S372" s="5" t="s">
        <v>441</v>
      </c>
      <c r="T372" s="12">
        <v>369</v>
      </c>
      <c r="U372" s="255" t="s">
        <v>2164</v>
      </c>
      <c r="V372" s="232" t="s">
        <v>2158</v>
      </c>
      <c r="W372" s="232">
        <v>-4525.6000000000004</v>
      </c>
      <c r="X372" s="232">
        <v>10380.6</v>
      </c>
      <c r="Y372" s="233" t="s">
        <v>49</v>
      </c>
      <c r="Z372" s="87" t="s">
        <v>50</v>
      </c>
      <c r="AA372" s="233" t="s">
        <v>51</v>
      </c>
      <c r="AB372" s="234"/>
      <c r="AC372" s="233">
        <v>1</v>
      </c>
      <c r="AD372" s="233" t="s">
        <v>226</v>
      </c>
      <c r="AE372" s="233"/>
      <c r="AF372" s="233"/>
      <c r="AG372" s="233" t="s">
        <v>2146</v>
      </c>
      <c r="AH372" s="233">
        <v>5</v>
      </c>
      <c r="AI372" s="233">
        <v>85</v>
      </c>
      <c r="AJ372" s="233" t="s">
        <v>432</v>
      </c>
      <c r="AK372" s="233">
        <v>100</v>
      </c>
      <c r="AL372" s="233"/>
      <c r="AM372" s="233" t="s">
        <v>2147</v>
      </c>
      <c r="AN372" s="233"/>
      <c r="AO372" s="233"/>
      <c r="AP372" s="234" t="s">
        <v>1897</v>
      </c>
      <c r="AQ372" s="234" t="s">
        <v>408</v>
      </c>
    </row>
    <row r="373" spans="1:43">
      <c r="A373" s="12">
        <v>370</v>
      </c>
      <c r="B373" s="21" t="s">
        <v>5359</v>
      </c>
      <c r="C373" s="5" t="s">
        <v>2166</v>
      </c>
      <c r="D373" s="5" t="s">
        <v>5360</v>
      </c>
      <c r="E373" s="5" t="s">
        <v>5361</v>
      </c>
      <c r="F373" s="5" t="s">
        <v>5362</v>
      </c>
      <c r="G373" s="5" t="s">
        <v>5363</v>
      </c>
      <c r="H373" s="11" t="s">
        <v>5364</v>
      </c>
      <c r="I373" s="5"/>
      <c r="J373" s="5"/>
      <c r="K373" s="5"/>
      <c r="L373" s="5"/>
      <c r="M373" s="5"/>
      <c r="N373" s="5"/>
      <c r="O373" s="5"/>
      <c r="P373" s="11">
        <v>258.01889999999997</v>
      </c>
      <c r="Q373" s="5">
        <v>54.676000000000002</v>
      </c>
      <c r="R373" s="5">
        <f t="shared" si="5"/>
        <v>312.69489999999996</v>
      </c>
      <c r="S373" s="5" t="s">
        <v>441</v>
      </c>
      <c r="T373" s="12">
        <v>370</v>
      </c>
      <c r="U373" s="255" t="s">
        <v>2172</v>
      </c>
      <c r="V373" s="232" t="s">
        <v>2166</v>
      </c>
      <c r="W373" s="232">
        <v>-5026</v>
      </c>
      <c r="X373" s="232">
        <v>10380.6</v>
      </c>
      <c r="Y373" s="233" t="s">
        <v>49</v>
      </c>
      <c r="Z373" s="87" t="s">
        <v>50</v>
      </c>
      <c r="AA373" s="233" t="s">
        <v>51</v>
      </c>
      <c r="AB373" s="234"/>
      <c r="AC373" s="233">
        <v>1</v>
      </c>
      <c r="AD373" s="233" t="s">
        <v>226</v>
      </c>
      <c r="AE373" s="233"/>
      <c r="AF373" s="233"/>
      <c r="AG373" s="233" t="s">
        <v>2146</v>
      </c>
      <c r="AH373" s="233">
        <v>5</v>
      </c>
      <c r="AI373" s="233">
        <v>85</v>
      </c>
      <c r="AJ373" s="233" t="s">
        <v>432</v>
      </c>
      <c r="AK373" s="233">
        <v>100</v>
      </c>
      <c r="AL373" s="233"/>
      <c r="AM373" s="233" t="s">
        <v>2156</v>
      </c>
      <c r="AN373" s="233"/>
      <c r="AO373" s="233"/>
      <c r="AP373" s="234" t="s">
        <v>1897</v>
      </c>
      <c r="AQ373" s="234" t="s">
        <v>408</v>
      </c>
    </row>
    <row r="374" spans="1:43">
      <c r="A374" s="12">
        <v>371</v>
      </c>
      <c r="B374" s="21" t="s">
        <v>5365</v>
      </c>
      <c r="C374" s="5" t="s">
        <v>2174</v>
      </c>
      <c r="D374" s="5" t="s">
        <v>5366</v>
      </c>
      <c r="E374" s="5" t="s">
        <v>5367</v>
      </c>
      <c r="F374" s="5" t="s">
        <v>5368</v>
      </c>
      <c r="G374" s="5" t="s">
        <v>5369</v>
      </c>
      <c r="H374" s="11" t="s">
        <v>5370</v>
      </c>
      <c r="I374" s="5"/>
      <c r="J374" s="5"/>
      <c r="K374" s="5"/>
      <c r="L374" s="5"/>
      <c r="M374" s="5"/>
      <c r="N374" s="5"/>
      <c r="O374" s="5"/>
      <c r="P374" s="11">
        <v>258.0745</v>
      </c>
      <c r="Q374" s="5">
        <v>54.532499999999999</v>
      </c>
      <c r="R374" s="5">
        <f t="shared" si="5"/>
        <v>312.60699999999997</v>
      </c>
      <c r="S374" s="5" t="s">
        <v>224</v>
      </c>
      <c r="T374" s="12">
        <v>371</v>
      </c>
      <c r="U374" s="255" t="s">
        <v>2180</v>
      </c>
      <c r="V374" s="232" t="s">
        <v>2174</v>
      </c>
      <c r="W374" s="232">
        <v>-6004.1</v>
      </c>
      <c r="X374" s="232">
        <v>8418.6</v>
      </c>
      <c r="Y374" s="233" t="s">
        <v>49</v>
      </c>
      <c r="Z374" s="87" t="s">
        <v>50</v>
      </c>
      <c r="AA374" s="233" t="s">
        <v>51</v>
      </c>
      <c r="AB374" s="234"/>
      <c r="AC374" s="233">
        <v>1</v>
      </c>
      <c r="AD374" s="233" t="s">
        <v>226</v>
      </c>
      <c r="AE374" s="233"/>
      <c r="AF374" s="233"/>
      <c r="AG374" s="233" t="s">
        <v>2181</v>
      </c>
      <c r="AH374" s="233">
        <v>5</v>
      </c>
      <c r="AI374" s="233">
        <v>85</v>
      </c>
      <c r="AJ374" s="233" t="s">
        <v>432</v>
      </c>
      <c r="AK374" s="233">
        <v>100</v>
      </c>
      <c r="AL374" s="233"/>
      <c r="AM374" s="233" t="s">
        <v>2182</v>
      </c>
      <c r="AN374" s="233"/>
      <c r="AO374" s="233"/>
      <c r="AP374" s="234" t="s">
        <v>1897</v>
      </c>
      <c r="AQ374" s="234" t="s">
        <v>408</v>
      </c>
    </row>
    <row r="375" spans="1:43">
      <c r="A375" s="12">
        <v>372</v>
      </c>
      <c r="B375" s="21" t="s">
        <v>5371</v>
      </c>
      <c r="C375" s="5" t="s">
        <v>2184</v>
      </c>
      <c r="D375" s="5" t="s">
        <v>5372</v>
      </c>
      <c r="E375" s="5" t="s">
        <v>5373</v>
      </c>
      <c r="F375" s="5" t="s">
        <v>5374</v>
      </c>
      <c r="G375" s="5" t="s">
        <v>5375</v>
      </c>
      <c r="H375" s="11" t="s">
        <v>5376</v>
      </c>
      <c r="I375" s="5"/>
      <c r="J375" s="5"/>
      <c r="K375" s="5"/>
      <c r="L375" s="5"/>
      <c r="M375" s="5"/>
      <c r="N375" s="5"/>
      <c r="O375" s="5"/>
      <c r="P375" s="11">
        <v>258.06540000000001</v>
      </c>
      <c r="Q375" s="5">
        <v>54.535299999999999</v>
      </c>
      <c r="R375" s="5">
        <f t="shared" si="5"/>
        <v>312.60070000000002</v>
      </c>
      <c r="S375" s="5" t="s">
        <v>224</v>
      </c>
      <c r="T375" s="12">
        <v>372</v>
      </c>
      <c r="U375" s="255" t="s">
        <v>2190</v>
      </c>
      <c r="V375" s="232" t="s">
        <v>2184</v>
      </c>
      <c r="W375" s="232">
        <v>-6004.1</v>
      </c>
      <c r="X375" s="232">
        <v>9129.7999999999993</v>
      </c>
      <c r="Y375" s="233" t="s">
        <v>49</v>
      </c>
      <c r="Z375" s="87" t="s">
        <v>50</v>
      </c>
      <c r="AA375" s="233" t="s">
        <v>51</v>
      </c>
      <c r="AB375" s="234"/>
      <c r="AC375" s="233">
        <v>1</v>
      </c>
      <c r="AD375" s="233" t="s">
        <v>226</v>
      </c>
      <c r="AE375" s="233"/>
      <c r="AF375" s="233"/>
      <c r="AG375" s="233" t="s">
        <v>2181</v>
      </c>
      <c r="AH375" s="233">
        <v>5</v>
      </c>
      <c r="AI375" s="233">
        <v>85</v>
      </c>
      <c r="AJ375" s="233" t="s">
        <v>432</v>
      </c>
      <c r="AK375" s="233">
        <v>100</v>
      </c>
      <c r="AL375" s="233"/>
      <c r="AM375" s="233" t="s">
        <v>2191</v>
      </c>
      <c r="AN375" s="233"/>
      <c r="AO375" s="233"/>
      <c r="AP375" s="234" t="s">
        <v>1897</v>
      </c>
      <c r="AQ375" s="234" t="s">
        <v>408</v>
      </c>
    </row>
    <row r="376" spans="1:43">
      <c r="A376" s="12">
        <v>373</v>
      </c>
      <c r="B376" s="21" t="s">
        <v>5377</v>
      </c>
      <c r="C376" s="5" t="s">
        <v>2193</v>
      </c>
      <c r="D376" s="5" t="s">
        <v>5378</v>
      </c>
      <c r="E376" s="5" t="s">
        <v>5379</v>
      </c>
      <c r="F376" s="5" t="s">
        <v>5380</v>
      </c>
      <c r="G376" s="5" t="s">
        <v>5381</v>
      </c>
      <c r="H376" s="11" t="s">
        <v>5382</v>
      </c>
      <c r="I376" s="5"/>
      <c r="J376" s="5"/>
      <c r="K376" s="5"/>
      <c r="L376" s="5"/>
      <c r="M376" s="5"/>
      <c r="N376" s="5"/>
      <c r="O376" s="5"/>
      <c r="P376" s="11">
        <v>258.00450000000001</v>
      </c>
      <c r="Q376" s="5">
        <v>54.859000000000002</v>
      </c>
      <c r="R376" s="5">
        <f t="shared" si="5"/>
        <v>312.86349999999999</v>
      </c>
      <c r="S376" s="5" t="s">
        <v>2199</v>
      </c>
      <c r="T376" s="12">
        <v>373</v>
      </c>
      <c r="U376" s="255" t="s">
        <v>2200</v>
      </c>
      <c r="V376" s="232" t="s">
        <v>2193</v>
      </c>
      <c r="W376" s="232">
        <v>-5207.8</v>
      </c>
      <c r="X376" s="232">
        <v>11190</v>
      </c>
      <c r="Y376" s="233" t="s">
        <v>49</v>
      </c>
      <c r="Z376" s="87" t="s">
        <v>50</v>
      </c>
      <c r="AA376" s="233" t="s">
        <v>51</v>
      </c>
      <c r="AB376" s="234"/>
      <c r="AC376" s="233">
        <v>1</v>
      </c>
      <c r="AD376" s="233" t="s">
        <v>226</v>
      </c>
      <c r="AE376" s="233"/>
      <c r="AF376" s="233"/>
      <c r="AG376" s="233" t="s">
        <v>2181</v>
      </c>
      <c r="AH376" s="233">
        <v>5</v>
      </c>
      <c r="AI376" s="233">
        <v>85</v>
      </c>
      <c r="AJ376" s="233" t="s">
        <v>432</v>
      </c>
      <c r="AK376" s="233">
        <v>100</v>
      </c>
      <c r="AL376" s="233"/>
      <c r="AM376" s="233" t="s">
        <v>2182</v>
      </c>
      <c r="AN376" s="233"/>
      <c r="AO376" s="233"/>
      <c r="AP376" s="234" t="s">
        <v>1897</v>
      </c>
      <c r="AQ376" s="234" t="s">
        <v>408</v>
      </c>
    </row>
    <row r="377" spans="1:43">
      <c r="A377" s="12">
        <v>374</v>
      </c>
      <c r="B377" s="21" t="s">
        <v>5383</v>
      </c>
      <c r="C377" s="5" t="s">
        <v>2202</v>
      </c>
      <c r="D377" s="5" t="s">
        <v>5384</v>
      </c>
      <c r="E377" s="5" t="s">
        <v>5385</v>
      </c>
      <c r="F377" s="5" t="s">
        <v>5386</v>
      </c>
      <c r="G377" s="5" t="s">
        <v>5387</v>
      </c>
      <c r="H377" s="11" t="s">
        <v>5388</v>
      </c>
      <c r="I377" s="5"/>
      <c r="J377" s="5"/>
      <c r="K377" s="5"/>
      <c r="L377" s="5"/>
      <c r="M377" s="5"/>
      <c r="N377" s="5"/>
      <c r="O377" s="5"/>
      <c r="P377" s="11">
        <v>258.00319999999999</v>
      </c>
      <c r="Q377" s="5">
        <v>54.853200000000001</v>
      </c>
      <c r="R377" s="5">
        <f t="shared" si="5"/>
        <v>312.85640000000001</v>
      </c>
      <c r="S377" s="5" t="s">
        <v>2199</v>
      </c>
      <c r="T377" s="12">
        <v>374</v>
      </c>
      <c r="U377" s="255" t="s">
        <v>2208</v>
      </c>
      <c r="V377" s="232" t="s">
        <v>2202</v>
      </c>
      <c r="W377" s="232">
        <v>-5708.2</v>
      </c>
      <c r="X377" s="232">
        <v>11190</v>
      </c>
      <c r="Y377" s="233" t="s">
        <v>49</v>
      </c>
      <c r="Z377" s="87" t="s">
        <v>50</v>
      </c>
      <c r="AA377" s="233" t="s">
        <v>51</v>
      </c>
      <c r="AB377" s="234"/>
      <c r="AC377" s="233">
        <v>1</v>
      </c>
      <c r="AD377" s="233" t="s">
        <v>226</v>
      </c>
      <c r="AE377" s="233"/>
      <c r="AF377" s="233"/>
      <c r="AG377" s="233" t="s">
        <v>2181</v>
      </c>
      <c r="AH377" s="233">
        <v>5</v>
      </c>
      <c r="AI377" s="233">
        <v>85</v>
      </c>
      <c r="AJ377" s="233" t="s">
        <v>432</v>
      </c>
      <c r="AK377" s="233">
        <v>100</v>
      </c>
      <c r="AL377" s="233"/>
      <c r="AM377" s="233" t="s">
        <v>2191</v>
      </c>
      <c r="AN377" s="233"/>
      <c r="AO377" s="233"/>
      <c r="AP377" s="234" t="s">
        <v>1897</v>
      </c>
      <c r="AQ377" s="234" t="s">
        <v>408</v>
      </c>
    </row>
    <row r="378" spans="1:43">
      <c r="A378" s="12">
        <v>375</v>
      </c>
      <c r="B378" s="21" t="s">
        <v>5389</v>
      </c>
      <c r="C378" s="5" t="s">
        <v>2210</v>
      </c>
      <c r="D378" s="5" t="s">
        <v>5390</v>
      </c>
      <c r="E378" s="5" t="s">
        <v>5391</v>
      </c>
      <c r="F378" s="5" t="s">
        <v>5392</v>
      </c>
      <c r="G378" s="5" t="s">
        <v>5393</v>
      </c>
      <c r="H378" s="11" t="s">
        <v>5394</v>
      </c>
      <c r="I378" s="5"/>
      <c r="J378" s="5"/>
      <c r="K378" s="5"/>
      <c r="L378" s="5"/>
      <c r="M378" s="5"/>
      <c r="N378" s="5"/>
      <c r="O378" s="5"/>
      <c r="P378" s="11">
        <v>258.03980000000001</v>
      </c>
      <c r="Q378" s="5">
        <v>54.4514</v>
      </c>
      <c r="R378" s="5">
        <f t="shared" si="5"/>
        <v>312.49119999999999</v>
      </c>
      <c r="S378" s="5" t="s">
        <v>1827</v>
      </c>
      <c r="T378" s="12">
        <v>375</v>
      </c>
      <c r="U378" s="255" t="s">
        <v>2216</v>
      </c>
      <c r="V378" s="232" t="s">
        <v>2210</v>
      </c>
      <c r="W378" s="232">
        <v>-6004.1</v>
      </c>
      <c r="X378" s="232">
        <v>6285</v>
      </c>
      <c r="Y378" s="233" t="s">
        <v>49</v>
      </c>
      <c r="Z378" s="87" t="s">
        <v>50</v>
      </c>
      <c r="AA378" s="233" t="s">
        <v>51</v>
      </c>
      <c r="AB378" s="234"/>
      <c r="AC378" s="233">
        <v>1</v>
      </c>
      <c r="AD378" s="233" t="s">
        <v>226</v>
      </c>
      <c r="AE378" s="233"/>
      <c r="AF378" s="233"/>
      <c r="AG378" s="233" t="s">
        <v>2217</v>
      </c>
      <c r="AH378" s="233">
        <v>5</v>
      </c>
      <c r="AI378" s="233">
        <v>85</v>
      </c>
      <c r="AJ378" s="233" t="s">
        <v>432</v>
      </c>
      <c r="AK378" s="233">
        <v>100</v>
      </c>
      <c r="AL378" s="233"/>
      <c r="AM378" s="233" t="s">
        <v>2218</v>
      </c>
      <c r="AN378" s="233"/>
      <c r="AO378" s="233"/>
      <c r="AP378" s="234" t="s">
        <v>1897</v>
      </c>
      <c r="AQ378" s="234" t="s">
        <v>408</v>
      </c>
    </row>
    <row r="379" spans="1:43">
      <c r="A379" s="12">
        <v>376</v>
      </c>
      <c r="B379" s="21" t="s">
        <v>5395</v>
      </c>
      <c r="C379" s="5" t="s">
        <v>2220</v>
      </c>
      <c r="D379" s="5" t="s">
        <v>5396</v>
      </c>
      <c r="E379" s="5" t="s">
        <v>5397</v>
      </c>
      <c r="F379" s="5" t="s">
        <v>5398</v>
      </c>
      <c r="G379" s="5" t="s">
        <v>5399</v>
      </c>
      <c r="H379" s="11" t="s">
        <v>5400</v>
      </c>
      <c r="I379" s="5"/>
      <c r="J379" s="5"/>
      <c r="K379" s="5"/>
      <c r="L379" s="5"/>
      <c r="M379" s="5"/>
      <c r="N379" s="5"/>
      <c r="O379" s="5"/>
      <c r="P379" s="11">
        <v>258.01049999999998</v>
      </c>
      <c r="Q379" s="5">
        <v>54.471699999999998</v>
      </c>
      <c r="R379" s="5">
        <f t="shared" si="5"/>
        <v>312.48219999999998</v>
      </c>
      <c r="S379" s="5" t="s">
        <v>1827</v>
      </c>
      <c r="T379" s="12">
        <v>376</v>
      </c>
      <c r="U379" s="255" t="s">
        <v>2226</v>
      </c>
      <c r="V379" s="232" t="s">
        <v>2220</v>
      </c>
      <c r="W379" s="232">
        <v>-6004.1</v>
      </c>
      <c r="X379" s="232">
        <v>6996.2</v>
      </c>
      <c r="Y379" s="233" t="s">
        <v>49</v>
      </c>
      <c r="Z379" s="87" t="s">
        <v>50</v>
      </c>
      <c r="AA379" s="233" t="s">
        <v>51</v>
      </c>
      <c r="AB379" s="234"/>
      <c r="AC379" s="233">
        <v>1</v>
      </c>
      <c r="AD379" s="233" t="s">
        <v>226</v>
      </c>
      <c r="AE379" s="233"/>
      <c r="AF379" s="233"/>
      <c r="AG379" s="233" t="s">
        <v>2217</v>
      </c>
      <c r="AH379" s="233">
        <v>5</v>
      </c>
      <c r="AI379" s="233">
        <v>85</v>
      </c>
      <c r="AJ379" s="233" t="s">
        <v>432</v>
      </c>
      <c r="AK379" s="233">
        <v>100</v>
      </c>
      <c r="AL379" s="233"/>
      <c r="AM379" s="233" t="s">
        <v>2227</v>
      </c>
      <c r="AN379" s="233"/>
      <c r="AO379" s="233"/>
      <c r="AP379" s="234" t="s">
        <v>1897</v>
      </c>
      <c r="AQ379" s="234" t="s">
        <v>408</v>
      </c>
    </row>
    <row r="380" spans="1:43">
      <c r="A380" s="12">
        <v>377</v>
      </c>
      <c r="B380" s="21" t="s">
        <v>5401</v>
      </c>
      <c r="C380" s="5" t="s">
        <v>2229</v>
      </c>
      <c r="D380" s="5" t="s">
        <v>5402</v>
      </c>
      <c r="E380" s="5" t="s">
        <v>5403</v>
      </c>
      <c r="F380" s="5" t="s">
        <v>5404</v>
      </c>
      <c r="G380" s="5" t="s">
        <v>5405</v>
      </c>
      <c r="H380" s="11" t="s">
        <v>5406</v>
      </c>
      <c r="I380" s="5"/>
      <c r="J380" s="5"/>
      <c r="K380" s="5"/>
      <c r="L380" s="5"/>
      <c r="M380" s="5"/>
      <c r="N380" s="5"/>
      <c r="O380" s="5"/>
      <c r="P380" s="11">
        <v>258.04399999999998</v>
      </c>
      <c r="Q380" s="5">
        <v>54.564599999999999</v>
      </c>
      <c r="R380" s="5">
        <f t="shared" si="5"/>
        <v>312.60859999999997</v>
      </c>
      <c r="S380" s="5" t="s">
        <v>452</v>
      </c>
      <c r="T380" s="12">
        <v>377</v>
      </c>
      <c r="U380" s="255" t="s">
        <v>2235</v>
      </c>
      <c r="V380" s="232" t="s">
        <v>2229</v>
      </c>
      <c r="W380" s="232">
        <v>-5890</v>
      </c>
      <c r="X380" s="232">
        <v>10380.6</v>
      </c>
      <c r="Y380" s="233" t="s">
        <v>49</v>
      </c>
      <c r="Z380" s="87" t="s">
        <v>50</v>
      </c>
      <c r="AA380" s="233" t="s">
        <v>51</v>
      </c>
      <c r="AB380" s="234"/>
      <c r="AC380" s="233">
        <v>1</v>
      </c>
      <c r="AD380" s="233" t="s">
        <v>226</v>
      </c>
      <c r="AE380" s="233"/>
      <c r="AF380" s="233"/>
      <c r="AG380" s="233" t="s">
        <v>2217</v>
      </c>
      <c r="AH380" s="233">
        <v>5</v>
      </c>
      <c r="AI380" s="233">
        <v>85</v>
      </c>
      <c r="AJ380" s="233" t="s">
        <v>432</v>
      </c>
      <c r="AK380" s="233">
        <v>100</v>
      </c>
      <c r="AL380" s="233"/>
      <c r="AM380" s="233" t="s">
        <v>2218</v>
      </c>
      <c r="AN380" s="233"/>
      <c r="AO380" s="233"/>
      <c r="AP380" s="234" t="s">
        <v>1897</v>
      </c>
      <c r="AQ380" s="234" t="s">
        <v>408</v>
      </c>
    </row>
    <row r="381" spans="1:43">
      <c r="A381" s="12">
        <v>378</v>
      </c>
      <c r="B381" s="21" t="s">
        <v>5407</v>
      </c>
      <c r="C381" s="5" t="s">
        <v>2237</v>
      </c>
      <c r="D381" s="5" t="s">
        <v>5408</v>
      </c>
      <c r="E381" s="5" t="s">
        <v>5409</v>
      </c>
      <c r="F381" s="5" t="s">
        <v>5410</v>
      </c>
      <c r="G381" s="5" t="s">
        <v>5411</v>
      </c>
      <c r="H381" s="11" t="s">
        <v>5412</v>
      </c>
      <c r="I381" s="5"/>
      <c r="J381" s="5"/>
      <c r="K381" s="5"/>
      <c r="L381" s="5"/>
      <c r="M381" s="5"/>
      <c r="N381" s="5"/>
      <c r="O381" s="5"/>
      <c r="P381" s="11">
        <v>258.05360000000002</v>
      </c>
      <c r="Q381" s="5">
        <v>54.555900000000001</v>
      </c>
      <c r="R381" s="5">
        <f t="shared" si="5"/>
        <v>312.60950000000003</v>
      </c>
      <c r="S381" s="5" t="s">
        <v>452</v>
      </c>
      <c r="T381" s="12">
        <v>378</v>
      </c>
      <c r="U381" s="255" t="s">
        <v>2243</v>
      </c>
      <c r="V381" s="232" t="s">
        <v>2237</v>
      </c>
      <c r="W381" s="232">
        <v>-6390.4</v>
      </c>
      <c r="X381" s="232">
        <v>10380.6</v>
      </c>
      <c r="Y381" s="233" t="s">
        <v>49</v>
      </c>
      <c r="Z381" s="87" t="s">
        <v>50</v>
      </c>
      <c r="AA381" s="233" t="s">
        <v>51</v>
      </c>
      <c r="AB381" s="234"/>
      <c r="AC381" s="233">
        <v>1</v>
      </c>
      <c r="AD381" s="233" t="s">
        <v>226</v>
      </c>
      <c r="AE381" s="233"/>
      <c r="AF381" s="233"/>
      <c r="AG381" s="233" t="s">
        <v>2217</v>
      </c>
      <c r="AH381" s="233">
        <v>5</v>
      </c>
      <c r="AI381" s="233">
        <v>85</v>
      </c>
      <c r="AJ381" s="233" t="s">
        <v>432</v>
      </c>
      <c r="AK381" s="233">
        <v>100</v>
      </c>
      <c r="AL381" s="233"/>
      <c r="AM381" s="233" t="s">
        <v>2227</v>
      </c>
      <c r="AN381" s="233"/>
      <c r="AO381" s="233"/>
      <c r="AP381" s="234" t="s">
        <v>1897</v>
      </c>
      <c r="AQ381" s="234" t="s">
        <v>408</v>
      </c>
    </row>
    <row r="382" spans="1:43">
      <c r="A382" s="12">
        <v>379</v>
      </c>
      <c r="B382" s="21" t="s">
        <v>5413</v>
      </c>
      <c r="C382" s="5" t="s">
        <v>2245</v>
      </c>
      <c r="D382" s="5" t="s">
        <v>5414</v>
      </c>
      <c r="E382" s="5" t="s">
        <v>5415</v>
      </c>
      <c r="F382" s="5" t="s">
        <v>5416</v>
      </c>
      <c r="G382" s="5" t="s">
        <v>5417</v>
      </c>
      <c r="H382" s="11" t="s">
        <v>5418</v>
      </c>
      <c r="I382" s="5"/>
      <c r="J382" s="5"/>
      <c r="K382" s="5"/>
      <c r="L382" s="5"/>
      <c r="M382" s="5"/>
      <c r="N382" s="5"/>
      <c r="O382" s="5"/>
      <c r="P382" s="11">
        <v>257.98110000000003</v>
      </c>
      <c r="Q382" s="5">
        <v>54.710500000000003</v>
      </c>
      <c r="R382" s="5">
        <f t="shared" si="5"/>
        <v>312.69160000000005</v>
      </c>
      <c r="S382" s="5" t="s">
        <v>429</v>
      </c>
      <c r="T382" s="12">
        <v>379</v>
      </c>
      <c r="U382" s="255" t="s">
        <v>2251</v>
      </c>
      <c r="V382" s="232" t="s">
        <v>2245</v>
      </c>
      <c r="W382" s="232">
        <v>-7361.4</v>
      </c>
      <c r="X382" s="232">
        <v>6996.2</v>
      </c>
      <c r="Y382" s="233" t="s">
        <v>49</v>
      </c>
      <c r="Z382" s="87" t="s">
        <v>50</v>
      </c>
      <c r="AA382" s="233" t="s">
        <v>51</v>
      </c>
      <c r="AB382" s="234"/>
      <c r="AC382" s="233">
        <v>1</v>
      </c>
      <c r="AD382" s="233" t="s">
        <v>226</v>
      </c>
      <c r="AE382" s="233"/>
      <c r="AF382" s="233"/>
      <c r="AG382" s="233" t="s">
        <v>2252</v>
      </c>
      <c r="AH382" s="233">
        <v>5</v>
      </c>
      <c r="AI382" s="233">
        <v>85</v>
      </c>
      <c r="AJ382" s="233" t="s">
        <v>432</v>
      </c>
      <c r="AK382" s="233">
        <v>100</v>
      </c>
      <c r="AL382" s="233"/>
      <c r="AM382" s="233" t="s">
        <v>2253</v>
      </c>
      <c r="AN382" s="233"/>
      <c r="AO382" s="233"/>
      <c r="AP382" s="234" t="s">
        <v>1897</v>
      </c>
      <c r="AQ382" s="234" t="s">
        <v>408</v>
      </c>
    </row>
    <row r="383" spans="1:43">
      <c r="A383" s="12">
        <v>380</v>
      </c>
      <c r="B383" s="21" t="s">
        <v>5419</v>
      </c>
      <c r="C383" s="5" t="s">
        <v>2255</v>
      </c>
      <c r="D383" s="5" t="s">
        <v>5420</v>
      </c>
      <c r="E383" s="5" t="s">
        <v>5421</v>
      </c>
      <c r="F383" s="5" t="s">
        <v>5422</v>
      </c>
      <c r="G383" s="5" t="s">
        <v>5423</v>
      </c>
      <c r="H383" s="11" t="s">
        <v>5424</v>
      </c>
      <c r="I383" s="5"/>
      <c r="J383" s="5"/>
      <c r="K383" s="5"/>
      <c r="L383" s="5"/>
      <c r="M383" s="5"/>
      <c r="N383" s="5"/>
      <c r="O383" s="5"/>
      <c r="P383" s="11">
        <v>257.98790000000002</v>
      </c>
      <c r="Q383" s="5">
        <v>54.712800000000001</v>
      </c>
      <c r="R383" s="5">
        <f t="shared" si="5"/>
        <v>312.70070000000004</v>
      </c>
      <c r="S383" s="5" t="s">
        <v>429</v>
      </c>
      <c r="T383" s="12">
        <v>380</v>
      </c>
      <c r="U383" s="255" t="s">
        <v>2261</v>
      </c>
      <c r="V383" s="232" t="s">
        <v>2255</v>
      </c>
      <c r="W383" s="232">
        <v>-7361.4</v>
      </c>
      <c r="X383" s="232">
        <v>7707.4</v>
      </c>
      <c r="Y383" s="233" t="s">
        <v>49</v>
      </c>
      <c r="Z383" s="87" t="s">
        <v>50</v>
      </c>
      <c r="AA383" s="233" t="s">
        <v>51</v>
      </c>
      <c r="AB383" s="234"/>
      <c r="AC383" s="233">
        <v>1</v>
      </c>
      <c r="AD383" s="233" t="s">
        <v>226</v>
      </c>
      <c r="AE383" s="233"/>
      <c r="AF383" s="233"/>
      <c r="AG383" s="233" t="s">
        <v>2252</v>
      </c>
      <c r="AH383" s="233">
        <v>5</v>
      </c>
      <c r="AI383" s="233">
        <v>85</v>
      </c>
      <c r="AJ383" s="233" t="s">
        <v>432</v>
      </c>
      <c r="AK383" s="233">
        <v>100</v>
      </c>
      <c r="AL383" s="233"/>
      <c r="AM383" s="233" t="s">
        <v>2262</v>
      </c>
      <c r="AN383" s="233"/>
      <c r="AO383" s="233"/>
      <c r="AP383" s="234" t="s">
        <v>1897</v>
      </c>
      <c r="AQ383" s="234" t="s">
        <v>408</v>
      </c>
    </row>
    <row r="384" spans="1:43">
      <c r="A384" s="12">
        <v>381</v>
      </c>
      <c r="B384" s="21" t="s">
        <v>5425</v>
      </c>
      <c r="C384" s="5" t="s">
        <v>2264</v>
      </c>
      <c r="D384" s="5" t="s">
        <v>5426</v>
      </c>
      <c r="E384" s="5" t="s">
        <v>5427</v>
      </c>
      <c r="F384" s="5" t="s">
        <v>5428</v>
      </c>
      <c r="G384" s="5" t="s">
        <v>5429</v>
      </c>
      <c r="H384" s="11" t="s">
        <v>5430</v>
      </c>
      <c r="I384" s="5"/>
      <c r="J384" s="5"/>
      <c r="K384" s="5"/>
      <c r="L384" s="5"/>
      <c r="M384" s="5"/>
      <c r="N384" s="5"/>
      <c r="O384" s="5"/>
      <c r="P384" s="11">
        <v>258.00720000000001</v>
      </c>
      <c r="Q384" s="5">
        <v>54.679699999999997</v>
      </c>
      <c r="R384" s="5">
        <f t="shared" si="5"/>
        <v>312.68690000000004</v>
      </c>
      <c r="S384" s="5" t="s">
        <v>2270</v>
      </c>
      <c r="T384" s="12">
        <v>381</v>
      </c>
      <c r="U384" s="255" t="s">
        <v>2271</v>
      </c>
      <c r="V384" s="232" t="s">
        <v>2264</v>
      </c>
      <c r="W384" s="232">
        <v>-6572.3</v>
      </c>
      <c r="X384" s="232">
        <v>11190</v>
      </c>
      <c r="Y384" s="233" t="s">
        <v>49</v>
      </c>
      <c r="Z384" s="87" t="s">
        <v>50</v>
      </c>
      <c r="AA384" s="233" t="s">
        <v>51</v>
      </c>
      <c r="AB384" s="234"/>
      <c r="AC384" s="233">
        <v>1</v>
      </c>
      <c r="AD384" s="233" t="s">
        <v>226</v>
      </c>
      <c r="AE384" s="233"/>
      <c r="AF384" s="233"/>
      <c r="AG384" s="233" t="s">
        <v>2252</v>
      </c>
      <c r="AH384" s="233">
        <v>5</v>
      </c>
      <c r="AI384" s="233">
        <v>85</v>
      </c>
      <c r="AJ384" s="233" t="s">
        <v>432</v>
      </c>
      <c r="AK384" s="233">
        <v>100</v>
      </c>
      <c r="AL384" s="233"/>
      <c r="AM384" s="233" t="s">
        <v>2253</v>
      </c>
      <c r="AN384" s="233"/>
      <c r="AO384" s="233"/>
      <c r="AP384" s="234" t="s">
        <v>1897</v>
      </c>
      <c r="AQ384" s="234" t="s">
        <v>408</v>
      </c>
    </row>
    <row r="385" spans="1:43">
      <c r="A385" s="12">
        <v>382</v>
      </c>
      <c r="B385" s="21" t="s">
        <v>5431</v>
      </c>
      <c r="C385" s="5" t="s">
        <v>2273</v>
      </c>
      <c r="D385" s="5" t="s">
        <v>5432</v>
      </c>
      <c r="E385" s="5" t="s">
        <v>5433</v>
      </c>
      <c r="F385" s="5" t="s">
        <v>5434</v>
      </c>
      <c r="G385" s="5" t="s">
        <v>5435</v>
      </c>
      <c r="H385" s="11" t="s">
        <v>5436</v>
      </c>
      <c r="I385" s="5"/>
      <c r="J385" s="5"/>
      <c r="K385" s="5"/>
      <c r="L385" s="5"/>
      <c r="M385" s="5"/>
      <c r="N385" s="5"/>
      <c r="O385" s="5"/>
      <c r="P385" s="11">
        <v>257.99770000000001</v>
      </c>
      <c r="Q385" s="5">
        <v>54.6586</v>
      </c>
      <c r="R385" s="5">
        <f t="shared" si="5"/>
        <v>312.65629999999999</v>
      </c>
      <c r="S385" s="5" t="s">
        <v>2270</v>
      </c>
      <c r="T385" s="12">
        <v>382</v>
      </c>
      <c r="U385" s="255" t="s">
        <v>2279</v>
      </c>
      <c r="V385" s="232" t="s">
        <v>2273</v>
      </c>
      <c r="W385" s="232">
        <v>-7072.7</v>
      </c>
      <c r="X385" s="232">
        <v>11190</v>
      </c>
      <c r="Y385" s="233" t="s">
        <v>49</v>
      </c>
      <c r="Z385" s="87" t="s">
        <v>50</v>
      </c>
      <c r="AA385" s="233" t="s">
        <v>51</v>
      </c>
      <c r="AB385" s="234"/>
      <c r="AC385" s="233">
        <v>1</v>
      </c>
      <c r="AD385" s="233" t="s">
        <v>226</v>
      </c>
      <c r="AE385" s="233"/>
      <c r="AF385" s="233"/>
      <c r="AG385" s="233" t="s">
        <v>2252</v>
      </c>
      <c r="AH385" s="233">
        <v>5</v>
      </c>
      <c r="AI385" s="233">
        <v>85</v>
      </c>
      <c r="AJ385" s="233" t="s">
        <v>432</v>
      </c>
      <c r="AK385" s="233">
        <v>100</v>
      </c>
      <c r="AL385" s="233"/>
      <c r="AM385" s="233" t="s">
        <v>2262</v>
      </c>
      <c r="AN385" s="233"/>
      <c r="AO385" s="233"/>
      <c r="AP385" s="234" t="s">
        <v>1897</v>
      </c>
      <c r="AQ385" s="234" t="s">
        <v>408</v>
      </c>
    </row>
    <row r="386" spans="1:43">
      <c r="A386" s="12">
        <v>383</v>
      </c>
      <c r="B386" s="21" t="s">
        <v>5437</v>
      </c>
      <c r="C386" s="5" t="s">
        <v>2281</v>
      </c>
      <c r="D386" s="5" t="s">
        <v>5438</v>
      </c>
      <c r="E386" s="5" t="s">
        <v>5439</v>
      </c>
      <c r="F386" s="5" t="s">
        <v>5440</v>
      </c>
      <c r="G386" s="5" t="s">
        <v>5441</v>
      </c>
      <c r="H386" s="11" t="s">
        <v>5442</v>
      </c>
      <c r="I386" s="5"/>
      <c r="J386" s="5"/>
      <c r="K386" s="5"/>
      <c r="L386" s="5"/>
      <c r="M386" s="5"/>
      <c r="N386" s="5"/>
      <c r="O386" s="5"/>
      <c r="P386" s="11">
        <v>258.02359999999999</v>
      </c>
      <c r="Q386" s="5">
        <v>54.421100000000003</v>
      </c>
      <c r="R386" s="5">
        <f t="shared" si="5"/>
        <v>312.44470000000001</v>
      </c>
      <c r="S386" s="5" t="s">
        <v>429</v>
      </c>
      <c r="T386" s="12">
        <v>383</v>
      </c>
      <c r="U386" s="255" t="s">
        <v>2287</v>
      </c>
      <c r="V386" s="232" t="s">
        <v>2281</v>
      </c>
      <c r="W386" s="232">
        <v>4911.8999999999996</v>
      </c>
      <c r="X386" s="232">
        <v>4862.6000000000004</v>
      </c>
      <c r="Y386" s="233" t="s">
        <v>49</v>
      </c>
      <c r="Z386" s="87" t="s">
        <v>50</v>
      </c>
      <c r="AA386" s="233" t="s">
        <v>51</v>
      </c>
      <c r="AB386" s="234"/>
      <c r="AC386" s="233">
        <v>1</v>
      </c>
      <c r="AD386" s="233" t="s">
        <v>226</v>
      </c>
      <c r="AE386" s="233"/>
      <c r="AF386" s="233"/>
      <c r="AG386" s="233" t="s">
        <v>2288</v>
      </c>
      <c r="AH386" s="233">
        <v>5</v>
      </c>
      <c r="AI386" s="233">
        <v>85</v>
      </c>
      <c r="AJ386" s="233" t="s">
        <v>432</v>
      </c>
      <c r="AK386" s="233">
        <v>100</v>
      </c>
      <c r="AL386" s="233"/>
      <c r="AM386" s="233" t="s">
        <v>2289</v>
      </c>
      <c r="AN386" s="233"/>
      <c r="AO386" s="233"/>
      <c r="AP386" s="234" t="s">
        <v>1897</v>
      </c>
      <c r="AQ386" s="234" t="s">
        <v>408</v>
      </c>
    </row>
    <row r="387" spans="1:43">
      <c r="A387" s="12">
        <v>384</v>
      </c>
      <c r="B387" s="21" t="s">
        <v>5443</v>
      </c>
      <c r="C387" s="5" t="s">
        <v>2291</v>
      </c>
      <c r="D387" s="5" t="s">
        <v>5444</v>
      </c>
      <c r="E387" s="5" t="s">
        <v>5445</v>
      </c>
      <c r="F387" s="5" t="s">
        <v>5446</v>
      </c>
      <c r="G387" s="5" t="s">
        <v>5447</v>
      </c>
      <c r="H387" s="11" t="s">
        <v>5448</v>
      </c>
      <c r="I387" s="5"/>
      <c r="J387" s="5"/>
      <c r="K387" s="5"/>
      <c r="L387" s="5"/>
      <c r="M387" s="5"/>
      <c r="N387" s="5"/>
      <c r="O387" s="5"/>
      <c r="P387" s="11">
        <v>258.0249</v>
      </c>
      <c r="Q387" s="5">
        <v>54.438499999999998</v>
      </c>
      <c r="R387" s="5">
        <f t="shared" si="5"/>
        <v>312.46339999999998</v>
      </c>
      <c r="S387" s="5" t="s">
        <v>429</v>
      </c>
      <c r="T387" s="12">
        <v>384</v>
      </c>
      <c r="U387" s="255" t="s">
        <v>2297</v>
      </c>
      <c r="V387" s="232" t="s">
        <v>2291</v>
      </c>
      <c r="W387" s="232">
        <v>4911.8999999999996</v>
      </c>
      <c r="X387" s="232">
        <v>5573.8</v>
      </c>
      <c r="Y387" s="233" t="s">
        <v>49</v>
      </c>
      <c r="Z387" s="87" t="s">
        <v>50</v>
      </c>
      <c r="AA387" s="233" t="s">
        <v>51</v>
      </c>
      <c r="AB387" s="234"/>
      <c r="AC387" s="233">
        <v>1</v>
      </c>
      <c r="AD387" s="233" t="s">
        <v>226</v>
      </c>
      <c r="AE387" s="233"/>
      <c r="AF387" s="233"/>
      <c r="AG387" s="233" t="s">
        <v>2288</v>
      </c>
      <c r="AH387" s="233">
        <v>5</v>
      </c>
      <c r="AI387" s="233">
        <v>85</v>
      </c>
      <c r="AJ387" s="233" t="s">
        <v>432</v>
      </c>
      <c r="AK387" s="233">
        <v>100</v>
      </c>
      <c r="AL387" s="233"/>
      <c r="AM387" s="233" t="s">
        <v>2298</v>
      </c>
      <c r="AN387" s="233"/>
      <c r="AO387" s="233"/>
      <c r="AP387" s="234" t="s">
        <v>1897</v>
      </c>
      <c r="AQ387" s="234" t="s">
        <v>408</v>
      </c>
    </row>
    <row r="388" spans="1:43">
      <c r="A388" s="12">
        <v>385</v>
      </c>
      <c r="B388" s="21" t="s">
        <v>5449</v>
      </c>
      <c r="C388" s="5" t="s">
        <v>2300</v>
      </c>
      <c r="D388" s="5" t="s">
        <v>5450</v>
      </c>
      <c r="E388" s="5" t="s">
        <v>5451</v>
      </c>
      <c r="F388" s="5" t="s">
        <v>5452</v>
      </c>
      <c r="G388" s="5" t="s">
        <v>5453</v>
      </c>
      <c r="H388" s="11" t="s">
        <v>5454</v>
      </c>
      <c r="I388" s="5"/>
      <c r="J388" s="5"/>
      <c r="K388" s="5"/>
      <c r="L388" s="5"/>
      <c r="M388" s="5"/>
      <c r="N388" s="5"/>
      <c r="O388" s="5"/>
      <c r="P388" s="11">
        <v>258.03280000000001</v>
      </c>
      <c r="Q388" s="5">
        <v>54.4726</v>
      </c>
      <c r="R388" s="5">
        <f t="shared" ref="R388:R451" si="6">IF(AND(P388="",Q388=""),"",SUM(P388:Q388))</f>
        <v>312.50540000000001</v>
      </c>
      <c r="S388" s="5" t="s">
        <v>2306</v>
      </c>
      <c r="T388" s="12">
        <v>385</v>
      </c>
      <c r="U388" s="255" t="s">
        <v>2307</v>
      </c>
      <c r="V388" s="232" t="s">
        <v>2300</v>
      </c>
      <c r="W388" s="232">
        <v>5026</v>
      </c>
      <c r="X388" s="232">
        <v>10380.6</v>
      </c>
      <c r="Y388" s="233" t="s">
        <v>49</v>
      </c>
      <c r="Z388" s="87" t="s">
        <v>50</v>
      </c>
      <c r="AA388" s="233" t="s">
        <v>51</v>
      </c>
      <c r="AB388" s="234"/>
      <c r="AC388" s="233">
        <v>1</v>
      </c>
      <c r="AD388" s="233" t="s">
        <v>226</v>
      </c>
      <c r="AE388" s="233"/>
      <c r="AF388" s="233"/>
      <c r="AG388" s="233" t="s">
        <v>2288</v>
      </c>
      <c r="AH388" s="233">
        <v>5</v>
      </c>
      <c r="AI388" s="233">
        <v>85</v>
      </c>
      <c r="AJ388" s="233" t="s">
        <v>432</v>
      </c>
      <c r="AK388" s="233">
        <v>100</v>
      </c>
      <c r="AL388" s="233"/>
      <c r="AM388" s="233" t="s">
        <v>2289</v>
      </c>
      <c r="AN388" s="233"/>
      <c r="AO388" s="233"/>
      <c r="AP388" s="234" t="s">
        <v>1897</v>
      </c>
      <c r="AQ388" s="234" t="s">
        <v>408</v>
      </c>
    </row>
    <row r="389" spans="1:43">
      <c r="A389" s="12">
        <v>386</v>
      </c>
      <c r="B389" s="21" t="s">
        <v>5455</v>
      </c>
      <c r="C389" s="5" t="s">
        <v>2309</v>
      </c>
      <c r="D389" s="5" t="s">
        <v>5456</v>
      </c>
      <c r="E389" s="5" t="s">
        <v>5457</v>
      </c>
      <c r="F389" s="5" t="s">
        <v>5458</v>
      </c>
      <c r="G389" s="5" t="s">
        <v>5459</v>
      </c>
      <c r="H389" s="11" t="s">
        <v>5460</v>
      </c>
      <c r="I389" s="5"/>
      <c r="J389" s="5"/>
      <c r="K389" s="5"/>
      <c r="L389" s="5"/>
      <c r="M389" s="5"/>
      <c r="N389" s="5"/>
      <c r="O389" s="5"/>
      <c r="P389" s="11">
        <v>258.03210000000001</v>
      </c>
      <c r="Q389" s="5">
        <v>54.468600000000002</v>
      </c>
      <c r="R389" s="5">
        <f t="shared" si="6"/>
        <v>312.50069999999999</v>
      </c>
      <c r="S389" s="5" t="s">
        <v>2306</v>
      </c>
      <c r="T389" s="12">
        <v>386</v>
      </c>
      <c r="U389" s="255" t="s">
        <v>2315</v>
      </c>
      <c r="V389" s="232" t="s">
        <v>2309</v>
      </c>
      <c r="W389" s="232">
        <v>4525.6000000000004</v>
      </c>
      <c r="X389" s="232">
        <v>10380.6</v>
      </c>
      <c r="Y389" s="233" t="s">
        <v>49</v>
      </c>
      <c r="Z389" s="87" t="s">
        <v>50</v>
      </c>
      <c r="AA389" s="233" t="s">
        <v>51</v>
      </c>
      <c r="AB389" s="234"/>
      <c r="AC389" s="233">
        <v>1</v>
      </c>
      <c r="AD389" s="233" t="s">
        <v>226</v>
      </c>
      <c r="AE389" s="233"/>
      <c r="AF389" s="233"/>
      <c r="AG389" s="233" t="s">
        <v>2288</v>
      </c>
      <c r="AH389" s="233">
        <v>5</v>
      </c>
      <c r="AI389" s="233">
        <v>85</v>
      </c>
      <c r="AJ389" s="233" t="s">
        <v>432</v>
      </c>
      <c r="AK389" s="233">
        <v>100</v>
      </c>
      <c r="AL389" s="233"/>
      <c r="AM389" s="233" t="s">
        <v>2298</v>
      </c>
      <c r="AN389" s="233"/>
      <c r="AO389" s="233"/>
      <c r="AP389" s="234" t="s">
        <v>1897</v>
      </c>
      <c r="AQ389" s="234" t="s">
        <v>408</v>
      </c>
    </row>
    <row r="390" spans="1:43">
      <c r="A390" s="12">
        <v>387</v>
      </c>
      <c r="B390" s="21" t="s">
        <v>5461</v>
      </c>
      <c r="C390" s="5" t="s">
        <v>2317</v>
      </c>
      <c r="D390" s="5" t="s">
        <v>5462</v>
      </c>
      <c r="E390" s="5" t="s">
        <v>5463</v>
      </c>
      <c r="F390" s="5" t="s">
        <v>5464</v>
      </c>
      <c r="G390" s="5" t="s">
        <v>5465</v>
      </c>
      <c r="H390" s="11" t="s">
        <v>5466</v>
      </c>
      <c r="I390" s="5"/>
      <c r="J390" s="5"/>
      <c r="K390" s="5"/>
      <c r="L390" s="5"/>
      <c r="M390" s="5"/>
      <c r="N390" s="5"/>
      <c r="O390" s="5"/>
      <c r="P390" s="11">
        <v>258.04570000000001</v>
      </c>
      <c r="Q390" s="5">
        <v>54.523200000000003</v>
      </c>
      <c r="R390" s="5">
        <f t="shared" si="6"/>
        <v>312.56889999999999</v>
      </c>
      <c r="S390" s="5" t="s">
        <v>224</v>
      </c>
      <c r="T390" s="12">
        <v>387</v>
      </c>
      <c r="U390" s="255" t="s">
        <v>2323</v>
      </c>
      <c r="V390" s="232" t="s">
        <v>2317</v>
      </c>
      <c r="W390" s="232">
        <v>-7361.4</v>
      </c>
      <c r="X390" s="232">
        <v>4862.6000000000004</v>
      </c>
      <c r="Y390" s="233" t="s">
        <v>49</v>
      </c>
      <c r="Z390" s="87" t="s">
        <v>50</v>
      </c>
      <c r="AA390" s="233" t="s">
        <v>51</v>
      </c>
      <c r="AB390" s="234"/>
      <c r="AC390" s="233">
        <v>1</v>
      </c>
      <c r="AD390" s="233" t="s">
        <v>226</v>
      </c>
      <c r="AE390" s="233"/>
      <c r="AF390" s="233"/>
      <c r="AG390" s="233" t="s">
        <v>2324</v>
      </c>
      <c r="AH390" s="233">
        <v>5</v>
      </c>
      <c r="AI390" s="233">
        <v>85</v>
      </c>
      <c r="AJ390" s="233" t="s">
        <v>432</v>
      </c>
      <c r="AK390" s="233">
        <v>100</v>
      </c>
      <c r="AL390" s="233"/>
      <c r="AM390" s="233" t="s">
        <v>2325</v>
      </c>
      <c r="AN390" s="233"/>
      <c r="AO390" s="233"/>
      <c r="AP390" s="234" t="s">
        <v>1897</v>
      </c>
      <c r="AQ390" s="234" t="s">
        <v>408</v>
      </c>
    </row>
    <row r="391" spans="1:43">
      <c r="A391" s="12">
        <v>388</v>
      </c>
      <c r="B391" s="21" t="s">
        <v>5467</v>
      </c>
      <c r="C391" s="5" t="s">
        <v>2327</v>
      </c>
      <c r="D391" s="5" t="s">
        <v>5468</v>
      </c>
      <c r="E391" s="5" t="s">
        <v>5469</v>
      </c>
      <c r="F391" s="5" t="s">
        <v>5470</v>
      </c>
      <c r="G391" s="5" t="s">
        <v>5471</v>
      </c>
      <c r="H391" s="11" t="s">
        <v>5472</v>
      </c>
      <c r="I391" s="5"/>
      <c r="J391" s="5"/>
      <c r="K391" s="5"/>
      <c r="L391" s="5"/>
      <c r="M391" s="5"/>
      <c r="N391" s="5"/>
      <c r="O391" s="5"/>
      <c r="P391" s="11">
        <v>258.0453</v>
      </c>
      <c r="Q391" s="5">
        <v>54.524000000000001</v>
      </c>
      <c r="R391" s="5">
        <f t="shared" si="6"/>
        <v>312.5693</v>
      </c>
      <c r="S391" s="5" t="s">
        <v>224</v>
      </c>
      <c r="T391" s="12">
        <v>388</v>
      </c>
      <c r="U391" s="255" t="s">
        <v>2333</v>
      </c>
      <c r="V391" s="232" t="s">
        <v>2327</v>
      </c>
      <c r="W391" s="232">
        <v>-7361.4</v>
      </c>
      <c r="X391" s="232">
        <v>5573.8</v>
      </c>
      <c r="Y391" s="233" t="s">
        <v>49</v>
      </c>
      <c r="Z391" s="87" t="s">
        <v>50</v>
      </c>
      <c r="AA391" s="233" t="s">
        <v>51</v>
      </c>
      <c r="AB391" s="234"/>
      <c r="AC391" s="233">
        <v>1</v>
      </c>
      <c r="AD391" s="233" t="s">
        <v>226</v>
      </c>
      <c r="AE391" s="233"/>
      <c r="AF391" s="233"/>
      <c r="AG391" s="233" t="s">
        <v>2324</v>
      </c>
      <c r="AH391" s="233">
        <v>5</v>
      </c>
      <c r="AI391" s="233">
        <v>85</v>
      </c>
      <c r="AJ391" s="233" t="s">
        <v>432</v>
      </c>
      <c r="AK391" s="233">
        <v>100</v>
      </c>
      <c r="AL391" s="233"/>
      <c r="AM391" s="233" t="s">
        <v>2334</v>
      </c>
      <c r="AN391" s="233"/>
      <c r="AO391" s="233"/>
      <c r="AP391" s="234" t="s">
        <v>1897</v>
      </c>
      <c r="AQ391" s="234" t="s">
        <v>408</v>
      </c>
    </row>
    <row r="392" spans="1:43">
      <c r="A392" s="12">
        <v>389</v>
      </c>
      <c r="B392" s="21" t="s">
        <v>5473</v>
      </c>
      <c r="C392" s="5" t="s">
        <v>2336</v>
      </c>
      <c r="D392" s="5" t="s">
        <v>5474</v>
      </c>
      <c r="E392" s="5" t="s">
        <v>5475</v>
      </c>
      <c r="F392" s="5" t="s">
        <v>5476</v>
      </c>
      <c r="G392" s="5" t="s">
        <v>5477</v>
      </c>
      <c r="H392" s="11" t="s">
        <v>5478</v>
      </c>
      <c r="I392" s="5"/>
      <c r="J392" s="5"/>
      <c r="K392" s="5"/>
      <c r="L392" s="5"/>
      <c r="M392" s="5"/>
      <c r="N392" s="5"/>
      <c r="O392" s="5"/>
      <c r="P392" s="11">
        <v>258.0412</v>
      </c>
      <c r="Q392" s="5">
        <v>54.716900000000003</v>
      </c>
      <c r="R392" s="5">
        <f t="shared" si="6"/>
        <v>312.75810000000001</v>
      </c>
      <c r="S392" s="5" t="s">
        <v>2199</v>
      </c>
      <c r="T392" s="12">
        <v>389</v>
      </c>
      <c r="U392" s="255" t="s">
        <v>2342</v>
      </c>
      <c r="V392" s="232" t="s">
        <v>2336</v>
      </c>
      <c r="W392" s="232">
        <v>-7254.6</v>
      </c>
      <c r="X392" s="232">
        <v>10380.6</v>
      </c>
      <c r="Y392" s="233" t="s">
        <v>49</v>
      </c>
      <c r="Z392" s="87" t="s">
        <v>50</v>
      </c>
      <c r="AA392" s="233" t="s">
        <v>51</v>
      </c>
      <c r="AB392" s="234"/>
      <c r="AC392" s="233">
        <v>1</v>
      </c>
      <c r="AD392" s="233" t="s">
        <v>226</v>
      </c>
      <c r="AE392" s="233"/>
      <c r="AF392" s="233"/>
      <c r="AG392" s="233" t="s">
        <v>2324</v>
      </c>
      <c r="AH392" s="233">
        <v>5</v>
      </c>
      <c r="AI392" s="233">
        <v>85</v>
      </c>
      <c r="AJ392" s="233" t="s">
        <v>432</v>
      </c>
      <c r="AK392" s="233">
        <v>100</v>
      </c>
      <c r="AL392" s="233"/>
      <c r="AM392" s="233" t="s">
        <v>2325</v>
      </c>
      <c r="AN392" s="233"/>
      <c r="AO392" s="233"/>
      <c r="AP392" s="234" t="s">
        <v>1897</v>
      </c>
      <c r="AQ392" s="234" t="s">
        <v>408</v>
      </c>
    </row>
    <row r="393" spans="1:43">
      <c r="A393" s="12">
        <v>390</v>
      </c>
      <c r="B393" s="21" t="s">
        <v>5479</v>
      </c>
      <c r="C393" s="5" t="s">
        <v>2344</v>
      </c>
      <c r="D393" s="5" t="s">
        <v>5480</v>
      </c>
      <c r="E393" s="5" t="s">
        <v>5481</v>
      </c>
      <c r="F393" s="5" t="s">
        <v>5482</v>
      </c>
      <c r="G393" s="5" t="s">
        <v>5483</v>
      </c>
      <c r="H393" s="11" t="s">
        <v>5484</v>
      </c>
      <c r="I393" s="5"/>
      <c r="J393" s="5"/>
      <c r="K393" s="5"/>
      <c r="L393" s="5"/>
      <c r="M393" s="5"/>
      <c r="N393" s="5"/>
      <c r="O393" s="5"/>
      <c r="P393" s="11">
        <v>258.04539999999997</v>
      </c>
      <c r="Q393" s="5">
        <v>54.7211</v>
      </c>
      <c r="R393" s="5">
        <f t="shared" si="6"/>
        <v>312.76649999999995</v>
      </c>
      <c r="S393" s="5" t="s">
        <v>2199</v>
      </c>
      <c r="T393" s="12">
        <v>390</v>
      </c>
      <c r="U393" s="255" t="s">
        <v>2350</v>
      </c>
      <c r="V393" s="232" t="s">
        <v>2344</v>
      </c>
      <c r="W393" s="232">
        <v>-7755</v>
      </c>
      <c r="X393" s="232">
        <v>10380.6</v>
      </c>
      <c r="Y393" s="233" t="s">
        <v>49</v>
      </c>
      <c r="Z393" s="87" t="s">
        <v>50</v>
      </c>
      <c r="AA393" s="233" t="s">
        <v>51</v>
      </c>
      <c r="AB393" s="234"/>
      <c r="AC393" s="233">
        <v>1</v>
      </c>
      <c r="AD393" s="233" t="s">
        <v>226</v>
      </c>
      <c r="AE393" s="233"/>
      <c r="AF393" s="233"/>
      <c r="AG393" s="233" t="s">
        <v>2324</v>
      </c>
      <c r="AH393" s="233">
        <v>5</v>
      </c>
      <c r="AI393" s="233">
        <v>85</v>
      </c>
      <c r="AJ393" s="233" t="s">
        <v>432</v>
      </c>
      <c r="AK393" s="233">
        <v>100</v>
      </c>
      <c r="AL393" s="233"/>
      <c r="AM393" s="233" t="s">
        <v>2334</v>
      </c>
      <c r="AN393" s="233"/>
      <c r="AO393" s="233"/>
      <c r="AP393" s="234" t="s">
        <v>1897</v>
      </c>
      <c r="AQ393" s="234" t="s">
        <v>408</v>
      </c>
    </row>
    <row r="394" spans="1:43">
      <c r="A394" s="12">
        <v>391</v>
      </c>
      <c r="B394" s="21" t="s">
        <v>5485</v>
      </c>
      <c r="C394" s="5" t="s">
        <v>2352</v>
      </c>
      <c r="D394" s="5" t="s">
        <v>5486</v>
      </c>
      <c r="E394" s="5" t="s">
        <v>5487</v>
      </c>
      <c r="F394" s="5" t="s">
        <v>5488</v>
      </c>
      <c r="G394" s="5" t="s">
        <v>5489</v>
      </c>
      <c r="H394" s="11" t="s">
        <v>5490</v>
      </c>
      <c r="I394" s="5"/>
      <c r="J394" s="5"/>
      <c r="K394" s="5"/>
      <c r="L394" s="5"/>
      <c r="M394" s="5"/>
      <c r="N394" s="5"/>
      <c r="O394" s="5"/>
      <c r="P394" s="11">
        <v>258.005</v>
      </c>
      <c r="Q394" s="5">
        <v>54.633099999999999</v>
      </c>
      <c r="R394" s="5">
        <f t="shared" si="6"/>
        <v>312.63810000000001</v>
      </c>
      <c r="S394" s="5" t="s">
        <v>1914</v>
      </c>
      <c r="T394" s="12">
        <v>391</v>
      </c>
      <c r="U394" s="255" t="s">
        <v>2358</v>
      </c>
      <c r="V394" s="232" t="s">
        <v>2352</v>
      </c>
      <c r="W394" s="232">
        <v>-825.6</v>
      </c>
      <c r="X394" s="232">
        <v>-5573.8</v>
      </c>
      <c r="Y394" s="233" t="s">
        <v>49</v>
      </c>
      <c r="Z394" s="87" t="s">
        <v>50</v>
      </c>
      <c r="AA394" s="233" t="s">
        <v>51</v>
      </c>
      <c r="AB394" s="234"/>
      <c r="AC394" s="233">
        <v>1</v>
      </c>
      <c r="AD394" s="233" t="s">
        <v>226</v>
      </c>
      <c r="AE394" s="233"/>
      <c r="AF394" s="233"/>
      <c r="AG394" s="233" t="s">
        <v>2359</v>
      </c>
      <c r="AH394" s="233">
        <v>5</v>
      </c>
      <c r="AI394" s="233">
        <v>85</v>
      </c>
      <c r="AJ394" s="233" t="s">
        <v>432</v>
      </c>
      <c r="AK394" s="233">
        <v>100</v>
      </c>
      <c r="AL394" s="233"/>
      <c r="AM394" s="233" t="s">
        <v>2360</v>
      </c>
      <c r="AN394" s="233"/>
      <c r="AO394" s="233"/>
      <c r="AP394" s="234" t="s">
        <v>1897</v>
      </c>
      <c r="AQ394" s="234" t="s">
        <v>408</v>
      </c>
    </row>
    <row r="395" spans="1:43">
      <c r="A395" s="12">
        <v>392</v>
      </c>
      <c r="B395" s="21" t="s">
        <v>5491</v>
      </c>
      <c r="C395" s="5" t="s">
        <v>2362</v>
      </c>
      <c r="D395" s="5" t="s">
        <v>5492</v>
      </c>
      <c r="E395" s="5" t="s">
        <v>5493</v>
      </c>
      <c r="F395" s="5" t="s">
        <v>5494</v>
      </c>
      <c r="G395" s="5" t="s">
        <v>5495</v>
      </c>
      <c r="H395" s="11" t="s">
        <v>5496</v>
      </c>
      <c r="I395" s="5"/>
      <c r="J395" s="5"/>
      <c r="K395" s="5"/>
      <c r="L395" s="5"/>
      <c r="M395" s="5"/>
      <c r="N395" s="5"/>
      <c r="O395" s="5"/>
      <c r="P395" s="11">
        <v>258.01010000000002</v>
      </c>
      <c r="Q395" s="5">
        <v>54.632199999999997</v>
      </c>
      <c r="R395" s="5">
        <f t="shared" si="6"/>
        <v>312.64230000000003</v>
      </c>
      <c r="S395" s="5" t="s">
        <v>1914</v>
      </c>
      <c r="T395" s="12">
        <v>392</v>
      </c>
      <c r="U395" s="255" t="s">
        <v>2368</v>
      </c>
      <c r="V395" s="232" t="s">
        <v>2362</v>
      </c>
      <c r="W395" s="232">
        <v>-825.6</v>
      </c>
      <c r="X395" s="232">
        <v>-4862.6000000000004</v>
      </c>
      <c r="Y395" s="233" t="s">
        <v>49</v>
      </c>
      <c r="Z395" s="87" t="s">
        <v>50</v>
      </c>
      <c r="AA395" s="233" t="s">
        <v>51</v>
      </c>
      <c r="AB395" s="234"/>
      <c r="AC395" s="233">
        <v>1</v>
      </c>
      <c r="AD395" s="233" t="s">
        <v>226</v>
      </c>
      <c r="AE395" s="233"/>
      <c r="AF395" s="233"/>
      <c r="AG395" s="233" t="s">
        <v>2359</v>
      </c>
      <c r="AH395" s="233">
        <v>5</v>
      </c>
      <c r="AI395" s="233">
        <v>85</v>
      </c>
      <c r="AJ395" s="233" t="s">
        <v>432</v>
      </c>
      <c r="AK395" s="233">
        <v>100</v>
      </c>
      <c r="AL395" s="233"/>
      <c r="AM395" s="233" t="s">
        <v>2369</v>
      </c>
      <c r="AN395" s="233"/>
      <c r="AO395" s="233"/>
      <c r="AP395" s="234" t="s">
        <v>1897</v>
      </c>
      <c r="AQ395" s="234" t="s">
        <v>408</v>
      </c>
    </row>
    <row r="396" spans="1:43">
      <c r="A396" s="12">
        <v>393</v>
      </c>
      <c r="B396" s="21" t="s">
        <v>5497</v>
      </c>
      <c r="C396" s="5" t="s">
        <v>2371</v>
      </c>
      <c r="D396" s="5" t="s">
        <v>5498</v>
      </c>
      <c r="E396" s="5" t="s">
        <v>5499</v>
      </c>
      <c r="F396" s="5" t="s">
        <v>5500</v>
      </c>
      <c r="G396" s="5" t="s">
        <v>5501</v>
      </c>
      <c r="H396" s="11" t="s">
        <v>5502</v>
      </c>
      <c r="I396" s="5"/>
      <c r="J396" s="5"/>
      <c r="K396" s="5"/>
      <c r="L396" s="5"/>
      <c r="M396" s="5"/>
      <c r="N396" s="5"/>
      <c r="O396" s="5"/>
      <c r="P396" s="11">
        <v>258.08999999999997</v>
      </c>
      <c r="Q396" s="5">
        <v>54.576099999999997</v>
      </c>
      <c r="R396" s="5">
        <f t="shared" si="6"/>
        <v>312.66609999999997</v>
      </c>
      <c r="S396" s="5" t="s">
        <v>264</v>
      </c>
      <c r="T396" s="12">
        <v>393</v>
      </c>
      <c r="U396" s="255" t="s">
        <v>2377</v>
      </c>
      <c r="V396" s="232" t="s">
        <v>2371</v>
      </c>
      <c r="W396" s="232">
        <v>-2979.2</v>
      </c>
      <c r="X396" s="232">
        <v>-11190</v>
      </c>
      <c r="Y396" s="233" t="s">
        <v>49</v>
      </c>
      <c r="Z396" s="87" t="s">
        <v>50</v>
      </c>
      <c r="AA396" s="233" t="s">
        <v>51</v>
      </c>
      <c r="AB396" s="234"/>
      <c r="AC396" s="233">
        <v>1</v>
      </c>
      <c r="AD396" s="233" t="s">
        <v>226</v>
      </c>
      <c r="AE396" s="233"/>
      <c r="AF396" s="233"/>
      <c r="AG396" s="233" t="s">
        <v>2359</v>
      </c>
      <c r="AH396" s="233">
        <v>5</v>
      </c>
      <c r="AI396" s="233">
        <v>85</v>
      </c>
      <c r="AJ396" s="233" t="s">
        <v>432</v>
      </c>
      <c r="AK396" s="233">
        <v>100</v>
      </c>
      <c r="AL396" s="233"/>
      <c r="AM396" s="233" t="s">
        <v>2360</v>
      </c>
      <c r="AN396" s="233"/>
      <c r="AO396" s="233"/>
      <c r="AP396" s="234" t="s">
        <v>1897</v>
      </c>
      <c r="AQ396" s="234" t="s">
        <v>408</v>
      </c>
    </row>
    <row r="397" spans="1:43">
      <c r="A397" s="12">
        <v>394</v>
      </c>
      <c r="B397" s="21" t="s">
        <v>5503</v>
      </c>
      <c r="C397" s="5" t="s">
        <v>2379</v>
      </c>
      <c r="D397" s="5" t="s">
        <v>5504</v>
      </c>
      <c r="E397" s="5" t="s">
        <v>5505</v>
      </c>
      <c r="F397" s="5" t="s">
        <v>5506</v>
      </c>
      <c r="G397" s="5" t="s">
        <v>5507</v>
      </c>
      <c r="H397" s="11" t="s">
        <v>5508</v>
      </c>
      <c r="I397" s="5"/>
      <c r="J397" s="5"/>
      <c r="K397" s="5"/>
      <c r="L397" s="5"/>
      <c r="M397" s="5"/>
      <c r="N397" s="5"/>
      <c r="O397" s="5"/>
      <c r="P397" s="11">
        <v>258.04719999999998</v>
      </c>
      <c r="Q397" s="5">
        <v>54.584299999999999</v>
      </c>
      <c r="R397" s="5">
        <f t="shared" si="6"/>
        <v>312.63149999999996</v>
      </c>
      <c r="S397" s="5" t="s">
        <v>264</v>
      </c>
      <c r="T397" s="12">
        <v>394</v>
      </c>
      <c r="U397" s="255" t="s">
        <v>2385</v>
      </c>
      <c r="V397" s="232" t="s">
        <v>2379</v>
      </c>
      <c r="W397" s="232">
        <v>-2478.8000000000002</v>
      </c>
      <c r="X397" s="232">
        <v>-11190</v>
      </c>
      <c r="Y397" s="233" t="s">
        <v>49</v>
      </c>
      <c r="Z397" s="87" t="s">
        <v>50</v>
      </c>
      <c r="AA397" s="233" t="s">
        <v>51</v>
      </c>
      <c r="AB397" s="234"/>
      <c r="AC397" s="233">
        <v>1</v>
      </c>
      <c r="AD397" s="233" t="s">
        <v>226</v>
      </c>
      <c r="AE397" s="233"/>
      <c r="AF397" s="233"/>
      <c r="AG397" s="233" t="s">
        <v>2359</v>
      </c>
      <c r="AH397" s="233">
        <v>5</v>
      </c>
      <c r="AI397" s="233">
        <v>85</v>
      </c>
      <c r="AJ397" s="233" t="s">
        <v>432</v>
      </c>
      <c r="AK397" s="233">
        <v>100</v>
      </c>
      <c r="AL397" s="233"/>
      <c r="AM397" s="233" t="s">
        <v>2369</v>
      </c>
      <c r="AN397" s="233"/>
      <c r="AO397" s="233"/>
      <c r="AP397" s="234" t="s">
        <v>1897</v>
      </c>
      <c r="AQ397" s="234" t="s">
        <v>408</v>
      </c>
    </row>
    <row r="398" spans="1:43">
      <c r="A398" s="12">
        <v>395</v>
      </c>
      <c r="B398" s="21" t="s">
        <v>5509</v>
      </c>
      <c r="C398" s="5" t="s">
        <v>2387</v>
      </c>
      <c r="D398" s="5" t="s">
        <v>5510</v>
      </c>
      <c r="E398" s="5" t="s">
        <v>5511</v>
      </c>
      <c r="F398" s="5" t="s">
        <v>5512</v>
      </c>
      <c r="G398" s="5" t="s">
        <v>5513</v>
      </c>
      <c r="H398" s="11" t="s">
        <v>5514</v>
      </c>
      <c r="I398" s="5"/>
      <c r="J398" s="5"/>
      <c r="K398" s="5"/>
      <c r="L398" s="5"/>
      <c r="M398" s="5"/>
      <c r="N398" s="5"/>
      <c r="O398" s="5"/>
      <c r="P398" s="11">
        <v>257.99779999999998</v>
      </c>
      <c r="Q398" s="5">
        <v>54.7044</v>
      </c>
      <c r="R398" s="5">
        <f t="shared" si="6"/>
        <v>312.7022</v>
      </c>
      <c r="S398" s="5" t="s">
        <v>1967</v>
      </c>
      <c r="T398" s="12">
        <v>395</v>
      </c>
      <c r="U398" s="255" t="s">
        <v>2393</v>
      </c>
      <c r="V398" s="232" t="s">
        <v>2387</v>
      </c>
      <c r="W398" s="232">
        <v>-825.6</v>
      </c>
      <c r="X398" s="232">
        <v>-7707.4</v>
      </c>
      <c r="Y398" s="233" t="s">
        <v>49</v>
      </c>
      <c r="Z398" s="87" t="s">
        <v>50</v>
      </c>
      <c r="AA398" s="233" t="s">
        <v>51</v>
      </c>
      <c r="AB398" s="234"/>
      <c r="AC398" s="233">
        <v>1</v>
      </c>
      <c r="AD398" s="233" t="s">
        <v>226</v>
      </c>
      <c r="AE398" s="233"/>
      <c r="AF398" s="233"/>
      <c r="AG398" s="233" t="s">
        <v>2394</v>
      </c>
      <c r="AH398" s="233">
        <v>5</v>
      </c>
      <c r="AI398" s="233">
        <v>85</v>
      </c>
      <c r="AJ398" s="233" t="s">
        <v>432</v>
      </c>
      <c r="AK398" s="233">
        <v>100</v>
      </c>
      <c r="AL398" s="233"/>
      <c r="AM398" s="233" t="s">
        <v>2395</v>
      </c>
      <c r="AN398" s="233"/>
      <c r="AO398" s="233"/>
      <c r="AP398" s="234" t="s">
        <v>1897</v>
      </c>
      <c r="AQ398" s="234" t="s">
        <v>408</v>
      </c>
    </row>
    <row r="399" spans="1:43">
      <c r="A399" s="12">
        <v>396</v>
      </c>
      <c r="B399" s="21" t="s">
        <v>5515</v>
      </c>
      <c r="C399" s="5" t="s">
        <v>2397</v>
      </c>
      <c r="D399" s="5" t="s">
        <v>5516</v>
      </c>
      <c r="E399" s="5" t="s">
        <v>5517</v>
      </c>
      <c r="F399" s="5" t="s">
        <v>5518</v>
      </c>
      <c r="G399" s="5" t="s">
        <v>5519</v>
      </c>
      <c r="H399" s="11" t="s">
        <v>5520</v>
      </c>
      <c r="I399" s="5"/>
      <c r="J399" s="5"/>
      <c r="K399" s="5"/>
      <c r="L399" s="5"/>
      <c r="M399" s="5"/>
      <c r="N399" s="5"/>
      <c r="O399" s="5"/>
      <c r="P399" s="11">
        <v>258.0068</v>
      </c>
      <c r="Q399" s="5">
        <v>54.716500000000003</v>
      </c>
      <c r="R399" s="5">
        <f t="shared" si="6"/>
        <v>312.72329999999999</v>
      </c>
      <c r="S399" s="5" t="s">
        <v>1967</v>
      </c>
      <c r="T399" s="12">
        <v>396</v>
      </c>
      <c r="U399" s="255" t="s">
        <v>2403</v>
      </c>
      <c r="V399" s="232" t="s">
        <v>2397</v>
      </c>
      <c r="W399" s="232">
        <v>-825.6</v>
      </c>
      <c r="X399" s="232">
        <v>-6996.2</v>
      </c>
      <c r="Y399" s="233" t="s">
        <v>49</v>
      </c>
      <c r="Z399" s="87" t="s">
        <v>50</v>
      </c>
      <c r="AA399" s="233" t="s">
        <v>51</v>
      </c>
      <c r="AB399" s="234"/>
      <c r="AC399" s="233">
        <v>1</v>
      </c>
      <c r="AD399" s="233" t="s">
        <v>226</v>
      </c>
      <c r="AE399" s="233"/>
      <c r="AF399" s="233"/>
      <c r="AG399" s="233" t="s">
        <v>2394</v>
      </c>
      <c r="AH399" s="233">
        <v>5</v>
      </c>
      <c r="AI399" s="233">
        <v>85</v>
      </c>
      <c r="AJ399" s="233" t="s">
        <v>432</v>
      </c>
      <c r="AK399" s="233">
        <v>100</v>
      </c>
      <c r="AL399" s="233"/>
      <c r="AM399" s="233" t="s">
        <v>760</v>
      </c>
      <c r="AN399" s="233"/>
      <c r="AO399" s="233"/>
      <c r="AP399" s="234" t="s">
        <v>1897</v>
      </c>
      <c r="AQ399" s="234" t="s">
        <v>408</v>
      </c>
    </row>
    <row r="400" spans="1:43">
      <c r="A400" s="12">
        <v>397</v>
      </c>
      <c r="B400" s="21" t="s">
        <v>5521</v>
      </c>
      <c r="C400" s="5" t="s">
        <v>2405</v>
      </c>
      <c r="D400" s="5" t="s">
        <v>5522</v>
      </c>
      <c r="E400" s="5" t="s">
        <v>5523</v>
      </c>
      <c r="F400" s="5" t="s">
        <v>5524</v>
      </c>
      <c r="G400" s="5" t="s">
        <v>5525</v>
      </c>
      <c r="H400" s="11" t="s">
        <v>5526</v>
      </c>
      <c r="I400" s="5"/>
      <c r="J400" s="5"/>
      <c r="K400" s="5"/>
      <c r="L400" s="5"/>
      <c r="M400" s="5"/>
      <c r="N400" s="5"/>
      <c r="O400" s="5"/>
      <c r="P400" s="11">
        <v>258.00529999999998</v>
      </c>
      <c r="Q400" s="5">
        <v>54.796599999999998</v>
      </c>
      <c r="R400" s="5">
        <f t="shared" si="6"/>
        <v>312.80189999999999</v>
      </c>
      <c r="S400" s="5" t="s">
        <v>2411</v>
      </c>
      <c r="T400" s="12">
        <v>397</v>
      </c>
      <c r="U400" s="255" t="s">
        <v>2412</v>
      </c>
      <c r="V400" s="232" t="s">
        <v>2405</v>
      </c>
      <c r="W400" s="232">
        <v>-3661.5</v>
      </c>
      <c r="X400" s="232">
        <v>-10380.6</v>
      </c>
      <c r="Y400" s="233" t="s">
        <v>49</v>
      </c>
      <c r="Z400" s="87" t="s">
        <v>50</v>
      </c>
      <c r="AA400" s="233" t="s">
        <v>51</v>
      </c>
      <c r="AB400" s="234"/>
      <c r="AC400" s="233">
        <v>1</v>
      </c>
      <c r="AD400" s="233" t="s">
        <v>226</v>
      </c>
      <c r="AE400" s="233"/>
      <c r="AF400" s="233"/>
      <c r="AG400" s="233" t="s">
        <v>2394</v>
      </c>
      <c r="AH400" s="233">
        <v>5</v>
      </c>
      <c r="AI400" s="233">
        <v>85</v>
      </c>
      <c r="AJ400" s="233" t="s">
        <v>432</v>
      </c>
      <c r="AK400" s="233">
        <v>100</v>
      </c>
      <c r="AL400" s="233"/>
      <c r="AM400" s="233" t="s">
        <v>2395</v>
      </c>
      <c r="AN400" s="233"/>
      <c r="AO400" s="233"/>
      <c r="AP400" s="234" t="s">
        <v>1897</v>
      </c>
      <c r="AQ400" s="234" t="s">
        <v>408</v>
      </c>
    </row>
    <row r="401" spans="1:43">
      <c r="A401" s="12">
        <v>398</v>
      </c>
      <c r="B401" s="21" t="s">
        <v>5527</v>
      </c>
      <c r="C401" s="5" t="s">
        <v>2414</v>
      </c>
      <c r="D401" s="5" t="s">
        <v>5528</v>
      </c>
      <c r="E401" s="5" t="s">
        <v>5529</v>
      </c>
      <c r="F401" s="5" t="s">
        <v>5530</v>
      </c>
      <c r="G401" s="5" t="s">
        <v>5531</v>
      </c>
      <c r="H401" s="11" t="s">
        <v>5532</v>
      </c>
      <c r="I401" s="5"/>
      <c r="J401" s="5"/>
      <c r="K401" s="5"/>
      <c r="L401" s="5"/>
      <c r="M401" s="5"/>
      <c r="N401" s="5"/>
      <c r="O401" s="5"/>
      <c r="P401" s="11">
        <v>258.00549999999998</v>
      </c>
      <c r="Q401" s="5">
        <v>54.845399999999998</v>
      </c>
      <c r="R401" s="5">
        <f t="shared" si="6"/>
        <v>312.85089999999997</v>
      </c>
      <c r="S401" s="5" t="s">
        <v>2411</v>
      </c>
      <c r="T401" s="12">
        <v>398</v>
      </c>
      <c r="U401" s="255" t="s">
        <v>2420</v>
      </c>
      <c r="V401" s="232" t="s">
        <v>2414</v>
      </c>
      <c r="W401" s="232">
        <v>-3160.9</v>
      </c>
      <c r="X401" s="232">
        <v>-10380.6</v>
      </c>
      <c r="Y401" s="233" t="s">
        <v>49</v>
      </c>
      <c r="Z401" s="87" t="s">
        <v>50</v>
      </c>
      <c r="AA401" s="233" t="s">
        <v>51</v>
      </c>
      <c r="AB401" s="234"/>
      <c r="AC401" s="233">
        <v>1</v>
      </c>
      <c r="AD401" s="233" t="s">
        <v>226</v>
      </c>
      <c r="AE401" s="233"/>
      <c r="AF401" s="233"/>
      <c r="AG401" s="233" t="s">
        <v>2394</v>
      </c>
      <c r="AH401" s="233">
        <v>5</v>
      </c>
      <c r="AI401" s="233">
        <v>85</v>
      </c>
      <c r="AJ401" s="233" t="s">
        <v>432</v>
      </c>
      <c r="AK401" s="233">
        <v>100</v>
      </c>
      <c r="AL401" s="233"/>
      <c r="AM401" s="233" t="s">
        <v>760</v>
      </c>
      <c r="AN401" s="233"/>
      <c r="AO401" s="233"/>
      <c r="AP401" s="234" t="s">
        <v>1897</v>
      </c>
      <c r="AQ401" s="234" t="s">
        <v>408</v>
      </c>
    </row>
    <row r="402" spans="1:43">
      <c r="A402" s="12">
        <v>399</v>
      </c>
      <c r="B402" s="21" t="s">
        <v>5533</v>
      </c>
      <c r="C402" s="5" t="s">
        <v>2422</v>
      </c>
      <c r="D402" s="5" t="s">
        <v>5534</v>
      </c>
      <c r="E402" s="5" t="s">
        <v>5535</v>
      </c>
      <c r="F402" s="5" t="s">
        <v>5536</v>
      </c>
      <c r="G402" s="5" t="s">
        <v>5537</v>
      </c>
      <c r="H402" s="11" t="s">
        <v>5538</v>
      </c>
      <c r="I402" s="5"/>
      <c r="J402" s="5"/>
      <c r="K402" s="5"/>
      <c r="L402" s="5"/>
      <c r="M402" s="5"/>
      <c r="N402" s="5"/>
      <c r="O402" s="5"/>
      <c r="P402" s="11">
        <v>258.00330000000002</v>
      </c>
      <c r="Q402" s="5">
        <v>54.823700000000002</v>
      </c>
      <c r="R402" s="5">
        <f t="shared" si="6"/>
        <v>312.827</v>
      </c>
      <c r="S402" s="5" t="s">
        <v>2058</v>
      </c>
      <c r="T402" s="12">
        <v>399</v>
      </c>
      <c r="U402" s="255" t="s">
        <v>2428</v>
      </c>
      <c r="V402" s="232" t="s">
        <v>2422</v>
      </c>
      <c r="W402" s="232">
        <v>-2182.9</v>
      </c>
      <c r="X402" s="232">
        <v>-6996.2</v>
      </c>
      <c r="Y402" s="233" t="s">
        <v>49</v>
      </c>
      <c r="Z402" s="87" t="s">
        <v>50</v>
      </c>
      <c r="AA402" s="233" t="s">
        <v>51</v>
      </c>
      <c r="AB402" s="234"/>
      <c r="AC402" s="233">
        <v>1</v>
      </c>
      <c r="AD402" s="233" t="s">
        <v>226</v>
      </c>
      <c r="AE402" s="233"/>
      <c r="AF402" s="233"/>
      <c r="AG402" s="233" t="s">
        <v>2429</v>
      </c>
      <c r="AH402" s="233">
        <v>5</v>
      </c>
      <c r="AI402" s="233">
        <v>85</v>
      </c>
      <c r="AJ402" s="233" t="s">
        <v>432</v>
      </c>
      <c r="AK402" s="233">
        <v>100</v>
      </c>
      <c r="AL402" s="233"/>
      <c r="AM402" s="233" t="s">
        <v>770</v>
      </c>
      <c r="AN402" s="233"/>
      <c r="AO402" s="233"/>
      <c r="AP402" s="234" t="s">
        <v>1897</v>
      </c>
      <c r="AQ402" s="234" t="s">
        <v>408</v>
      </c>
    </row>
    <row r="403" spans="1:43">
      <c r="A403" s="12">
        <v>400</v>
      </c>
      <c r="B403" s="21" t="s">
        <v>5539</v>
      </c>
      <c r="C403" s="5" t="s">
        <v>2431</v>
      </c>
      <c r="D403" s="5" t="s">
        <v>5540</v>
      </c>
      <c r="E403" s="5" t="s">
        <v>5541</v>
      </c>
      <c r="F403" s="5" t="s">
        <v>5542</v>
      </c>
      <c r="G403" s="5" t="s">
        <v>5543</v>
      </c>
      <c r="H403" s="11" t="s">
        <v>5544</v>
      </c>
      <c r="I403" s="5"/>
      <c r="J403" s="5"/>
      <c r="K403" s="5"/>
      <c r="L403" s="5"/>
      <c r="M403" s="5"/>
      <c r="N403" s="5"/>
      <c r="O403" s="5"/>
      <c r="P403" s="11">
        <v>258.00409999999999</v>
      </c>
      <c r="Q403" s="5">
        <v>54.821100000000001</v>
      </c>
      <c r="R403" s="5">
        <f t="shared" si="6"/>
        <v>312.8252</v>
      </c>
      <c r="S403" s="5" t="s">
        <v>2058</v>
      </c>
      <c r="T403" s="12">
        <v>400</v>
      </c>
      <c r="U403" s="255" t="s">
        <v>2437</v>
      </c>
      <c r="V403" s="232" t="s">
        <v>2431</v>
      </c>
      <c r="W403" s="232">
        <v>-2182.9</v>
      </c>
      <c r="X403" s="232">
        <v>-6285</v>
      </c>
      <c r="Y403" s="233" t="s">
        <v>49</v>
      </c>
      <c r="Z403" s="87" t="s">
        <v>50</v>
      </c>
      <c r="AA403" s="233" t="s">
        <v>51</v>
      </c>
      <c r="AB403" s="234"/>
      <c r="AC403" s="233">
        <v>1</v>
      </c>
      <c r="AD403" s="233" t="s">
        <v>226</v>
      </c>
      <c r="AE403" s="233"/>
      <c r="AF403" s="233"/>
      <c r="AG403" s="233" t="s">
        <v>2429</v>
      </c>
      <c r="AH403" s="233">
        <v>5</v>
      </c>
      <c r="AI403" s="233">
        <v>85</v>
      </c>
      <c r="AJ403" s="233" t="s">
        <v>432</v>
      </c>
      <c r="AK403" s="233">
        <v>100</v>
      </c>
      <c r="AL403" s="233"/>
      <c r="AM403" s="233" t="s">
        <v>2438</v>
      </c>
      <c r="AN403" s="233"/>
      <c r="AO403" s="233"/>
      <c r="AP403" s="234" t="s">
        <v>1897</v>
      </c>
      <c r="AQ403" s="234" t="s">
        <v>408</v>
      </c>
    </row>
    <row r="404" spans="1:43">
      <c r="A404" s="12">
        <v>401</v>
      </c>
      <c r="B404" s="21" t="s">
        <v>5545</v>
      </c>
      <c r="C404" s="5" t="s">
        <v>2440</v>
      </c>
      <c r="D404" s="5" t="s">
        <v>5546</v>
      </c>
      <c r="E404" s="5" t="s">
        <v>5547</v>
      </c>
      <c r="F404" s="5" t="s">
        <v>5548</v>
      </c>
      <c r="G404" s="5" t="s">
        <v>5549</v>
      </c>
      <c r="H404" s="11" t="s">
        <v>5550</v>
      </c>
      <c r="I404" s="5"/>
      <c r="J404" s="5"/>
      <c r="K404" s="5"/>
      <c r="L404" s="5"/>
      <c r="M404" s="5"/>
      <c r="N404" s="5"/>
      <c r="O404" s="5"/>
      <c r="P404" s="11">
        <v>258.07080000000002</v>
      </c>
      <c r="Q404" s="5">
        <v>54.742899999999999</v>
      </c>
      <c r="R404" s="5">
        <f t="shared" si="6"/>
        <v>312.81370000000004</v>
      </c>
      <c r="S404" s="5" t="s">
        <v>282</v>
      </c>
      <c r="T404" s="12">
        <v>401</v>
      </c>
      <c r="U404" s="255" t="s">
        <v>2446</v>
      </c>
      <c r="V404" s="232" t="s">
        <v>2440</v>
      </c>
      <c r="W404" s="232">
        <v>-4343.7</v>
      </c>
      <c r="X404" s="232">
        <v>-11190</v>
      </c>
      <c r="Y404" s="233" t="s">
        <v>49</v>
      </c>
      <c r="Z404" s="87" t="s">
        <v>50</v>
      </c>
      <c r="AA404" s="233" t="s">
        <v>51</v>
      </c>
      <c r="AB404" s="234"/>
      <c r="AC404" s="233">
        <v>1</v>
      </c>
      <c r="AD404" s="233" t="s">
        <v>226</v>
      </c>
      <c r="AE404" s="233"/>
      <c r="AF404" s="233"/>
      <c r="AG404" s="233" t="s">
        <v>2429</v>
      </c>
      <c r="AH404" s="233">
        <v>5</v>
      </c>
      <c r="AI404" s="233">
        <v>85</v>
      </c>
      <c r="AJ404" s="233" t="s">
        <v>432</v>
      </c>
      <c r="AK404" s="233">
        <v>100</v>
      </c>
      <c r="AL404" s="233"/>
      <c r="AM404" s="233" t="s">
        <v>770</v>
      </c>
      <c r="AN404" s="233"/>
      <c r="AO404" s="233"/>
      <c r="AP404" s="234" t="s">
        <v>1897</v>
      </c>
      <c r="AQ404" s="234" t="s">
        <v>408</v>
      </c>
    </row>
    <row r="405" spans="1:43">
      <c r="A405" s="12">
        <v>402</v>
      </c>
      <c r="B405" s="21" t="s">
        <v>5551</v>
      </c>
      <c r="C405" s="5" t="s">
        <v>2448</v>
      </c>
      <c r="D405" s="5" t="s">
        <v>5552</v>
      </c>
      <c r="E405" s="5" t="s">
        <v>5553</v>
      </c>
      <c r="F405" s="5" t="s">
        <v>5554</v>
      </c>
      <c r="G405" s="5" t="s">
        <v>5555</v>
      </c>
      <c r="H405" s="11" t="s">
        <v>5556</v>
      </c>
      <c r="I405" s="5"/>
      <c r="J405" s="5"/>
      <c r="K405" s="5"/>
      <c r="L405" s="5"/>
      <c r="M405" s="5"/>
      <c r="N405" s="5"/>
      <c r="O405" s="5"/>
      <c r="P405" s="11">
        <v>258.07690000000002</v>
      </c>
      <c r="Q405" s="5">
        <v>54.731999999999999</v>
      </c>
      <c r="R405" s="5">
        <f t="shared" si="6"/>
        <v>312.80889999999999</v>
      </c>
      <c r="S405" s="5" t="s">
        <v>282</v>
      </c>
      <c r="T405" s="12">
        <v>402</v>
      </c>
      <c r="U405" s="255" t="s">
        <v>2454</v>
      </c>
      <c r="V405" s="232" t="s">
        <v>2448</v>
      </c>
      <c r="W405" s="232">
        <v>-3843.3</v>
      </c>
      <c r="X405" s="232">
        <v>-11190</v>
      </c>
      <c r="Y405" s="233" t="s">
        <v>49</v>
      </c>
      <c r="Z405" s="87" t="s">
        <v>50</v>
      </c>
      <c r="AA405" s="233" t="s">
        <v>51</v>
      </c>
      <c r="AB405" s="234"/>
      <c r="AC405" s="233">
        <v>1</v>
      </c>
      <c r="AD405" s="233" t="s">
        <v>226</v>
      </c>
      <c r="AE405" s="233"/>
      <c r="AF405" s="233"/>
      <c r="AG405" s="233" t="s">
        <v>2429</v>
      </c>
      <c r="AH405" s="233">
        <v>5</v>
      </c>
      <c r="AI405" s="233">
        <v>85</v>
      </c>
      <c r="AJ405" s="233" t="s">
        <v>432</v>
      </c>
      <c r="AK405" s="233">
        <v>100</v>
      </c>
      <c r="AL405" s="233"/>
      <c r="AM405" s="233" t="s">
        <v>2438</v>
      </c>
      <c r="AN405" s="233"/>
      <c r="AO405" s="233"/>
      <c r="AP405" s="234" t="s">
        <v>1897</v>
      </c>
      <c r="AQ405" s="234" t="s">
        <v>408</v>
      </c>
    </row>
    <row r="406" spans="1:43">
      <c r="A406" s="12">
        <v>403</v>
      </c>
      <c r="B406" s="21" t="s">
        <v>5557</v>
      </c>
      <c r="C406" s="5" t="s">
        <v>2456</v>
      </c>
      <c r="D406" s="5" t="s">
        <v>5558</v>
      </c>
      <c r="E406" s="5" t="s">
        <v>5559</v>
      </c>
      <c r="F406" s="5" t="s">
        <v>5560</v>
      </c>
      <c r="G406" s="5" t="s">
        <v>5561</v>
      </c>
      <c r="H406" s="11" t="s">
        <v>5562</v>
      </c>
      <c r="I406" s="5"/>
      <c r="J406" s="5"/>
      <c r="K406" s="5"/>
      <c r="L406" s="5"/>
      <c r="M406" s="5"/>
      <c r="N406" s="5"/>
      <c r="O406" s="5"/>
      <c r="P406" s="11">
        <v>258.06029999999998</v>
      </c>
      <c r="Q406" s="5">
        <v>54.557099999999998</v>
      </c>
      <c r="R406" s="5">
        <f t="shared" si="6"/>
        <v>312.61739999999998</v>
      </c>
      <c r="S406" s="5" t="s">
        <v>2462</v>
      </c>
      <c r="T406" s="12">
        <v>403</v>
      </c>
      <c r="U406" s="255" t="s">
        <v>2463</v>
      </c>
      <c r="V406" s="232" t="s">
        <v>2456</v>
      </c>
      <c r="W406" s="232">
        <v>-2182.9</v>
      </c>
      <c r="X406" s="232">
        <v>-9129.7999999999993</v>
      </c>
      <c r="Y406" s="233" t="s">
        <v>49</v>
      </c>
      <c r="Z406" s="87" t="s">
        <v>50</v>
      </c>
      <c r="AA406" s="233" t="s">
        <v>51</v>
      </c>
      <c r="AB406" s="234"/>
      <c r="AC406" s="233">
        <v>1</v>
      </c>
      <c r="AD406" s="233" t="s">
        <v>226</v>
      </c>
      <c r="AE406" s="233"/>
      <c r="AF406" s="233"/>
      <c r="AG406" s="233" t="s">
        <v>2464</v>
      </c>
      <c r="AH406" s="233">
        <v>5</v>
      </c>
      <c r="AI406" s="233">
        <v>85</v>
      </c>
      <c r="AJ406" s="233" t="s">
        <v>432</v>
      </c>
      <c r="AK406" s="233">
        <v>100</v>
      </c>
      <c r="AL406" s="233"/>
      <c r="AM406" s="233" t="s">
        <v>2465</v>
      </c>
      <c r="AN406" s="233"/>
      <c r="AO406" s="233"/>
      <c r="AP406" s="234" t="s">
        <v>1897</v>
      </c>
      <c r="AQ406" s="234" t="s">
        <v>408</v>
      </c>
    </row>
    <row r="407" spans="1:43">
      <c r="A407" s="12">
        <v>404</v>
      </c>
      <c r="B407" s="21" t="s">
        <v>5563</v>
      </c>
      <c r="C407" s="5" t="s">
        <v>2467</v>
      </c>
      <c r="D407" s="5" t="s">
        <v>5564</v>
      </c>
      <c r="E407" s="5" t="s">
        <v>5565</v>
      </c>
      <c r="F407" s="5" t="s">
        <v>5566</v>
      </c>
      <c r="G407" s="5" t="s">
        <v>5567</v>
      </c>
      <c r="H407" s="11" t="s">
        <v>5568</v>
      </c>
      <c r="I407" s="5"/>
      <c r="J407" s="5"/>
      <c r="K407" s="5"/>
      <c r="L407" s="5"/>
      <c r="M407" s="5"/>
      <c r="N407" s="5"/>
      <c r="O407" s="5"/>
      <c r="P407" s="11">
        <v>258.06619999999998</v>
      </c>
      <c r="Q407" s="5">
        <v>54.55</v>
      </c>
      <c r="R407" s="5">
        <f t="shared" si="6"/>
        <v>312.61619999999999</v>
      </c>
      <c r="S407" s="5" t="s">
        <v>2462</v>
      </c>
      <c r="T407" s="12">
        <v>404</v>
      </c>
      <c r="U407" s="255" t="s">
        <v>2473</v>
      </c>
      <c r="V407" s="232" t="s">
        <v>2467</v>
      </c>
      <c r="W407" s="232">
        <v>-2182.9</v>
      </c>
      <c r="X407" s="232">
        <v>-8418.6</v>
      </c>
      <c r="Y407" s="233" t="s">
        <v>49</v>
      </c>
      <c r="Z407" s="87" t="s">
        <v>50</v>
      </c>
      <c r="AA407" s="233" t="s">
        <v>51</v>
      </c>
      <c r="AB407" s="234"/>
      <c r="AC407" s="233">
        <v>1</v>
      </c>
      <c r="AD407" s="233" t="s">
        <v>226</v>
      </c>
      <c r="AE407" s="233"/>
      <c r="AF407" s="233"/>
      <c r="AG407" s="233" t="s">
        <v>2464</v>
      </c>
      <c r="AH407" s="233">
        <v>5</v>
      </c>
      <c r="AI407" s="233">
        <v>85</v>
      </c>
      <c r="AJ407" s="233" t="s">
        <v>432</v>
      </c>
      <c r="AK407" s="233">
        <v>100</v>
      </c>
      <c r="AL407" s="233"/>
      <c r="AM407" s="233" t="s">
        <v>2474</v>
      </c>
      <c r="AN407" s="233"/>
      <c r="AO407" s="233"/>
      <c r="AP407" s="234" t="s">
        <v>1897</v>
      </c>
      <c r="AQ407" s="234" t="s">
        <v>408</v>
      </c>
    </row>
    <row r="408" spans="1:43">
      <c r="A408" s="12">
        <v>405</v>
      </c>
      <c r="B408" s="21" t="s">
        <v>5569</v>
      </c>
      <c r="C408" s="5" t="s">
        <v>2476</v>
      </c>
      <c r="D408" s="5" t="s">
        <v>5570</v>
      </c>
      <c r="E408" s="5" t="s">
        <v>5571</v>
      </c>
      <c r="F408" s="5" t="s">
        <v>5572</v>
      </c>
      <c r="G408" s="5" t="s">
        <v>5573</v>
      </c>
      <c r="H408" s="11" t="s">
        <v>5574</v>
      </c>
      <c r="I408" s="5"/>
      <c r="J408" s="5"/>
      <c r="K408" s="5"/>
      <c r="L408" s="5"/>
      <c r="M408" s="5"/>
      <c r="N408" s="5"/>
      <c r="O408" s="5"/>
      <c r="P408" s="11">
        <v>258.00069999999999</v>
      </c>
      <c r="Q408" s="5">
        <v>54.648699999999998</v>
      </c>
      <c r="R408" s="5">
        <f t="shared" si="6"/>
        <v>312.64940000000001</v>
      </c>
      <c r="S408" s="5" t="s">
        <v>465</v>
      </c>
      <c r="T408" s="12">
        <v>405</v>
      </c>
      <c r="U408" s="255" t="s">
        <v>2482</v>
      </c>
      <c r="V408" s="232" t="s">
        <v>2476</v>
      </c>
      <c r="W408" s="232">
        <v>-5026</v>
      </c>
      <c r="X408" s="232">
        <v>-10380.6</v>
      </c>
      <c r="Y408" s="233" t="s">
        <v>49</v>
      </c>
      <c r="Z408" s="87" t="s">
        <v>50</v>
      </c>
      <c r="AA408" s="233" t="s">
        <v>51</v>
      </c>
      <c r="AB408" s="234"/>
      <c r="AC408" s="233">
        <v>1</v>
      </c>
      <c r="AD408" s="233" t="s">
        <v>226</v>
      </c>
      <c r="AE408" s="233"/>
      <c r="AF408" s="233"/>
      <c r="AG408" s="233" t="s">
        <v>2464</v>
      </c>
      <c r="AH408" s="233">
        <v>5</v>
      </c>
      <c r="AI408" s="233">
        <v>85</v>
      </c>
      <c r="AJ408" s="233" t="s">
        <v>432</v>
      </c>
      <c r="AK408" s="233">
        <v>100</v>
      </c>
      <c r="AL408" s="233"/>
      <c r="AM408" s="233" t="s">
        <v>2465</v>
      </c>
      <c r="AN408" s="233"/>
      <c r="AO408" s="233"/>
      <c r="AP408" s="234" t="s">
        <v>1897</v>
      </c>
      <c r="AQ408" s="234" t="s">
        <v>408</v>
      </c>
    </row>
    <row r="409" spans="1:43">
      <c r="A409" s="12">
        <v>406</v>
      </c>
      <c r="B409" s="21" t="s">
        <v>5575</v>
      </c>
      <c r="C409" s="5" t="s">
        <v>2484</v>
      </c>
      <c r="D409" s="5" t="s">
        <v>5576</v>
      </c>
      <c r="E409" s="5" t="s">
        <v>5577</v>
      </c>
      <c r="F409" s="5" t="s">
        <v>5578</v>
      </c>
      <c r="G409" s="5" t="s">
        <v>5579</v>
      </c>
      <c r="H409" s="11" t="s">
        <v>5580</v>
      </c>
      <c r="I409" s="5"/>
      <c r="J409" s="5"/>
      <c r="K409" s="5"/>
      <c r="L409" s="5"/>
      <c r="M409" s="5"/>
      <c r="N409" s="5"/>
      <c r="O409" s="5"/>
      <c r="P409" s="11">
        <v>258.00720000000001</v>
      </c>
      <c r="Q409" s="5">
        <v>54.641199999999998</v>
      </c>
      <c r="R409" s="5">
        <f t="shared" si="6"/>
        <v>312.64840000000004</v>
      </c>
      <c r="S409" s="5" t="s">
        <v>465</v>
      </c>
      <c r="T409" s="12">
        <v>406</v>
      </c>
      <c r="U409" s="255" t="s">
        <v>2490</v>
      </c>
      <c r="V409" s="232" t="s">
        <v>2484</v>
      </c>
      <c r="W409" s="232">
        <v>-4525.3999999999996</v>
      </c>
      <c r="X409" s="232">
        <v>-10380.6</v>
      </c>
      <c r="Y409" s="233" t="s">
        <v>49</v>
      </c>
      <c r="Z409" s="87" t="s">
        <v>50</v>
      </c>
      <c r="AA409" s="233" t="s">
        <v>51</v>
      </c>
      <c r="AB409" s="234"/>
      <c r="AC409" s="233">
        <v>1</v>
      </c>
      <c r="AD409" s="233" t="s">
        <v>226</v>
      </c>
      <c r="AE409" s="233"/>
      <c r="AF409" s="233"/>
      <c r="AG409" s="233" t="s">
        <v>2464</v>
      </c>
      <c r="AH409" s="233">
        <v>5</v>
      </c>
      <c r="AI409" s="233">
        <v>85</v>
      </c>
      <c r="AJ409" s="233" t="s">
        <v>432</v>
      </c>
      <c r="AK409" s="233">
        <v>100</v>
      </c>
      <c r="AL409" s="233"/>
      <c r="AM409" s="233" t="s">
        <v>2474</v>
      </c>
      <c r="AN409" s="233"/>
      <c r="AO409" s="233"/>
      <c r="AP409" s="234" t="s">
        <v>1897</v>
      </c>
      <c r="AQ409" s="234" t="s">
        <v>408</v>
      </c>
    </row>
    <row r="410" spans="1:43">
      <c r="A410" s="12">
        <v>407</v>
      </c>
      <c r="B410" s="21" t="s">
        <v>5581</v>
      </c>
      <c r="C410" s="5" t="s">
        <v>2492</v>
      </c>
      <c r="D410" s="5" t="s">
        <v>5582</v>
      </c>
      <c r="E410" s="5" t="s">
        <v>5583</v>
      </c>
      <c r="F410" s="5" t="s">
        <v>5584</v>
      </c>
      <c r="G410" s="5" t="s">
        <v>5585</v>
      </c>
      <c r="H410" s="11" t="s">
        <v>5586</v>
      </c>
      <c r="I410" s="5"/>
      <c r="J410" s="5"/>
      <c r="K410" s="5"/>
      <c r="L410" s="5"/>
      <c r="M410" s="5"/>
      <c r="N410" s="5"/>
      <c r="O410" s="5"/>
      <c r="P410" s="11">
        <v>258.00369999999998</v>
      </c>
      <c r="Q410" s="5">
        <v>54.795999999999999</v>
      </c>
      <c r="R410" s="5">
        <f t="shared" si="6"/>
        <v>312.79969999999997</v>
      </c>
      <c r="S410" s="5" t="s">
        <v>2003</v>
      </c>
      <c r="T410" s="12">
        <v>407</v>
      </c>
      <c r="U410" s="255" t="s">
        <v>2498</v>
      </c>
      <c r="V410" s="232" t="s">
        <v>2492</v>
      </c>
      <c r="W410" s="232">
        <v>3554.6</v>
      </c>
      <c r="X410" s="232">
        <v>6996.2</v>
      </c>
      <c r="Y410" s="233" t="s">
        <v>49</v>
      </c>
      <c r="Z410" s="87" t="s">
        <v>50</v>
      </c>
      <c r="AA410" s="233" t="s">
        <v>51</v>
      </c>
      <c r="AB410" s="234"/>
      <c r="AC410" s="233">
        <v>1</v>
      </c>
      <c r="AD410" s="233" t="s">
        <v>226</v>
      </c>
      <c r="AE410" s="233"/>
      <c r="AF410" s="233"/>
      <c r="AG410" s="233" t="s">
        <v>2499</v>
      </c>
      <c r="AH410" s="233">
        <v>5</v>
      </c>
      <c r="AI410" s="233">
        <v>85</v>
      </c>
      <c r="AJ410" s="233" t="s">
        <v>432</v>
      </c>
      <c r="AK410" s="233">
        <v>100</v>
      </c>
      <c r="AL410" s="233"/>
      <c r="AM410" s="233" t="s">
        <v>2500</v>
      </c>
      <c r="AN410" s="233"/>
      <c r="AO410" s="233"/>
      <c r="AP410" s="234" t="s">
        <v>1897</v>
      </c>
      <c r="AQ410" s="234" t="s">
        <v>408</v>
      </c>
    </row>
    <row r="411" spans="1:43">
      <c r="A411" s="12">
        <v>408</v>
      </c>
      <c r="B411" s="21" t="s">
        <v>5587</v>
      </c>
      <c r="C411" s="5" t="s">
        <v>2502</v>
      </c>
      <c r="D411" s="5" t="s">
        <v>5588</v>
      </c>
      <c r="E411" s="5" t="s">
        <v>5589</v>
      </c>
      <c r="F411" s="5" t="s">
        <v>5590</v>
      </c>
      <c r="G411" s="5" t="s">
        <v>5591</v>
      </c>
      <c r="H411" s="11" t="s">
        <v>5592</v>
      </c>
      <c r="I411" s="5"/>
      <c r="J411" s="5"/>
      <c r="K411" s="5"/>
      <c r="L411" s="5"/>
      <c r="M411" s="5"/>
      <c r="N411" s="5"/>
      <c r="O411" s="5"/>
      <c r="P411" s="11">
        <v>258.00369999999998</v>
      </c>
      <c r="Q411" s="5">
        <v>54.8078</v>
      </c>
      <c r="R411" s="5">
        <f t="shared" si="6"/>
        <v>312.81149999999997</v>
      </c>
      <c r="S411" s="5" t="s">
        <v>2003</v>
      </c>
      <c r="T411" s="12">
        <v>408</v>
      </c>
      <c r="U411" s="255" t="s">
        <v>2508</v>
      </c>
      <c r="V411" s="232" t="s">
        <v>2502</v>
      </c>
      <c r="W411" s="232">
        <v>3554.6</v>
      </c>
      <c r="X411" s="232">
        <v>7707.4</v>
      </c>
      <c r="Y411" s="233" t="s">
        <v>49</v>
      </c>
      <c r="Z411" s="87" t="s">
        <v>50</v>
      </c>
      <c r="AA411" s="233" t="s">
        <v>51</v>
      </c>
      <c r="AB411" s="234"/>
      <c r="AC411" s="233">
        <v>1</v>
      </c>
      <c r="AD411" s="233" t="s">
        <v>226</v>
      </c>
      <c r="AE411" s="233"/>
      <c r="AF411" s="233"/>
      <c r="AG411" s="233" t="s">
        <v>2499</v>
      </c>
      <c r="AH411" s="233">
        <v>5</v>
      </c>
      <c r="AI411" s="233">
        <v>85</v>
      </c>
      <c r="AJ411" s="233" t="s">
        <v>432</v>
      </c>
      <c r="AK411" s="233">
        <v>100</v>
      </c>
      <c r="AL411" s="233"/>
      <c r="AM411" s="233" t="s">
        <v>2509</v>
      </c>
      <c r="AN411" s="233"/>
      <c r="AO411" s="233"/>
      <c r="AP411" s="234" t="s">
        <v>1897</v>
      </c>
      <c r="AQ411" s="234" t="s">
        <v>408</v>
      </c>
    </row>
    <row r="412" spans="1:43">
      <c r="A412" s="12">
        <v>409</v>
      </c>
      <c r="B412" s="21" t="s">
        <v>5593</v>
      </c>
      <c r="C412" s="5" t="s">
        <v>2511</v>
      </c>
      <c r="D412" s="5" t="s">
        <v>5594</v>
      </c>
      <c r="E412" s="5" t="s">
        <v>5595</v>
      </c>
      <c r="F412" s="5" t="s">
        <v>5596</v>
      </c>
      <c r="G412" s="5" t="s">
        <v>5597</v>
      </c>
      <c r="H412" s="11" t="s">
        <v>5598</v>
      </c>
      <c r="I412" s="5"/>
      <c r="J412" s="5"/>
      <c r="K412" s="5"/>
      <c r="L412" s="5"/>
      <c r="M412" s="5"/>
      <c r="N412" s="5"/>
      <c r="O412" s="5"/>
      <c r="P412" s="11">
        <v>258.0806</v>
      </c>
      <c r="Q412" s="5">
        <v>54.584800000000001</v>
      </c>
      <c r="R412" s="5">
        <f t="shared" si="6"/>
        <v>312.66539999999998</v>
      </c>
      <c r="S412" s="5" t="s">
        <v>2270</v>
      </c>
      <c r="T412" s="12">
        <v>409</v>
      </c>
      <c r="U412" s="255" t="s">
        <v>2517</v>
      </c>
      <c r="V412" s="232" t="s">
        <v>2511</v>
      </c>
      <c r="W412" s="232">
        <v>4343.7</v>
      </c>
      <c r="X412" s="232">
        <v>11190</v>
      </c>
      <c r="Y412" s="233" t="s">
        <v>49</v>
      </c>
      <c r="Z412" s="87" t="s">
        <v>50</v>
      </c>
      <c r="AA412" s="233" t="s">
        <v>51</v>
      </c>
      <c r="AB412" s="234"/>
      <c r="AC412" s="233">
        <v>1</v>
      </c>
      <c r="AD412" s="233" t="s">
        <v>226</v>
      </c>
      <c r="AE412" s="233"/>
      <c r="AF412" s="233"/>
      <c r="AG412" s="233" t="s">
        <v>2499</v>
      </c>
      <c r="AH412" s="233">
        <v>5</v>
      </c>
      <c r="AI412" s="233">
        <v>85</v>
      </c>
      <c r="AJ412" s="233" t="s">
        <v>432</v>
      </c>
      <c r="AK412" s="233">
        <v>100</v>
      </c>
      <c r="AL412" s="233"/>
      <c r="AM412" s="233" t="s">
        <v>2500</v>
      </c>
      <c r="AN412" s="233"/>
      <c r="AO412" s="233"/>
      <c r="AP412" s="234" t="s">
        <v>1897</v>
      </c>
      <c r="AQ412" s="234" t="s">
        <v>408</v>
      </c>
    </row>
    <row r="413" spans="1:43">
      <c r="A413" s="12">
        <v>410</v>
      </c>
      <c r="B413" s="21" t="s">
        <v>5599</v>
      </c>
      <c r="C413" s="5" t="s">
        <v>2519</v>
      </c>
      <c r="D413" s="5" t="s">
        <v>5600</v>
      </c>
      <c r="E413" s="5" t="s">
        <v>5601</v>
      </c>
      <c r="F413" s="5" t="s">
        <v>5602</v>
      </c>
      <c r="G413" s="5" t="s">
        <v>5603</v>
      </c>
      <c r="H413" s="11" t="s">
        <v>5604</v>
      </c>
      <c r="I413" s="5"/>
      <c r="J413" s="5"/>
      <c r="K413" s="5"/>
      <c r="L413" s="5"/>
      <c r="M413" s="5"/>
      <c r="N413" s="5"/>
      <c r="O413" s="5"/>
      <c r="P413" s="11">
        <v>258.07100000000003</v>
      </c>
      <c r="Q413" s="5">
        <v>54.582599999999999</v>
      </c>
      <c r="R413" s="5">
        <f t="shared" si="6"/>
        <v>312.65360000000004</v>
      </c>
      <c r="S413" s="5" t="s">
        <v>2270</v>
      </c>
      <c r="T413" s="12">
        <v>410</v>
      </c>
      <c r="U413" s="255" t="s">
        <v>2525</v>
      </c>
      <c r="V413" s="232" t="s">
        <v>2519</v>
      </c>
      <c r="W413" s="232">
        <v>3843.3</v>
      </c>
      <c r="X413" s="232">
        <v>11190</v>
      </c>
      <c r="Y413" s="233" t="s">
        <v>49</v>
      </c>
      <c r="Z413" s="87" t="s">
        <v>50</v>
      </c>
      <c r="AA413" s="233" t="s">
        <v>51</v>
      </c>
      <c r="AB413" s="234"/>
      <c r="AC413" s="233">
        <v>1</v>
      </c>
      <c r="AD413" s="233" t="s">
        <v>226</v>
      </c>
      <c r="AE413" s="233"/>
      <c r="AF413" s="233"/>
      <c r="AG413" s="233" t="s">
        <v>2499</v>
      </c>
      <c r="AH413" s="233">
        <v>5</v>
      </c>
      <c r="AI413" s="233">
        <v>85</v>
      </c>
      <c r="AJ413" s="233" t="s">
        <v>432</v>
      </c>
      <c r="AK413" s="233">
        <v>100</v>
      </c>
      <c r="AL413" s="233"/>
      <c r="AM413" s="233" t="s">
        <v>2509</v>
      </c>
      <c r="AN413" s="233"/>
      <c r="AO413" s="233"/>
      <c r="AP413" s="234" t="s">
        <v>1897</v>
      </c>
      <c r="AQ413" s="234" t="s">
        <v>408</v>
      </c>
    </row>
    <row r="414" spans="1:43">
      <c r="A414" s="12">
        <v>411</v>
      </c>
      <c r="B414" s="21" t="s">
        <v>5605</v>
      </c>
      <c r="C414" s="5" t="s">
        <v>2527</v>
      </c>
      <c r="D414" s="5" t="s">
        <v>5606</v>
      </c>
      <c r="E414" s="5" t="s">
        <v>5607</v>
      </c>
      <c r="F414" s="5" t="s">
        <v>5608</v>
      </c>
      <c r="G414" s="5" t="s">
        <v>5609</v>
      </c>
      <c r="H414" s="11" t="s">
        <v>5610</v>
      </c>
      <c r="I414" s="5"/>
      <c r="J414" s="5"/>
      <c r="K414" s="5"/>
      <c r="L414" s="5"/>
      <c r="M414" s="5"/>
      <c r="N414" s="5"/>
      <c r="O414" s="5"/>
      <c r="P414" s="11">
        <v>258.00360000000001</v>
      </c>
      <c r="Q414" s="5">
        <v>54.465400000000002</v>
      </c>
      <c r="R414" s="5">
        <f t="shared" si="6"/>
        <v>312.46899999999999</v>
      </c>
      <c r="S414" s="5" t="s">
        <v>2462</v>
      </c>
      <c r="T414" s="12">
        <v>411</v>
      </c>
      <c r="U414" s="255" t="s">
        <v>2533</v>
      </c>
      <c r="V414" s="232" t="s">
        <v>2527</v>
      </c>
      <c r="W414" s="232">
        <v>3554.6</v>
      </c>
      <c r="X414" s="232">
        <v>4862.6000000000004</v>
      </c>
      <c r="Y414" s="233" t="s">
        <v>49</v>
      </c>
      <c r="Z414" s="87" t="s">
        <v>50</v>
      </c>
      <c r="AA414" s="233" t="s">
        <v>51</v>
      </c>
      <c r="AB414" s="234"/>
      <c r="AC414" s="233">
        <v>1</v>
      </c>
      <c r="AD414" s="233" t="s">
        <v>226</v>
      </c>
      <c r="AE414" s="233"/>
      <c r="AF414" s="233"/>
      <c r="AG414" s="233" t="s">
        <v>2534</v>
      </c>
      <c r="AH414" s="233">
        <v>5</v>
      </c>
      <c r="AI414" s="233">
        <v>85</v>
      </c>
      <c r="AJ414" s="233" t="s">
        <v>432</v>
      </c>
      <c r="AK414" s="233">
        <v>100</v>
      </c>
      <c r="AL414" s="233"/>
      <c r="AM414" s="233" t="s">
        <v>2535</v>
      </c>
      <c r="AN414" s="233"/>
      <c r="AO414" s="233"/>
      <c r="AP414" s="234" t="s">
        <v>1897</v>
      </c>
      <c r="AQ414" s="234" t="s">
        <v>408</v>
      </c>
    </row>
    <row r="415" spans="1:43">
      <c r="A415" s="12">
        <v>412</v>
      </c>
      <c r="B415" s="21" t="s">
        <v>5611</v>
      </c>
      <c r="C415" s="5" t="s">
        <v>2537</v>
      </c>
      <c r="D415" s="5" t="s">
        <v>5612</v>
      </c>
      <c r="E415" s="5" t="s">
        <v>5613</v>
      </c>
      <c r="F415" s="5" t="s">
        <v>5614</v>
      </c>
      <c r="G415" s="5" t="s">
        <v>5615</v>
      </c>
      <c r="H415" s="11" t="s">
        <v>5616</v>
      </c>
      <c r="I415" s="5"/>
      <c r="J415" s="5"/>
      <c r="K415" s="5"/>
      <c r="L415" s="5"/>
      <c r="M415" s="5"/>
      <c r="N415" s="5"/>
      <c r="O415" s="5"/>
      <c r="P415" s="11">
        <v>258.0034</v>
      </c>
      <c r="Q415" s="5">
        <v>54.456000000000003</v>
      </c>
      <c r="R415" s="5">
        <f t="shared" si="6"/>
        <v>312.45940000000002</v>
      </c>
      <c r="S415" s="5" t="s">
        <v>2462</v>
      </c>
      <c r="T415" s="12">
        <v>412</v>
      </c>
      <c r="U415" s="255" t="s">
        <v>2543</v>
      </c>
      <c r="V415" s="232" t="s">
        <v>2537</v>
      </c>
      <c r="W415" s="232">
        <v>3554.6</v>
      </c>
      <c r="X415" s="232">
        <v>5573.8</v>
      </c>
      <c r="Y415" s="233" t="s">
        <v>49</v>
      </c>
      <c r="Z415" s="87" t="s">
        <v>50</v>
      </c>
      <c r="AA415" s="233" t="s">
        <v>51</v>
      </c>
      <c r="AB415" s="234"/>
      <c r="AC415" s="233">
        <v>1</v>
      </c>
      <c r="AD415" s="233" t="s">
        <v>226</v>
      </c>
      <c r="AE415" s="233"/>
      <c r="AF415" s="233"/>
      <c r="AG415" s="233" t="s">
        <v>2534</v>
      </c>
      <c r="AH415" s="233">
        <v>5</v>
      </c>
      <c r="AI415" s="233">
        <v>85</v>
      </c>
      <c r="AJ415" s="233" t="s">
        <v>432</v>
      </c>
      <c r="AK415" s="233">
        <v>100</v>
      </c>
      <c r="AL415" s="233"/>
      <c r="AM415" s="233" t="s">
        <v>2544</v>
      </c>
      <c r="AN415" s="233"/>
      <c r="AO415" s="233"/>
      <c r="AP415" s="234" t="s">
        <v>1897</v>
      </c>
      <c r="AQ415" s="234" t="s">
        <v>408</v>
      </c>
    </row>
    <row r="416" spans="1:43">
      <c r="A416" s="12">
        <v>413</v>
      </c>
      <c r="B416" s="21" t="s">
        <v>5617</v>
      </c>
      <c r="C416" s="5" t="s">
        <v>2546</v>
      </c>
      <c r="D416" s="5" t="s">
        <v>5618</v>
      </c>
      <c r="E416" s="5" t="s">
        <v>5619</v>
      </c>
      <c r="F416" s="5" t="s">
        <v>5620</v>
      </c>
      <c r="G416" s="5" t="s">
        <v>5621</v>
      </c>
      <c r="H416" s="11" t="s">
        <v>5622</v>
      </c>
      <c r="I416" s="5"/>
      <c r="J416" s="5"/>
      <c r="K416" s="5"/>
      <c r="L416" s="5"/>
      <c r="M416" s="5"/>
      <c r="N416" s="5"/>
      <c r="O416" s="5"/>
      <c r="P416" s="11">
        <v>258.00459999999998</v>
      </c>
      <c r="Q416" s="5">
        <v>54.565100000000001</v>
      </c>
      <c r="R416" s="5">
        <f t="shared" si="6"/>
        <v>312.56970000000001</v>
      </c>
      <c r="S416" s="5" t="s">
        <v>317</v>
      </c>
      <c r="T416" s="12">
        <v>413</v>
      </c>
      <c r="U416" s="255" t="s">
        <v>2552</v>
      </c>
      <c r="V416" s="232" t="s">
        <v>2546</v>
      </c>
      <c r="W416" s="232">
        <v>3661.4</v>
      </c>
      <c r="X416" s="232">
        <v>10380.6</v>
      </c>
      <c r="Y416" s="233" t="s">
        <v>49</v>
      </c>
      <c r="Z416" s="87" t="s">
        <v>50</v>
      </c>
      <c r="AA416" s="233" t="s">
        <v>51</v>
      </c>
      <c r="AB416" s="234"/>
      <c r="AC416" s="233">
        <v>1</v>
      </c>
      <c r="AD416" s="233" t="s">
        <v>226</v>
      </c>
      <c r="AE416" s="233"/>
      <c r="AF416" s="233"/>
      <c r="AG416" s="233" t="s">
        <v>2534</v>
      </c>
      <c r="AH416" s="233">
        <v>5</v>
      </c>
      <c r="AI416" s="233">
        <v>85</v>
      </c>
      <c r="AJ416" s="233" t="s">
        <v>432</v>
      </c>
      <c r="AK416" s="233">
        <v>100</v>
      </c>
      <c r="AL416" s="233"/>
      <c r="AM416" s="233" t="s">
        <v>2535</v>
      </c>
      <c r="AN416" s="233"/>
      <c r="AO416" s="233"/>
      <c r="AP416" s="234" t="s">
        <v>1897</v>
      </c>
      <c r="AQ416" s="234" t="s">
        <v>408</v>
      </c>
    </row>
    <row r="417" spans="1:43">
      <c r="A417" s="12">
        <v>414</v>
      </c>
      <c r="B417" s="21" t="s">
        <v>5623</v>
      </c>
      <c r="C417" s="5" t="s">
        <v>2554</v>
      </c>
      <c r="D417" s="5" t="s">
        <v>5624</v>
      </c>
      <c r="E417" s="5" t="s">
        <v>5625</v>
      </c>
      <c r="F417" s="5" t="s">
        <v>5626</v>
      </c>
      <c r="G417" s="5" t="s">
        <v>5627</v>
      </c>
      <c r="H417" s="11" t="s">
        <v>5628</v>
      </c>
      <c r="I417" s="5"/>
      <c r="J417" s="5"/>
      <c r="K417" s="5"/>
      <c r="L417" s="5"/>
      <c r="M417" s="5"/>
      <c r="N417" s="5"/>
      <c r="O417" s="5"/>
      <c r="P417" s="11">
        <v>258.00810000000001</v>
      </c>
      <c r="Q417" s="5">
        <v>54.520699999999998</v>
      </c>
      <c r="R417" s="5">
        <f t="shared" si="6"/>
        <v>312.52879999999999</v>
      </c>
      <c r="S417" s="5" t="s">
        <v>317</v>
      </c>
      <c r="T417" s="12">
        <v>414</v>
      </c>
      <c r="U417" s="255" t="s">
        <v>2560</v>
      </c>
      <c r="V417" s="232" t="s">
        <v>2554</v>
      </c>
      <c r="W417" s="232">
        <v>3161</v>
      </c>
      <c r="X417" s="232">
        <v>10380.6</v>
      </c>
      <c r="Y417" s="233" t="s">
        <v>49</v>
      </c>
      <c r="Z417" s="87" t="s">
        <v>50</v>
      </c>
      <c r="AA417" s="233" t="s">
        <v>51</v>
      </c>
      <c r="AB417" s="234"/>
      <c r="AC417" s="233">
        <v>1</v>
      </c>
      <c r="AD417" s="233" t="s">
        <v>226</v>
      </c>
      <c r="AE417" s="233"/>
      <c r="AF417" s="233"/>
      <c r="AG417" s="233" t="s">
        <v>2534</v>
      </c>
      <c r="AH417" s="233">
        <v>5</v>
      </c>
      <c r="AI417" s="233">
        <v>85</v>
      </c>
      <c r="AJ417" s="233" t="s">
        <v>432</v>
      </c>
      <c r="AK417" s="233">
        <v>100</v>
      </c>
      <c r="AL417" s="233"/>
      <c r="AM417" s="233" t="s">
        <v>2544</v>
      </c>
      <c r="AN417" s="233"/>
      <c r="AO417" s="233"/>
      <c r="AP417" s="234" t="s">
        <v>1897</v>
      </c>
      <c r="AQ417" s="234" t="s">
        <v>408</v>
      </c>
    </row>
    <row r="418" spans="1:43">
      <c r="A418" s="12">
        <v>415</v>
      </c>
      <c r="B418" s="21" t="s">
        <v>5629</v>
      </c>
      <c r="C418" s="5" t="s">
        <v>2562</v>
      </c>
      <c r="D418" s="5" t="s">
        <v>5630</v>
      </c>
      <c r="E418" s="5" t="s">
        <v>5631</v>
      </c>
      <c r="F418" s="5" t="s">
        <v>5632</v>
      </c>
      <c r="G418" s="5" t="s">
        <v>5633</v>
      </c>
      <c r="H418" s="11" t="s">
        <v>5634</v>
      </c>
      <c r="I418" s="5"/>
      <c r="J418" s="5"/>
      <c r="K418" s="5"/>
      <c r="L418" s="5"/>
      <c r="M418" s="5"/>
      <c r="N418" s="5"/>
      <c r="O418" s="5"/>
      <c r="P418" s="11">
        <v>258.06819999999999</v>
      </c>
      <c r="Q418" s="5">
        <v>54.633000000000003</v>
      </c>
      <c r="R418" s="5">
        <f t="shared" si="6"/>
        <v>312.70119999999997</v>
      </c>
      <c r="S418" s="5" t="s">
        <v>2568</v>
      </c>
      <c r="T418" s="12">
        <v>415</v>
      </c>
      <c r="U418" s="255" t="s">
        <v>2569</v>
      </c>
      <c r="V418" s="232" t="s">
        <v>2562</v>
      </c>
      <c r="W418" s="232">
        <v>2182.9</v>
      </c>
      <c r="X418" s="232">
        <v>8418.6</v>
      </c>
      <c r="Y418" s="233" t="s">
        <v>49</v>
      </c>
      <c r="Z418" s="87" t="s">
        <v>50</v>
      </c>
      <c r="AA418" s="233" t="s">
        <v>51</v>
      </c>
      <c r="AB418" s="234"/>
      <c r="AC418" s="233">
        <v>1</v>
      </c>
      <c r="AD418" s="233" t="s">
        <v>226</v>
      </c>
      <c r="AE418" s="233"/>
      <c r="AF418" s="233"/>
      <c r="AG418" s="233" t="s">
        <v>2570</v>
      </c>
      <c r="AH418" s="233">
        <v>5</v>
      </c>
      <c r="AI418" s="233">
        <v>85</v>
      </c>
      <c r="AJ418" s="233" t="s">
        <v>432</v>
      </c>
      <c r="AK418" s="233">
        <v>100</v>
      </c>
      <c r="AL418" s="233"/>
      <c r="AM418" s="233" t="s">
        <v>2571</v>
      </c>
      <c r="AN418" s="233"/>
      <c r="AO418" s="233"/>
      <c r="AP418" s="234" t="s">
        <v>1897</v>
      </c>
      <c r="AQ418" s="234" t="s">
        <v>408</v>
      </c>
    </row>
    <row r="419" spans="1:43">
      <c r="A419" s="12">
        <v>416</v>
      </c>
      <c r="B419" s="21" t="s">
        <v>5635</v>
      </c>
      <c r="C419" s="5" t="s">
        <v>2573</v>
      </c>
      <c r="D419" s="5" t="s">
        <v>5636</v>
      </c>
      <c r="E419" s="5" t="s">
        <v>5637</v>
      </c>
      <c r="F419" s="5" t="s">
        <v>5638</v>
      </c>
      <c r="G419" s="5" t="s">
        <v>5639</v>
      </c>
      <c r="H419" s="11" t="s">
        <v>5640</v>
      </c>
      <c r="I419" s="5"/>
      <c r="J419" s="5"/>
      <c r="K419" s="5"/>
      <c r="L419" s="5"/>
      <c r="M419" s="5"/>
      <c r="N419" s="5"/>
      <c r="O419" s="5"/>
      <c r="P419" s="11">
        <v>258.04649999999998</v>
      </c>
      <c r="Q419" s="5">
        <v>54.626600000000003</v>
      </c>
      <c r="R419" s="5">
        <f t="shared" si="6"/>
        <v>312.67309999999998</v>
      </c>
      <c r="S419" s="5" t="s">
        <v>2568</v>
      </c>
      <c r="T419" s="12">
        <v>416</v>
      </c>
      <c r="U419" s="255" t="s">
        <v>2579</v>
      </c>
      <c r="V419" s="232" t="s">
        <v>2573</v>
      </c>
      <c r="W419" s="232">
        <v>2182.9</v>
      </c>
      <c r="X419" s="232">
        <v>9129.7999999999993</v>
      </c>
      <c r="Y419" s="233" t="s">
        <v>49</v>
      </c>
      <c r="Z419" s="87" t="s">
        <v>50</v>
      </c>
      <c r="AA419" s="233" t="s">
        <v>51</v>
      </c>
      <c r="AB419" s="234"/>
      <c r="AC419" s="233">
        <v>1</v>
      </c>
      <c r="AD419" s="233" t="s">
        <v>226</v>
      </c>
      <c r="AE419" s="233"/>
      <c r="AF419" s="233"/>
      <c r="AG419" s="233" t="s">
        <v>2570</v>
      </c>
      <c r="AH419" s="233">
        <v>5</v>
      </c>
      <c r="AI419" s="233">
        <v>85</v>
      </c>
      <c r="AJ419" s="233" t="s">
        <v>432</v>
      </c>
      <c r="AK419" s="233">
        <v>100</v>
      </c>
      <c r="AL419" s="233"/>
      <c r="AM419" s="233" t="s">
        <v>2580</v>
      </c>
      <c r="AN419" s="233"/>
      <c r="AO419" s="233"/>
      <c r="AP419" s="234" t="s">
        <v>1897</v>
      </c>
      <c r="AQ419" s="234" t="s">
        <v>408</v>
      </c>
    </row>
    <row r="420" spans="1:43">
      <c r="A420" s="12">
        <v>417</v>
      </c>
      <c r="B420" s="21" t="s">
        <v>5641</v>
      </c>
      <c r="C420" s="5" t="s">
        <v>2582</v>
      </c>
      <c r="D420" s="5" t="s">
        <v>5642</v>
      </c>
      <c r="E420" s="5" t="s">
        <v>5643</v>
      </c>
      <c r="F420" s="5" t="s">
        <v>5644</v>
      </c>
      <c r="G420" s="5" t="s">
        <v>5645</v>
      </c>
      <c r="H420" s="11" t="s">
        <v>5646</v>
      </c>
      <c r="I420" s="5"/>
      <c r="J420" s="5"/>
      <c r="K420" s="5"/>
      <c r="L420" s="5"/>
      <c r="M420" s="5"/>
      <c r="N420" s="5"/>
      <c r="O420" s="5"/>
      <c r="P420" s="11">
        <v>258.00319999999999</v>
      </c>
      <c r="Q420" s="5">
        <v>54.673699999999997</v>
      </c>
      <c r="R420" s="5">
        <f t="shared" si="6"/>
        <v>312.67689999999999</v>
      </c>
      <c r="S420" s="5" t="s">
        <v>465</v>
      </c>
      <c r="T420" s="12">
        <v>417</v>
      </c>
      <c r="U420" s="255" t="s">
        <v>2588</v>
      </c>
      <c r="V420" s="232" t="s">
        <v>2582</v>
      </c>
      <c r="W420" s="232">
        <v>2979.2</v>
      </c>
      <c r="X420" s="232">
        <v>11190</v>
      </c>
      <c r="Y420" s="233" t="s">
        <v>49</v>
      </c>
      <c r="Z420" s="87" t="s">
        <v>50</v>
      </c>
      <c r="AA420" s="233" t="s">
        <v>51</v>
      </c>
      <c r="AB420" s="234"/>
      <c r="AC420" s="233">
        <v>1</v>
      </c>
      <c r="AD420" s="233" t="s">
        <v>226</v>
      </c>
      <c r="AE420" s="233"/>
      <c r="AF420" s="233"/>
      <c r="AG420" s="233" t="s">
        <v>2570</v>
      </c>
      <c r="AH420" s="233">
        <v>5</v>
      </c>
      <c r="AI420" s="233">
        <v>85</v>
      </c>
      <c r="AJ420" s="233" t="s">
        <v>432</v>
      </c>
      <c r="AK420" s="233">
        <v>100</v>
      </c>
      <c r="AL420" s="233"/>
      <c r="AM420" s="233" t="s">
        <v>2571</v>
      </c>
      <c r="AN420" s="233"/>
      <c r="AO420" s="233"/>
      <c r="AP420" s="234" t="s">
        <v>1897</v>
      </c>
      <c r="AQ420" s="234" t="s">
        <v>408</v>
      </c>
    </row>
    <row r="421" spans="1:43">
      <c r="A421" s="12">
        <v>418</v>
      </c>
      <c r="B421" s="21" t="s">
        <v>5647</v>
      </c>
      <c r="C421" s="5" t="s">
        <v>2590</v>
      </c>
      <c r="D421" s="5" t="s">
        <v>5648</v>
      </c>
      <c r="E421" s="5" t="s">
        <v>5649</v>
      </c>
      <c r="F421" s="5" t="s">
        <v>5650</v>
      </c>
      <c r="G421" s="5" t="s">
        <v>5651</v>
      </c>
      <c r="H421" s="11" t="s">
        <v>5652</v>
      </c>
      <c r="I421" s="5"/>
      <c r="J421" s="5"/>
      <c r="K421" s="5"/>
      <c r="L421" s="5"/>
      <c r="M421" s="5"/>
      <c r="N421" s="5"/>
      <c r="O421" s="5"/>
      <c r="P421" s="11">
        <v>258.00330000000002</v>
      </c>
      <c r="Q421" s="5">
        <v>54.677599999999998</v>
      </c>
      <c r="R421" s="5">
        <f t="shared" si="6"/>
        <v>312.68090000000001</v>
      </c>
      <c r="S421" s="5" t="s">
        <v>465</v>
      </c>
      <c r="T421" s="12">
        <v>418</v>
      </c>
      <c r="U421" s="255" t="s">
        <v>2596</v>
      </c>
      <c r="V421" s="232" t="s">
        <v>2590</v>
      </c>
      <c r="W421" s="232">
        <v>2478.8000000000002</v>
      </c>
      <c r="X421" s="232">
        <v>11190</v>
      </c>
      <c r="Y421" s="233" t="s">
        <v>49</v>
      </c>
      <c r="Z421" s="87" t="s">
        <v>50</v>
      </c>
      <c r="AA421" s="233" t="s">
        <v>51</v>
      </c>
      <c r="AB421" s="234"/>
      <c r="AC421" s="233">
        <v>1</v>
      </c>
      <c r="AD421" s="233" t="s">
        <v>226</v>
      </c>
      <c r="AE421" s="233"/>
      <c r="AF421" s="233"/>
      <c r="AG421" s="233" t="s">
        <v>2570</v>
      </c>
      <c r="AH421" s="233">
        <v>5</v>
      </c>
      <c r="AI421" s="233">
        <v>85</v>
      </c>
      <c r="AJ421" s="233" t="s">
        <v>432</v>
      </c>
      <c r="AK421" s="233">
        <v>100</v>
      </c>
      <c r="AL421" s="233"/>
      <c r="AM421" s="233" t="s">
        <v>2580</v>
      </c>
      <c r="AN421" s="233"/>
      <c r="AO421" s="233"/>
      <c r="AP421" s="234" t="s">
        <v>1897</v>
      </c>
      <c r="AQ421" s="234" t="s">
        <v>408</v>
      </c>
    </row>
    <row r="422" spans="1:43">
      <c r="A422" s="12">
        <v>419</v>
      </c>
      <c r="B422" s="21" t="s">
        <v>5653</v>
      </c>
      <c r="C422" s="5" t="s">
        <v>2598</v>
      </c>
      <c r="D422" s="5" t="s">
        <v>5654</v>
      </c>
      <c r="E422" s="5" t="s">
        <v>5655</v>
      </c>
      <c r="F422" s="5" t="s">
        <v>5656</v>
      </c>
      <c r="G422" s="5" t="s">
        <v>5657</v>
      </c>
      <c r="H422" s="11" t="s">
        <v>5658</v>
      </c>
      <c r="I422" s="5"/>
      <c r="J422" s="5"/>
      <c r="K422" s="5"/>
      <c r="L422" s="5"/>
      <c r="M422" s="5"/>
      <c r="N422" s="5"/>
      <c r="O422" s="5"/>
      <c r="P422" s="11">
        <v>258.041</v>
      </c>
      <c r="Q422" s="5">
        <v>54.618600000000001</v>
      </c>
      <c r="R422" s="5">
        <f t="shared" si="6"/>
        <v>312.65960000000001</v>
      </c>
      <c r="S422" s="5" t="s">
        <v>2003</v>
      </c>
      <c r="T422" s="12">
        <v>419</v>
      </c>
      <c r="U422" s="255" t="s">
        <v>2604</v>
      </c>
      <c r="V422" s="232" t="s">
        <v>2598</v>
      </c>
      <c r="W422" s="232">
        <v>2182.9</v>
      </c>
      <c r="X422" s="232">
        <v>6285</v>
      </c>
      <c r="Y422" s="233" t="s">
        <v>49</v>
      </c>
      <c r="Z422" s="87" t="s">
        <v>50</v>
      </c>
      <c r="AA422" s="233" t="s">
        <v>51</v>
      </c>
      <c r="AB422" s="234"/>
      <c r="AC422" s="233">
        <v>1</v>
      </c>
      <c r="AD422" s="233" t="s">
        <v>226</v>
      </c>
      <c r="AE422" s="233"/>
      <c r="AF422" s="233"/>
      <c r="AG422" s="233" t="s">
        <v>2605</v>
      </c>
      <c r="AH422" s="233">
        <v>5</v>
      </c>
      <c r="AI422" s="233">
        <v>85</v>
      </c>
      <c r="AJ422" s="233" t="s">
        <v>432</v>
      </c>
      <c r="AK422" s="233">
        <v>100</v>
      </c>
      <c r="AL422" s="233"/>
      <c r="AM422" s="233" t="s">
        <v>2606</v>
      </c>
      <c r="AN422" s="233"/>
      <c r="AO422" s="233"/>
      <c r="AP422" s="234" t="s">
        <v>1897</v>
      </c>
      <c r="AQ422" s="234" t="s">
        <v>408</v>
      </c>
    </row>
    <row r="423" spans="1:43">
      <c r="A423" s="12">
        <v>420</v>
      </c>
      <c r="B423" s="21" t="s">
        <v>5659</v>
      </c>
      <c r="C423" s="5" t="s">
        <v>2608</v>
      </c>
      <c r="D423" s="5" t="s">
        <v>5660</v>
      </c>
      <c r="E423" s="5" t="s">
        <v>5661</v>
      </c>
      <c r="F423" s="5" t="s">
        <v>5662</v>
      </c>
      <c r="G423" s="5" t="s">
        <v>5663</v>
      </c>
      <c r="H423" s="11" t="s">
        <v>5664</v>
      </c>
      <c r="I423" s="5"/>
      <c r="J423" s="5"/>
      <c r="K423" s="5"/>
      <c r="L423" s="5"/>
      <c r="M423" s="5"/>
      <c r="N423" s="5"/>
      <c r="O423" s="5"/>
      <c r="P423" s="11">
        <v>258.03930000000003</v>
      </c>
      <c r="Q423" s="5">
        <v>54.623399999999997</v>
      </c>
      <c r="R423" s="5">
        <f t="shared" si="6"/>
        <v>312.66270000000003</v>
      </c>
      <c r="S423" s="5" t="s">
        <v>2003</v>
      </c>
      <c r="T423" s="12">
        <v>420</v>
      </c>
      <c r="U423" s="255" t="s">
        <v>2614</v>
      </c>
      <c r="V423" s="232" t="s">
        <v>2608</v>
      </c>
      <c r="W423" s="232">
        <v>2182.9</v>
      </c>
      <c r="X423" s="232">
        <v>6996.2</v>
      </c>
      <c r="Y423" s="233" t="s">
        <v>49</v>
      </c>
      <c r="Z423" s="87" t="s">
        <v>50</v>
      </c>
      <c r="AA423" s="233" t="s">
        <v>51</v>
      </c>
      <c r="AB423" s="234"/>
      <c r="AC423" s="233">
        <v>1</v>
      </c>
      <c r="AD423" s="233" t="s">
        <v>226</v>
      </c>
      <c r="AE423" s="233"/>
      <c r="AF423" s="233"/>
      <c r="AG423" s="233" t="s">
        <v>2605</v>
      </c>
      <c r="AH423" s="233">
        <v>5</v>
      </c>
      <c r="AI423" s="233">
        <v>85</v>
      </c>
      <c r="AJ423" s="233" t="s">
        <v>432</v>
      </c>
      <c r="AK423" s="233">
        <v>100</v>
      </c>
      <c r="AL423" s="233"/>
      <c r="AM423" s="233" t="s">
        <v>2615</v>
      </c>
      <c r="AN423" s="233"/>
      <c r="AO423" s="233"/>
      <c r="AP423" s="234" t="s">
        <v>1897</v>
      </c>
      <c r="AQ423" s="234" t="s">
        <v>408</v>
      </c>
    </row>
    <row r="424" spans="1:43">
      <c r="A424" s="12">
        <v>421</v>
      </c>
      <c r="B424" s="21" t="s">
        <v>5665</v>
      </c>
      <c r="C424" s="5" t="s">
        <v>2617</v>
      </c>
      <c r="D424" s="5" t="s">
        <v>5666</v>
      </c>
      <c r="E424" s="5" t="s">
        <v>5667</v>
      </c>
      <c r="F424" s="5" t="s">
        <v>5668</v>
      </c>
      <c r="G424" s="5" t="s">
        <v>5669</v>
      </c>
      <c r="H424" s="11" t="s">
        <v>5670</v>
      </c>
      <c r="I424" s="5"/>
      <c r="J424" s="5"/>
      <c r="K424" s="5"/>
      <c r="L424" s="5"/>
      <c r="M424" s="5"/>
      <c r="N424" s="5"/>
      <c r="O424" s="5"/>
      <c r="P424" s="11">
        <v>258.0247</v>
      </c>
      <c r="Q424" s="5">
        <v>54.9953</v>
      </c>
      <c r="R424" s="5">
        <f t="shared" si="6"/>
        <v>313.02</v>
      </c>
      <c r="S424" s="5" t="s">
        <v>2270</v>
      </c>
      <c r="T424" s="12">
        <v>421</v>
      </c>
      <c r="U424" s="255" t="s">
        <v>2623</v>
      </c>
      <c r="V424" s="232" t="s">
        <v>2617</v>
      </c>
      <c r="W424" s="232">
        <v>2297</v>
      </c>
      <c r="X424" s="232">
        <v>10380.6</v>
      </c>
      <c r="Y424" s="233" t="s">
        <v>49</v>
      </c>
      <c r="Z424" s="87" t="s">
        <v>50</v>
      </c>
      <c r="AA424" s="233" t="s">
        <v>51</v>
      </c>
      <c r="AB424" s="234"/>
      <c r="AC424" s="233">
        <v>1</v>
      </c>
      <c r="AD424" s="233" t="s">
        <v>226</v>
      </c>
      <c r="AE424" s="233"/>
      <c r="AF424" s="233"/>
      <c r="AG424" s="233" t="s">
        <v>2605</v>
      </c>
      <c r="AH424" s="233">
        <v>5</v>
      </c>
      <c r="AI424" s="233">
        <v>85</v>
      </c>
      <c r="AJ424" s="233" t="s">
        <v>432</v>
      </c>
      <c r="AK424" s="233">
        <v>100</v>
      </c>
      <c r="AL424" s="233"/>
      <c r="AM424" s="233" t="s">
        <v>2606</v>
      </c>
      <c r="AN424" s="233"/>
      <c r="AO424" s="233"/>
      <c r="AP424" s="234" t="s">
        <v>1897</v>
      </c>
      <c r="AQ424" s="234" t="s">
        <v>408</v>
      </c>
    </row>
    <row r="425" spans="1:43">
      <c r="A425" s="12">
        <v>422</v>
      </c>
      <c r="B425" s="21" t="s">
        <v>5671</v>
      </c>
      <c r="C425" s="5" t="s">
        <v>2625</v>
      </c>
      <c r="D425" s="5" t="s">
        <v>5672</v>
      </c>
      <c r="E425" s="5" t="s">
        <v>5673</v>
      </c>
      <c r="F425" s="5" t="s">
        <v>5674</v>
      </c>
      <c r="G425" s="5" t="s">
        <v>5675</v>
      </c>
      <c r="H425" s="11" t="s">
        <v>5676</v>
      </c>
      <c r="I425" s="5"/>
      <c r="J425" s="5"/>
      <c r="K425" s="5"/>
      <c r="L425" s="5"/>
      <c r="M425" s="5"/>
      <c r="N425" s="5"/>
      <c r="O425" s="5"/>
      <c r="P425" s="11">
        <v>258.02280000000002</v>
      </c>
      <c r="Q425" s="5">
        <v>54.996600000000001</v>
      </c>
      <c r="R425" s="5">
        <f t="shared" si="6"/>
        <v>313.01940000000002</v>
      </c>
      <c r="S425" s="5" t="s">
        <v>2270</v>
      </c>
      <c r="T425" s="12">
        <v>422</v>
      </c>
      <c r="U425" s="255" t="s">
        <v>2631</v>
      </c>
      <c r="V425" s="232" t="s">
        <v>2625</v>
      </c>
      <c r="W425" s="232">
        <v>1796.6</v>
      </c>
      <c r="X425" s="232">
        <v>10380.6</v>
      </c>
      <c r="Y425" s="233" t="s">
        <v>49</v>
      </c>
      <c r="Z425" s="87" t="s">
        <v>50</v>
      </c>
      <c r="AA425" s="233" t="s">
        <v>51</v>
      </c>
      <c r="AB425" s="234"/>
      <c r="AC425" s="233">
        <v>1</v>
      </c>
      <c r="AD425" s="233" t="s">
        <v>226</v>
      </c>
      <c r="AE425" s="233"/>
      <c r="AF425" s="233"/>
      <c r="AG425" s="233" t="s">
        <v>2605</v>
      </c>
      <c r="AH425" s="233">
        <v>5</v>
      </c>
      <c r="AI425" s="233">
        <v>85</v>
      </c>
      <c r="AJ425" s="233" t="s">
        <v>432</v>
      </c>
      <c r="AK425" s="233">
        <v>100</v>
      </c>
      <c r="AL425" s="233"/>
      <c r="AM425" s="233" t="s">
        <v>2615</v>
      </c>
      <c r="AN425" s="233"/>
      <c r="AO425" s="233"/>
      <c r="AP425" s="234" t="s">
        <v>1897</v>
      </c>
      <c r="AQ425" s="234" t="s">
        <v>408</v>
      </c>
    </row>
    <row r="426" spans="1:43">
      <c r="A426" s="12">
        <v>423</v>
      </c>
      <c r="B426" s="21" t="s">
        <v>5677</v>
      </c>
      <c r="C426" s="5" t="s">
        <v>2633</v>
      </c>
      <c r="D426" s="5" t="s">
        <v>5678</v>
      </c>
      <c r="E426" s="5" t="s">
        <v>5679</v>
      </c>
      <c r="F426" s="5" t="s">
        <v>5680</v>
      </c>
      <c r="G426" s="5" t="s">
        <v>5681</v>
      </c>
      <c r="H426" s="11" t="s">
        <v>5682</v>
      </c>
      <c r="I426" s="5"/>
      <c r="J426" s="5"/>
      <c r="K426" s="5"/>
      <c r="L426" s="5"/>
      <c r="M426" s="5"/>
      <c r="N426" s="5"/>
      <c r="O426" s="5"/>
      <c r="P426" s="11">
        <v>258.05180000000001</v>
      </c>
      <c r="Q426" s="5">
        <v>54.887999999999998</v>
      </c>
      <c r="R426" s="5">
        <f t="shared" si="6"/>
        <v>312.93979999999999</v>
      </c>
      <c r="S426" s="5" t="s">
        <v>2306</v>
      </c>
      <c r="T426" s="12">
        <v>423</v>
      </c>
      <c r="U426" s="255" t="s">
        <v>2639</v>
      </c>
      <c r="V426" s="232" t="s">
        <v>2633</v>
      </c>
      <c r="W426" s="232">
        <v>825.6</v>
      </c>
      <c r="X426" s="232">
        <v>6996.2</v>
      </c>
      <c r="Y426" s="233" t="s">
        <v>49</v>
      </c>
      <c r="Z426" s="87" t="s">
        <v>50</v>
      </c>
      <c r="AA426" s="233" t="s">
        <v>51</v>
      </c>
      <c r="AB426" s="234"/>
      <c r="AC426" s="233">
        <v>1</v>
      </c>
      <c r="AD426" s="233" t="s">
        <v>226</v>
      </c>
      <c r="AE426" s="233"/>
      <c r="AF426" s="233"/>
      <c r="AG426" s="233" t="s">
        <v>2640</v>
      </c>
      <c r="AH426" s="233">
        <v>5</v>
      </c>
      <c r="AI426" s="233">
        <v>85</v>
      </c>
      <c r="AJ426" s="233" t="s">
        <v>432</v>
      </c>
      <c r="AK426" s="233">
        <v>100</v>
      </c>
      <c r="AL426" s="233"/>
      <c r="AM426" s="233" t="s">
        <v>2641</v>
      </c>
      <c r="AN426" s="233"/>
      <c r="AO426" s="233"/>
      <c r="AP426" s="234" t="s">
        <v>1897</v>
      </c>
      <c r="AQ426" s="234" t="s">
        <v>408</v>
      </c>
    </row>
    <row r="427" spans="1:43">
      <c r="A427" s="12">
        <v>424</v>
      </c>
      <c r="B427" s="21" t="s">
        <v>5683</v>
      </c>
      <c r="C427" s="5" t="s">
        <v>2643</v>
      </c>
      <c r="D427" s="5" t="s">
        <v>5684</v>
      </c>
      <c r="E427" s="5" t="s">
        <v>5685</v>
      </c>
      <c r="F427" s="5" t="s">
        <v>5686</v>
      </c>
      <c r="G427" s="5" t="s">
        <v>5687</v>
      </c>
      <c r="H427" s="11" t="s">
        <v>5688</v>
      </c>
      <c r="I427" s="5"/>
      <c r="J427" s="5"/>
      <c r="K427" s="5"/>
      <c r="L427" s="5"/>
      <c r="M427" s="5"/>
      <c r="N427" s="5"/>
      <c r="O427" s="5"/>
      <c r="P427" s="11">
        <v>258.05110000000002</v>
      </c>
      <c r="Q427" s="5">
        <v>54.871000000000002</v>
      </c>
      <c r="R427" s="5">
        <f t="shared" si="6"/>
        <v>312.9221</v>
      </c>
      <c r="S427" s="5" t="s">
        <v>2306</v>
      </c>
      <c r="T427" s="12">
        <v>424</v>
      </c>
      <c r="U427" s="255" t="s">
        <v>2649</v>
      </c>
      <c r="V427" s="232" t="s">
        <v>2643</v>
      </c>
      <c r="W427" s="232">
        <v>825.6</v>
      </c>
      <c r="X427" s="232">
        <v>7707.4</v>
      </c>
      <c r="Y427" s="233" t="s">
        <v>49</v>
      </c>
      <c r="Z427" s="87" t="s">
        <v>50</v>
      </c>
      <c r="AA427" s="233" t="s">
        <v>51</v>
      </c>
      <c r="AB427" s="234"/>
      <c r="AC427" s="233">
        <v>1</v>
      </c>
      <c r="AD427" s="233" t="s">
        <v>226</v>
      </c>
      <c r="AE427" s="233"/>
      <c r="AF427" s="233"/>
      <c r="AG427" s="233" t="s">
        <v>2640</v>
      </c>
      <c r="AH427" s="233">
        <v>5</v>
      </c>
      <c r="AI427" s="233">
        <v>85</v>
      </c>
      <c r="AJ427" s="233" t="s">
        <v>432</v>
      </c>
      <c r="AK427" s="233">
        <v>100</v>
      </c>
      <c r="AL427" s="233"/>
      <c r="AM427" s="233" t="s">
        <v>2650</v>
      </c>
      <c r="AN427" s="233"/>
      <c r="AO427" s="233"/>
      <c r="AP427" s="234" t="s">
        <v>1897</v>
      </c>
      <c r="AQ427" s="234" t="s">
        <v>408</v>
      </c>
    </row>
    <row r="428" spans="1:43">
      <c r="A428" s="12">
        <v>425</v>
      </c>
      <c r="B428" s="21" t="s">
        <v>5689</v>
      </c>
      <c r="C428" s="5" t="s">
        <v>2652</v>
      </c>
      <c r="D428" s="5" t="s">
        <v>5690</v>
      </c>
      <c r="E428" s="5" t="s">
        <v>5691</v>
      </c>
      <c r="F428" s="5" t="s">
        <v>5692</v>
      </c>
      <c r="G428" s="5" t="s">
        <v>5693</v>
      </c>
      <c r="H428" s="11" t="s">
        <v>5694</v>
      </c>
      <c r="I428" s="5"/>
      <c r="J428" s="5"/>
      <c r="K428" s="5"/>
      <c r="L428" s="5"/>
      <c r="M428" s="5"/>
      <c r="N428" s="5"/>
      <c r="O428" s="5"/>
      <c r="P428" s="11">
        <v>258.08109999999999</v>
      </c>
      <c r="Q428" s="5">
        <v>54.514499999999998</v>
      </c>
      <c r="R428" s="5">
        <f t="shared" si="6"/>
        <v>312.59559999999999</v>
      </c>
      <c r="S428" s="5" t="s">
        <v>317</v>
      </c>
      <c r="T428" s="12">
        <v>425</v>
      </c>
      <c r="U428" s="255" t="s">
        <v>2658</v>
      </c>
      <c r="V428" s="232" t="s">
        <v>2652</v>
      </c>
      <c r="W428" s="232">
        <v>1614.7</v>
      </c>
      <c r="X428" s="232">
        <v>11190</v>
      </c>
      <c r="Y428" s="233" t="s">
        <v>49</v>
      </c>
      <c r="Z428" s="87" t="s">
        <v>50</v>
      </c>
      <c r="AA428" s="233" t="s">
        <v>51</v>
      </c>
      <c r="AB428" s="234"/>
      <c r="AC428" s="233">
        <v>1</v>
      </c>
      <c r="AD428" s="233" t="s">
        <v>226</v>
      </c>
      <c r="AE428" s="233"/>
      <c r="AF428" s="233"/>
      <c r="AG428" s="233" t="s">
        <v>2640</v>
      </c>
      <c r="AH428" s="233">
        <v>5</v>
      </c>
      <c r="AI428" s="233">
        <v>85</v>
      </c>
      <c r="AJ428" s="233" t="s">
        <v>432</v>
      </c>
      <c r="AK428" s="233">
        <v>100</v>
      </c>
      <c r="AL428" s="233"/>
      <c r="AM428" s="233" t="s">
        <v>2641</v>
      </c>
      <c r="AN428" s="233"/>
      <c r="AO428" s="233"/>
      <c r="AP428" s="234" t="s">
        <v>1897</v>
      </c>
      <c r="AQ428" s="234" t="s">
        <v>408</v>
      </c>
    </row>
    <row r="429" spans="1:43">
      <c r="A429" s="12">
        <v>426</v>
      </c>
      <c r="B429" s="21" t="s">
        <v>5695</v>
      </c>
      <c r="C429" s="5" t="s">
        <v>2660</v>
      </c>
      <c r="D429" s="5" t="s">
        <v>5696</v>
      </c>
      <c r="E429" s="5" t="s">
        <v>5697</v>
      </c>
      <c r="F429" s="5" t="s">
        <v>5698</v>
      </c>
      <c r="G429" s="5" t="s">
        <v>5699</v>
      </c>
      <c r="H429" s="11" t="s">
        <v>5700</v>
      </c>
      <c r="I429" s="5"/>
      <c r="J429" s="5"/>
      <c r="K429" s="5"/>
      <c r="L429" s="5"/>
      <c r="M429" s="5"/>
      <c r="N429" s="5"/>
      <c r="O429" s="5"/>
      <c r="P429" s="11">
        <v>258.03480000000002</v>
      </c>
      <c r="Q429" s="5">
        <v>54.493499999999997</v>
      </c>
      <c r="R429" s="5">
        <f t="shared" si="6"/>
        <v>312.5283</v>
      </c>
      <c r="S429" s="5" t="s">
        <v>317</v>
      </c>
      <c r="T429" s="12">
        <v>426</v>
      </c>
      <c r="U429" s="255" t="s">
        <v>2666</v>
      </c>
      <c r="V429" s="232" t="s">
        <v>2660</v>
      </c>
      <c r="W429" s="232">
        <v>1114.3</v>
      </c>
      <c r="X429" s="232">
        <v>11190</v>
      </c>
      <c r="Y429" s="233" t="s">
        <v>49</v>
      </c>
      <c r="Z429" s="87" t="s">
        <v>50</v>
      </c>
      <c r="AA429" s="233" t="s">
        <v>51</v>
      </c>
      <c r="AB429" s="234"/>
      <c r="AC429" s="233">
        <v>1</v>
      </c>
      <c r="AD429" s="233" t="s">
        <v>226</v>
      </c>
      <c r="AE429" s="233"/>
      <c r="AF429" s="233"/>
      <c r="AG429" s="233" t="s">
        <v>2640</v>
      </c>
      <c r="AH429" s="233">
        <v>5</v>
      </c>
      <c r="AI429" s="233">
        <v>85</v>
      </c>
      <c r="AJ429" s="233" t="s">
        <v>432</v>
      </c>
      <c r="AK429" s="233">
        <v>100</v>
      </c>
      <c r="AL429" s="233"/>
      <c r="AM429" s="233" t="s">
        <v>2650</v>
      </c>
      <c r="AN429" s="233"/>
      <c r="AO429" s="233"/>
      <c r="AP429" s="234" t="s">
        <v>1897</v>
      </c>
      <c r="AQ429" s="234" t="s">
        <v>408</v>
      </c>
    </row>
    <row r="430" spans="1:43">
      <c r="A430" s="12">
        <v>427</v>
      </c>
      <c r="B430" s="21" t="s">
        <v>5701</v>
      </c>
      <c r="C430" s="5" t="s">
        <v>2668</v>
      </c>
      <c r="D430" s="5" t="s">
        <v>5702</v>
      </c>
      <c r="E430" s="5" t="s">
        <v>5703</v>
      </c>
      <c r="F430" s="5" t="s">
        <v>5704</v>
      </c>
      <c r="G430" s="5" t="s">
        <v>5705</v>
      </c>
      <c r="H430" s="11" t="s">
        <v>5706</v>
      </c>
      <c r="I430" s="5"/>
      <c r="J430" s="5"/>
      <c r="K430" s="5"/>
      <c r="L430" s="5"/>
      <c r="M430" s="5"/>
      <c r="N430" s="5"/>
      <c r="O430" s="5"/>
      <c r="P430" s="11">
        <v>258.01710000000003</v>
      </c>
      <c r="Q430" s="5">
        <v>54.616799999999998</v>
      </c>
      <c r="R430" s="5">
        <f t="shared" si="6"/>
        <v>312.63390000000004</v>
      </c>
      <c r="S430" s="5" t="s">
        <v>299</v>
      </c>
      <c r="T430" s="12">
        <v>427</v>
      </c>
      <c r="U430" s="255" t="s">
        <v>2674</v>
      </c>
      <c r="V430" s="232" t="s">
        <v>2668</v>
      </c>
      <c r="W430" s="232">
        <v>825.6</v>
      </c>
      <c r="X430" s="232">
        <v>4862.6000000000004</v>
      </c>
      <c r="Y430" s="233" t="s">
        <v>49</v>
      </c>
      <c r="Z430" s="87" t="s">
        <v>50</v>
      </c>
      <c r="AA430" s="233" t="s">
        <v>51</v>
      </c>
      <c r="AB430" s="234"/>
      <c r="AC430" s="233">
        <v>1</v>
      </c>
      <c r="AD430" s="233" t="s">
        <v>226</v>
      </c>
      <c r="AE430" s="233"/>
      <c r="AF430" s="233"/>
      <c r="AG430" s="233" t="s">
        <v>2675</v>
      </c>
      <c r="AH430" s="233">
        <v>5</v>
      </c>
      <c r="AI430" s="233">
        <v>85</v>
      </c>
      <c r="AJ430" s="233" t="s">
        <v>432</v>
      </c>
      <c r="AK430" s="233">
        <v>100</v>
      </c>
      <c r="AL430" s="233"/>
      <c r="AM430" s="233" t="s">
        <v>2676</v>
      </c>
      <c r="AN430" s="233"/>
      <c r="AO430" s="233"/>
      <c r="AP430" s="234" t="s">
        <v>1897</v>
      </c>
      <c r="AQ430" s="234" t="s">
        <v>408</v>
      </c>
    </row>
    <row r="431" spans="1:43">
      <c r="A431" s="12">
        <v>428</v>
      </c>
      <c r="B431" s="21" t="s">
        <v>5707</v>
      </c>
      <c r="C431" s="5" t="s">
        <v>2678</v>
      </c>
      <c r="D431" s="5" t="s">
        <v>5708</v>
      </c>
      <c r="E431" s="5" t="s">
        <v>5709</v>
      </c>
      <c r="F431" s="5" t="s">
        <v>5710</v>
      </c>
      <c r="G431" s="5" t="s">
        <v>5711</v>
      </c>
      <c r="H431" s="11" t="s">
        <v>5712</v>
      </c>
      <c r="I431" s="5"/>
      <c r="J431" s="5"/>
      <c r="K431" s="5"/>
      <c r="L431" s="5"/>
      <c r="M431" s="5"/>
      <c r="N431" s="5"/>
      <c r="O431" s="5"/>
      <c r="P431" s="11">
        <v>258.00810000000001</v>
      </c>
      <c r="Q431" s="5">
        <v>54.611600000000003</v>
      </c>
      <c r="R431" s="5">
        <f t="shared" si="6"/>
        <v>312.61970000000002</v>
      </c>
      <c r="S431" s="5" t="s">
        <v>299</v>
      </c>
      <c r="T431" s="12">
        <v>428</v>
      </c>
      <c r="U431" s="255" t="s">
        <v>2684</v>
      </c>
      <c r="V431" s="232" t="s">
        <v>2678</v>
      </c>
      <c r="W431" s="232">
        <v>825.6</v>
      </c>
      <c r="X431" s="232">
        <v>5573.8</v>
      </c>
      <c r="Y431" s="233" t="s">
        <v>49</v>
      </c>
      <c r="Z431" s="87" t="s">
        <v>50</v>
      </c>
      <c r="AA431" s="233" t="s">
        <v>51</v>
      </c>
      <c r="AB431" s="234"/>
      <c r="AC431" s="233">
        <v>1</v>
      </c>
      <c r="AD431" s="233" t="s">
        <v>226</v>
      </c>
      <c r="AE431" s="233"/>
      <c r="AF431" s="233"/>
      <c r="AG431" s="233" t="s">
        <v>2675</v>
      </c>
      <c r="AH431" s="233">
        <v>5</v>
      </c>
      <c r="AI431" s="233">
        <v>85</v>
      </c>
      <c r="AJ431" s="233" t="s">
        <v>432</v>
      </c>
      <c r="AK431" s="233">
        <v>100</v>
      </c>
      <c r="AL431" s="233"/>
      <c r="AM431" s="233" t="s">
        <v>2685</v>
      </c>
      <c r="AN431" s="233"/>
      <c r="AO431" s="233"/>
      <c r="AP431" s="234" t="s">
        <v>1897</v>
      </c>
      <c r="AQ431" s="234" t="s">
        <v>408</v>
      </c>
    </row>
    <row r="432" spans="1:43">
      <c r="A432" s="12">
        <v>501</v>
      </c>
      <c r="B432" s="21" t="s">
        <v>5713</v>
      </c>
      <c r="C432" s="5" t="s">
        <v>3108</v>
      </c>
      <c r="D432" s="5" t="s">
        <v>5714</v>
      </c>
      <c r="E432" s="5" t="s">
        <v>5715</v>
      </c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11" t="s">
        <v>46</v>
      </c>
      <c r="Q432" s="5">
        <v>232.74850000000001</v>
      </c>
      <c r="R432" s="5">
        <f t="shared" si="6"/>
        <v>232.74850000000001</v>
      </c>
      <c r="S432" s="5" t="s">
        <v>344</v>
      </c>
      <c r="T432" s="12">
        <v>501</v>
      </c>
      <c r="U432" s="256" t="s">
        <v>3111</v>
      </c>
      <c r="V432" s="232" t="s">
        <v>3108</v>
      </c>
      <c r="W432" s="232">
        <v>932.4</v>
      </c>
      <c r="X432" s="232">
        <v>10380.6</v>
      </c>
      <c r="Y432" s="233" t="s">
        <v>49</v>
      </c>
      <c r="Z432" s="87" t="s">
        <v>50</v>
      </c>
      <c r="AA432" s="233" t="s">
        <v>51</v>
      </c>
      <c r="AB432" s="234"/>
      <c r="AC432" s="233">
        <v>1</v>
      </c>
      <c r="AD432" s="233" t="s">
        <v>226</v>
      </c>
      <c r="AE432" s="233"/>
      <c r="AF432" s="233"/>
      <c r="AG432" s="233" t="s">
        <v>2675</v>
      </c>
      <c r="AH432" s="233">
        <v>5</v>
      </c>
      <c r="AI432" s="233">
        <v>85</v>
      </c>
      <c r="AJ432" s="233" t="s">
        <v>432</v>
      </c>
      <c r="AK432" s="233">
        <v>100</v>
      </c>
      <c r="AL432" s="233"/>
      <c r="AM432" s="233" t="s">
        <v>2676</v>
      </c>
      <c r="AN432" s="233"/>
      <c r="AO432" s="233"/>
      <c r="AP432" s="234" t="s">
        <v>1897</v>
      </c>
      <c r="AQ432" s="234" t="s">
        <v>408</v>
      </c>
    </row>
    <row r="433" spans="1:43">
      <c r="A433" s="12">
        <v>430</v>
      </c>
      <c r="B433" s="21" t="s">
        <v>5716</v>
      </c>
      <c r="C433" s="5" t="s">
        <v>2695</v>
      </c>
      <c r="D433" s="5" t="s">
        <v>5717</v>
      </c>
      <c r="E433" s="5" t="s">
        <v>5718</v>
      </c>
      <c r="F433" s="5" t="s">
        <v>5719</v>
      </c>
      <c r="G433" s="5" t="s">
        <v>5720</v>
      </c>
      <c r="H433" s="11" t="s">
        <v>5721</v>
      </c>
      <c r="I433" s="5"/>
      <c r="J433" s="5"/>
      <c r="K433" s="5"/>
      <c r="L433" s="5"/>
      <c r="M433" s="5"/>
      <c r="N433" s="5"/>
      <c r="O433" s="5"/>
      <c r="P433" s="11">
        <v>258.03730000000002</v>
      </c>
      <c r="Q433" s="5">
        <v>54.439599999999999</v>
      </c>
      <c r="R433" s="5">
        <f t="shared" si="6"/>
        <v>312.4769</v>
      </c>
      <c r="S433" s="5" t="s">
        <v>488</v>
      </c>
      <c r="T433" s="12">
        <v>430</v>
      </c>
      <c r="U433" s="255" t="s">
        <v>2701</v>
      </c>
      <c r="V433" s="232" t="s">
        <v>2695</v>
      </c>
      <c r="W433" s="232">
        <v>432</v>
      </c>
      <c r="X433" s="232">
        <v>10380.6</v>
      </c>
      <c r="Y433" s="233" t="s">
        <v>49</v>
      </c>
      <c r="Z433" s="87" t="s">
        <v>50</v>
      </c>
      <c r="AA433" s="233" t="s">
        <v>51</v>
      </c>
      <c r="AB433" s="234"/>
      <c r="AC433" s="233">
        <v>1</v>
      </c>
      <c r="AD433" s="233" t="s">
        <v>226</v>
      </c>
      <c r="AE433" s="233"/>
      <c r="AF433" s="233"/>
      <c r="AG433" s="233" t="s">
        <v>2675</v>
      </c>
      <c r="AH433" s="233">
        <v>5</v>
      </c>
      <c r="AI433" s="233">
        <v>85</v>
      </c>
      <c r="AJ433" s="233" t="s">
        <v>432</v>
      </c>
      <c r="AK433" s="233">
        <v>100</v>
      </c>
      <c r="AL433" s="233"/>
      <c r="AM433" s="233" t="s">
        <v>2685</v>
      </c>
      <c r="AN433" s="233"/>
      <c r="AO433" s="233"/>
      <c r="AP433" s="234" t="s">
        <v>1897</v>
      </c>
      <c r="AQ433" s="234" t="s">
        <v>408</v>
      </c>
    </row>
    <row r="434" spans="1:43">
      <c r="A434" s="12">
        <v>431</v>
      </c>
      <c r="B434" s="21" t="s">
        <v>5722</v>
      </c>
      <c r="C434" s="5" t="s">
        <v>2703</v>
      </c>
      <c r="D434" s="5" t="s">
        <v>5723</v>
      </c>
      <c r="E434" s="5" t="s">
        <v>5724</v>
      </c>
      <c r="F434" s="5" t="s">
        <v>5725</v>
      </c>
      <c r="G434" s="5" t="s">
        <v>5726</v>
      </c>
      <c r="H434" s="11" t="s">
        <v>5727</v>
      </c>
      <c r="I434" s="5"/>
      <c r="J434" s="5"/>
      <c r="K434" s="5"/>
      <c r="L434" s="5"/>
      <c r="M434" s="5"/>
      <c r="N434" s="5"/>
      <c r="O434" s="5"/>
      <c r="P434" s="11">
        <v>258.01400000000001</v>
      </c>
      <c r="Q434" s="5">
        <v>54.768099999999997</v>
      </c>
      <c r="R434" s="5">
        <f t="shared" si="6"/>
        <v>312.78210000000001</v>
      </c>
      <c r="S434" s="5" t="s">
        <v>2003</v>
      </c>
      <c r="T434" s="12">
        <v>431</v>
      </c>
      <c r="U434" s="255" t="s">
        <v>2709</v>
      </c>
      <c r="V434" s="232" t="s">
        <v>2703</v>
      </c>
      <c r="W434" s="232">
        <v>-546.1</v>
      </c>
      <c r="X434" s="232">
        <v>8418.6</v>
      </c>
      <c r="Y434" s="233" t="s">
        <v>49</v>
      </c>
      <c r="Z434" s="87" t="s">
        <v>50</v>
      </c>
      <c r="AA434" s="233" t="s">
        <v>51</v>
      </c>
      <c r="AB434" s="234"/>
      <c r="AC434" s="233">
        <v>1</v>
      </c>
      <c r="AD434" s="233" t="s">
        <v>226</v>
      </c>
      <c r="AE434" s="233"/>
      <c r="AF434" s="233"/>
      <c r="AG434" s="233" t="s">
        <v>2710</v>
      </c>
      <c r="AH434" s="233">
        <v>5</v>
      </c>
      <c r="AI434" s="233">
        <v>85</v>
      </c>
      <c r="AJ434" s="233" t="s">
        <v>432</v>
      </c>
      <c r="AK434" s="233">
        <v>100</v>
      </c>
      <c r="AL434" s="233"/>
      <c r="AM434" s="233" t="s">
        <v>2711</v>
      </c>
      <c r="AN434" s="233"/>
      <c r="AO434" s="233"/>
      <c r="AP434" s="234" t="s">
        <v>1897</v>
      </c>
      <c r="AQ434" s="234" t="s">
        <v>408</v>
      </c>
    </row>
    <row r="435" spans="1:43">
      <c r="A435" s="12">
        <v>432</v>
      </c>
      <c r="B435" s="21" t="s">
        <v>5728</v>
      </c>
      <c r="C435" s="5" t="s">
        <v>2713</v>
      </c>
      <c r="D435" s="5" t="s">
        <v>5729</v>
      </c>
      <c r="E435" s="5" t="s">
        <v>5730</v>
      </c>
      <c r="F435" s="5" t="s">
        <v>5731</v>
      </c>
      <c r="G435" s="5" t="s">
        <v>5732</v>
      </c>
      <c r="H435" s="11" t="s">
        <v>5733</v>
      </c>
      <c r="I435" s="5"/>
      <c r="J435" s="5"/>
      <c r="K435" s="5"/>
      <c r="L435" s="5"/>
      <c r="M435" s="5"/>
      <c r="N435" s="5"/>
      <c r="O435" s="5"/>
      <c r="P435" s="11">
        <v>258.01420000000002</v>
      </c>
      <c r="Q435" s="5">
        <v>54.776400000000002</v>
      </c>
      <c r="R435" s="5">
        <f t="shared" si="6"/>
        <v>312.79060000000004</v>
      </c>
      <c r="S435" s="5" t="s">
        <v>2003</v>
      </c>
      <c r="T435" s="12">
        <v>432</v>
      </c>
      <c r="U435" s="255" t="s">
        <v>2719</v>
      </c>
      <c r="V435" s="232" t="s">
        <v>2713</v>
      </c>
      <c r="W435" s="232">
        <v>-546.1</v>
      </c>
      <c r="X435" s="232">
        <v>9129.7999999999993</v>
      </c>
      <c r="Y435" s="233" t="s">
        <v>49</v>
      </c>
      <c r="Z435" s="87" t="s">
        <v>50</v>
      </c>
      <c r="AA435" s="233" t="s">
        <v>51</v>
      </c>
      <c r="AB435" s="234"/>
      <c r="AC435" s="233">
        <v>1</v>
      </c>
      <c r="AD435" s="233" t="s">
        <v>226</v>
      </c>
      <c r="AE435" s="233"/>
      <c r="AF435" s="233"/>
      <c r="AG435" s="233" t="s">
        <v>2710</v>
      </c>
      <c r="AH435" s="233">
        <v>5</v>
      </c>
      <c r="AI435" s="233">
        <v>85</v>
      </c>
      <c r="AJ435" s="233" t="s">
        <v>432</v>
      </c>
      <c r="AK435" s="233">
        <v>100</v>
      </c>
      <c r="AL435" s="233"/>
      <c r="AM435" s="233" t="s">
        <v>2720</v>
      </c>
      <c r="AN435" s="233"/>
      <c r="AO435" s="233"/>
      <c r="AP435" s="234" t="s">
        <v>1897</v>
      </c>
      <c r="AQ435" s="234" t="s">
        <v>408</v>
      </c>
    </row>
    <row r="436" spans="1:43">
      <c r="A436" s="12">
        <v>433</v>
      </c>
      <c r="B436" s="21" t="s">
        <v>5734</v>
      </c>
      <c r="C436" s="5" t="s">
        <v>2722</v>
      </c>
      <c r="D436" s="5" t="s">
        <v>5735</v>
      </c>
      <c r="E436" s="5" t="s">
        <v>5736</v>
      </c>
      <c r="F436" s="5" t="s">
        <v>5737</v>
      </c>
      <c r="G436" s="5" t="s">
        <v>5738</v>
      </c>
      <c r="H436" s="11" t="s">
        <v>5739</v>
      </c>
      <c r="I436" s="5"/>
      <c r="J436" s="5"/>
      <c r="K436" s="5"/>
      <c r="L436" s="5"/>
      <c r="M436" s="5"/>
      <c r="N436" s="5"/>
      <c r="O436" s="5"/>
      <c r="P436" s="11">
        <v>258.05160000000001</v>
      </c>
      <c r="Q436" s="5">
        <v>54.8339</v>
      </c>
      <c r="R436" s="5">
        <f t="shared" si="6"/>
        <v>312.88549999999998</v>
      </c>
      <c r="S436" s="5" t="s">
        <v>2199</v>
      </c>
      <c r="T436" s="12">
        <v>433</v>
      </c>
      <c r="U436" s="255" t="s">
        <v>2728</v>
      </c>
      <c r="V436" s="232" t="s">
        <v>2722</v>
      </c>
      <c r="W436" s="232">
        <v>250.2</v>
      </c>
      <c r="X436" s="232">
        <v>11190</v>
      </c>
      <c r="Y436" s="233" t="s">
        <v>49</v>
      </c>
      <c r="Z436" s="87" t="s">
        <v>50</v>
      </c>
      <c r="AA436" s="233" t="s">
        <v>51</v>
      </c>
      <c r="AB436" s="234"/>
      <c r="AC436" s="233">
        <v>1</v>
      </c>
      <c r="AD436" s="233" t="s">
        <v>226</v>
      </c>
      <c r="AE436" s="233"/>
      <c r="AF436" s="233"/>
      <c r="AG436" s="233" t="s">
        <v>2710</v>
      </c>
      <c r="AH436" s="233">
        <v>5</v>
      </c>
      <c r="AI436" s="233">
        <v>85</v>
      </c>
      <c r="AJ436" s="233" t="s">
        <v>432</v>
      </c>
      <c r="AK436" s="233">
        <v>100</v>
      </c>
      <c r="AL436" s="233"/>
      <c r="AM436" s="233" t="s">
        <v>2711</v>
      </c>
      <c r="AN436" s="233"/>
      <c r="AO436" s="233"/>
      <c r="AP436" s="234" t="s">
        <v>1897</v>
      </c>
      <c r="AQ436" s="234" t="s">
        <v>408</v>
      </c>
    </row>
    <row r="437" spans="1:43">
      <c r="A437" s="12">
        <v>434</v>
      </c>
      <c r="B437" s="21" t="s">
        <v>5740</v>
      </c>
      <c r="C437" s="5" t="s">
        <v>2730</v>
      </c>
      <c r="D437" s="5" t="s">
        <v>5741</v>
      </c>
      <c r="E437" s="5" t="s">
        <v>5742</v>
      </c>
      <c r="F437" s="5" t="s">
        <v>5743</v>
      </c>
      <c r="G437" s="5" t="s">
        <v>5744</v>
      </c>
      <c r="H437" s="11" t="s">
        <v>5745</v>
      </c>
      <c r="I437" s="5"/>
      <c r="J437" s="5"/>
      <c r="K437" s="5"/>
      <c r="L437" s="5"/>
      <c r="M437" s="5"/>
      <c r="N437" s="5"/>
      <c r="O437" s="5"/>
      <c r="P437" s="11">
        <v>258.05560000000003</v>
      </c>
      <c r="Q437" s="5">
        <v>54.814999999999998</v>
      </c>
      <c r="R437" s="5">
        <f t="shared" si="6"/>
        <v>312.87060000000002</v>
      </c>
      <c r="S437" s="5" t="s">
        <v>2199</v>
      </c>
      <c r="T437" s="12">
        <v>434</v>
      </c>
      <c r="U437" s="255" t="s">
        <v>2736</v>
      </c>
      <c r="V437" s="232" t="s">
        <v>2730</v>
      </c>
      <c r="W437" s="232">
        <v>-250.2</v>
      </c>
      <c r="X437" s="232">
        <v>11190</v>
      </c>
      <c r="Y437" s="233" t="s">
        <v>49</v>
      </c>
      <c r="Z437" s="87" t="s">
        <v>50</v>
      </c>
      <c r="AA437" s="233" t="s">
        <v>51</v>
      </c>
      <c r="AB437" s="234"/>
      <c r="AC437" s="233">
        <v>1</v>
      </c>
      <c r="AD437" s="233" t="s">
        <v>226</v>
      </c>
      <c r="AE437" s="233"/>
      <c r="AF437" s="233"/>
      <c r="AG437" s="233" t="s">
        <v>2710</v>
      </c>
      <c r="AH437" s="233">
        <v>5</v>
      </c>
      <c r="AI437" s="233">
        <v>85</v>
      </c>
      <c r="AJ437" s="233" t="s">
        <v>432</v>
      </c>
      <c r="AK437" s="233">
        <v>100</v>
      </c>
      <c r="AL437" s="233"/>
      <c r="AM437" s="233" t="s">
        <v>2720</v>
      </c>
      <c r="AN437" s="233"/>
      <c r="AO437" s="233"/>
      <c r="AP437" s="234" t="s">
        <v>1897</v>
      </c>
      <c r="AQ437" s="234" t="s">
        <v>408</v>
      </c>
    </row>
    <row r="438" spans="1:43">
      <c r="A438" s="12">
        <v>435</v>
      </c>
      <c r="B438" s="21" t="s">
        <v>5746</v>
      </c>
      <c r="C438" s="5" t="s">
        <v>2738</v>
      </c>
      <c r="D438" s="5" t="s">
        <v>5747</v>
      </c>
      <c r="E438" s="5" t="s">
        <v>5748</v>
      </c>
      <c r="F438" s="5" t="s">
        <v>5749</v>
      </c>
      <c r="G438" s="5"/>
      <c r="H438" s="5"/>
      <c r="I438" s="5"/>
      <c r="J438" s="5"/>
      <c r="K438" s="5"/>
      <c r="L438" s="5"/>
      <c r="M438" s="5"/>
      <c r="N438" s="5"/>
      <c r="O438" s="5"/>
      <c r="P438" s="11" t="s">
        <v>46</v>
      </c>
      <c r="Q438" s="5">
        <v>312.3965</v>
      </c>
      <c r="R438" s="5">
        <f t="shared" si="6"/>
        <v>312.3965</v>
      </c>
      <c r="S438" s="5" t="s">
        <v>1818</v>
      </c>
      <c r="T438" s="12">
        <v>435</v>
      </c>
      <c r="U438" s="253" t="s">
        <v>2742</v>
      </c>
      <c r="V438" s="232" t="s">
        <v>2738</v>
      </c>
      <c r="W438" s="232">
        <v>-546.1</v>
      </c>
      <c r="X438" s="232">
        <v>4151.3999999999996</v>
      </c>
      <c r="Y438" s="233" t="s">
        <v>49</v>
      </c>
      <c r="Z438" s="87" t="s">
        <v>50</v>
      </c>
      <c r="AA438" s="233" t="s">
        <v>51</v>
      </c>
      <c r="AB438" s="234"/>
      <c r="AC438" s="233">
        <v>1</v>
      </c>
      <c r="AD438" s="233" t="s">
        <v>226</v>
      </c>
      <c r="AE438" s="233"/>
      <c r="AF438" s="233"/>
      <c r="AG438" s="233" t="s">
        <v>2743</v>
      </c>
      <c r="AH438" s="233">
        <v>5</v>
      </c>
      <c r="AI438" s="233">
        <v>85</v>
      </c>
      <c r="AJ438" s="233" t="s">
        <v>432</v>
      </c>
      <c r="AK438" s="233"/>
      <c r="AL438" s="233"/>
      <c r="AM438" s="233"/>
      <c r="AN438" s="233"/>
      <c r="AO438" s="233" t="s">
        <v>636</v>
      </c>
      <c r="AP438" s="234" t="s">
        <v>2744</v>
      </c>
      <c r="AQ438" s="234" t="s">
        <v>653</v>
      </c>
    </row>
    <row r="439" spans="1:43">
      <c r="A439" s="12">
        <v>436</v>
      </c>
      <c r="B439" s="21" t="s">
        <v>5750</v>
      </c>
      <c r="C439" s="5" t="s">
        <v>2746</v>
      </c>
      <c r="D439" s="5" t="s">
        <v>5751</v>
      </c>
      <c r="E439" s="5" t="s">
        <v>5752</v>
      </c>
      <c r="F439" s="5" t="s">
        <v>5753</v>
      </c>
      <c r="G439" s="5"/>
      <c r="H439" s="5"/>
      <c r="I439" s="5"/>
      <c r="J439" s="5"/>
      <c r="K439" s="5"/>
      <c r="L439" s="5"/>
      <c r="M439" s="5"/>
      <c r="N439" s="5"/>
      <c r="O439" s="5"/>
      <c r="P439" s="11" t="s">
        <v>46</v>
      </c>
      <c r="Q439" s="5">
        <v>312.39260000000002</v>
      </c>
      <c r="R439" s="5">
        <f t="shared" si="6"/>
        <v>312.39260000000002</v>
      </c>
      <c r="S439" s="5" t="s">
        <v>1818</v>
      </c>
      <c r="T439" s="12">
        <v>436</v>
      </c>
      <c r="U439" s="253" t="s">
        <v>2750</v>
      </c>
      <c r="V439" s="232" t="s">
        <v>2746</v>
      </c>
      <c r="W439" s="232">
        <v>-546.1</v>
      </c>
      <c r="X439" s="232">
        <v>4862.6000000000004</v>
      </c>
      <c r="Y439" s="233" t="s">
        <v>49</v>
      </c>
      <c r="Z439" s="87" t="s">
        <v>50</v>
      </c>
      <c r="AA439" s="233" t="s">
        <v>51</v>
      </c>
      <c r="AB439" s="234"/>
      <c r="AC439" s="233">
        <v>1</v>
      </c>
      <c r="AD439" s="233" t="s">
        <v>226</v>
      </c>
      <c r="AE439" s="233"/>
      <c r="AF439" s="233"/>
      <c r="AG439" s="233" t="s">
        <v>2743</v>
      </c>
      <c r="AH439" s="233">
        <v>5</v>
      </c>
      <c r="AI439" s="233">
        <v>85</v>
      </c>
      <c r="AJ439" s="233" t="s">
        <v>432</v>
      </c>
      <c r="AK439" s="233"/>
      <c r="AL439" s="233"/>
      <c r="AM439" s="233"/>
      <c r="AN439" s="233"/>
      <c r="AO439" s="233" t="s">
        <v>636</v>
      </c>
      <c r="AP439" s="234" t="s">
        <v>2744</v>
      </c>
      <c r="AQ439" s="234" t="s">
        <v>653</v>
      </c>
    </row>
    <row r="440" spans="1:43">
      <c r="A440" s="12">
        <v>437</v>
      </c>
      <c r="B440" s="21" t="s">
        <v>5754</v>
      </c>
      <c r="C440" s="5" t="s">
        <v>2752</v>
      </c>
      <c r="D440" s="5" t="s">
        <v>605</v>
      </c>
      <c r="E440" s="5" t="s">
        <v>605</v>
      </c>
      <c r="F440" s="5" t="s">
        <v>5755</v>
      </c>
      <c r="G440" s="5"/>
      <c r="H440" s="5"/>
      <c r="I440" s="5"/>
      <c r="J440" s="5"/>
      <c r="K440" s="5"/>
      <c r="L440" s="5"/>
      <c r="M440" s="5"/>
      <c r="N440" s="5"/>
      <c r="O440" s="5"/>
      <c r="P440" s="11" t="s">
        <v>46</v>
      </c>
      <c r="Q440" s="5">
        <v>7.4503000000000004</v>
      </c>
      <c r="R440" s="5">
        <f t="shared" si="6"/>
        <v>7.4503000000000004</v>
      </c>
      <c r="S440" s="5" t="s">
        <v>74</v>
      </c>
      <c r="T440" s="12">
        <v>437</v>
      </c>
      <c r="U440" s="253" t="s">
        <v>2754</v>
      </c>
      <c r="V440" s="232" t="s">
        <v>2752</v>
      </c>
      <c r="W440" s="232">
        <v>11467.2</v>
      </c>
      <c r="X440" s="232">
        <v>10357.200000000001</v>
      </c>
      <c r="Y440" s="233" t="s">
        <v>49</v>
      </c>
      <c r="Z440" s="87" t="s">
        <v>50</v>
      </c>
      <c r="AA440" s="233"/>
      <c r="AB440" s="234"/>
      <c r="AC440" s="233"/>
      <c r="AD440" s="234"/>
      <c r="AE440" s="234"/>
      <c r="AF440" s="234"/>
      <c r="AG440" s="234"/>
      <c r="AH440" s="233"/>
      <c r="AI440" s="233"/>
      <c r="AJ440" s="233"/>
      <c r="AK440" s="233"/>
      <c r="AL440" s="233"/>
      <c r="AM440" s="233"/>
      <c r="AN440" s="233"/>
      <c r="AO440" s="233"/>
      <c r="AP440" s="234"/>
      <c r="AQ440" s="234" t="s">
        <v>608</v>
      </c>
    </row>
    <row r="441" spans="1:43">
      <c r="A441" s="12">
        <v>438</v>
      </c>
      <c r="B441" s="21" t="s">
        <v>5756</v>
      </c>
      <c r="C441" s="5" t="s">
        <v>2756</v>
      </c>
      <c r="D441" s="5" t="s">
        <v>605</v>
      </c>
      <c r="E441" s="5" t="s">
        <v>605</v>
      </c>
      <c r="F441" s="5" t="s">
        <v>5757</v>
      </c>
      <c r="G441" s="5"/>
      <c r="H441" s="5"/>
      <c r="I441" s="5"/>
      <c r="J441" s="5"/>
      <c r="K441" s="5"/>
      <c r="L441" s="5"/>
      <c r="M441" s="5"/>
      <c r="N441" s="5"/>
      <c r="O441" s="5"/>
      <c r="P441" s="11" t="s">
        <v>46</v>
      </c>
      <c r="Q441" s="5">
        <v>6.9175000000000004</v>
      </c>
      <c r="R441" s="5">
        <f t="shared" si="6"/>
        <v>6.9175000000000004</v>
      </c>
      <c r="S441" s="5" t="s">
        <v>67</v>
      </c>
      <c r="T441" s="12">
        <v>438</v>
      </c>
      <c r="U441" s="253" t="s">
        <v>2758</v>
      </c>
      <c r="V441" s="232" t="s">
        <v>2756</v>
      </c>
      <c r="W441" s="232">
        <v>11181.6</v>
      </c>
      <c r="X441" s="232">
        <v>10770.7</v>
      </c>
      <c r="Y441" s="233" t="s">
        <v>49</v>
      </c>
      <c r="Z441" s="87" t="s">
        <v>50</v>
      </c>
      <c r="AA441" s="233"/>
      <c r="AB441" s="234"/>
      <c r="AC441" s="233"/>
      <c r="AD441" s="234"/>
      <c r="AE441" s="234"/>
      <c r="AF441" s="234"/>
      <c r="AG441" s="234"/>
      <c r="AH441" s="233"/>
      <c r="AI441" s="233"/>
      <c r="AJ441" s="233"/>
      <c r="AK441" s="233"/>
      <c r="AL441" s="233"/>
      <c r="AM441" s="233"/>
      <c r="AN441" s="233"/>
      <c r="AO441" s="233"/>
      <c r="AP441" s="234"/>
      <c r="AQ441" s="234" t="s">
        <v>608</v>
      </c>
    </row>
    <row r="442" spans="1:43">
      <c r="A442" s="12">
        <v>439</v>
      </c>
      <c r="B442" s="21" t="s">
        <v>5758</v>
      </c>
      <c r="C442" s="5" t="s">
        <v>2760</v>
      </c>
      <c r="D442" s="5" t="s">
        <v>5759</v>
      </c>
      <c r="E442" s="5" t="s">
        <v>5760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11" t="s">
        <v>46</v>
      </c>
      <c r="Q442" s="5">
        <v>122.9524</v>
      </c>
      <c r="R442" s="5">
        <f t="shared" si="6"/>
        <v>122.9524</v>
      </c>
      <c r="S442" s="5" t="s">
        <v>67</v>
      </c>
      <c r="T442" s="12">
        <v>439</v>
      </c>
      <c r="U442" s="253" t="s">
        <v>2763</v>
      </c>
      <c r="V442" s="232" t="s">
        <v>2760</v>
      </c>
      <c r="W442" s="232">
        <v>12159</v>
      </c>
      <c r="X442" s="232">
        <v>2882.9</v>
      </c>
      <c r="Y442" s="233" t="s">
        <v>49</v>
      </c>
      <c r="Z442" s="87" t="s">
        <v>50</v>
      </c>
      <c r="AA442" s="233" t="s">
        <v>51</v>
      </c>
      <c r="AB442" s="234"/>
      <c r="AC442" s="233">
        <v>1</v>
      </c>
      <c r="AD442" s="233" t="s">
        <v>226</v>
      </c>
      <c r="AE442" s="234"/>
      <c r="AF442" s="234"/>
      <c r="AG442" s="234"/>
      <c r="AH442" s="233"/>
      <c r="AI442" s="233"/>
      <c r="AJ442" s="233"/>
      <c r="AK442" s="233"/>
      <c r="AL442" s="233"/>
      <c r="AM442" s="233"/>
      <c r="AN442" s="233"/>
      <c r="AO442" s="233"/>
      <c r="AP442" s="234"/>
      <c r="AQ442" s="234" t="s">
        <v>333</v>
      </c>
    </row>
    <row r="443" spans="1:43">
      <c r="A443" s="12">
        <v>440</v>
      </c>
      <c r="B443" s="21" t="s">
        <v>5761</v>
      </c>
      <c r="C443" s="5" t="s">
        <v>2765</v>
      </c>
      <c r="D443" s="5" t="s">
        <v>5762</v>
      </c>
      <c r="E443" s="5" t="s">
        <v>5763</v>
      </c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11" t="s">
        <v>46</v>
      </c>
      <c r="Q443" s="5">
        <v>189.21539999999999</v>
      </c>
      <c r="R443" s="5">
        <f t="shared" si="6"/>
        <v>189.21539999999999</v>
      </c>
      <c r="S443" s="5" t="s">
        <v>706</v>
      </c>
      <c r="T443" s="12">
        <v>440</v>
      </c>
      <c r="U443" s="253" t="s">
        <v>2768</v>
      </c>
      <c r="V443" s="232" t="s">
        <v>2765</v>
      </c>
      <c r="W443" s="232">
        <v>12285.7</v>
      </c>
      <c r="X443" s="232">
        <v>3389.9</v>
      </c>
      <c r="Y443" s="233" t="s">
        <v>49</v>
      </c>
      <c r="Z443" s="87" t="s">
        <v>50</v>
      </c>
      <c r="AA443" s="233" t="s">
        <v>51</v>
      </c>
      <c r="AB443" s="234"/>
      <c r="AC443" s="233">
        <v>1</v>
      </c>
      <c r="AD443" s="233" t="s">
        <v>226</v>
      </c>
      <c r="AE443" s="234"/>
      <c r="AF443" s="234"/>
      <c r="AG443" s="234"/>
      <c r="AH443" s="233"/>
      <c r="AI443" s="233"/>
      <c r="AJ443" s="233"/>
      <c r="AK443" s="233"/>
      <c r="AL443" s="233"/>
      <c r="AM443" s="233"/>
      <c r="AN443" s="233"/>
      <c r="AO443" s="233"/>
      <c r="AP443" s="234"/>
      <c r="AQ443" s="234" t="s">
        <v>333</v>
      </c>
    </row>
    <row r="444" spans="1:43">
      <c r="A444" s="12">
        <v>441</v>
      </c>
      <c r="B444" s="21" t="s">
        <v>5764</v>
      </c>
      <c r="C444" s="5" t="s">
        <v>2770</v>
      </c>
      <c r="D444" s="5" t="s">
        <v>5765</v>
      </c>
      <c r="E444" s="5" t="s">
        <v>5766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11" t="s">
        <v>46</v>
      </c>
      <c r="Q444" s="5">
        <v>335.5856</v>
      </c>
      <c r="R444" s="5">
        <f t="shared" si="6"/>
        <v>335.5856</v>
      </c>
      <c r="S444" s="5" t="s">
        <v>60</v>
      </c>
      <c r="T444" s="12">
        <v>441</v>
      </c>
      <c r="U444" s="238" t="s">
        <v>2773</v>
      </c>
      <c r="V444" s="239" t="s">
        <v>2770</v>
      </c>
      <c r="W444" s="239"/>
      <c r="X444" s="239"/>
      <c r="Y444" s="240" t="s">
        <v>49</v>
      </c>
      <c r="Z444" s="240"/>
      <c r="AA444" s="240" t="s">
        <v>51</v>
      </c>
      <c r="AB444" s="238"/>
      <c r="AC444" s="240">
        <v>1</v>
      </c>
      <c r="AD444" s="240" t="s">
        <v>52</v>
      </c>
      <c r="AE444" s="238"/>
      <c r="AF444" s="238"/>
      <c r="AG444" s="238"/>
      <c r="AH444" s="240"/>
      <c r="AI444" s="240"/>
      <c r="AJ444" s="240"/>
      <c r="AK444" s="240"/>
      <c r="AL444" s="240"/>
      <c r="AM444" s="240"/>
      <c r="AN444" s="240"/>
      <c r="AO444" s="240"/>
      <c r="AP444" s="238"/>
      <c r="AQ444" s="238" t="s">
        <v>2774</v>
      </c>
    </row>
    <row r="445" spans="1:43">
      <c r="A445" s="12">
        <v>442</v>
      </c>
      <c r="B445" s="21" t="s">
        <v>5767</v>
      </c>
      <c r="C445" s="5" t="s">
        <v>2776</v>
      </c>
      <c r="D445" s="5" t="s">
        <v>5768</v>
      </c>
      <c r="E445" s="5" t="s">
        <v>5769</v>
      </c>
      <c r="F445" s="5" t="s">
        <v>5770</v>
      </c>
      <c r="G445" s="5"/>
      <c r="H445" s="5"/>
      <c r="I445" s="5"/>
      <c r="J445" s="5"/>
      <c r="K445" s="5"/>
      <c r="L445" s="5"/>
      <c r="M445" s="5"/>
      <c r="N445" s="5"/>
      <c r="O445" s="5"/>
      <c r="P445" s="11" t="s">
        <v>46</v>
      </c>
      <c r="Q445" s="5">
        <v>257.8904</v>
      </c>
      <c r="R445" s="5">
        <f t="shared" si="6"/>
        <v>257.8904</v>
      </c>
      <c r="S445" s="5" t="s">
        <v>1848</v>
      </c>
      <c r="T445" s="12">
        <v>442</v>
      </c>
      <c r="U445" s="253" t="s">
        <v>2780</v>
      </c>
      <c r="V445" s="232" t="s">
        <v>2776</v>
      </c>
      <c r="W445" s="232">
        <v>9602.2000000000007</v>
      </c>
      <c r="X445" s="232">
        <v>579.1</v>
      </c>
      <c r="Y445" s="233" t="s">
        <v>49</v>
      </c>
      <c r="Z445" s="87" t="s">
        <v>50</v>
      </c>
      <c r="AA445" s="233" t="s">
        <v>51</v>
      </c>
      <c r="AB445" s="234"/>
      <c r="AC445" s="233">
        <v>1</v>
      </c>
      <c r="AD445" s="233" t="s">
        <v>226</v>
      </c>
      <c r="AE445" s="234"/>
      <c r="AF445" s="233">
        <v>18000</v>
      </c>
      <c r="AG445" s="234"/>
      <c r="AH445" s="233"/>
      <c r="AI445" s="233"/>
      <c r="AJ445" s="233" t="s">
        <v>1820</v>
      </c>
      <c r="AK445" s="233">
        <v>250</v>
      </c>
      <c r="AL445" s="233"/>
      <c r="AM445" s="233"/>
      <c r="AN445" s="233"/>
      <c r="AO445" s="233"/>
      <c r="AP445" s="234"/>
      <c r="AQ445" s="254" t="s">
        <v>1821</v>
      </c>
    </row>
    <row r="446" spans="1:43">
      <c r="A446" s="12">
        <v>443</v>
      </c>
      <c r="B446" s="21" t="s">
        <v>5771</v>
      </c>
      <c r="C446" s="5" t="s">
        <v>2782</v>
      </c>
      <c r="D446" s="5" t="s">
        <v>5772</v>
      </c>
      <c r="E446" s="5" t="s">
        <v>5773</v>
      </c>
      <c r="F446" s="5" t="s">
        <v>5774</v>
      </c>
      <c r="G446" s="5"/>
      <c r="H446" s="5"/>
      <c r="I446" s="5"/>
      <c r="J446" s="5"/>
      <c r="K446" s="5"/>
      <c r="L446" s="5"/>
      <c r="M446" s="5"/>
      <c r="N446" s="5"/>
      <c r="O446" s="5"/>
      <c r="P446" s="11" t="s">
        <v>46</v>
      </c>
      <c r="Q446" s="5">
        <v>257.86259999999999</v>
      </c>
      <c r="R446" s="5">
        <f t="shared" si="6"/>
        <v>257.86259999999999</v>
      </c>
      <c r="S446" s="5" t="s">
        <v>1841</v>
      </c>
      <c r="T446" s="12">
        <v>443</v>
      </c>
      <c r="U446" s="253" t="s">
        <v>2786</v>
      </c>
      <c r="V446" s="232" t="s">
        <v>2782</v>
      </c>
      <c r="W446" s="232">
        <v>10313.4</v>
      </c>
      <c r="X446" s="232">
        <v>579.1</v>
      </c>
      <c r="Y446" s="233" t="s">
        <v>49</v>
      </c>
      <c r="Z446" s="87" t="s">
        <v>50</v>
      </c>
      <c r="AA446" s="233" t="s">
        <v>51</v>
      </c>
      <c r="AB446" s="234"/>
      <c r="AC446" s="233">
        <v>1</v>
      </c>
      <c r="AD446" s="233" t="s">
        <v>226</v>
      </c>
      <c r="AE446" s="234"/>
      <c r="AF446" s="233">
        <v>18000</v>
      </c>
      <c r="AG446" s="234"/>
      <c r="AH446" s="233"/>
      <c r="AI446" s="233"/>
      <c r="AJ446" s="233" t="s">
        <v>1820</v>
      </c>
      <c r="AK446" s="233">
        <v>250</v>
      </c>
      <c r="AL446" s="233"/>
      <c r="AM446" s="233"/>
      <c r="AN446" s="233"/>
      <c r="AO446" s="233"/>
      <c r="AP446" s="234"/>
      <c r="AQ446" s="254" t="s">
        <v>1821</v>
      </c>
    </row>
    <row r="447" spans="1:43">
      <c r="A447" s="12">
        <v>444</v>
      </c>
      <c r="B447" s="21" t="s">
        <v>5775</v>
      </c>
      <c r="C447" s="5" t="s">
        <v>2788</v>
      </c>
      <c r="D447" s="5" t="s">
        <v>5776</v>
      </c>
      <c r="E447" s="5" t="s">
        <v>5777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11" t="s">
        <v>46</v>
      </c>
      <c r="Q447" s="5">
        <v>242.83709999999999</v>
      </c>
      <c r="R447" s="5">
        <f t="shared" si="6"/>
        <v>242.83709999999999</v>
      </c>
      <c r="S447" s="5" t="s">
        <v>395</v>
      </c>
      <c r="T447" s="12">
        <v>444</v>
      </c>
      <c r="U447" s="253" t="s">
        <v>2791</v>
      </c>
      <c r="V447" s="232" t="s">
        <v>2788</v>
      </c>
      <c r="W447" s="232">
        <v>-11455.4</v>
      </c>
      <c r="X447" s="232">
        <v>-8192.7999999999993</v>
      </c>
      <c r="Y447" s="233" t="s">
        <v>49</v>
      </c>
      <c r="Z447" s="87" t="s">
        <v>50</v>
      </c>
      <c r="AA447" s="233" t="s">
        <v>51</v>
      </c>
      <c r="AB447" s="234"/>
      <c r="AC447" s="233">
        <v>1</v>
      </c>
      <c r="AD447" s="233" t="s">
        <v>226</v>
      </c>
      <c r="AE447" s="234"/>
      <c r="AF447" s="234"/>
      <c r="AG447" s="234"/>
      <c r="AH447" s="233"/>
      <c r="AI447" s="233"/>
      <c r="AJ447" s="233"/>
      <c r="AK447" s="233"/>
      <c r="AL447" s="233"/>
      <c r="AM447" s="233"/>
      <c r="AN447" s="233"/>
      <c r="AO447" s="233"/>
      <c r="AP447" s="234"/>
      <c r="AQ447" s="234" t="s">
        <v>333</v>
      </c>
    </row>
    <row r="448" spans="1:43">
      <c r="A448" s="12">
        <v>445</v>
      </c>
      <c r="B448" s="21" t="s">
        <v>5778</v>
      </c>
      <c r="C448" s="5" t="s">
        <v>2793</v>
      </c>
      <c r="D448" s="5" t="s">
        <v>5779</v>
      </c>
      <c r="E448" s="5" t="s">
        <v>5780</v>
      </c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11" t="s">
        <v>46</v>
      </c>
      <c r="Q448" s="5">
        <v>171.351</v>
      </c>
      <c r="R448" s="5">
        <f t="shared" si="6"/>
        <v>171.351</v>
      </c>
      <c r="S448" s="5" t="s">
        <v>732</v>
      </c>
      <c r="T448" s="12">
        <v>445</v>
      </c>
      <c r="U448" s="253" t="s">
        <v>2796</v>
      </c>
      <c r="V448" s="232" t="s">
        <v>2793</v>
      </c>
      <c r="W448" s="232">
        <v>11912.6</v>
      </c>
      <c r="X448" s="232">
        <v>4017</v>
      </c>
      <c r="Y448" s="233" t="s">
        <v>49</v>
      </c>
      <c r="Z448" s="87" t="s">
        <v>50</v>
      </c>
      <c r="AA448" s="233" t="s">
        <v>51</v>
      </c>
      <c r="AB448" s="234"/>
      <c r="AC448" s="233">
        <v>1</v>
      </c>
      <c r="AD448" s="233" t="s">
        <v>226</v>
      </c>
      <c r="AE448" s="234"/>
      <c r="AF448" s="234"/>
      <c r="AG448" s="234"/>
      <c r="AH448" s="233"/>
      <c r="AI448" s="233"/>
      <c r="AJ448" s="233"/>
      <c r="AK448" s="233"/>
      <c r="AL448" s="233"/>
      <c r="AM448" s="233"/>
      <c r="AN448" s="233"/>
      <c r="AO448" s="233"/>
      <c r="AP448" s="234"/>
      <c r="AQ448" s="234" t="s">
        <v>333</v>
      </c>
    </row>
    <row r="449" spans="1:43">
      <c r="A449" s="12">
        <v>446</v>
      </c>
      <c r="B449" s="21" t="s">
        <v>5781</v>
      </c>
      <c r="C449" s="5" t="s">
        <v>2798</v>
      </c>
      <c r="D449" s="5" t="s">
        <v>5782</v>
      </c>
      <c r="E449" s="5" t="s">
        <v>5783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11" t="s">
        <v>46</v>
      </c>
      <c r="Q449" s="5">
        <v>166.8887</v>
      </c>
      <c r="R449" s="5">
        <f t="shared" si="6"/>
        <v>166.8887</v>
      </c>
      <c r="S449" s="5" t="s">
        <v>706</v>
      </c>
      <c r="T449" s="12">
        <v>446</v>
      </c>
      <c r="U449" s="253" t="s">
        <v>2801</v>
      </c>
      <c r="V449" s="232" t="s">
        <v>2798</v>
      </c>
      <c r="W449" s="232">
        <v>11024.6</v>
      </c>
      <c r="X449" s="232">
        <v>579.1</v>
      </c>
      <c r="Y449" s="233" t="s">
        <v>49</v>
      </c>
      <c r="Z449" s="87" t="s">
        <v>50</v>
      </c>
      <c r="AA449" s="233" t="s">
        <v>51</v>
      </c>
      <c r="AB449" s="234"/>
      <c r="AC449" s="233">
        <v>1</v>
      </c>
      <c r="AD449" s="233" t="s">
        <v>226</v>
      </c>
      <c r="AE449" s="234"/>
      <c r="AF449" s="234"/>
      <c r="AG449" s="234"/>
      <c r="AH449" s="233"/>
      <c r="AI449" s="233"/>
      <c r="AJ449" s="233"/>
      <c r="AK449" s="233"/>
      <c r="AL449" s="233"/>
      <c r="AM449" s="233"/>
      <c r="AN449" s="233"/>
      <c r="AO449" s="233"/>
      <c r="AP449" s="234"/>
      <c r="AQ449" s="234" t="s">
        <v>333</v>
      </c>
    </row>
    <row r="450" spans="1:43">
      <c r="A450" s="12">
        <v>447</v>
      </c>
      <c r="B450" s="21" t="s">
        <v>5784</v>
      </c>
      <c r="C450" s="5" t="s">
        <v>2803</v>
      </c>
      <c r="D450" s="5" t="s">
        <v>5785</v>
      </c>
      <c r="E450" s="5" t="s">
        <v>5786</v>
      </c>
      <c r="F450" s="5" t="s">
        <v>5787</v>
      </c>
      <c r="G450" s="5"/>
      <c r="H450" s="5"/>
      <c r="I450" s="5"/>
      <c r="J450" s="5"/>
      <c r="K450" s="5"/>
      <c r="L450" s="5"/>
      <c r="M450" s="5"/>
      <c r="N450" s="5"/>
      <c r="O450" s="5"/>
      <c r="P450" s="11" t="s">
        <v>46</v>
      </c>
      <c r="Q450" s="5">
        <v>161.4282</v>
      </c>
      <c r="R450" s="5">
        <f t="shared" si="6"/>
        <v>161.4282</v>
      </c>
      <c r="S450" s="5" t="s">
        <v>47</v>
      </c>
      <c r="T450" s="12">
        <v>447</v>
      </c>
      <c r="U450" s="253" t="s">
        <v>2807</v>
      </c>
      <c r="V450" s="232" t="s">
        <v>2803</v>
      </c>
      <c r="W450" s="232">
        <v>11455.4</v>
      </c>
      <c r="X450" s="232">
        <v>8192.7999999999993</v>
      </c>
      <c r="Y450" s="233" t="s">
        <v>49</v>
      </c>
      <c r="Z450" s="87" t="s">
        <v>50</v>
      </c>
      <c r="AA450" s="233" t="s">
        <v>51</v>
      </c>
      <c r="AB450" s="234"/>
      <c r="AC450" s="233">
        <v>1</v>
      </c>
      <c r="AD450" s="233" t="s">
        <v>52</v>
      </c>
      <c r="AE450" s="234"/>
      <c r="AF450" s="234"/>
      <c r="AG450" s="234"/>
      <c r="AH450" s="233"/>
      <c r="AI450" s="233"/>
      <c r="AJ450" s="233" t="s">
        <v>2808</v>
      </c>
      <c r="AK450" s="233">
        <v>10</v>
      </c>
      <c r="AL450" s="233"/>
      <c r="AM450" s="233"/>
      <c r="AN450" s="17"/>
      <c r="AO450" s="233"/>
      <c r="AP450" s="233"/>
      <c r="AQ450" s="254" t="s">
        <v>2809</v>
      </c>
    </row>
    <row r="451" spans="1:43">
      <c r="A451" s="12">
        <v>448</v>
      </c>
      <c r="B451" s="21" t="s">
        <v>5788</v>
      </c>
      <c r="C451" s="5" t="s">
        <v>2811</v>
      </c>
      <c r="D451" s="5" t="s">
        <v>5789</v>
      </c>
      <c r="E451" s="5" t="s">
        <v>5790</v>
      </c>
      <c r="F451" s="5" t="s">
        <v>5791</v>
      </c>
      <c r="G451" s="5"/>
      <c r="H451" s="5"/>
      <c r="I451" s="5"/>
      <c r="J451" s="5"/>
      <c r="K451" s="5"/>
      <c r="L451" s="5"/>
      <c r="M451" s="5"/>
      <c r="N451" s="5"/>
      <c r="O451" s="5"/>
      <c r="P451" s="11" t="s">
        <v>46</v>
      </c>
      <c r="Q451" s="5">
        <v>161.41380000000001</v>
      </c>
      <c r="R451" s="5">
        <f t="shared" si="6"/>
        <v>161.41380000000001</v>
      </c>
      <c r="S451" s="5" t="s">
        <v>47</v>
      </c>
      <c r="T451" s="12">
        <v>448</v>
      </c>
      <c r="U451" s="253" t="s">
        <v>2815</v>
      </c>
      <c r="V451" s="232" t="s">
        <v>2811</v>
      </c>
      <c r="W451" s="232">
        <v>11912.6</v>
      </c>
      <c r="X451" s="232">
        <v>8411.2000000000007</v>
      </c>
      <c r="Y451" s="233" t="s">
        <v>49</v>
      </c>
      <c r="Z451" s="87" t="s">
        <v>50</v>
      </c>
      <c r="AA451" s="233" t="s">
        <v>51</v>
      </c>
      <c r="AB451" s="234"/>
      <c r="AC451" s="233">
        <v>1</v>
      </c>
      <c r="AD451" s="233" t="s">
        <v>52</v>
      </c>
      <c r="AE451" s="234"/>
      <c r="AF451" s="234"/>
      <c r="AG451" s="234"/>
      <c r="AH451" s="233"/>
      <c r="AI451" s="233"/>
      <c r="AJ451" s="233" t="s">
        <v>2808</v>
      </c>
      <c r="AK451" s="233">
        <v>10</v>
      </c>
      <c r="AL451" s="233"/>
      <c r="AM451" s="233"/>
      <c r="AN451" s="17"/>
      <c r="AO451" s="233"/>
      <c r="AP451" s="233"/>
      <c r="AQ451" s="254" t="s">
        <v>2809</v>
      </c>
    </row>
    <row r="452" spans="1:43">
      <c r="A452" s="12">
        <v>449</v>
      </c>
      <c r="B452" s="21" t="s">
        <v>5792</v>
      </c>
      <c r="C452" s="5" t="s">
        <v>2817</v>
      </c>
      <c r="D452" s="5" t="s">
        <v>5793</v>
      </c>
      <c r="E452" s="5" t="s">
        <v>5794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11" t="s">
        <v>46</v>
      </c>
      <c r="Q452" s="5">
        <v>107.7146</v>
      </c>
      <c r="R452" s="5">
        <f t="shared" ref="R452:R515" si="7">IF(AND(P452="",Q452=""),"",SUM(P452:Q452))</f>
        <v>107.7146</v>
      </c>
      <c r="S452" s="5" t="s">
        <v>74</v>
      </c>
      <c r="T452" s="12">
        <v>449</v>
      </c>
      <c r="U452" s="253" t="s">
        <v>2820</v>
      </c>
      <c r="V452" s="232" t="s">
        <v>2817</v>
      </c>
      <c r="W452" s="232">
        <v>12159</v>
      </c>
      <c r="X452" s="232">
        <v>7277.1</v>
      </c>
      <c r="Y452" s="233" t="s">
        <v>49</v>
      </c>
      <c r="Z452" s="87" t="s">
        <v>50</v>
      </c>
      <c r="AA452" s="233" t="s">
        <v>51</v>
      </c>
      <c r="AB452" s="234"/>
      <c r="AC452" s="233">
        <v>1</v>
      </c>
      <c r="AD452" s="233" t="s">
        <v>226</v>
      </c>
      <c r="AE452" s="234"/>
      <c r="AF452" s="234"/>
      <c r="AG452" s="234"/>
      <c r="AH452" s="233"/>
      <c r="AI452" s="233"/>
      <c r="AJ452" s="233"/>
      <c r="AK452" s="233"/>
      <c r="AL452" s="233"/>
      <c r="AM452" s="233"/>
      <c r="AN452" s="233"/>
      <c r="AO452" s="233"/>
      <c r="AP452" s="234"/>
      <c r="AQ452" s="234" t="s">
        <v>333</v>
      </c>
    </row>
    <row r="453" spans="1:43">
      <c r="A453" s="12">
        <v>450</v>
      </c>
      <c r="B453" s="21" t="s">
        <v>5795</v>
      </c>
      <c r="C453" s="5" t="s">
        <v>2822</v>
      </c>
      <c r="D453" s="5" t="s">
        <v>5796</v>
      </c>
      <c r="E453" s="5" t="s">
        <v>5797</v>
      </c>
      <c r="F453" s="5" t="s">
        <v>5798</v>
      </c>
      <c r="G453" s="5"/>
      <c r="H453" s="5"/>
      <c r="I453" s="5"/>
      <c r="J453" s="5"/>
      <c r="K453" s="5"/>
      <c r="L453" s="5"/>
      <c r="M453" s="5"/>
      <c r="N453" s="5"/>
      <c r="O453" s="5"/>
      <c r="P453" s="11" t="s">
        <v>46</v>
      </c>
      <c r="Q453" s="5">
        <v>32.440100000000001</v>
      </c>
      <c r="R453" s="5">
        <f t="shared" si="7"/>
        <v>32.440100000000001</v>
      </c>
      <c r="S453" s="5" t="s">
        <v>60</v>
      </c>
      <c r="T453" s="12">
        <v>450</v>
      </c>
      <c r="U453" s="238" t="s">
        <v>2826</v>
      </c>
      <c r="V453" s="239" t="s">
        <v>2822</v>
      </c>
      <c r="W453" s="239"/>
      <c r="X453" s="239"/>
      <c r="Y453" s="240" t="s">
        <v>49</v>
      </c>
      <c r="Z453" s="240"/>
      <c r="AA453" s="240" t="s">
        <v>51</v>
      </c>
      <c r="AB453" s="238"/>
      <c r="AC453" s="240">
        <v>1</v>
      </c>
      <c r="AD453" s="240" t="s">
        <v>52</v>
      </c>
      <c r="AE453" s="238"/>
      <c r="AF453" s="238"/>
      <c r="AG453" s="238"/>
      <c r="AH453" s="240"/>
      <c r="AI453" s="240"/>
      <c r="AJ453" s="240"/>
      <c r="AK453" s="240"/>
      <c r="AL453" s="240"/>
      <c r="AM453" s="240"/>
      <c r="AN453" s="240"/>
      <c r="AO453" s="240"/>
      <c r="AP453" s="238"/>
      <c r="AQ453" s="238" t="s">
        <v>2827</v>
      </c>
    </row>
    <row r="454" spans="1:43">
      <c r="A454" s="12">
        <v>451</v>
      </c>
      <c r="B454" s="21" t="s">
        <v>5799</v>
      </c>
      <c r="C454" s="5" t="s">
        <v>2829</v>
      </c>
      <c r="D454" s="5" t="s">
        <v>5800</v>
      </c>
      <c r="E454" s="5" t="s">
        <v>5801</v>
      </c>
      <c r="F454" s="5" t="s">
        <v>5802</v>
      </c>
      <c r="G454" s="5"/>
      <c r="H454" s="5"/>
      <c r="I454" s="5"/>
      <c r="J454" s="5"/>
      <c r="K454" s="5"/>
      <c r="L454" s="5"/>
      <c r="M454" s="5"/>
      <c r="N454" s="5"/>
      <c r="O454" s="5"/>
      <c r="P454" s="11" t="s">
        <v>46</v>
      </c>
      <c r="Q454" s="5">
        <v>38.3294</v>
      </c>
      <c r="R454" s="5">
        <f t="shared" si="7"/>
        <v>38.3294</v>
      </c>
      <c r="S454" s="5" t="s">
        <v>47</v>
      </c>
      <c r="T454" s="12">
        <v>451</v>
      </c>
      <c r="U454" s="238" t="s">
        <v>2833</v>
      </c>
      <c r="V454" s="239" t="s">
        <v>2829</v>
      </c>
      <c r="W454" s="239"/>
      <c r="X454" s="239"/>
      <c r="Y454" s="240" t="s">
        <v>49</v>
      </c>
      <c r="Z454" s="240"/>
      <c r="AA454" s="240" t="s">
        <v>51</v>
      </c>
      <c r="AB454" s="238"/>
      <c r="AC454" s="240">
        <v>1</v>
      </c>
      <c r="AD454" s="240" t="s">
        <v>226</v>
      </c>
      <c r="AE454" s="238"/>
      <c r="AF454" s="238"/>
      <c r="AG454" s="238"/>
      <c r="AH454" s="240"/>
      <c r="AI454" s="240"/>
      <c r="AJ454" s="240"/>
      <c r="AK454" s="240"/>
      <c r="AL454" s="240"/>
      <c r="AM454" s="240"/>
      <c r="AN454" s="240"/>
      <c r="AO454" s="240"/>
      <c r="AP454" s="238"/>
      <c r="AQ454" s="238" t="s">
        <v>2834</v>
      </c>
    </row>
    <row r="455" spans="1:43">
      <c r="A455" s="12">
        <v>452</v>
      </c>
      <c r="B455" s="21" t="s">
        <v>5803</v>
      </c>
      <c r="C455" s="5" t="s">
        <v>2836</v>
      </c>
      <c r="D455" s="5" t="s">
        <v>5804</v>
      </c>
      <c r="E455" s="5" t="s">
        <v>5805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11" t="s">
        <v>46</v>
      </c>
      <c r="Q455" s="5">
        <v>146.06800000000001</v>
      </c>
      <c r="R455" s="5">
        <f t="shared" si="7"/>
        <v>146.06800000000001</v>
      </c>
      <c r="S455" s="5" t="s">
        <v>395</v>
      </c>
      <c r="T455" s="12">
        <v>452</v>
      </c>
      <c r="U455" s="253" t="s">
        <v>2839</v>
      </c>
      <c r="V455" s="232" t="s">
        <v>2836</v>
      </c>
      <c r="W455" s="232">
        <v>12915.4</v>
      </c>
      <c r="X455" s="232">
        <v>1871</v>
      </c>
      <c r="Y455" s="233" t="s">
        <v>49</v>
      </c>
      <c r="Z455" s="87" t="s">
        <v>50</v>
      </c>
      <c r="AA455" s="233" t="s">
        <v>51</v>
      </c>
      <c r="AB455" s="234"/>
      <c r="AC455" s="233">
        <v>1</v>
      </c>
      <c r="AD455" s="233" t="s">
        <v>226</v>
      </c>
      <c r="AE455" s="234"/>
      <c r="AF455" s="234"/>
      <c r="AG455" s="234"/>
      <c r="AH455" s="233"/>
      <c r="AI455" s="233"/>
      <c r="AJ455" s="233"/>
      <c r="AK455" s="233"/>
      <c r="AL455" s="233"/>
      <c r="AM455" s="233"/>
      <c r="AN455" s="233"/>
      <c r="AO455" s="233"/>
      <c r="AP455" s="234"/>
      <c r="AQ455" s="234" t="s">
        <v>333</v>
      </c>
    </row>
    <row r="456" spans="1:43">
      <c r="A456" s="12">
        <v>453</v>
      </c>
      <c r="B456" s="21" t="s">
        <v>5806</v>
      </c>
      <c r="C456" s="5" t="s">
        <v>2841</v>
      </c>
      <c r="D456" s="5" t="s">
        <v>5807</v>
      </c>
      <c r="E456" s="5" t="s">
        <v>5808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11" t="s">
        <v>46</v>
      </c>
      <c r="Q456" s="5">
        <v>249.47720000000001</v>
      </c>
      <c r="R456" s="5">
        <f t="shared" si="7"/>
        <v>249.47720000000001</v>
      </c>
      <c r="S456" s="5" t="s">
        <v>685</v>
      </c>
      <c r="T456" s="12">
        <v>453</v>
      </c>
      <c r="U456" s="253" t="s">
        <v>2844</v>
      </c>
      <c r="V456" s="232" t="s">
        <v>2841</v>
      </c>
      <c r="W456" s="232">
        <v>11912.6</v>
      </c>
      <c r="X456" s="232">
        <v>1819.9</v>
      </c>
      <c r="Y456" s="233" t="s">
        <v>49</v>
      </c>
      <c r="Z456" s="87" t="s">
        <v>50</v>
      </c>
      <c r="AA456" s="233" t="s">
        <v>51</v>
      </c>
      <c r="AB456" s="234"/>
      <c r="AC456" s="233">
        <v>1</v>
      </c>
      <c r="AD456" s="233" t="s">
        <v>226</v>
      </c>
      <c r="AE456" s="234"/>
      <c r="AF456" s="234"/>
      <c r="AG456" s="234"/>
      <c r="AH456" s="233"/>
      <c r="AI456" s="233"/>
      <c r="AJ456" s="233"/>
      <c r="AK456" s="233"/>
      <c r="AL456" s="233"/>
      <c r="AM456" s="233"/>
      <c r="AN456" s="233"/>
      <c r="AO456" s="233"/>
      <c r="AP456" s="234"/>
      <c r="AQ456" s="234" t="s">
        <v>333</v>
      </c>
    </row>
    <row r="457" spans="1:43">
      <c r="A457" s="12">
        <v>454</v>
      </c>
      <c r="B457" s="21" t="s">
        <v>5809</v>
      </c>
      <c r="C457" s="5" t="s">
        <v>2846</v>
      </c>
      <c r="D457" s="5" t="s">
        <v>605</v>
      </c>
      <c r="E457" s="5" t="s">
        <v>605</v>
      </c>
      <c r="F457" s="5" t="s">
        <v>5810</v>
      </c>
      <c r="G457" s="5"/>
      <c r="H457" s="5"/>
      <c r="I457" s="5"/>
      <c r="J457" s="5"/>
      <c r="K457" s="5"/>
      <c r="L457" s="5"/>
      <c r="M457" s="5"/>
      <c r="N457" s="5"/>
      <c r="O457" s="5"/>
      <c r="P457" s="11" t="s">
        <v>46</v>
      </c>
      <c r="Q457" s="5">
        <v>7.1464999999999996</v>
      </c>
      <c r="R457" s="5">
        <f t="shared" si="7"/>
        <v>7.1464999999999996</v>
      </c>
      <c r="S457" s="5" t="s">
        <v>67</v>
      </c>
      <c r="T457" s="12">
        <v>454</v>
      </c>
      <c r="U457" s="253" t="s">
        <v>2848</v>
      </c>
      <c r="V457" s="232" t="s">
        <v>2846</v>
      </c>
      <c r="W457" s="232">
        <v>-12547</v>
      </c>
      <c r="X457" s="232">
        <v>8975.4</v>
      </c>
      <c r="Y457" s="233" t="s">
        <v>49</v>
      </c>
      <c r="Z457" s="87" t="s">
        <v>50</v>
      </c>
      <c r="AA457" s="233"/>
      <c r="AB457" s="234"/>
      <c r="AC457" s="233"/>
      <c r="AD457" s="234"/>
      <c r="AE457" s="234"/>
      <c r="AF457" s="234"/>
      <c r="AG457" s="234"/>
      <c r="AH457" s="233"/>
      <c r="AI457" s="233"/>
      <c r="AJ457" s="233"/>
      <c r="AK457" s="233"/>
      <c r="AL457" s="233"/>
      <c r="AM457" s="233"/>
      <c r="AN457" s="233"/>
      <c r="AO457" s="233"/>
      <c r="AP457" s="234"/>
      <c r="AQ457" s="234" t="s">
        <v>608</v>
      </c>
    </row>
    <row r="458" spans="1:43">
      <c r="A458" s="12">
        <v>455</v>
      </c>
      <c r="B458" s="21" t="s">
        <v>5811</v>
      </c>
      <c r="C458" s="5" t="s">
        <v>2850</v>
      </c>
      <c r="D458" s="5" t="s">
        <v>5812</v>
      </c>
      <c r="E458" s="5" t="s">
        <v>5813</v>
      </c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11" t="s">
        <v>46</v>
      </c>
      <c r="Q458" s="5">
        <v>199.4436</v>
      </c>
      <c r="R458" s="5">
        <f t="shared" si="7"/>
        <v>199.4436</v>
      </c>
      <c r="S458" s="5" t="s">
        <v>395</v>
      </c>
      <c r="T458" s="12">
        <v>455</v>
      </c>
      <c r="U458" s="253" t="s">
        <v>2853</v>
      </c>
      <c r="V458" s="232" t="s">
        <v>2850</v>
      </c>
      <c r="W458" s="232">
        <v>-10313.4</v>
      </c>
      <c r="X458" s="232">
        <v>579.1</v>
      </c>
      <c r="Y458" s="233" t="s">
        <v>49</v>
      </c>
      <c r="Z458" s="87" t="s">
        <v>50</v>
      </c>
      <c r="AA458" s="233" t="s">
        <v>51</v>
      </c>
      <c r="AB458" s="234"/>
      <c r="AC458" s="233">
        <v>1</v>
      </c>
      <c r="AD458" s="233" t="s">
        <v>226</v>
      </c>
      <c r="AE458" s="234"/>
      <c r="AF458" s="234"/>
      <c r="AG458" s="234"/>
      <c r="AH458" s="233"/>
      <c r="AI458" s="233"/>
      <c r="AJ458" s="233"/>
      <c r="AK458" s="233"/>
      <c r="AL458" s="233"/>
      <c r="AM458" s="233"/>
      <c r="AN458" s="233"/>
      <c r="AO458" s="233"/>
      <c r="AP458" s="234"/>
      <c r="AQ458" s="234" t="s">
        <v>333</v>
      </c>
    </row>
    <row r="459" spans="1:43">
      <c r="A459" s="12">
        <v>456</v>
      </c>
      <c r="B459" s="21" t="s">
        <v>5814</v>
      </c>
      <c r="C459" s="5" t="s">
        <v>2855</v>
      </c>
      <c r="D459" s="5" t="s">
        <v>5815</v>
      </c>
      <c r="E459" s="5" t="s">
        <v>5816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11" t="s">
        <v>46</v>
      </c>
      <c r="Q459" s="5">
        <v>186.38290000000001</v>
      </c>
      <c r="R459" s="5">
        <f t="shared" si="7"/>
        <v>186.38290000000001</v>
      </c>
      <c r="S459" s="5" t="s">
        <v>67</v>
      </c>
      <c r="T459" s="12">
        <v>456</v>
      </c>
      <c r="U459" s="253" t="s">
        <v>2858</v>
      </c>
      <c r="V459" s="232" t="s">
        <v>2855</v>
      </c>
      <c r="W459" s="232">
        <v>-11024.6</v>
      </c>
      <c r="X459" s="232">
        <v>579.1</v>
      </c>
      <c r="Y459" s="233" t="s">
        <v>49</v>
      </c>
      <c r="Z459" s="87" t="s">
        <v>50</v>
      </c>
      <c r="AA459" s="233" t="s">
        <v>51</v>
      </c>
      <c r="AB459" s="234"/>
      <c r="AC459" s="233">
        <v>1</v>
      </c>
      <c r="AD459" s="233" t="s">
        <v>226</v>
      </c>
      <c r="AE459" s="234"/>
      <c r="AF459" s="234"/>
      <c r="AG459" s="234"/>
      <c r="AH459" s="233"/>
      <c r="AI459" s="233"/>
      <c r="AJ459" s="233"/>
      <c r="AK459" s="233"/>
      <c r="AL459" s="233"/>
      <c r="AM459" s="233"/>
      <c r="AN459" s="233"/>
      <c r="AO459" s="233"/>
      <c r="AP459" s="234"/>
      <c r="AQ459" s="234" t="s">
        <v>333</v>
      </c>
    </row>
    <row r="460" spans="1:43">
      <c r="A460" s="12">
        <v>457</v>
      </c>
      <c r="B460" s="21" t="s">
        <v>5817</v>
      </c>
      <c r="C460" s="5" t="s">
        <v>2860</v>
      </c>
      <c r="D460" s="5" t="s">
        <v>5818</v>
      </c>
      <c r="E460" s="5" t="s">
        <v>5819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11" t="s">
        <v>46</v>
      </c>
      <c r="Q460" s="5">
        <v>167.2081</v>
      </c>
      <c r="R460" s="5">
        <f t="shared" si="7"/>
        <v>167.2081</v>
      </c>
      <c r="S460" s="5" t="s">
        <v>395</v>
      </c>
      <c r="T460" s="12">
        <v>457</v>
      </c>
      <c r="U460" s="253" t="s">
        <v>2863</v>
      </c>
      <c r="V460" s="232" t="s">
        <v>2860</v>
      </c>
      <c r="W460" s="232">
        <v>-6950.9</v>
      </c>
      <c r="X460" s="232">
        <v>1353.8</v>
      </c>
      <c r="Y460" s="233" t="s">
        <v>49</v>
      </c>
      <c r="Z460" s="87" t="s">
        <v>50</v>
      </c>
      <c r="AA460" s="233" t="s">
        <v>51</v>
      </c>
      <c r="AB460" s="234"/>
      <c r="AC460" s="233">
        <v>1</v>
      </c>
      <c r="AD460" s="233" t="s">
        <v>226</v>
      </c>
      <c r="AE460" s="234"/>
      <c r="AF460" s="234"/>
      <c r="AG460" s="234"/>
      <c r="AH460" s="233"/>
      <c r="AI460" s="233"/>
      <c r="AJ460" s="233"/>
      <c r="AK460" s="233"/>
      <c r="AL460" s="233"/>
      <c r="AM460" s="233"/>
      <c r="AN460" s="233"/>
      <c r="AO460" s="233"/>
      <c r="AP460" s="234"/>
      <c r="AQ460" s="234" t="s">
        <v>333</v>
      </c>
    </row>
    <row r="461" spans="1:43">
      <c r="A461" s="12">
        <v>458</v>
      </c>
      <c r="B461" s="21" t="s">
        <v>5820</v>
      </c>
      <c r="C461" s="5" t="s">
        <v>2865</v>
      </c>
      <c r="D461" s="5" t="s">
        <v>5821</v>
      </c>
      <c r="E461" s="5" t="s">
        <v>5822</v>
      </c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11" t="s">
        <v>46</v>
      </c>
      <c r="Q461" s="5">
        <v>215.22819999999999</v>
      </c>
      <c r="R461" s="5">
        <f t="shared" si="7"/>
        <v>215.22819999999999</v>
      </c>
      <c r="S461" s="5" t="s">
        <v>395</v>
      </c>
      <c r="T461" s="12">
        <v>458</v>
      </c>
      <c r="U461" s="253" t="s">
        <v>2868</v>
      </c>
      <c r="V461" s="232" t="s">
        <v>2865</v>
      </c>
      <c r="W461" s="232">
        <v>-9670.7999999999993</v>
      </c>
      <c r="X461" s="232">
        <v>2204.6999999999998</v>
      </c>
      <c r="Y461" s="233" t="s">
        <v>49</v>
      </c>
      <c r="Z461" s="87" t="s">
        <v>50</v>
      </c>
      <c r="AA461" s="233" t="s">
        <v>51</v>
      </c>
      <c r="AB461" s="234"/>
      <c r="AC461" s="233">
        <v>1</v>
      </c>
      <c r="AD461" s="233" t="s">
        <v>226</v>
      </c>
      <c r="AE461" s="234"/>
      <c r="AF461" s="234"/>
      <c r="AG461" s="234"/>
      <c r="AH461" s="233"/>
      <c r="AI461" s="233"/>
      <c r="AJ461" s="233"/>
      <c r="AK461" s="233"/>
      <c r="AL461" s="233"/>
      <c r="AM461" s="233"/>
      <c r="AN461" s="233"/>
      <c r="AO461" s="233"/>
      <c r="AP461" s="234"/>
      <c r="AQ461" s="234" t="s">
        <v>333</v>
      </c>
    </row>
    <row r="462" spans="1:43">
      <c r="A462" s="12">
        <v>459</v>
      </c>
      <c r="B462" s="21" t="s">
        <v>5823</v>
      </c>
      <c r="C462" s="5" t="s">
        <v>2870</v>
      </c>
      <c r="D462" s="5" t="s">
        <v>5824</v>
      </c>
      <c r="E462" s="5" t="s">
        <v>5825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11" t="s">
        <v>46</v>
      </c>
      <c r="Q462" s="5">
        <v>138.66999999999999</v>
      </c>
      <c r="R462" s="5">
        <f t="shared" si="7"/>
        <v>138.66999999999999</v>
      </c>
      <c r="S462" s="5" t="s">
        <v>67</v>
      </c>
      <c r="T462" s="12">
        <v>459</v>
      </c>
      <c r="U462" s="253" t="s">
        <v>2873</v>
      </c>
      <c r="V462" s="232" t="s">
        <v>2870</v>
      </c>
      <c r="W462" s="232">
        <v>-8982.5</v>
      </c>
      <c r="X462" s="232">
        <v>2014.2</v>
      </c>
      <c r="Y462" s="233" t="s">
        <v>49</v>
      </c>
      <c r="Z462" s="87" t="s">
        <v>50</v>
      </c>
      <c r="AA462" s="233" t="s">
        <v>51</v>
      </c>
      <c r="AB462" s="234"/>
      <c r="AC462" s="233">
        <v>1</v>
      </c>
      <c r="AD462" s="233" t="s">
        <v>226</v>
      </c>
      <c r="AE462" s="234"/>
      <c r="AF462" s="234"/>
      <c r="AG462" s="234"/>
      <c r="AH462" s="233"/>
      <c r="AI462" s="233"/>
      <c r="AJ462" s="233"/>
      <c r="AK462" s="233"/>
      <c r="AL462" s="233"/>
      <c r="AM462" s="233"/>
      <c r="AN462" s="233"/>
      <c r="AO462" s="233"/>
      <c r="AP462" s="234"/>
      <c r="AQ462" s="234" t="s">
        <v>333</v>
      </c>
    </row>
    <row r="463" spans="1:43">
      <c r="A463" s="12">
        <v>460</v>
      </c>
      <c r="B463" s="21" t="s">
        <v>5826</v>
      </c>
      <c r="C463" s="5" t="s">
        <v>2875</v>
      </c>
      <c r="D463" s="5" t="s">
        <v>5827</v>
      </c>
      <c r="E463" s="5" t="s">
        <v>5828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11" t="s">
        <v>46</v>
      </c>
      <c r="Q463" s="5">
        <v>105.6863</v>
      </c>
      <c r="R463" s="5">
        <f t="shared" si="7"/>
        <v>105.6863</v>
      </c>
      <c r="S463" s="5" t="s">
        <v>60</v>
      </c>
      <c r="T463" s="12">
        <v>460</v>
      </c>
      <c r="U463" s="253" t="s">
        <v>2878</v>
      </c>
      <c r="V463" s="232" t="s">
        <v>2875</v>
      </c>
      <c r="W463" s="232">
        <v>-6950.9</v>
      </c>
      <c r="X463" s="232">
        <v>2344.5</v>
      </c>
      <c r="Y463" s="233" t="s">
        <v>49</v>
      </c>
      <c r="Z463" s="87" t="s">
        <v>50</v>
      </c>
      <c r="AA463" s="233" t="s">
        <v>51</v>
      </c>
      <c r="AB463" s="234"/>
      <c r="AC463" s="233">
        <v>1</v>
      </c>
      <c r="AD463" s="233" t="s">
        <v>226</v>
      </c>
      <c r="AE463" s="234"/>
      <c r="AF463" s="234"/>
      <c r="AG463" s="234"/>
      <c r="AH463" s="233"/>
      <c r="AI463" s="233"/>
      <c r="AJ463" s="233"/>
      <c r="AK463" s="233"/>
      <c r="AL463" s="233"/>
      <c r="AM463" s="233"/>
      <c r="AN463" s="233"/>
      <c r="AO463" s="233"/>
      <c r="AP463" s="234"/>
      <c r="AQ463" s="234" t="s">
        <v>333</v>
      </c>
    </row>
    <row r="464" spans="1:43">
      <c r="A464" s="12">
        <v>461</v>
      </c>
      <c r="B464" s="21" t="s">
        <v>5829</v>
      </c>
      <c r="C464" s="5" t="s">
        <v>2880</v>
      </c>
      <c r="D464" s="5" t="s">
        <v>5830</v>
      </c>
      <c r="E464" s="5" t="s">
        <v>5831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11" t="s">
        <v>46</v>
      </c>
      <c r="Q464" s="5">
        <v>154.10409999999999</v>
      </c>
      <c r="R464" s="5">
        <f t="shared" si="7"/>
        <v>154.10409999999999</v>
      </c>
      <c r="S464" s="5" t="s">
        <v>47</v>
      </c>
      <c r="T464" s="12">
        <v>461</v>
      </c>
      <c r="U464" s="253" t="s">
        <v>2883</v>
      </c>
      <c r="V464" s="232" t="s">
        <v>2880</v>
      </c>
      <c r="W464" s="232">
        <v>-7674.8</v>
      </c>
      <c r="X464" s="232">
        <v>2344.5</v>
      </c>
      <c r="Y464" s="233" t="s">
        <v>49</v>
      </c>
      <c r="Z464" s="87" t="s">
        <v>50</v>
      </c>
      <c r="AA464" s="233" t="s">
        <v>51</v>
      </c>
      <c r="AB464" s="234"/>
      <c r="AC464" s="233">
        <v>1</v>
      </c>
      <c r="AD464" s="233" t="s">
        <v>226</v>
      </c>
      <c r="AE464" s="234"/>
      <c r="AF464" s="234"/>
      <c r="AG464" s="234"/>
      <c r="AH464" s="233"/>
      <c r="AI464" s="233"/>
      <c r="AJ464" s="233"/>
      <c r="AK464" s="233"/>
      <c r="AL464" s="233"/>
      <c r="AM464" s="233"/>
      <c r="AN464" s="233"/>
      <c r="AO464" s="233"/>
      <c r="AP464" s="234"/>
      <c r="AQ464" s="234" t="s">
        <v>333</v>
      </c>
    </row>
    <row r="465" spans="1:43">
      <c r="A465" s="12">
        <v>462</v>
      </c>
      <c r="B465" s="21" t="s">
        <v>5832</v>
      </c>
      <c r="C465" s="5" t="s">
        <v>2885</v>
      </c>
      <c r="D465" s="5" t="s">
        <v>5833</v>
      </c>
      <c r="E465" s="5" t="s">
        <v>5834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11" t="s">
        <v>46</v>
      </c>
      <c r="Q465" s="5">
        <v>223.60830000000001</v>
      </c>
      <c r="R465" s="5">
        <f t="shared" si="7"/>
        <v>223.60830000000001</v>
      </c>
      <c r="S465" s="5" t="s">
        <v>685</v>
      </c>
      <c r="T465" s="12">
        <v>462</v>
      </c>
      <c r="U465" s="253" t="s">
        <v>2888</v>
      </c>
      <c r="V465" s="232" t="s">
        <v>2885</v>
      </c>
      <c r="W465" s="232">
        <v>-9602.2000000000007</v>
      </c>
      <c r="X465" s="232">
        <v>579.1</v>
      </c>
      <c r="Y465" s="233" t="s">
        <v>49</v>
      </c>
      <c r="Z465" s="87" t="s">
        <v>50</v>
      </c>
      <c r="AA465" s="233" t="s">
        <v>51</v>
      </c>
      <c r="AB465" s="234"/>
      <c r="AC465" s="233">
        <v>1</v>
      </c>
      <c r="AD465" s="233" t="s">
        <v>226</v>
      </c>
      <c r="AE465" s="234"/>
      <c r="AF465" s="234"/>
      <c r="AG465" s="234"/>
      <c r="AH465" s="233"/>
      <c r="AI465" s="233"/>
      <c r="AJ465" s="233"/>
      <c r="AK465" s="233"/>
      <c r="AL465" s="233"/>
      <c r="AM465" s="233"/>
      <c r="AN465" s="233"/>
      <c r="AO465" s="233"/>
      <c r="AP465" s="234"/>
      <c r="AQ465" s="234" t="s">
        <v>333</v>
      </c>
    </row>
    <row r="466" spans="1:43">
      <c r="A466" s="12">
        <v>463</v>
      </c>
      <c r="B466" s="21" t="s">
        <v>5835</v>
      </c>
      <c r="C466" s="5" t="s">
        <v>2890</v>
      </c>
      <c r="D466" s="5" t="s">
        <v>5836</v>
      </c>
      <c r="E466" s="5" t="s">
        <v>5837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11" t="s">
        <v>46</v>
      </c>
      <c r="Q466" s="5">
        <v>127.17910000000001</v>
      </c>
      <c r="R466" s="5">
        <f t="shared" si="7"/>
        <v>127.17910000000001</v>
      </c>
      <c r="S466" s="5" t="s">
        <v>74</v>
      </c>
      <c r="T466" s="12">
        <v>463</v>
      </c>
      <c r="U466" s="253" t="s">
        <v>2893</v>
      </c>
      <c r="V466" s="232" t="s">
        <v>2890</v>
      </c>
      <c r="W466" s="232">
        <v>8891</v>
      </c>
      <c r="X466" s="232">
        <v>579.1</v>
      </c>
      <c r="Y466" s="233" t="s">
        <v>49</v>
      </c>
      <c r="Z466" s="87" t="s">
        <v>50</v>
      </c>
      <c r="AA466" s="233" t="s">
        <v>51</v>
      </c>
      <c r="AB466" s="234"/>
      <c r="AC466" s="233">
        <v>1</v>
      </c>
      <c r="AD466" s="233" t="s">
        <v>226</v>
      </c>
      <c r="AE466" s="234"/>
      <c r="AF466" s="234"/>
      <c r="AG466" s="234"/>
      <c r="AH466" s="233"/>
      <c r="AI466" s="233"/>
      <c r="AJ466" s="233"/>
      <c r="AK466" s="233"/>
      <c r="AL466" s="233"/>
      <c r="AM466" s="233"/>
      <c r="AN466" s="233"/>
      <c r="AO466" s="233"/>
      <c r="AP466" s="234"/>
      <c r="AQ466" s="234" t="s">
        <v>333</v>
      </c>
    </row>
    <row r="467" spans="1:43">
      <c r="A467" s="12">
        <v>464</v>
      </c>
      <c r="B467" s="21" t="s">
        <v>5155</v>
      </c>
      <c r="C467" s="5" t="s">
        <v>2894</v>
      </c>
      <c r="D467" s="5" t="s">
        <v>5838</v>
      </c>
      <c r="E467" s="5" t="s">
        <v>5839</v>
      </c>
      <c r="F467" s="5" t="s">
        <v>5158</v>
      </c>
      <c r="G467" s="5"/>
      <c r="H467" s="5"/>
      <c r="I467" s="5"/>
      <c r="J467" s="5"/>
      <c r="K467" s="5"/>
      <c r="L467" s="5"/>
      <c r="M467" s="5"/>
      <c r="N467" s="5"/>
      <c r="O467" s="5"/>
      <c r="P467" s="11" t="s">
        <v>46</v>
      </c>
      <c r="Q467" s="5">
        <v>159.5351</v>
      </c>
      <c r="R467" s="5">
        <f t="shared" si="7"/>
        <v>159.5351</v>
      </c>
      <c r="S467" s="5" t="s">
        <v>1855</v>
      </c>
      <c r="T467" s="12">
        <v>464</v>
      </c>
      <c r="U467" s="238" t="s">
        <v>2897</v>
      </c>
      <c r="V467" s="239" t="s">
        <v>2894</v>
      </c>
      <c r="W467" s="239"/>
      <c r="X467" s="239"/>
      <c r="Y467" s="240" t="s">
        <v>49</v>
      </c>
      <c r="Z467" s="240"/>
      <c r="AA467" s="240" t="s">
        <v>51</v>
      </c>
      <c r="AB467" s="238"/>
      <c r="AC467" s="240">
        <v>1</v>
      </c>
      <c r="AD467" s="240" t="s">
        <v>226</v>
      </c>
      <c r="AE467" s="238"/>
      <c r="AF467" s="238"/>
      <c r="AG467" s="238"/>
      <c r="AH467" s="240"/>
      <c r="AI467" s="240"/>
      <c r="AJ467" s="240"/>
      <c r="AK467" s="240"/>
      <c r="AL467" s="240"/>
      <c r="AM467" s="240"/>
      <c r="AN467" s="240"/>
      <c r="AO467" s="240"/>
      <c r="AP467" s="238"/>
      <c r="AQ467" s="238" t="s">
        <v>2834</v>
      </c>
    </row>
    <row r="468" spans="1:43">
      <c r="A468" s="12">
        <v>465</v>
      </c>
      <c r="B468" s="21" t="s">
        <v>5840</v>
      </c>
      <c r="C468" s="5" t="s">
        <v>2899</v>
      </c>
      <c r="D468" s="5" t="s">
        <v>5841</v>
      </c>
      <c r="E468" s="5" t="s">
        <v>5842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11" t="s">
        <v>46</v>
      </c>
      <c r="Q468" s="5">
        <v>140.60050000000001</v>
      </c>
      <c r="R468" s="5">
        <f t="shared" si="7"/>
        <v>140.60050000000001</v>
      </c>
      <c r="S468" s="5" t="s">
        <v>47</v>
      </c>
      <c r="T468" s="12">
        <v>465</v>
      </c>
      <c r="U468" s="253" t="s">
        <v>2902</v>
      </c>
      <c r="V468" s="232" t="s">
        <v>2899</v>
      </c>
      <c r="W468" s="232">
        <v>-8891</v>
      </c>
      <c r="X468" s="232">
        <v>579.1</v>
      </c>
      <c r="Y468" s="233" t="s">
        <v>49</v>
      </c>
      <c r="Z468" s="87" t="s">
        <v>50</v>
      </c>
      <c r="AA468" s="233" t="s">
        <v>51</v>
      </c>
      <c r="AB468" s="234"/>
      <c r="AC468" s="233">
        <v>1</v>
      </c>
      <c r="AD468" s="233" t="s">
        <v>226</v>
      </c>
      <c r="AE468" s="234"/>
      <c r="AF468" s="234"/>
      <c r="AG468" s="234"/>
      <c r="AH468" s="233"/>
      <c r="AI468" s="233"/>
      <c r="AJ468" s="233"/>
      <c r="AK468" s="233"/>
      <c r="AL468" s="233"/>
      <c r="AM468" s="233"/>
      <c r="AN468" s="233"/>
      <c r="AO468" s="233"/>
      <c r="AP468" s="234"/>
      <c r="AQ468" s="234" t="s">
        <v>333</v>
      </c>
    </row>
    <row r="469" spans="1:43">
      <c r="A469" s="12">
        <v>466</v>
      </c>
      <c r="B469" s="21" t="s">
        <v>5843</v>
      </c>
      <c r="C469" s="5" t="s">
        <v>2904</v>
      </c>
      <c r="D469" s="268" t="s">
        <v>5844</v>
      </c>
      <c r="E469" s="268" t="s">
        <v>5845</v>
      </c>
      <c r="F469" s="5" t="s">
        <v>5846</v>
      </c>
      <c r="G469" s="5" t="s">
        <v>5847</v>
      </c>
      <c r="H469" s="5" t="s">
        <v>5848</v>
      </c>
      <c r="I469" s="5" t="s">
        <v>5849</v>
      </c>
      <c r="J469" s="11" t="s">
        <v>5850</v>
      </c>
      <c r="K469" s="5"/>
      <c r="L469" s="5"/>
      <c r="M469" s="5"/>
      <c r="N469" s="5"/>
      <c r="O469" s="5"/>
      <c r="P469" s="269">
        <v>207.06800000000001</v>
      </c>
      <c r="Q469" s="5">
        <v>59.296199999999999</v>
      </c>
      <c r="R469" s="268">
        <f t="shared" si="7"/>
        <v>266.36419999999998</v>
      </c>
      <c r="S469" s="268" t="s">
        <v>1827</v>
      </c>
      <c r="T469" s="12">
        <v>466</v>
      </c>
      <c r="U469" s="253" t="s">
        <v>2912</v>
      </c>
      <c r="V469" s="232" t="s">
        <v>2904</v>
      </c>
      <c r="W469" s="232">
        <v>-2182.9</v>
      </c>
      <c r="X469" s="232">
        <v>-4151.3999999999996</v>
      </c>
      <c r="Y469" s="233" t="s">
        <v>49</v>
      </c>
      <c r="Z469" s="87" t="s">
        <v>50</v>
      </c>
      <c r="AA469" s="233" t="s">
        <v>51</v>
      </c>
      <c r="AB469" s="234"/>
      <c r="AC469" s="233">
        <v>2</v>
      </c>
      <c r="AD469" s="233" t="s">
        <v>226</v>
      </c>
      <c r="AE469" s="234"/>
      <c r="AF469" s="234"/>
      <c r="AG469" s="234"/>
      <c r="AH469" s="233"/>
      <c r="AI469" s="233"/>
      <c r="AJ469" s="233"/>
      <c r="AK469" s="233"/>
      <c r="AL469" s="233"/>
      <c r="AM469" s="233"/>
      <c r="AN469" s="233"/>
      <c r="AO469" s="233"/>
      <c r="AP469" s="234"/>
      <c r="AQ469" s="234" t="s">
        <v>2913</v>
      </c>
    </row>
    <row r="470" spans="1:43">
      <c r="A470" s="12">
        <v>467</v>
      </c>
      <c r="B470" s="21" t="s">
        <v>5851</v>
      </c>
      <c r="C470" s="5" t="s">
        <v>2915</v>
      </c>
      <c r="D470" s="5" t="s">
        <v>5852</v>
      </c>
      <c r="E470" s="5" t="s">
        <v>5853</v>
      </c>
      <c r="F470" s="5" t="s">
        <v>5854</v>
      </c>
      <c r="G470" s="5" t="s">
        <v>5855</v>
      </c>
      <c r="H470" s="5" t="s">
        <v>5856</v>
      </c>
      <c r="I470" s="5" t="s">
        <v>5857</v>
      </c>
      <c r="J470" s="11" t="s">
        <v>5858</v>
      </c>
      <c r="K470" s="5"/>
      <c r="L470" s="5"/>
      <c r="M470" s="5"/>
      <c r="N470" s="5"/>
      <c r="O470" s="5"/>
      <c r="P470" s="269">
        <v>207.26769999999999</v>
      </c>
      <c r="Q470" s="5">
        <v>59.270400000000002</v>
      </c>
      <c r="R470" s="268">
        <f t="shared" si="7"/>
        <v>266.53809999999999</v>
      </c>
      <c r="S470" s="5" t="s">
        <v>1827</v>
      </c>
      <c r="T470" s="12">
        <v>467</v>
      </c>
      <c r="U470" s="253" t="s">
        <v>2923</v>
      </c>
      <c r="V470" s="232" t="s">
        <v>2915</v>
      </c>
      <c r="W470" s="232">
        <v>-2182.9</v>
      </c>
      <c r="X470" s="232">
        <v>-4862.6000000000004</v>
      </c>
      <c r="Y470" s="233" t="s">
        <v>49</v>
      </c>
      <c r="Z470" s="87" t="s">
        <v>50</v>
      </c>
      <c r="AA470" s="233" t="s">
        <v>51</v>
      </c>
      <c r="AB470" s="234"/>
      <c r="AC470" s="233">
        <v>2</v>
      </c>
      <c r="AD470" s="233" t="s">
        <v>226</v>
      </c>
      <c r="AE470" s="234"/>
      <c r="AF470" s="234"/>
      <c r="AG470" s="234"/>
      <c r="AH470" s="233"/>
      <c r="AI470" s="233"/>
      <c r="AJ470" s="233"/>
      <c r="AK470" s="233"/>
      <c r="AL470" s="233"/>
      <c r="AM470" s="233"/>
      <c r="AN470" s="233"/>
      <c r="AO470" s="233"/>
      <c r="AP470" s="234"/>
      <c r="AQ470" s="234" t="s">
        <v>2913</v>
      </c>
    </row>
    <row r="471" spans="1:43">
      <c r="A471" s="12">
        <v>468</v>
      </c>
      <c r="B471" s="21" t="s">
        <v>5859</v>
      </c>
      <c r="C471" s="5" t="s">
        <v>2925</v>
      </c>
      <c r="D471" s="5" t="s">
        <v>5860</v>
      </c>
      <c r="E471" s="5" t="s">
        <v>5861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11" t="s">
        <v>46</v>
      </c>
      <c r="Q471" s="5">
        <v>145.65799999999999</v>
      </c>
      <c r="R471" s="5">
        <f t="shared" si="7"/>
        <v>145.65799999999999</v>
      </c>
      <c r="S471" s="5" t="s">
        <v>47</v>
      </c>
      <c r="T471" s="12">
        <v>468</v>
      </c>
      <c r="U471" s="253" t="s">
        <v>2928</v>
      </c>
      <c r="V471" s="232" t="s">
        <v>2925</v>
      </c>
      <c r="W471" s="232">
        <v>-4779.2</v>
      </c>
      <c r="X471" s="232">
        <v>-3335.2</v>
      </c>
      <c r="Y471" s="233" t="s">
        <v>49</v>
      </c>
      <c r="Z471" s="87" t="s">
        <v>50</v>
      </c>
      <c r="AA471" s="233" t="s">
        <v>51</v>
      </c>
      <c r="AB471" s="234"/>
      <c r="AC471" s="233">
        <v>1</v>
      </c>
      <c r="AD471" s="233" t="s">
        <v>226</v>
      </c>
      <c r="AE471" s="234"/>
      <c r="AF471" s="234"/>
      <c r="AG471" s="234"/>
      <c r="AH471" s="233"/>
      <c r="AI471" s="233"/>
      <c r="AJ471" s="233"/>
      <c r="AK471" s="233"/>
      <c r="AL471" s="233"/>
      <c r="AM471" s="233"/>
      <c r="AN471" s="233"/>
      <c r="AO471" s="233"/>
      <c r="AP471" s="234"/>
      <c r="AQ471" s="234" t="s">
        <v>333</v>
      </c>
    </row>
    <row r="472" spans="1:43">
      <c r="A472" s="12">
        <v>469</v>
      </c>
      <c r="B472" s="21" t="s">
        <v>5862</v>
      </c>
      <c r="C472" s="5" t="s">
        <v>2930</v>
      </c>
      <c r="D472" s="5" t="s">
        <v>5863</v>
      </c>
      <c r="E472" s="5" t="s">
        <v>5864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11" t="s">
        <v>46</v>
      </c>
      <c r="Q472" s="5">
        <v>132.84639999999999</v>
      </c>
      <c r="R472" s="5">
        <f t="shared" si="7"/>
        <v>132.84639999999999</v>
      </c>
      <c r="S472" s="5" t="s">
        <v>67</v>
      </c>
      <c r="T472" s="12">
        <v>469</v>
      </c>
      <c r="U472" s="253" t="s">
        <v>2933</v>
      </c>
      <c r="V472" s="232" t="s">
        <v>2930</v>
      </c>
      <c r="W472" s="232">
        <v>12285.7</v>
      </c>
      <c r="X472" s="232">
        <v>1192.8</v>
      </c>
      <c r="Y472" s="233" t="s">
        <v>49</v>
      </c>
      <c r="Z472" s="87" t="s">
        <v>50</v>
      </c>
      <c r="AA472" s="233" t="s">
        <v>51</v>
      </c>
      <c r="AB472" s="234"/>
      <c r="AC472" s="233">
        <v>1</v>
      </c>
      <c r="AD472" s="233" t="s">
        <v>226</v>
      </c>
      <c r="AE472" s="234"/>
      <c r="AF472" s="234"/>
      <c r="AG472" s="234"/>
      <c r="AH472" s="233"/>
      <c r="AI472" s="233"/>
      <c r="AJ472" s="233"/>
      <c r="AK472" s="233"/>
      <c r="AL472" s="233"/>
      <c r="AM472" s="233"/>
      <c r="AN472" s="233"/>
      <c r="AO472" s="233"/>
      <c r="AP472" s="234"/>
      <c r="AQ472" s="234" t="s">
        <v>2934</v>
      </c>
    </row>
    <row r="473" spans="1:43">
      <c r="A473" s="12">
        <v>470</v>
      </c>
      <c r="B473" s="21" t="s">
        <v>5865</v>
      </c>
      <c r="C473" s="5" t="s">
        <v>2936</v>
      </c>
      <c r="D473" s="5" t="s">
        <v>5866</v>
      </c>
      <c r="E473" s="5" t="s">
        <v>5867</v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11" t="s">
        <v>46</v>
      </c>
      <c r="Q473" s="5">
        <v>125.0804</v>
      </c>
      <c r="R473" s="5">
        <f t="shared" si="7"/>
        <v>125.0804</v>
      </c>
      <c r="S473" s="5" t="s">
        <v>74</v>
      </c>
      <c r="T473" s="12">
        <v>470</v>
      </c>
      <c r="U473" s="253" t="s">
        <v>2939</v>
      </c>
      <c r="V473" s="232" t="s">
        <v>2936</v>
      </c>
      <c r="W473" s="232">
        <v>12159</v>
      </c>
      <c r="X473" s="232">
        <v>692.2</v>
      </c>
      <c r="Y473" s="233" t="s">
        <v>49</v>
      </c>
      <c r="Z473" s="87" t="s">
        <v>50</v>
      </c>
      <c r="AA473" s="233" t="s">
        <v>51</v>
      </c>
      <c r="AB473" s="234"/>
      <c r="AC473" s="233">
        <v>1</v>
      </c>
      <c r="AD473" s="233" t="s">
        <v>226</v>
      </c>
      <c r="AE473" s="234"/>
      <c r="AF473" s="234"/>
      <c r="AG473" s="234"/>
      <c r="AH473" s="233"/>
      <c r="AI473" s="233"/>
      <c r="AJ473" s="233"/>
      <c r="AK473" s="233"/>
      <c r="AL473" s="233"/>
      <c r="AM473" s="233"/>
      <c r="AN473" s="233"/>
      <c r="AO473" s="233"/>
      <c r="AP473" s="234"/>
      <c r="AQ473" s="234" t="s">
        <v>2934</v>
      </c>
    </row>
    <row r="474" spans="1:43">
      <c r="A474" s="12">
        <v>471</v>
      </c>
      <c r="B474" s="21" t="s">
        <v>5868</v>
      </c>
      <c r="C474" s="5" t="s">
        <v>2941</v>
      </c>
      <c r="D474" s="5" t="s">
        <v>5869</v>
      </c>
      <c r="E474" s="5" t="s">
        <v>5870</v>
      </c>
      <c r="F474" s="5" t="s">
        <v>5871</v>
      </c>
      <c r="G474" s="5"/>
      <c r="H474" s="5"/>
      <c r="I474" s="5"/>
      <c r="J474" s="5"/>
      <c r="K474" s="5"/>
      <c r="L474" s="5"/>
      <c r="M474" s="5"/>
      <c r="N474" s="5"/>
      <c r="O474" s="5"/>
      <c r="P474" s="11" t="s">
        <v>46</v>
      </c>
      <c r="Q474" s="5">
        <v>209.2877</v>
      </c>
      <c r="R474" s="5">
        <f t="shared" si="7"/>
        <v>209.2877</v>
      </c>
      <c r="S474" s="5" t="s">
        <v>1818</v>
      </c>
      <c r="T474" s="12">
        <v>471</v>
      </c>
      <c r="U474" s="253" t="s">
        <v>2945</v>
      </c>
      <c r="V474" s="232" t="s">
        <v>2941</v>
      </c>
      <c r="W474" s="232">
        <v>2182.9</v>
      </c>
      <c r="X474" s="232">
        <v>4151.3999999999996</v>
      </c>
      <c r="Y474" s="233" t="s">
        <v>49</v>
      </c>
      <c r="Z474" s="87" t="s">
        <v>50</v>
      </c>
      <c r="AA474" s="233" t="s">
        <v>51</v>
      </c>
      <c r="AB474" s="234"/>
      <c r="AC474" s="233">
        <v>1</v>
      </c>
      <c r="AD474" s="233" t="s">
        <v>226</v>
      </c>
      <c r="AE474" s="233"/>
      <c r="AF474" s="233"/>
      <c r="AG474" s="233" t="s">
        <v>2946</v>
      </c>
      <c r="AH474" s="233">
        <v>5</v>
      </c>
      <c r="AI474" s="233">
        <v>85</v>
      </c>
      <c r="AJ474" s="233"/>
      <c r="AK474" s="233"/>
      <c r="AL474" s="233"/>
      <c r="AM474" s="233"/>
      <c r="AN474" s="233"/>
      <c r="AO474" s="233" t="s">
        <v>636</v>
      </c>
      <c r="AP474" s="234"/>
      <c r="AQ474" s="234" t="s">
        <v>653</v>
      </c>
    </row>
    <row r="475" spans="1:43">
      <c r="A475" s="12">
        <v>472</v>
      </c>
      <c r="B475" s="21" t="s">
        <v>5872</v>
      </c>
      <c r="C475" s="5" t="s">
        <v>2948</v>
      </c>
      <c r="D475" s="5" t="s">
        <v>5873</v>
      </c>
      <c r="E475" s="5" t="s">
        <v>5874</v>
      </c>
      <c r="F475" s="5" t="s">
        <v>5875</v>
      </c>
      <c r="G475" s="5"/>
      <c r="H475" s="5"/>
      <c r="I475" s="5"/>
      <c r="J475" s="5"/>
      <c r="K475" s="5"/>
      <c r="L475" s="5"/>
      <c r="M475" s="5"/>
      <c r="N475" s="5"/>
      <c r="O475" s="5"/>
      <c r="P475" s="11" t="s">
        <v>46</v>
      </c>
      <c r="Q475" s="5">
        <v>209.28280000000001</v>
      </c>
      <c r="R475" s="5">
        <f t="shared" si="7"/>
        <v>209.28280000000001</v>
      </c>
      <c r="S475" s="5" t="s">
        <v>1818</v>
      </c>
      <c r="T475" s="12">
        <v>472</v>
      </c>
      <c r="U475" s="253" t="s">
        <v>2952</v>
      </c>
      <c r="V475" s="232" t="s">
        <v>2948</v>
      </c>
      <c r="W475" s="232">
        <v>2182.9</v>
      </c>
      <c r="X475" s="232">
        <v>4862.6000000000004</v>
      </c>
      <c r="Y475" s="233" t="s">
        <v>49</v>
      </c>
      <c r="Z475" s="87" t="s">
        <v>50</v>
      </c>
      <c r="AA475" s="233" t="s">
        <v>51</v>
      </c>
      <c r="AB475" s="234"/>
      <c r="AC475" s="233">
        <v>1</v>
      </c>
      <c r="AD475" s="233" t="s">
        <v>226</v>
      </c>
      <c r="AE475" s="233"/>
      <c r="AF475" s="233"/>
      <c r="AG475" s="233" t="s">
        <v>2946</v>
      </c>
      <c r="AH475" s="233">
        <v>5</v>
      </c>
      <c r="AI475" s="233">
        <v>85</v>
      </c>
      <c r="AJ475" s="233"/>
      <c r="AK475" s="233"/>
      <c r="AL475" s="233"/>
      <c r="AM475" s="233"/>
      <c r="AN475" s="233"/>
      <c r="AO475" s="233" t="s">
        <v>636</v>
      </c>
      <c r="AP475" s="234"/>
      <c r="AQ475" s="234" t="s">
        <v>653</v>
      </c>
    </row>
    <row r="476" spans="1:43">
      <c r="A476" s="12">
        <v>473</v>
      </c>
      <c r="B476" s="21" t="s">
        <v>5876</v>
      </c>
      <c r="C476" s="5" t="s">
        <v>2954</v>
      </c>
      <c r="D476" s="5" t="s">
        <v>5877</v>
      </c>
      <c r="E476" s="5" t="s">
        <v>5878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11" t="s">
        <v>46</v>
      </c>
      <c r="Q476" s="5">
        <v>231.101</v>
      </c>
      <c r="R476" s="5">
        <f t="shared" si="7"/>
        <v>231.101</v>
      </c>
      <c r="S476" s="5" t="s">
        <v>685</v>
      </c>
      <c r="T476" s="12">
        <v>473</v>
      </c>
      <c r="U476" s="256" t="s">
        <v>2957</v>
      </c>
      <c r="V476" s="232" t="s">
        <v>2954</v>
      </c>
      <c r="W476" s="232">
        <v>9981.2000000000007</v>
      </c>
      <c r="X476" s="232">
        <v>-10536.4</v>
      </c>
      <c r="Y476" s="233" t="s">
        <v>49</v>
      </c>
      <c r="Z476" s="87" t="s">
        <v>50</v>
      </c>
      <c r="AA476" s="233" t="s">
        <v>51</v>
      </c>
      <c r="AB476" s="234"/>
      <c r="AC476" s="233">
        <v>1</v>
      </c>
      <c r="AD476" s="233" t="s">
        <v>226</v>
      </c>
      <c r="AE476" s="234"/>
      <c r="AF476" s="234"/>
      <c r="AG476" s="234"/>
      <c r="AH476" s="233"/>
      <c r="AI476" s="233"/>
      <c r="AJ476" s="233"/>
      <c r="AK476" s="233"/>
      <c r="AL476" s="233"/>
      <c r="AM476" s="233"/>
      <c r="AN476" s="233"/>
      <c r="AO476" s="233"/>
      <c r="AP476" s="234"/>
      <c r="AQ476" s="234" t="s">
        <v>333</v>
      </c>
    </row>
    <row r="477" spans="1:43">
      <c r="A477" s="12">
        <v>474</v>
      </c>
      <c r="B477" s="21" t="s">
        <v>5879</v>
      </c>
      <c r="C477" s="5" t="s">
        <v>2959</v>
      </c>
      <c r="D477" s="5" t="s">
        <v>5880</v>
      </c>
      <c r="E477" s="5" t="s">
        <v>5881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11" t="s">
        <v>46</v>
      </c>
      <c r="Q477" s="5">
        <v>228.10069999999999</v>
      </c>
      <c r="R477" s="5">
        <f t="shared" si="7"/>
        <v>228.10069999999999</v>
      </c>
      <c r="S477" s="5" t="s">
        <v>685</v>
      </c>
      <c r="T477" s="12">
        <v>474</v>
      </c>
      <c r="U477" s="256" t="s">
        <v>2962</v>
      </c>
      <c r="V477" s="232" t="s">
        <v>2959</v>
      </c>
      <c r="W477" s="232">
        <v>9981.2000000000007</v>
      </c>
      <c r="X477" s="232">
        <v>-10035.6</v>
      </c>
      <c r="Y477" s="233" t="s">
        <v>49</v>
      </c>
      <c r="Z477" s="87" t="s">
        <v>50</v>
      </c>
      <c r="AA477" s="233" t="s">
        <v>51</v>
      </c>
      <c r="AB477" s="234"/>
      <c r="AC477" s="233">
        <v>1</v>
      </c>
      <c r="AD477" s="233" t="s">
        <v>226</v>
      </c>
      <c r="AE477" s="234"/>
      <c r="AF477" s="234"/>
      <c r="AG477" s="234"/>
      <c r="AH477" s="233"/>
      <c r="AI477" s="233"/>
      <c r="AJ477" s="233"/>
      <c r="AK477" s="233"/>
      <c r="AL477" s="233"/>
      <c r="AM477" s="233"/>
      <c r="AN477" s="233"/>
      <c r="AO477" s="233"/>
      <c r="AP477" s="234"/>
      <c r="AQ477" s="234" t="s">
        <v>333</v>
      </c>
    </row>
    <row r="478" spans="1:43">
      <c r="A478" s="12">
        <v>475</v>
      </c>
      <c r="B478" s="21" t="s">
        <v>5882</v>
      </c>
      <c r="C478" s="5" t="s">
        <v>2964</v>
      </c>
      <c r="D478" s="5" t="s">
        <v>605</v>
      </c>
      <c r="E478" s="5" t="s">
        <v>605</v>
      </c>
      <c r="F478" s="5" t="s">
        <v>5883</v>
      </c>
      <c r="G478" s="5"/>
      <c r="H478" s="5"/>
      <c r="I478" s="5"/>
      <c r="J478" s="5"/>
      <c r="K478" s="5"/>
      <c r="L478" s="5"/>
      <c r="M478" s="5"/>
      <c r="N478" s="5"/>
      <c r="O478" s="5"/>
      <c r="P478" s="11" t="s">
        <v>46</v>
      </c>
      <c r="Q478" s="5">
        <v>10.221299999999999</v>
      </c>
      <c r="R478" s="5">
        <f t="shared" si="7"/>
        <v>10.221299999999999</v>
      </c>
      <c r="S478" s="5" t="s">
        <v>74</v>
      </c>
      <c r="T478" s="12">
        <v>475</v>
      </c>
      <c r="U478" s="256" t="s">
        <v>2966</v>
      </c>
      <c r="V478" s="232" t="s">
        <v>2964</v>
      </c>
      <c r="W478" s="232">
        <v>10389.9</v>
      </c>
      <c r="X478" s="232">
        <v>-9205.2999999999993</v>
      </c>
      <c r="Y478" s="233" t="s">
        <v>49</v>
      </c>
      <c r="Z478" s="87" t="s">
        <v>50</v>
      </c>
      <c r="AA478" s="234"/>
      <c r="AB478" s="234"/>
      <c r="AC478" s="233"/>
      <c r="AD478" s="234"/>
      <c r="AE478" s="234"/>
      <c r="AF478" s="234"/>
      <c r="AG478" s="234"/>
      <c r="AH478" s="233"/>
      <c r="AI478" s="233"/>
      <c r="AJ478" s="233"/>
      <c r="AK478" s="233"/>
      <c r="AL478" s="233"/>
      <c r="AM478" s="233"/>
      <c r="AN478" s="233" t="s">
        <v>2967</v>
      </c>
      <c r="AO478" s="233"/>
      <c r="AP478" s="234"/>
      <c r="AQ478" s="234" t="s">
        <v>608</v>
      </c>
    </row>
    <row r="479" spans="1:43">
      <c r="A479" s="12">
        <v>476</v>
      </c>
      <c r="B479" s="21" t="s">
        <v>5884</v>
      </c>
      <c r="C479" s="5" t="s">
        <v>2969</v>
      </c>
      <c r="D479" s="5" t="s">
        <v>605</v>
      </c>
      <c r="E479" s="5" t="s">
        <v>605</v>
      </c>
      <c r="F479" s="5" t="s">
        <v>5885</v>
      </c>
      <c r="G479" s="5"/>
      <c r="H479" s="5"/>
      <c r="I479" s="5"/>
      <c r="J479" s="5"/>
      <c r="K479" s="5"/>
      <c r="L479" s="5"/>
      <c r="M479" s="5"/>
      <c r="N479" s="5"/>
      <c r="O479" s="5"/>
      <c r="P479" s="11" t="s">
        <v>46</v>
      </c>
      <c r="Q479" s="5">
        <v>8.4528999999999996</v>
      </c>
      <c r="R479" s="5">
        <f t="shared" si="7"/>
        <v>8.4528999999999996</v>
      </c>
      <c r="S479" s="5" t="s">
        <v>67</v>
      </c>
      <c r="T479" s="12">
        <v>476</v>
      </c>
      <c r="U479" s="256" t="s">
        <v>2971</v>
      </c>
      <c r="V479" s="232" t="s">
        <v>2969</v>
      </c>
      <c r="W479" s="232">
        <v>10608.3</v>
      </c>
      <c r="X479" s="232">
        <v>-9662.5</v>
      </c>
      <c r="Y479" s="233" t="s">
        <v>49</v>
      </c>
      <c r="Z479" s="87" t="s">
        <v>50</v>
      </c>
      <c r="AA479" s="234"/>
      <c r="AB479" s="234"/>
      <c r="AC479" s="233"/>
      <c r="AD479" s="234"/>
      <c r="AE479" s="234"/>
      <c r="AF479" s="234"/>
      <c r="AG479" s="234"/>
      <c r="AH479" s="233"/>
      <c r="AI479" s="233"/>
      <c r="AJ479" s="233"/>
      <c r="AK479" s="233"/>
      <c r="AL479" s="233"/>
      <c r="AM479" s="233"/>
      <c r="AN479" s="233" t="s">
        <v>2972</v>
      </c>
      <c r="AO479" s="233"/>
      <c r="AP479" s="234"/>
      <c r="AQ479" s="234" t="s">
        <v>608</v>
      </c>
    </row>
    <row r="480" spans="1:43">
      <c r="A480" s="12">
        <v>477</v>
      </c>
      <c r="B480" s="21" t="s">
        <v>5886</v>
      </c>
      <c r="C480" s="5" t="s">
        <v>2974</v>
      </c>
      <c r="D480" s="5" t="s">
        <v>5887</v>
      </c>
      <c r="E480" s="5" t="s">
        <v>5888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11" t="s">
        <v>46</v>
      </c>
      <c r="Q480" s="5">
        <v>232.6036</v>
      </c>
      <c r="R480" s="5">
        <f t="shared" si="7"/>
        <v>232.6036</v>
      </c>
      <c r="S480" s="5" t="s">
        <v>395</v>
      </c>
      <c r="T480" s="12">
        <v>477</v>
      </c>
      <c r="U480" s="256" t="s">
        <v>2977</v>
      </c>
      <c r="V480" s="232" t="s">
        <v>2974</v>
      </c>
      <c r="W480" s="232">
        <v>6295.4</v>
      </c>
      <c r="X480" s="232">
        <v>-10162.9</v>
      </c>
      <c r="Y480" s="233" t="s">
        <v>49</v>
      </c>
      <c r="Z480" s="87" t="s">
        <v>50</v>
      </c>
      <c r="AA480" s="233" t="s">
        <v>51</v>
      </c>
      <c r="AB480" s="234"/>
      <c r="AC480" s="233">
        <v>1</v>
      </c>
      <c r="AD480" s="233" t="s">
        <v>226</v>
      </c>
      <c r="AE480" s="233"/>
      <c r="AF480" s="233"/>
      <c r="AG480" s="233" t="s">
        <v>2978</v>
      </c>
      <c r="AH480" s="233">
        <v>5</v>
      </c>
      <c r="AI480" s="233">
        <v>100</v>
      </c>
      <c r="AJ480" s="257" t="s">
        <v>2979</v>
      </c>
      <c r="AK480" s="233">
        <v>20</v>
      </c>
      <c r="AL480" s="233"/>
      <c r="AM480" s="233"/>
      <c r="AN480" s="233"/>
      <c r="AO480" s="233"/>
      <c r="AP480" s="234" t="s">
        <v>2980</v>
      </c>
      <c r="AQ480" s="234" t="s">
        <v>333</v>
      </c>
    </row>
    <row r="481" spans="1:43">
      <c r="A481" s="12">
        <v>478</v>
      </c>
      <c r="B481" s="21" t="s">
        <v>5889</v>
      </c>
      <c r="C481" s="5" t="s">
        <v>2982</v>
      </c>
      <c r="D481" s="5" t="s">
        <v>5890</v>
      </c>
      <c r="E481" s="5" t="s">
        <v>5891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11" t="s">
        <v>46</v>
      </c>
      <c r="Q481" s="5">
        <v>232.66499999999999</v>
      </c>
      <c r="R481" s="5">
        <f t="shared" si="7"/>
        <v>232.66499999999999</v>
      </c>
      <c r="S481" s="5" t="s">
        <v>732</v>
      </c>
      <c r="T481" s="12">
        <v>478</v>
      </c>
      <c r="U481" s="256" t="s">
        <v>2985</v>
      </c>
      <c r="V481" s="232" t="s">
        <v>2982</v>
      </c>
      <c r="W481" s="232">
        <v>7278.6</v>
      </c>
      <c r="X481" s="232">
        <v>-7469.1</v>
      </c>
      <c r="Y481" s="233" t="s">
        <v>49</v>
      </c>
      <c r="Z481" s="87" t="s">
        <v>50</v>
      </c>
      <c r="AA481" s="233" t="s">
        <v>51</v>
      </c>
      <c r="AB481" s="234"/>
      <c r="AC481" s="233">
        <v>1</v>
      </c>
      <c r="AD481" s="233" t="s">
        <v>226</v>
      </c>
      <c r="AE481" s="233"/>
      <c r="AF481" s="233"/>
      <c r="AG481" s="233" t="s">
        <v>2986</v>
      </c>
      <c r="AH481" s="233">
        <v>5</v>
      </c>
      <c r="AI481" s="233">
        <v>100</v>
      </c>
      <c r="AJ481" s="257" t="s">
        <v>2979</v>
      </c>
      <c r="AK481" s="233">
        <v>20</v>
      </c>
      <c r="AL481" s="233"/>
      <c r="AM481" s="233"/>
      <c r="AN481" s="233"/>
      <c r="AO481" s="233"/>
      <c r="AP481" s="234" t="s">
        <v>2980</v>
      </c>
      <c r="AQ481" s="234" t="s">
        <v>333</v>
      </c>
    </row>
    <row r="482" spans="1:43">
      <c r="A482" s="12">
        <v>479</v>
      </c>
      <c r="B482" s="21" t="s">
        <v>5892</v>
      </c>
      <c r="C482" s="5" t="s">
        <v>2988</v>
      </c>
      <c r="D482" s="5" t="s">
        <v>5893</v>
      </c>
      <c r="E482" s="5" t="s">
        <v>5894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11" t="s">
        <v>46</v>
      </c>
      <c r="Q482" s="5">
        <v>232.6857</v>
      </c>
      <c r="R482" s="5">
        <f t="shared" si="7"/>
        <v>232.6857</v>
      </c>
      <c r="S482" s="5" t="s">
        <v>732</v>
      </c>
      <c r="T482" s="12">
        <v>479</v>
      </c>
      <c r="U482" s="256" t="s">
        <v>2991</v>
      </c>
      <c r="V482" s="232" t="s">
        <v>2988</v>
      </c>
      <c r="W482" s="232">
        <v>7639.2</v>
      </c>
      <c r="X482" s="232">
        <v>-8086.2</v>
      </c>
      <c r="Y482" s="233" t="s">
        <v>49</v>
      </c>
      <c r="Z482" s="87" t="s">
        <v>50</v>
      </c>
      <c r="AA482" s="233" t="s">
        <v>51</v>
      </c>
      <c r="AB482" s="234"/>
      <c r="AC482" s="233">
        <v>1</v>
      </c>
      <c r="AD482" s="233" t="s">
        <v>226</v>
      </c>
      <c r="AE482" s="233"/>
      <c r="AF482" s="233"/>
      <c r="AG482" s="233" t="s">
        <v>2992</v>
      </c>
      <c r="AH482" s="233">
        <v>5</v>
      </c>
      <c r="AI482" s="233">
        <v>100</v>
      </c>
      <c r="AJ482" s="257" t="s">
        <v>2979</v>
      </c>
      <c r="AK482" s="233">
        <v>20</v>
      </c>
      <c r="AL482" s="233"/>
      <c r="AM482" s="233"/>
      <c r="AN482" s="233"/>
      <c r="AO482" s="233"/>
      <c r="AP482" s="234" t="s">
        <v>2980</v>
      </c>
      <c r="AQ482" s="234" t="s">
        <v>333</v>
      </c>
    </row>
    <row r="483" spans="1:43">
      <c r="A483" s="12">
        <v>480</v>
      </c>
      <c r="B483" s="21" t="s">
        <v>5895</v>
      </c>
      <c r="C483" s="5" t="s">
        <v>2994</v>
      </c>
      <c r="D483" s="5" t="s">
        <v>5896</v>
      </c>
      <c r="E483" s="5" t="s">
        <v>5897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11" t="s">
        <v>46</v>
      </c>
      <c r="Q483" s="5">
        <v>232.8287</v>
      </c>
      <c r="R483" s="5">
        <f t="shared" si="7"/>
        <v>232.8287</v>
      </c>
      <c r="S483" s="5" t="s">
        <v>395</v>
      </c>
      <c r="T483" s="12">
        <v>480</v>
      </c>
      <c r="U483" s="256" t="s">
        <v>2997</v>
      </c>
      <c r="V483" s="232" t="s">
        <v>2994</v>
      </c>
      <c r="W483" s="232">
        <v>9217.2000000000007</v>
      </c>
      <c r="X483" s="232">
        <v>-8793.7999999999993</v>
      </c>
      <c r="Y483" s="233" t="s">
        <v>49</v>
      </c>
      <c r="Z483" s="87" t="s">
        <v>50</v>
      </c>
      <c r="AA483" s="233" t="s">
        <v>51</v>
      </c>
      <c r="AB483" s="234"/>
      <c r="AC483" s="233">
        <v>1</v>
      </c>
      <c r="AD483" s="233" t="s">
        <v>226</v>
      </c>
      <c r="AE483" s="233"/>
      <c r="AF483" s="233"/>
      <c r="AG483" s="233" t="s">
        <v>2998</v>
      </c>
      <c r="AH483" s="233">
        <v>5</v>
      </c>
      <c r="AI483" s="233">
        <v>100</v>
      </c>
      <c r="AJ483" s="257" t="s">
        <v>2979</v>
      </c>
      <c r="AK483" s="233">
        <v>20</v>
      </c>
      <c r="AL483" s="233"/>
      <c r="AM483" s="233"/>
      <c r="AN483" s="233"/>
      <c r="AO483" s="233"/>
      <c r="AP483" s="234" t="s">
        <v>2980</v>
      </c>
      <c r="AQ483" s="234" t="s">
        <v>333</v>
      </c>
    </row>
    <row r="484" spans="1:43">
      <c r="A484" s="12">
        <v>481</v>
      </c>
      <c r="B484" s="21" t="s">
        <v>5898</v>
      </c>
      <c r="C484" s="5" t="s">
        <v>3000</v>
      </c>
      <c r="D484" s="5" t="s">
        <v>5899</v>
      </c>
      <c r="E484" s="5" t="s">
        <v>5900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11" t="s">
        <v>46</v>
      </c>
      <c r="Q484" s="5">
        <v>232.66540000000001</v>
      </c>
      <c r="R484" s="5">
        <f t="shared" si="7"/>
        <v>232.66540000000001</v>
      </c>
      <c r="S484" s="5" t="s">
        <v>732</v>
      </c>
      <c r="T484" s="12">
        <v>481</v>
      </c>
      <c r="U484" s="256" t="s">
        <v>3003</v>
      </c>
      <c r="V484" s="232" t="s">
        <v>3000</v>
      </c>
      <c r="W484" s="232">
        <v>8865.6</v>
      </c>
      <c r="X484" s="232">
        <v>-9447.6</v>
      </c>
      <c r="Y484" s="233" t="s">
        <v>49</v>
      </c>
      <c r="Z484" s="87" t="s">
        <v>50</v>
      </c>
      <c r="AA484" s="233" t="s">
        <v>51</v>
      </c>
      <c r="AB484" s="234"/>
      <c r="AC484" s="233">
        <v>1</v>
      </c>
      <c r="AD484" s="233" t="s">
        <v>226</v>
      </c>
      <c r="AE484" s="233"/>
      <c r="AF484" s="233"/>
      <c r="AG484" s="233" t="s">
        <v>3004</v>
      </c>
      <c r="AH484" s="233">
        <v>5</v>
      </c>
      <c r="AI484" s="233">
        <v>100</v>
      </c>
      <c r="AJ484" s="257" t="s">
        <v>2979</v>
      </c>
      <c r="AK484" s="233">
        <v>20</v>
      </c>
      <c r="AL484" s="233"/>
      <c r="AM484" s="233"/>
      <c r="AN484" s="233"/>
      <c r="AO484" s="233"/>
      <c r="AP484" s="234" t="s">
        <v>2980</v>
      </c>
      <c r="AQ484" s="234" t="s">
        <v>333</v>
      </c>
    </row>
    <row r="485" spans="1:43">
      <c r="A485" s="12">
        <v>482</v>
      </c>
      <c r="B485" s="21" t="s">
        <v>5901</v>
      </c>
      <c r="C485" s="5" t="s">
        <v>3006</v>
      </c>
      <c r="D485" s="5" t="s">
        <v>5902</v>
      </c>
      <c r="E485" s="5" t="s">
        <v>5903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11" t="s">
        <v>46</v>
      </c>
      <c r="Q485" s="5">
        <v>232.65690000000001</v>
      </c>
      <c r="R485" s="5">
        <f t="shared" si="7"/>
        <v>232.65690000000001</v>
      </c>
      <c r="S485" s="5" t="s">
        <v>706</v>
      </c>
      <c r="T485" s="12">
        <v>482</v>
      </c>
      <c r="U485" s="256" t="s">
        <v>3009</v>
      </c>
      <c r="V485" s="232" t="s">
        <v>3006</v>
      </c>
      <c r="W485" s="232">
        <v>8272.2999999999993</v>
      </c>
      <c r="X485" s="232">
        <v>-6110.3</v>
      </c>
      <c r="Y485" s="233" t="s">
        <v>49</v>
      </c>
      <c r="Z485" s="87" t="s">
        <v>50</v>
      </c>
      <c r="AA485" s="233" t="s">
        <v>51</v>
      </c>
      <c r="AB485" s="234"/>
      <c r="AC485" s="233">
        <v>1</v>
      </c>
      <c r="AD485" s="233" t="s">
        <v>226</v>
      </c>
      <c r="AE485" s="233"/>
      <c r="AF485" s="233"/>
      <c r="AG485" s="233" t="s">
        <v>3010</v>
      </c>
      <c r="AH485" s="233">
        <v>5</v>
      </c>
      <c r="AI485" s="233">
        <v>100</v>
      </c>
      <c r="AJ485" s="257" t="s">
        <v>2979</v>
      </c>
      <c r="AK485" s="233">
        <v>20</v>
      </c>
      <c r="AL485" s="233"/>
      <c r="AM485" s="233"/>
      <c r="AN485" s="233"/>
      <c r="AO485" s="233"/>
      <c r="AP485" s="234" t="s">
        <v>2980</v>
      </c>
      <c r="AQ485" s="234" t="s">
        <v>333</v>
      </c>
    </row>
    <row r="486" spans="1:43">
      <c r="A486" s="12">
        <v>483</v>
      </c>
      <c r="B486" s="21" t="s">
        <v>5904</v>
      </c>
      <c r="C486" s="5" t="s">
        <v>3012</v>
      </c>
      <c r="D486" s="5" t="s">
        <v>5905</v>
      </c>
      <c r="E486" s="5" t="s">
        <v>5906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11" t="s">
        <v>46</v>
      </c>
      <c r="Q486" s="5">
        <v>232.5564</v>
      </c>
      <c r="R486" s="5">
        <f t="shared" si="7"/>
        <v>232.5564</v>
      </c>
      <c r="S486" s="5" t="s">
        <v>344</v>
      </c>
      <c r="T486" s="12">
        <v>483</v>
      </c>
      <c r="U486" s="256" t="s">
        <v>3015</v>
      </c>
      <c r="V486" s="232" t="s">
        <v>3012</v>
      </c>
      <c r="W486" s="232">
        <v>6668.5</v>
      </c>
      <c r="X486" s="232">
        <v>-9447.6</v>
      </c>
      <c r="Y486" s="233" t="s">
        <v>49</v>
      </c>
      <c r="Z486" s="87" t="s">
        <v>50</v>
      </c>
      <c r="AA486" s="233" t="s">
        <v>51</v>
      </c>
      <c r="AB486" s="234"/>
      <c r="AC486" s="233">
        <v>1</v>
      </c>
      <c r="AD486" s="233" t="s">
        <v>226</v>
      </c>
      <c r="AE486" s="233"/>
      <c r="AF486" s="233"/>
      <c r="AG486" s="233" t="s">
        <v>3016</v>
      </c>
      <c r="AH486" s="233">
        <v>5</v>
      </c>
      <c r="AI486" s="233">
        <v>100</v>
      </c>
      <c r="AJ486" s="257" t="s">
        <v>2979</v>
      </c>
      <c r="AK486" s="233">
        <v>20</v>
      </c>
      <c r="AL486" s="233"/>
      <c r="AM486" s="233"/>
      <c r="AN486" s="233"/>
      <c r="AO486" s="233"/>
      <c r="AP486" s="234" t="s">
        <v>2980</v>
      </c>
      <c r="AQ486" s="234" t="s">
        <v>333</v>
      </c>
    </row>
    <row r="487" spans="1:43">
      <c r="A487" s="12">
        <v>484</v>
      </c>
      <c r="B487" s="21" t="s">
        <v>5907</v>
      </c>
      <c r="C487" s="5" t="s">
        <v>3018</v>
      </c>
      <c r="D487" s="5" t="s">
        <v>5908</v>
      </c>
      <c r="E487" s="5" t="s">
        <v>5909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11" t="s">
        <v>46</v>
      </c>
      <c r="Q487" s="5">
        <v>232.7559</v>
      </c>
      <c r="R487" s="5">
        <f t="shared" si="7"/>
        <v>232.7559</v>
      </c>
      <c r="S487" s="5" t="s">
        <v>706</v>
      </c>
      <c r="T487" s="12">
        <v>484</v>
      </c>
      <c r="U487" s="256" t="s">
        <v>3021</v>
      </c>
      <c r="V487" s="232" t="s">
        <v>3018</v>
      </c>
      <c r="W487" s="232">
        <v>7283.5</v>
      </c>
      <c r="X487" s="232">
        <v>-9908.9</v>
      </c>
      <c r="Y487" s="233" t="s">
        <v>49</v>
      </c>
      <c r="Z487" s="87" t="s">
        <v>50</v>
      </c>
      <c r="AA487" s="233" t="s">
        <v>51</v>
      </c>
      <c r="AB487" s="234"/>
      <c r="AC487" s="233">
        <v>1</v>
      </c>
      <c r="AD487" s="233" t="s">
        <v>226</v>
      </c>
      <c r="AE487" s="233"/>
      <c r="AF487" s="233"/>
      <c r="AG487" s="233" t="s">
        <v>3022</v>
      </c>
      <c r="AH487" s="233">
        <v>5</v>
      </c>
      <c r="AI487" s="233">
        <v>100</v>
      </c>
      <c r="AJ487" s="257" t="s">
        <v>2979</v>
      </c>
      <c r="AK487" s="233">
        <v>20</v>
      </c>
      <c r="AL487" s="233"/>
      <c r="AM487" s="233"/>
      <c r="AN487" s="233"/>
      <c r="AO487" s="233"/>
      <c r="AP487" s="234" t="s">
        <v>2980</v>
      </c>
      <c r="AQ487" s="234" t="s">
        <v>333</v>
      </c>
    </row>
    <row r="488" spans="1:43">
      <c r="A488" s="12">
        <v>485</v>
      </c>
      <c r="B488" s="21" t="s">
        <v>5910</v>
      </c>
      <c r="C488" s="5" t="s">
        <v>3024</v>
      </c>
      <c r="D488" s="5" t="s">
        <v>5911</v>
      </c>
      <c r="E488" s="5" t="s">
        <v>5912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11" t="s">
        <v>46</v>
      </c>
      <c r="Q488" s="5">
        <v>232.71940000000001</v>
      </c>
      <c r="R488" s="5">
        <f t="shared" si="7"/>
        <v>232.71940000000001</v>
      </c>
      <c r="S488" s="5" t="s">
        <v>395</v>
      </c>
      <c r="T488" s="12">
        <v>485</v>
      </c>
      <c r="U488" s="256" t="s">
        <v>3027</v>
      </c>
      <c r="V488" s="232" t="s">
        <v>3024</v>
      </c>
      <c r="W488" s="232">
        <v>7784.1</v>
      </c>
      <c r="X488" s="232">
        <v>-10536.4</v>
      </c>
      <c r="Y488" s="233" t="s">
        <v>49</v>
      </c>
      <c r="Z488" s="87" t="s">
        <v>50</v>
      </c>
      <c r="AA488" s="233" t="s">
        <v>51</v>
      </c>
      <c r="AB488" s="234"/>
      <c r="AC488" s="233">
        <v>1</v>
      </c>
      <c r="AD488" s="233" t="s">
        <v>226</v>
      </c>
      <c r="AE488" s="233"/>
      <c r="AF488" s="233"/>
      <c r="AG488" s="233" t="s">
        <v>3028</v>
      </c>
      <c r="AH488" s="233">
        <v>5</v>
      </c>
      <c r="AI488" s="233">
        <v>100</v>
      </c>
      <c r="AJ488" s="257" t="s">
        <v>2979</v>
      </c>
      <c r="AK488" s="233">
        <v>20</v>
      </c>
      <c r="AL488" s="233"/>
      <c r="AM488" s="233"/>
      <c r="AN488" s="233"/>
      <c r="AO488" s="233"/>
      <c r="AP488" s="234" t="s">
        <v>2980</v>
      </c>
      <c r="AQ488" s="234" t="s">
        <v>333</v>
      </c>
    </row>
    <row r="489" spans="1:43">
      <c r="A489" s="12">
        <v>333</v>
      </c>
      <c r="B489" s="21" t="s">
        <v>5913</v>
      </c>
      <c r="C489" s="5" t="s">
        <v>1859</v>
      </c>
      <c r="D489" s="5" t="s">
        <v>5914</v>
      </c>
      <c r="E489" s="5" t="s">
        <v>5915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11" t="s">
        <v>46</v>
      </c>
      <c r="Q489" s="5">
        <v>238.20349999999999</v>
      </c>
      <c r="R489" s="5">
        <f t="shared" si="7"/>
        <v>238.20349999999999</v>
      </c>
      <c r="S489" s="5" t="s">
        <v>338</v>
      </c>
      <c r="T489" s="12">
        <v>333</v>
      </c>
      <c r="U489" s="253" t="s">
        <v>1862</v>
      </c>
      <c r="V489" s="232" t="s">
        <v>1859</v>
      </c>
      <c r="W489" s="232">
        <v>8411.2000000000007</v>
      </c>
      <c r="X489" s="232">
        <v>-9662.5</v>
      </c>
      <c r="Y489" s="233" t="s">
        <v>49</v>
      </c>
      <c r="Z489" s="87" t="s">
        <v>50</v>
      </c>
      <c r="AA489" s="233" t="s">
        <v>51</v>
      </c>
      <c r="AB489" s="234"/>
      <c r="AC489" s="233">
        <v>1</v>
      </c>
      <c r="AD489" s="233" t="s">
        <v>226</v>
      </c>
      <c r="AE489" s="233"/>
      <c r="AF489" s="233"/>
      <c r="AG489" s="233" t="s">
        <v>3034</v>
      </c>
      <c r="AH489" s="233">
        <v>5</v>
      </c>
      <c r="AI489" s="233">
        <v>100</v>
      </c>
      <c r="AJ489" s="257" t="s">
        <v>2979</v>
      </c>
      <c r="AK489" s="233">
        <v>20</v>
      </c>
      <c r="AL489" s="233"/>
      <c r="AM489" s="233"/>
      <c r="AN489" s="233"/>
      <c r="AO489" s="233"/>
      <c r="AP489" s="234" t="s">
        <v>2980</v>
      </c>
      <c r="AQ489" s="234" t="s">
        <v>333</v>
      </c>
    </row>
    <row r="490" spans="1:43">
      <c r="A490" s="12">
        <v>487</v>
      </c>
      <c r="B490" s="21" t="s">
        <v>5916</v>
      </c>
      <c r="C490" s="5" t="s">
        <v>3036</v>
      </c>
      <c r="D490" s="5" t="s">
        <v>5917</v>
      </c>
      <c r="E490" s="5" t="s">
        <v>5918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11" t="s">
        <v>46</v>
      </c>
      <c r="Q490" s="5">
        <v>232.76689999999999</v>
      </c>
      <c r="R490" s="5">
        <f t="shared" si="7"/>
        <v>232.76689999999999</v>
      </c>
      <c r="S490" s="5" t="s">
        <v>344</v>
      </c>
      <c r="T490" s="12">
        <v>487</v>
      </c>
      <c r="U490" s="256" t="s">
        <v>3039</v>
      </c>
      <c r="V490" s="232" t="s">
        <v>3036</v>
      </c>
      <c r="W490" s="232">
        <v>8492.5</v>
      </c>
      <c r="X490" s="232">
        <v>-10162.9</v>
      </c>
      <c r="Y490" s="233" t="s">
        <v>49</v>
      </c>
      <c r="Z490" s="87" t="s">
        <v>50</v>
      </c>
      <c r="AA490" s="233" t="s">
        <v>51</v>
      </c>
      <c r="AB490" s="234"/>
      <c r="AC490" s="233">
        <v>1</v>
      </c>
      <c r="AD490" s="233" t="s">
        <v>226</v>
      </c>
      <c r="AE490" s="233"/>
      <c r="AF490" s="233"/>
      <c r="AG490" s="233" t="s">
        <v>3040</v>
      </c>
      <c r="AH490" s="233">
        <v>5</v>
      </c>
      <c r="AI490" s="233">
        <v>100</v>
      </c>
      <c r="AJ490" s="257" t="s">
        <v>2979</v>
      </c>
      <c r="AK490" s="233">
        <v>20</v>
      </c>
      <c r="AL490" s="233"/>
      <c r="AM490" s="233"/>
      <c r="AN490" s="233"/>
      <c r="AO490" s="233"/>
      <c r="AP490" s="234" t="s">
        <v>2980</v>
      </c>
      <c r="AQ490" s="234" t="s">
        <v>333</v>
      </c>
    </row>
    <row r="491" spans="1:43">
      <c r="A491" s="12">
        <v>488</v>
      </c>
      <c r="B491" s="21" t="s">
        <v>5919</v>
      </c>
      <c r="C491" s="5" t="s">
        <v>3042</v>
      </c>
      <c r="D491" s="5" t="s">
        <v>5920</v>
      </c>
      <c r="E491" s="5" t="s">
        <v>5921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11" t="s">
        <v>46</v>
      </c>
      <c r="Q491" s="5">
        <v>232.57830000000001</v>
      </c>
      <c r="R491" s="5">
        <f t="shared" si="7"/>
        <v>232.57830000000001</v>
      </c>
      <c r="S491" s="5" t="s">
        <v>395</v>
      </c>
      <c r="T491" s="12">
        <v>488</v>
      </c>
      <c r="U491" s="256" t="s">
        <v>3045</v>
      </c>
      <c r="V491" s="232" t="s">
        <v>3042</v>
      </c>
      <c r="W491" s="232">
        <v>11374.8</v>
      </c>
      <c r="X491" s="232">
        <v>-9478.2000000000007</v>
      </c>
      <c r="Y491" s="233" t="s">
        <v>49</v>
      </c>
      <c r="Z491" s="87" t="s">
        <v>50</v>
      </c>
      <c r="AA491" s="233" t="s">
        <v>51</v>
      </c>
      <c r="AB491" s="234"/>
      <c r="AC491" s="233">
        <v>1</v>
      </c>
      <c r="AD491" s="233" t="s">
        <v>226</v>
      </c>
      <c r="AE491" s="233"/>
      <c r="AF491" s="233"/>
      <c r="AG491" s="233" t="s">
        <v>3046</v>
      </c>
      <c r="AH491" s="233">
        <v>5</v>
      </c>
      <c r="AI491" s="233">
        <v>100</v>
      </c>
      <c r="AJ491" s="257" t="s">
        <v>2979</v>
      </c>
      <c r="AK491" s="233">
        <v>20</v>
      </c>
      <c r="AL491" s="233"/>
      <c r="AM491" s="233"/>
      <c r="AN491" s="233"/>
      <c r="AO491" s="233"/>
      <c r="AP491" s="234" t="s">
        <v>2980</v>
      </c>
      <c r="AQ491" s="234" t="s">
        <v>333</v>
      </c>
    </row>
    <row r="492" spans="1:43">
      <c r="A492" s="12">
        <v>489</v>
      </c>
      <c r="B492" s="21" t="s">
        <v>5922</v>
      </c>
      <c r="C492" s="5" t="s">
        <v>3048</v>
      </c>
      <c r="D492" s="5" t="s">
        <v>5923</v>
      </c>
      <c r="E492" s="5" t="s">
        <v>5924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11" t="s">
        <v>46</v>
      </c>
      <c r="Q492" s="5">
        <v>232.57560000000001</v>
      </c>
      <c r="R492" s="5">
        <f t="shared" si="7"/>
        <v>232.57560000000001</v>
      </c>
      <c r="S492" s="5" t="s">
        <v>395</v>
      </c>
      <c r="T492" s="12">
        <v>489</v>
      </c>
      <c r="U492" s="256" t="s">
        <v>3051</v>
      </c>
      <c r="V492" s="232" t="s">
        <v>3048</v>
      </c>
      <c r="W492" s="232">
        <v>9480.6</v>
      </c>
      <c r="X492" s="232">
        <v>-9908.9</v>
      </c>
      <c r="Y492" s="233" t="s">
        <v>49</v>
      </c>
      <c r="Z492" s="87" t="s">
        <v>50</v>
      </c>
      <c r="AA492" s="233" t="s">
        <v>51</v>
      </c>
      <c r="AB492" s="234"/>
      <c r="AC492" s="233">
        <v>1</v>
      </c>
      <c r="AD492" s="233" t="s">
        <v>226</v>
      </c>
      <c r="AE492" s="233"/>
      <c r="AF492" s="233"/>
      <c r="AG492" s="233" t="s">
        <v>3052</v>
      </c>
      <c r="AH492" s="233">
        <v>5</v>
      </c>
      <c r="AI492" s="233">
        <v>100</v>
      </c>
      <c r="AJ492" s="257" t="s">
        <v>2979</v>
      </c>
      <c r="AK492" s="233">
        <v>20</v>
      </c>
      <c r="AL492" s="233"/>
      <c r="AM492" s="233"/>
      <c r="AN492" s="233"/>
      <c r="AO492" s="233"/>
      <c r="AP492" s="234" t="s">
        <v>2980</v>
      </c>
      <c r="AQ492" s="234" t="s">
        <v>333</v>
      </c>
    </row>
    <row r="493" spans="1:43">
      <c r="A493" s="12">
        <v>490</v>
      </c>
      <c r="B493" s="21" t="s">
        <v>5925</v>
      </c>
      <c r="C493" s="5" t="s">
        <v>3054</v>
      </c>
      <c r="D493" s="5" t="s">
        <v>5926</v>
      </c>
      <c r="E493" s="5" t="s">
        <v>5927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11" t="s">
        <v>46</v>
      </c>
      <c r="Q493" s="5">
        <v>232.69890000000001</v>
      </c>
      <c r="R493" s="5">
        <f t="shared" si="7"/>
        <v>232.69890000000001</v>
      </c>
      <c r="S493" s="5" t="s">
        <v>706</v>
      </c>
      <c r="T493" s="12">
        <v>490</v>
      </c>
      <c r="U493" s="256" t="s">
        <v>3057</v>
      </c>
      <c r="V493" s="232" t="s">
        <v>3054</v>
      </c>
      <c r="W493" s="232">
        <v>6454.6</v>
      </c>
      <c r="X493" s="232">
        <v>-8048.1</v>
      </c>
      <c r="Y493" s="233" t="s">
        <v>49</v>
      </c>
      <c r="Z493" s="87" t="s">
        <v>50</v>
      </c>
      <c r="AA493" s="233" t="s">
        <v>51</v>
      </c>
      <c r="AB493" s="234"/>
      <c r="AC493" s="233">
        <v>1</v>
      </c>
      <c r="AD493" s="233" t="s">
        <v>226</v>
      </c>
      <c r="AE493" s="233"/>
      <c r="AF493" s="233"/>
      <c r="AG493" s="233" t="s">
        <v>3058</v>
      </c>
      <c r="AH493" s="233">
        <v>5</v>
      </c>
      <c r="AI493" s="233">
        <v>100</v>
      </c>
      <c r="AJ493" s="257" t="s">
        <v>2979</v>
      </c>
      <c r="AK493" s="233">
        <v>20</v>
      </c>
      <c r="AL493" s="233"/>
      <c r="AM493" s="233"/>
      <c r="AN493" s="233"/>
      <c r="AO493" s="233"/>
      <c r="AP493" s="234" t="s">
        <v>2980</v>
      </c>
      <c r="AQ493" s="234" t="s">
        <v>333</v>
      </c>
    </row>
    <row r="494" spans="1:43">
      <c r="A494" s="12">
        <v>24</v>
      </c>
      <c r="B494" s="21" t="s">
        <v>5928</v>
      </c>
      <c r="C494" s="5" t="s">
        <v>182</v>
      </c>
      <c r="D494" s="5" t="s">
        <v>5929</v>
      </c>
      <c r="E494" s="5" t="s">
        <v>5930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11" t="s">
        <v>46</v>
      </c>
      <c r="Q494" s="5">
        <v>222.85149999999999</v>
      </c>
      <c r="R494" s="5">
        <f t="shared" si="7"/>
        <v>222.85149999999999</v>
      </c>
      <c r="S494" s="5" t="s">
        <v>74</v>
      </c>
      <c r="T494" s="12">
        <v>24</v>
      </c>
      <c r="U494" s="231" t="s">
        <v>185</v>
      </c>
      <c r="V494" s="232" t="s">
        <v>182</v>
      </c>
      <c r="W494" s="232">
        <v>6265.2</v>
      </c>
      <c r="X494" s="232">
        <v>-10665.3</v>
      </c>
      <c r="Y494" s="233" t="s">
        <v>49</v>
      </c>
      <c r="Z494" s="87" t="s">
        <v>50</v>
      </c>
      <c r="AA494" s="233" t="s">
        <v>51</v>
      </c>
      <c r="AB494" s="234"/>
      <c r="AC494" s="233">
        <v>1</v>
      </c>
      <c r="AD494" s="233" t="s">
        <v>226</v>
      </c>
      <c r="AE494" s="233"/>
      <c r="AF494" s="233"/>
      <c r="AG494" s="233" t="s">
        <v>2978</v>
      </c>
      <c r="AH494" s="233">
        <v>5</v>
      </c>
      <c r="AI494" s="233">
        <v>100</v>
      </c>
      <c r="AJ494" s="257" t="s">
        <v>2979</v>
      </c>
      <c r="AK494" s="233">
        <v>20</v>
      </c>
      <c r="AL494" s="233"/>
      <c r="AM494" s="233"/>
      <c r="AN494" s="233"/>
      <c r="AO494" s="233"/>
      <c r="AP494" s="234" t="s">
        <v>2980</v>
      </c>
      <c r="AQ494" s="234" t="s">
        <v>333</v>
      </c>
    </row>
    <row r="495" spans="1:43">
      <c r="A495" s="12">
        <v>492</v>
      </c>
      <c r="B495" s="21" t="s">
        <v>5931</v>
      </c>
      <c r="C495" s="5" t="s">
        <v>2298</v>
      </c>
      <c r="D495" s="5" t="s">
        <v>5932</v>
      </c>
      <c r="E495" s="5" t="s">
        <v>5933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11" t="s">
        <v>46</v>
      </c>
      <c r="Q495" s="5">
        <v>232.75739999999999</v>
      </c>
      <c r="R495" s="5">
        <f t="shared" si="7"/>
        <v>232.75739999999999</v>
      </c>
      <c r="S495" s="5" t="s">
        <v>732</v>
      </c>
      <c r="T495" s="12">
        <v>492</v>
      </c>
      <c r="U495" s="256" t="s">
        <v>3067</v>
      </c>
      <c r="V495" s="232" t="s">
        <v>2298</v>
      </c>
      <c r="W495" s="232">
        <v>6950.9</v>
      </c>
      <c r="X495" s="232">
        <v>-6558.1</v>
      </c>
      <c r="Y495" s="233" t="s">
        <v>49</v>
      </c>
      <c r="Z495" s="87" t="s">
        <v>50</v>
      </c>
      <c r="AA495" s="233" t="s">
        <v>51</v>
      </c>
      <c r="AB495" s="234"/>
      <c r="AC495" s="233">
        <v>1</v>
      </c>
      <c r="AD495" s="233" t="s">
        <v>226</v>
      </c>
      <c r="AE495" s="233"/>
      <c r="AF495" s="233"/>
      <c r="AG495" s="233" t="s">
        <v>2986</v>
      </c>
      <c r="AH495" s="233">
        <v>5</v>
      </c>
      <c r="AI495" s="233">
        <v>100</v>
      </c>
      <c r="AJ495" s="257" t="s">
        <v>2979</v>
      </c>
      <c r="AK495" s="233">
        <v>20</v>
      </c>
      <c r="AL495" s="233"/>
      <c r="AM495" s="233"/>
      <c r="AN495" s="233"/>
      <c r="AO495" s="233"/>
      <c r="AP495" s="234" t="s">
        <v>2980</v>
      </c>
      <c r="AQ495" s="234" t="s">
        <v>333</v>
      </c>
    </row>
    <row r="496" spans="1:43">
      <c r="A496" s="12">
        <v>493</v>
      </c>
      <c r="B496" s="21" t="s">
        <v>5934</v>
      </c>
      <c r="C496" s="5" t="s">
        <v>3069</v>
      </c>
      <c r="D496" s="5" t="s">
        <v>5935</v>
      </c>
      <c r="E496" s="5" t="s">
        <v>5936</v>
      </c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11" t="s">
        <v>46</v>
      </c>
      <c r="Q496" s="5">
        <v>232.69040000000001</v>
      </c>
      <c r="R496" s="5">
        <f t="shared" si="7"/>
        <v>232.69040000000001</v>
      </c>
      <c r="S496" s="5" t="s">
        <v>732</v>
      </c>
      <c r="T496" s="12">
        <v>493</v>
      </c>
      <c r="U496" s="256" t="s">
        <v>3072</v>
      </c>
      <c r="V496" s="232" t="s">
        <v>3069</v>
      </c>
      <c r="W496" s="232">
        <v>8005.6</v>
      </c>
      <c r="X496" s="232">
        <v>-8695.7999999999993</v>
      </c>
      <c r="Y496" s="233" t="s">
        <v>49</v>
      </c>
      <c r="Z496" s="87" t="s">
        <v>50</v>
      </c>
      <c r="AA496" s="233" t="s">
        <v>51</v>
      </c>
      <c r="AB496" s="234"/>
      <c r="AC496" s="233">
        <v>1</v>
      </c>
      <c r="AD496" s="233" t="s">
        <v>226</v>
      </c>
      <c r="AE496" s="233"/>
      <c r="AF496" s="233"/>
      <c r="AG496" s="233" t="s">
        <v>2992</v>
      </c>
      <c r="AH496" s="233">
        <v>5</v>
      </c>
      <c r="AI496" s="233">
        <v>100</v>
      </c>
      <c r="AJ496" s="257" t="s">
        <v>2979</v>
      </c>
      <c r="AK496" s="233">
        <v>20</v>
      </c>
      <c r="AL496" s="233"/>
      <c r="AM496" s="233"/>
      <c r="AN496" s="233"/>
      <c r="AO496" s="233"/>
      <c r="AP496" s="234" t="s">
        <v>2980</v>
      </c>
      <c r="AQ496" s="234" t="s">
        <v>333</v>
      </c>
    </row>
    <row r="497" spans="1:43">
      <c r="A497" s="12">
        <v>494</v>
      </c>
      <c r="B497" s="21" t="s">
        <v>5937</v>
      </c>
      <c r="C497" s="5" t="s">
        <v>3074</v>
      </c>
      <c r="D497" s="5" t="s">
        <v>5938</v>
      </c>
      <c r="E497" s="5" t="s">
        <v>5939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11" t="s">
        <v>46</v>
      </c>
      <c r="Q497" s="5">
        <v>232.8681</v>
      </c>
      <c r="R497" s="5">
        <f t="shared" si="7"/>
        <v>232.8681</v>
      </c>
      <c r="S497" s="5" t="s">
        <v>395</v>
      </c>
      <c r="T497" s="12">
        <v>494</v>
      </c>
      <c r="U497" s="256" t="s">
        <v>3077</v>
      </c>
      <c r="V497" s="232" t="s">
        <v>3074</v>
      </c>
      <c r="W497" s="232">
        <v>8883.7999999999993</v>
      </c>
      <c r="X497" s="232">
        <v>-8165.2</v>
      </c>
      <c r="Y497" s="233" t="s">
        <v>49</v>
      </c>
      <c r="Z497" s="87" t="s">
        <v>50</v>
      </c>
      <c r="AA497" s="233" t="s">
        <v>51</v>
      </c>
      <c r="AB497" s="234"/>
      <c r="AC497" s="233">
        <v>1</v>
      </c>
      <c r="AD497" s="233" t="s">
        <v>226</v>
      </c>
      <c r="AE497" s="233"/>
      <c r="AF497" s="233"/>
      <c r="AG497" s="233" t="s">
        <v>2998</v>
      </c>
      <c r="AH497" s="233">
        <v>5</v>
      </c>
      <c r="AI497" s="233">
        <v>100</v>
      </c>
      <c r="AJ497" s="257" t="s">
        <v>2979</v>
      </c>
      <c r="AK497" s="233">
        <v>20</v>
      </c>
      <c r="AL497" s="233"/>
      <c r="AM497" s="233"/>
      <c r="AN497" s="233"/>
      <c r="AO497" s="233"/>
      <c r="AP497" s="234" t="s">
        <v>2980</v>
      </c>
      <c r="AQ497" s="234" t="s">
        <v>333</v>
      </c>
    </row>
    <row r="498" spans="1:43">
      <c r="A498" s="12">
        <v>495</v>
      </c>
      <c r="B498" s="21" t="s">
        <v>5940</v>
      </c>
      <c r="C498" s="5" t="s">
        <v>3079</v>
      </c>
      <c r="D498" s="5" t="s">
        <v>5941</v>
      </c>
      <c r="E498" s="5" t="s">
        <v>5942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11" t="s">
        <v>46</v>
      </c>
      <c r="Q498" s="5">
        <v>232.66050000000001</v>
      </c>
      <c r="R498" s="5">
        <f t="shared" si="7"/>
        <v>232.66050000000001</v>
      </c>
      <c r="S498" s="5" t="s">
        <v>732</v>
      </c>
      <c r="T498" s="12">
        <v>495</v>
      </c>
      <c r="U498" s="256" t="s">
        <v>3082</v>
      </c>
      <c r="V498" s="232" t="s">
        <v>3079</v>
      </c>
      <c r="W498" s="232">
        <v>8957.6</v>
      </c>
      <c r="X498" s="232">
        <v>-9967.7999999999993</v>
      </c>
      <c r="Y498" s="233" t="s">
        <v>49</v>
      </c>
      <c r="Z498" s="87" t="s">
        <v>50</v>
      </c>
      <c r="AA498" s="233" t="s">
        <v>51</v>
      </c>
      <c r="AB498" s="234"/>
      <c r="AC498" s="233">
        <v>1</v>
      </c>
      <c r="AD498" s="233" t="s">
        <v>226</v>
      </c>
      <c r="AE498" s="233"/>
      <c r="AF498" s="233"/>
      <c r="AG498" s="233" t="s">
        <v>3004</v>
      </c>
      <c r="AH498" s="233">
        <v>5</v>
      </c>
      <c r="AI498" s="233">
        <v>100</v>
      </c>
      <c r="AJ498" s="257" t="s">
        <v>2979</v>
      </c>
      <c r="AK498" s="233">
        <v>20</v>
      </c>
      <c r="AL498" s="233"/>
      <c r="AM498" s="233"/>
      <c r="AN498" s="233"/>
      <c r="AO498" s="233"/>
      <c r="AP498" s="234" t="s">
        <v>2980</v>
      </c>
      <c r="AQ498" s="234" t="s">
        <v>333</v>
      </c>
    </row>
    <row r="499" spans="1:43">
      <c r="A499" s="12">
        <v>496</v>
      </c>
      <c r="B499" s="21" t="s">
        <v>5943</v>
      </c>
      <c r="C499" s="5" t="s">
        <v>228</v>
      </c>
      <c r="D499" s="5" t="s">
        <v>5944</v>
      </c>
      <c r="E499" s="5" t="s">
        <v>5945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11" t="s">
        <v>46</v>
      </c>
      <c r="Q499" s="5">
        <v>232.64859999999999</v>
      </c>
      <c r="R499" s="5">
        <f t="shared" si="7"/>
        <v>232.64859999999999</v>
      </c>
      <c r="S499" s="5" t="s">
        <v>706</v>
      </c>
      <c r="T499" s="12">
        <v>496</v>
      </c>
      <c r="U499" s="256" t="s">
        <v>3086</v>
      </c>
      <c r="V499" s="232" t="s">
        <v>228</v>
      </c>
      <c r="W499" s="232">
        <v>8983.5</v>
      </c>
      <c r="X499" s="232">
        <v>-6110.3</v>
      </c>
      <c r="Y499" s="233" t="s">
        <v>49</v>
      </c>
      <c r="Z499" s="87" t="s">
        <v>50</v>
      </c>
      <c r="AA499" s="233" t="s">
        <v>51</v>
      </c>
      <c r="AB499" s="234"/>
      <c r="AC499" s="233">
        <v>1</v>
      </c>
      <c r="AD499" s="233" t="s">
        <v>226</v>
      </c>
      <c r="AE499" s="233"/>
      <c r="AF499" s="233"/>
      <c r="AG499" s="233" t="s">
        <v>3010</v>
      </c>
      <c r="AH499" s="233">
        <v>5</v>
      </c>
      <c r="AI499" s="233">
        <v>100</v>
      </c>
      <c r="AJ499" s="257" t="s">
        <v>2979</v>
      </c>
      <c r="AK499" s="233">
        <v>20</v>
      </c>
      <c r="AL499" s="233"/>
      <c r="AM499" s="233"/>
      <c r="AN499" s="233"/>
      <c r="AO499" s="233"/>
      <c r="AP499" s="234" t="s">
        <v>2980</v>
      </c>
      <c r="AQ499" s="234" t="s">
        <v>333</v>
      </c>
    </row>
    <row r="500" spans="1:43">
      <c r="A500" s="12">
        <v>497</v>
      </c>
      <c r="B500" s="21" t="s">
        <v>5946</v>
      </c>
      <c r="C500" s="5" t="s">
        <v>3088</v>
      </c>
      <c r="D500" s="5" t="s">
        <v>5947</v>
      </c>
      <c r="E500" s="5" t="s">
        <v>5948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11" t="s">
        <v>46</v>
      </c>
      <c r="Q500" s="5">
        <v>232.6422</v>
      </c>
      <c r="R500" s="5">
        <f t="shared" si="7"/>
        <v>232.6422</v>
      </c>
      <c r="S500" s="5" t="s">
        <v>344</v>
      </c>
      <c r="T500" s="12">
        <v>497</v>
      </c>
      <c r="U500" s="256" t="s">
        <v>3091</v>
      </c>
      <c r="V500" s="232" t="s">
        <v>3088</v>
      </c>
      <c r="W500" s="232">
        <v>6760.5</v>
      </c>
      <c r="X500" s="232">
        <v>-9967.7999999999993</v>
      </c>
      <c r="Y500" s="233" t="s">
        <v>49</v>
      </c>
      <c r="Z500" s="87" t="s">
        <v>50</v>
      </c>
      <c r="AA500" s="233" t="s">
        <v>51</v>
      </c>
      <c r="AB500" s="234"/>
      <c r="AC500" s="233">
        <v>1</v>
      </c>
      <c r="AD500" s="233" t="s">
        <v>226</v>
      </c>
      <c r="AE500" s="233"/>
      <c r="AF500" s="233"/>
      <c r="AG500" s="233" t="s">
        <v>3016</v>
      </c>
      <c r="AH500" s="233">
        <v>5</v>
      </c>
      <c r="AI500" s="233">
        <v>100</v>
      </c>
      <c r="AJ500" s="257" t="s">
        <v>2979</v>
      </c>
      <c r="AK500" s="233">
        <v>20</v>
      </c>
      <c r="AL500" s="233"/>
      <c r="AM500" s="233"/>
      <c r="AN500" s="233"/>
      <c r="AO500" s="233"/>
      <c r="AP500" s="234" t="s">
        <v>2980</v>
      </c>
      <c r="AQ500" s="234" t="s">
        <v>333</v>
      </c>
    </row>
    <row r="501" spans="1:43">
      <c r="A501" s="12">
        <v>13</v>
      </c>
      <c r="B501" s="21" t="s">
        <v>5949</v>
      </c>
      <c r="C501" s="5" t="s">
        <v>126</v>
      </c>
      <c r="D501" s="5" t="s">
        <v>5950</v>
      </c>
      <c r="E501" s="5" t="s">
        <v>5951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11" t="s">
        <v>46</v>
      </c>
      <c r="Q501" s="5">
        <v>222.80279999999999</v>
      </c>
      <c r="R501" s="5">
        <f t="shared" si="7"/>
        <v>222.80279999999999</v>
      </c>
      <c r="S501" s="5" t="s">
        <v>60</v>
      </c>
      <c r="T501" s="12">
        <v>13</v>
      </c>
      <c r="U501" s="231" t="s">
        <v>129</v>
      </c>
      <c r="V501" s="232" t="s">
        <v>126</v>
      </c>
      <c r="W501" s="232">
        <v>7123.4</v>
      </c>
      <c r="X501" s="232">
        <v>-10452.4</v>
      </c>
      <c r="Y501" s="233" t="s">
        <v>49</v>
      </c>
      <c r="Z501" s="87" t="s">
        <v>50</v>
      </c>
      <c r="AA501" s="233" t="s">
        <v>51</v>
      </c>
      <c r="AB501" s="234"/>
      <c r="AC501" s="233">
        <v>1</v>
      </c>
      <c r="AD501" s="233" t="s">
        <v>226</v>
      </c>
      <c r="AE501" s="233"/>
      <c r="AF501" s="233"/>
      <c r="AG501" s="233" t="s">
        <v>3022</v>
      </c>
      <c r="AH501" s="233">
        <v>5</v>
      </c>
      <c r="AI501" s="233">
        <v>100</v>
      </c>
      <c r="AJ501" s="257" t="s">
        <v>2979</v>
      </c>
      <c r="AK501" s="233">
        <v>20</v>
      </c>
      <c r="AL501" s="233"/>
      <c r="AM501" s="233"/>
      <c r="AN501" s="233"/>
      <c r="AO501" s="233"/>
      <c r="AP501" s="234" t="s">
        <v>2980</v>
      </c>
      <c r="AQ501" s="234" t="s">
        <v>333</v>
      </c>
    </row>
    <row r="502" spans="1:43">
      <c r="A502" s="12">
        <v>499</v>
      </c>
      <c r="B502" s="21" t="s">
        <v>5952</v>
      </c>
      <c r="C502" s="5" t="s">
        <v>3098</v>
      </c>
      <c r="D502" s="5" t="s">
        <v>5953</v>
      </c>
      <c r="E502" s="5" t="s">
        <v>5954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11" t="s">
        <v>46</v>
      </c>
      <c r="Q502" s="5">
        <v>232.74250000000001</v>
      </c>
      <c r="R502" s="5">
        <f t="shared" si="7"/>
        <v>232.74250000000001</v>
      </c>
      <c r="S502" s="5" t="s">
        <v>395</v>
      </c>
      <c r="T502" s="12">
        <v>499</v>
      </c>
      <c r="U502" s="256" t="s">
        <v>3101</v>
      </c>
      <c r="V502" s="232" t="s">
        <v>3098</v>
      </c>
      <c r="W502" s="232">
        <v>7784.1</v>
      </c>
      <c r="X502" s="232">
        <v>-10035.6</v>
      </c>
      <c r="Y502" s="233" t="s">
        <v>49</v>
      </c>
      <c r="Z502" s="87" t="s">
        <v>50</v>
      </c>
      <c r="AA502" s="233" t="s">
        <v>51</v>
      </c>
      <c r="AB502" s="234"/>
      <c r="AC502" s="233">
        <v>1</v>
      </c>
      <c r="AD502" s="233" t="s">
        <v>226</v>
      </c>
      <c r="AE502" s="233"/>
      <c r="AF502" s="233"/>
      <c r="AG502" s="233" t="s">
        <v>3028</v>
      </c>
      <c r="AH502" s="233">
        <v>5</v>
      </c>
      <c r="AI502" s="233">
        <v>100</v>
      </c>
      <c r="AJ502" s="257" t="s">
        <v>2979</v>
      </c>
      <c r="AK502" s="233">
        <v>20</v>
      </c>
      <c r="AL502" s="233"/>
      <c r="AM502" s="233"/>
      <c r="AN502" s="233"/>
      <c r="AO502" s="233"/>
      <c r="AP502" s="234" t="s">
        <v>2980</v>
      </c>
      <c r="AQ502" s="234" t="s">
        <v>333</v>
      </c>
    </row>
    <row r="503" spans="1:43">
      <c r="A503" s="12">
        <v>500</v>
      </c>
      <c r="B503" s="21" t="s">
        <v>5955</v>
      </c>
      <c r="C503" s="5" t="s">
        <v>3103</v>
      </c>
      <c r="D503" s="5" t="s">
        <v>5956</v>
      </c>
      <c r="E503" s="5" t="s">
        <v>5957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11" t="s">
        <v>46</v>
      </c>
      <c r="Q503" s="5">
        <v>232.9015</v>
      </c>
      <c r="R503" s="5">
        <f t="shared" si="7"/>
        <v>232.9015</v>
      </c>
      <c r="S503" s="5" t="s">
        <v>344</v>
      </c>
      <c r="T503" s="12">
        <v>500</v>
      </c>
      <c r="U503" s="256" t="s">
        <v>3106</v>
      </c>
      <c r="V503" s="232" t="s">
        <v>3103</v>
      </c>
      <c r="W503" s="232">
        <v>8192.7999999999993</v>
      </c>
      <c r="X503" s="232">
        <v>-9205.2999999999993</v>
      </c>
      <c r="Y503" s="233" t="s">
        <v>49</v>
      </c>
      <c r="Z503" s="87" t="s">
        <v>50</v>
      </c>
      <c r="AA503" s="233" t="s">
        <v>51</v>
      </c>
      <c r="AB503" s="234"/>
      <c r="AC503" s="233">
        <v>1</v>
      </c>
      <c r="AD503" s="233" t="s">
        <v>226</v>
      </c>
      <c r="AE503" s="233"/>
      <c r="AF503" s="233"/>
      <c r="AG503" s="233" t="s">
        <v>3034</v>
      </c>
      <c r="AH503" s="233">
        <v>5</v>
      </c>
      <c r="AI503" s="233">
        <v>100</v>
      </c>
      <c r="AJ503" s="257" t="s">
        <v>2979</v>
      </c>
      <c r="AK503" s="233">
        <v>20</v>
      </c>
      <c r="AL503" s="233"/>
      <c r="AM503" s="233"/>
      <c r="AN503" s="233"/>
      <c r="AO503" s="233"/>
      <c r="AP503" s="234" t="s">
        <v>2980</v>
      </c>
      <c r="AQ503" s="234" t="s">
        <v>333</v>
      </c>
    </row>
    <row r="504" spans="1:43">
      <c r="A504" s="12">
        <v>8</v>
      </c>
      <c r="B504" s="21" t="s">
        <v>5958</v>
      </c>
      <c r="C504" s="5" t="s">
        <v>96</v>
      </c>
      <c r="D504" s="5" t="s">
        <v>5959</v>
      </c>
      <c r="E504" s="5" t="s">
        <v>5960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11" t="s">
        <v>46</v>
      </c>
      <c r="Q504" s="5">
        <v>222.79060000000001</v>
      </c>
      <c r="R504" s="5">
        <f t="shared" si="7"/>
        <v>222.79060000000001</v>
      </c>
      <c r="S504" s="5" t="s">
        <v>67</v>
      </c>
      <c r="T504" s="12">
        <v>8</v>
      </c>
      <c r="U504" s="231" t="s">
        <v>99</v>
      </c>
      <c r="V504" s="232" t="s">
        <v>96</v>
      </c>
      <c r="W504" s="232">
        <v>8462.2999999999993</v>
      </c>
      <c r="X504" s="232">
        <v>-10665.3</v>
      </c>
      <c r="Y504" s="233" t="s">
        <v>49</v>
      </c>
      <c r="Z504" s="87" t="s">
        <v>50</v>
      </c>
      <c r="AA504" s="233" t="s">
        <v>51</v>
      </c>
      <c r="AB504" s="234"/>
      <c r="AC504" s="233">
        <v>1</v>
      </c>
      <c r="AD504" s="233" t="s">
        <v>226</v>
      </c>
      <c r="AE504" s="233"/>
      <c r="AF504" s="233"/>
      <c r="AG504" s="233" t="s">
        <v>3040</v>
      </c>
      <c r="AH504" s="233">
        <v>5</v>
      </c>
      <c r="AI504" s="233">
        <v>100</v>
      </c>
      <c r="AJ504" s="257" t="s">
        <v>2979</v>
      </c>
      <c r="AK504" s="233">
        <v>20</v>
      </c>
      <c r="AL504" s="233"/>
      <c r="AM504" s="233"/>
      <c r="AN504" s="233"/>
      <c r="AO504" s="233"/>
      <c r="AP504" s="234" t="s">
        <v>2980</v>
      </c>
      <c r="AQ504" s="234" t="s">
        <v>333</v>
      </c>
    </row>
    <row r="505" spans="1:43">
      <c r="A505" s="12">
        <v>502</v>
      </c>
      <c r="B505" s="21" t="s">
        <v>5961</v>
      </c>
      <c r="C505" s="5" t="s">
        <v>3113</v>
      </c>
      <c r="D505" s="5" t="s">
        <v>5962</v>
      </c>
      <c r="E505" s="5" t="s">
        <v>5963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11" t="s">
        <v>46</v>
      </c>
      <c r="Q505" s="5">
        <v>232.57980000000001</v>
      </c>
      <c r="R505" s="5">
        <f t="shared" si="7"/>
        <v>232.57980000000001</v>
      </c>
      <c r="S505" s="5" t="s">
        <v>395</v>
      </c>
      <c r="T505" s="12">
        <v>502</v>
      </c>
      <c r="U505" s="256" t="s">
        <v>3116</v>
      </c>
      <c r="V505" s="232" t="s">
        <v>3113</v>
      </c>
      <c r="W505" s="232">
        <v>11787</v>
      </c>
      <c r="X505" s="232">
        <v>-9771.9</v>
      </c>
      <c r="Y505" s="233" t="s">
        <v>49</v>
      </c>
      <c r="Z505" s="87" t="s">
        <v>50</v>
      </c>
      <c r="AA505" s="233" t="s">
        <v>51</v>
      </c>
      <c r="AB505" s="234"/>
      <c r="AC505" s="233">
        <v>1</v>
      </c>
      <c r="AD505" s="233" t="s">
        <v>226</v>
      </c>
      <c r="AE505" s="233"/>
      <c r="AF505" s="233"/>
      <c r="AG505" s="233" t="s">
        <v>3046</v>
      </c>
      <c r="AH505" s="233">
        <v>5</v>
      </c>
      <c r="AI505" s="233">
        <v>100</v>
      </c>
      <c r="AJ505" s="257" t="s">
        <v>2979</v>
      </c>
      <c r="AK505" s="233">
        <v>20</v>
      </c>
      <c r="AL505" s="233"/>
      <c r="AM505" s="233"/>
      <c r="AN505" s="233"/>
      <c r="AO505" s="233"/>
      <c r="AP505" s="234" t="s">
        <v>2980</v>
      </c>
      <c r="AQ505" s="234" t="s">
        <v>333</v>
      </c>
    </row>
    <row r="506" spans="1:43">
      <c r="A506" s="12">
        <v>4</v>
      </c>
      <c r="B506" s="21" t="s">
        <v>5964</v>
      </c>
      <c r="C506" s="5" t="s">
        <v>71</v>
      </c>
      <c r="D506" s="5" t="s">
        <v>5965</v>
      </c>
      <c r="E506" s="5" t="s">
        <v>5966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11" t="s">
        <v>46</v>
      </c>
      <c r="Q506" s="5">
        <v>222.80930000000001</v>
      </c>
      <c r="R506" s="5">
        <f t="shared" si="7"/>
        <v>222.80930000000001</v>
      </c>
      <c r="S506" s="5" t="s">
        <v>74</v>
      </c>
      <c r="T506" s="12">
        <v>4</v>
      </c>
      <c r="U506" s="231" t="s">
        <v>75</v>
      </c>
      <c r="V506" s="232" t="s">
        <v>71</v>
      </c>
      <c r="W506" s="232">
        <v>9320.5</v>
      </c>
      <c r="X506" s="232">
        <v>-10452.4</v>
      </c>
      <c r="Y506" s="233" t="s">
        <v>49</v>
      </c>
      <c r="Z506" s="87" t="s">
        <v>50</v>
      </c>
      <c r="AA506" s="233" t="s">
        <v>51</v>
      </c>
      <c r="AB506" s="234"/>
      <c r="AC506" s="233">
        <v>1</v>
      </c>
      <c r="AD506" s="233" t="s">
        <v>226</v>
      </c>
      <c r="AE506" s="233"/>
      <c r="AF506" s="233"/>
      <c r="AG506" s="233" t="s">
        <v>3052</v>
      </c>
      <c r="AH506" s="233">
        <v>5</v>
      </c>
      <c r="AI506" s="233">
        <v>100</v>
      </c>
      <c r="AJ506" s="257" t="s">
        <v>2979</v>
      </c>
      <c r="AK506" s="233">
        <v>20</v>
      </c>
      <c r="AL506" s="233"/>
      <c r="AM506" s="233"/>
      <c r="AN506" s="233"/>
      <c r="AO506" s="233"/>
      <c r="AP506" s="234" t="s">
        <v>2980</v>
      </c>
      <c r="AQ506" s="234" t="s">
        <v>333</v>
      </c>
    </row>
    <row r="507" spans="1:43">
      <c r="A507" s="12">
        <v>504</v>
      </c>
      <c r="B507" s="21" t="s">
        <v>5967</v>
      </c>
      <c r="C507" s="5" t="s">
        <v>3123</v>
      </c>
      <c r="D507" s="5" t="s">
        <v>5968</v>
      </c>
      <c r="E507" s="5" t="s">
        <v>5969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11" t="s">
        <v>46</v>
      </c>
      <c r="Q507" s="5">
        <v>232.6978</v>
      </c>
      <c r="R507" s="5">
        <f t="shared" si="7"/>
        <v>232.6978</v>
      </c>
      <c r="S507" s="5" t="s">
        <v>706</v>
      </c>
      <c r="T507" s="12">
        <v>504</v>
      </c>
      <c r="U507" s="256" t="s">
        <v>3126</v>
      </c>
      <c r="V507" s="232" t="s">
        <v>3123</v>
      </c>
      <c r="W507" s="232">
        <v>6821</v>
      </c>
      <c r="X507" s="232">
        <v>-8695.7999999999993</v>
      </c>
      <c r="Y507" s="233" t="s">
        <v>49</v>
      </c>
      <c r="Z507" s="87" t="s">
        <v>50</v>
      </c>
      <c r="AA507" s="233" t="s">
        <v>51</v>
      </c>
      <c r="AB507" s="234"/>
      <c r="AC507" s="233">
        <v>1</v>
      </c>
      <c r="AD507" s="233" t="s">
        <v>226</v>
      </c>
      <c r="AE507" s="233"/>
      <c r="AF507" s="233"/>
      <c r="AG507" s="233" t="s">
        <v>3058</v>
      </c>
      <c r="AH507" s="233">
        <v>5</v>
      </c>
      <c r="AI507" s="233">
        <v>100</v>
      </c>
      <c r="AJ507" s="257" t="s">
        <v>2979</v>
      </c>
      <c r="AK507" s="233">
        <v>20</v>
      </c>
      <c r="AL507" s="233"/>
      <c r="AM507" s="233"/>
      <c r="AN507" s="233"/>
      <c r="AO507" s="233"/>
      <c r="AP507" s="234" t="s">
        <v>2980</v>
      </c>
      <c r="AQ507" s="234" t="s">
        <v>333</v>
      </c>
    </row>
    <row r="508" spans="1:43">
      <c r="A508" s="12">
        <v>505</v>
      </c>
      <c r="B508" s="21" t="s">
        <v>5970</v>
      </c>
      <c r="C508" s="5" t="s">
        <v>3128</v>
      </c>
      <c r="D508" s="5" t="s">
        <v>605</v>
      </c>
      <c r="E508" s="5" t="s">
        <v>605</v>
      </c>
      <c r="F508" s="5" t="s">
        <v>5971</v>
      </c>
      <c r="G508" s="5"/>
      <c r="H508" s="5"/>
      <c r="I508" s="5"/>
      <c r="J508" s="5"/>
      <c r="K508" s="5"/>
      <c r="L508" s="5"/>
      <c r="M508" s="5"/>
      <c r="N508" s="5"/>
      <c r="O508" s="5"/>
      <c r="P508" s="11" t="s">
        <v>46</v>
      </c>
      <c r="Q508" s="5">
        <v>3.8258999999999999</v>
      </c>
      <c r="R508" s="5">
        <f t="shared" si="7"/>
        <v>3.8258999999999999</v>
      </c>
      <c r="S508" s="5" t="s">
        <v>74</v>
      </c>
      <c r="T508" s="12">
        <v>505</v>
      </c>
      <c r="U508" s="253" t="s">
        <v>3130</v>
      </c>
      <c r="V508" s="232" t="s">
        <v>3128</v>
      </c>
      <c r="W508" s="232">
        <v>-1614.7</v>
      </c>
      <c r="X508" s="232">
        <v>-11190</v>
      </c>
      <c r="Y508" s="233" t="s">
        <v>49</v>
      </c>
      <c r="Z508" s="87" t="s">
        <v>50</v>
      </c>
      <c r="AA508" s="233"/>
      <c r="AB508" s="234"/>
      <c r="AC508" s="233"/>
      <c r="AD508" s="234"/>
      <c r="AE508" s="234"/>
      <c r="AF508" s="234"/>
      <c r="AG508" s="234"/>
      <c r="AH508" s="233"/>
      <c r="AI508" s="233"/>
      <c r="AJ508" s="233"/>
      <c r="AK508" s="233"/>
      <c r="AL508" s="233"/>
      <c r="AM508" s="233"/>
      <c r="AN508" s="233"/>
      <c r="AO508" s="233"/>
      <c r="AP508" s="234"/>
      <c r="AQ508" s="234" t="s">
        <v>608</v>
      </c>
    </row>
    <row r="509" spans="1:43">
      <c r="A509" s="12">
        <v>506</v>
      </c>
      <c r="B509" s="21" t="s">
        <v>5972</v>
      </c>
      <c r="C509" s="5" t="s">
        <v>3132</v>
      </c>
      <c r="D509" s="5" t="s">
        <v>5973</v>
      </c>
      <c r="E509" s="5" t="s">
        <v>5974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11" t="s">
        <v>46</v>
      </c>
      <c r="Q509" s="5">
        <v>312.30869999999999</v>
      </c>
      <c r="R509" s="5">
        <f t="shared" si="7"/>
        <v>312.30869999999999</v>
      </c>
      <c r="S509" s="5" t="s">
        <v>60</v>
      </c>
      <c r="T509" s="12">
        <v>506</v>
      </c>
      <c r="U509" s="253" t="s">
        <v>3135</v>
      </c>
      <c r="V509" s="232" t="s">
        <v>3132</v>
      </c>
      <c r="W509" s="232">
        <v>3275.1</v>
      </c>
      <c r="X509" s="232">
        <v>-4862.6000000000004</v>
      </c>
      <c r="Y509" s="233" t="s">
        <v>49</v>
      </c>
      <c r="Z509" s="87" t="s">
        <v>50</v>
      </c>
      <c r="AA509" s="233" t="s">
        <v>51</v>
      </c>
      <c r="AB509" s="234"/>
      <c r="AC509" s="233">
        <v>1</v>
      </c>
      <c r="AD509" s="233" t="s">
        <v>226</v>
      </c>
      <c r="AE509" s="233"/>
      <c r="AF509" s="233"/>
      <c r="AG509" s="233" t="s">
        <v>3136</v>
      </c>
      <c r="AH509" s="233">
        <v>5</v>
      </c>
      <c r="AI509" s="233">
        <v>100</v>
      </c>
      <c r="AJ509" s="233" t="s">
        <v>432</v>
      </c>
      <c r="AK509" s="233">
        <v>100</v>
      </c>
      <c r="AL509" s="233"/>
      <c r="AM509" s="233"/>
      <c r="AN509" s="233"/>
      <c r="AO509" s="233"/>
      <c r="AP509" s="234"/>
      <c r="AQ509" s="234" t="s">
        <v>333</v>
      </c>
    </row>
    <row r="510" spans="1:43">
      <c r="A510" s="12">
        <v>507</v>
      </c>
      <c r="B510" s="21" t="s">
        <v>5975</v>
      </c>
      <c r="C510" s="5" t="s">
        <v>3138</v>
      </c>
      <c r="D510" s="5" t="s">
        <v>5976</v>
      </c>
      <c r="E510" s="5" t="s">
        <v>5977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11" t="s">
        <v>46</v>
      </c>
      <c r="Q510" s="5">
        <v>312.31900000000002</v>
      </c>
      <c r="R510" s="5">
        <f t="shared" si="7"/>
        <v>312.31900000000002</v>
      </c>
      <c r="S510" s="5" t="s">
        <v>60</v>
      </c>
      <c r="T510" s="12">
        <v>507</v>
      </c>
      <c r="U510" s="253" t="s">
        <v>3141</v>
      </c>
      <c r="V510" s="232" t="s">
        <v>3138</v>
      </c>
      <c r="W510" s="232">
        <v>3275.1</v>
      </c>
      <c r="X510" s="232">
        <v>-4151.3999999999996</v>
      </c>
      <c r="Y510" s="233" t="s">
        <v>49</v>
      </c>
      <c r="Z510" s="87" t="s">
        <v>50</v>
      </c>
      <c r="AA510" s="233" t="s">
        <v>51</v>
      </c>
      <c r="AB510" s="234"/>
      <c r="AC510" s="233">
        <v>1</v>
      </c>
      <c r="AD510" s="233" t="s">
        <v>226</v>
      </c>
      <c r="AE510" s="233"/>
      <c r="AF510" s="233"/>
      <c r="AG510" s="233" t="s">
        <v>3136</v>
      </c>
      <c r="AH510" s="233">
        <v>5</v>
      </c>
      <c r="AI510" s="233">
        <v>100</v>
      </c>
      <c r="AJ510" s="233" t="s">
        <v>432</v>
      </c>
      <c r="AK510" s="233">
        <v>100</v>
      </c>
      <c r="AL510" s="233"/>
      <c r="AM510" s="233"/>
      <c r="AN510" s="233"/>
      <c r="AO510" s="233"/>
      <c r="AP510" s="234"/>
      <c r="AQ510" s="234" t="s">
        <v>333</v>
      </c>
    </row>
    <row r="511" spans="1:43">
      <c r="A511" s="12">
        <v>508</v>
      </c>
      <c r="B511" s="21" t="s">
        <v>5978</v>
      </c>
      <c r="C511" s="5" t="s">
        <v>3143</v>
      </c>
      <c r="D511" s="5" t="s">
        <v>5979</v>
      </c>
      <c r="E511" s="5" t="s">
        <v>5980</v>
      </c>
      <c r="F511" s="5" t="s">
        <v>5981</v>
      </c>
      <c r="G511" s="5" t="s">
        <v>5982</v>
      </c>
      <c r="H511" s="11" t="s">
        <v>5983</v>
      </c>
      <c r="I511" s="5"/>
      <c r="J511" s="5"/>
      <c r="K511" s="5"/>
      <c r="L511" s="5"/>
      <c r="M511" s="5"/>
      <c r="N511" s="5"/>
      <c r="O511" s="5"/>
      <c r="P511" s="11">
        <v>258.03989999999999</v>
      </c>
      <c r="Q511" s="5">
        <v>54.685600000000001</v>
      </c>
      <c r="R511" s="5">
        <f t="shared" si="7"/>
        <v>312.72550000000001</v>
      </c>
      <c r="S511" s="5" t="s">
        <v>2462</v>
      </c>
      <c r="T511" s="12">
        <v>508</v>
      </c>
      <c r="U511" s="258" t="s">
        <v>3149</v>
      </c>
      <c r="V511" s="232" t="s">
        <v>3143</v>
      </c>
      <c r="W511" s="232">
        <v>6004.1</v>
      </c>
      <c r="X511" s="232">
        <v>-6285</v>
      </c>
      <c r="Y511" s="233" t="s">
        <v>49</v>
      </c>
      <c r="Z511" s="87" t="s">
        <v>50</v>
      </c>
      <c r="AA511" s="233" t="s">
        <v>51</v>
      </c>
      <c r="AB511" s="234"/>
      <c r="AC511" s="233">
        <v>1</v>
      </c>
      <c r="AD511" s="233" t="s">
        <v>226</v>
      </c>
      <c r="AE511" s="233"/>
      <c r="AF511" s="233"/>
      <c r="AG511" s="233" t="s">
        <v>3150</v>
      </c>
      <c r="AH511" s="233">
        <v>5</v>
      </c>
      <c r="AI511" s="233">
        <v>85</v>
      </c>
      <c r="AJ511" s="233" t="s">
        <v>432</v>
      </c>
      <c r="AK511" s="233">
        <v>100</v>
      </c>
      <c r="AL511" s="233"/>
      <c r="AM511" s="233" t="s">
        <v>3151</v>
      </c>
      <c r="AN511" s="233"/>
      <c r="AO511" s="233"/>
      <c r="AP511" s="234" t="s">
        <v>434</v>
      </c>
      <c r="AQ511" s="234" t="s">
        <v>408</v>
      </c>
    </row>
    <row r="512" spans="1:43">
      <c r="A512" s="12">
        <v>509</v>
      </c>
      <c r="B512" s="21" t="s">
        <v>5984</v>
      </c>
      <c r="C512" s="5" t="s">
        <v>3153</v>
      </c>
      <c r="D512" s="5" t="s">
        <v>5985</v>
      </c>
      <c r="E512" s="5" t="s">
        <v>5986</v>
      </c>
      <c r="F512" s="5" t="s">
        <v>5987</v>
      </c>
      <c r="G512" s="5" t="s">
        <v>5988</v>
      </c>
      <c r="H512" s="11" t="s">
        <v>5989</v>
      </c>
      <c r="I512" s="5"/>
      <c r="J512" s="5"/>
      <c r="K512" s="5"/>
      <c r="L512" s="5"/>
      <c r="M512" s="5"/>
      <c r="N512" s="5"/>
      <c r="O512" s="5"/>
      <c r="P512" s="11">
        <v>258.0061</v>
      </c>
      <c r="Q512" s="5">
        <v>54.685099999999998</v>
      </c>
      <c r="R512" s="5">
        <f t="shared" si="7"/>
        <v>312.69119999999998</v>
      </c>
      <c r="S512" s="5" t="s">
        <v>2462</v>
      </c>
      <c r="T512" s="12">
        <v>509</v>
      </c>
      <c r="U512" s="258" t="s">
        <v>3159</v>
      </c>
      <c r="V512" s="232" t="s">
        <v>3153</v>
      </c>
      <c r="W512" s="232">
        <v>6004.1</v>
      </c>
      <c r="X512" s="232">
        <v>-6996.2</v>
      </c>
      <c r="Y512" s="233" t="s">
        <v>49</v>
      </c>
      <c r="Z512" s="87" t="s">
        <v>50</v>
      </c>
      <c r="AA512" s="233" t="s">
        <v>51</v>
      </c>
      <c r="AB512" s="234"/>
      <c r="AC512" s="233">
        <v>1</v>
      </c>
      <c r="AD512" s="233" t="s">
        <v>226</v>
      </c>
      <c r="AE512" s="233"/>
      <c r="AF512" s="233"/>
      <c r="AG512" s="233" t="s">
        <v>3150</v>
      </c>
      <c r="AH512" s="233">
        <v>5</v>
      </c>
      <c r="AI512" s="233">
        <v>85</v>
      </c>
      <c r="AJ512" s="233" t="s">
        <v>432</v>
      </c>
      <c r="AK512" s="233">
        <v>100</v>
      </c>
      <c r="AL512" s="233"/>
      <c r="AM512" s="233" t="s">
        <v>3160</v>
      </c>
      <c r="AN512" s="233"/>
      <c r="AO512" s="233"/>
      <c r="AP512" s="234" t="s">
        <v>434</v>
      </c>
      <c r="AQ512" s="234" t="s">
        <v>408</v>
      </c>
    </row>
    <row r="513" spans="1:43">
      <c r="A513" s="12">
        <v>11</v>
      </c>
      <c r="B513" s="21" t="s">
        <v>5990</v>
      </c>
      <c r="C513" s="5" t="s">
        <v>114</v>
      </c>
      <c r="D513" s="5" t="s">
        <v>5991</v>
      </c>
      <c r="E513" s="5" t="s">
        <v>5992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11" t="s">
        <v>46</v>
      </c>
      <c r="Q513" s="5">
        <v>222.78550000000001</v>
      </c>
      <c r="R513" s="5">
        <f t="shared" si="7"/>
        <v>222.78550000000001</v>
      </c>
      <c r="S513" s="5" t="s">
        <v>60</v>
      </c>
      <c r="T513" s="12">
        <v>11</v>
      </c>
      <c r="U513" s="231" t="s">
        <v>117</v>
      </c>
      <c r="V513" s="232" t="s">
        <v>114</v>
      </c>
      <c r="W513" s="232">
        <v>5708.2</v>
      </c>
      <c r="X513" s="232">
        <v>-11190</v>
      </c>
      <c r="Y513" s="233" t="s">
        <v>49</v>
      </c>
      <c r="Z513" s="87" t="s">
        <v>50</v>
      </c>
      <c r="AA513" s="233" t="s">
        <v>51</v>
      </c>
      <c r="AB513" s="234"/>
      <c r="AC513" s="233">
        <v>1</v>
      </c>
      <c r="AD513" s="233" t="s">
        <v>226</v>
      </c>
      <c r="AE513" s="233"/>
      <c r="AF513" s="233"/>
      <c r="AG513" s="233" t="s">
        <v>3150</v>
      </c>
      <c r="AH513" s="233">
        <v>5</v>
      </c>
      <c r="AI513" s="233">
        <v>85</v>
      </c>
      <c r="AJ513" s="233" t="s">
        <v>432</v>
      </c>
      <c r="AK513" s="233">
        <v>100</v>
      </c>
      <c r="AL513" s="233"/>
      <c r="AM513" s="233" t="s">
        <v>3151</v>
      </c>
      <c r="AN513" s="233"/>
      <c r="AO513" s="233"/>
      <c r="AP513" s="234" t="s">
        <v>434</v>
      </c>
      <c r="AQ513" s="234" t="s">
        <v>408</v>
      </c>
    </row>
    <row r="514" spans="1:43">
      <c r="A514" s="12">
        <v>511</v>
      </c>
      <c r="B514" s="21" t="s">
        <v>5993</v>
      </c>
      <c r="C514" s="5" t="s">
        <v>3170</v>
      </c>
      <c r="D514" s="5" t="s">
        <v>5994</v>
      </c>
      <c r="E514" s="5" t="s">
        <v>5995</v>
      </c>
      <c r="F514" s="5" t="s">
        <v>5996</v>
      </c>
      <c r="G514" s="5" t="s">
        <v>5997</v>
      </c>
      <c r="H514" s="11" t="s">
        <v>5998</v>
      </c>
      <c r="I514" s="5"/>
      <c r="J514" s="5"/>
      <c r="K514" s="5"/>
      <c r="L514" s="5"/>
      <c r="M514" s="5"/>
      <c r="N514" s="5"/>
      <c r="O514" s="5"/>
      <c r="P514" s="11">
        <v>258.07549999999998</v>
      </c>
      <c r="Q514" s="5">
        <v>54.783099999999997</v>
      </c>
      <c r="R514" s="5">
        <f t="shared" si="7"/>
        <v>312.85859999999997</v>
      </c>
      <c r="S514" s="5" t="s">
        <v>1931</v>
      </c>
      <c r="T514" s="12">
        <v>511</v>
      </c>
      <c r="U514" s="258" t="s">
        <v>3176</v>
      </c>
      <c r="V514" s="232" t="s">
        <v>3170</v>
      </c>
      <c r="W514" s="232">
        <v>5207.8</v>
      </c>
      <c r="X514" s="232">
        <v>-11190</v>
      </c>
      <c r="Y514" s="233" t="s">
        <v>49</v>
      </c>
      <c r="Z514" s="87" t="s">
        <v>50</v>
      </c>
      <c r="AA514" s="233" t="s">
        <v>51</v>
      </c>
      <c r="AB514" s="234"/>
      <c r="AC514" s="233">
        <v>1</v>
      </c>
      <c r="AD514" s="233" t="s">
        <v>226</v>
      </c>
      <c r="AE514" s="233"/>
      <c r="AF514" s="233"/>
      <c r="AG514" s="233" t="s">
        <v>3150</v>
      </c>
      <c r="AH514" s="233">
        <v>5</v>
      </c>
      <c r="AI514" s="233">
        <v>85</v>
      </c>
      <c r="AJ514" s="233" t="s">
        <v>432</v>
      </c>
      <c r="AK514" s="233">
        <v>100</v>
      </c>
      <c r="AL514" s="233"/>
      <c r="AM514" s="233" t="s">
        <v>3160</v>
      </c>
      <c r="AN514" s="233"/>
      <c r="AO514" s="233"/>
      <c r="AP514" s="234" t="s">
        <v>434</v>
      </c>
      <c r="AQ514" s="234" t="s">
        <v>408</v>
      </c>
    </row>
    <row r="515" spans="1:43">
      <c r="A515" s="12">
        <v>512</v>
      </c>
      <c r="B515" s="21" t="s">
        <v>5999</v>
      </c>
      <c r="C515" s="5" t="s">
        <v>3178</v>
      </c>
      <c r="D515" s="5" t="s">
        <v>6000</v>
      </c>
      <c r="E515" s="5" t="s">
        <v>6001</v>
      </c>
      <c r="F515" s="5" t="s">
        <v>6002</v>
      </c>
      <c r="G515" s="5" t="s">
        <v>6003</v>
      </c>
      <c r="H515" s="11" t="s">
        <v>6004</v>
      </c>
      <c r="I515" s="5"/>
      <c r="J515" s="5"/>
      <c r="K515" s="5"/>
      <c r="L515" s="5"/>
      <c r="M515" s="5"/>
      <c r="N515" s="5"/>
      <c r="O515" s="5"/>
      <c r="P515" s="11">
        <v>258.01889999999997</v>
      </c>
      <c r="Q515" s="5">
        <v>54.597299999999997</v>
      </c>
      <c r="R515" s="5">
        <f t="shared" si="7"/>
        <v>312.61619999999999</v>
      </c>
      <c r="S515" s="5" t="s">
        <v>2270</v>
      </c>
      <c r="T515" s="12">
        <v>512</v>
      </c>
      <c r="U515" s="258" t="s">
        <v>3184</v>
      </c>
      <c r="V515" s="232" t="s">
        <v>3178</v>
      </c>
      <c r="W515" s="232">
        <v>546.1</v>
      </c>
      <c r="X515" s="232">
        <v>-9129.7999999999993</v>
      </c>
      <c r="Y515" s="233" t="s">
        <v>49</v>
      </c>
      <c r="Z515" s="87" t="s">
        <v>50</v>
      </c>
      <c r="AA515" s="233" t="s">
        <v>51</v>
      </c>
      <c r="AB515" s="234"/>
      <c r="AC515" s="233">
        <v>1</v>
      </c>
      <c r="AD515" s="233" t="s">
        <v>226</v>
      </c>
      <c r="AE515" s="233"/>
      <c r="AF515" s="233"/>
      <c r="AG515" s="233" t="s">
        <v>3185</v>
      </c>
      <c r="AH515" s="233">
        <v>5</v>
      </c>
      <c r="AI515" s="233">
        <v>85</v>
      </c>
      <c r="AJ515" s="233" t="s">
        <v>432</v>
      </c>
      <c r="AK515" s="233">
        <v>100</v>
      </c>
      <c r="AL515" s="233"/>
      <c r="AM515" s="233" t="s">
        <v>3186</v>
      </c>
      <c r="AN515" s="233"/>
      <c r="AO515" s="233"/>
      <c r="AP515" s="234" t="s">
        <v>434</v>
      </c>
      <c r="AQ515" s="234" t="s">
        <v>408</v>
      </c>
    </row>
    <row r="516" spans="1:43">
      <c r="A516" s="12">
        <v>513</v>
      </c>
      <c r="B516" s="21" t="s">
        <v>6005</v>
      </c>
      <c r="C516" s="5" t="s">
        <v>3188</v>
      </c>
      <c r="D516" s="5" t="s">
        <v>6006</v>
      </c>
      <c r="E516" s="5" t="s">
        <v>6007</v>
      </c>
      <c r="F516" s="5" t="s">
        <v>6008</v>
      </c>
      <c r="G516" s="5" t="s">
        <v>6009</v>
      </c>
      <c r="H516" s="11" t="s">
        <v>6010</v>
      </c>
      <c r="I516" s="5"/>
      <c r="J516" s="5"/>
      <c r="K516" s="5"/>
      <c r="L516" s="5"/>
      <c r="M516" s="5"/>
      <c r="N516" s="5"/>
      <c r="O516" s="5"/>
      <c r="P516" s="11">
        <v>258.01299999999998</v>
      </c>
      <c r="Q516" s="5">
        <v>54.606999999999999</v>
      </c>
      <c r="R516" s="5">
        <f t="shared" ref="R516:R579" si="8">IF(AND(P516="",Q516=""),"",SUM(P516:Q516))</f>
        <v>312.62</v>
      </c>
      <c r="S516" s="5" t="s">
        <v>2270</v>
      </c>
      <c r="T516" s="12">
        <v>513</v>
      </c>
      <c r="U516" s="258" t="s">
        <v>3194</v>
      </c>
      <c r="V516" s="232" t="s">
        <v>3188</v>
      </c>
      <c r="W516" s="232">
        <v>546.1</v>
      </c>
      <c r="X516" s="232">
        <v>-8418.6</v>
      </c>
      <c r="Y516" s="233" t="s">
        <v>49</v>
      </c>
      <c r="Z516" s="87" t="s">
        <v>50</v>
      </c>
      <c r="AA516" s="233" t="s">
        <v>51</v>
      </c>
      <c r="AB516" s="234"/>
      <c r="AC516" s="233">
        <v>1</v>
      </c>
      <c r="AD516" s="233" t="s">
        <v>226</v>
      </c>
      <c r="AE516" s="233"/>
      <c r="AF516" s="233"/>
      <c r="AG516" s="233" t="s">
        <v>3185</v>
      </c>
      <c r="AH516" s="233">
        <v>5</v>
      </c>
      <c r="AI516" s="233">
        <v>85</v>
      </c>
      <c r="AJ516" s="233" t="s">
        <v>432</v>
      </c>
      <c r="AK516" s="233">
        <v>100</v>
      </c>
      <c r="AL516" s="233"/>
      <c r="AM516" s="233" t="s">
        <v>3195</v>
      </c>
      <c r="AN516" s="233"/>
      <c r="AO516" s="233"/>
      <c r="AP516" s="234" t="s">
        <v>434</v>
      </c>
      <c r="AQ516" s="234" t="s">
        <v>408</v>
      </c>
    </row>
    <row r="517" spans="1:43">
      <c r="A517" s="12">
        <v>514</v>
      </c>
      <c r="B517" s="21" t="s">
        <v>6011</v>
      </c>
      <c r="C517" s="5" t="s">
        <v>3371</v>
      </c>
      <c r="D517" s="5" t="s">
        <v>6012</v>
      </c>
      <c r="E517" s="5" t="s">
        <v>6013</v>
      </c>
      <c r="F517" s="5" t="s">
        <v>6014</v>
      </c>
      <c r="G517" s="5" t="s">
        <v>6015</v>
      </c>
      <c r="H517" s="11" t="s">
        <v>6016</v>
      </c>
      <c r="I517" s="5"/>
      <c r="J517" s="5"/>
      <c r="K517" s="5"/>
      <c r="L517" s="5"/>
      <c r="M517" s="5"/>
      <c r="N517" s="5"/>
      <c r="O517" s="5"/>
      <c r="P517" s="11">
        <v>258.04489999999998</v>
      </c>
      <c r="Q517" s="5">
        <v>54.7271</v>
      </c>
      <c r="R517" s="5">
        <f t="shared" si="8"/>
        <v>312.77199999999999</v>
      </c>
      <c r="S517" s="5" t="s">
        <v>2568</v>
      </c>
      <c r="T517" s="12">
        <v>514</v>
      </c>
      <c r="U517" s="258" t="s">
        <v>3377</v>
      </c>
      <c r="V517" s="232" t="s">
        <v>3371</v>
      </c>
      <c r="W517" s="232">
        <v>-431.9</v>
      </c>
      <c r="X517" s="232">
        <v>-10380.6</v>
      </c>
      <c r="Y517" s="233" t="s">
        <v>49</v>
      </c>
      <c r="Z517" s="87" t="s">
        <v>50</v>
      </c>
      <c r="AA517" s="233" t="s">
        <v>51</v>
      </c>
      <c r="AB517" s="234"/>
      <c r="AC517" s="233">
        <v>1</v>
      </c>
      <c r="AD517" s="233" t="s">
        <v>226</v>
      </c>
      <c r="AE517" s="233"/>
      <c r="AF517" s="233"/>
      <c r="AG517" s="233" t="s">
        <v>3185</v>
      </c>
      <c r="AH517" s="233">
        <v>5</v>
      </c>
      <c r="AI517" s="233">
        <v>85</v>
      </c>
      <c r="AJ517" s="233" t="s">
        <v>432</v>
      </c>
      <c r="AK517" s="233">
        <v>100</v>
      </c>
      <c r="AL517" s="233"/>
      <c r="AM517" s="233" t="s">
        <v>3186</v>
      </c>
      <c r="AN517" s="233"/>
      <c r="AO517" s="233"/>
      <c r="AP517" s="234" t="s">
        <v>434</v>
      </c>
      <c r="AQ517" s="234" t="s">
        <v>408</v>
      </c>
    </row>
    <row r="518" spans="1:43">
      <c r="A518" s="12">
        <v>515</v>
      </c>
      <c r="B518" s="21" t="s">
        <v>6017</v>
      </c>
      <c r="C518" s="5" t="s">
        <v>3206</v>
      </c>
      <c r="D518" s="5" t="s">
        <v>6018</v>
      </c>
      <c r="E518" s="5" t="s">
        <v>6019</v>
      </c>
      <c r="F518" s="5" t="s">
        <v>6020</v>
      </c>
      <c r="G518" s="5" t="s">
        <v>6021</v>
      </c>
      <c r="H518" s="11" t="s">
        <v>6022</v>
      </c>
      <c r="I518" s="5"/>
      <c r="J518" s="5"/>
      <c r="K518" s="5"/>
      <c r="L518" s="5"/>
      <c r="M518" s="5"/>
      <c r="N518" s="5"/>
      <c r="O518" s="5"/>
      <c r="P518" s="11">
        <v>258.05509999999998</v>
      </c>
      <c r="Q518" s="5">
        <v>54.7333</v>
      </c>
      <c r="R518" s="5">
        <f t="shared" si="8"/>
        <v>312.78839999999997</v>
      </c>
      <c r="S518" s="5" t="s">
        <v>2568</v>
      </c>
      <c r="T518" s="12">
        <v>515</v>
      </c>
      <c r="U518" s="258" t="s">
        <v>3212</v>
      </c>
      <c r="V518" s="232" t="s">
        <v>3206</v>
      </c>
      <c r="W518" s="232">
        <v>-932.5</v>
      </c>
      <c r="X518" s="232">
        <v>-10380.6</v>
      </c>
      <c r="Y518" s="233" t="s">
        <v>49</v>
      </c>
      <c r="Z518" s="87" t="s">
        <v>50</v>
      </c>
      <c r="AA518" s="233" t="s">
        <v>51</v>
      </c>
      <c r="AB518" s="234"/>
      <c r="AC518" s="233">
        <v>1</v>
      </c>
      <c r="AD518" s="233" t="s">
        <v>226</v>
      </c>
      <c r="AE518" s="233"/>
      <c r="AF518" s="233"/>
      <c r="AG518" s="233" t="s">
        <v>3185</v>
      </c>
      <c r="AH518" s="233">
        <v>5</v>
      </c>
      <c r="AI518" s="233">
        <v>85</v>
      </c>
      <c r="AJ518" s="233" t="s">
        <v>432</v>
      </c>
      <c r="AK518" s="233">
        <v>100</v>
      </c>
      <c r="AL518" s="233"/>
      <c r="AM518" s="233" t="s">
        <v>3195</v>
      </c>
      <c r="AN518" s="233"/>
      <c r="AO518" s="233"/>
      <c r="AP518" s="234" t="s">
        <v>434</v>
      </c>
      <c r="AQ518" s="234" t="s">
        <v>408</v>
      </c>
    </row>
    <row r="519" spans="1:43">
      <c r="A519" s="12">
        <v>516</v>
      </c>
      <c r="B519" s="21" t="s">
        <v>6023</v>
      </c>
      <c r="C519" s="5" t="s">
        <v>3214</v>
      </c>
      <c r="D519" s="5" t="s">
        <v>6024</v>
      </c>
      <c r="E519" s="5" t="s">
        <v>6025</v>
      </c>
      <c r="F519" s="5" t="s">
        <v>6026</v>
      </c>
      <c r="G519" s="5" t="s">
        <v>6027</v>
      </c>
      <c r="H519" s="11" t="s">
        <v>6028</v>
      </c>
      <c r="I519" s="5"/>
      <c r="J519" s="5"/>
      <c r="K519" s="5"/>
      <c r="L519" s="5"/>
      <c r="M519" s="5"/>
      <c r="N519" s="5"/>
      <c r="O519" s="5"/>
      <c r="P519" s="11">
        <v>258.06259999999997</v>
      </c>
      <c r="Q519" s="5">
        <v>54.938000000000002</v>
      </c>
      <c r="R519" s="5">
        <f t="shared" si="8"/>
        <v>313.00059999999996</v>
      </c>
      <c r="S519" s="5" t="s">
        <v>2306</v>
      </c>
      <c r="T519" s="12">
        <v>516</v>
      </c>
      <c r="U519" s="258" t="s">
        <v>3220</v>
      </c>
      <c r="V519" s="232" t="s">
        <v>3214</v>
      </c>
      <c r="W519" s="232">
        <v>6004.1</v>
      </c>
      <c r="X519" s="232">
        <v>-9129.7999999999993</v>
      </c>
      <c r="Y519" s="233" t="s">
        <v>49</v>
      </c>
      <c r="Z519" s="87" t="s">
        <v>50</v>
      </c>
      <c r="AA519" s="233" t="s">
        <v>51</v>
      </c>
      <c r="AB519" s="234"/>
      <c r="AC519" s="233">
        <v>1</v>
      </c>
      <c r="AD519" s="233" t="s">
        <v>226</v>
      </c>
      <c r="AE519" s="233"/>
      <c r="AF519" s="233"/>
      <c r="AG519" s="233" t="s">
        <v>3221</v>
      </c>
      <c r="AH519" s="233">
        <v>5</v>
      </c>
      <c r="AI519" s="233">
        <v>85</v>
      </c>
      <c r="AJ519" s="233" t="s">
        <v>432</v>
      </c>
      <c r="AK519" s="233">
        <v>100</v>
      </c>
      <c r="AL519" s="233"/>
      <c r="AM519" s="233" t="s">
        <v>3222</v>
      </c>
      <c r="AN519" s="233"/>
      <c r="AO519" s="233"/>
      <c r="AP519" s="234" t="s">
        <v>434</v>
      </c>
      <c r="AQ519" s="234" t="s">
        <v>408</v>
      </c>
    </row>
    <row r="520" spans="1:43">
      <c r="A520" s="12">
        <v>517</v>
      </c>
      <c r="B520" s="21" t="s">
        <v>6029</v>
      </c>
      <c r="C520" s="5" t="s">
        <v>3224</v>
      </c>
      <c r="D520" s="5" t="s">
        <v>6030</v>
      </c>
      <c r="E520" s="5" t="s">
        <v>6031</v>
      </c>
      <c r="F520" s="5" t="s">
        <v>6032</v>
      </c>
      <c r="G520" s="5" t="s">
        <v>6033</v>
      </c>
      <c r="H520" s="11" t="s">
        <v>6034</v>
      </c>
      <c r="I520" s="5"/>
      <c r="J520" s="5"/>
      <c r="K520" s="5"/>
      <c r="L520" s="5"/>
      <c r="M520" s="5"/>
      <c r="N520" s="5"/>
      <c r="O520" s="5"/>
      <c r="P520" s="11">
        <v>258.06490000000002</v>
      </c>
      <c r="Q520" s="5">
        <v>54.939300000000003</v>
      </c>
      <c r="R520" s="5">
        <f t="shared" si="8"/>
        <v>313.00420000000003</v>
      </c>
      <c r="S520" s="5" t="s">
        <v>2306</v>
      </c>
      <c r="T520" s="12">
        <v>517</v>
      </c>
      <c r="U520" s="258" t="s">
        <v>3230</v>
      </c>
      <c r="V520" s="232" t="s">
        <v>3224</v>
      </c>
      <c r="W520" s="232">
        <v>6004.1</v>
      </c>
      <c r="X520" s="232">
        <v>-8418.6</v>
      </c>
      <c r="Y520" s="233" t="s">
        <v>49</v>
      </c>
      <c r="Z520" s="87" t="s">
        <v>50</v>
      </c>
      <c r="AA520" s="233" t="s">
        <v>51</v>
      </c>
      <c r="AB520" s="234"/>
      <c r="AC520" s="233">
        <v>1</v>
      </c>
      <c r="AD520" s="233" t="s">
        <v>226</v>
      </c>
      <c r="AE520" s="233"/>
      <c r="AF520" s="233"/>
      <c r="AG520" s="233" t="s">
        <v>3221</v>
      </c>
      <c r="AH520" s="233">
        <v>5</v>
      </c>
      <c r="AI520" s="233">
        <v>85</v>
      </c>
      <c r="AJ520" s="233" t="s">
        <v>432</v>
      </c>
      <c r="AK520" s="233">
        <v>100</v>
      </c>
      <c r="AL520" s="233"/>
      <c r="AM520" s="233" t="s">
        <v>3231</v>
      </c>
      <c r="AN520" s="233"/>
      <c r="AO520" s="233"/>
      <c r="AP520" s="234" t="s">
        <v>434</v>
      </c>
      <c r="AQ520" s="234" t="s">
        <v>408</v>
      </c>
    </row>
    <row r="521" spans="1:43">
      <c r="A521" s="12">
        <v>518</v>
      </c>
      <c r="B521" s="21" t="s">
        <v>6035</v>
      </c>
      <c r="C521" s="5" t="s">
        <v>3233</v>
      </c>
      <c r="D521" s="5" t="s">
        <v>6036</v>
      </c>
      <c r="E521" s="5" t="s">
        <v>6037</v>
      </c>
      <c r="F521" s="5" t="s">
        <v>6038</v>
      </c>
      <c r="G521" s="5" t="s">
        <v>6039</v>
      </c>
      <c r="H521" s="11" t="s">
        <v>6040</v>
      </c>
      <c r="I521" s="5"/>
      <c r="J521" s="5"/>
      <c r="K521" s="5"/>
      <c r="L521" s="5"/>
      <c r="M521" s="5"/>
      <c r="N521" s="5"/>
      <c r="O521" s="5"/>
      <c r="P521" s="11">
        <v>258.03339999999997</v>
      </c>
      <c r="Q521" s="5">
        <v>54.445500000000003</v>
      </c>
      <c r="R521" s="5">
        <f t="shared" si="8"/>
        <v>312.47889999999995</v>
      </c>
      <c r="S521" s="5" t="s">
        <v>2199</v>
      </c>
      <c r="T521" s="12">
        <v>518</v>
      </c>
      <c r="U521" s="258" t="s">
        <v>3239</v>
      </c>
      <c r="V521" s="232" t="s">
        <v>3233</v>
      </c>
      <c r="W521" s="232">
        <v>5026.1000000000004</v>
      </c>
      <c r="X521" s="232">
        <v>-10380.6</v>
      </c>
      <c r="Y521" s="233" t="s">
        <v>49</v>
      </c>
      <c r="Z521" s="87" t="s">
        <v>50</v>
      </c>
      <c r="AA521" s="233" t="s">
        <v>51</v>
      </c>
      <c r="AB521" s="234"/>
      <c r="AC521" s="233">
        <v>1</v>
      </c>
      <c r="AD521" s="233" t="s">
        <v>226</v>
      </c>
      <c r="AE521" s="233"/>
      <c r="AF521" s="233"/>
      <c r="AG521" s="233" t="s">
        <v>3221</v>
      </c>
      <c r="AH521" s="233">
        <v>5</v>
      </c>
      <c r="AI521" s="233">
        <v>85</v>
      </c>
      <c r="AJ521" s="233" t="s">
        <v>432</v>
      </c>
      <c r="AK521" s="233">
        <v>100</v>
      </c>
      <c r="AL521" s="233"/>
      <c r="AM521" s="233" t="s">
        <v>3222</v>
      </c>
      <c r="AN521" s="233"/>
      <c r="AO521" s="233"/>
      <c r="AP521" s="234" t="s">
        <v>434</v>
      </c>
      <c r="AQ521" s="234" t="s">
        <v>408</v>
      </c>
    </row>
    <row r="522" spans="1:43">
      <c r="A522" s="12">
        <v>519</v>
      </c>
      <c r="B522" s="21" t="s">
        <v>6041</v>
      </c>
      <c r="C522" s="5" t="s">
        <v>3241</v>
      </c>
      <c r="D522" s="5" t="s">
        <v>6042</v>
      </c>
      <c r="E522" s="5" t="s">
        <v>6043</v>
      </c>
      <c r="F522" s="5" t="s">
        <v>6044</v>
      </c>
      <c r="G522" s="5" t="s">
        <v>6045</v>
      </c>
      <c r="H522" s="11" t="s">
        <v>6046</v>
      </c>
      <c r="I522" s="5"/>
      <c r="J522" s="5"/>
      <c r="K522" s="5"/>
      <c r="L522" s="5"/>
      <c r="M522" s="5"/>
      <c r="N522" s="5"/>
      <c r="O522" s="5"/>
      <c r="P522" s="11">
        <v>258.03620000000001</v>
      </c>
      <c r="Q522" s="5">
        <v>54.4527</v>
      </c>
      <c r="R522" s="5">
        <f t="shared" si="8"/>
        <v>312.4889</v>
      </c>
      <c r="S522" s="5" t="s">
        <v>2199</v>
      </c>
      <c r="T522" s="12">
        <v>519</v>
      </c>
      <c r="U522" s="258" t="s">
        <v>3247</v>
      </c>
      <c r="V522" s="232" t="s">
        <v>3241</v>
      </c>
      <c r="W522" s="232">
        <v>4525.5</v>
      </c>
      <c r="X522" s="232">
        <v>-10380.6</v>
      </c>
      <c r="Y522" s="233" t="s">
        <v>49</v>
      </c>
      <c r="Z522" s="87" t="s">
        <v>50</v>
      </c>
      <c r="AA522" s="233" t="s">
        <v>51</v>
      </c>
      <c r="AB522" s="234"/>
      <c r="AC522" s="233">
        <v>1</v>
      </c>
      <c r="AD522" s="233" t="s">
        <v>226</v>
      </c>
      <c r="AE522" s="233"/>
      <c r="AF522" s="233"/>
      <c r="AG522" s="233" t="s">
        <v>3221</v>
      </c>
      <c r="AH522" s="233">
        <v>5</v>
      </c>
      <c r="AI522" s="233">
        <v>85</v>
      </c>
      <c r="AJ522" s="233" t="s">
        <v>432</v>
      </c>
      <c r="AK522" s="233">
        <v>100</v>
      </c>
      <c r="AL522" s="233"/>
      <c r="AM522" s="233" t="s">
        <v>3231</v>
      </c>
      <c r="AN522" s="233"/>
      <c r="AO522" s="233"/>
      <c r="AP522" s="234" t="s">
        <v>434</v>
      </c>
      <c r="AQ522" s="234" t="s">
        <v>408</v>
      </c>
    </row>
    <row r="523" spans="1:43">
      <c r="A523" s="12">
        <v>520</v>
      </c>
      <c r="B523" s="21" t="s">
        <v>6047</v>
      </c>
      <c r="C523" s="5" t="s">
        <v>3249</v>
      </c>
      <c r="D523" s="5" t="s">
        <v>6048</v>
      </c>
      <c r="E523" s="5" t="s">
        <v>6049</v>
      </c>
      <c r="F523" s="5" t="s">
        <v>6050</v>
      </c>
      <c r="G523" s="5" t="s">
        <v>6051</v>
      </c>
      <c r="H523" s="11" t="s">
        <v>6052</v>
      </c>
      <c r="I523" s="5"/>
      <c r="J523" s="5"/>
      <c r="K523" s="5"/>
      <c r="L523" s="5"/>
      <c r="M523" s="5"/>
      <c r="N523" s="5"/>
      <c r="O523" s="5"/>
      <c r="P523" s="11">
        <v>258.05259999999998</v>
      </c>
      <c r="Q523" s="5">
        <v>54.781300000000002</v>
      </c>
      <c r="R523" s="5">
        <f t="shared" si="8"/>
        <v>312.83389999999997</v>
      </c>
      <c r="S523" s="5" t="s">
        <v>2199</v>
      </c>
      <c r="T523" s="12">
        <v>520</v>
      </c>
      <c r="U523" s="258" t="s">
        <v>3255</v>
      </c>
      <c r="V523" s="232" t="s">
        <v>3249</v>
      </c>
      <c r="W523" s="232">
        <v>4632.3999999999996</v>
      </c>
      <c r="X523" s="232">
        <v>-5573.8</v>
      </c>
      <c r="Y523" s="233" t="s">
        <v>49</v>
      </c>
      <c r="Z523" s="87" t="s">
        <v>50</v>
      </c>
      <c r="AA523" s="233" t="s">
        <v>51</v>
      </c>
      <c r="AB523" s="234"/>
      <c r="AC523" s="233">
        <v>1</v>
      </c>
      <c r="AD523" s="233" t="s">
        <v>226</v>
      </c>
      <c r="AE523" s="233"/>
      <c r="AF523" s="233"/>
      <c r="AG523" s="233" t="s">
        <v>3256</v>
      </c>
      <c r="AH523" s="233">
        <v>5</v>
      </c>
      <c r="AI523" s="233">
        <v>85</v>
      </c>
      <c r="AJ523" s="233" t="s">
        <v>432</v>
      </c>
      <c r="AK523" s="233">
        <v>100</v>
      </c>
      <c r="AL523" s="233"/>
      <c r="AM523" s="233" t="s">
        <v>3257</v>
      </c>
      <c r="AN523" s="233"/>
      <c r="AO523" s="233"/>
      <c r="AP523" s="234" t="s">
        <v>434</v>
      </c>
      <c r="AQ523" s="234" t="s">
        <v>408</v>
      </c>
    </row>
    <row r="524" spans="1:43">
      <c r="A524" s="12">
        <v>521</v>
      </c>
      <c r="B524" s="21" t="s">
        <v>6053</v>
      </c>
      <c r="C524" s="5" t="s">
        <v>3259</v>
      </c>
      <c r="D524" s="5" t="s">
        <v>6054</v>
      </c>
      <c r="E524" s="5" t="s">
        <v>6055</v>
      </c>
      <c r="F524" s="5" t="s">
        <v>6056</v>
      </c>
      <c r="G524" s="5" t="s">
        <v>6057</v>
      </c>
      <c r="H524" s="11" t="s">
        <v>6058</v>
      </c>
      <c r="I524" s="5"/>
      <c r="J524" s="5"/>
      <c r="K524" s="5"/>
      <c r="L524" s="5"/>
      <c r="M524" s="5"/>
      <c r="N524" s="5"/>
      <c r="O524" s="5"/>
      <c r="P524" s="11">
        <v>258.0455</v>
      </c>
      <c r="Q524" s="5">
        <v>54.771700000000003</v>
      </c>
      <c r="R524" s="5">
        <f t="shared" si="8"/>
        <v>312.81720000000001</v>
      </c>
      <c r="S524" s="5" t="s">
        <v>2199</v>
      </c>
      <c r="T524" s="12">
        <v>521</v>
      </c>
      <c r="U524" s="258" t="s">
        <v>3265</v>
      </c>
      <c r="V524" s="232" t="s">
        <v>3259</v>
      </c>
      <c r="W524" s="232">
        <v>4632.3999999999996</v>
      </c>
      <c r="X524" s="232">
        <v>-4862.6000000000004</v>
      </c>
      <c r="Y524" s="233" t="s">
        <v>49</v>
      </c>
      <c r="Z524" s="87" t="s">
        <v>50</v>
      </c>
      <c r="AA524" s="233" t="s">
        <v>51</v>
      </c>
      <c r="AB524" s="234"/>
      <c r="AC524" s="233">
        <v>1</v>
      </c>
      <c r="AD524" s="233" t="s">
        <v>226</v>
      </c>
      <c r="AE524" s="233"/>
      <c r="AF524" s="233"/>
      <c r="AG524" s="233" t="s">
        <v>3256</v>
      </c>
      <c r="AH524" s="233">
        <v>5</v>
      </c>
      <c r="AI524" s="233">
        <v>85</v>
      </c>
      <c r="AJ524" s="233" t="s">
        <v>432</v>
      </c>
      <c r="AK524" s="233">
        <v>100</v>
      </c>
      <c r="AL524" s="233"/>
      <c r="AM524" s="233" t="s">
        <v>3266</v>
      </c>
      <c r="AN524" s="233"/>
      <c r="AO524" s="233"/>
      <c r="AP524" s="234" t="s">
        <v>434</v>
      </c>
      <c r="AQ524" s="234" t="s">
        <v>408</v>
      </c>
    </row>
    <row r="525" spans="1:43">
      <c r="A525" s="12">
        <v>522</v>
      </c>
      <c r="B525" s="21" t="s">
        <v>6059</v>
      </c>
      <c r="C525" s="5" t="s">
        <v>3268</v>
      </c>
      <c r="D525" s="5" t="s">
        <v>6060</v>
      </c>
      <c r="E525" s="5" t="s">
        <v>6061</v>
      </c>
      <c r="F525" s="5" t="s">
        <v>6062</v>
      </c>
      <c r="G525" s="5" t="s">
        <v>6063</v>
      </c>
      <c r="H525" s="11" t="s">
        <v>6064</v>
      </c>
      <c r="I525" s="5"/>
      <c r="J525" s="5"/>
      <c r="K525" s="5"/>
      <c r="L525" s="5"/>
      <c r="M525" s="5"/>
      <c r="N525" s="5"/>
      <c r="O525" s="5"/>
      <c r="P525" s="11">
        <v>258.00400000000002</v>
      </c>
      <c r="Q525" s="5">
        <v>54.887300000000003</v>
      </c>
      <c r="R525" s="5">
        <f t="shared" si="8"/>
        <v>312.8913</v>
      </c>
      <c r="S525" s="5" t="s">
        <v>1931</v>
      </c>
      <c r="T525" s="12">
        <v>522</v>
      </c>
      <c r="U525" s="258" t="s">
        <v>3274</v>
      </c>
      <c r="V525" s="232" t="s">
        <v>3268</v>
      </c>
      <c r="W525" s="232">
        <v>3843.3</v>
      </c>
      <c r="X525" s="232">
        <v>-11190</v>
      </c>
      <c r="Y525" s="233" t="s">
        <v>49</v>
      </c>
      <c r="Z525" s="87" t="s">
        <v>50</v>
      </c>
      <c r="AA525" s="233" t="s">
        <v>51</v>
      </c>
      <c r="AB525" s="234"/>
      <c r="AC525" s="233">
        <v>1</v>
      </c>
      <c r="AD525" s="233" t="s">
        <v>226</v>
      </c>
      <c r="AE525" s="233"/>
      <c r="AF525" s="233"/>
      <c r="AG525" s="233" t="s">
        <v>3256</v>
      </c>
      <c r="AH525" s="233">
        <v>5</v>
      </c>
      <c r="AI525" s="233">
        <v>85</v>
      </c>
      <c r="AJ525" s="233" t="s">
        <v>432</v>
      </c>
      <c r="AK525" s="233">
        <v>100</v>
      </c>
      <c r="AL525" s="233"/>
      <c r="AM525" s="233" t="s">
        <v>3257</v>
      </c>
      <c r="AN525" s="233"/>
      <c r="AO525" s="233"/>
      <c r="AP525" s="234" t="s">
        <v>434</v>
      </c>
      <c r="AQ525" s="234" t="s">
        <v>408</v>
      </c>
    </row>
    <row r="526" spans="1:43">
      <c r="A526" s="12">
        <v>523</v>
      </c>
      <c r="B526" s="21" t="s">
        <v>6065</v>
      </c>
      <c r="C526" s="5" t="s">
        <v>3276</v>
      </c>
      <c r="D526" s="5" t="s">
        <v>6066</v>
      </c>
      <c r="E526" s="5" t="s">
        <v>6067</v>
      </c>
      <c r="F526" s="5" t="s">
        <v>6068</v>
      </c>
      <c r="G526" s="5" t="s">
        <v>6069</v>
      </c>
      <c r="H526" s="11" t="s">
        <v>6070</v>
      </c>
      <c r="I526" s="5"/>
      <c r="J526" s="5"/>
      <c r="K526" s="5"/>
      <c r="L526" s="5"/>
      <c r="M526" s="5"/>
      <c r="N526" s="5"/>
      <c r="O526" s="5"/>
      <c r="P526" s="11">
        <v>258.00259999999997</v>
      </c>
      <c r="Q526" s="5">
        <v>54.876600000000003</v>
      </c>
      <c r="R526" s="5">
        <f t="shared" si="8"/>
        <v>312.87919999999997</v>
      </c>
      <c r="S526" s="5" t="s">
        <v>1931</v>
      </c>
      <c r="T526" s="12">
        <v>523</v>
      </c>
      <c r="U526" s="258" t="s">
        <v>3282</v>
      </c>
      <c r="V526" s="232" t="s">
        <v>3276</v>
      </c>
      <c r="W526" s="232">
        <v>4343.7</v>
      </c>
      <c r="X526" s="232">
        <v>-11190</v>
      </c>
      <c r="Y526" s="233" t="s">
        <v>49</v>
      </c>
      <c r="Z526" s="87" t="s">
        <v>50</v>
      </c>
      <c r="AA526" s="233" t="s">
        <v>51</v>
      </c>
      <c r="AB526" s="234"/>
      <c r="AC526" s="233">
        <v>1</v>
      </c>
      <c r="AD526" s="233" t="s">
        <v>226</v>
      </c>
      <c r="AE526" s="233"/>
      <c r="AF526" s="233"/>
      <c r="AG526" s="233" t="s">
        <v>3256</v>
      </c>
      <c r="AH526" s="233">
        <v>5</v>
      </c>
      <c r="AI526" s="233">
        <v>85</v>
      </c>
      <c r="AJ526" s="233" t="s">
        <v>432</v>
      </c>
      <c r="AK526" s="233">
        <v>100</v>
      </c>
      <c r="AL526" s="233"/>
      <c r="AM526" s="233" t="s">
        <v>3266</v>
      </c>
      <c r="AN526" s="233"/>
      <c r="AO526" s="233"/>
      <c r="AP526" s="234" t="s">
        <v>434</v>
      </c>
      <c r="AQ526" s="234" t="s">
        <v>408</v>
      </c>
    </row>
    <row r="527" spans="1:43">
      <c r="A527" s="12">
        <v>524</v>
      </c>
      <c r="B527" s="21" t="s">
        <v>6071</v>
      </c>
      <c r="C527" s="5" t="s">
        <v>3284</v>
      </c>
      <c r="D527" s="5" t="s">
        <v>6072</v>
      </c>
      <c r="E527" s="5" t="s">
        <v>6073</v>
      </c>
      <c r="F527" s="5" t="s">
        <v>6074</v>
      </c>
      <c r="G527" s="5" t="s">
        <v>6075</v>
      </c>
      <c r="H527" s="11" t="s">
        <v>6076</v>
      </c>
      <c r="I527" s="5"/>
      <c r="J527" s="5"/>
      <c r="K527" s="5"/>
      <c r="L527" s="5"/>
      <c r="M527" s="5"/>
      <c r="N527" s="5"/>
      <c r="O527" s="5"/>
      <c r="P527" s="11">
        <v>258.00569999999999</v>
      </c>
      <c r="Q527" s="5">
        <v>54.6691</v>
      </c>
      <c r="R527" s="5">
        <f t="shared" si="8"/>
        <v>312.6748</v>
      </c>
      <c r="S527" s="5" t="s">
        <v>1967</v>
      </c>
      <c r="T527" s="12">
        <v>524</v>
      </c>
      <c r="U527" s="258" t="s">
        <v>3290</v>
      </c>
      <c r="V527" s="232" t="s">
        <v>3284</v>
      </c>
      <c r="W527" s="232">
        <v>4632.3999999999996</v>
      </c>
      <c r="X527" s="232">
        <v>-6996.2</v>
      </c>
      <c r="Y527" s="233" t="s">
        <v>49</v>
      </c>
      <c r="Z527" s="87" t="s">
        <v>50</v>
      </c>
      <c r="AA527" s="233" t="s">
        <v>51</v>
      </c>
      <c r="AB527" s="234"/>
      <c r="AC527" s="233">
        <v>1</v>
      </c>
      <c r="AD527" s="233" t="s">
        <v>226</v>
      </c>
      <c r="AE527" s="233"/>
      <c r="AF527" s="233"/>
      <c r="AG527" s="233" t="s">
        <v>3291</v>
      </c>
      <c r="AH527" s="233">
        <v>5</v>
      </c>
      <c r="AI527" s="233">
        <v>85</v>
      </c>
      <c r="AJ527" s="233" t="s">
        <v>432</v>
      </c>
      <c r="AK527" s="233">
        <v>100</v>
      </c>
      <c r="AL527" s="233"/>
      <c r="AM527" s="233" t="s">
        <v>3292</v>
      </c>
      <c r="AN527" s="233"/>
      <c r="AO527" s="233"/>
      <c r="AP527" s="234" t="s">
        <v>434</v>
      </c>
      <c r="AQ527" s="234" t="s">
        <v>408</v>
      </c>
    </row>
    <row r="528" spans="1:43">
      <c r="A528" s="12">
        <v>525</v>
      </c>
      <c r="B528" s="21" t="s">
        <v>6077</v>
      </c>
      <c r="C528" s="5" t="s">
        <v>3294</v>
      </c>
      <c r="D528" s="5" t="s">
        <v>6078</v>
      </c>
      <c r="E528" s="5" t="s">
        <v>6079</v>
      </c>
      <c r="F528" s="5" t="s">
        <v>6080</v>
      </c>
      <c r="G528" s="5" t="s">
        <v>6081</v>
      </c>
      <c r="H528" s="11" t="s">
        <v>6082</v>
      </c>
      <c r="I528" s="5"/>
      <c r="J528" s="5"/>
      <c r="K528" s="5"/>
      <c r="L528" s="5"/>
      <c r="M528" s="5"/>
      <c r="N528" s="5"/>
      <c r="O528" s="5"/>
      <c r="P528" s="11">
        <v>257.99630000000002</v>
      </c>
      <c r="Q528" s="5">
        <v>54.678400000000003</v>
      </c>
      <c r="R528" s="5">
        <f t="shared" si="8"/>
        <v>312.67470000000003</v>
      </c>
      <c r="S528" s="5" t="s">
        <v>1967</v>
      </c>
      <c r="T528" s="12">
        <v>525</v>
      </c>
      <c r="U528" s="258" t="s">
        <v>3300</v>
      </c>
      <c r="V528" s="232" t="s">
        <v>3294</v>
      </c>
      <c r="W528" s="232">
        <v>4632.3999999999996</v>
      </c>
      <c r="X528" s="232">
        <v>-7707.4</v>
      </c>
      <c r="Y528" s="233" t="s">
        <v>49</v>
      </c>
      <c r="Z528" s="87" t="s">
        <v>50</v>
      </c>
      <c r="AA528" s="233" t="s">
        <v>51</v>
      </c>
      <c r="AB528" s="234"/>
      <c r="AC528" s="233">
        <v>1</v>
      </c>
      <c r="AD528" s="233" t="s">
        <v>226</v>
      </c>
      <c r="AE528" s="233"/>
      <c r="AF528" s="233"/>
      <c r="AG528" s="233" t="s">
        <v>3291</v>
      </c>
      <c r="AH528" s="233">
        <v>5</v>
      </c>
      <c r="AI528" s="233">
        <v>85</v>
      </c>
      <c r="AJ528" s="233" t="s">
        <v>432</v>
      </c>
      <c r="AK528" s="233">
        <v>100</v>
      </c>
      <c r="AL528" s="233"/>
      <c r="AM528" s="233" t="s">
        <v>3301</v>
      </c>
      <c r="AN528" s="233"/>
      <c r="AO528" s="233"/>
      <c r="AP528" s="234" t="s">
        <v>434</v>
      </c>
      <c r="AQ528" s="234" t="s">
        <v>408</v>
      </c>
    </row>
    <row r="529" spans="1:43">
      <c r="A529" s="12">
        <v>526</v>
      </c>
      <c r="B529" s="21" t="s">
        <v>6083</v>
      </c>
      <c r="C529" s="5" t="s">
        <v>3303</v>
      </c>
      <c r="D529" s="5" t="s">
        <v>6084</v>
      </c>
      <c r="E529" s="5" t="s">
        <v>6085</v>
      </c>
      <c r="F529" s="5" t="s">
        <v>6086</v>
      </c>
      <c r="G529" s="5" t="s">
        <v>6087</v>
      </c>
      <c r="H529" s="11" t="s">
        <v>6088</v>
      </c>
      <c r="I529" s="5"/>
      <c r="J529" s="5"/>
      <c r="K529" s="5"/>
      <c r="L529" s="5"/>
      <c r="M529" s="5"/>
      <c r="N529" s="5"/>
      <c r="O529" s="5"/>
      <c r="P529" s="11">
        <v>257.9966</v>
      </c>
      <c r="Q529" s="5">
        <v>54.782899999999998</v>
      </c>
      <c r="R529" s="5">
        <f t="shared" si="8"/>
        <v>312.77949999999998</v>
      </c>
      <c r="S529" s="5" t="s">
        <v>429</v>
      </c>
      <c r="T529" s="12">
        <v>526</v>
      </c>
      <c r="U529" s="258" t="s">
        <v>3309</v>
      </c>
      <c r="V529" s="232" t="s">
        <v>3303</v>
      </c>
      <c r="W529" s="232">
        <v>3661.6</v>
      </c>
      <c r="X529" s="232">
        <v>-10380.6</v>
      </c>
      <c r="Y529" s="233" t="s">
        <v>49</v>
      </c>
      <c r="Z529" s="87" t="s">
        <v>50</v>
      </c>
      <c r="AA529" s="233" t="s">
        <v>51</v>
      </c>
      <c r="AB529" s="234"/>
      <c r="AC529" s="233">
        <v>1</v>
      </c>
      <c r="AD529" s="233" t="s">
        <v>226</v>
      </c>
      <c r="AE529" s="233"/>
      <c r="AF529" s="233"/>
      <c r="AG529" s="233" t="s">
        <v>3291</v>
      </c>
      <c r="AH529" s="233">
        <v>5</v>
      </c>
      <c r="AI529" s="233">
        <v>85</v>
      </c>
      <c r="AJ529" s="233" t="s">
        <v>432</v>
      </c>
      <c r="AK529" s="233">
        <v>100</v>
      </c>
      <c r="AL529" s="233"/>
      <c r="AM529" s="233" t="s">
        <v>3292</v>
      </c>
      <c r="AN529" s="233"/>
      <c r="AO529" s="233"/>
      <c r="AP529" s="234" t="s">
        <v>434</v>
      </c>
      <c r="AQ529" s="234" t="s">
        <v>408</v>
      </c>
    </row>
    <row r="530" spans="1:43">
      <c r="A530" s="12">
        <v>527</v>
      </c>
      <c r="B530" s="21" t="s">
        <v>6089</v>
      </c>
      <c r="C530" s="5" t="s">
        <v>3311</v>
      </c>
      <c r="D530" s="5" t="s">
        <v>6090</v>
      </c>
      <c r="E530" s="5" t="s">
        <v>6091</v>
      </c>
      <c r="F530" s="5" t="s">
        <v>6092</v>
      </c>
      <c r="G530" s="5" t="s">
        <v>6093</v>
      </c>
      <c r="H530" s="11" t="s">
        <v>6094</v>
      </c>
      <c r="I530" s="5"/>
      <c r="J530" s="5"/>
      <c r="K530" s="5"/>
      <c r="L530" s="5"/>
      <c r="M530" s="5"/>
      <c r="N530" s="5"/>
      <c r="O530" s="5"/>
      <c r="P530" s="11">
        <v>258.02569999999997</v>
      </c>
      <c r="Q530" s="5">
        <v>54.793399999999998</v>
      </c>
      <c r="R530" s="5">
        <f t="shared" si="8"/>
        <v>312.81909999999999</v>
      </c>
      <c r="S530" s="5" t="s">
        <v>429</v>
      </c>
      <c r="T530" s="12">
        <v>527</v>
      </c>
      <c r="U530" s="258" t="s">
        <v>3317</v>
      </c>
      <c r="V530" s="232" t="s">
        <v>3311</v>
      </c>
      <c r="W530" s="232">
        <v>3161</v>
      </c>
      <c r="X530" s="232">
        <v>-10380.6</v>
      </c>
      <c r="Y530" s="233" t="s">
        <v>49</v>
      </c>
      <c r="Z530" s="87" t="s">
        <v>50</v>
      </c>
      <c r="AA530" s="233" t="s">
        <v>51</v>
      </c>
      <c r="AB530" s="234"/>
      <c r="AC530" s="233">
        <v>1</v>
      </c>
      <c r="AD530" s="233" t="s">
        <v>226</v>
      </c>
      <c r="AE530" s="233"/>
      <c r="AF530" s="233"/>
      <c r="AG530" s="233" t="s">
        <v>3291</v>
      </c>
      <c r="AH530" s="233">
        <v>5</v>
      </c>
      <c r="AI530" s="233">
        <v>85</v>
      </c>
      <c r="AJ530" s="233" t="s">
        <v>432</v>
      </c>
      <c r="AK530" s="233">
        <v>100</v>
      </c>
      <c r="AL530" s="233"/>
      <c r="AM530" s="233" t="s">
        <v>3301</v>
      </c>
      <c r="AN530" s="233"/>
      <c r="AO530" s="233"/>
      <c r="AP530" s="234" t="s">
        <v>434</v>
      </c>
      <c r="AQ530" s="234" t="s">
        <v>408</v>
      </c>
    </row>
    <row r="531" spans="1:43">
      <c r="A531" s="12">
        <v>528</v>
      </c>
      <c r="B531" s="21" t="s">
        <v>6095</v>
      </c>
      <c r="C531" s="5" t="s">
        <v>3319</v>
      </c>
      <c r="D531" s="5" t="s">
        <v>6096</v>
      </c>
      <c r="E531" s="5" t="s">
        <v>6097</v>
      </c>
      <c r="F531" s="5" t="s">
        <v>6098</v>
      </c>
      <c r="G531" s="5" t="s">
        <v>6099</v>
      </c>
      <c r="H531" s="11" t="s">
        <v>6100</v>
      </c>
      <c r="I531" s="5"/>
      <c r="J531" s="5"/>
      <c r="K531" s="5"/>
      <c r="L531" s="5"/>
      <c r="M531" s="5"/>
      <c r="N531" s="5"/>
      <c r="O531" s="5"/>
      <c r="P531" s="11">
        <v>258.07589999999999</v>
      </c>
      <c r="Q531" s="5">
        <v>54.610300000000002</v>
      </c>
      <c r="R531" s="5">
        <f t="shared" si="8"/>
        <v>312.68619999999999</v>
      </c>
      <c r="S531" s="5" t="s">
        <v>1914</v>
      </c>
      <c r="T531" s="12">
        <v>528</v>
      </c>
      <c r="U531" s="258" t="s">
        <v>3325</v>
      </c>
      <c r="V531" s="232" t="s">
        <v>3319</v>
      </c>
      <c r="W531" s="232">
        <v>3275.1</v>
      </c>
      <c r="X531" s="232">
        <v>-6996.2</v>
      </c>
      <c r="Y531" s="233" t="s">
        <v>49</v>
      </c>
      <c r="Z531" s="87" t="s">
        <v>50</v>
      </c>
      <c r="AA531" s="233" t="s">
        <v>51</v>
      </c>
      <c r="AB531" s="234"/>
      <c r="AC531" s="233">
        <v>1</v>
      </c>
      <c r="AD531" s="233" t="s">
        <v>226</v>
      </c>
      <c r="AE531" s="233"/>
      <c r="AF531" s="233"/>
      <c r="AG531" s="233" t="s">
        <v>3326</v>
      </c>
      <c r="AH531" s="233">
        <v>5</v>
      </c>
      <c r="AI531" s="233">
        <v>85</v>
      </c>
      <c r="AJ531" s="233" t="s">
        <v>432</v>
      </c>
      <c r="AK531" s="233">
        <v>100</v>
      </c>
      <c r="AL531" s="233"/>
      <c r="AM531" s="233" t="s">
        <v>3327</v>
      </c>
      <c r="AN531" s="233"/>
      <c r="AO531" s="233"/>
      <c r="AP531" s="234" t="s">
        <v>434</v>
      </c>
      <c r="AQ531" s="234" t="s">
        <v>408</v>
      </c>
    </row>
    <row r="532" spans="1:43">
      <c r="A532" s="12">
        <v>529</v>
      </c>
      <c r="B532" s="21" t="s">
        <v>6101</v>
      </c>
      <c r="C532" s="5" t="s">
        <v>3329</v>
      </c>
      <c r="D532" s="5" t="s">
        <v>6102</v>
      </c>
      <c r="E532" s="5" t="s">
        <v>6103</v>
      </c>
      <c r="F532" s="5" t="s">
        <v>6104</v>
      </c>
      <c r="G532" s="5" t="s">
        <v>6105</v>
      </c>
      <c r="H532" s="11" t="s">
        <v>6106</v>
      </c>
      <c r="I532" s="5"/>
      <c r="J532" s="5"/>
      <c r="K532" s="5"/>
      <c r="L532" s="5"/>
      <c r="M532" s="5"/>
      <c r="N532" s="5"/>
      <c r="O532" s="5"/>
      <c r="P532" s="11">
        <v>258.05610000000001</v>
      </c>
      <c r="Q532" s="5">
        <v>54.613</v>
      </c>
      <c r="R532" s="5">
        <f t="shared" si="8"/>
        <v>312.66910000000001</v>
      </c>
      <c r="S532" s="5" t="s">
        <v>1914</v>
      </c>
      <c r="T532" s="12">
        <v>529</v>
      </c>
      <c r="U532" s="258" t="s">
        <v>3335</v>
      </c>
      <c r="V532" s="232" t="s">
        <v>3329</v>
      </c>
      <c r="W532" s="232">
        <v>3275.1</v>
      </c>
      <c r="X532" s="232">
        <v>-6285</v>
      </c>
      <c r="Y532" s="233" t="s">
        <v>49</v>
      </c>
      <c r="Z532" s="87" t="s">
        <v>50</v>
      </c>
      <c r="AA532" s="233" t="s">
        <v>51</v>
      </c>
      <c r="AB532" s="234"/>
      <c r="AC532" s="233">
        <v>1</v>
      </c>
      <c r="AD532" s="233" t="s">
        <v>226</v>
      </c>
      <c r="AE532" s="233"/>
      <c r="AF532" s="233"/>
      <c r="AG532" s="233" t="s">
        <v>3326</v>
      </c>
      <c r="AH532" s="233">
        <v>5</v>
      </c>
      <c r="AI532" s="233">
        <v>85</v>
      </c>
      <c r="AJ532" s="233" t="s">
        <v>432</v>
      </c>
      <c r="AK532" s="233">
        <v>100</v>
      </c>
      <c r="AL532" s="233"/>
      <c r="AM532" s="233" t="s">
        <v>3336</v>
      </c>
      <c r="AN532" s="233"/>
      <c r="AO532" s="233"/>
      <c r="AP532" s="234" t="s">
        <v>434</v>
      </c>
      <c r="AQ532" s="234" t="s">
        <v>408</v>
      </c>
    </row>
    <row r="533" spans="1:43">
      <c r="A533" s="12">
        <v>530</v>
      </c>
      <c r="B533" s="21" t="s">
        <v>6107</v>
      </c>
      <c r="C533" s="5" t="s">
        <v>3338</v>
      </c>
      <c r="D533" s="5" t="s">
        <v>6108</v>
      </c>
      <c r="E533" s="5" t="s">
        <v>6109</v>
      </c>
      <c r="F533" s="5" t="s">
        <v>6110</v>
      </c>
      <c r="G533" s="5" t="s">
        <v>6111</v>
      </c>
      <c r="H533" s="11" t="s">
        <v>6112</v>
      </c>
      <c r="I533" s="5"/>
      <c r="J533" s="5"/>
      <c r="K533" s="5"/>
      <c r="L533" s="5"/>
      <c r="M533" s="5"/>
      <c r="N533" s="5"/>
      <c r="O533" s="5"/>
      <c r="P533" s="11">
        <v>258.08839999999998</v>
      </c>
      <c r="Q533" s="5">
        <v>54.812199999999997</v>
      </c>
      <c r="R533" s="5">
        <f t="shared" si="8"/>
        <v>312.9006</v>
      </c>
      <c r="S533" s="5" t="s">
        <v>264</v>
      </c>
      <c r="T533" s="12">
        <v>530</v>
      </c>
      <c r="U533" s="258" t="s">
        <v>3344</v>
      </c>
      <c r="V533" s="232" t="s">
        <v>3338</v>
      </c>
      <c r="W533" s="232">
        <v>2478.8000000000002</v>
      </c>
      <c r="X533" s="232">
        <v>-11190</v>
      </c>
      <c r="Y533" s="233" t="s">
        <v>49</v>
      </c>
      <c r="Z533" s="87" t="s">
        <v>50</v>
      </c>
      <c r="AA533" s="233" t="s">
        <v>51</v>
      </c>
      <c r="AB533" s="234"/>
      <c r="AC533" s="233">
        <v>1</v>
      </c>
      <c r="AD533" s="233" t="s">
        <v>226</v>
      </c>
      <c r="AE533" s="233"/>
      <c r="AF533" s="233"/>
      <c r="AG533" s="233" t="s">
        <v>3326</v>
      </c>
      <c r="AH533" s="233">
        <v>5</v>
      </c>
      <c r="AI533" s="233">
        <v>85</v>
      </c>
      <c r="AJ533" s="233" t="s">
        <v>432</v>
      </c>
      <c r="AK533" s="233">
        <v>100</v>
      </c>
      <c r="AL533" s="233"/>
      <c r="AM533" s="233" t="s">
        <v>3327</v>
      </c>
      <c r="AN533" s="233"/>
      <c r="AO533" s="233"/>
      <c r="AP533" s="234" t="s">
        <v>434</v>
      </c>
      <c r="AQ533" s="234" t="s">
        <v>408</v>
      </c>
    </row>
    <row r="534" spans="1:43">
      <c r="A534" s="12">
        <v>531</v>
      </c>
      <c r="B534" s="21" t="s">
        <v>6113</v>
      </c>
      <c r="C534" s="5" t="s">
        <v>3346</v>
      </c>
      <c r="D534" s="5" t="s">
        <v>6114</v>
      </c>
      <c r="E534" s="5" t="s">
        <v>6115</v>
      </c>
      <c r="F534" s="5" t="s">
        <v>6116</v>
      </c>
      <c r="G534" s="5" t="s">
        <v>6117</v>
      </c>
      <c r="H534" s="11" t="s">
        <v>6118</v>
      </c>
      <c r="I534" s="5"/>
      <c r="J534" s="5"/>
      <c r="K534" s="5"/>
      <c r="L534" s="5"/>
      <c r="M534" s="5"/>
      <c r="N534" s="5"/>
      <c r="O534" s="5"/>
      <c r="P534" s="11">
        <v>258.03789999999998</v>
      </c>
      <c r="Q534" s="5">
        <v>54.857599999999998</v>
      </c>
      <c r="R534" s="5">
        <f t="shared" si="8"/>
        <v>312.89549999999997</v>
      </c>
      <c r="S534" s="5" t="s">
        <v>264</v>
      </c>
      <c r="T534" s="12">
        <v>531</v>
      </c>
      <c r="U534" s="258" t="s">
        <v>3352</v>
      </c>
      <c r="V534" s="232" t="s">
        <v>3346</v>
      </c>
      <c r="W534" s="232">
        <v>2979.2</v>
      </c>
      <c r="X534" s="232">
        <v>-11190</v>
      </c>
      <c r="Y534" s="233" t="s">
        <v>49</v>
      </c>
      <c r="Z534" s="87" t="s">
        <v>50</v>
      </c>
      <c r="AA534" s="233" t="s">
        <v>51</v>
      </c>
      <c r="AB534" s="234"/>
      <c r="AC534" s="233">
        <v>1</v>
      </c>
      <c r="AD534" s="233" t="s">
        <v>226</v>
      </c>
      <c r="AE534" s="233"/>
      <c r="AF534" s="233"/>
      <c r="AG534" s="233" t="s">
        <v>3326</v>
      </c>
      <c r="AH534" s="233">
        <v>5</v>
      </c>
      <c r="AI534" s="233">
        <v>85</v>
      </c>
      <c r="AJ534" s="233" t="s">
        <v>432</v>
      </c>
      <c r="AK534" s="233">
        <v>100</v>
      </c>
      <c r="AL534" s="233"/>
      <c r="AM534" s="233" t="s">
        <v>3336</v>
      </c>
      <c r="AN534" s="233"/>
      <c r="AO534" s="233"/>
      <c r="AP534" s="234" t="s">
        <v>434</v>
      </c>
      <c r="AQ534" s="234" t="s">
        <v>408</v>
      </c>
    </row>
    <row r="535" spans="1:43">
      <c r="A535" s="12">
        <v>532</v>
      </c>
      <c r="B535" s="21" t="s">
        <v>6119</v>
      </c>
      <c r="C535" s="5" t="s">
        <v>3354</v>
      </c>
      <c r="D535" s="5" t="s">
        <v>6120</v>
      </c>
      <c r="E535" s="5" t="s">
        <v>6121</v>
      </c>
      <c r="F535" s="5" t="s">
        <v>6122</v>
      </c>
      <c r="G535" s="5" t="s">
        <v>6123</v>
      </c>
      <c r="H535" s="11" t="s">
        <v>6124</v>
      </c>
      <c r="I535" s="5"/>
      <c r="J535" s="5"/>
      <c r="K535" s="5"/>
      <c r="L535" s="5"/>
      <c r="M535" s="5"/>
      <c r="N535" s="5"/>
      <c r="O535" s="5"/>
      <c r="P535" s="11">
        <v>258.05079999999998</v>
      </c>
      <c r="Q535" s="5">
        <v>54.467500000000001</v>
      </c>
      <c r="R535" s="5">
        <f t="shared" si="8"/>
        <v>312.51829999999995</v>
      </c>
      <c r="S535" s="5" t="s">
        <v>264</v>
      </c>
      <c r="T535" s="12">
        <v>532</v>
      </c>
      <c r="U535" s="258" t="s">
        <v>3360</v>
      </c>
      <c r="V535" s="232" t="s">
        <v>3354</v>
      </c>
      <c r="W535" s="232">
        <v>3275.1</v>
      </c>
      <c r="X535" s="232">
        <v>-9129.7999999999993</v>
      </c>
      <c r="Y535" s="233" t="s">
        <v>49</v>
      </c>
      <c r="Z535" s="87" t="s">
        <v>50</v>
      </c>
      <c r="AA535" s="233" t="s">
        <v>51</v>
      </c>
      <c r="AB535" s="234"/>
      <c r="AC535" s="233">
        <v>1</v>
      </c>
      <c r="AD535" s="233" t="s">
        <v>226</v>
      </c>
      <c r="AE535" s="233"/>
      <c r="AF535" s="233"/>
      <c r="AG535" s="233" t="s">
        <v>431</v>
      </c>
      <c r="AH535" s="233">
        <v>5</v>
      </c>
      <c r="AI535" s="233">
        <v>85</v>
      </c>
      <c r="AJ535" s="233" t="s">
        <v>432</v>
      </c>
      <c r="AK535" s="233">
        <v>100</v>
      </c>
      <c r="AL535" s="233"/>
      <c r="AM535" s="233" t="s">
        <v>433</v>
      </c>
      <c r="AN535" s="233"/>
      <c r="AO535" s="233"/>
      <c r="AP535" s="234" t="s">
        <v>434</v>
      </c>
      <c r="AQ535" s="234" t="s">
        <v>408</v>
      </c>
    </row>
    <row r="536" spans="1:43">
      <c r="A536" s="12">
        <v>533</v>
      </c>
      <c r="B536" s="21" t="s">
        <v>6125</v>
      </c>
      <c r="C536" s="5" t="s">
        <v>3362</v>
      </c>
      <c r="D536" s="5" t="s">
        <v>6126</v>
      </c>
      <c r="E536" s="5" t="s">
        <v>6127</v>
      </c>
      <c r="F536" s="5" t="s">
        <v>6128</v>
      </c>
      <c r="G536" s="5" t="s">
        <v>6129</v>
      </c>
      <c r="H536" s="11" t="s">
        <v>6130</v>
      </c>
      <c r="I536" s="5"/>
      <c r="J536" s="5"/>
      <c r="K536" s="5"/>
      <c r="L536" s="5"/>
      <c r="M536" s="5"/>
      <c r="N536" s="5"/>
      <c r="O536" s="5"/>
      <c r="P536" s="11">
        <v>258.05549999999999</v>
      </c>
      <c r="Q536" s="5">
        <v>54.465899999999998</v>
      </c>
      <c r="R536" s="5">
        <f t="shared" si="8"/>
        <v>312.52139999999997</v>
      </c>
      <c r="S536" s="5" t="s">
        <v>264</v>
      </c>
      <c r="T536" s="12">
        <v>533</v>
      </c>
      <c r="U536" s="258" t="s">
        <v>3368</v>
      </c>
      <c r="V536" s="232" t="s">
        <v>3362</v>
      </c>
      <c r="W536" s="232">
        <v>3275.1</v>
      </c>
      <c r="X536" s="232">
        <v>-8418.6</v>
      </c>
      <c r="Y536" s="233" t="s">
        <v>49</v>
      </c>
      <c r="Z536" s="87" t="s">
        <v>50</v>
      </c>
      <c r="AA536" s="233" t="s">
        <v>51</v>
      </c>
      <c r="AB536" s="234"/>
      <c r="AC536" s="233">
        <v>1</v>
      </c>
      <c r="AD536" s="233" t="s">
        <v>226</v>
      </c>
      <c r="AE536" s="233"/>
      <c r="AF536" s="233"/>
      <c r="AG536" s="233" t="s">
        <v>431</v>
      </c>
      <c r="AH536" s="233">
        <v>5</v>
      </c>
      <c r="AI536" s="233">
        <v>85</v>
      </c>
      <c r="AJ536" s="233" t="s">
        <v>432</v>
      </c>
      <c r="AK536" s="233">
        <v>100</v>
      </c>
      <c r="AL536" s="233"/>
      <c r="AM536" s="233" t="s">
        <v>3369</v>
      </c>
      <c r="AN536" s="233"/>
      <c r="AO536" s="233"/>
      <c r="AP536" s="234" t="s">
        <v>434</v>
      </c>
      <c r="AQ536" s="234" t="s">
        <v>408</v>
      </c>
    </row>
    <row r="537" spans="1:43">
      <c r="A537" s="12">
        <v>534</v>
      </c>
      <c r="B537" s="21" t="s">
        <v>6131</v>
      </c>
      <c r="C537" s="5" t="s">
        <v>423</v>
      </c>
      <c r="D537" s="5" t="s">
        <v>6132</v>
      </c>
      <c r="E537" s="5" t="s">
        <v>6133</v>
      </c>
      <c r="F537" s="5" t="s">
        <v>6134</v>
      </c>
      <c r="G537" s="5" t="s">
        <v>6135</v>
      </c>
      <c r="H537" s="11" t="s">
        <v>6136</v>
      </c>
      <c r="I537" s="5"/>
      <c r="J537" s="5"/>
      <c r="K537" s="5"/>
      <c r="L537" s="5"/>
      <c r="M537" s="5"/>
      <c r="N537" s="5"/>
      <c r="O537" s="5"/>
      <c r="P537" s="11">
        <v>258.0249</v>
      </c>
      <c r="Q537" s="5">
        <v>54.889000000000003</v>
      </c>
      <c r="R537" s="5">
        <f t="shared" si="8"/>
        <v>312.91390000000001</v>
      </c>
      <c r="S537" s="5" t="s">
        <v>429</v>
      </c>
      <c r="T537" s="12">
        <v>534</v>
      </c>
      <c r="U537" s="258" t="s">
        <v>430</v>
      </c>
      <c r="V537" s="232" t="s">
        <v>423</v>
      </c>
      <c r="W537" s="232">
        <v>2297.1</v>
      </c>
      <c r="X537" s="232">
        <v>-10380.6</v>
      </c>
      <c r="Y537" s="233" t="s">
        <v>49</v>
      </c>
      <c r="Z537" s="87" t="s">
        <v>50</v>
      </c>
      <c r="AA537" s="233" t="s">
        <v>51</v>
      </c>
      <c r="AB537" s="234"/>
      <c r="AC537" s="233">
        <v>1</v>
      </c>
      <c r="AD537" s="233" t="s">
        <v>226</v>
      </c>
      <c r="AE537" s="233"/>
      <c r="AF537" s="233"/>
      <c r="AG537" s="233" t="s">
        <v>431</v>
      </c>
      <c r="AH537" s="233">
        <v>5</v>
      </c>
      <c r="AI537" s="233">
        <v>85</v>
      </c>
      <c r="AJ537" s="233" t="s">
        <v>432</v>
      </c>
      <c r="AK537" s="233">
        <v>100</v>
      </c>
      <c r="AL537" s="233"/>
      <c r="AM537" s="233" t="s">
        <v>433</v>
      </c>
      <c r="AN537" s="233"/>
      <c r="AO537" s="233"/>
      <c r="AP537" s="234" t="s">
        <v>434</v>
      </c>
      <c r="AQ537" s="234" t="s">
        <v>408</v>
      </c>
    </row>
    <row r="538" spans="1:43">
      <c r="A538" s="12">
        <v>535</v>
      </c>
      <c r="B538" s="21" t="s">
        <v>6137</v>
      </c>
      <c r="C538" s="5" t="s">
        <v>3379</v>
      </c>
      <c r="D538" s="5" t="s">
        <v>6138</v>
      </c>
      <c r="E538" s="5" t="s">
        <v>6139</v>
      </c>
      <c r="F538" s="5" t="s">
        <v>6140</v>
      </c>
      <c r="G538" s="5" t="s">
        <v>6141</v>
      </c>
      <c r="H538" s="11" t="s">
        <v>6142</v>
      </c>
      <c r="I538" s="5"/>
      <c r="J538" s="5"/>
      <c r="K538" s="5"/>
      <c r="L538" s="5"/>
      <c r="M538" s="5"/>
      <c r="N538" s="5"/>
      <c r="O538" s="5"/>
      <c r="P538" s="11">
        <v>258.04840000000002</v>
      </c>
      <c r="Q538" s="5">
        <v>54.878900000000002</v>
      </c>
      <c r="R538" s="5">
        <f t="shared" si="8"/>
        <v>312.9273</v>
      </c>
      <c r="S538" s="5" t="s">
        <v>429</v>
      </c>
      <c r="T538" s="12">
        <v>535</v>
      </c>
      <c r="U538" s="258" t="s">
        <v>3385</v>
      </c>
      <c r="V538" s="232" t="s">
        <v>3379</v>
      </c>
      <c r="W538" s="232">
        <v>1796.5</v>
      </c>
      <c r="X538" s="232">
        <v>-10380.6</v>
      </c>
      <c r="Y538" s="233" t="s">
        <v>49</v>
      </c>
      <c r="Z538" s="87" t="s">
        <v>50</v>
      </c>
      <c r="AA538" s="233" t="s">
        <v>51</v>
      </c>
      <c r="AB538" s="234"/>
      <c r="AC538" s="233">
        <v>1</v>
      </c>
      <c r="AD538" s="233" t="s">
        <v>226</v>
      </c>
      <c r="AE538" s="233"/>
      <c r="AF538" s="233"/>
      <c r="AG538" s="233" t="s">
        <v>431</v>
      </c>
      <c r="AH538" s="233">
        <v>5</v>
      </c>
      <c r="AI538" s="233">
        <v>85</v>
      </c>
      <c r="AJ538" s="233" t="s">
        <v>432</v>
      </c>
      <c r="AK538" s="233">
        <v>100</v>
      </c>
      <c r="AL538" s="233"/>
      <c r="AM538" s="233" t="s">
        <v>3369</v>
      </c>
      <c r="AN538" s="233"/>
      <c r="AO538" s="233"/>
      <c r="AP538" s="234" t="s">
        <v>434</v>
      </c>
      <c r="AQ538" s="234" t="s">
        <v>408</v>
      </c>
    </row>
    <row r="539" spans="1:43">
      <c r="A539" s="12">
        <v>536</v>
      </c>
      <c r="B539" s="21" t="s">
        <v>6143</v>
      </c>
      <c r="C539" s="5" t="s">
        <v>3387</v>
      </c>
      <c r="D539" s="5" t="s">
        <v>6144</v>
      </c>
      <c r="E539" s="5" t="s">
        <v>6145</v>
      </c>
      <c r="F539" s="5" t="s">
        <v>6146</v>
      </c>
      <c r="G539" s="5" t="s">
        <v>6147</v>
      </c>
      <c r="H539" s="11" t="s">
        <v>6148</v>
      </c>
      <c r="I539" s="5"/>
      <c r="J539" s="5"/>
      <c r="K539" s="5"/>
      <c r="L539" s="5"/>
      <c r="M539" s="5"/>
      <c r="N539" s="5"/>
      <c r="O539" s="5"/>
      <c r="P539" s="11">
        <v>258.02510000000001</v>
      </c>
      <c r="Q539" s="5">
        <v>54.662500000000001</v>
      </c>
      <c r="R539" s="5">
        <f t="shared" si="8"/>
        <v>312.68760000000003</v>
      </c>
      <c r="S539" s="5" t="s">
        <v>1914</v>
      </c>
      <c r="T539" s="12">
        <v>536</v>
      </c>
      <c r="U539" s="258" t="s">
        <v>3393</v>
      </c>
      <c r="V539" s="232" t="s">
        <v>3387</v>
      </c>
      <c r="W539" s="232">
        <v>1903.4</v>
      </c>
      <c r="X539" s="232">
        <v>-5573.8</v>
      </c>
      <c r="Y539" s="233" t="s">
        <v>49</v>
      </c>
      <c r="Z539" s="87" t="s">
        <v>50</v>
      </c>
      <c r="AA539" s="233" t="s">
        <v>51</v>
      </c>
      <c r="AB539" s="234"/>
      <c r="AC539" s="233">
        <v>1</v>
      </c>
      <c r="AD539" s="233" t="s">
        <v>226</v>
      </c>
      <c r="AE539" s="233"/>
      <c r="AF539" s="233"/>
      <c r="AG539" s="233" t="s">
        <v>3394</v>
      </c>
      <c r="AH539" s="233">
        <v>5</v>
      </c>
      <c r="AI539" s="233">
        <v>85</v>
      </c>
      <c r="AJ539" s="233" t="s">
        <v>432</v>
      </c>
      <c r="AK539" s="233">
        <v>100</v>
      </c>
      <c r="AL539" s="233"/>
      <c r="AM539" s="233" t="s">
        <v>3395</v>
      </c>
      <c r="AN539" s="233"/>
      <c r="AO539" s="233"/>
      <c r="AP539" s="234" t="s">
        <v>434</v>
      </c>
      <c r="AQ539" s="234" t="s">
        <v>408</v>
      </c>
    </row>
    <row r="540" spans="1:43">
      <c r="A540" s="12">
        <v>537</v>
      </c>
      <c r="B540" s="21" t="s">
        <v>6149</v>
      </c>
      <c r="C540" s="5" t="s">
        <v>3397</v>
      </c>
      <c r="D540" s="5" t="s">
        <v>6150</v>
      </c>
      <c r="E540" s="5" t="s">
        <v>6151</v>
      </c>
      <c r="F540" s="5" t="s">
        <v>6152</v>
      </c>
      <c r="G540" s="5" t="s">
        <v>6153</v>
      </c>
      <c r="H540" s="11" t="s">
        <v>6154</v>
      </c>
      <c r="I540" s="5"/>
      <c r="J540" s="5"/>
      <c r="K540" s="5"/>
      <c r="L540" s="5"/>
      <c r="M540" s="5"/>
      <c r="N540" s="5"/>
      <c r="O540" s="5"/>
      <c r="P540" s="11">
        <v>258.02929999999998</v>
      </c>
      <c r="Q540" s="5">
        <v>54.6599</v>
      </c>
      <c r="R540" s="5">
        <f t="shared" si="8"/>
        <v>312.68919999999997</v>
      </c>
      <c r="S540" s="5" t="s">
        <v>1914</v>
      </c>
      <c r="T540" s="12">
        <v>537</v>
      </c>
      <c r="U540" s="258" t="s">
        <v>3403</v>
      </c>
      <c r="V540" s="232" t="s">
        <v>3397</v>
      </c>
      <c r="W540" s="232">
        <v>1903.4</v>
      </c>
      <c r="X540" s="232">
        <v>-4862.6000000000004</v>
      </c>
      <c r="Y540" s="233" t="s">
        <v>49</v>
      </c>
      <c r="Z540" s="87" t="s">
        <v>50</v>
      </c>
      <c r="AA540" s="233" t="s">
        <v>51</v>
      </c>
      <c r="AB540" s="234"/>
      <c r="AC540" s="233">
        <v>1</v>
      </c>
      <c r="AD540" s="233" t="s">
        <v>226</v>
      </c>
      <c r="AE540" s="233"/>
      <c r="AF540" s="233"/>
      <c r="AG540" s="233" t="s">
        <v>3394</v>
      </c>
      <c r="AH540" s="233">
        <v>5</v>
      </c>
      <c r="AI540" s="233">
        <v>85</v>
      </c>
      <c r="AJ540" s="233" t="s">
        <v>432</v>
      </c>
      <c r="AK540" s="233">
        <v>100</v>
      </c>
      <c r="AL540" s="233"/>
      <c r="AM540" s="233" t="s">
        <v>3404</v>
      </c>
      <c r="AN540" s="233"/>
      <c r="AO540" s="233"/>
      <c r="AP540" s="234" t="s">
        <v>434</v>
      </c>
      <c r="AQ540" s="234" t="s">
        <v>408</v>
      </c>
    </row>
    <row r="541" spans="1:43">
      <c r="A541" s="12">
        <v>538</v>
      </c>
      <c r="B541" s="21" t="s">
        <v>6155</v>
      </c>
      <c r="C541" s="5" t="s">
        <v>3406</v>
      </c>
      <c r="D541" s="5" t="s">
        <v>6156</v>
      </c>
      <c r="E541" s="5" t="s">
        <v>6157</v>
      </c>
      <c r="F541" s="5" t="s">
        <v>6158</v>
      </c>
      <c r="G541" s="5" t="s">
        <v>6159</v>
      </c>
      <c r="H541" s="11" t="s">
        <v>6160</v>
      </c>
      <c r="I541" s="5"/>
      <c r="J541" s="5"/>
      <c r="K541" s="5"/>
      <c r="L541" s="5"/>
      <c r="M541" s="5"/>
      <c r="N541" s="5"/>
      <c r="O541" s="5"/>
      <c r="P541" s="11">
        <v>258.01029999999997</v>
      </c>
      <c r="Q541" s="5">
        <v>54.728099999999998</v>
      </c>
      <c r="R541" s="5">
        <f t="shared" si="8"/>
        <v>312.73839999999996</v>
      </c>
      <c r="S541" s="5" t="s">
        <v>3412</v>
      </c>
      <c r="T541" s="12">
        <v>538</v>
      </c>
      <c r="U541" s="258" t="s">
        <v>3413</v>
      </c>
      <c r="V541" s="232" t="s">
        <v>3406</v>
      </c>
      <c r="W541" s="232">
        <v>1114.3</v>
      </c>
      <c r="X541" s="232">
        <v>-11190</v>
      </c>
      <c r="Y541" s="233" t="s">
        <v>49</v>
      </c>
      <c r="Z541" s="87" t="s">
        <v>50</v>
      </c>
      <c r="AA541" s="233" t="s">
        <v>51</v>
      </c>
      <c r="AB541" s="234"/>
      <c r="AC541" s="233">
        <v>1</v>
      </c>
      <c r="AD541" s="233" t="s">
        <v>226</v>
      </c>
      <c r="AE541" s="233"/>
      <c r="AF541" s="233"/>
      <c r="AG541" s="233" t="s">
        <v>3394</v>
      </c>
      <c r="AH541" s="233">
        <v>5</v>
      </c>
      <c r="AI541" s="233">
        <v>85</v>
      </c>
      <c r="AJ541" s="233" t="s">
        <v>432</v>
      </c>
      <c r="AK541" s="233">
        <v>100</v>
      </c>
      <c r="AL541" s="233"/>
      <c r="AM541" s="233" t="s">
        <v>3395</v>
      </c>
      <c r="AN541" s="233"/>
      <c r="AO541" s="233"/>
      <c r="AP541" s="234" t="s">
        <v>434</v>
      </c>
      <c r="AQ541" s="234" t="s">
        <v>408</v>
      </c>
    </row>
    <row r="542" spans="1:43">
      <c r="A542" s="12">
        <v>539</v>
      </c>
      <c r="B542" s="21" t="s">
        <v>6161</v>
      </c>
      <c r="C542" s="5" t="s">
        <v>3415</v>
      </c>
      <c r="D542" s="5" t="s">
        <v>6162</v>
      </c>
      <c r="E542" s="5" t="s">
        <v>6163</v>
      </c>
      <c r="F542" s="5" t="s">
        <v>6164</v>
      </c>
      <c r="G542" s="5" t="s">
        <v>6165</v>
      </c>
      <c r="H542" s="11" t="s">
        <v>6166</v>
      </c>
      <c r="I542" s="5"/>
      <c r="J542" s="5"/>
      <c r="K542" s="5"/>
      <c r="L542" s="5"/>
      <c r="M542" s="5"/>
      <c r="N542" s="5"/>
      <c r="O542" s="5"/>
      <c r="P542" s="11">
        <v>258.01319999999998</v>
      </c>
      <c r="Q542" s="5">
        <v>54.767899999999997</v>
      </c>
      <c r="R542" s="5">
        <f t="shared" si="8"/>
        <v>312.78109999999998</v>
      </c>
      <c r="S542" s="5" t="s">
        <v>3412</v>
      </c>
      <c r="T542" s="12">
        <v>539</v>
      </c>
      <c r="U542" s="258" t="s">
        <v>3421</v>
      </c>
      <c r="V542" s="232" t="s">
        <v>3415</v>
      </c>
      <c r="W542" s="232">
        <v>1614.7</v>
      </c>
      <c r="X542" s="232">
        <v>-11190</v>
      </c>
      <c r="Y542" s="233" t="s">
        <v>49</v>
      </c>
      <c r="Z542" s="87" t="s">
        <v>50</v>
      </c>
      <c r="AA542" s="233" t="s">
        <v>51</v>
      </c>
      <c r="AB542" s="234"/>
      <c r="AC542" s="233">
        <v>1</v>
      </c>
      <c r="AD542" s="233" t="s">
        <v>226</v>
      </c>
      <c r="AE542" s="233"/>
      <c r="AF542" s="233"/>
      <c r="AG542" s="233" t="s">
        <v>3394</v>
      </c>
      <c r="AH542" s="233">
        <v>5</v>
      </c>
      <c r="AI542" s="233">
        <v>85</v>
      </c>
      <c r="AJ542" s="233" t="s">
        <v>432</v>
      </c>
      <c r="AK542" s="233">
        <v>100</v>
      </c>
      <c r="AL542" s="233"/>
      <c r="AM542" s="233" t="s">
        <v>3404</v>
      </c>
      <c r="AN542" s="233"/>
      <c r="AO542" s="233"/>
      <c r="AP542" s="234" t="s">
        <v>434</v>
      </c>
      <c r="AQ542" s="234" t="s">
        <v>408</v>
      </c>
    </row>
    <row r="543" spans="1:43">
      <c r="A543" s="12">
        <v>540</v>
      </c>
      <c r="B543" s="21" t="s">
        <v>6167</v>
      </c>
      <c r="C543" s="5" t="s">
        <v>3423</v>
      </c>
      <c r="D543" s="5" t="s">
        <v>6168</v>
      </c>
      <c r="E543" s="5" t="s">
        <v>6169</v>
      </c>
      <c r="F543" s="5" t="s">
        <v>6170</v>
      </c>
      <c r="G543" s="5" t="s">
        <v>6171</v>
      </c>
      <c r="H543" s="11" t="s">
        <v>6172</v>
      </c>
      <c r="I543" s="5"/>
      <c r="J543" s="5"/>
      <c r="K543" s="5"/>
      <c r="L543" s="5"/>
      <c r="M543" s="5"/>
      <c r="N543" s="5"/>
      <c r="O543" s="5"/>
      <c r="P543" s="11">
        <v>258.00619999999998</v>
      </c>
      <c r="Q543" s="5">
        <v>54.600200000000001</v>
      </c>
      <c r="R543" s="5">
        <f t="shared" si="8"/>
        <v>312.60640000000001</v>
      </c>
      <c r="S543" s="5" t="s">
        <v>2411</v>
      </c>
      <c r="T543" s="12">
        <v>540</v>
      </c>
      <c r="U543" s="258" t="s">
        <v>3429</v>
      </c>
      <c r="V543" s="232" t="s">
        <v>3423</v>
      </c>
      <c r="W543" s="232">
        <v>1903.4</v>
      </c>
      <c r="X543" s="232">
        <v>-7707.4</v>
      </c>
      <c r="Y543" s="233" t="s">
        <v>49</v>
      </c>
      <c r="Z543" s="87" t="s">
        <v>50</v>
      </c>
      <c r="AA543" s="233" t="s">
        <v>51</v>
      </c>
      <c r="AB543" s="234"/>
      <c r="AC543" s="233">
        <v>1</v>
      </c>
      <c r="AD543" s="233" t="s">
        <v>226</v>
      </c>
      <c r="AE543" s="233"/>
      <c r="AF543" s="233"/>
      <c r="AG543" s="233" t="s">
        <v>3430</v>
      </c>
      <c r="AH543" s="233">
        <v>5</v>
      </c>
      <c r="AI543" s="233">
        <v>85</v>
      </c>
      <c r="AJ543" s="233" t="s">
        <v>432</v>
      </c>
      <c r="AK543" s="233">
        <v>100</v>
      </c>
      <c r="AL543" s="233"/>
      <c r="AM543" s="233" t="s">
        <v>3431</v>
      </c>
      <c r="AN543" s="233"/>
      <c r="AO543" s="233"/>
      <c r="AP543" s="234" t="s">
        <v>434</v>
      </c>
      <c r="AQ543" s="234" t="s">
        <v>408</v>
      </c>
    </row>
    <row r="544" spans="1:43">
      <c r="A544" s="12">
        <v>6</v>
      </c>
      <c r="B544" s="21" t="s">
        <v>6173</v>
      </c>
      <c r="C544" s="5" t="s">
        <v>84</v>
      </c>
      <c r="D544" s="5" t="s">
        <v>6174</v>
      </c>
      <c r="E544" s="5" t="s">
        <v>6175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11" t="s">
        <v>46</v>
      </c>
      <c r="Q544" s="5">
        <v>222.81299999999999</v>
      </c>
      <c r="R544" s="5">
        <f t="shared" si="8"/>
        <v>222.81299999999999</v>
      </c>
      <c r="S544" s="5" t="s">
        <v>47</v>
      </c>
      <c r="T544" s="12">
        <v>6</v>
      </c>
      <c r="U544" s="231" t="s">
        <v>87</v>
      </c>
      <c r="V544" s="232" t="s">
        <v>84</v>
      </c>
      <c r="W544" s="232">
        <v>1903.4</v>
      </c>
      <c r="X544" s="232">
        <v>-6996.2</v>
      </c>
      <c r="Y544" s="233" t="s">
        <v>49</v>
      </c>
      <c r="Z544" s="87" t="s">
        <v>50</v>
      </c>
      <c r="AA544" s="233" t="s">
        <v>51</v>
      </c>
      <c r="AB544" s="234"/>
      <c r="AC544" s="233">
        <v>1</v>
      </c>
      <c r="AD544" s="233" t="s">
        <v>226</v>
      </c>
      <c r="AE544" s="233"/>
      <c r="AF544" s="233"/>
      <c r="AG544" s="233" t="s">
        <v>3430</v>
      </c>
      <c r="AH544" s="233">
        <v>5</v>
      </c>
      <c r="AI544" s="233">
        <v>85</v>
      </c>
      <c r="AJ544" s="233" t="s">
        <v>432</v>
      </c>
      <c r="AK544" s="233">
        <v>100</v>
      </c>
      <c r="AL544" s="233"/>
      <c r="AM544" s="233" t="s">
        <v>3440</v>
      </c>
      <c r="AN544" s="233"/>
      <c r="AO544" s="233"/>
      <c r="AP544" s="234" t="s">
        <v>434</v>
      </c>
      <c r="AQ544" s="234" t="s">
        <v>408</v>
      </c>
    </row>
    <row r="545" spans="1:43">
      <c r="A545" s="12">
        <v>2</v>
      </c>
      <c r="B545" s="21" t="s">
        <v>6176</v>
      </c>
      <c r="C545" s="5" t="s">
        <v>57</v>
      </c>
      <c r="D545" s="5" t="s">
        <v>6177</v>
      </c>
      <c r="E545" s="5" t="s">
        <v>6178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11" t="s">
        <v>46</v>
      </c>
      <c r="Q545" s="5">
        <v>222.85159999999999</v>
      </c>
      <c r="R545" s="5">
        <f t="shared" si="8"/>
        <v>222.85159999999999</v>
      </c>
      <c r="S545" s="5" t="s">
        <v>60</v>
      </c>
      <c r="T545" s="12">
        <v>2</v>
      </c>
      <c r="U545" s="231" t="s">
        <v>61</v>
      </c>
      <c r="V545" s="232" t="s">
        <v>57</v>
      </c>
      <c r="W545" s="232">
        <v>932.6</v>
      </c>
      <c r="X545" s="232">
        <v>-10380.6</v>
      </c>
      <c r="Y545" s="233" t="s">
        <v>49</v>
      </c>
      <c r="Z545" s="87" t="s">
        <v>50</v>
      </c>
      <c r="AA545" s="233" t="s">
        <v>51</v>
      </c>
      <c r="AB545" s="234"/>
      <c r="AC545" s="233">
        <v>1</v>
      </c>
      <c r="AD545" s="233" t="s">
        <v>226</v>
      </c>
      <c r="AE545" s="233"/>
      <c r="AF545" s="233"/>
      <c r="AG545" s="233" t="s">
        <v>3430</v>
      </c>
      <c r="AH545" s="233">
        <v>5</v>
      </c>
      <c r="AI545" s="233">
        <v>85</v>
      </c>
      <c r="AJ545" s="233" t="s">
        <v>432</v>
      </c>
      <c r="AK545" s="233">
        <v>100</v>
      </c>
      <c r="AL545" s="233"/>
      <c r="AM545" s="233" t="s">
        <v>3431</v>
      </c>
      <c r="AN545" s="233"/>
      <c r="AO545" s="233"/>
      <c r="AP545" s="234" t="s">
        <v>434</v>
      </c>
      <c r="AQ545" s="234" t="s">
        <v>408</v>
      </c>
    </row>
    <row r="546" spans="1:43">
      <c r="A546" s="12">
        <v>543</v>
      </c>
      <c r="B546" s="21" t="s">
        <v>6179</v>
      </c>
      <c r="C546" s="5" t="s">
        <v>3450</v>
      </c>
      <c r="D546" s="5" t="s">
        <v>6180</v>
      </c>
      <c r="E546" s="5" t="s">
        <v>6181</v>
      </c>
      <c r="F546" s="5" t="s">
        <v>6182</v>
      </c>
      <c r="G546" s="5" t="s">
        <v>6183</v>
      </c>
      <c r="H546" s="11" t="s">
        <v>6184</v>
      </c>
      <c r="I546" s="5"/>
      <c r="J546" s="5"/>
      <c r="K546" s="5"/>
      <c r="L546" s="5"/>
      <c r="M546" s="5"/>
      <c r="N546" s="5"/>
      <c r="O546" s="5"/>
      <c r="P546" s="11">
        <v>258.00319999999999</v>
      </c>
      <c r="Q546" s="5">
        <v>54.843899999999998</v>
      </c>
      <c r="R546" s="5">
        <f t="shared" ref="R546:R580" si="9">IF(AND(P546="",Q546=""),"",SUM(P546:Q546))</f>
        <v>312.84710000000001</v>
      </c>
      <c r="S546" s="5" t="s">
        <v>282</v>
      </c>
      <c r="T546" s="12">
        <v>543</v>
      </c>
      <c r="U546" s="258" t="s">
        <v>3456</v>
      </c>
      <c r="V546" s="232" t="s">
        <v>3450</v>
      </c>
      <c r="W546" s="232">
        <v>432</v>
      </c>
      <c r="X546" s="232">
        <v>-10380.6</v>
      </c>
      <c r="Y546" s="233" t="s">
        <v>49</v>
      </c>
      <c r="Z546" s="87" t="s">
        <v>50</v>
      </c>
      <c r="AA546" s="233" t="s">
        <v>51</v>
      </c>
      <c r="AB546" s="234"/>
      <c r="AC546" s="233">
        <v>1</v>
      </c>
      <c r="AD546" s="233" t="s">
        <v>226</v>
      </c>
      <c r="AE546" s="233"/>
      <c r="AF546" s="233"/>
      <c r="AG546" s="233" t="s">
        <v>3430</v>
      </c>
      <c r="AH546" s="233">
        <v>5</v>
      </c>
      <c r="AI546" s="233">
        <v>85</v>
      </c>
      <c r="AJ546" s="233" t="s">
        <v>432</v>
      </c>
      <c r="AK546" s="233">
        <v>100</v>
      </c>
      <c r="AL546" s="233"/>
      <c r="AM546" s="233" t="s">
        <v>3440</v>
      </c>
      <c r="AN546" s="233"/>
      <c r="AO546" s="233"/>
      <c r="AP546" s="234" t="s">
        <v>434</v>
      </c>
      <c r="AQ546" s="234" t="s">
        <v>408</v>
      </c>
    </row>
    <row r="547" spans="1:43">
      <c r="A547" s="12">
        <v>544</v>
      </c>
      <c r="B547" s="21" t="s">
        <v>6185</v>
      </c>
      <c r="C547" s="5" t="s">
        <v>3458</v>
      </c>
      <c r="D547" s="5" t="s">
        <v>6186</v>
      </c>
      <c r="E547" s="5" t="s">
        <v>6187</v>
      </c>
      <c r="F547" s="5" t="s">
        <v>6188</v>
      </c>
      <c r="G547" s="5" t="s">
        <v>6189</v>
      </c>
      <c r="H547" s="11" t="s">
        <v>6190</v>
      </c>
      <c r="I547" s="5"/>
      <c r="J547" s="5"/>
      <c r="K547" s="5"/>
      <c r="L547" s="5"/>
      <c r="M547" s="5"/>
      <c r="N547" s="5"/>
      <c r="O547" s="5"/>
      <c r="P547" s="11">
        <v>258.01859999999999</v>
      </c>
      <c r="Q547" s="5">
        <v>54.584699999999998</v>
      </c>
      <c r="R547" s="5">
        <f t="shared" si="9"/>
        <v>312.60329999999999</v>
      </c>
      <c r="S547" s="5" t="s">
        <v>452</v>
      </c>
      <c r="T547" s="12">
        <v>544</v>
      </c>
      <c r="U547" s="258" t="s">
        <v>3464</v>
      </c>
      <c r="V547" s="232" t="s">
        <v>3458</v>
      </c>
      <c r="W547" s="232">
        <v>546.1</v>
      </c>
      <c r="X547" s="232">
        <v>-6285</v>
      </c>
      <c r="Y547" s="233" t="s">
        <v>49</v>
      </c>
      <c r="Z547" s="87" t="s">
        <v>50</v>
      </c>
      <c r="AA547" s="233" t="s">
        <v>51</v>
      </c>
      <c r="AB547" s="234"/>
      <c r="AC547" s="233">
        <v>1</v>
      </c>
      <c r="AD547" s="233" t="s">
        <v>226</v>
      </c>
      <c r="AE547" s="233"/>
      <c r="AF547" s="233"/>
      <c r="AG547" s="233" t="s">
        <v>454</v>
      </c>
      <c r="AH547" s="233">
        <v>5</v>
      </c>
      <c r="AI547" s="233">
        <v>85</v>
      </c>
      <c r="AJ547" s="233" t="s">
        <v>432</v>
      </c>
      <c r="AK547" s="233">
        <v>100</v>
      </c>
      <c r="AL547" s="233"/>
      <c r="AM547" s="233" t="s">
        <v>3204</v>
      </c>
      <c r="AN547" s="233"/>
      <c r="AO547" s="233"/>
      <c r="AP547" s="234" t="s">
        <v>434</v>
      </c>
      <c r="AQ547" s="234" t="s">
        <v>408</v>
      </c>
    </row>
    <row r="548" spans="1:43">
      <c r="A548" s="12">
        <v>545</v>
      </c>
      <c r="B548" s="21" t="s">
        <v>6191</v>
      </c>
      <c r="C548" s="5" t="s">
        <v>446</v>
      </c>
      <c r="D548" s="5" t="s">
        <v>6192</v>
      </c>
      <c r="E548" s="5" t="s">
        <v>6193</v>
      </c>
      <c r="F548" s="5" t="s">
        <v>6194</v>
      </c>
      <c r="G548" s="5" t="s">
        <v>6195</v>
      </c>
      <c r="H548" s="11" t="s">
        <v>6196</v>
      </c>
      <c r="I548" s="5"/>
      <c r="J548" s="5"/>
      <c r="K548" s="5"/>
      <c r="L548" s="5"/>
      <c r="M548" s="5"/>
      <c r="N548" s="5"/>
      <c r="O548" s="5"/>
      <c r="P548" s="11">
        <v>258.03879999999998</v>
      </c>
      <c r="Q548" s="5">
        <v>54.586599999999997</v>
      </c>
      <c r="R548" s="5">
        <f t="shared" si="9"/>
        <v>312.62539999999996</v>
      </c>
      <c r="S548" s="5" t="s">
        <v>452</v>
      </c>
      <c r="T548" s="12">
        <v>545</v>
      </c>
      <c r="U548" s="258" t="s">
        <v>453</v>
      </c>
      <c r="V548" s="232" t="s">
        <v>446</v>
      </c>
      <c r="W548" s="232">
        <v>546.1</v>
      </c>
      <c r="X548" s="232">
        <v>-6996.2</v>
      </c>
      <c r="Y548" s="233" t="s">
        <v>49</v>
      </c>
      <c r="Z548" s="87" t="s">
        <v>50</v>
      </c>
      <c r="AA548" s="233" t="s">
        <v>51</v>
      </c>
      <c r="AB548" s="234"/>
      <c r="AC548" s="233">
        <v>1</v>
      </c>
      <c r="AD548" s="233" t="s">
        <v>226</v>
      </c>
      <c r="AE548" s="233"/>
      <c r="AF548" s="233"/>
      <c r="AG548" s="233" t="s">
        <v>454</v>
      </c>
      <c r="AH548" s="233">
        <v>5</v>
      </c>
      <c r="AI548" s="233">
        <v>85</v>
      </c>
      <c r="AJ548" s="233" t="s">
        <v>432</v>
      </c>
      <c r="AK548" s="233">
        <v>100</v>
      </c>
      <c r="AL548" s="233"/>
      <c r="AM548" s="233" t="s">
        <v>455</v>
      </c>
      <c r="AN548" s="233"/>
      <c r="AO548" s="233"/>
      <c r="AP548" s="234" t="s">
        <v>434</v>
      </c>
      <c r="AQ548" s="234" t="s">
        <v>408</v>
      </c>
    </row>
    <row r="549" spans="1:43">
      <c r="A549" s="12">
        <v>546</v>
      </c>
      <c r="B549" s="21" t="s">
        <v>6197</v>
      </c>
      <c r="C549" s="5" t="s">
        <v>3197</v>
      </c>
      <c r="D549" s="5" t="s">
        <v>6198</v>
      </c>
      <c r="E549" s="5" t="s">
        <v>6199</v>
      </c>
      <c r="F549" s="5" t="s">
        <v>6200</v>
      </c>
      <c r="G549" s="5" t="s">
        <v>6201</v>
      </c>
      <c r="H549" s="11" t="s">
        <v>6202</v>
      </c>
      <c r="I549" s="5"/>
      <c r="J549" s="5"/>
      <c r="K549" s="5"/>
      <c r="L549" s="5"/>
      <c r="M549" s="5"/>
      <c r="N549" s="5"/>
      <c r="O549" s="5"/>
      <c r="P549" s="11">
        <v>257.99599999999998</v>
      </c>
      <c r="Q549" s="5">
        <v>54.759300000000003</v>
      </c>
      <c r="R549" s="5">
        <f t="shared" si="9"/>
        <v>312.75529999999998</v>
      </c>
      <c r="S549" s="5" t="s">
        <v>1827</v>
      </c>
      <c r="T549" s="12">
        <v>546</v>
      </c>
      <c r="U549" s="258" t="s">
        <v>3203</v>
      </c>
      <c r="V549" s="232" t="s">
        <v>3197</v>
      </c>
      <c r="W549" s="232">
        <v>-250.2</v>
      </c>
      <c r="X549" s="232">
        <v>-11190</v>
      </c>
      <c r="Y549" s="233" t="s">
        <v>49</v>
      </c>
      <c r="Z549" s="87" t="s">
        <v>50</v>
      </c>
      <c r="AA549" s="233" t="s">
        <v>51</v>
      </c>
      <c r="AB549" s="234"/>
      <c r="AC549" s="233">
        <v>1</v>
      </c>
      <c r="AD549" s="233" t="s">
        <v>226</v>
      </c>
      <c r="AE549" s="233"/>
      <c r="AF549" s="233"/>
      <c r="AG549" s="233" t="s">
        <v>454</v>
      </c>
      <c r="AH549" s="233">
        <v>5</v>
      </c>
      <c r="AI549" s="233">
        <v>85</v>
      </c>
      <c r="AJ549" s="233" t="s">
        <v>432</v>
      </c>
      <c r="AK549" s="233">
        <v>100</v>
      </c>
      <c r="AL549" s="233"/>
      <c r="AM549" s="233" t="s">
        <v>3204</v>
      </c>
      <c r="AN549" s="233"/>
      <c r="AO549" s="233"/>
      <c r="AP549" s="234" t="s">
        <v>434</v>
      </c>
      <c r="AQ549" s="234" t="s">
        <v>408</v>
      </c>
    </row>
    <row r="550" spans="1:43">
      <c r="A550" s="12">
        <v>547</v>
      </c>
      <c r="B550" s="21" t="s">
        <v>6203</v>
      </c>
      <c r="C550" s="5" t="s">
        <v>3476</v>
      </c>
      <c r="D550" s="5" t="s">
        <v>6204</v>
      </c>
      <c r="E550" s="5" t="s">
        <v>6205</v>
      </c>
      <c r="F550" s="5" t="s">
        <v>6206</v>
      </c>
      <c r="G550" s="5" t="s">
        <v>6207</v>
      </c>
      <c r="H550" s="11" t="s">
        <v>6208</v>
      </c>
      <c r="I550" s="5"/>
      <c r="J550" s="5"/>
      <c r="K550" s="5"/>
      <c r="L550" s="5"/>
      <c r="M550" s="5"/>
      <c r="N550" s="5"/>
      <c r="O550" s="5"/>
      <c r="P550" s="11">
        <v>257.99630000000002</v>
      </c>
      <c r="Q550" s="5">
        <v>54.75</v>
      </c>
      <c r="R550" s="5">
        <f t="shared" si="9"/>
        <v>312.74630000000002</v>
      </c>
      <c r="S550" s="5" t="s">
        <v>1827</v>
      </c>
      <c r="T550" s="12">
        <v>547</v>
      </c>
      <c r="U550" s="258" t="s">
        <v>3482</v>
      </c>
      <c r="V550" s="232" t="s">
        <v>3476</v>
      </c>
      <c r="W550" s="232">
        <v>250.2</v>
      </c>
      <c r="X550" s="232">
        <v>-11190</v>
      </c>
      <c r="Y550" s="233" t="s">
        <v>49</v>
      </c>
      <c r="Z550" s="87" t="s">
        <v>50</v>
      </c>
      <c r="AA550" s="233" t="s">
        <v>51</v>
      </c>
      <c r="AB550" s="234"/>
      <c r="AC550" s="233">
        <v>1</v>
      </c>
      <c r="AD550" s="233" t="s">
        <v>226</v>
      </c>
      <c r="AE550" s="233"/>
      <c r="AF550" s="233"/>
      <c r="AG550" s="233" t="s">
        <v>454</v>
      </c>
      <c r="AH550" s="233">
        <v>5</v>
      </c>
      <c r="AI550" s="233">
        <v>85</v>
      </c>
      <c r="AJ550" s="233" t="s">
        <v>432</v>
      </c>
      <c r="AK550" s="233">
        <v>100</v>
      </c>
      <c r="AL550" s="233"/>
      <c r="AM550" s="233" t="s">
        <v>455</v>
      </c>
      <c r="AN550" s="233"/>
      <c r="AO550" s="233"/>
      <c r="AP550" s="234" t="s">
        <v>434</v>
      </c>
      <c r="AQ550" s="234" t="s">
        <v>408</v>
      </c>
    </row>
    <row r="551" spans="1:43">
      <c r="A551" s="12">
        <v>548</v>
      </c>
      <c r="B551" s="21" t="s">
        <v>6209</v>
      </c>
      <c r="C551" s="5" t="s">
        <v>3484</v>
      </c>
      <c r="D551" s="5" t="s">
        <v>605</v>
      </c>
      <c r="E551" s="5" t="s">
        <v>605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11" t="s">
        <v>46</v>
      </c>
      <c r="Q551" s="5" t="s">
        <v>46</v>
      </c>
      <c r="R551" s="5" t="str">
        <f t="shared" si="9"/>
        <v/>
      </c>
      <c r="S551" s="5" t="s">
        <v>46</v>
      </c>
      <c r="T551" s="12">
        <v>548</v>
      </c>
      <c r="U551" s="89" t="s">
        <v>3485</v>
      </c>
      <c r="V551" s="232" t="s">
        <v>3484</v>
      </c>
      <c r="W551" s="232">
        <v>5671.5</v>
      </c>
      <c r="X551" s="232">
        <v>-4437.8999999999996</v>
      </c>
      <c r="Y551" s="87" t="s">
        <v>668</v>
      </c>
      <c r="Z551" s="87" t="s">
        <v>50</v>
      </c>
      <c r="AA551" s="233" t="s">
        <v>669</v>
      </c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90" t="s">
        <v>3486</v>
      </c>
    </row>
    <row r="552" spans="1:43">
      <c r="A552" s="12">
        <v>549</v>
      </c>
      <c r="B552" s="21" t="s">
        <v>6210</v>
      </c>
      <c r="C552" s="5" t="s">
        <v>3488</v>
      </c>
      <c r="D552" s="5" t="s">
        <v>605</v>
      </c>
      <c r="E552" s="5" t="s">
        <v>605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11" t="s">
        <v>46</v>
      </c>
      <c r="Q552" s="5" t="s">
        <v>46</v>
      </c>
      <c r="R552" s="5" t="str">
        <f t="shared" si="9"/>
        <v/>
      </c>
      <c r="S552" s="5" t="s">
        <v>46</v>
      </c>
      <c r="T552" s="12">
        <v>549</v>
      </c>
      <c r="U552" s="259" t="s">
        <v>3489</v>
      </c>
      <c r="V552" s="232" t="s">
        <v>3488</v>
      </c>
      <c r="W552" s="232">
        <v>5503.1</v>
      </c>
      <c r="X552" s="232">
        <v>2344.5</v>
      </c>
      <c r="Y552" s="87" t="s">
        <v>668</v>
      </c>
      <c r="Z552" s="87" t="s">
        <v>50</v>
      </c>
      <c r="AA552" s="233" t="s">
        <v>669</v>
      </c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31" t="s">
        <v>3490</v>
      </c>
    </row>
    <row r="553" spans="1:43">
      <c r="A553" s="12">
        <v>550</v>
      </c>
      <c r="B553" s="21" t="s">
        <v>6211</v>
      </c>
      <c r="C553" s="5" t="s">
        <v>3492</v>
      </c>
      <c r="D553" s="5" t="s">
        <v>605</v>
      </c>
      <c r="E553" s="5" t="s">
        <v>605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11" t="s">
        <v>46</v>
      </c>
      <c r="Q553" s="5" t="s">
        <v>46</v>
      </c>
      <c r="R553" s="5" t="str">
        <f t="shared" si="9"/>
        <v/>
      </c>
      <c r="S553" s="5" t="s">
        <v>46</v>
      </c>
      <c r="T553" s="12">
        <v>550</v>
      </c>
      <c r="U553" s="259" t="s">
        <v>3493</v>
      </c>
      <c r="V553" s="232" t="s">
        <v>3492</v>
      </c>
      <c r="W553" s="232">
        <v>3098.8</v>
      </c>
      <c r="X553" s="232">
        <v>1549.4</v>
      </c>
      <c r="Y553" s="87" t="s">
        <v>668</v>
      </c>
      <c r="Z553" s="87" t="s">
        <v>50</v>
      </c>
      <c r="AA553" s="233" t="s">
        <v>669</v>
      </c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235" t="s">
        <v>3494</v>
      </c>
    </row>
    <row r="554" spans="1:43">
      <c r="A554" s="12">
        <v>551</v>
      </c>
      <c r="B554" s="21" t="s">
        <v>6212</v>
      </c>
      <c r="C554" s="5" t="s">
        <v>3496</v>
      </c>
      <c r="D554" s="5" t="s">
        <v>605</v>
      </c>
      <c r="E554" s="5" t="s">
        <v>605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11" t="s">
        <v>46</v>
      </c>
      <c r="Q554" s="5" t="s">
        <v>46</v>
      </c>
      <c r="R554" s="5" t="str">
        <f t="shared" si="9"/>
        <v/>
      </c>
      <c r="S554" s="5" t="s">
        <v>46</v>
      </c>
      <c r="T554" s="12">
        <v>551</v>
      </c>
      <c r="U554" s="259" t="s">
        <v>3497</v>
      </c>
      <c r="V554" s="232" t="s">
        <v>3496</v>
      </c>
      <c r="W554" s="232">
        <v>4779.2</v>
      </c>
      <c r="X554" s="232">
        <v>2344.5</v>
      </c>
      <c r="Y554" s="87" t="s">
        <v>668</v>
      </c>
      <c r="Z554" s="87" t="s">
        <v>50</v>
      </c>
      <c r="AA554" s="233" t="s">
        <v>669</v>
      </c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235" t="s">
        <v>3498</v>
      </c>
    </row>
    <row r="555" spans="1:43">
      <c r="A555" s="12">
        <v>552</v>
      </c>
      <c r="B555" s="21" t="s">
        <v>6213</v>
      </c>
      <c r="C555" s="5" t="s">
        <v>3500</v>
      </c>
      <c r="D555" s="5" t="s">
        <v>605</v>
      </c>
      <c r="E555" s="5" t="s">
        <v>605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11" t="s">
        <v>46</v>
      </c>
      <c r="Q555" s="5" t="s">
        <v>46</v>
      </c>
      <c r="R555" s="5" t="str">
        <f t="shared" si="9"/>
        <v/>
      </c>
      <c r="S555" s="5" t="s">
        <v>46</v>
      </c>
      <c r="T555" s="12">
        <v>552</v>
      </c>
      <c r="U555" s="259" t="s">
        <v>3501</v>
      </c>
      <c r="V555" s="232" t="s">
        <v>3500</v>
      </c>
      <c r="W555" s="232">
        <v>6227</v>
      </c>
      <c r="X555" s="232">
        <v>-4325.8999999999996</v>
      </c>
      <c r="Y555" s="87" t="s">
        <v>668</v>
      </c>
      <c r="Z555" s="87" t="s">
        <v>50</v>
      </c>
      <c r="AA555" s="233" t="s">
        <v>669</v>
      </c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235" t="s">
        <v>3502</v>
      </c>
    </row>
    <row r="556" spans="1:43">
      <c r="A556" s="12">
        <v>553</v>
      </c>
      <c r="B556" s="21" t="s">
        <v>6214</v>
      </c>
      <c r="C556" s="5" t="s">
        <v>3504</v>
      </c>
      <c r="D556" s="5" t="s">
        <v>605</v>
      </c>
      <c r="E556" s="5" t="s">
        <v>605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11" t="s">
        <v>46</v>
      </c>
      <c r="Q556" s="5" t="s">
        <v>46</v>
      </c>
      <c r="R556" s="5" t="str">
        <f t="shared" si="9"/>
        <v/>
      </c>
      <c r="S556" s="5" t="s">
        <v>46</v>
      </c>
      <c r="T556" s="12">
        <v>553</v>
      </c>
      <c r="U556" s="259" t="s">
        <v>3505</v>
      </c>
      <c r="V556" s="232" t="s">
        <v>3504</v>
      </c>
      <c r="W556" s="232">
        <v>2324.1</v>
      </c>
      <c r="X556" s="232">
        <v>1549.4</v>
      </c>
      <c r="Y556" s="87" t="s">
        <v>668</v>
      </c>
      <c r="Z556" s="87" t="s">
        <v>50</v>
      </c>
      <c r="AA556" s="233" t="s">
        <v>669</v>
      </c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235" t="s">
        <v>3506</v>
      </c>
    </row>
    <row r="557" spans="1:43">
      <c r="A557" s="12">
        <v>554</v>
      </c>
      <c r="B557" s="21" t="s">
        <v>6214</v>
      </c>
      <c r="C557" s="5" t="s">
        <v>3507</v>
      </c>
      <c r="D557" s="5" t="s">
        <v>605</v>
      </c>
      <c r="E557" s="5" t="s">
        <v>605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11" t="s">
        <v>46</v>
      </c>
      <c r="Q557" s="5" t="s">
        <v>46</v>
      </c>
      <c r="R557" s="5" t="str">
        <f t="shared" si="9"/>
        <v/>
      </c>
      <c r="S557" s="5" t="s">
        <v>46</v>
      </c>
      <c r="T557" s="12">
        <v>554</v>
      </c>
      <c r="U557" s="259" t="s">
        <v>3505</v>
      </c>
      <c r="V557" s="232" t="s">
        <v>3507</v>
      </c>
      <c r="W557" s="232">
        <v>3335.2</v>
      </c>
      <c r="X557" s="232">
        <v>2525.3000000000002</v>
      </c>
      <c r="Y557" s="87" t="s">
        <v>668</v>
      </c>
      <c r="Z557" s="87" t="s">
        <v>50</v>
      </c>
      <c r="AA557" s="233" t="s">
        <v>669</v>
      </c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235" t="s">
        <v>3506</v>
      </c>
    </row>
    <row r="558" spans="1:43">
      <c r="A558" s="12">
        <v>555</v>
      </c>
      <c r="B558" s="21" t="s">
        <v>6214</v>
      </c>
      <c r="C558" s="5" t="s">
        <v>3508</v>
      </c>
      <c r="D558" s="5" t="s">
        <v>605</v>
      </c>
      <c r="E558" s="5" t="s">
        <v>605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11" t="s">
        <v>46</v>
      </c>
      <c r="Q558" s="5" t="s">
        <v>46</v>
      </c>
      <c r="R558" s="5" t="str">
        <f t="shared" si="9"/>
        <v/>
      </c>
      <c r="S558" s="5" t="s">
        <v>46</v>
      </c>
      <c r="T558" s="12">
        <v>555</v>
      </c>
      <c r="U558" s="259" t="s">
        <v>3505</v>
      </c>
      <c r="V558" s="232" t="s">
        <v>3508</v>
      </c>
      <c r="W558" s="232">
        <v>2344.5</v>
      </c>
      <c r="X558" s="232">
        <v>2525.3000000000002</v>
      </c>
      <c r="Y558" s="87" t="s">
        <v>668</v>
      </c>
      <c r="Z558" s="87" t="s">
        <v>50</v>
      </c>
      <c r="AA558" s="233" t="s">
        <v>669</v>
      </c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235" t="s">
        <v>3506</v>
      </c>
    </row>
    <row r="559" spans="1:43">
      <c r="A559" s="12">
        <v>556</v>
      </c>
      <c r="B559" s="21" t="s">
        <v>6215</v>
      </c>
      <c r="C559" s="5" t="s">
        <v>3510</v>
      </c>
      <c r="D559" s="5" t="s">
        <v>605</v>
      </c>
      <c r="E559" s="5" t="s">
        <v>605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11" t="s">
        <v>46</v>
      </c>
      <c r="Q559" s="5" t="s">
        <v>46</v>
      </c>
      <c r="R559" s="5" t="str">
        <f t="shared" si="9"/>
        <v/>
      </c>
      <c r="S559" s="5" t="s">
        <v>46</v>
      </c>
      <c r="T559" s="12">
        <v>556</v>
      </c>
      <c r="U559" s="259" t="s">
        <v>3511</v>
      </c>
      <c r="V559" s="232" t="s">
        <v>3510</v>
      </c>
      <c r="W559" s="232">
        <v>6950.9</v>
      </c>
      <c r="X559" s="232">
        <v>-4325.8999999999996</v>
      </c>
      <c r="Y559" s="87" t="s">
        <v>668</v>
      </c>
      <c r="Z559" s="87" t="s">
        <v>50</v>
      </c>
      <c r="AA559" s="233" t="s">
        <v>669</v>
      </c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235" t="s">
        <v>3512</v>
      </c>
    </row>
    <row r="560" spans="1:43">
      <c r="A560" s="12">
        <v>557</v>
      </c>
      <c r="B560" s="21" t="s">
        <v>6216</v>
      </c>
      <c r="C560" s="5" t="s">
        <v>3514</v>
      </c>
      <c r="D560" s="5" t="s">
        <v>605</v>
      </c>
      <c r="E560" s="5" t="s">
        <v>605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11" t="s">
        <v>46</v>
      </c>
      <c r="Q560" s="5" t="s">
        <v>46</v>
      </c>
      <c r="R560" s="5" t="str">
        <f t="shared" si="9"/>
        <v/>
      </c>
      <c r="S560" s="5" t="s">
        <v>46</v>
      </c>
      <c r="T560" s="12">
        <v>557</v>
      </c>
      <c r="U560" s="259" t="s">
        <v>3515</v>
      </c>
      <c r="V560" s="232" t="s">
        <v>3514</v>
      </c>
      <c r="W560" s="232">
        <v>4779.2</v>
      </c>
      <c r="X560" s="232">
        <v>3335.2</v>
      </c>
      <c r="Y560" s="87" t="s">
        <v>668</v>
      </c>
      <c r="Z560" s="87" t="s">
        <v>50</v>
      </c>
      <c r="AA560" s="233" t="s">
        <v>669</v>
      </c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235" t="s">
        <v>3516</v>
      </c>
    </row>
    <row r="561" spans="1:43">
      <c r="A561" s="12">
        <v>558</v>
      </c>
      <c r="B561" s="21" t="s">
        <v>6217</v>
      </c>
      <c r="C561" s="5" t="s">
        <v>3518</v>
      </c>
      <c r="D561" s="5" t="s">
        <v>605</v>
      </c>
      <c r="E561" s="5" t="s">
        <v>605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11" t="s">
        <v>46</v>
      </c>
      <c r="Q561" s="5" t="s">
        <v>46</v>
      </c>
      <c r="R561" s="5" t="str">
        <f t="shared" si="9"/>
        <v/>
      </c>
      <c r="S561" s="5" t="s">
        <v>46</v>
      </c>
      <c r="T561" s="12">
        <v>558</v>
      </c>
      <c r="U561" s="259" t="s">
        <v>3519</v>
      </c>
      <c r="V561" s="232" t="s">
        <v>3518</v>
      </c>
      <c r="W561" s="232">
        <v>6950.9</v>
      </c>
      <c r="X561" s="232">
        <v>-5316.6</v>
      </c>
      <c r="Y561" s="87" t="s">
        <v>668</v>
      </c>
      <c r="Z561" s="87" t="s">
        <v>50</v>
      </c>
      <c r="AA561" s="233" t="s">
        <v>669</v>
      </c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235" t="s">
        <v>3520</v>
      </c>
    </row>
    <row r="562" spans="1:43">
      <c r="A562" s="12">
        <v>559</v>
      </c>
      <c r="B562" s="21" t="s">
        <v>6218</v>
      </c>
      <c r="C562" s="5" t="s">
        <v>3522</v>
      </c>
      <c r="D562" s="5" t="s">
        <v>605</v>
      </c>
      <c r="E562" s="5" t="s">
        <v>605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11" t="s">
        <v>46</v>
      </c>
      <c r="Q562" s="5" t="s">
        <v>46</v>
      </c>
      <c r="R562" s="5" t="str">
        <f t="shared" si="9"/>
        <v/>
      </c>
      <c r="S562" s="5" t="s">
        <v>46</v>
      </c>
      <c r="T562" s="12">
        <v>559</v>
      </c>
      <c r="U562" s="259" t="s">
        <v>3523</v>
      </c>
      <c r="V562" s="232" t="s">
        <v>3522</v>
      </c>
      <c r="W562" s="232">
        <v>6227</v>
      </c>
      <c r="X562" s="232">
        <v>-5316.6</v>
      </c>
      <c r="Y562" s="87" t="s">
        <v>668</v>
      </c>
      <c r="Z562" s="87" t="s">
        <v>50</v>
      </c>
      <c r="AA562" s="233" t="s">
        <v>669</v>
      </c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235" t="s">
        <v>3524</v>
      </c>
    </row>
    <row r="563" spans="1:43">
      <c r="A563" s="12">
        <v>560</v>
      </c>
      <c r="B563" s="21" t="s">
        <v>6219</v>
      </c>
      <c r="C563" s="5" t="s">
        <v>3526</v>
      </c>
      <c r="D563" s="5" t="s">
        <v>605</v>
      </c>
      <c r="E563" s="5" t="s">
        <v>605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11" t="s">
        <v>46</v>
      </c>
      <c r="Q563" s="5" t="s">
        <v>46</v>
      </c>
      <c r="R563" s="5" t="str">
        <f t="shared" si="9"/>
        <v/>
      </c>
      <c r="S563" s="5" t="s">
        <v>46</v>
      </c>
      <c r="T563" s="12">
        <v>560</v>
      </c>
      <c r="U563" s="259" t="s">
        <v>3527</v>
      </c>
      <c r="V563" s="232" t="s">
        <v>3526</v>
      </c>
      <c r="W563" s="232">
        <v>7674.8</v>
      </c>
      <c r="X563" s="232">
        <v>-4325.8999999999996</v>
      </c>
      <c r="Y563" s="87" t="s">
        <v>668</v>
      </c>
      <c r="Z563" s="87" t="s">
        <v>50</v>
      </c>
      <c r="AA563" s="233" t="s">
        <v>669</v>
      </c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235" t="s">
        <v>3528</v>
      </c>
    </row>
    <row r="564" spans="1:43">
      <c r="A564" s="12">
        <v>561</v>
      </c>
      <c r="B564" s="21" t="s">
        <v>6220</v>
      </c>
      <c r="C564" s="5" t="s">
        <v>3530</v>
      </c>
      <c r="D564" s="5" t="s">
        <v>605</v>
      </c>
      <c r="E564" s="5" t="s">
        <v>605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11" t="s">
        <v>46</v>
      </c>
      <c r="Q564" s="5" t="s">
        <v>46</v>
      </c>
      <c r="R564" s="5" t="str">
        <f t="shared" si="9"/>
        <v/>
      </c>
      <c r="S564" s="5" t="s">
        <v>46</v>
      </c>
      <c r="T564" s="12">
        <v>561</v>
      </c>
      <c r="U564" s="259" t="s">
        <v>3531</v>
      </c>
      <c r="V564" s="232" t="s">
        <v>3530</v>
      </c>
      <c r="W564" s="232">
        <v>5503.1</v>
      </c>
      <c r="X564" s="232">
        <v>3335.2</v>
      </c>
      <c r="Y564" s="87" t="s">
        <v>668</v>
      </c>
      <c r="Z564" s="87" t="s">
        <v>50</v>
      </c>
      <c r="AA564" s="233" t="s">
        <v>669</v>
      </c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235" t="s">
        <v>3532</v>
      </c>
    </row>
    <row r="565" spans="1:43">
      <c r="A565" s="12">
        <v>562</v>
      </c>
      <c r="B565" s="21" t="s">
        <v>6221</v>
      </c>
      <c r="C565" s="5" t="s">
        <v>3534</v>
      </c>
      <c r="D565" s="5" t="s">
        <v>6222</v>
      </c>
      <c r="E565" s="5" t="s">
        <v>6223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11" t="s">
        <v>46</v>
      </c>
      <c r="Q565" s="5">
        <v>137.23330000000001</v>
      </c>
      <c r="R565" s="5">
        <f t="shared" si="9"/>
        <v>137.23330000000001</v>
      </c>
      <c r="S565" s="5" t="s">
        <v>338</v>
      </c>
      <c r="T565" s="12">
        <v>562</v>
      </c>
      <c r="U565" s="259" t="s">
        <v>3537</v>
      </c>
      <c r="V565" s="232" t="s">
        <v>3534</v>
      </c>
      <c r="W565" s="232">
        <v>13439.1</v>
      </c>
      <c r="X565" s="232">
        <v>9307.6</v>
      </c>
      <c r="Y565" s="87" t="s">
        <v>668</v>
      </c>
      <c r="Z565" s="87" t="s">
        <v>50</v>
      </c>
      <c r="AA565" s="233" t="s">
        <v>51</v>
      </c>
      <c r="AB565" s="17"/>
      <c r="AC565" s="233">
        <v>1</v>
      </c>
      <c r="AD565" s="233" t="s">
        <v>226</v>
      </c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260" t="s">
        <v>3538</v>
      </c>
    </row>
    <row r="566" spans="1:43">
      <c r="A566" s="12">
        <v>563</v>
      </c>
      <c r="B566" s="21" t="s">
        <v>6221</v>
      </c>
      <c r="C566" s="5" t="s">
        <v>3539</v>
      </c>
      <c r="D566" s="5" t="s">
        <v>6222</v>
      </c>
      <c r="E566" s="5" t="s">
        <v>6223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11" t="s">
        <v>46</v>
      </c>
      <c r="Q566" s="5">
        <v>137.23330000000001</v>
      </c>
      <c r="R566" s="5">
        <f t="shared" si="9"/>
        <v>137.23330000000001</v>
      </c>
      <c r="S566" s="5" t="s">
        <v>338</v>
      </c>
      <c r="T566" s="12">
        <v>563</v>
      </c>
      <c r="U566" s="259" t="s">
        <v>3537</v>
      </c>
      <c r="V566" s="232" t="s">
        <v>3539</v>
      </c>
      <c r="W566" s="232">
        <v>12922</v>
      </c>
      <c r="X566" s="232">
        <v>9407.2000000000007</v>
      </c>
      <c r="Y566" s="87" t="s">
        <v>668</v>
      </c>
      <c r="Z566" s="87" t="s">
        <v>50</v>
      </c>
      <c r="AA566" s="233" t="s">
        <v>51</v>
      </c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260" t="s">
        <v>3538</v>
      </c>
    </row>
    <row r="567" spans="1:43">
      <c r="A567" s="12">
        <v>564</v>
      </c>
      <c r="B567" s="21" t="s">
        <v>6221</v>
      </c>
      <c r="C567" s="5" t="s">
        <v>3540</v>
      </c>
      <c r="D567" s="5" t="s">
        <v>6222</v>
      </c>
      <c r="E567" s="5" t="s">
        <v>6223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11" t="s">
        <v>46</v>
      </c>
      <c r="Q567" s="5">
        <v>137.23330000000001</v>
      </c>
      <c r="R567" s="5">
        <f t="shared" si="9"/>
        <v>137.23330000000001</v>
      </c>
      <c r="S567" s="5" t="s">
        <v>338</v>
      </c>
      <c r="T567" s="12">
        <v>564</v>
      </c>
      <c r="U567" s="259" t="s">
        <v>3537</v>
      </c>
      <c r="V567" s="232" t="s">
        <v>3540</v>
      </c>
      <c r="W567" s="232">
        <v>13439.1</v>
      </c>
      <c r="X567" s="232">
        <v>9808.2999999999993</v>
      </c>
      <c r="Y567" s="87" t="s">
        <v>668</v>
      </c>
      <c r="Z567" s="87" t="s">
        <v>50</v>
      </c>
      <c r="AA567" s="233" t="s">
        <v>51</v>
      </c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260" t="s">
        <v>3538</v>
      </c>
    </row>
    <row r="568" spans="1:43">
      <c r="A568" s="12">
        <v>565</v>
      </c>
      <c r="B568" s="21" t="s">
        <v>6221</v>
      </c>
      <c r="C568" s="5" t="s">
        <v>3541</v>
      </c>
      <c r="D568" s="5" t="s">
        <v>6222</v>
      </c>
      <c r="E568" s="5" t="s">
        <v>6223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11" t="s">
        <v>46</v>
      </c>
      <c r="Q568" s="5">
        <v>137.23330000000001</v>
      </c>
      <c r="R568" s="5">
        <f t="shared" si="9"/>
        <v>137.23330000000001</v>
      </c>
      <c r="S568" s="5" t="s">
        <v>338</v>
      </c>
      <c r="T568" s="12">
        <v>565</v>
      </c>
      <c r="U568" s="259" t="s">
        <v>3537</v>
      </c>
      <c r="V568" s="232" t="s">
        <v>3541</v>
      </c>
      <c r="W568" s="232">
        <v>12972.8</v>
      </c>
      <c r="X568" s="232">
        <v>10045.5</v>
      </c>
      <c r="Y568" s="87" t="s">
        <v>668</v>
      </c>
      <c r="Z568" s="87" t="s">
        <v>50</v>
      </c>
      <c r="AA568" s="233" t="s">
        <v>51</v>
      </c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260" t="s">
        <v>3538</v>
      </c>
    </row>
    <row r="569" spans="1:43">
      <c r="A569" s="12">
        <v>566</v>
      </c>
      <c r="B569" s="21" t="s">
        <v>6221</v>
      </c>
      <c r="C569" s="5" t="s">
        <v>3542</v>
      </c>
      <c r="D569" s="5" t="s">
        <v>6222</v>
      </c>
      <c r="E569" s="5" t="s">
        <v>6223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11" t="s">
        <v>46</v>
      </c>
      <c r="Q569" s="5">
        <v>137.23330000000001</v>
      </c>
      <c r="R569" s="5">
        <f t="shared" si="9"/>
        <v>137.23330000000001</v>
      </c>
      <c r="S569" s="5" t="s">
        <v>338</v>
      </c>
      <c r="T569" s="12">
        <v>566</v>
      </c>
      <c r="U569" s="259" t="s">
        <v>3537</v>
      </c>
      <c r="V569" s="232" t="s">
        <v>3542</v>
      </c>
      <c r="W569" s="232">
        <v>12930.1</v>
      </c>
      <c r="X569" s="232">
        <v>10680</v>
      </c>
      <c r="Y569" s="87" t="s">
        <v>668</v>
      </c>
      <c r="Z569" s="87" t="s">
        <v>50</v>
      </c>
      <c r="AA569" s="233" t="s">
        <v>51</v>
      </c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260" t="s">
        <v>3538</v>
      </c>
    </row>
    <row r="570" spans="1:43">
      <c r="A570" s="12">
        <v>567</v>
      </c>
      <c r="B570" s="21" t="s">
        <v>6224</v>
      </c>
      <c r="C570" s="5" t="s">
        <v>3544</v>
      </c>
      <c r="D570" s="5" t="s">
        <v>605</v>
      </c>
      <c r="E570" s="5" t="s">
        <v>605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11" t="s">
        <v>46</v>
      </c>
      <c r="Q570" s="5" t="s">
        <v>46</v>
      </c>
      <c r="R570" s="5" t="str">
        <f t="shared" si="9"/>
        <v/>
      </c>
      <c r="S570" s="5" t="s">
        <v>46</v>
      </c>
      <c r="T570" s="12">
        <v>567</v>
      </c>
      <c r="U570" s="259" t="s">
        <v>3545</v>
      </c>
      <c r="V570" s="232" t="s">
        <v>3544</v>
      </c>
      <c r="W570" s="232">
        <v>12141</v>
      </c>
      <c r="X570" s="232">
        <v>9411.9</v>
      </c>
      <c r="Y570" s="87" t="s">
        <v>668</v>
      </c>
      <c r="Z570" s="87" t="s">
        <v>50</v>
      </c>
      <c r="AA570" s="233" t="s">
        <v>669</v>
      </c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260" t="s">
        <v>3546</v>
      </c>
    </row>
    <row r="571" spans="1:43">
      <c r="A571" s="12">
        <v>568</v>
      </c>
      <c r="B571" s="21" t="s">
        <v>6224</v>
      </c>
      <c r="C571" s="5" t="s">
        <v>3547</v>
      </c>
      <c r="D571" s="5" t="s">
        <v>605</v>
      </c>
      <c r="E571" s="5" t="s">
        <v>605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11" t="s">
        <v>46</v>
      </c>
      <c r="Q571" s="5" t="s">
        <v>46</v>
      </c>
      <c r="R571" s="5" t="str">
        <f t="shared" si="9"/>
        <v/>
      </c>
      <c r="S571" s="5" t="s">
        <v>46</v>
      </c>
      <c r="T571" s="12">
        <v>568</v>
      </c>
      <c r="U571" s="259" t="s">
        <v>3545</v>
      </c>
      <c r="V571" s="232" t="s">
        <v>3547</v>
      </c>
      <c r="W571" s="232">
        <v>12527.8</v>
      </c>
      <c r="X571" s="232">
        <v>10277.200000000001</v>
      </c>
      <c r="Y571" s="87" t="s">
        <v>668</v>
      </c>
      <c r="Z571" s="87" t="s">
        <v>50</v>
      </c>
      <c r="AA571" s="233" t="s">
        <v>669</v>
      </c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260" t="s">
        <v>3546</v>
      </c>
    </row>
    <row r="572" spans="1:43">
      <c r="A572" s="12">
        <v>569</v>
      </c>
      <c r="B572" s="21" t="s">
        <v>6225</v>
      </c>
      <c r="C572" s="5" t="s">
        <v>3549</v>
      </c>
      <c r="D572" s="5" t="s">
        <v>605</v>
      </c>
      <c r="E572" s="5" t="s">
        <v>605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11" t="s">
        <v>46</v>
      </c>
      <c r="Q572" s="5" t="s">
        <v>46</v>
      </c>
      <c r="R572" s="5" t="str">
        <f t="shared" si="9"/>
        <v/>
      </c>
      <c r="S572" s="5" t="s">
        <v>46</v>
      </c>
      <c r="T572" s="12">
        <v>569</v>
      </c>
      <c r="U572" s="259" t="s">
        <v>3550</v>
      </c>
      <c r="V572" s="232" t="s">
        <v>3549</v>
      </c>
      <c r="W572" s="232">
        <v>2324.1</v>
      </c>
      <c r="X572" s="232">
        <v>0</v>
      </c>
      <c r="Y572" s="87" t="s">
        <v>668</v>
      </c>
      <c r="Z572" s="87" t="s">
        <v>50</v>
      </c>
      <c r="AA572" s="233" t="s">
        <v>669</v>
      </c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235" t="s">
        <v>3551</v>
      </c>
    </row>
    <row r="573" spans="1:43">
      <c r="A573" s="12">
        <v>570</v>
      </c>
      <c r="B573" s="21" t="s">
        <v>6226</v>
      </c>
      <c r="C573" s="5" t="s">
        <v>3553</v>
      </c>
      <c r="D573" s="5" t="s">
        <v>605</v>
      </c>
      <c r="E573" s="5" t="s">
        <v>605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11" t="s">
        <v>46</v>
      </c>
      <c r="Q573" s="5" t="s">
        <v>46</v>
      </c>
      <c r="R573" s="5" t="str">
        <f t="shared" si="9"/>
        <v/>
      </c>
      <c r="S573" s="5" t="s">
        <v>46</v>
      </c>
      <c r="T573" s="12">
        <v>570</v>
      </c>
      <c r="U573" s="259" t="s">
        <v>3554</v>
      </c>
      <c r="V573" s="232" t="s">
        <v>3553</v>
      </c>
      <c r="W573" s="232">
        <v>-4779.2</v>
      </c>
      <c r="X573" s="232">
        <v>1353.8</v>
      </c>
      <c r="Y573" s="87" t="s">
        <v>668</v>
      </c>
      <c r="Z573" s="87" t="s">
        <v>50</v>
      </c>
      <c r="AA573" s="233" t="s">
        <v>669</v>
      </c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235" t="s">
        <v>3555</v>
      </c>
    </row>
    <row r="574" spans="1:43">
      <c r="A574" s="12">
        <v>571</v>
      </c>
      <c r="B574" s="21" t="s">
        <v>6227</v>
      </c>
      <c r="C574" s="5" t="s">
        <v>3557</v>
      </c>
      <c r="D574" s="5" t="s">
        <v>605</v>
      </c>
      <c r="E574" s="5" t="s">
        <v>605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11" t="s">
        <v>46</v>
      </c>
      <c r="Q574" s="5" t="s">
        <v>46</v>
      </c>
      <c r="R574" s="5" t="str">
        <f t="shared" si="9"/>
        <v/>
      </c>
      <c r="S574" s="5" t="s">
        <v>46</v>
      </c>
      <c r="T574" s="12">
        <v>571</v>
      </c>
      <c r="U574" s="259" t="s">
        <v>3558</v>
      </c>
      <c r="V574" s="232" t="s">
        <v>3557</v>
      </c>
      <c r="W574" s="232">
        <v>5503.1</v>
      </c>
      <c r="X574" s="232">
        <v>-1353.8</v>
      </c>
      <c r="Y574" s="87" t="s">
        <v>668</v>
      </c>
      <c r="Z574" s="87" t="s">
        <v>50</v>
      </c>
      <c r="AA574" s="233" t="s">
        <v>669</v>
      </c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235" t="s">
        <v>3559</v>
      </c>
    </row>
    <row r="575" spans="1:43">
      <c r="A575" s="12">
        <v>572</v>
      </c>
      <c r="B575" s="21" t="s">
        <v>6228</v>
      </c>
      <c r="C575" s="5" t="s">
        <v>3561</v>
      </c>
      <c r="D575" s="5" t="s">
        <v>605</v>
      </c>
      <c r="E575" s="5" t="s">
        <v>605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11" t="s">
        <v>46</v>
      </c>
      <c r="Q575" s="5" t="s">
        <v>46</v>
      </c>
      <c r="R575" s="5" t="str">
        <f t="shared" si="9"/>
        <v/>
      </c>
      <c r="S575" s="5" t="s">
        <v>46</v>
      </c>
      <c r="T575" s="12">
        <v>572</v>
      </c>
      <c r="U575" s="259" t="s">
        <v>3562</v>
      </c>
      <c r="V575" s="232" t="s">
        <v>3561</v>
      </c>
      <c r="W575" s="232">
        <v>0</v>
      </c>
      <c r="X575" s="232">
        <v>-1549.4</v>
      </c>
      <c r="Y575" s="87" t="s">
        <v>668</v>
      </c>
      <c r="Z575" s="87" t="s">
        <v>50</v>
      </c>
      <c r="AA575" s="233" t="s">
        <v>669</v>
      </c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235" t="s">
        <v>3563</v>
      </c>
    </row>
    <row r="576" spans="1:43">
      <c r="A576" s="12">
        <v>573</v>
      </c>
      <c r="B576" s="21" t="s">
        <v>6228</v>
      </c>
      <c r="C576" s="5" t="s">
        <v>3564</v>
      </c>
      <c r="D576" s="5" t="s">
        <v>605</v>
      </c>
      <c r="E576" s="5" t="s">
        <v>605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11" t="s">
        <v>46</v>
      </c>
      <c r="Q576" s="5" t="s">
        <v>46</v>
      </c>
      <c r="R576" s="5" t="str">
        <f t="shared" si="9"/>
        <v/>
      </c>
      <c r="S576" s="5" t="s">
        <v>46</v>
      </c>
      <c r="T576" s="12">
        <v>573</v>
      </c>
      <c r="U576" s="259" t="s">
        <v>3562</v>
      </c>
      <c r="V576" s="232" t="s">
        <v>3564</v>
      </c>
      <c r="W576" s="232">
        <v>-774.7</v>
      </c>
      <c r="X576" s="232">
        <v>-1549.4</v>
      </c>
      <c r="Y576" s="87" t="s">
        <v>668</v>
      </c>
      <c r="Z576" s="87" t="s">
        <v>50</v>
      </c>
      <c r="AA576" s="233" t="s">
        <v>669</v>
      </c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259" t="s">
        <v>3563</v>
      </c>
    </row>
    <row r="577" spans="1:43">
      <c r="A577" s="12">
        <v>574</v>
      </c>
      <c r="B577" s="21" t="s">
        <v>6228</v>
      </c>
      <c r="C577" s="5" t="s">
        <v>3565</v>
      </c>
      <c r="D577" s="5" t="s">
        <v>605</v>
      </c>
      <c r="E577" s="5" t="s">
        <v>605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11" t="s">
        <v>46</v>
      </c>
      <c r="Q577" s="5" t="s">
        <v>46</v>
      </c>
      <c r="R577" s="5" t="str">
        <f t="shared" si="9"/>
        <v/>
      </c>
      <c r="S577" s="5" t="s">
        <v>46</v>
      </c>
      <c r="T577" s="12">
        <v>574</v>
      </c>
      <c r="U577" s="259" t="s">
        <v>3562</v>
      </c>
      <c r="V577" s="232" t="s">
        <v>3565</v>
      </c>
      <c r="W577" s="232">
        <v>-1549.4</v>
      </c>
      <c r="X577" s="232">
        <v>-1549.4</v>
      </c>
      <c r="Y577" s="87" t="s">
        <v>668</v>
      </c>
      <c r="Z577" s="87" t="s">
        <v>50</v>
      </c>
      <c r="AA577" s="233" t="s">
        <v>669</v>
      </c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235" t="s">
        <v>3563</v>
      </c>
    </row>
    <row r="578" spans="1:43">
      <c r="A578" s="12">
        <v>575</v>
      </c>
      <c r="B578" s="21" t="s">
        <v>6228</v>
      </c>
      <c r="C578" s="5" t="s">
        <v>3566</v>
      </c>
      <c r="D578" s="5" t="s">
        <v>605</v>
      </c>
      <c r="E578" s="5" t="s">
        <v>605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11" t="s">
        <v>46</v>
      </c>
      <c r="Q578" s="5" t="s">
        <v>46</v>
      </c>
      <c r="R578" s="5" t="str">
        <f t="shared" si="9"/>
        <v/>
      </c>
      <c r="S578" s="5" t="s">
        <v>46</v>
      </c>
      <c r="T578" s="12">
        <v>575</v>
      </c>
      <c r="U578" s="259" t="s">
        <v>3562</v>
      </c>
      <c r="V578" s="232" t="s">
        <v>3566</v>
      </c>
      <c r="W578" s="232">
        <v>-2324.1</v>
      </c>
      <c r="X578" s="232">
        <v>-1549.4</v>
      </c>
      <c r="Y578" s="87" t="s">
        <v>668</v>
      </c>
      <c r="Z578" s="87" t="s">
        <v>50</v>
      </c>
      <c r="AA578" s="233" t="s">
        <v>669</v>
      </c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235" t="s">
        <v>3563</v>
      </c>
    </row>
    <row r="579" spans="1:43">
      <c r="A579" s="12">
        <v>576</v>
      </c>
      <c r="B579" s="21" t="s">
        <v>6228</v>
      </c>
      <c r="C579" s="5" t="s">
        <v>3567</v>
      </c>
      <c r="D579" s="5" t="s">
        <v>605</v>
      </c>
      <c r="E579" s="5" t="s">
        <v>605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11" t="s">
        <v>46</v>
      </c>
      <c r="Q579" s="5" t="s">
        <v>46</v>
      </c>
      <c r="R579" s="5" t="str">
        <f t="shared" si="9"/>
        <v/>
      </c>
      <c r="S579" s="5" t="s">
        <v>46</v>
      </c>
      <c r="T579" s="12">
        <v>576</v>
      </c>
      <c r="U579" s="259" t="s">
        <v>3562</v>
      </c>
      <c r="V579" s="232" t="s">
        <v>3567</v>
      </c>
      <c r="W579" s="232">
        <v>-3098.8</v>
      </c>
      <c r="X579" s="232">
        <v>-1549.4</v>
      </c>
      <c r="Y579" s="87" t="s">
        <v>668</v>
      </c>
      <c r="Z579" s="87" t="s">
        <v>50</v>
      </c>
      <c r="AA579" s="233" t="s">
        <v>669</v>
      </c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235" t="s">
        <v>3563</v>
      </c>
    </row>
    <row r="580" spans="1:43">
      <c r="A580" s="12">
        <v>577</v>
      </c>
      <c r="B580" s="21" t="s">
        <v>6228</v>
      </c>
      <c r="C580" s="5" t="s">
        <v>3568</v>
      </c>
      <c r="D580" s="5" t="s">
        <v>605</v>
      </c>
      <c r="E580" s="5" t="s">
        <v>605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11" t="s">
        <v>46</v>
      </c>
      <c r="Q580" s="5" t="s">
        <v>46</v>
      </c>
      <c r="R580" s="5" t="str">
        <f t="shared" si="9"/>
        <v/>
      </c>
      <c r="S580" s="5" t="s">
        <v>46</v>
      </c>
      <c r="T580" s="12">
        <v>577</v>
      </c>
      <c r="U580" s="259" t="s">
        <v>3562</v>
      </c>
      <c r="V580" s="232" t="s">
        <v>3568</v>
      </c>
      <c r="W580" s="232">
        <v>-3873.5</v>
      </c>
      <c r="X580" s="232">
        <v>-1549.4</v>
      </c>
      <c r="Y580" s="87" t="s">
        <v>668</v>
      </c>
      <c r="Z580" s="87" t="s">
        <v>50</v>
      </c>
      <c r="AA580" s="233" t="s">
        <v>669</v>
      </c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235" t="s">
        <v>3563</v>
      </c>
    </row>
    <row r="581" spans="1:43">
      <c r="A581" s="12">
        <v>578</v>
      </c>
      <c r="B581" s="21" t="s">
        <v>6228</v>
      </c>
      <c r="C581" s="5" t="s">
        <v>3569</v>
      </c>
      <c r="D581" s="5" t="s">
        <v>605</v>
      </c>
      <c r="E581" s="5" t="s">
        <v>605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11" t="s">
        <v>46</v>
      </c>
      <c r="Q581" s="5" t="s">
        <v>46</v>
      </c>
      <c r="R581" s="5" t="str">
        <f t="shared" ref="R581:R644" si="10">IF(AND(P581="",Q581=""),"",SUM(P581:Q581))</f>
        <v/>
      </c>
      <c r="S581" s="5" t="s">
        <v>46</v>
      </c>
      <c r="T581" s="12">
        <v>578</v>
      </c>
      <c r="U581" s="259" t="s">
        <v>3562</v>
      </c>
      <c r="V581" s="232" t="s">
        <v>3569</v>
      </c>
      <c r="W581" s="232">
        <v>-3873.5</v>
      </c>
      <c r="X581" s="232">
        <v>-774.7</v>
      </c>
      <c r="Y581" s="87" t="s">
        <v>668</v>
      </c>
      <c r="Z581" s="87" t="s">
        <v>50</v>
      </c>
      <c r="AA581" s="233" t="s">
        <v>669</v>
      </c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235" t="s">
        <v>3563</v>
      </c>
    </row>
    <row r="582" spans="1:43">
      <c r="A582" s="12">
        <v>579</v>
      </c>
      <c r="B582" s="21" t="s">
        <v>6228</v>
      </c>
      <c r="C582" s="5" t="s">
        <v>3570</v>
      </c>
      <c r="D582" s="5" t="s">
        <v>605</v>
      </c>
      <c r="E582" s="5" t="s">
        <v>605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11" t="s">
        <v>46</v>
      </c>
      <c r="Q582" s="5" t="s">
        <v>46</v>
      </c>
      <c r="R582" s="5" t="str">
        <f t="shared" si="10"/>
        <v/>
      </c>
      <c r="S582" s="5" t="s">
        <v>46</v>
      </c>
      <c r="T582" s="12">
        <v>579</v>
      </c>
      <c r="U582" s="259" t="s">
        <v>3562</v>
      </c>
      <c r="V582" s="232" t="s">
        <v>3570</v>
      </c>
      <c r="W582" s="232">
        <v>-3873.5</v>
      </c>
      <c r="X582" s="232">
        <v>0</v>
      </c>
      <c r="Y582" s="87" t="s">
        <v>668</v>
      </c>
      <c r="Z582" s="87" t="s">
        <v>50</v>
      </c>
      <c r="AA582" s="233" t="s">
        <v>669</v>
      </c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235" t="s">
        <v>3563</v>
      </c>
    </row>
    <row r="583" spans="1:43">
      <c r="A583" s="12">
        <v>580</v>
      </c>
      <c r="B583" s="21" t="s">
        <v>6228</v>
      </c>
      <c r="C583" s="5" t="s">
        <v>3571</v>
      </c>
      <c r="D583" s="5" t="s">
        <v>605</v>
      </c>
      <c r="E583" s="5" t="s">
        <v>605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11" t="s">
        <v>46</v>
      </c>
      <c r="Q583" s="5" t="s">
        <v>46</v>
      </c>
      <c r="R583" s="5" t="str">
        <f t="shared" si="10"/>
        <v/>
      </c>
      <c r="S583" s="5" t="s">
        <v>46</v>
      </c>
      <c r="T583" s="12">
        <v>580</v>
      </c>
      <c r="U583" s="259" t="s">
        <v>3562</v>
      </c>
      <c r="V583" s="232" t="s">
        <v>3571</v>
      </c>
      <c r="W583" s="232">
        <v>-3873.5</v>
      </c>
      <c r="X583" s="232">
        <v>774.7</v>
      </c>
      <c r="Y583" s="87" t="s">
        <v>668</v>
      </c>
      <c r="Z583" s="87" t="s">
        <v>50</v>
      </c>
      <c r="AA583" s="233" t="s">
        <v>669</v>
      </c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235" t="s">
        <v>3563</v>
      </c>
    </row>
    <row r="584" spans="1:43">
      <c r="A584" s="12">
        <v>581</v>
      </c>
      <c r="B584" s="21" t="s">
        <v>6228</v>
      </c>
      <c r="C584" s="5" t="s">
        <v>3572</v>
      </c>
      <c r="D584" s="5" t="s">
        <v>605</v>
      </c>
      <c r="E584" s="5" t="s">
        <v>605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11" t="s">
        <v>46</v>
      </c>
      <c r="Q584" s="5" t="s">
        <v>46</v>
      </c>
      <c r="R584" s="5" t="str">
        <f t="shared" si="10"/>
        <v/>
      </c>
      <c r="S584" s="5" t="s">
        <v>46</v>
      </c>
      <c r="T584" s="12">
        <v>581</v>
      </c>
      <c r="U584" s="259" t="s">
        <v>3562</v>
      </c>
      <c r="V584" s="232" t="s">
        <v>3572</v>
      </c>
      <c r="W584" s="232">
        <v>-3873.5</v>
      </c>
      <c r="X584" s="232">
        <v>1549.4</v>
      </c>
      <c r="Y584" s="87" t="s">
        <v>668</v>
      </c>
      <c r="Z584" s="87" t="s">
        <v>50</v>
      </c>
      <c r="AA584" s="233" t="s">
        <v>669</v>
      </c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235" t="s">
        <v>3563</v>
      </c>
    </row>
    <row r="585" spans="1:43">
      <c r="A585" s="12">
        <v>582</v>
      </c>
      <c r="B585" s="21" t="s">
        <v>6228</v>
      </c>
      <c r="C585" s="5" t="s">
        <v>3573</v>
      </c>
      <c r="D585" s="5" t="s">
        <v>605</v>
      </c>
      <c r="E585" s="5" t="s">
        <v>605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11" t="s">
        <v>46</v>
      </c>
      <c r="Q585" s="5" t="s">
        <v>46</v>
      </c>
      <c r="R585" s="5" t="str">
        <f t="shared" si="10"/>
        <v/>
      </c>
      <c r="S585" s="5" t="s">
        <v>46</v>
      </c>
      <c r="T585" s="12">
        <v>582</v>
      </c>
      <c r="U585" s="259" t="s">
        <v>3562</v>
      </c>
      <c r="V585" s="232" t="s">
        <v>3573</v>
      </c>
      <c r="W585" s="232">
        <v>-579.1</v>
      </c>
      <c r="X585" s="232">
        <v>2525.3000000000002</v>
      </c>
      <c r="Y585" s="87" t="s">
        <v>668</v>
      </c>
      <c r="Z585" s="87" t="s">
        <v>50</v>
      </c>
      <c r="AA585" s="233" t="s">
        <v>669</v>
      </c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235" t="s">
        <v>3563</v>
      </c>
    </row>
    <row r="586" spans="1:43">
      <c r="A586" s="12">
        <v>583</v>
      </c>
      <c r="B586" s="21" t="s">
        <v>6228</v>
      </c>
      <c r="C586" s="5" t="s">
        <v>3574</v>
      </c>
      <c r="D586" s="5" t="s">
        <v>605</v>
      </c>
      <c r="E586" s="5" t="s">
        <v>605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11" t="s">
        <v>46</v>
      </c>
      <c r="Q586" s="5" t="s">
        <v>46</v>
      </c>
      <c r="R586" s="5" t="str">
        <f t="shared" si="10"/>
        <v/>
      </c>
      <c r="S586" s="5" t="s">
        <v>46</v>
      </c>
      <c r="T586" s="12">
        <v>583</v>
      </c>
      <c r="U586" s="259" t="s">
        <v>3562</v>
      </c>
      <c r="V586" s="232" t="s">
        <v>3574</v>
      </c>
      <c r="W586" s="232">
        <v>-1353.8</v>
      </c>
      <c r="X586" s="232">
        <v>2525.3000000000002</v>
      </c>
      <c r="Y586" s="87" t="s">
        <v>668</v>
      </c>
      <c r="Z586" s="87" t="s">
        <v>50</v>
      </c>
      <c r="AA586" s="233" t="s">
        <v>669</v>
      </c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235" t="s">
        <v>3563</v>
      </c>
    </row>
    <row r="587" spans="1:43">
      <c r="A587" s="12">
        <v>584</v>
      </c>
      <c r="B587" s="21" t="s">
        <v>6228</v>
      </c>
      <c r="C587" s="5" t="s">
        <v>3575</v>
      </c>
      <c r="D587" s="5" t="s">
        <v>605</v>
      </c>
      <c r="E587" s="5" t="s">
        <v>605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11" t="s">
        <v>46</v>
      </c>
      <c r="Q587" s="5" t="s">
        <v>46</v>
      </c>
      <c r="R587" s="5" t="str">
        <f t="shared" si="10"/>
        <v/>
      </c>
      <c r="S587" s="5" t="s">
        <v>46</v>
      </c>
      <c r="T587" s="12">
        <v>584</v>
      </c>
      <c r="U587" s="259" t="s">
        <v>3562</v>
      </c>
      <c r="V587" s="232" t="s">
        <v>3575</v>
      </c>
      <c r="W587" s="232">
        <v>-2344.5</v>
      </c>
      <c r="X587" s="232">
        <v>2525.3000000000002</v>
      </c>
      <c r="Y587" s="87" t="s">
        <v>668</v>
      </c>
      <c r="Z587" s="87" t="s">
        <v>50</v>
      </c>
      <c r="AA587" s="233" t="s">
        <v>669</v>
      </c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235" t="s">
        <v>3563</v>
      </c>
    </row>
    <row r="588" spans="1:43">
      <c r="A588" s="12">
        <v>585</v>
      </c>
      <c r="B588" s="21" t="s">
        <v>6228</v>
      </c>
      <c r="C588" s="5" t="s">
        <v>3576</v>
      </c>
      <c r="D588" s="5" t="s">
        <v>605</v>
      </c>
      <c r="E588" s="5" t="s">
        <v>605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11" t="s">
        <v>46</v>
      </c>
      <c r="Q588" s="5" t="s">
        <v>46</v>
      </c>
      <c r="R588" s="5" t="str">
        <f t="shared" si="10"/>
        <v/>
      </c>
      <c r="S588" s="5" t="s">
        <v>46</v>
      </c>
      <c r="T588" s="12">
        <v>585</v>
      </c>
      <c r="U588" s="259" t="s">
        <v>3562</v>
      </c>
      <c r="V588" s="232" t="s">
        <v>3576</v>
      </c>
      <c r="W588" s="232">
        <v>-3335.2</v>
      </c>
      <c r="X588" s="232">
        <v>2525.3000000000002</v>
      </c>
      <c r="Y588" s="87" t="s">
        <v>668</v>
      </c>
      <c r="Z588" s="87" t="s">
        <v>50</v>
      </c>
      <c r="AA588" s="233" t="s">
        <v>669</v>
      </c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235" t="s">
        <v>3563</v>
      </c>
    </row>
    <row r="589" spans="1:43">
      <c r="A589" s="12">
        <v>586</v>
      </c>
      <c r="B589" s="21" t="s">
        <v>6228</v>
      </c>
      <c r="C589" s="5" t="s">
        <v>3577</v>
      </c>
      <c r="D589" s="5" t="s">
        <v>605</v>
      </c>
      <c r="E589" s="5" t="s">
        <v>605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11" t="s">
        <v>46</v>
      </c>
      <c r="Q589" s="5" t="s">
        <v>46</v>
      </c>
      <c r="R589" s="5" t="str">
        <f t="shared" si="10"/>
        <v/>
      </c>
      <c r="S589" s="5" t="s">
        <v>46</v>
      </c>
      <c r="T589" s="12">
        <v>586</v>
      </c>
      <c r="U589" s="259" t="s">
        <v>3562</v>
      </c>
      <c r="V589" s="232" t="s">
        <v>3577</v>
      </c>
      <c r="W589" s="232">
        <v>0</v>
      </c>
      <c r="X589" s="232">
        <v>-2887.3</v>
      </c>
      <c r="Y589" s="87" t="s">
        <v>668</v>
      </c>
      <c r="Z589" s="87" t="s">
        <v>50</v>
      </c>
      <c r="AA589" s="233" t="s">
        <v>669</v>
      </c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235" t="s">
        <v>3563</v>
      </c>
    </row>
    <row r="590" spans="1:43">
      <c r="A590" s="12">
        <v>587</v>
      </c>
      <c r="B590" s="21" t="s">
        <v>6228</v>
      </c>
      <c r="C590" s="5" t="s">
        <v>3578</v>
      </c>
      <c r="D590" s="5" t="s">
        <v>605</v>
      </c>
      <c r="E590" s="5" t="s">
        <v>605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11" t="s">
        <v>46</v>
      </c>
      <c r="Q590" s="5" t="s">
        <v>46</v>
      </c>
      <c r="R590" s="5" t="str">
        <f t="shared" si="10"/>
        <v/>
      </c>
      <c r="S590" s="5" t="s">
        <v>46</v>
      </c>
      <c r="T590" s="12">
        <v>587</v>
      </c>
      <c r="U590" s="259" t="s">
        <v>3562</v>
      </c>
      <c r="V590" s="232" t="s">
        <v>3578</v>
      </c>
      <c r="W590" s="232">
        <v>-579.1</v>
      </c>
      <c r="X590" s="232">
        <v>-2525.3000000000002</v>
      </c>
      <c r="Y590" s="87" t="s">
        <v>668</v>
      </c>
      <c r="Z590" s="87" t="s">
        <v>50</v>
      </c>
      <c r="AA590" s="233" t="s">
        <v>669</v>
      </c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235" t="s">
        <v>3563</v>
      </c>
    </row>
    <row r="591" spans="1:43">
      <c r="A591" s="12">
        <v>588</v>
      </c>
      <c r="B591" s="21" t="s">
        <v>6228</v>
      </c>
      <c r="C591" s="5" t="s">
        <v>3579</v>
      </c>
      <c r="D591" s="5" t="s">
        <v>605</v>
      </c>
      <c r="E591" s="5" t="s">
        <v>605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11" t="s">
        <v>46</v>
      </c>
      <c r="Q591" s="5" t="s">
        <v>46</v>
      </c>
      <c r="R591" s="5" t="str">
        <f t="shared" si="10"/>
        <v/>
      </c>
      <c r="S591" s="5" t="s">
        <v>46</v>
      </c>
      <c r="T591" s="12">
        <v>588</v>
      </c>
      <c r="U591" s="259" t="s">
        <v>3562</v>
      </c>
      <c r="V591" s="232" t="s">
        <v>3579</v>
      </c>
      <c r="W591" s="232">
        <v>-1353.8</v>
      </c>
      <c r="X591" s="232">
        <v>-2525.3000000000002</v>
      </c>
      <c r="Y591" s="87" t="s">
        <v>668</v>
      </c>
      <c r="Z591" s="87" t="s">
        <v>50</v>
      </c>
      <c r="AA591" s="233" t="s">
        <v>669</v>
      </c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235" t="s">
        <v>3563</v>
      </c>
    </row>
    <row r="592" spans="1:43">
      <c r="A592" s="12">
        <v>589</v>
      </c>
      <c r="B592" s="21" t="s">
        <v>6228</v>
      </c>
      <c r="C592" s="5" t="s">
        <v>3580</v>
      </c>
      <c r="D592" s="5" t="s">
        <v>605</v>
      </c>
      <c r="E592" s="5" t="s">
        <v>605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11" t="s">
        <v>46</v>
      </c>
      <c r="Q592" s="5" t="s">
        <v>46</v>
      </c>
      <c r="R592" s="5" t="str">
        <f t="shared" si="10"/>
        <v/>
      </c>
      <c r="S592" s="5" t="s">
        <v>46</v>
      </c>
      <c r="T592" s="12">
        <v>589</v>
      </c>
      <c r="U592" s="259" t="s">
        <v>3562</v>
      </c>
      <c r="V592" s="232" t="s">
        <v>3580</v>
      </c>
      <c r="W592" s="232">
        <v>-2344.5</v>
      </c>
      <c r="X592" s="232">
        <v>-2525.3000000000002</v>
      </c>
      <c r="Y592" s="87" t="s">
        <v>668</v>
      </c>
      <c r="Z592" s="87" t="s">
        <v>50</v>
      </c>
      <c r="AA592" s="233" t="s">
        <v>669</v>
      </c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235" t="s">
        <v>3563</v>
      </c>
    </row>
    <row r="593" spans="1:43">
      <c r="A593" s="12">
        <v>590</v>
      </c>
      <c r="B593" s="21" t="s">
        <v>6228</v>
      </c>
      <c r="C593" s="5" t="s">
        <v>3581</v>
      </c>
      <c r="D593" s="5" t="s">
        <v>605</v>
      </c>
      <c r="E593" s="5" t="s">
        <v>605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11" t="s">
        <v>46</v>
      </c>
      <c r="Q593" s="5" t="s">
        <v>46</v>
      </c>
      <c r="R593" s="5" t="str">
        <f t="shared" si="10"/>
        <v/>
      </c>
      <c r="S593" s="5" t="s">
        <v>46</v>
      </c>
      <c r="T593" s="12">
        <v>590</v>
      </c>
      <c r="U593" s="259" t="s">
        <v>3562</v>
      </c>
      <c r="V593" s="232" t="s">
        <v>3581</v>
      </c>
      <c r="W593" s="232">
        <v>-3335.2</v>
      </c>
      <c r="X593" s="232">
        <v>-2525.3000000000002</v>
      </c>
      <c r="Y593" s="87" t="s">
        <v>668</v>
      </c>
      <c r="Z593" s="87" t="s">
        <v>50</v>
      </c>
      <c r="AA593" s="233" t="s">
        <v>669</v>
      </c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235" t="s">
        <v>3563</v>
      </c>
    </row>
    <row r="594" spans="1:43">
      <c r="A594" s="12">
        <v>591</v>
      </c>
      <c r="B594" s="21" t="s">
        <v>6229</v>
      </c>
      <c r="C594" s="5" t="s">
        <v>3583</v>
      </c>
      <c r="D594" s="5" t="s">
        <v>605</v>
      </c>
      <c r="E594" s="5" t="s">
        <v>605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11" t="s">
        <v>46</v>
      </c>
      <c r="Q594" s="5" t="s">
        <v>46</v>
      </c>
      <c r="R594" s="5" t="str">
        <f t="shared" si="10"/>
        <v/>
      </c>
      <c r="S594" s="5" t="s">
        <v>46</v>
      </c>
      <c r="T594" s="12">
        <v>591</v>
      </c>
      <c r="U594" s="259" t="s">
        <v>3584</v>
      </c>
      <c r="V594" s="232" t="s">
        <v>3583</v>
      </c>
      <c r="W594" s="232">
        <v>-12922</v>
      </c>
      <c r="X594" s="232">
        <v>9407.2000000000007</v>
      </c>
      <c r="Y594" s="87" t="s">
        <v>668</v>
      </c>
      <c r="Z594" s="87" t="s">
        <v>50</v>
      </c>
      <c r="AA594" s="233" t="s">
        <v>669</v>
      </c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235" t="s">
        <v>3585</v>
      </c>
    </row>
    <row r="595" spans="1:43">
      <c r="A595" s="12">
        <v>592</v>
      </c>
      <c r="B595" s="21" t="s">
        <v>6229</v>
      </c>
      <c r="C595" s="5" t="s">
        <v>3586</v>
      </c>
      <c r="D595" s="5" t="s">
        <v>605</v>
      </c>
      <c r="E595" s="5" t="s">
        <v>605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11" t="s">
        <v>46</v>
      </c>
      <c r="Q595" s="5" t="s">
        <v>46</v>
      </c>
      <c r="R595" s="5" t="str">
        <f t="shared" si="10"/>
        <v/>
      </c>
      <c r="S595" s="5" t="s">
        <v>46</v>
      </c>
      <c r="T595" s="12">
        <v>592</v>
      </c>
      <c r="U595" s="259" t="s">
        <v>3584</v>
      </c>
      <c r="V595" s="232" t="s">
        <v>3586</v>
      </c>
      <c r="W595" s="232">
        <v>-12972.8</v>
      </c>
      <c r="X595" s="232">
        <v>10045.5</v>
      </c>
      <c r="Y595" s="87" t="s">
        <v>668</v>
      </c>
      <c r="Z595" s="87" t="s">
        <v>50</v>
      </c>
      <c r="AA595" s="233" t="s">
        <v>669</v>
      </c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235" t="s">
        <v>3585</v>
      </c>
    </row>
    <row r="596" spans="1:43">
      <c r="A596" s="12">
        <v>593</v>
      </c>
      <c r="B596" s="21" t="s">
        <v>6229</v>
      </c>
      <c r="C596" s="5" t="s">
        <v>3587</v>
      </c>
      <c r="D596" s="5" t="s">
        <v>605</v>
      </c>
      <c r="E596" s="5" t="s">
        <v>605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11" t="s">
        <v>46</v>
      </c>
      <c r="Q596" s="5" t="s">
        <v>46</v>
      </c>
      <c r="R596" s="5" t="str">
        <f t="shared" si="10"/>
        <v/>
      </c>
      <c r="S596" s="5" t="s">
        <v>46</v>
      </c>
      <c r="T596" s="12">
        <v>593</v>
      </c>
      <c r="U596" s="259" t="s">
        <v>3584</v>
      </c>
      <c r="V596" s="232" t="s">
        <v>3587</v>
      </c>
      <c r="W596" s="232">
        <v>-13439.1</v>
      </c>
      <c r="X596" s="232">
        <v>9808.2999999999993</v>
      </c>
      <c r="Y596" s="87" t="s">
        <v>668</v>
      </c>
      <c r="Z596" s="87" t="s">
        <v>50</v>
      </c>
      <c r="AA596" s="233" t="s">
        <v>669</v>
      </c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235" t="s">
        <v>3585</v>
      </c>
    </row>
    <row r="597" spans="1:43">
      <c r="A597" s="12">
        <v>594</v>
      </c>
      <c r="B597" s="21" t="s">
        <v>6229</v>
      </c>
      <c r="C597" s="5" t="s">
        <v>3588</v>
      </c>
      <c r="D597" s="5" t="s">
        <v>605</v>
      </c>
      <c r="E597" s="5" t="s">
        <v>605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11" t="s">
        <v>46</v>
      </c>
      <c r="Q597" s="5" t="s">
        <v>46</v>
      </c>
      <c r="R597" s="5" t="str">
        <f t="shared" si="10"/>
        <v/>
      </c>
      <c r="S597" s="5" t="s">
        <v>46</v>
      </c>
      <c r="T597" s="12">
        <v>594</v>
      </c>
      <c r="U597" s="259" t="s">
        <v>3584</v>
      </c>
      <c r="V597" s="232" t="s">
        <v>3588</v>
      </c>
      <c r="W597" s="232">
        <v>-13439.1</v>
      </c>
      <c r="X597" s="232">
        <v>10308.9</v>
      </c>
      <c r="Y597" s="87" t="s">
        <v>668</v>
      </c>
      <c r="Z597" s="87" t="s">
        <v>50</v>
      </c>
      <c r="AA597" s="233" t="s">
        <v>669</v>
      </c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235" t="s">
        <v>3585</v>
      </c>
    </row>
    <row r="598" spans="1:43">
      <c r="A598" s="12">
        <v>595</v>
      </c>
      <c r="B598" s="21" t="s">
        <v>6230</v>
      </c>
      <c r="C598" s="5" t="s">
        <v>3590</v>
      </c>
      <c r="D598" s="5" t="s">
        <v>605</v>
      </c>
      <c r="E598" s="5" t="s">
        <v>605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11" t="s">
        <v>46</v>
      </c>
      <c r="Q598" s="5" t="s">
        <v>46</v>
      </c>
      <c r="R598" s="5" t="str">
        <f t="shared" si="10"/>
        <v/>
      </c>
      <c r="S598" s="5" t="s">
        <v>46</v>
      </c>
      <c r="T598" s="12">
        <v>595</v>
      </c>
      <c r="U598" s="259" t="s">
        <v>3591</v>
      </c>
      <c r="V598" s="232" t="s">
        <v>3590</v>
      </c>
      <c r="W598" s="232">
        <v>1353.8</v>
      </c>
      <c r="X598" s="232">
        <v>3249.2</v>
      </c>
      <c r="Y598" s="87" t="s">
        <v>668</v>
      </c>
      <c r="Z598" s="87" t="s">
        <v>50</v>
      </c>
      <c r="AA598" s="233" t="s">
        <v>669</v>
      </c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235" t="s">
        <v>3592</v>
      </c>
    </row>
    <row r="599" spans="1:43">
      <c r="A599" s="12">
        <v>596</v>
      </c>
      <c r="B599" s="21" t="s">
        <v>6231</v>
      </c>
      <c r="C599" s="5" t="s">
        <v>3594</v>
      </c>
      <c r="D599" s="5" t="s">
        <v>605</v>
      </c>
      <c r="E599" s="5" t="s">
        <v>605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11" t="s">
        <v>46</v>
      </c>
      <c r="Q599" s="5" t="s">
        <v>46</v>
      </c>
      <c r="R599" s="5" t="str">
        <f t="shared" si="10"/>
        <v/>
      </c>
      <c r="S599" s="5" t="s">
        <v>46</v>
      </c>
      <c r="T599" s="12">
        <v>596</v>
      </c>
      <c r="U599" s="259" t="s">
        <v>3595</v>
      </c>
      <c r="V599" s="232" t="s">
        <v>3594</v>
      </c>
      <c r="W599" s="232">
        <v>-5503.1</v>
      </c>
      <c r="X599" s="232">
        <v>-3335.2</v>
      </c>
      <c r="Y599" s="87" t="s">
        <v>668</v>
      </c>
      <c r="Z599" s="87" t="s">
        <v>50</v>
      </c>
      <c r="AA599" s="233" t="s">
        <v>669</v>
      </c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235" t="s">
        <v>3596</v>
      </c>
    </row>
    <row r="600" spans="1:43">
      <c r="A600" s="12">
        <v>597</v>
      </c>
      <c r="B600" s="21" t="s">
        <v>6232</v>
      </c>
      <c r="C600" s="5" t="s">
        <v>3598</v>
      </c>
      <c r="D600" s="5" t="s">
        <v>605</v>
      </c>
      <c r="E600" s="5" t="s">
        <v>605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11" t="s">
        <v>46</v>
      </c>
      <c r="Q600" s="5" t="s">
        <v>46</v>
      </c>
      <c r="R600" s="5" t="str">
        <f t="shared" si="10"/>
        <v/>
      </c>
      <c r="S600" s="5" t="s">
        <v>46</v>
      </c>
      <c r="T600" s="12">
        <v>597</v>
      </c>
      <c r="U600" s="259" t="s">
        <v>3599</v>
      </c>
      <c r="V600" s="232" t="s">
        <v>3598</v>
      </c>
      <c r="W600" s="232">
        <v>-5503.1</v>
      </c>
      <c r="X600" s="232">
        <v>-2344.5</v>
      </c>
      <c r="Y600" s="87" t="s">
        <v>668</v>
      </c>
      <c r="Z600" s="87" t="s">
        <v>50</v>
      </c>
      <c r="AA600" s="233" t="s">
        <v>669</v>
      </c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235" t="s">
        <v>3600</v>
      </c>
    </row>
    <row r="601" spans="1:43">
      <c r="A601" s="12">
        <v>598</v>
      </c>
      <c r="B601" s="21" t="s">
        <v>6233</v>
      </c>
      <c r="C601" s="5" t="s">
        <v>3602</v>
      </c>
      <c r="D601" s="5" t="s">
        <v>605</v>
      </c>
      <c r="E601" s="5" t="s">
        <v>605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11" t="s">
        <v>46</v>
      </c>
      <c r="Q601" s="5" t="s">
        <v>46</v>
      </c>
      <c r="R601" s="5" t="str">
        <f t="shared" si="10"/>
        <v/>
      </c>
      <c r="S601" s="5" t="s">
        <v>46</v>
      </c>
      <c r="T601" s="12">
        <v>598</v>
      </c>
      <c r="U601" s="259" t="s">
        <v>3603</v>
      </c>
      <c r="V601" s="232" t="s">
        <v>3602</v>
      </c>
      <c r="W601" s="232">
        <v>5847</v>
      </c>
      <c r="X601" s="232">
        <v>5921.1</v>
      </c>
      <c r="Y601" s="87" t="s">
        <v>668</v>
      </c>
      <c r="Z601" s="87" t="s">
        <v>50</v>
      </c>
      <c r="AA601" s="233" t="s">
        <v>669</v>
      </c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235" t="s">
        <v>3604</v>
      </c>
    </row>
    <row r="602" spans="1:43">
      <c r="A602" s="12">
        <v>599</v>
      </c>
      <c r="B602" s="21" t="s">
        <v>6234</v>
      </c>
      <c r="C602" s="5" t="s">
        <v>3606</v>
      </c>
      <c r="D602" s="5" t="s">
        <v>605</v>
      </c>
      <c r="E602" s="5" t="s">
        <v>605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11" t="s">
        <v>46</v>
      </c>
      <c r="Q602" s="5" t="s">
        <v>46</v>
      </c>
      <c r="R602" s="5" t="str">
        <f t="shared" si="10"/>
        <v/>
      </c>
      <c r="S602" s="5" t="s">
        <v>46</v>
      </c>
      <c r="T602" s="12">
        <v>599</v>
      </c>
      <c r="U602" s="259" t="s">
        <v>3607</v>
      </c>
      <c r="V602" s="232" t="s">
        <v>3606</v>
      </c>
      <c r="W602" s="232">
        <v>-6227</v>
      </c>
      <c r="X602" s="232">
        <v>3335.2</v>
      </c>
      <c r="Y602" s="87" t="s">
        <v>668</v>
      </c>
      <c r="Z602" s="87" t="s">
        <v>50</v>
      </c>
      <c r="AA602" s="233" t="s">
        <v>669</v>
      </c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235" t="s">
        <v>3608</v>
      </c>
    </row>
    <row r="603" spans="1:43">
      <c r="A603" s="12">
        <v>600</v>
      </c>
      <c r="B603" s="21" t="s">
        <v>6235</v>
      </c>
      <c r="C603" s="5" t="s">
        <v>3610</v>
      </c>
      <c r="D603" s="5" t="s">
        <v>605</v>
      </c>
      <c r="E603" s="5" t="s">
        <v>605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11" t="s">
        <v>46</v>
      </c>
      <c r="Q603" s="5" t="s">
        <v>46</v>
      </c>
      <c r="R603" s="5" t="str">
        <f t="shared" si="10"/>
        <v/>
      </c>
      <c r="S603" s="5" t="s">
        <v>46</v>
      </c>
      <c r="T603" s="12">
        <v>600</v>
      </c>
      <c r="U603" s="259" t="s">
        <v>3611</v>
      </c>
      <c r="V603" s="232" t="s">
        <v>3610</v>
      </c>
      <c r="W603" s="232">
        <v>6950.9</v>
      </c>
      <c r="X603" s="232">
        <v>6558.1</v>
      </c>
      <c r="Y603" s="87" t="s">
        <v>668</v>
      </c>
      <c r="Z603" s="87" t="s">
        <v>50</v>
      </c>
      <c r="AA603" s="233" t="s">
        <v>669</v>
      </c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235" t="s">
        <v>3612</v>
      </c>
    </row>
    <row r="604" spans="1:43">
      <c r="A604" s="12">
        <v>601</v>
      </c>
      <c r="B604" s="21" t="s">
        <v>6236</v>
      </c>
      <c r="C604" s="5" t="s">
        <v>3614</v>
      </c>
      <c r="D604" s="5" t="s">
        <v>605</v>
      </c>
      <c r="E604" s="5" t="s">
        <v>605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11" t="s">
        <v>46</v>
      </c>
      <c r="Q604" s="5" t="s">
        <v>46</v>
      </c>
      <c r="R604" s="5" t="str">
        <f t="shared" si="10"/>
        <v/>
      </c>
      <c r="S604" s="5" t="s">
        <v>46</v>
      </c>
      <c r="T604" s="12">
        <v>601</v>
      </c>
      <c r="U604" s="259" t="s">
        <v>3615</v>
      </c>
      <c r="V604" s="232" t="s">
        <v>3614</v>
      </c>
      <c r="W604" s="232">
        <v>1353.8</v>
      </c>
      <c r="X604" s="232">
        <v>2525.3000000000002</v>
      </c>
      <c r="Y604" s="87" t="s">
        <v>668</v>
      </c>
      <c r="Z604" s="87" t="s">
        <v>50</v>
      </c>
      <c r="AA604" s="233" t="s">
        <v>669</v>
      </c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235" t="s">
        <v>3616</v>
      </c>
    </row>
    <row r="605" spans="1:43">
      <c r="A605" s="12">
        <v>602</v>
      </c>
      <c r="B605" s="21" t="s">
        <v>6236</v>
      </c>
      <c r="C605" s="5" t="s">
        <v>3617</v>
      </c>
      <c r="D605" s="5" t="s">
        <v>605</v>
      </c>
      <c r="E605" s="5" t="s">
        <v>605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11" t="s">
        <v>46</v>
      </c>
      <c r="Q605" s="5" t="s">
        <v>46</v>
      </c>
      <c r="R605" s="5" t="str">
        <f t="shared" si="10"/>
        <v/>
      </c>
      <c r="S605" s="5" t="s">
        <v>46</v>
      </c>
      <c r="T605" s="12">
        <v>602</v>
      </c>
      <c r="U605" s="259" t="s">
        <v>3615</v>
      </c>
      <c r="V605" s="232" t="s">
        <v>3617</v>
      </c>
      <c r="W605" s="232">
        <v>579.1</v>
      </c>
      <c r="X605" s="232">
        <v>2525.3000000000002</v>
      </c>
      <c r="Y605" s="87" t="s">
        <v>668</v>
      </c>
      <c r="Z605" s="87" t="s">
        <v>50</v>
      </c>
      <c r="AA605" s="233" t="s">
        <v>669</v>
      </c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235" t="s">
        <v>3616</v>
      </c>
    </row>
    <row r="606" spans="1:43">
      <c r="A606" s="12">
        <v>603</v>
      </c>
      <c r="B606" s="21" t="s">
        <v>6237</v>
      </c>
      <c r="C606" s="5" t="s">
        <v>3619</v>
      </c>
      <c r="D606" s="5" t="s">
        <v>605</v>
      </c>
      <c r="E606" s="5" t="s">
        <v>605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11" t="s">
        <v>46</v>
      </c>
      <c r="Q606" s="5" t="s">
        <v>46</v>
      </c>
      <c r="R606" s="5" t="str">
        <f t="shared" si="10"/>
        <v/>
      </c>
      <c r="S606" s="5" t="s">
        <v>46</v>
      </c>
      <c r="T606" s="12">
        <v>603</v>
      </c>
      <c r="U606" s="259" t="s">
        <v>3620</v>
      </c>
      <c r="V606" s="232" t="s">
        <v>3619</v>
      </c>
      <c r="W606" s="232">
        <v>1549.4</v>
      </c>
      <c r="X606" s="232">
        <v>0</v>
      </c>
      <c r="Y606" s="87" t="s">
        <v>668</v>
      </c>
      <c r="Z606" s="87" t="s">
        <v>50</v>
      </c>
      <c r="AA606" s="233" t="s">
        <v>669</v>
      </c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235" t="s">
        <v>3621</v>
      </c>
    </row>
    <row r="607" spans="1:43">
      <c r="A607" s="12">
        <v>604</v>
      </c>
      <c r="B607" s="21" t="s">
        <v>6237</v>
      </c>
      <c r="C607" s="5" t="s">
        <v>3622</v>
      </c>
      <c r="D607" s="5" t="s">
        <v>605</v>
      </c>
      <c r="E607" s="5" t="s">
        <v>605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11" t="s">
        <v>46</v>
      </c>
      <c r="Q607" s="5" t="s">
        <v>46</v>
      </c>
      <c r="R607" s="5" t="str">
        <f t="shared" si="10"/>
        <v/>
      </c>
      <c r="S607" s="5" t="s">
        <v>46</v>
      </c>
      <c r="T607" s="12">
        <v>604</v>
      </c>
      <c r="U607" s="259" t="s">
        <v>3620</v>
      </c>
      <c r="V607" s="232" t="s">
        <v>3622</v>
      </c>
      <c r="W607" s="232">
        <v>774.7</v>
      </c>
      <c r="X607" s="232">
        <v>0</v>
      </c>
      <c r="Y607" s="87" t="s">
        <v>668</v>
      </c>
      <c r="Z607" s="87" t="s">
        <v>50</v>
      </c>
      <c r="AA607" s="233" t="s">
        <v>669</v>
      </c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235" t="s">
        <v>3621</v>
      </c>
    </row>
    <row r="608" spans="1:43">
      <c r="A608" s="12">
        <v>605</v>
      </c>
      <c r="B608" s="21" t="s">
        <v>6237</v>
      </c>
      <c r="C608" s="5" t="s">
        <v>3623</v>
      </c>
      <c r="D608" s="5" t="s">
        <v>605</v>
      </c>
      <c r="E608" s="5" t="s">
        <v>605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11" t="s">
        <v>46</v>
      </c>
      <c r="Q608" s="5" t="s">
        <v>46</v>
      </c>
      <c r="R608" s="5" t="str">
        <f t="shared" si="10"/>
        <v/>
      </c>
      <c r="S608" s="5" t="s">
        <v>46</v>
      </c>
      <c r="T608" s="12">
        <v>605</v>
      </c>
      <c r="U608" s="259" t="s">
        <v>3620</v>
      </c>
      <c r="V608" s="232" t="s">
        <v>3623</v>
      </c>
      <c r="W608" s="232">
        <v>0</v>
      </c>
      <c r="X608" s="232">
        <v>0</v>
      </c>
      <c r="Y608" s="87" t="s">
        <v>668</v>
      </c>
      <c r="Z608" s="87" t="s">
        <v>50</v>
      </c>
      <c r="AA608" s="233" t="s">
        <v>669</v>
      </c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235" t="s">
        <v>3621</v>
      </c>
    </row>
    <row r="609" spans="1:43">
      <c r="A609" s="12">
        <v>606</v>
      </c>
      <c r="B609" s="21" t="s">
        <v>6237</v>
      </c>
      <c r="C609" s="5" t="s">
        <v>3624</v>
      </c>
      <c r="D609" s="5" t="s">
        <v>605</v>
      </c>
      <c r="E609" s="5" t="s">
        <v>605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11" t="s">
        <v>46</v>
      </c>
      <c r="Q609" s="5" t="s">
        <v>46</v>
      </c>
      <c r="R609" s="5" t="str">
        <f t="shared" si="10"/>
        <v/>
      </c>
      <c r="S609" s="5" t="s">
        <v>46</v>
      </c>
      <c r="T609" s="12">
        <v>606</v>
      </c>
      <c r="U609" s="259" t="s">
        <v>3620</v>
      </c>
      <c r="V609" s="232" t="s">
        <v>3624</v>
      </c>
      <c r="W609" s="232">
        <v>-774.7</v>
      </c>
      <c r="X609" s="232">
        <v>0</v>
      </c>
      <c r="Y609" s="87" t="s">
        <v>668</v>
      </c>
      <c r="Z609" s="87" t="s">
        <v>50</v>
      </c>
      <c r="AA609" s="233" t="s">
        <v>669</v>
      </c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235" t="s">
        <v>3621</v>
      </c>
    </row>
    <row r="610" spans="1:43">
      <c r="A610" s="12">
        <v>607</v>
      </c>
      <c r="B610" s="21" t="s">
        <v>6237</v>
      </c>
      <c r="C610" s="5" t="s">
        <v>3625</v>
      </c>
      <c r="D610" s="5" t="s">
        <v>605</v>
      </c>
      <c r="E610" s="5" t="s">
        <v>605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11" t="s">
        <v>46</v>
      </c>
      <c r="Q610" s="5" t="s">
        <v>46</v>
      </c>
      <c r="R610" s="5" t="str">
        <f t="shared" si="10"/>
        <v/>
      </c>
      <c r="S610" s="5" t="s">
        <v>46</v>
      </c>
      <c r="T610" s="12">
        <v>607</v>
      </c>
      <c r="U610" s="259" t="s">
        <v>3620</v>
      </c>
      <c r="V610" s="232" t="s">
        <v>3625</v>
      </c>
      <c r="W610" s="232">
        <v>-1549.4</v>
      </c>
      <c r="X610" s="232">
        <v>0</v>
      </c>
      <c r="Y610" s="87" t="s">
        <v>668</v>
      </c>
      <c r="Z610" s="87" t="s">
        <v>50</v>
      </c>
      <c r="AA610" s="233" t="s">
        <v>669</v>
      </c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235" t="s">
        <v>3621</v>
      </c>
    </row>
    <row r="611" spans="1:43">
      <c r="A611" s="12">
        <v>608</v>
      </c>
      <c r="B611" s="21" t="s">
        <v>6237</v>
      </c>
      <c r="C611" s="5" t="s">
        <v>3626</v>
      </c>
      <c r="D611" s="5" t="s">
        <v>605</v>
      </c>
      <c r="E611" s="5" t="s">
        <v>605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11" t="s">
        <v>46</v>
      </c>
      <c r="Q611" s="5" t="s">
        <v>46</v>
      </c>
      <c r="R611" s="5" t="str">
        <f t="shared" si="10"/>
        <v/>
      </c>
      <c r="S611" s="5" t="s">
        <v>46</v>
      </c>
      <c r="T611" s="12">
        <v>608</v>
      </c>
      <c r="U611" s="259" t="s">
        <v>3620</v>
      </c>
      <c r="V611" s="232" t="s">
        <v>3626</v>
      </c>
      <c r="W611" s="232">
        <v>-2324.1</v>
      </c>
      <c r="X611" s="232">
        <v>0</v>
      </c>
      <c r="Y611" s="87" t="s">
        <v>668</v>
      </c>
      <c r="Z611" s="87" t="s">
        <v>50</v>
      </c>
      <c r="AA611" s="233" t="s">
        <v>669</v>
      </c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235" t="s">
        <v>3621</v>
      </c>
    </row>
    <row r="612" spans="1:43">
      <c r="A612" s="12">
        <v>609</v>
      </c>
      <c r="B612" s="21" t="s">
        <v>6237</v>
      </c>
      <c r="C612" s="5" t="s">
        <v>3627</v>
      </c>
      <c r="D612" s="5" t="s">
        <v>605</v>
      </c>
      <c r="E612" s="5" t="s">
        <v>605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11" t="s">
        <v>46</v>
      </c>
      <c r="Q612" s="5" t="s">
        <v>46</v>
      </c>
      <c r="R612" s="5" t="str">
        <f t="shared" si="10"/>
        <v/>
      </c>
      <c r="S612" s="5" t="s">
        <v>46</v>
      </c>
      <c r="T612" s="12">
        <v>609</v>
      </c>
      <c r="U612" s="259" t="s">
        <v>3620</v>
      </c>
      <c r="V612" s="232" t="s">
        <v>3627</v>
      </c>
      <c r="W612" s="232">
        <v>1549.4</v>
      </c>
      <c r="X612" s="232">
        <v>774.7</v>
      </c>
      <c r="Y612" s="87" t="s">
        <v>668</v>
      </c>
      <c r="Z612" s="87" t="s">
        <v>50</v>
      </c>
      <c r="AA612" s="233" t="s">
        <v>669</v>
      </c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235" t="s">
        <v>3621</v>
      </c>
    </row>
    <row r="613" spans="1:43">
      <c r="A613" s="12">
        <v>610</v>
      </c>
      <c r="B613" s="21" t="s">
        <v>6237</v>
      </c>
      <c r="C613" s="5" t="s">
        <v>3628</v>
      </c>
      <c r="D613" s="5" t="s">
        <v>605</v>
      </c>
      <c r="E613" s="5" t="s">
        <v>605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11" t="s">
        <v>46</v>
      </c>
      <c r="Q613" s="5" t="s">
        <v>46</v>
      </c>
      <c r="R613" s="5" t="str">
        <f t="shared" si="10"/>
        <v/>
      </c>
      <c r="S613" s="5" t="s">
        <v>46</v>
      </c>
      <c r="T613" s="12">
        <v>610</v>
      </c>
      <c r="U613" s="259" t="s">
        <v>3620</v>
      </c>
      <c r="V613" s="232" t="s">
        <v>3628</v>
      </c>
      <c r="W613" s="232">
        <v>774.7</v>
      </c>
      <c r="X613" s="232">
        <v>774.7</v>
      </c>
      <c r="Y613" s="87" t="s">
        <v>668</v>
      </c>
      <c r="Z613" s="87" t="s">
        <v>50</v>
      </c>
      <c r="AA613" s="233" t="s">
        <v>669</v>
      </c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235" t="s">
        <v>3621</v>
      </c>
    </row>
    <row r="614" spans="1:43">
      <c r="A614" s="12">
        <v>611</v>
      </c>
      <c r="B614" s="21" t="s">
        <v>6237</v>
      </c>
      <c r="C614" s="5" t="s">
        <v>3629</v>
      </c>
      <c r="D614" s="5" t="s">
        <v>605</v>
      </c>
      <c r="E614" s="5" t="s">
        <v>605</v>
      </c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11" t="s">
        <v>46</v>
      </c>
      <c r="Q614" s="5" t="s">
        <v>46</v>
      </c>
      <c r="R614" s="5" t="str">
        <f t="shared" si="10"/>
        <v/>
      </c>
      <c r="S614" s="5" t="s">
        <v>46</v>
      </c>
      <c r="T614" s="12">
        <v>611</v>
      </c>
      <c r="U614" s="259" t="s">
        <v>3620</v>
      </c>
      <c r="V614" s="232" t="s">
        <v>3629</v>
      </c>
      <c r="W614" s="232">
        <v>0</v>
      </c>
      <c r="X614" s="232">
        <v>774.7</v>
      </c>
      <c r="Y614" s="87" t="s">
        <v>668</v>
      </c>
      <c r="Z614" s="87" t="s">
        <v>50</v>
      </c>
      <c r="AA614" s="233" t="s">
        <v>669</v>
      </c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235" t="s">
        <v>3621</v>
      </c>
    </row>
    <row r="615" spans="1:43">
      <c r="A615" s="12">
        <v>612</v>
      </c>
      <c r="B615" s="21" t="s">
        <v>6237</v>
      </c>
      <c r="C615" s="5" t="s">
        <v>3630</v>
      </c>
      <c r="D615" s="5" t="s">
        <v>605</v>
      </c>
      <c r="E615" s="5" t="s">
        <v>605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11" t="s">
        <v>46</v>
      </c>
      <c r="Q615" s="5" t="s">
        <v>46</v>
      </c>
      <c r="R615" s="5" t="str">
        <f t="shared" si="10"/>
        <v/>
      </c>
      <c r="S615" s="5" t="s">
        <v>46</v>
      </c>
      <c r="T615" s="12">
        <v>612</v>
      </c>
      <c r="U615" s="259" t="s">
        <v>3620</v>
      </c>
      <c r="V615" s="232" t="s">
        <v>3630</v>
      </c>
      <c r="W615" s="232">
        <v>-774.7</v>
      </c>
      <c r="X615" s="232">
        <v>774.7</v>
      </c>
      <c r="Y615" s="87" t="s">
        <v>668</v>
      </c>
      <c r="Z615" s="87" t="s">
        <v>50</v>
      </c>
      <c r="AA615" s="233" t="s">
        <v>669</v>
      </c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235" t="s">
        <v>3621</v>
      </c>
    </row>
    <row r="616" spans="1:43">
      <c r="A616" s="12">
        <v>613</v>
      </c>
      <c r="B616" s="21" t="s">
        <v>6237</v>
      </c>
      <c r="C616" s="5" t="s">
        <v>3631</v>
      </c>
      <c r="D616" s="5" t="s">
        <v>605</v>
      </c>
      <c r="E616" s="5" t="s">
        <v>605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11" t="s">
        <v>46</v>
      </c>
      <c r="Q616" s="5" t="s">
        <v>46</v>
      </c>
      <c r="R616" s="5" t="str">
        <f t="shared" si="10"/>
        <v/>
      </c>
      <c r="S616" s="5" t="s">
        <v>46</v>
      </c>
      <c r="T616" s="12">
        <v>613</v>
      </c>
      <c r="U616" s="259" t="s">
        <v>3620</v>
      </c>
      <c r="V616" s="232" t="s">
        <v>3631</v>
      </c>
      <c r="W616" s="232">
        <v>-1549.4</v>
      </c>
      <c r="X616" s="232">
        <v>774.7</v>
      </c>
      <c r="Y616" s="87" t="s">
        <v>668</v>
      </c>
      <c r="Z616" s="87" t="s">
        <v>50</v>
      </c>
      <c r="AA616" s="233" t="s">
        <v>669</v>
      </c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235" t="s">
        <v>3621</v>
      </c>
    </row>
    <row r="617" spans="1:43">
      <c r="A617" s="12">
        <v>614</v>
      </c>
      <c r="B617" s="21" t="s">
        <v>6237</v>
      </c>
      <c r="C617" s="5" t="s">
        <v>3632</v>
      </c>
      <c r="D617" s="5" t="s">
        <v>605</v>
      </c>
      <c r="E617" s="5" t="s">
        <v>605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11" t="s">
        <v>46</v>
      </c>
      <c r="Q617" s="5" t="s">
        <v>46</v>
      </c>
      <c r="R617" s="5" t="str">
        <f t="shared" si="10"/>
        <v/>
      </c>
      <c r="S617" s="5" t="s">
        <v>46</v>
      </c>
      <c r="T617" s="12">
        <v>614</v>
      </c>
      <c r="U617" s="259" t="s">
        <v>3620</v>
      </c>
      <c r="V617" s="232" t="s">
        <v>3632</v>
      </c>
      <c r="W617" s="232">
        <v>-2324.1</v>
      </c>
      <c r="X617" s="232">
        <v>774.7</v>
      </c>
      <c r="Y617" s="87" t="s">
        <v>668</v>
      </c>
      <c r="Z617" s="87" t="s">
        <v>50</v>
      </c>
      <c r="AA617" s="233" t="s">
        <v>669</v>
      </c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235" t="s">
        <v>3621</v>
      </c>
    </row>
    <row r="618" spans="1:43">
      <c r="A618" s="12">
        <v>615</v>
      </c>
      <c r="B618" s="21" t="s">
        <v>6238</v>
      </c>
      <c r="C618" s="5" t="s">
        <v>3634</v>
      </c>
      <c r="D618" s="5" t="s">
        <v>605</v>
      </c>
      <c r="E618" s="5" t="s">
        <v>605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11" t="s">
        <v>46</v>
      </c>
      <c r="Q618" s="5" t="s">
        <v>46</v>
      </c>
      <c r="R618" s="5" t="str">
        <f t="shared" si="10"/>
        <v/>
      </c>
      <c r="S618" s="5" t="s">
        <v>46</v>
      </c>
      <c r="T618" s="12">
        <v>615</v>
      </c>
      <c r="U618" s="259" t="s">
        <v>3635</v>
      </c>
      <c r="V618" s="232" t="s">
        <v>3634</v>
      </c>
      <c r="W618" s="232">
        <v>3873.5</v>
      </c>
      <c r="X618" s="232">
        <v>1549.4</v>
      </c>
      <c r="Y618" s="87" t="s">
        <v>668</v>
      </c>
      <c r="Z618" s="87" t="s">
        <v>50</v>
      </c>
      <c r="AA618" s="233" t="s">
        <v>669</v>
      </c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235" t="s">
        <v>3636</v>
      </c>
    </row>
    <row r="619" spans="1:43">
      <c r="A619" s="12">
        <v>616</v>
      </c>
      <c r="B619" s="21" t="s">
        <v>6239</v>
      </c>
      <c r="C619" s="5" t="s">
        <v>3638</v>
      </c>
      <c r="D619" s="5" t="s">
        <v>6240</v>
      </c>
      <c r="E619" s="5" t="s">
        <v>6241</v>
      </c>
      <c r="F619" s="5" t="s">
        <v>6242</v>
      </c>
      <c r="G619" s="11" t="s">
        <v>6243</v>
      </c>
      <c r="H619" s="11" t="s">
        <v>6244</v>
      </c>
      <c r="I619" s="5"/>
      <c r="J619" s="5"/>
      <c r="K619" s="5"/>
      <c r="L619" s="5"/>
      <c r="M619" s="5"/>
      <c r="N619" s="5"/>
      <c r="O619" s="5"/>
      <c r="P619" s="11">
        <v>68.983500000000006</v>
      </c>
      <c r="Q619" s="5" t="s">
        <v>46</v>
      </c>
      <c r="R619" s="5">
        <f t="shared" si="10"/>
        <v>68.983500000000006</v>
      </c>
      <c r="S619" s="5" t="s">
        <v>3644</v>
      </c>
      <c r="T619" s="12">
        <v>616</v>
      </c>
      <c r="U619" s="259" t="s">
        <v>3645</v>
      </c>
      <c r="V619" s="232" t="s">
        <v>3638</v>
      </c>
      <c r="W619" s="232">
        <v>-12527.8</v>
      </c>
      <c r="X619" s="232">
        <v>10277.200000000001</v>
      </c>
      <c r="Y619" s="87" t="s">
        <v>668</v>
      </c>
      <c r="Z619" s="87" t="s">
        <v>50</v>
      </c>
      <c r="AA619" s="233" t="s">
        <v>669</v>
      </c>
      <c r="AB619" s="17"/>
      <c r="AC619" s="17">
        <v>1</v>
      </c>
      <c r="AD619" s="17" t="s">
        <v>226</v>
      </c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235" t="s">
        <v>3646</v>
      </c>
    </row>
    <row r="620" spans="1:43">
      <c r="A620" s="12">
        <v>617</v>
      </c>
      <c r="B620" s="21" t="s">
        <v>6239</v>
      </c>
      <c r="C620" s="5" t="s">
        <v>3647</v>
      </c>
      <c r="D620" s="5" t="s">
        <v>6240</v>
      </c>
      <c r="E620" s="5" t="s">
        <v>6241</v>
      </c>
      <c r="F620" s="5" t="s">
        <v>6242</v>
      </c>
      <c r="G620" s="11" t="s">
        <v>6243</v>
      </c>
      <c r="H620" s="11" t="s">
        <v>6244</v>
      </c>
      <c r="I620" s="5"/>
      <c r="J620" s="5"/>
      <c r="K620" s="5"/>
      <c r="L620" s="5"/>
      <c r="M620" s="5"/>
      <c r="N620" s="5"/>
      <c r="O620" s="5"/>
      <c r="P620" s="11">
        <v>68.983500000000006</v>
      </c>
      <c r="Q620" s="5" t="s">
        <v>46</v>
      </c>
      <c r="R620" s="5">
        <f t="shared" si="10"/>
        <v>68.983500000000006</v>
      </c>
      <c r="S620" s="5" t="s">
        <v>3644</v>
      </c>
      <c r="T620" s="12">
        <v>617</v>
      </c>
      <c r="U620" s="259" t="s">
        <v>3645</v>
      </c>
      <c r="V620" s="232" t="s">
        <v>3647</v>
      </c>
      <c r="W620" s="232">
        <v>-11807.2</v>
      </c>
      <c r="X620" s="232">
        <v>10726.6</v>
      </c>
      <c r="Y620" s="87" t="s">
        <v>668</v>
      </c>
      <c r="Z620" s="87" t="s">
        <v>50</v>
      </c>
      <c r="AA620" s="233" t="s">
        <v>669</v>
      </c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235" t="s">
        <v>3646</v>
      </c>
    </row>
    <row r="621" spans="1:43">
      <c r="A621" s="12">
        <v>618</v>
      </c>
      <c r="B621" s="21" t="s">
        <v>6239</v>
      </c>
      <c r="C621" s="5" t="s">
        <v>3648</v>
      </c>
      <c r="D621" s="5" t="s">
        <v>6240</v>
      </c>
      <c r="E621" s="5" t="s">
        <v>6241</v>
      </c>
      <c r="F621" s="5" t="s">
        <v>6242</v>
      </c>
      <c r="G621" s="11" t="s">
        <v>6243</v>
      </c>
      <c r="H621" s="11" t="s">
        <v>6244</v>
      </c>
      <c r="I621" s="5"/>
      <c r="J621" s="5"/>
      <c r="K621" s="5"/>
      <c r="L621" s="5"/>
      <c r="M621" s="5"/>
      <c r="N621" s="5"/>
      <c r="O621" s="5"/>
      <c r="P621" s="11">
        <v>68.983500000000006</v>
      </c>
      <c r="Q621" s="5" t="s">
        <v>46</v>
      </c>
      <c r="R621" s="5">
        <f t="shared" si="10"/>
        <v>68.983500000000006</v>
      </c>
      <c r="S621" s="5" t="s">
        <v>3644</v>
      </c>
      <c r="T621" s="12">
        <v>618</v>
      </c>
      <c r="U621" s="259" t="s">
        <v>3645</v>
      </c>
      <c r="V621" s="232" t="s">
        <v>3648</v>
      </c>
      <c r="W621" s="232">
        <v>-12309.1</v>
      </c>
      <c r="X621" s="232">
        <v>10727.5</v>
      </c>
      <c r="Y621" s="87" t="s">
        <v>668</v>
      </c>
      <c r="Z621" s="87" t="s">
        <v>50</v>
      </c>
      <c r="AA621" s="233" t="s">
        <v>669</v>
      </c>
      <c r="AB621" s="17"/>
      <c r="AC621" s="233"/>
      <c r="AD621" s="233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235" t="s">
        <v>3646</v>
      </c>
    </row>
    <row r="622" spans="1:43">
      <c r="A622" s="12">
        <v>619</v>
      </c>
      <c r="B622" s="21" t="s">
        <v>6239</v>
      </c>
      <c r="C622" s="5" t="s">
        <v>3649</v>
      </c>
      <c r="D622" s="5" t="s">
        <v>6240</v>
      </c>
      <c r="E622" s="5" t="s">
        <v>6241</v>
      </c>
      <c r="F622" s="5" t="s">
        <v>6242</v>
      </c>
      <c r="G622" s="11" t="s">
        <v>6243</v>
      </c>
      <c r="H622" s="11" t="s">
        <v>6244</v>
      </c>
      <c r="I622" s="5"/>
      <c r="J622" s="5"/>
      <c r="K622" s="5"/>
      <c r="L622" s="5"/>
      <c r="M622" s="5"/>
      <c r="N622" s="5"/>
      <c r="O622" s="5"/>
      <c r="P622" s="11">
        <v>68.983500000000006</v>
      </c>
      <c r="Q622" s="5" t="s">
        <v>46</v>
      </c>
      <c r="R622" s="5">
        <f t="shared" si="10"/>
        <v>68.983500000000006</v>
      </c>
      <c r="S622" s="5" t="s">
        <v>3644</v>
      </c>
      <c r="T622" s="12">
        <v>619</v>
      </c>
      <c r="U622" s="259" t="s">
        <v>3645</v>
      </c>
      <c r="V622" s="232" t="s">
        <v>3649</v>
      </c>
      <c r="W622" s="232">
        <v>-11557.8</v>
      </c>
      <c r="X622" s="232">
        <v>11189</v>
      </c>
      <c r="Y622" s="87" t="s">
        <v>668</v>
      </c>
      <c r="Z622" s="87" t="s">
        <v>50</v>
      </c>
      <c r="AA622" s="233" t="s">
        <v>669</v>
      </c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235" t="s">
        <v>3646</v>
      </c>
    </row>
    <row r="623" spans="1:43">
      <c r="A623" s="12">
        <v>620</v>
      </c>
      <c r="B623" s="21" t="s">
        <v>6239</v>
      </c>
      <c r="C623" s="5" t="s">
        <v>3650</v>
      </c>
      <c r="D623" s="5" t="s">
        <v>6240</v>
      </c>
      <c r="E623" s="5" t="s">
        <v>6241</v>
      </c>
      <c r="F623" s="5" t="s">
        <v>6242</v>
      </c>
      <c r="G623" s="11" t="s">
        <v>6243</v>
      </c>
      <c r="H623" s="11" t="s">
        <v>6244</v>
      </c>
      <c r="I623" s="5"/>
      <c r="J623" s="5"/>
      <c r="K623" s="5"/>
      <c r="L623" s="5"/>
      <c r="M623" s="5"/>
      <c r="N623" s="5"/>
      <c r="O623" s="5"/>
      <c r="P623" s="11">
        <v>68.983500000000006</v>
      </c>
      <c r="Q623" s="5" t="s">
        <v>46</v>
      </c>
      <c r="R623" s="5">
        <f t="shared" si="10"/>
        <v>68.983500000000006</v>
      </c>
      <c r="S623" s="5" t="s">
        <v>3644</v>
      </c>
      <c r="T623" s="12">
        <v>620</v>
      </c>
      <c r="U623" s="259" t="s">
        <v>3645</v>
      </c>
      <c r="V623" s="232" t="s">
        <v>3650</v>
      </c>
      <c r="W623" s="232">
        <v>-12058.3</v>
      </c>
      <c r="X623" s="232">
        <v>11189</v>
      </c>
      <c r="Y623" s="87" t="s">
        <v>668</v>
      </c>
      <c r="Z623" s="87" t="s">
        <v>50</v>
      </c>
      <c r="AA623" s="233" t="s">
        <v>669</v>
      </c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235" t="s">
        <v>3646</v>
      </c>
    </row>
    <row r="624" spans="1:43">
      <c r="A624" s="12">
        <v>621</v>
      </c>
      <c r="B624" s="21" t="s">
        <v>6245</v>
      </c>
      <c r="C624" s="5" t="s">
        <v>3652</v>
      </c>
      <c r="D624" s="5" t="s">
        <v>605</v>
      </c>
      <c r="E624" s="5" t="s">
        <v>605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11" t="s">
        <v>46</v>
      </c>
      <c r="Q624" s="5" t="s">
        <v>46</v>
      </c>
      <c r="R624" s="5" t="str">
        <f t="shared" si="10"/>
        <v/>
      </c>
      <c r="S624" s="5" t="s">
        <v>46</v>
      </c>
      <c r="T624" s="12">
        <v>621</v>
      </c>
      <c r="U624" s="259" t="s">
        <v>3653</v>
      </c>
      <c r="V624" s="232" t="s">
        <v>3652</v>
      </c>
      <c r="W624" s="232">
        <v>-6227</v>
      </c>
      <c r="X624" s="232">
        <v>1353.8</v>
      </c>
      <c r="Y624" s="87" t="s">
        <v>668</v>
      </c>
      <c r="Z624" s="87" t="s">
        <v>50</v>
      </c>
      <c r="AA624" s="233" t="s">
        <v>669</v>
      </c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235" t="s">
        <v>3654</v>
      </c>
    </row>
    <row r="625" spans="1:43">
      <c r="A625" s="12">
        <v>622</v>
      </c>
      <c r="B625" s="21" t="s">
        <v>6246</v>
      </c>
      <c r="C625" s="5" t="s">
        <v>3656</v>
      </c>
      <c r="D625" s="5" t="s">
        <v>605</v>
      </c>
      <c r="E625" s="5" t="s">
        <v>605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11" t="s">
        <v>46</v>
      </c>
      <c r="Q625" s="5" t="s">
        <v>46</v>
      </c>
      <c r="R625" s="5" t="str">
        <f t="shared" si="10"/>
        <v/>
      </c>
      <c r="S625" s="5" t="s">
        <v>46</v>
      </c>
      <c r="T625" s="12">
        <v>622</v>
      </c>
      <c r="U625" s="259" t="s">
        <v>3657</v>
      </c>
      <c r="V625" s="232" t="s">
        <v>3656</v>
      </c>
      <c r="W625" s="232">
        <v>3873.5</v>
      </c>
      <c r="X625" s="232">
        <v>774.7</v>
      </c>
      <c r="Y625" s="87" t="s">
        <v>668</v>
      </c>
      <c r="Z625" s="87" t="s">
        <v>50</v>
      </c>
      <c r="AA625" s="233" t="s">
        <v>669</v>
      </c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235" t="s">
        <v>3658</v>
      </c>
    </row>
    <row r="626" spans="1:43">
      <c r="A626" s="12">
        <v>623</v>
      </c>
      <c r="B626" s="21" t="s">
        <v>6247</v>
      </c>
      <c r="C626" s="5" t="s">
        <v>3660</v>
      </c>
      <c r="D626" s="5" t="s">
        <v>605</v>
      </c>
      <c r="E626" s="5" t="s">
        <v>605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11" t="s">
        <v>46</v>
      </c>
      <c r="Q626" s="5" t="s">
        <v>46</v>
      </c>
      <c r="R626" s="5" t="str">
        <f t="shared" si="10"/>
        <v/>
      </c>
      <c r="S626" s="5" t="s">
        <v>46</v>
      </c>
      <c r="T626" s="12">
        <v>623</v>
      </c>
      <c r="U626" s="259" t="s">
        <v>3661</v>
      </c>
      <c r="V626" s="232" t="s">
        <v>3660</v>
      </c>
      <c r="W626" s="232">
        <v>-6004.1</v>
      </c>
      <c r="X626" s="232">
        <v>4862.6000000000004</v>
      </c>
      <c r="Y626" s="87" t="s">
        <v>668</v>
      </c>
      <c r="Z626" s="87" t="s">
        <v>50</v>
      </c>
      <c r="AA626" s="233" t="s">
        <v>669</v>
      </c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235" t="s">
        <v>3662</v>
      </c>
    </row>
    <row r="627" spans="1:43">
      <c r="A627" s="12">
        <v>624</v>
      </c>
      <c r="B627" s="21" t="s">
        <v>6248</v>
      </c>
      <c r="C627" s="5" t="s">
        <v>3664</v>
      </c>
      <c r="D627" s="5" t="s">
        <v>6249</v>
      </c>
      <c r="E627" s="5" t="s">
        <v>6250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11" t="s">
        <v>46</v>
      </c>
      <c r="Q627" s="268">
        <v>157.28899999999999</v>
      </c>
      <c r="R627" s="268">
        <f t="shared" si="10"/>
        <v>157.28899999999999</v>
      </c>
      <c r="S627" s="268" t="s">
        <v>60</v>
      </c>
      <c r="T627" s="12">
        <v>624</v>
      </c>
      <c r="U627" s="259" t="s">
        <v>3667</v>
      </c>
      <c r="V627" s="232" t="s">
        <v>3664</v>
      </c>
      <c r="W627" s="232">
        <v>-8272.2999999999993</v>
      </c>
      <c r="X627" s="232">
        <v>6110.3</v>
      </c>
      <c r="Y627" s="87" t="s">
        <v>668</v>
      </c>
      <c r="Z627" s="87" t="s">
        <v>50</v>
      </c>
      <c r="AA627" s="233" t="s">
        <v>51</v>
      </c>
      <c r="AB627" s="17"/>
      <c r="AC627" s="17">
        <v>1</v>
      </c>
      <c r="AD627" s="17" t="s">
        <v>226</v>
      </c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 t="s">
        <v>636</v>
      </c>
      <c r="AP627" s="17"/>
      <c r="AQ627" s="235" t="s">
        <v>3668</v>
      </c>
    </row>
    <row r="628" spans="1:43">
      <c r="A628" s="12">
        <v>625</v>
      </c>
      <c r="B628" s="21" t="s">
        <v>6251</v>
      </c>
      <c r="C628" s="5" t="s">
        <v>3670</v>
      </c>
      <c r="D628" s="5" t="s">
        <v>605</v>
      </c>
      <c r="E628" s="5" t="s">
        <v>605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11" t="s">
        <v>46</v>
      </c>
      <c r="Q628" s="5" t="s">
        <v>46</v>
      </c>
      <c r="R628" s="5" t="str">
        <f t="shared" si="10"/>
        <v/>
      </c>
      <c r="S628" s="5" t="s">
        <v>46</v>
      </c>
      <c r="T628" s="12">
        <v>625</v>
      </c>
      <c r="U628" s="259" t="s">
        <v>3671</v>
      </c>
      <c r="V628" s="232" t="s">
        <v>3670</v>
      </c>
      <c r="W628" s="232">
        <v>1353.8</v>
      </c>
      <c r="X628" s="232">
        <v>-3249.2</v>
      </c>
      <c r="Y628" s="87" t="s">
        <v>668</v>
      </c>
      <c r="Z628" s="87" t="s">
        <v>50</v>
      </c>
      <c r="AA628" s="233" t="s">
        <v>669</v>
      </c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235" t="s">
        <v>3672</v>
      </c>
    </row>
    <row r="629" spans="1:43">
      <c r="A629" s="12">
        <v>626</v>
      </c>
      <c r="B629" s="21" t="s">
        <v>6252</v>
      </c>
      <c r="C629" s="5" t="s">
        <v>3674</v>
      </c>
      <c r="D629" s="5" t="s">
        <v>605</v>
      </c>
      <c r="E629" s="5" t="s">
        <v>605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11" t="s">
        <v>46</v>
      </c>
      <c r="Q629" s="5" t="s">
        <v>46</v>
      </c>
      <c r="R629" s="5" t="str">
        <f t="shared" si="10"/>
        <v/>
      </c>
      <c r="S629" s="5" t="s">
        <v>46</v>
      </c>
      <c r="T629" s="12">
        <v>626</v>
      </c>
      <c r="U629" s="259" t="s">
        <v>3675</v>
      </c>
      <c r="V629" s="232" t="s">
        <v>3674</v>
      </c>
      <c r="W629" s="232">
        <v>1353.8</v>
      </c>
      <c r="X629" s="232">
        <v>-2525.3000000000002</v>
      </c>
      <c r="Y629" s="87" t="s">
        <v>668</v>
      </c>
      <c r="Z629" s="87" t="s">
        <v>50</v>
      </c>
      <c r="AA629" s="233" t="s">
        <v>669</v>
      </c>
      <c r="AB629" s="234"/>
      <c r="AC629" s="233"/>
      <c r="AD629" s="233"/>
      <c r="AE629" s="234"/>
      <c r="AF629" s="234"/>
      <c r="AG629" s="234"/>
      <c r="AH629" s="233"/>
      <c r="AI629" s="233"/>
      <c r="AJ629" s="233"/>
      <c r="AK629" s="233"/>
      <c r="AL629" s="233"/>
      <c r="AM629" s="233"/>
      <c r="AN629" s="233"/>
      <c r="AO629" s="233"/>
      <c r="AP629" s="234"/>
      <c r="AQ629" s="234" t="s">
        <v>3676</v>
      </c>
    </row>
    <row r="630" spans="1:43">
      <c r="A630" s="12">
        <v>627</v>
      </c>
      <c r="B630" s="21" t="s">
        <v>6253</v>
      </c>
      <c r="C630" s="5" t="s">
        <v>3678</v>
      </c>
      <c r="D630" s="5" t="s">
        <v>605</v>
      </c>
      <c r="E630" s="5" t="s">
        <v>605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11" t="s">
        <v>46</v>
      </c>
      <c r="Q630" s="5" t="s">
        <v>46</v>
      </c>
      <c r="R630" s="5" t="str">
        <f t="shared" si="10"/>
        <v/>
      </c>
      <c r="S630" s="5" t="s">
        <v>46</v>
      </c>
      <c r="T630" s="12">
        <v>627</v>
      </c>
      <c r="U630" s="253" t="s">
        <v>3679</v>
      </c>
      <c r="V630" s="232" t="s">
        <v>3678</v>
      </c>
      <c r="W630" s="232">
        <v>2344.5</v>
      </c>
      <c r="X630" s="232">
        <v>-2525.3000000000002</v>
      </c>
      <c r="Y630" s="87" t="s">
        <v>668</v>
      </c>
      <c r="Z630" s="87" t="s">
        <v>50</v>
      </c>
      <c r="AA630" s="233" t="s">
        <v>669</v>
      </c>
      <c r="AB630" s="234"/>
      <c r="AC630" s="233"/>
      <c r="AD630" s="234"/>
      <c r="AE630" s="234"/>
      <c r="AF630" s="234"/>
      <c r="AG630" s="234"/>
      <c r="AH630" s="233"/>
      <c r="AI630" s="233"/>
      <c r="AJ630" s="233"/>
      <c r="AK630" s="233"/>
      <c r="AL630" s="233"/>
      <c r="AM630" s="233"/>
      <c r="AN630" s="233"/>
      <c r="AO630" s="233"/>
      <c r="AP630" s="234"/>
      <c r="AQ630" s="259" t="s">
        <v>3680</v>
      </c>
    </row>
    <row r="631" spans="1:43">
      <c r="A631" s="12">
        <v>628</v>
      </c>
      <c r="B631" s="21" t="s">
        <v>6254</v>
      </c>
      <c r="C631" s="5" t="s">
        <v>3682</v>
      </c>
      <c r="D631" s="5" t="s">
        <v>605</v>
      </c>
      <c r="E631" s="5" t="s">
        <v>605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11" t="s">
        <v>46</v>
      </c>
      <c r="Q631" s="5" t="s">
        <v>46</v>
      </c>
      <c r="R631" s="5" t="str">
        <f t="shared" si="10"/>
        <v/>
      </c>
      <c r="S631" s="5" t="s">
        <v>46</v>
      </c>
      <c r="T631" s="12">
        <v>628</v>
      </c>
      <c r="U631" s="253" t="s">
        <v>3683</v>
      </c>
      <c r="V631" s="232" t="s">
        <v>3682</v>
      </c>
      <c r="W631" s="232">
        <v>2344.5</v>
      </c>
      <c r="X631" s="232">
        <v>-3249.2</v>
      </c>
      <c r="Y631" s="87" t="s">
        <v>668</v>
      </c>
      <c r="Z631" s="87" t="s">
        <v>50</v>
      </c>
      <c r="AA631" s="233" t="s">
        <v>669</v>
      </c>
      <c r="AB631" s="234"/>
      <c r="AC631" s="233"/>
      <c r="AD631" s="234"/>
      <c r="AE631" s="234"/>
      <c r="AF631" s="234"/>
      <c r="AG631" s="234"/>
      <c r="AH631" s="233"/>
      <c r="AI631" s="233"/>
      <c r="AJ631" s="233"/>
      <c r="AK631" s="233"/>
      <c r="AL631" s="233"/>
      <c r="AM631" s="233"/>
      <c r="AN631" s="233"/>
      <c r="AO631" s="233"/>
      <c r="AP631" s="234"/>
      <c r="AQ631" s="259" t="s">
        <v>3684</v>
      </c>
    </row>
    <row r="632" spans="1:43">
      <c r="A632" s="12">
        <v>629</v>
      </c>
      <c r="B632" s="21" t="s">
        <v>3685</v>
      </c>
      <c r="C632" s="5" t="s">
        <v>3686</v>
      </c>
      <c r="D632" s="5" t="s">
        <v>605</v>
      </c>
      <c r="E632" s="5" t="s">
        <v>605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11" t="s">
        <v>46</v>
      </c>
      <c r="Q632" s="5" t="s">
        <v>46</v>
      </c>
      <c r="R632" s="5" t="str">
        <f t="shared" si="10"/>
        <v/>
      </c>
      <c r="S632" s="5" t="s">
        <v>46</v>
      </c>
      <c r="T632" s="12">
        <v>629</v>
      </c>
      <c r="U632" s="253" t="s">
        <v>3687</v>
      </c>
      <c r="V632" s="232" t="s">
        <v>3686</v>
      </c>
      <c r="W632" s="232">
        <v>8269</v>
      </c>
      <c r="X632" s="232">
        <v>-11189</v>
      </c>
      <c r="Y632" s="87" t="s">
        <v>3685</v>
      </c>
      <c r="Z632" s="87" t="s">
        <v>50</v>
      </c>
      <c r="AA632" s="233"/>
      <c r="AB632" s="234"/>
      <c r="AC632" s="233"/>
      <c r="AD632" s="234"/>
      <c r="AE632" s="234"/>
      <c r="AF632" s="234"/>
      <c r="AG632" s="234"/>
      <c r="AH632" s="233"/>
      <c r="AI632" s="233"/>
      <c r="AJ632" s="233"/>
      <c r="AK632" s="233"/>
      <c r="AL632" s="233"/>
      <c r="AM632" s="233"/>
      <c r="AN632" s="233"/>
      <c r="AO632" s="233"/>
      <c r="AP632" s="234"/>
      <c r="AQ632" s="259" t="s">
        <v>3687</v>
      </c>
    </row>
    <row r="633" spans="1:43">
      <c r="A633" s="12">
        <v>630</v>
      </c>
      <c r="B633" s="21" t="s">
        <v>3685</v>
      </c>
      <c r="C633" s="5" t="s">
        <v>3688</v>
      </c>
      <c r="D633" s="5" t="s">
        <v>605</v>
      </c>
      <c r="E633" s="5" t="s">
        <v>605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11" t="s">
        <v>46</v>
      </c>
      <c r="Q633" s="5" t="s">
        <v>46</v>
      </c>
      <c r="R633" s="5" t="str">
        <f t="shared" si="10"/>
        <v/>
      </c>
      <c r="S633" s="5" t="s">
        <v>46</v>
      </c>
      <c r="T633" s="12">
        <v>630</v>
      </c>
      <c r="U633" s="253" t="s">
        <v>3687</v>
      </c>
      <c r="V633" s="232" t="s">
        <v>3688</v>
      </c>
      <c r="W633" s="232">
        <v>-1114.3</v>
      </c>
      <c r="X633" s="232">
        <v>-11190</v>
      </c>
      <c r="Y633" s="87" t="s">
        <v>3685</v>
      </c>
      <c r="Z633" s="87" t="s">
        <v>50</v>
      </c>
      <c r="AA633" s="233"/>
      <c r="AB633" s="234"/>
      <c r="AC633" s="233"/>
      <c r="AD633" s="234"/>
      <c r="AE633" s="234"/>
      <c r="AF633" s="234"/>
      <c r="AG633" s="234"/>
      <c r="AH633" s="233"/>
      <c r="AI633" s="233"/>
      <c r="AJ633" s="233"/>
      <c r="AK633" s="233"/>
      <c r="AL633" s="233"/>
      <c r="AM633" s="233"/>
      <c r="AN633" s="233"/>
      <c r="AO633" s="233"/>
      <c r="AP633" s="234"/>
      <c r="AQ633" s="259" t="s">
        <v>3687</v>
      </c>
    </row>
    <row r="634" spans="1:43">
      <c r="A634" s="12">
        <v>631</v>
      </c>
      <c r="B634" s="21" t="s">
        <v>3685</v>
      </c>
      <c r="C634" s="5" t="s">
        <v>3689</v>
      </c>
      <c r="D634" s="5" t="s">
        <v>605</v>
      </c>
      <c r="E634" s="5" t="s">
        <v>605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11" t="s">
        <v>46</v>
      </c>
      <c r="Q634" s="5" t="s">
        <v>46</v>
      </c>
      <c r="R634" s="5" t="str">
        <f t="shared" si="10"/>
        <v/>
      </c>
      <c r="S634" s="5" t="s">
        <v>46</v>
      </c>
      <c r="T634" s="12">
        <v>631</v>
      </c>
      <c r="U634" s="261" t="s">
        <v>3687</v>
      </c>
      <c r="V634" s="232" t="s">
        <v>3689</v>
      </c>
      <c r="W634" s="232">
        <v>12058.3</v>
      </c>
      <c r="X634" s="232">
        <v>-11189</v>
      </c>
      <c r="Y634" s="87" t="s">
        <v>3685</v>
      </c>
      <c r="Z634" s="87" t="s">
        <v>50</v>
      </c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261" t="s">
        <v>3687</v>
      </c>
    </row>
    <row r="635" spans="1:43">
      <c r="A635" s="12">
        <v>632</v>
      </c>
      <c r="B635" s="21" t="s">
        <v>3685</v>
      </c>
      <c r="C635" s="5" t="s">
        <v>3690</v>
      </c>
      <c r="D635" s="5" t="s">
        <v>605</v>
      </c>
      <c r="E635" s="5" t="s">
        <v>605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11" t="s">
        <v>46</v>
      </c>
      <c r="Q635" s="5" t="s">
        <v>46</v>
      </c>
      <c r="R635" s="5" t="str">
        <f t="shared" si="10"/>
        <v/>
      </c>
      <c r="S635" s="5" t="s">
        <v>46</v>
      </c>
      <c r="T635" s="12">
        <v>632</v>
      </c>
      <c r="U635" s="261" t="s">
        <v>3687</v>
      </c>
      <c r="V635" s="232" t="s">
        <v>3690</v>
      </c>
      <c r="W635" s="232">
        <v>11557.8</v>
      </c>
      <c r="X635" s="232">
        <v>-11189</v>
      </c>
      <c r="Y635" s="87" t="s">
        <v>3685</v>
      </c>
      <c r="Z635" s="87" t="s">
        <v>50</v>
      </c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261" t="s">
        <v>3687</v>
      </c>
    </row>
    <row r="636" spans="1:43">
      <c r="A636" s="12">
        <v>633</v>
      </c>
      <c r="B636" s="21" t="s">
        <v>3685</v>
      </c>
      <c r="C636" s="5" t="s">
        <v>3691</v>
      </c>
      <c r="D636" s="5" t="s">
        <v>605</v>
      </c>
      <c r="E636" s="5" t="s">
        <v>605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11" t="s">
        <v>46</v>
      </c>
      <c r="Q636" s="5" t="s">
        <v>46</v>
      </c>
      <c r="R636" s="5" t="str">
        <f t="shared" si="10"/>
        <v/>
      </c>
      <c r="S636" s="5" t="s">
        <v>46</v>
      </c>
      <c r="T636" s="12">
        <v>633</v>
      </c>
      <c r="U636" s="261" t="s">
        <v>3687</v>
      </c>
      <c r="V636" s="232" t="s">
        <v>3691</v>
      </c>
      <c r="W636" s="232">
        <v>-10691.3</v>
      </c>
      <c r="X636" s="232">
        <v>-11189</v>
      </c>
      <c r="Y636" s="87" t="s">
        <v>3685</v>
      </c>
      <c r="Z636" s="87" t="s">
        <v>50</v>
      </c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261" t="s">
        <v>3687</v>
      </c>
    </row>
    <row r="637" spans="1:43">
      <c r="A637" s="12">
        <v>634</v>
      </c>
      <c r="B637" s="21" t="s">
        <v>3685</v>
      </c>
      <c r="C637" s="5" t="s">
        <v>3692</v>
      </c>
      <c r="D637" s="5" t="s">
        <v>605</v>
      </c>
      <c r="E637" s="5" t="s">
        <v>605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11" t="s">
        <v>46</v>
      </c>
      <c r="Q637" s="5" t="s">
        <v>46</v>
      </c>
      <c r="R637" s="5" t="str">
        <f t="shared" si="10"/>
        <v/>
      </c>
      <c r="S637" s="5" t="s">
        <v>46</v>
      </c>
      <c r="T637" s="12">
        <v>634</v>
      </c>
      <c r="U637" s="261" t="s">
        <v>3687</v>
      </c>
      <c r="V637" s="232" t="s">
        <v>3692</v>
      </c>
      <c r="W637" s="232">
        <v>-11557.8</v>
      </c>
      <c r="X637" s="232">
        <v>-11189</v>
      </c>
      <c r="Y637" s="87" t="s">
        <v>3685</v>
      </c>
      <c r="Z637" s="87" t="s">
        <v>50</v>
      </c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261" t="s">
        <v>3687</v>
      </c>
    </row>
    <row r="638" spans="1:43">
      <c r="A638" s="12">
        <v>635</v>
      </c>
      <c r="B638" s="21" t="s">
        <v>3685</v>
      </c>
      <c r="C638" s="5" t="s">
        <v>3693</v>
      </c>
      <c r="D638" s="5" t="s">
        <v>605</v>
      </c>
      <c r="E638" s="5" t="s">
        <v>605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11" t="s">
        <v>46</v>
      </c>
      <c r="Q638" s="5" t="s">
        <v>46</v>
      </c>
      <c r="R638" s="5" t="str">
        <f t="shared" si="10"/>
        <v/>
      </c>
      <c r="S638" s="5" t="s">
        <v>46</v>
      </c>
      <c r="T638" s="12">
        <v>635</v>
      </c>
      <c r="U638" s="261" t="s">
        <v>3687</v>
      </c>
      <c r="V638" s="232" t="s">
        <v>3693</v>
      </c>
      <c r="W638" s="232">
        <v>-12058.3</v>
      </c>
      <c r="X638" s="232">
        <v>-11189</v>
      </c>
      <c r="Y638" s="87" t="s">
        <v>3685</v>
      </c>
      <c r="Z638" s="87" t="s">
        <v>50</v>
      </c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261" t="s">
        <v>3687</v>
      </c>
    </row>
    <row r="639" spans="1:43">
      <c r="A639" s="12">
        <v>636</v>
      </c>
      <c r="B639" s="21" t="s">
        <v>3685</v>
      </c>
      <c r="C639" s="5" t="s">
        <v>3694</v>
      </c>
      <c r="D639" s="5" t="s">
        <v>605</v>
      </c>
      <c r="E639" s="5" t="s">
        <v>605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11" t="s">
        <v>46</v>
      </c>
      <c r="Q639" s="5" t="s">
        <v>46</v>
      </c>
      <c r="R639" s="5" t="str">
        <f t="shared" si="10"/>
        <v/>
      </c>
      <c r="S639" s="5" t="s">
        <v>46</v>
      </c>
      <c r="T639" s="12">
        <v>636</v>
      </c>
      <c r="U639" s="261" t="s">
        <v>3687</v>
      </c>
      <c r="V639" s="232" t="s">
        <v>3694</v>
      </c>
      <c r="W639" s="232">
        <v>10491.5</v>
      </c>
      <c r="X639" s="232">
        <v>-11189</v>
      </c>
      <c r="Y639" s="87" t="s">
        <v>3685</v>
      </c>
      <c r="Z639" s="87" t="s">
        <v>50</v>
      </c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261" t="s">
        <v>3687</v>
      </c>
    </row>
    <row r="640" spans="1:43">
      <c r="A640" s="12">
        <v>637</v>
      </c>
      <c r="B640" s="21" t="s">
        <v>3685</v>
      </c>
      <c r="C640" s="5" t="s">
        <v>3695</v>
      </c>
      <c r="D640" s="5" t="s">
        <v>605</v>
      </c>
      <c r="E640" s="5" t="s">
        <v>605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11" t="s">
        <v>46</v>
      </c>
      <c r="Q640" s="5" t="s">
        <v>46</v>
      </c>
      <c r="R640" s="5" t="str">
        <f t="shared" si="10"/>
        <v/>
      </c>
      <c r="S640" s="5" t="s">
        <v>46</v>
      </c>
      <c r="T640" s="12">
        <v>637</v>
      </c>
      <c r="U640" s="261" t="s">
        <v>3687</v>
      </c>
      <c r="V640" s="232" t="s">
        <v>3695</v>
      </c>
      <c r="W640" s="232">
        <v>13439.1</v>
      </c>
      <c r="X640" s="232">
        <v>-1677.7</v>
      </c>
      <c r="Y640" s="87" t="s">
        <v>3685</v>
      </c>
      <c r="Z640" s="87" t="s">
        <v>50</v>
      </c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261" t="s">
        <v>3687</v>
      </c>
    </row>
    <row r="641" spans="1:43">
      <c r="A641" s="12">
        <v>638</v>
      </c>
      <c r="B641" s="21" t="s">
        <v>3685</v>
      </c>
      <c r="C641" s="5" t="s">
        <v>3696</v>
      </c>
      <c r="D641" s="5" t="s">
        <v>605</v>
      </c>
      <c r="E641" s="5" t="s">
        <v>605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11" t="s">
        <v>46</v>
      </c>
      <c r="Q641" s="5" t="s">
        <v>46</v>
      </c>
      <c r="R641" s="5" t="str">
        <f t="shared" si="10"/>
        <v/>
      </c>
      <c r="S641" s="5" t="s">
        <v>46</v>
      </c>
      <c r="T641" s="12">
        <v>638</v>
      </c>
      <c r="U641" s="261" t="s">
        <v>3687</v>
      </c>
      <c r="V641" s="232" t="s">
        <v>3696</v>
      </c>
      <c r="W641" s="232">
        <v>-8271.2999999999993</v>
      </c>
      <c r="X641" s="232">
        <v>-2014.2</v>
      </c>
      <c r="Y641" s="87" t="s">
        <v>3685</v>
      </c>
      <c r="Z641" s="87" t="s">
        <v>50</v>
      </c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261" t="s">
        <v>3687</v>
      </c>
    </row>
    <row r="642" spans="1:43">
      <c r="A642" s="12">
        <v>639</v>
      </c>
      <c r="B642" s="21" t="s">
        <v>3685</v>
      </c>
      <c r="C642" s="5" t="s">
        <v>3697</v>
      </c>
      <c r="D642" s="5" t="s">
        <v>605</v>
      </c>
      <c r="E642" s="5" t="s">
        <v>605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11" t="s">
        <v>46</v>
      </c>
      <c r="Q642" s="5" t="s">
        <v>46</v>
      </c>
      <c r="R642" s="5" t="str">
        <f t="shared" si="10"/>
        <v/>
      </c>
      <c r="S642" s="5" t="s">
        <v>46</v>
      </c>
      <c r="T642" s="12">
        <v>639</v>
      </c>
      <c r="U642" s="261" t="s">
        <v>3687</v>
      </c>
      <c r="V642" s="232" t="s">
        <v>3697</v>
      </c>
      <c r="W642" s="232">
        <v>-13439.1</v>
      </c>
      <c r="X642" s="232">
        <v>-1677.7</v>
      </c>
      <c r="Y642" s="87" t="s">
        <v>3685</v>
      </c>
      <c r="Z642" s="87" t="s">
        <v>50</v>
      </c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261" t="s">
        <v>3687</v>
      </c>
    </row>
    <row r="643" spans="1:43">
      <c r="A643" s="12">
        <v>640</v>
      </c>
      <c r="B643" s="21" t="s">
        <v>3685</v>
      </c>
      <c r="C643" s="5" t="s">
        <v>3698</v>
      </c>
      <c r="D643" s="5" t="s">
        <v>605</v>
      </c>
      <c r="E643" s="5" t="s">
        <v>605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11" t="s">
        <v>46</v>
      </c>
      <c r="Q643" s="5" t="s">
        <v>46</v>
      </c>
      <c r="R643" s="5" t="str">
        <f t="shared" si="10"/>
        <v/>
      </c>
      <c r="S643" s="5" t="s">
        <v>46</v>
      </c>
      <c r="T643" s="12">
        <v>640</v>
      </c>
      <c r="U643" s="261" t="s">
        <v>3687</v>
      </c>
      <c r="V643" s="232" t="s">
        <v>3698</v>
      </c>
      <c r="W643" s="232">
        <v>7674.8</v>
      </c>
      <c r="X643" s="232">
        <v>-1353.8</v>
      </c>
      <c r="Y643" s="87" t="s">
        <v>3685</v>
      </c>
      <c r="Z643" s="87" t="s">
        <v>50</v>
      </c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261" t="s">
        <v>3687</v>
      </c>
    </row>
    <row r="644" spans="1:43">
      <c r="A644" s="12">
        <v>641</v>
      </c>
      <c r="B644" s="21" t="s">
        <v>3685</v>
      </c>
      <c r="C644" s="5" t="s">
        <v>3699</v>
      </c>
      <c r="D644" s="5" t="s">
        <v>605</v>
      </c>
      <c r="E644" s="5" t="s">
        <v>605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11" t="s">
        <v>46</v>
      </c>
      <c r="Q644" s="5" t="s">
        <v>46</v>
      </c>
      <c r="R644" s="5" t="str">
        <f t="shared" si="10"/>
        <v/>
      </c>
      <c r="S644" s="5" t="s">
        <v>46</v>
      </c>
      <c r="T644" s="12">
        <v>641</v>
      </c>
      <c r="U644" s="261" t="s">
        <v>3687</v>
      </c>
      <c r="V644" s="232" t="s">
        <v>3699</v>
      </c>
      <c r="W644" s="232">
        <v>6950.9</v>
      </c>
      <c r="X644" s="232">
        <v>-1353.8</v>
      </c>
      <c r="Y644" s="87" t="s">
        <v>3685</v>
      </c>
      <c r="Z644" s="87" t="s">
        <v>50</v>
      </c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261" t="s">
        <v>3687</v>
      </c>
    </row>
    <row r="645" spans="1:43">
      <c r="A645" s="12">
        <v>642</v>
      </c>
      <c r="B645" s="21" t="s">
        <v>3685</v>
      </c>
      <c r="C645" s="5" t="s">
        <v>3700</v>
      </c>
      <c r="D645" s="5" t="s">
        <v>605</v>
      </c>
      <c r="E645" s="5" t="s">
        <v>605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11" t="s">
        <v>46</v>
      </c>
      <c r="Q645" s="5" t="s">
        <v>46</v>
      </c>
      <c r="R645" s="5" t="str">
        <f t="shared" ref="R645:R708" si="11">IF(AND(P645="",Q645=""),"",SUM(P645:Q645))</f>
        <v/>
      </c>
      <c r="S645" s="5" t="s">
        <v>46</v>
      </c>
      <c r="T645" s="12">
        <v>642</v>
      </c>
      <c r="U645" s="261" t="s">
        <v>3687</v>
      </c>
      <c r="V645" s="232" t="s">
        <v>3700</v>
      </c>
      <c r="W645" s="232">
        <v>6227</v>
      </c>
      <c r="X645" s="232">
        <v>-1353.8</v>
      </c>
      <c r="Y645" s="87" t="s">
        <v>3685</v>
      </c>
      <c r="Z645" s="87" t="s">
        <v>50</v>
      </c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261" t="s">
        <v>3687</v>
      </c>
    </row>
    <row r="646" spans="1:43">
      <c r="A646" s="12">
        <v>643</v>
      </c>
      <c r="B646" s="21" t="s">
        <v>3685</v>
      </c>
      <c r="C646" s="5" t="s">
        <v>3701</v>
      </c>
      <c r="D646" s="5" t="s">
        <v>605</v>
      </c>
      <c r="E646" s="5" t="s">
        <v>605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11" t="s">
        <v>46</v>
      </c>
      <c r="Q646" s="5" t="s">
        <v>46</v>
      </c>
      <c r="R646" s="5" t="str">
        <f t="shared" si="11"/>
        <v/>
      </c>
      <c r="S646" s="5" t="s">
        <v>46</v>
      </c>
      <c r="T646" s="12">
        <v>643</v>
      </c>
      <c r="U646" s="261" t="s">
        <v>3687</v>
      </c>
      <c r="V646" s="232" t="s">
        <v>3701</v>
      </c>
      <c r="W646" s="232">
        <v>4779.2</v>
      </c>
      <c r="X646" s="232">
        <v>-1353.8</v>
      </c>
      <c r="Y646" s="87" t="s">
        <v>3685</v>
      </c>
      <c r="Z646" s="87" t="s">
        <v>50</v>
      </c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261" t="s">
        <v>3687</v>
      </c>
    </row>
    <row r="647" spans="1:43">
      <c r="A647" s="12">
        <v>644</v>
      </c>
      <c r="B647" s="21" t="s">
        <v>3685</v>
      </c>
      <c r="C647" s="5" t="s">
        <v>3702</v>
      </c>
      <c r="D647" s="5" t="s">
        <v>605</v>
      </c>
      <c r="E647" s="5" t="s">
        <v>605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11" t="s">
        <v>46</v>
      </c>
      <c r="Q647" s="5" t="s">
        <v>46</v>
      </c>
      <c r="R647" s="5" t="str">
        <f t="shared" si="11"/>
        <v/>
      </c>
      <c r="S647" s="5" t="s">
        <v>46</v>
      </c>
      <c r="T647" s="12">
        <v>644</v>
      </c>
      <c r="U647" s="261" t="s">
        <v>3687</v>
      </c>
      <c r="V647" s="232" t="s">
        <v>3702</v>
      </c>
      <c r="W647" s="232">
        <v>3873.5</v>
      </c>
      <c r="X647" s="232">
        <v>-1549.4</v>
      </c>
      <c r="Y647" s="87" t="s">
        <v>3685</v>
      </c>
      <c r="Z647" s="87" t="s">
        <v>50</v>
      </c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261" t="s">
        <v>3687</v>
      </c>
    </row>
    <row r="648" spans="1:43">
      <c r="A648" s="12">
        <v>645</v>
      </c>
      <c r="B648" s="21" t="s">
        <v>3685</v>
      </c>
      <c r="C648" s="5" t="s">
        <v>3703</v>
      </c>
      <c r="D648" s="5" t="s">
        <v>605</v>
      </c>
      <c r="E648" s="5" t="s">
        <v>605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11" t="s">
        <v>46</v>
      </c>
      <c r="Q648" s="5" t="s">
        <v>46</v>
      </c>
      <c r="R648" s="5" t="str">
        <f t="shared" si="11"/>
        <v/>
      </c>
      <c r="S648" s="5" t="s">
        <v>46</v>
      </c>
      <c r="T648" s="12">
        <v>645</v>
      </c>
      <c r="U648" s="261" t="s">
        <v>3687</v>
      </c>
      <c r="V648" s="232" t="s">
        <v>3703</v>
      </c>
      <c r="W648" s="232">
        <v>3098.8</v>
      </c>
      <c r="X648" s="232">
        <v>-1549.4</v>
      </c>
      <c r="Y648" s="87" t="s">
        <v>3685</v>
      </c>
      <c r="Z648" s="87" t="s">
        <v>50</v>
      </c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261" t="s">
        <v>3687</v>
      </c>
    </row>
    <row r="649" spans="1:43">
      <c r="A649" s="12">
        <v>646</v>
      </c>
      <c r="B649" s="21" t="s">
        <v>3685</v>
      </c>
      <c r="C649" s="5" t="s">
        <v>3704</v>
      </c>
      <c r="D649" s="5" t="s">
        <v>605</v>
      </c>
      <c r="E649" s="5" t="s">
        <v>605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11" t="s">
        <v>46</v>
      </c>
      <c r="Q649" s="5" t="s">
        <v>46</v>
      </c>
      <c r="R649" s="5" t="str">
        <f t="shared" si="11"/>
        <v/>
      </c>
      <c r="S649" s="5" t="s">
        <v>46</v>
      </c>
      <c r="T649" s="12">
        <v>646</v>
      </c>
      <c r="U649" s="261" t="s">
        <v>3687</v>
      </c>
      <c r="V649" s="232" t="s">
        <v>3704</v>
      </c>
      <c r="W649" s="232">
        <v>2324.1</v>
      </c>
      <c r="X649" s="232">
        <v>-1549.4</v>
      </c>
      <c r="Y649" s="87" t="s">
        <v>3685</v>
      </c>
      <c r="Z649" s="87" t="s">
        <v>50</v>
      </c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261" t="s">
        <v>3687</v>
      </c>
    </row>
    <row r="650" spans="1:43">
      <c r="A650" s="12">
        <v>647</v>
      </c>
      <c r="B650" s="21" t="s">
        <v>3685</v>
      </c>
      <c r="C650" s="5" t="s">
        <v>3705</v>
      </c>
      <c r="D650" s="5" t="s">
        <v>605</v>
      </c>
      <c r="E650" s="5" t="s">
        <v>605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11" t="s">
        <v>46</v>
      </c>
      <c r="Q650" s="5" t="s">
        <v>46</v>
      </c>
      <c r="R650" s="5" t="str">
        <f t="shared" si="11"/>
        <v/>
      </c>
      <c r="S650" s="5" t="s">
        <v>46</v>
      </c>
      <c r="T650" s="12">
        <v>647</v>
      </c>
      <c r="U650" s="261" t="s">
        <v>3687</v>
      </c>
      <c r="V650" s="232" t="s">
        <v>3705</v>
      </c>
      <c r="W650" s="232">
        <v>1549.4</v>
      </c>
      <c r="X650" s="232">
        <v>-1549.4</v>
      </c>
      <c r="Y650" s="87" t="s">
        <v>3685</v>
      </c>
      <c r="Z650" s="87" t="s">
        <v>50</v>
      </c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261" t="s">
        <v>3687</v>
      </c>
    </row>
    <row r="651" spans="1:43">
      <c r="A651" s="12">
        <v>648</v>
      </c>
      <c r="B651" s="21" t="s">
        <v>3685</v>
      </c>
      <c r="C651" s="5" t="s">
        <v>3706</v>
      </c>
      <c r="D651" s="5" t="s">
        <v>605</v>
      </c>
      <c r="E651" s="5" t="s">
        <v>605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11" t="s">
        <v>46</v>
      </c>
      <c r="Q651" s="5" t="s">
        <v>46</v>
      </c>
      <c r="R651" s="5" t="str">
        <f t="shared" si="11"/>
        <v/>
      </c>
      <c r="S651" s="5" t="s">
        <v>46</v>
      </c>
      <c r="T651" s="12">
        <v>648</v>
      </c>
      <c r="U651" s="261" t="s">
        <v>3687</v>
      </c>
      <c r="V651" s="232" t="s">
        <v>3706</v>
      </c>
      <c r="W651" s="232">
        <v>774.7</v>
      </c>
      <c r="X651" s="232">
        <v>-1549.4</v>
      </c>
      <c r="Y651" s="87" t="s">
        <v>3685</v>
      </c>
      <c r="Z651" s="87" t="s">
        <v>50</v>
      </c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261" t="s">
        <v>3687</v>
      </c>
    </row>
    <row r="652" spans="1:43">
      <c r="A652" s="12">
        <v>649</v>
      </c>
      <c r="B652" s="21" t="s">
        <v>3685</v>
      </c>
      <c r="C652" s="5" t="s">
        <v>3707</v>
      </c>
      <c r="D652" s="5" t="s">
        <v>605</v>
      </c>
      <c r="E652" s="5" t="s">
        <v>605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11" t="s">
        <v>46</v>
      </c>
      <c r="Q652" s="5" t="s">
        <v>46</v>
      </c>
      <c r="R652" s="5" t="str">
        <f t="shared" si="11"/>
        <v/>
      </c>
      <c r="S652" s="5" t="s">
        <v>46</v>
      </c>
      <c r="T652" s="12">
        <v>649</v>
      </c>
      <c r="U652" s="261" t="s">
        <v>3687</v>
      </c>
      <c r="V652" s="232" t="s">
        <v>3707</v>
      </c>
      <c r="W652" s="232">
        <v>-4779.2</v>
      </c>
      <c r="X652" s="232">
        <v>-1353.8</v>
      </c>
      <c r="Y652" s="87" t="s">
        <v>3685</v>
      </c>
      <c r="Z652" s="87" t="s">
        <v>50</v>
      </c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261" t="s">
        <v>3687</v>
      </c>
    </row>
    <row r="653" spans="1:43">
      <c r="A653" s="12">
        <v>650</v>
      </c>
      <c r="B653" s="21" t="s">
        <v>3685</v>
      </c>
      <c r="C653" s="5" t="s">
        <v>3708</v>
      </c>
      <c r="D653" s="5" t="s">
        <v>605</v>
      </c>
      <c r="E653" s="5" t="s">
        <v>605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11" t="s">
        <v>46</v>
      </c>
      <c r="Q653" s="5" t="s">
        <v>46</v>
      </c>
      <c r="R653" s="5" t="str">
        <f t="shared" si="11"/>
        <v/>
      </c>
      <c r="S653" s="5" t="s">
        <v>46</v>
      </c>
      <c r="T653" s="12">
        <v>650</v>
      </c>
      <c r="U653" s="261" t="s">
        <v>3687</v>
      </c>
      <c r="V653" s="232" t="s">
        <v>3708</v>
      </c>
      <c r="W653" s="232">
        <v>-5503.1</v>
      </c>
      <c r="X653" s="232">
        <v>-1353.8</v>
      </c>
      <c r="Y653" s="87" t="s">
        <v>3685</v>
      </c>
      <c r="Z653" s="87" t="s">
        <v>50</v>
      </c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261" t="s">
        <v>3687</v>
      </c>
    </row>
    <row r="654" spans="1:43">
      <c r="A654" s="12">
        <v>651</v>
      </c>
      <c r="B654" s="21" t="s">
        <v>3685</v>
      </c>
      <c r="C654" s="5" t="s">
        <v>3709</v>
      </c>
      <c r="D654" s="5" t="s">
        <v>605</v>
      </c>
      <c r="E654" s="5" t="s">
        <v>605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11" t="s">
        <v>46</v>
      </c>
      <c r="Q654" s="5" t="s">
        <v>46</v>
      </c>
      <c r="R654" s="5" t="str">
        <f t="shared" si="11"/>
        <v/>
      </c>
      <c r="S654" s="5" t="s">
        <v>46</v>
      </c>
      <c r="T654" s="12">
        <v>651</v>
      </c>
      <c r="U654" s="261" t="s">
        <v>3687</v>
      </c>
      <c r="V654" s="232" t="s">
        <v>3709</v>
      </c>
      <c r="W654" s="232">
        <v>3873.5</v>
      </c>
      <c r="X654" s="232">
        <v>-774.7</v>
      </c>
      <c r="Y654" s="87" t="s">
        <v>3685</v>
      </c>
      <c r="Z654" s="87" t="s">
        <v>50</v>
      </c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261" t="s">
        <v>3687</v>
      </c>
    </row>
    <row r="655" spans="1:43">
      <c r="A655" s="12">
        <v>652</v>
      </c>
      <c r="B655" s="21" t="s">
        <v>3685</v>
      </c>
      <c r="C655" s="5" t="s">
        <v>3710</v>
      </c>
      <c r="D655" s="5" t="s">
        <v>605</v>
      </c>
      <c r="E655" s="5" t="s">
        <v>605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11" t="s">
        <v>46</v>
      </c>
      <c r="Q655" s="5" t="s">
        <v>46</v>
      </c>
      <c r="R655" s="5" t="str">
        <f t="shared" si="11"/>
        <v/>
      </c>
      <c r="S655" s="5" t="s">
        <v>46</v>
      </c>
      <c r="T655" s="12">
        <v>652</v>
      </c>
      <c r="U655" s="261" t="s">
        <v>3687</v>
      </c>
      <c r="V655" s="232" t="s">
        <v>3710</v>
      </c>
      <c r="W655" s="232">
        <v>3098.8</v>
      </c>
      <c r="X655" s="232">
        <v>-774.7</v>
      </c>
      <c r="Y655" s="87" t="s">
        <v>3685</v>
      </c>
      <c r="Z655" s="87" t="s">
        <v>50</v>
      </c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261" t="s">
        <v>3687</v>
      </c>
    </row>
    <row r="656" spans="1:43">
      <c r="A656" s="12">
        <v>653</v>
      </c>
      <c r="B656" s="21" t="s">
        <v>3685</v>
      </c>
      <c r="C656" s="5" t="s">
        <v>3711</v>
      </c>
      <c r="D656" s="5" t="s">
        <v>605</v>
      </c>
      <c r="E656" s="5" t="s">
        <v>605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11" t="s">
        <v>46</v>
      </c>
      <c r="Q656" s="5" t="s">
        <v>46</v>
      </c>
      <c r="R656" s="5" t="str">
        <f t="shared" si="11"/>
        <v/>
      </c>
      <c r="S656" s="5" t="s">
        <v>46</v>
      </c>
      <c r="T656" s="12">
        <v>653</v>
      </c>
      <c r="U656" s="261" t="s">
        <v>3687</v>
      </c>
      <c r="V656" s="232" t="s">
        <v>3711</v>
      </c>
      <c r="W656" s="232">
        <v>2324.1</v>
      </c>
      <c r="X656" s="232">
        <v>-774.7</v>
      </c>
      <c r="Y656" s="87" t="s">
        <v>3685</v>
      </c>
      <c r="Z656" s="87" t="s">
        <v>50</v>
      </c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261" t="s">
        <v>3687</v>
      </c>
    </row>
    <row r="657" spans="1:43">
      <c r="A657" s="12">
        <v>654</v>
      </c>
      <c r="B657" s="21" t="s">
        <v>3685</v>
      </c>
      <c r="C657" s="5" t="s">
        <v>3712</v>
      </c>
      <c r="D657" s="5" t="s">
        <v>605</v>
      </c>
      <c r="E657" s="5" t="s">
        <v>605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11" t="s">
        <v>46</v>
      </c>
      <c r="Q657" s="5" t="s">
        <v>46</v>
      </c>
      <c r="R657" s="5" t="str">
        <f t="shared" si="11"/>
        <v/>
      </c>
      <c r="S657" s="5" t="s">
        <v>46</v>
      </c>
      <c r="T657" s="12">
        <v>654</v>
      </c>
      <c r="U657" s="261" t="s">
        <v>3687</v>
      </c>
      <c r="V657" s="232" t="s">
        <v>3712</v>
      </c>
      <c r="W657" s="232">
        <v>1549.4</v>
      </c>
      <c r="X657" s="232">
        <v>-774.7</v>
      </c>
      <c r="Y657" s="87" t="s">
        <v>3685</v>
      </c>
      <c r="Z657" s="87" t="s">
        <v>50</v>
      </c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261" t="s">
        <v>3687</v>
      </c>
    </row>
    <row r="658" spans="1:43">
      <c r="A658" s="12">
        <v>655</v>
      </c>
      <c r="B658" s="21" t="s">
        <v>3685</v>
      </c>
      <c r="C658" s="5" t="s">
        <v>3713</v>
      </c>
      <c r="D658" s="5" t="s">
        <v>605</v>
      </c>
      <c r="E658" s="5" t="s">
        <v>605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11" t="s">
        <v>46</v>
      </c>
      <c r="Q658" s="5" t="s">
        <v>46</v>
      </c>
      <c r="R658" s="5" t="str">
        <f t="shared" si="11"/>
        <v/>
      </c>
      <c r="S658" s="5" t="s">
        <v>46</v>
      </c>
      <c r="T658" s="12">
        <v>655</v>
      </c>
      <c r="U658" s="261" t="s">
        <v>3687</v>
      </c>
      <c r="V658" s="232" t="s">
        <v>3713</v>
      </c>
      <c r="W658" s="232">
        <v>774.7</v>
      </c>
      <c r="X658" s="232">
        <v>-774.7</v>
      </c>
      <c r="Y658" s="87" t="s">
        <v>3685</v>
      </c>
      <c r="Z658" s="87" t="s">
        <v>50</v>
      </c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261" t="s">
        <v>3687</v>
      </c>
    </row>
    <row r="659" spans="1:43">
      <c r="A659" s="12">
        <v>656</v>
      </c>
      <c r="B659" s="21" t="s">
        <v>3685</v>
      </c>
      <c r="C659" s="5" t="s">
        <v>3714</v>
      </c>
      <c r="D659" s="5" t="s">
        <v>605</v>
      </c>
      <c r="E659" s="5" t="s">
        <v>605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11" t="s">
        <v>46</v>
      </c>
      <c r="Q659" s="5" t="s">
        <v>46</v>
      </c>
      <c r="R659" s="5" t="str">
        <f t="shared" si="11"/>
        <v/>
      </c>
      <c r="S659" s="5" t="s">
        <v>46</v>
      </c>
      <c r="T659" s="12">
        <v>656</v>
      </c>
      <c r="U659" s="261" t="s">
        <v>3687</v>
      </c>
      <c r="V659" s="232" t="s">
        <v>3714</v>
      </c>
      <c r="W659" s="232">
        <v>0</v>
      </c>
      <c r="X659" s="232">
        <v>-774.7</v>
      </c>
      <c r="Y659" s="87" t="s">
        <v>3685</v>
      </c>
      <c r="Z659" s="87" t="s">
        <v>50</v>
      </c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261" t="s">
        <v>3687</v>
      </c>
    </row>
    <row r="660" spans="1:43">
      <c r="A660" s="12">
        <v>657</v>
      </c>
      <c r="B660" s="21" t="s">
        <v>3685</v>
      </c>
      <c r="C660" s="5" t="s">
        <v>3715</v>
      </c>
      <c r="D660" s="5" t="s">
        <v>605</v>
      </c>
      <c r="E660" s="5" t="s">
        <v>605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11" t="s">
        <v>46</v>
      </c>
      <c r="Q660" s="5" t="s">
        <v>46</v>
      </c>
      <c r="R660" s="5" t="str">
        <f t="shared" si="11"/>
        <v/>
      </c>
      <c r="S660" s="5" t="s">
        <v>46</v>
      </c>
      <c r="T660" s="12">
        <v>657</v>
      </c>
      <c r="U660" s="261" t="s">
        <v>3687</v>
      </c>
      <c r="V660" s="232" t="s">
        <v>3715</v>
      </c>
      <c r="W660" s="232">
        <v>-774.7</v>
      </c>
      <c r="X660" s="232">
        <v>-774.7</v>
      </c>
      <c r="Y660" s="87" t="s">
        <v>3685</v>
      </c>
      <c r="Z660" s="87" t="s">
        <v>50</v>
      </c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261" t="s">
        <v>3687</v>
      </c>
    </row>
    <row r="661" spans="1:43">
      <c r="A661" s="12">
        <v>658</v>
      </c>
      <c r="B661" s="21" t="s">
        <v>3685</v>
      </c>
      <c r="C661" s="5" t="s">
        <v>3716</v>
      </c>
      <c r="D661" s="5" t="s">
        <v>605</v>
      </c>
      <c r="E661" s="5" t="s">
        <v>605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11" t="s">
        <v>46</v>
      </c>
      <c r="Q661" s="5" t="s">
        <v>46</v>
      </c>
      <c r="R661" s="5" t="str">
        <f t="shared" si="11"/>
        <v/>
      </c>
      <c r="S661" s="5" t="s">
        <v>46</v>
      </c>
      <c r="T661" s="12">
        <v>658</v>
      </c>
      <c r="U661" s="261" t="s">
        <v>3687</v>
      </c>
      <c r="V661" s="232" t="s">
        <v>3716</v>
      </c>
      <c r="W661" s="232">
        <v>-1549.4</v>
      </c>
      <c r="X661" s="232">
        <v>-774.7</v>
      </c>
      <c r="Y661" s="87" t="s">
        <v>3685</v>
      </c>
      <c r="Z661" s="87" t="s">
        <v>50</v>
      </c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261" t="s">
        <v>3687</v>
      </c>
    </row>
    <row r="662" spans="1:43">
      <c r="A662" s="12">
        <v>659</v>
      </c>
      <c r="B662" s="21" t="s">
        <v>3685</v>
      </c>
      <c r="C662" s="5" t="s">
        <v>3717</v>
      </c>
      <c r="D662" s="5" t="s">
        <v>605</v>
      </c>
      <c r="E662" s="5" t="s">
        <v>605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11" t="s">
        <v>46</v>
      </c>
      <c r="Q662" s="5" t="s">
        <v>46</v>
      </c>
      <c r="R662" s="5" t="str">
        <f t="shared" si="11"/>
        <v/>
      </c>
      <c r="S662" s="5" t="s">
        <v>46</v>
      </c>
      <c r="T662" s="12">
        <v>659</v>
      </c>
      <c r="U662" s="261" t="s">
        <v>3687</v>
      </c>
      <c r="V662" s="232" t="s">
        <v>3717</v>
      </c>
      <c r="W662" s="232">
        <v>-2324.1</v>
      </c>
      <c r="X662" s="232">
        <v>-774.7</v>
      </c>
      <c r="Y662" s="87" t="s">
        <v>3685</v>
      </c>
      <c r="Z662" s="87" t="s">
        <v>50</v>
      </c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261" t="s">
        <v>3687</v>
      </c>
    </row>
    <row r="663" spans="1:43">
      <c r="A663" s="12">
        <v>660</v>
      </c>
      <c r="B663" s="21" t="s">
        <v>3685</v>
      </c>
      <c r="C663" s="5" t="s">
        <v>3718</v>
      </c>
      <c r="D663" s="5" t="s">
        <v>605</v>
      </c>
      <c r="E663" s="5" t="s">
        <v>605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11" t="s">
        <v>46</v>
      </c>
      <c r="Q663" s="5" t="s">
        <v>46</v>
      </c>
      <c r="R663" s="5" t="str">
        <f t="shared" si="11"/>
        <v/>
      </c>
      <c r="S663" s="5" t="s">
        <v>46</v>
      </c>
      <c r="T663" s="12">
        <v>660</v>
      </c>
      <c r="U663" s="261" t="s">
        <v>3687</v>
      </c>
      <c r="V663" s="232" t="s">
        <v>3718</v>
      </c>
      <c r="W663" s="232">
        <v>-3098.8</v>
      </c>
      <c r="X663" s="232">
        <v>-774.7</v>
      </c>
      <c r="Y663" s="87" t="s">
        <v>3685</v>
      </c>
      <c r="Z663" s="87" t="s">
        <v>50</v>
      </c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261" t="s">
        <v>3687</v>
      </c>
    </row>
    <row r="664" spans="1:43">
      <c r="A664" s="12">
        <v>661</v>
      </c>
      <c r="B664" s="21" t="s">
        <v>3685</v>
      </c>
      <c r="C664" s="5" t="s">
        <v>3719</v>
      </c>
      <c r="D664" s="5" t="s">
        <v>605</v>
      </c>
      <c r="E664" s="5" t="s">
        <v>605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11" t="s">
        <v>46</v>
      </c>
      <c r="Q664" s="5" t="s">
        <v>46</v>
      </c>
      <c r="R664" s="5" t="str">
        <f t="shared" si="11"/>
        <v/>
      </c>
      <c r="S664" s="5" t="s">
        <v>46</v>
      </c>
      <c r="T664" s="12">
        <v>661</v>
      </c>
      <c r="U664" s="261" t="s">
        <v>3687</v>
      </c>
      <c r="V664" s="232" t="s">
        <v>3719</v>
      </c>
      <c r="W664" s="232">
        <v>8179.8</v>
      </c>
      <c r="X664" s="232">
        <v>-579.1</v>
      </c>
      <c r="Y664" s="87" t="s">
        <v>3685</v>
      </c>
      <c r="Z664" s="87" t="s">
        <v>50</v>
      </c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261" t="s">
        <v>3687</v>
      </c>
    </row>
    <row r="665" spans="1:43">
      <c r="A665" s="12">
        <v>662</v>
      </c>
      <c r="B665" s="21" t="s">
        <v>3685</v>
      </c>
      <c r="C665" s="5" t="s">
        <v>3720</v>
      </c>
      <c r="D665" s="5" t="s">
        <v>605</v>
      </c>
      <c r="E665" s="5" t="s">
        <v>605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11" t="s">
        <v>46</v>
      </c>
      <c r="Q665" s="5" t="s">
        <v>46</v>
      </c>
      <c r="R665" s="5" t="str">
        <f t="shared" si="11"/>
        <v/>
      </c>
      <c r="S665" s="5" t="s">
        <v>46</v>
      </c>
      <c r="T665" s="12">
        <v>662</v>
      </c>
      <c r="U665" s="261" t="s">
        <v>3687</v>
      </c>
      <c r="V665" s="232" t="s">
        <v>3720</v>
      </c>
      <c r="W665" s="232">
        <v>7674.8</v>
      </c>
      <c r="X665" s="232">
        <v>-579.1</v>
      </c>
      <c r="Y665" s="87" t="s">
        <v>3685</v>
      </c>
      <c r="Z665" s="87" t="s">
        <v>50</v>
      </c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261" t="s">
        <v>3687</v>
      </c>
    </row>
    <row r="666" spans="1:43">
      <c r="A666" s="12">
        <v>663</v>
      </c>
      <c r="B666" s="21" t="s">
        <v>3685</v>
      </c>
      <c r="C666" s="5" t="s">
        <v>3721</v>
      </c>
      <c r="D666" s="5" t="s">
        <v>605</v>
      </c>
      <c r="E666" s="5" t="s">
        <v>605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11" t="s">
        <v>46</v>
      </c>
      <c r="Q666" s="5" t="s">
        <v>46</v>
      </c>
      <c r="R666" s="5" t="str">
        <f t="shared" si="11"/>
        <v/>
      </c>
      <c r="S666" s="5" t="s">
        <v>46</v>
      </c>
      <c r="T666" s="12">
        <v>663</v>
      </c>
      <c r="U666" s="261" t="s">
        <v>3687</v>
      </c>
      <c r="V666" s="232" t="s">
        <v>3721</v>
      </c>
      <c r="W666" s="232">
        <v>6950.9</v>
      </c>
      <c r="X666" s="232">
        <v>-579.1</v>
      </c>
      <c r="Y666" s="87" t="s">
        <v>3685</v>
      </c>
      <c r="Z666" s="87" t="s">
        <v>50</v>
      </c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261" t="s">
        <v>3687</v>
      </c>
    </row>
    <row r="667" spans="1:43">
      <c r="A667" s="12">
        <v>664</v>
      </c>
      <c r="B667" s="21" t="s">
        <v>3685</v>
      </c>
      <c r="C667" s="5" t="s">
        <v>3722</v>
      </c>
      <c r="D667" s="5" t="s">
        <v>605</v>
      </c>
      <c r="E667" s="5" t="s">
        <v>605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11" t="s">
        <v>46</v>
      </c>
      <c r="Q667" s="5" t="s">
        <v>46</v>
      </c>
      <c r="R667" s="5" t="str">
        <f t="shared" si="11"/>
        <v/>
      </c>
      <c r="S667" s="5" t="s">
        <v>46</v>
      </c>
      <c r="T667" s="12">
        <v>664</v>
      </c>
      <c r="U667" s="261" t="s">
        <v>3687</v>
      </c>
      <c r="V667" s="232" t="s">
        <v>3722</v>
      </c>
      <c r="W667" s="232">
        <v>6227</v>
      </c>
      <c r="X667" s="232">
        <v>-579.1</v>
      </c>
      <c r="Y667" s="87" t="s">
        <v>3685</v>
      </c>
      <c r="Z667" s="87" t="s">
        <v>50</v>
      </c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261" t="s">
        <v>3687</v>
      </c>
    </row>
    <row r="668" spans="1:43">
      <c r="A668" s="12">
        <v>665</v>
      </c>
      <c r="B668" s="21" t="s">
        <v>3685</v>
      </c>
      <c r="C668" s="5" t="s">
        <v>3723</v>
      </c>
      <c r="D668" s="5" t="s">
        <v>605</v>
      </c>
      <c r="E668" s="5" t="s">
        <v>605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11" t="s">
        <v>46</v>
      </c>
      <c r="Q668" s="5" t="s">
        <v>46</v>
      </c>
      <c r="R668" s="5" t="str">
        <f t="shared" si="11"/>
        <v/>
      </c>
      <c r="S668" s="5" t="s">
        <v>46</v>
      </c>
      <c r="T668" s="12">
        <v>665</v>
      </c>
      <c r="U668" s="261" t="s">
        <v>3687</v>
      </c>
      <c r="V668" s="232" t="s">
        <v>3723</v>
      </c>
      <c r="W668" s="232">
        <v>5503.1</v>
      </c>
      <c r="X668" s="232">
        <v>-579.1</v>
      </c>
      <c r="Y668" s="87" t="s">
        <v>3685</v>
      </c>
      <c r="Z668" s="87" t="s">
        <v>50</v>
      </c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261" t="s">
        <v>3687</v>
      </c>
    </row>
    <row r="669" spans="1:43">
      <c r="A669" s="12">
        <v>666</v>
      </c>
      <c r="B669" s="21" t="s">
        <v>3685</v>
      </c>
      <c r="C669" s="5" t="s">
        <v>3724</v>
      </c>
      <c r="D669" s="5" t="s">
        <v>605</v>
      </c>
      <c r="E669" s="5" t="s">
        <v>605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11" t="s">
        <v>46</v>
      </c>
      <c r="Q669" s="5" t="s">
        <v>46</v>
      </c>
      <c r="R669" s="5" t="str">
        <f t="shared" si="11"/>
        <v/>
      </c>
      <c r="S669" s="5" t="s">
        <v>46</v>
      </c>
      <c r="T669" s="12">
        <v>666</v>
      </c>
      <c r="U669" s="261" t="s">
        <v>3687</v>
      </c>
      <c r="V669" s="232" t="s">
        <v>3724</v>
      </c>
      <c r="W669" s="232">
        <v>4779.2</v>
      </c>
      <c r="X669" s="232">
        <v>-579.1</v>
      </c>
      <c r="Y669" s="87" t="s">
        <v>3685</v>
      </c>
      <c r="Z669" s="87" t="s">
        <v>50</v>
      </c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261" t="s">
        <v>3687</v>
      </c>
    </row>
    <row r="670" spans="1:43">
      <c r="A670" s="12">
        <v>667</v>
      </c>
      <c r="B670" s="21" t="s">
        <v>3685</v>
      </c>
      <c r="C670" s="5" t="s">
        <v>3725</v>
      </c>
      <c r="D670" s="5" t="s">
        <v>605</v>
      </c>
      <c r="E670" s="5" t="s">
        <v>605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11" t="s">
        <v>46</v>
      </c>
      <c r="Q670" s="5" t="s">
        <v>46</v>
      </c>
      <c r="R670" s="5" t="str">
        <f t="shared" si="11"/>
        <v/>
      </c>
      <c r="S670" s="5" t="s">
        <v>46</v>
      </c>
      <c r="T670" s="12">
        <v>667</v>
      </c>
      <c r="U670" s="261" t="s">
        <v>3687</v>
      </c>
      <c r="V670" s="232" t="s">
        <v>3725</v>
      </c>
      <c r="W670" s="232">
        <v>-4779.2</v>
      </c>
      <c r="X670" s="232">
        <v>-579.1</v>
      </c>
      <c r="Y670" s="87" t="s">
        <v>3685</v>
      </c>
      <c r="Z670" s="87" t="s">
        <v>50</v>
      </c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261" t="s">
        <v>3687</v>
      </c>
    </row>
    <row r="671" spans="1:43">
      <c r="A671" s="12">
        <v>668</v>
      </c>
      <c r="B671" s="21" t="s">
        <v>3685</v>
      </c>
      <c r="C671" s="5" t="s">
        <v>3726</v>
      </c>
      <c r="D671" s="5" t="s">
        <v>605</v>
      </c>
      <c r="E671" s="5" t="s">
        <v>605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11" t="s">
        <v>46</v>
      </c>
      <c r="Q671" s="5" t="s">
        <v>46</v>
      </c>
      <c r="R671" s="5" t="str">
        <f t="shared" si="11"/>
        <v/>
      </c>
      <c r="S671" s="5" t="s">
        <v>46</v>
      </c>
      <c r="T671" s="12">
        <v>668</v>
      </c>
      <c r="U671" s="261" t="s">
        <v>3687</v>
      </c>
      <c r="V671" s="232" t="s">
        <v>3726</v>
      </c>
      <c r="W671" s="232">
        <v>-5503.1</v>
      </c>
      <c r="X671" s="232">
        <v>-579.1</v>
      </c>
      <c r="Y671" s="87" t="s">
        <v>3685</v>
      </c>
      <c r="Z671" s="87" t="s">
        <v>50</v>
      </c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261" t="s">
        <v>3687</v>
      </c>
    </row>
    <row r="672" spans="1:43">
      <c r="A672" s="12">
        <v>669</v>
      </c>
      <c r="B672" s="21" t="s">
        <v>3685</v>
      </c>
      <c r="C672" s="5" t="s">
        <v>3727</v>
      </c>
      <c r="D672" s="5" t="s">
        <v>605</v>
      </c>
      <c r="E672" s="5" t="s">
        <v>605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11" t="s">
        <v>46</v>
      </c>
      <c r="Q672" s="5" t="s">
        <v>46</v>
      </c>
      <c r="R672" s="5" t="str">
        <f t="shared" si="11"/>
        <v/>
      </c>
      <c r="S672" s="5" t="s">
        <v>46</v>
      </c>
      <c r="T672" s="12">
        <v>669</v>
      </c>
      <c r="U672" s="261" t="s">
        <v>3687</v>
      </c>
      <c r="V672" s="232" t="s">
        <v>3727</v>
      </c>
      <c r="W672" s="232">
        <v>-6227</v>
      </c>
      <c r="X672" s="232">
        <v>-579.1</v>
      </c>
      <c r="Y672" s="87" t="s">
        <v>3685</v>
      </c>
      <c r="Z672" s="87" t="s">
        <v>50</v>
      </c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261" t="s">
        <v>3687</v>
      </c>
    </row>
    <row r="673" spans="1:43">
      <c r="A673" s="12">
        <v>670</v>
      </c>
      <c r="B673" s="21" t="s">
        <v>3685</v>
      </c>
      <c r="C673" s="5" t="s">
        <v>3728</v>
      </c>
      <c r="D673" s="5" t="s">
        <v>605</v>
      </c>
      <c r="E673" s="5" t="s">
        <v>605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11" t="s">
        <v>46</v>
      </c>
      <c r="Q673" s="5" t="s">
        <v>46</v>
      </c>
      <c r="R673" s="5" t="str">
        <f t="shared" si="11"/>
        <v/>
      </c>
      <c r="S673" s="5" t="s">
        <v>46</v>
      </c>
      <c r="T673" s="12">
        <v>670</v>
      </c>
      <c r="U673" s="261" t="s">
        <v>3687</v>
      </c>
      <c r="V673" s="232" t="s">
        <v>3728</v>
      </c>
      <c r="W673" s="232">
        <v>-6950.9</v>
      </c>
      <c r="X673" s="232">
        <v>-579.1</v>
      </c>
      <c r="Y673" s="87" t="s">
        <v>3685</v>
      </c>
      <c r="Z673" s="87" t="s">
        <v>50</v>
      </c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261" t="s">
        <v>3687</v>
      </c>
    </row>
    <row r="674" spans="1:43">
      <c r="A674" s="12">
        <v>671</v>
      </c>
      <c r="B674" s="21" t="s">
        <v>3685</v>
      </c>
      <c r="C674" s="5" t="s">
        <v>3729</v>
      </c>
      <c r="D674" s="5" t="s">
        <v>605</v>
      </c>
      <c r="E674" s="5" t="s">
        <v>605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11" t="s">
        <v>46</v>
      </c>
      <c r="Q674" s="5" t="s">
        <v>46</v>
      </c>
      <c r="R674" s="5" t="str">
        <f t="shared" si="11"/>
        <v/>
      </c>
      <c r="S674" s="5" t="s">
        <v>46</v>
      </c>
      <c r="T674" s="12">
        <v>671</v>
      </c>
      <c r="U674" s="261" t="s">
        <v>3687</v>
      </c>
      <c r="V674" s="232" t="s">
        <v>3729</v>
      </c>
      <c r="W674" s="232">
        <v>-7674.8</v>
      </c>
      <c r="X674" s="232">
        <v>-579.1</v>
      </c>
      <c r="Y674" s="87" t="s">
        <v>3685</v>
      </c>
      <c r="Z674" s="87" t="s">
        <v>50</v>
      </c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261" t="s">
        <v>3687</v>
      </c>
    </row>
    <row r="675" spans="1:43">
      <c r="A675" s="12">
        <v>672</v>
      </c>
      <c r="B675" s="21" t="s">
        <v>3685</v>
      </c>
      <c r="C675" s="5" t="s">
        <v>3730</v>
      </c>
      <c r="D675" s="5" t="s">
        <v>605</v>
      </c>
      <c r="E675" s="5" t="s">
        <v>605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11" t="s">
        <v>46</v>
      </c>
      <c r="Q675" s="5" t="s">
        <v>46</v>
      </c>
      <c r="R675" s="5" t="str">
        <f t="shared" si="11"/>
        <v/>
      </c>
      <c r="S675" s="5" t="s">
        <v>46</v>
      </c>
      <c r="T675" s="12">
        <v>672</v>
      </c>
      <c r="U675" s="261" t="s">
        <v>3687</v>
      </c>
      <c r="V675" s="232" t="s">
        <v>3730</v>
      </c>
      <c r="W675" s="232">
        <v>-8179.8</v>
      </c>
      <c r="X675" s="232">
        <v>-579.1</v>
      </c>
      <c r="Y675" s="87" t="s">
        <v>3685</v>
      </c>
      <c r="Z675" s="87" t="s">
        <v>50</v>
      </c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261" t="s">
        <v>3687</v>
      </c>
    </row>
    <row r="676" spans="1:43">
      <c r="A676" s="12">
        <v>673</v>
      </c>
      <c r="B676" s="21" t="s">
        <v>3685</v>
      </c>
      <c r="C676" s="5" t="s">
        <v>3731</v>
      </c>
      <c r="D676" s="5" t="s">
        <v>605</v>
      </c>
      <c r="E676" s="5" t="s">
        <v>605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11" t="s">
        <v>46</v>
      </c>
      <c r="Q676" s="5" t="s">
        <v>46</v>
      </c>
      <c r="R676" s="5" t="str">
        <f t="shared" si="11"/>
        <v/>
      </c>
      <c r="S676" s="5" t="s">
        <v>46</v>
      </c>
      <c r="T676" s="12">
        <v>673</v>
      </c>
      <c r="U676" s="261" t="s">
        <v>3687</v>
      </c>
      <c r="V676" s="232" t="s">
        <v>3731</v>
      </c>
      <c r="W676" s="232">
        <v>11659.6</v>
      </c>
      <c r="X676" s="232">
        <v>-579.1</v>
      </c>
      <c r="Y676" s="87" t="s">
        <v>3685</v>
      </c>
      <c r="Z676" s="87" t="s">
        <v>50</v>
      </c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261" t="s">
        <v>3687</v>
      </c>
    </row>
    <row r="677" spans="1:43">
      <c r="A677" s="12">
        <v>674</v>
      </c>
      <c r="B677" s="21" t="s">
        <v>3685</v>
      </c>
      <c r="C677" s="5" t="s">
        <v>3732</v>
      </c>
      <c r="D677" s="5" t="s">
        <v>605</v>
      </c>
      <c r="E677" s="5" t="s">
        <v>605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11" t="s">
        <v>46</v>
      </c>
      <c r="Q677" s="5" t="s">
        <v>46</v>
      </c>
      <c r="R677" s="5" t="str">
        <f t="shared" si="11"/>
        <v/>
      </c>
      <c r="S677" s="5" t="s">
        <v>46</v>
      </c>
      <c r="T677" s="12">
        <v>674</v>
      </c>
      <c r="U677" s="261" t="s">
        <v>3687</v>
      </c>
      <c r="V677" s="232" t="s">
        <v>3732</v>
      </c>
      <c r="W677" s="232">
        <v>-11659.6</v>
      </c>
      <c r="X677" s="232">
        <v>-579.1</v>
      </c>
      <c r="Y677" s="87" t="s">
        <v>3685</v>
      </c>
      <c r="Z677" s="87" t="s">
        <v>50</v>
      </c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261" t="s">
        <v>3687</v>
      </c>
    </row>
    <row r="678" spans="1:43">
      <c r="A678" s="12">
        <v>675</v>
      </c>
      <c r="B678" s="21" t="s">
        <v>3685</v>
      </c>
      <c r="C678" s="5" t="s">
        <v>3733</v>
      </c>
      <c r="D678" s="5" t="s">
        <v>605</v>
      </c>
      <c r="E678" s="5" t="s">
        <v>605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11" t="s">
        <v>46</v>
      </c>
      <c r="Q678" s="5" t="s">
        <v>46</v>
      </c>
      <c r="R678" s="5" t="str">
        <f t="shared" si="11"/>
        <v/>
      </c>
      <c r="S678" s="5" t="s">
        <v>46</v>
      </c>
      <c r="T678" s="12">
        <v>675</v>
      </c>
      <c r="U678" s="261" t="s">
        <v>3687</v>
      </c>
      <c r="V678" s="232" t="s">
        <v>3733</v>
      </c>
      <c r="W678" s="232">
        <v>13439.1</v>
      </c>
      <c r="X678" s="232">
        <v>0</v>
      </c>
      <c r="Y678" s="87" t="s">
        <v>3685</v>
      </c>
      <c r="Z678" s="87" t="s">
        <v>50</v>
      </c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261" t="s">
        <v>3687</v>
      </c>
    </row>
    <row r="679" spans="1:43">
      <c r="A679" s="12">
        <v>676</v>
      </c>
      <c r="B679" s="21" t="s">
        <v>3685</v>
      </c>
      <c r="C679" s="5" t="s">
        <v>3734</v>
      </c>
      <c r="D679" s="5" t="s">
        <v>605</v>
      </c>
      <c r="E679" s="5" t="s">
        <v>605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11" t="s">
        <v>46</v>
      </c>
      <c r="Q679" s="5" t="s">
        <v>46</v>
      </c>
      <c r="R679" s="5" t="str">
        <f t="shared" si="11"/>
        <v/>
      </c>
      <c r="S679" s="5" t="s">
        <v>46</v>
      </c>
      <c r="T679" s="12">
        <v>676</v>
      </c>
      <c r="U679" s="261" t="s">
        <v>3687</v>
      </c>
      <c r="V679" s="232" t="s">
        <v>3734</v>
      </c>
      <c r="W679" s="232">
        <v>8891</v>
      </c>
      <c r="X679" s="232">
        <v>0</v>
      </c>
      <c r="Y679" s="87" t="s">
        <v>3685</v>
      </c>
      <c r="Z679" s="87" t="s">
        <v>50</v>
      </c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261" t="s">
        <v>3687</v>
      </c>
    </row>
    <row r="680" spans="1:43">
      <c r="A680" s="12">
        <v>677</v>
      </c>
      <c r="B680" s="21" t="s">
        <v>3685</v>
      </c>
      <c r="C680" s="5" t="s">
        <v>3735</v>
      </c>
      <c r="D680" s="5" t="s">
        <v>605</v>
      </c>
      <c r="E680" s="5" t="s">
        <v>605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11" t="s">
        <v>46</v>
      </c>
      <c r="Q680" s="5" t="s">
        <v>46</v>
      </c>
      <c r="R680" s="5" t="str">
        <f t="shared" si="11"/>
        <v/>
      </c>
      <c r="S680" s="5" t="s">
        <v>46</v>
      </c>
      <c r="T680" s="12">
        <v>677</v>
      </c>
      <c r="U680" s="261" t="s">
        <v>3687</v>
      </c>
      <c r="V680" s="232" t="s">
        <v>3735</v>
      </c>
      <c r="W680" s="232">
        <v>8179.8</v>
      </c>
      <c r="X680" s="232">
        <v>0</v>
      </c>
      <c r="Y680" s="87" t="s">
        <v>3685</v>
      </c>
      <c r="Z680" s="87" t="s">
        <v>50</v>
      </c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261" t="s">
        <v>3687</v>
      </c>
    </row>
    <row r="681" spans="1:43">
      <c r="A681" s="12">
        <v>678</v>
      </c>
      <c r="B681" s="21" t="s">
        <v>3685</v>
      </c>
      <c r="C681" s="5" t="s">
        <v>3736</v>
      </c>
      <c r="D681" s="5" t="s">
        <v>605</v>
      </c>
      <c r="E681" s="5" t="s">
        <v>605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11" t="s">
        <v>46</v>
      </c>
      <c r="Q681" s="5" t="s">
        <v>46</v>
      </c>
      <c r="R681" s="5" t="str">
        <f t="shared" si="11"/>
        <v/>
      </c>
      <c r="S681" s="5" t="s">
        <v>46</v>
      </c>
      <c r="T681" s="12">
        <v>678</v>
      </c>
      <c r="U681" s="261" t="s">
        <v>3687</v>
      </c>
      <c r="V681" s="232" t="s">
        <v>3736</v>
      </c>
      <c r="W681" s="232">
        <v>6950.9</v>
      </c>
      <c r="X681" s="232">
        <v>0</v>
      </c>
      <c r="Y681" s="87" t="s">
        <v>3685</v>
      </c>
      <c r="Z681" s="87" t="s">
        <v>50</v>
      </c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261" t="s">
        <v>3687</v>
      </c>
    </row>
    <row r="682" spans="1:43">
      <c r="A682" s="12">
        <v>679</v>
      </c>
      <c r="B682" s="21" t="s">
        <v>3685</v>
      </c>
      <c r="C682" s="5" t="s">
        <v>3737</v>
      </c>
      <c r="D682" s="5" t="s">
        <v>605</v>
      </c>
      <c r="E682" s="5" t="s">
        <v>605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11" t="s">
        <v>46</v>
      </c>
      <c r="Q682" s="5" t="s">
        <v>46</v>
      </c>
      <c r="R682" s="5" t="str">
        <f t="shared" si="11"/>
        <v/>
      </c>
      <c r="S682" s="5" t="s">
        <v>46</v>
      </c>
      <c r="T682" s="12">
        <v>679</v>
      </c>
      <c r="U682" s="261" t="s">
        <v>3687</v>
      </c>
      <c r="V682" s="232" t="s">
        <v>3737</v>
      </c>
      <c r="W682" s="232">
        <v>6227</v>
      </c>
      <c r="X682" s="232">
        <v>0</v>
      </c>
      <c r="Y682" s="87" t="s">
        <v>3685</v>
      </c>
      <c r="Z682" s="87" t="s">
        <v>50</v>
      </c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261" t="s">
        <v>3687</v>
      </c>
    </row>
    <row r="683" spans="1:43">
      <c r="A683" s="12">
        <v>680</v>
      </c>
      <c r="B683" s="21" t="s">
        <v>3685</v>
      </c>
      <c r="C683" s="5" t="s">
        <v>3738</v>
      </c>
      <c r="D683" s="5" t="s">
        <v>605</v>
      </c>
      <c r="E683" s="5" t="s">
        <v>605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11" t="s">
        <v>46</v>
      </c>
      <c r="Q683" s="5" t="s">
        <v>46</v>
      </c>
      <c r="R683" s="5" t="str">
        <f t="shared" si="11"/>
        <v/>
      </c>
      <c r="S683" s="5" t="s">
        <v>46</v>
      </c>
      <c r="T683" s="12">
        <v>680</v>
      </c>
      <c r="U683" s="261" t="s">
        <v>3687</v>
      </c>
      <c r="V683" s="232" t="s">
        <v>3738</v>
      </c>
      <c r="W683" s="232">
        <v>5503.1</v>
      </c>
      <c r="X683" s="232">
        <v>0</v>
      </c>
      <c r="Y683" s="87" t="s">
        <v>3685</v>
      </c>
      <c r="Z683" s="87" t="s">
        <v>50</v>
      </c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261" t="s">
        <v>3687</v>
      </c>
    </row>
    <row r="684" spans="1:43">
      <c r="A684" s="12">
        <v>681</v>
      </c>
      <c r="B684" s="21" t="s">
        <v>3685</v>
      </c>
      <c r="C684" s="5" t="s">
        <v>3739</v>
      </c>
      <c r="D684" s="5" t="s">
        <v>605</v>
      </c>
      <c r="E684" s="5" t="s">
        <v>605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11" t="s">
        <v>46</v>
      </c>
      <c r="Q684" s="5" t="s">
        <v>46</v>
      </c>
      <c r="R684" s="5" t="str">
        <f t="shared" si="11"/>
        <v/>
      </c>
      <c r="S684" s="5" t="s">
        <v>46</v>
      </c>
      <c r="T684" s="12">
        <v>681</v>
      </c>
      <c r="U684" s="261" t="s">
        <v>3687</v>
      </c>
      <c r="V684" s="232" t="s">
        <v>3739</v>
      </c>
      <c r="W684" s="232">
        <v>4779.2</v>
      </c>
      <c r="X684" s="232">
        <v>0</v>
      </c>
      <c r="Y684" s="87" t="s">
        <v>3685</v>
      </c>
      <c r="Z684" s="87" t="s">
        <v>50</v>
      </c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261" t="s">
        <v>3687</v>
      </c>
    </row>
    <row r="685" spans="1:43">
      <c r="A685" s="12">
        <v>682</v>
      </c>
      <c r="B685" s="21" t="s">
        <v>3685</v>
      </c>
      <c r="C685" s="5" t="s">
        <v>3740</v>
      </c>
      <c r="D685" s="5" t="s">
        <v>605</v>
      </c>
      <c r="E685" s="5" t="s">
        <v>605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11" t="s">
        <v>46</v>
      </c>
      <c r="Q685" s="5" t="s">
        <v>46</v>
      </c>
      <c r="R685" s="5" t="str">
        <f t="shared" si="11"/>
        <v/>
      </c>
      <c r="S685" s="5" t="s">
        <v>46</v>
      </c>
      <c r="T685" s="12">
        <v>682</v>
      </c>
      <c r="U685" s="261" t="s">
        <v>3687</v>
      </c>
      <c r="V685" s="232" t="s">
        <v>3740</v>
      </c>
      <c r="W685" s="232">
        <v>3873.5</v>
      </c>
      <c r="X685" s="232">
        <v>0</v>
      </c>
      <c r="Y685" s="87" t="s">
        <v>3685</v>
      </c>
      <c r="Z685" s="87" t="s">
        <v>50</v>
      </c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261" t="s">
        <v>3687</v>
      </c>
    </row>
    <row r="686" spans="1:43">
      <c r="A686" s="12">
        <v>683</v>
      </c>
      <c r="B686" s="21" t="s">
        <v>3685</v>
      </c>
      <c r="C686" s="5" t="s">
        <v>3741</v>
      </c>
      <c r="D686" s="5" t="s">
        <v>605</v>
      </c>
      <c r="E686" s="5" t="s">
        <v>605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11" t="s">
        <v>46</v>
      </c>
      <c r="Q686" s="5" t="s">
        <v>46</v>
      </c>
      <c r="R686" s="5" t="str">
        <f t="shared" si="11"/>
        <v/>
      </c>
      <c r="S686" s="5" t="s">
        <v>46</v>
      </c>
      <c r="T686" s="12">
        <v>683</v>
      </c>
      <c r="U686" s="261" t="s">
        <v>3687</v>
      </c>
      <c r="V686" s="232" t="s">
        <v>3741</v>
      </c>
      <c r="W686" s="232">
        <v>3098.8</v>
      </c>
      <c r="X686" s="232">
        <v>0</v>
      </c>
      <c r="Y686" s="87" t="s">
        <v>3685</v>
      </c>
      <c r="Z686" s="87" t="s">
        <v>50</v>
      </c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261" t="s">
        <v>3687</v>
      </c>
    </row>
    <row r="687" spans="1:43">
      <c r="A687" s="12">
        <v>684</v>
      </c>
      <c r="B687" s="21" t="s">
        <v>3685</v>
      </c>
      <c r="C687" s="5" t="s">
        <v>3742</v>
      </c>
      <c r="D687" s="5" t="s">
        <v>605</v>
      </c>
      <c r="E687" s="5" t="s">
        <v>605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11" t="s">
        <v>46</v>
      </c>
      <c r="Q687" s="5" t="s">
        <v>46</v>
      </c>
      <c r="R687" s="5" t="str">
        <f t="shared" si="11"/>
        <v/>
      </c>
      <c r="S687" s="5" t="s">
        <v>46</v>
      </c>
      <c r="T687" s="12">
        <v>684</v>
      </c>
      <c r="U687" s="261" t="s">
        <v>3687</v>
      </c>
      <c r="V687" s="232" t="s">
        <v>3742</v>
      </c>
      <c r="W687" s="232">
        <v>-3098.8</v>
      </c>
      <c r="X687" s="232">
        <v>0</v>
      </c>
      <c r="Y687" s="87" t="s">
        <v>3685</v>
      </c>
      <c r="Z687" s="87" t="s">
        <v>50</v>
      </c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261" t="s">
        <v>3687</v>
      </c>
    </row>
    <row r="688" spans="1:43">
      <c r="A688" s="12">
        <v>685</v>
      </c>
      <c r="B688" s="21" t="s">
        <v>3685</v>
      </c>
      <c r="C688" s="5" t="s">
        <v>3743</v>
      </c>
      <c r="D688" s="5" t="s">
        <v>605</v>
      </c>
      <c r="E688" s="5" t="s">
        <v>605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11" t="s">
        <v>46</v>
      </c>
      <c r="Q688" s="5" t="s">
        <v>46</v>
      </c>
      <c r="R688" s="5" t="str">
        <f t="shared" si="11"/>
        <v/>
      </c>
      <c r="S688" s="5" t="s">
        <v>46</v>
      </c>
      <c r="T688" s="12">
        <v>685</v>
      </c>
      <c r="U688" s="261" t="s">
        <v>3687</v>
      </c>
      <c r="V688" s="232" t="s">
        <v>3743</v>
      </c>
      <c r="W688" s="232">
        <v>-4779.2</v>
      </c>
      <c r="X688" s="232">
        <v>0</v>
      </c>
      <c r="Y688" s="87" t="s">
        <v>3685</v>
      </c>
      <c r="Z688" s="87" t="s">
        <v>50</v>
      </c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261" t="s">
        <v>3687</v>
      </c>
    </row>
    <row r="689" spans="1:43">
      <c r="A689" s="12">
        <v>686</v>
      </c>
      <c r="B689" s="21" t="s">
        <v>3685</v>
      </c>
      <c r="C689" s="5" t="s">
        <v>3744</v>
      </c>
      <c r="D689" s="5" t="s">
        <v>605</v>
      </c>
      <c r="E689" s="5" t="s">
        <v>605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11" t="s">
        <v>46</v>
      </c>
      <c r="Q689" s="5" t="s">
        <v>46</v>
      </c>
      <c r="R689" s="5" t="str">
        <f t="shared" si="11"/>
        <v/>
      </c>
      <c r="S689" s="5" t="s">
        <v>46</v>
      </c>
      <c r="T689" s="12">
        <v>686</v>
      </c>
      <c r="U689" s="261" t="s">
        <v>3687</v>
      </c>
      <c r="V689" s="232" t="s">
        <v>3744</v>
      </c>
      <c r="W689" s="232">
        <v>-5503.1</v>
      </c>
      <c r="X689" s="232">
        <v>0</v>
      </c>
      <c r="Y689" s="87" t="s">
        <v>3685</v>
      </c>
      <c r="Z689" s="87" t="s">
        <v>50</v>
      </c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261" t="s">
        <v>3687</v>
      </c>
    </row>
    <row r="690" spans="1:43">
      <c r="A690" s="12">
        <v>687</v>
      </c>
      <c r="B690" s="21" t="s">
        <v>3685</v>
      </c>
      <c r="C690" s="5" t="s">
        <v>3745</v>
      </c>
      <c r="D690" s="5" t="s">
        <v>605</v>
      </c>
      <c r="E690" s="5" t="s">
        <v>605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11" t="s">
        <v>46</v>
      </c>
      <c r="Q690" s="5" t="s">
        <v>46</v>
      </c>
      <c r="R690" s="5" t="str">
        <f t="shared" si="11"/>
        <v/>
      </c>
      <c r="S690" s="5" t="s">
        <v>46</v>
      </c>
      <c r="T690" s="12">
        <v>687</v>
      </c>
      <c r="U690" s="261" t="s">
        <v>3687</v>
      </c>
      <c r="V690" s="232" t="s">
        <v>3745</v>
      </c>
      <c r="W690" s="232">
        <v>-6227</v>
      </c>
      <c r="X690" s="232">
        <v>0</v>
      </c>
      <c r="Y690" s="87" t="s">
        <v>3685</v>
      </c>
      <c r="Z690" s="87" t="s">
        <v>50</v>
      </c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261" t="s">
        <v>3687</v>
      </c>
    </row>
    <row r="691" spans="1:43">
      <c r="A691" s="12">
        <v>688</v>
      </c>
      <c r="B691" s="21" t="s">
        <v>3685</v>
      </c>
      <c r="C691" s="5" t="s">
        <v>3746</v>
      </c>
      <c r="D691" s="5" t="s">
        <v>605</v>
      </c>
      <c r="E691" s="5" t="s">
        <v>605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11" t="s">
        <v>46</v>
      </c>
      <c r="Q691" s="5" t="s">
        <v>46</v>
      </c>
      <c r="R691" s="5" t="str">
        <f t="shared" si="11"/>
        <v/>
      </c>
      <c r="S691" s="5" t="s">
        <v>46</v>
      </c>
      <c r="T691" s="12">
        <v>688</v>
      </c>
      <c r="U691" s="261" t="s">
        <v>3687</v>
      </c>
      <c r="V691" s="232" t="s">
        <v>3746</v>
      </c>
      <c r="W691" s="232">
        <v>-6950.9</v>
      </c>
      <c r="X691" s="232">
        <v>0</v>
      </c>
      <c r="Y691" s="87" t="s">
        <v>3685</v>
      </c>
      <c r="Z691" s="87" t="s">
        <v>50</v>
      </c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261" t="s">
        <v>3687</v>
      </c>
    </row>
    <row r="692" spans="1:43">
      <c r="A692" s="12">
        <v>689</v>
      </c>
      <c r="B692" s="21" t="s">
        <v>3685</v>
      </c>
      <c r="C692" s="5" t="s">
        <v>3747</v>
      </c>
      <c r="D692" s="5" t="s">
        <v>605</v>
      </c>
      <c r="E692" s="5" t="s">
        <v>605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11" t="s">
        <v>46</v>
      </c>
      <c r="Q692" s="5" t="s">
        <v>46</v>
      </c>
      <c r="R692" s="5" t="str">
        <f t="shared" si="11"/>
        <v/>
      </c>
      <c r="S692" s="5" t="s">
        <v>46</v>
      </c>
      <c r="T692" s="12">
        <v>689</v>
      </c>
      <c r="U692" s="261" t="s">
        <v>3687</v>
      </c>
      <c r="V692" s="232" t="s">
        <v>3747</v>
      </c>
      <c r="W692" s="232">
        <v>-8179.8</v>
      </c>
      <c r="X692" s="232">
        <v>0</v>
      </c>
      <c r="Y692" s="87" t="s">
        <v>3685</v>
      </c>
      <c r="Z692" s="87" t="s">
        <v>50</v>
      </c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261" t="s">
        <v>3687</v>
      </c>
    </row>
    <row r="693" spans="1:43">
      <c r="A693" s="12">
        <v>690</v>
      </c>
      <c r="B693" s="21" t="s">
        <v>3685</v>
      </c>
      <c r="C693" s="5" t="s">
        <v>3748</v>
      </c>
      <c r="D693" s="5" t="s">
        <v>605</v>
      </c>
      <c r="E693" s="5" t="s">
        <v>605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11" t="s">
        <v>46</v>
      </c>
      <c r="Q693" s="5" t="s">
        <v>46</v>
      </c>
      <c r="R693" s="5" t="str">
        <f t="shared" si="11"/>
        <v/>
      </c>
      <c r="S693" s="5" t="s">
        <v>46</v>
      </c>
      <c r="T693" s="12">
        <v>690</v>
      </c>
      <c r="U693" s="261" t="s">
        <v>3687</v>
      </c>
      <c r="V693" s="232" t="s">
        <v>3748</v>
      </c>
      <c r="W693" s="232">
        <v>-8891</v>
      </c>
      <c r="X693" s="232">
        <v>0</v>
      </c>
      <c r="Y693" s="87" t="s">
        <v>3685</v>
      </c>
      <c r="Z693" s="87" t="s">
        <v>50</v>
      </c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261" t="s">
        <v>3687</v>
      </c>
    </row>
    <row r="694" spans="1:43">
      <c r="A694" s="12">
        <v>691</v>
      </c>
      <c r="B694" s="21" t="s">
        <v>3685</v>
      </c>
      <c r="C694" s="5" t="s">
        <v>3749</v>
      </c>
      <c r="D694" s="5" t="s">
        <v>605</v>
      </c>
      <c r="E694" s="5" t="s">
        <v>605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11" t="s">
        <v>46</v>
      </c>
      <c r="Q694" s="5" t="s">
        <v>46</v>
      </c>
      <c r="R694" s="5" t="str">
        <f t="shared" si="11"/>
        <v/>
      </c>
      <c r="S694" s="5" t="s">
        <v>46</v>
      </c>
      <c r="T694" s="12">
        <v>691</v>
      </c>
      <c r="U694" s="261" t="s">
        <v>3687</v>
      </c>
      <c r="V694" s="232" t="s">
        <v>3749</v>
      </c>
      <c r="W694" s="232">
        <v>11659.6</v>
      </c>
      <c r="X694" s="232">
        <v>0</v>
      </c>
      <c r="Y694" s="87" t="s">
        <v>3685</v>
      </c>
      <c r="Z694" s="87" t="s">
        <v>50</v>
      </c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261" t="s">
        <v>3687</v>
      </c>
    </row>
    <row r="695" spans="1:43">
      <c r="A695" s="12">
        <v>692</v>
      </c>
      <c r="B695" s="21" t="s">
        <v>3685</v>
      </c>
      <c r="C695" s="5" t="s">
        <v>3750</v>
      </c>
      <c r="D695" s="5" t="s">
        <v>605</v>
      </c>
      <c r="E695" s="5" t="s">
        <v>605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11" t="s">
        <v>46</v>
      </c>
      <c r="Q695" s="5" t="s">
        <v>46</v>
      </c>
      <c r="R695" s="5" t="str">
        <f t="shared" si="11"/>
        <v/>
      </c>
      <c r="S695" s="5" t="s">
        <v>46</v>
      </c>
      <c r="T695" s="12">
        <v>692</v>
      </c>
      <c r="U695" s="261" t="s">
        <v>3687</v>
      </c>
      <c r="V695" s="232" t="s">
        <v>3750</v>
      </c>
      <c r="W695" s="232">
        <v>-10313.4</v>
      </c>
      <c r="X695" s="232">
        <v>0</v>
      </c>
      <c r="Y695" s="87" t="s">
        <v>3685</v>
      </c>
      <c r="Z695" s="87" t="s">
        <v>50</v>
      </c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261" t="s">
        <v>3687</v>
      </c>
    </row>
    <row r="696" spans="1:43">
      <c r="A696" s="12">
        <v>693</v>
      </c>
      <c r="B696" s="21" t="s">
        <v>3685</v>
      </c>
      <c r="C696" s="5" t="s">
        <v>3751</v>
      </c>
      <c r="D696" s="5" t="s">
        <v>605</v>
      </c>
      <c r="E696" s="5" t="s">
        <v>605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11" t="s">
        <v>46</v>
      </c>
      <c r="Q696" s="5" t="s">
        <v>46</v>
      </c>
      <c r="R696" s="5" t="str">
        <f t="shared" si="11"/>
        <v/>
      </c>
      <c r="S696" s="5" t="s">
        <v>46</v>
      </c>
      <c r="T696" s="12">
        <v>693</v>
      </c>
      <c r="U696" s="261" t="s">
        <v>3687</v>
      </c>
      <c r="V696" s="232" t="s">
        <v>3751</v>
      </c>
      <c r="W696" s="232">
        <v>-11024.6</v>
      </c>
      <c r="X696" s="232">
        <v>0</v>
      </c>
      <c r="Y696" s="87" t="s">
        <v>3685</v>
      </c>
      <c r="Z696" s="87" t="s">
        <v>50</v>
      </c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261" t="s">
        <v>3687</v>
      </c>
    </row>
    <row r="697" spans="1:43">
      <c r="A697" s="12">
        <v>694</v>
      </c>
      <c r="B697" s="21" t="s">
        <v>3685</v>
      </c>
      <c r="C697" s="5" t="s">
        <v>3752</v>
      </c>
      <c r="D697" s="5" t="s">
        <v>605</v>
      </c>
      <c r="E697" s="5" t="s">
        <v>605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11" t="s">
        <v>46</v>
      </c>
      <c r="Q697" s="5" t="s">
        <v>46</v>
      </c>
      <c r="R697" s="5" t="str">
        <f t="shared" si="11"/>
        <v/>
      </c>
      <c r="S697" s="5" t="s">
        <v>46</v>
      </c>
      <c r="T697" s="12">
        <v>694</v>
      </c>
      <c r="U697" s="261" t="s">
        <v>3687</v>
      </c>
      <c r="V697" s="232" t="s">
        <v>3752</v>
      </c>
      <c r="W697" s="232">
        <v>-11659.6</v>
      </c>
      <c r="X697" s="232">
        <v>0</v>
      </c>
      <c r="Y697" s="87" t="s">
        <v>3685</v>
      </c>
      <c r="Z697" s="87" t="s">
        <v>50</v>
      </c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261" t="s">
        <v>3687</v>
      </c>
    </row>
    <row r="698" spans="1:43">
      <c r="A698" s="12">
        <v>695</v>
      </c>
      <c r="B698" s="21" t="s">
        <v>3685</v>
      </c>
      <c r="C698" s="5" t="s">
        <v>3753</v>
      </c>
      <c r="D698" s="5" t="s">
        <v>605</v>
      </c>
      <c r="E698" s="5" t="s">
        <v>605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11" t="s">
        <v>46</v>
      </c>
      <c r="Q698" s="5" t="s">
        <v>46</v>
      </c>
      <c r="R698" s="5" t="str">
        <f t="shared" si="11"/>
        <v/>
      </c>
      <c r="S698" s="5" t="s">
        <v>46</v>
      </c>
      <c r="T698" s="12">
        <v>695</v>
      </c>
      <c r="U698" s="261" t="s">
        <v>3687</v>
      </c>
      <c r="V698" s="232" t="s">
        <v>3753</v>
      </c>
      <c r="W698" s="232">
        <v>-13439.1</v>
      </c>
      <c r="X698" s="232">
        <v>0</v>
      </c>
      <c r="Y698" s="87" t="s">
        <v>3685</v>
      </c>
      <c r="Z698" s="87" t="s">
        <v>50</v>
      </c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261" t="s">
        <v>3687</v>
      </c>
    </row>
    <row r="699" spans="1:43">
      <c r="A699" s="12">
        <v>696</v>
      </c>
      <c r="B699" s="21" t="s">
        <v>3685</v>
      </c>
      <c r="C699" s="5" t="s">
        <v>3754</v>
      </c>
      <c r="D699" s="5" t="s">
        <v>605</v>
      </c>
      <c r="E699" s="5" t="s">
        <v>605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11" t="s">
        <v>46</v>
      </c>
      <c r="Q699" s="5" t="s">
        <v>46</v>
      </c>
      <c r="R699" s="5" t="str">
        <f t="shared" si="11"/>
        <v/>
      </c>
      <c r="S699" s="5" t="s">
        <v>46</v>
      </c>
      <c r="T699" s="12">
        <v>696</v>
      </c>
      <c r="U699" s="261" t="s">
        <v>3687</v>
      </c>
      <c r="V699" s="232" t="s">
        <v>3754</v>
      </c>
      <c r="W699" s="232">
        <v>11024.6</v>
      </c>
      <c r="X699" s="232">
        <v>0</v>
      </c>
      <c r="Y699" s="87" t="s">
        <v>3685</v>
      </c>
      <c r="Z699" s="87" t="s">
        <v>50</v>
      </c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261" t="s">
        <v>3687</v>
      </c>
    </row>
    <row r="700" spans="1:43">
      <c r="A700" s="12">
        <v>697</v>
      </c>
      <c r="B700" s="21" t="s">
        <v>3685</v>
      </c>
      <c r="C700" s="5" t="s">
        <v>3755</v>
      </c>
      <c r="D700" s="5" t="s">
        <v>605</v>
      </c>
      <c r="E700" s="5" t="s">
        <v>605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11" t="s">
        <v>46</v>
      </c>
      <c r="Q700" s="5" t="s">
        <v>46</v>
      </c>
      <c r="R700" s="5" t="str">
        <f t="shared" si="11"/>
        <v/>
      </c>
      <c r="S700" s="5" t="s">
        <v>46</v>
      </c>
      <c r="T700" s="12">
        <v>697</v>
      </c>
      <c r="U700" s="261" t="s">
        <v>3687</v>
      </c>
      <c r="V700" s="232" t="s">
        <v>3755</v>
      </c>
      <c r="W700" s="232">
        <v>10313.4</v>
      </c>
      <c r="X700" s="232">
        <v>0</v>
      </c>
      <c r="Y700" s="87" t="s">
        <v>3685</v>
      </c>
      <c r="Z700" s="87" t="s">
        <v>50</v>
      </c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261" t="s">
        <v>3687</v>
      </c>
    </row>
    <row r="701" spans="1:43">
      <c r="A701" s="12">
        <v>698</v>
      </c>
      <c r="B701" s="21" t="s">
        <v>3685</v>
      </c>
      <c r="C701" s="5" t="s">
        <v>3756</v>
      </c>
      <c r="D701" s="5" t="s">
        <v>605</v>
      </c>
      <c r="E701" s="5" t="s">
        <v>605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11" t="s">
        <v>46</v>
      </c>
      <c r="Q701" s="5" t="s">
        <v>46</v>
      </c>
      <c r="R701" s="5" t="str">
        <f t="shared" si="11"/>
        <v/>
      </c>
      <c r="S701" s="5" t="s">
        <v>46</v>
      </c>
      <c r="T701" s="12">
        <v>698</v>
      </c>
      <c r="U701" s="261" t="s">
        <v>3687</v>
      </c>
      <c r="V701" s="232" t="s">
        <v>3756</v>
      </c>
      <c r="W701" s="232">
        <v>8179.8</v>
      </c>
      <c r="X701" s="232">
        <v>579.1</v>
      </c>
      <c r="Y701" s="87" t="s">
        <v>3685</v>
      </c>
      <c r="Z701" s="87" t="s">
        <v>50</v>
      </c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261" t="s">
        <v>3687</v>
      </c>
    </row>
    <row r="702" spans="1:43">
      <c r="A702" s="12">
        <v>699</v>
      </c>
      <c r="B702" s="21" t="s">
        <v>3685</v>
      </c>
      <c r="C702" s="5" t="s">
        <v>3757</v>
      </c>
      <c r="D702" s="5" t="s">
        <v>605</v>
      </c>
      <c r="E702" s="5" t="s">
        <v>605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11" t="s">
        <v>46</v>
      </c>
      <c r="Q702" s="5" t="s">
        <v>46</v>
      </c>
      <c r="R702" s="5" t="str">
        <f t="shared" si="11"/>
        <v/>
      </c>
      <c r="S702" s="5" t="s">
        <v>46</v>
      </c>
      <c r="T702" s="12">
        <v>699</v>
      </c>
      <c r="U702" s="261" t="s">
        <v>3687</v>
      </c>
      <c r="V702" s="232" t="s">
        <v>3757</v>
      </c>
      <c r="W702" s="232">
        <v>7674.8</v>
      </c>
      <c r="X702" s="232">
        <v>579.1</v>
      </c>
      <c r="Y702" s="87" t="s">
        <v>3685</v>
      </c>
      <c r="Z702" s="87" t="s">
        <v>50</v>
      </c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261" t="s">
        <v>3687</v>
      </c>
    </row>
    <row r="703" spans="1:43">
      <c r="A703" s="12">
        <v>700</v>
      </c>
      <c r="B703" s="21" t="s">
        <v>3685</v>
      </c>
      <c r="C703" s="5" t="s">
        <v>3758</v>
      </c>
      <c r="D703" s="5" t="s">
        <v>605</v>
      </c>
      <c r="E703" s="5" t="s">
        <v>605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11" t="s">
        <v>46</v>
      </c>
      <c r="Q703" s="5" t="s">
        <v>46</v>
      </c>
      <c r="R703" s="5" t="str">
        <f t="shared" si="11"/>
        <v/>
      </c>
      <c r="S703" s="5" t="s">
        <v>46</v>
      </c>
      <c r="T703" s="12">
        <v>700</v>
      </c>
      <c r="U703" s="261" t="s">
        <v>3687</v>
      </c>
      <c r="V703" s="232" t="s">
        <v>3758</v>
      </c>
      <c r="W703" s="232">
        <v>6950.9</v>
      </c>
      <c r="X703" s="232">
        <v>579.1</v>
      </c>
      <c r="Y703" s="87" t="s">
        <v>3685</v>
      </c>
      <c r="Z703" s="87" t="s">
        <v>50</v>
      </c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261" t="s">
        <v>3687</v>
      </c>
    </row>
    <row r="704" spans="1:43">
      <c r="A704" s="12">
        <v>701</v>
      </c>
      <c r="B704" s="21" t="s">
        <v>3685</v>
      </c>
      <c r="C704" s="5" t="s">
        <v>3759</v>
      </c>
      <c r="D704" s="5" t="s">
        <v>605</v>
      </c>
      <c r="E704" s="5" t="s">
        <v>605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11" t="s">
        <v>46</v>
      </c>
      <c r="Q704" s="5" t="s">
        <v>46</v>
      </c>
      <c r="R704" s="5" t="str">
        <f t="shared" si="11"/>
        <v/>
      </c>
      <c r="S704" s="5" t="s">
        <v>46</v>
      </c>
      <c r="T704" s="12">
        <v>701</v>
      </c>
      <c r="U704" s="261" t="s">
        <v>3687</v>
      </c>
      <c r="V704" s="232" t="s">
        <v>3759</v>
      </c>
      <c r="W704" s="232">
        <v>6227</v>
      </c>
      <c r="X704" s="232">
        <v>579.1</v>
      </c>
      <c r="Y704" s="87" t="s">
        <v>3685</v>
      </c>
      <c r="Z704" s="87" t="s">
        <v>50</v>
      </c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261" t="s">
        <v>3687</v>
      </c>
    </row>
    <row r="705" spans="1:43">
      <c r="A705" s="12">
        <v>702</v>
      </c>
      <c r="B705" s="21" t="s">
        <v>3685</v>
      </c>
      <c r="C705" s="5" t="s">
        <v>3760</v>
      </c>
      <c r="D705" s="5" t="s">
        <v>605</v>
      </c>
      <c r="E705" s="5" t="s">
        <v>605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11" t="s">
        <v>46</v>
      </c>
      <c r="Q705" s="5" t="s">
        <v>46</v>
      </c>
      <c r="R705" s="5" t="str">
        <f t="shared" si="11"/>
        <v/>
      </c>
      <c r="S705" s="5" t="s">
        <v>46</v>
      </c>
      <c r="T705" s="12">
        <v>702</v>
      </c>
      <c r="U705" s="261" t="s">
        <v>3687</v>
      </c>
      <c r="V705" s="232" t="s">
        <v>3760</v>
      </c>
      <c r="W705" s="232">
        <v>5503.1</v>
      </c>
      <c r="X705" s="232">
        <v>579.1</v>
      </c>
      <c r="Y705" s="87" t="s">
        <v>3685</v>
      </c>
      <c r="Z705" s="87" t="s">
        <v>50</v>
      </c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261" t="s">
        <v>3687</v>
      </c>
    </row>
    <row r="706" spans="1:43">
      <c r="A706" s="12">
        <v>703</v>
      </c>
      <c r="B706" s="21" t="s">
        <v>3685</v>
      </c>
      <c r="C706" s="5" t="s">
        <v>3761</v>
      </c>
      <c r="D706" s="5" t="s">
        <v>605</v>
      </c>
      <c r="E706" s="5" t="s">
        <v>605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11" t="s">
        <v>46</v>
      </c>
      <c r="Q706" s="5" t="s">
        <v>46</v>
      </c>
      <c r="R706" s="5" t="str">
        <f t="shared" si="11"/>
        <v/>
      </c>
      <c r="S706" s="5" t="s">
        <v>46</v>
      </c>
      <c r="T706" s="12">
        <v>703</v>
      </c>
      <c r="U706" s="261" t="s">
        <v>3687</v>
      </c>
      <c r="V706" s="232" t="s">
        <v>3761</v>
      </c>
      <c r="W706" s="232">
        <v>4779.2</v>
      </c>
      <c r="X706" s="232">
        <v>579.1</v>
      </c>
      <c r="Y706" s="87" t="s">
        <v>3685</v>
      </c>
      <c r="Z706" s="87" t="s">
        <v>50</v>
      </c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261" t="s">
        <v>3687</v>
      </c>
    </row>
    <row r="707" spans="1:43">
      <c r="A707" s="12">
        <v>704</v>
      </c>
      <c r="B707" s="21" t="s">
        <v>3685</v>
      </c>
      <c r="C707" s="5" t="s">
        <v>3762</v>
      </c>
      <c r="D707" s="5" t="s">
        <v>605</v>
      </c>
      <c r="E707" s="5" t="s">
        <v>605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11" t="s">
        <v>46</v>
      </c>
      <c r="Q707" s="5" t="s">
        <v>46</v>
      </c>
      <c r="R707" s="5" t="str">
        <f t="shared" si="11"/>
        <v/>
      </c>
      <c r="S707" s="5" t="s">
        <v>46</v>
      </c>
      <c r="T707" s="12">
        <v>704</v>
      </c>
      <c r="U707" s="261" t="s">
        <v>3687</v>
      </c>
      <c r="V707" s="232" t="s">
        <v>3762</v>
      </c>
      <c r="W707" s="232">
        <v>-4779.2</v>
      </c>
      <c r="X707" s="232">
        <v>579.1</v>
      </c>
      <c r="Y707" s="87" t="s">
        <v>3685</v>
      </c>
      <c r="Z707" s="87" t="s">
        <v>50</v>
      </c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261" t="s">
        <v>3687</v>
      </c>
    </row>
    <row r="708" spans="1:43">
      <c r="A708" s="12">
        <v>705</v>
      </c>
      <c r="B708" s="21" t="s">
        <v>3685</v>
      </c>
      <c r="C708" s="5" t="s">
        <v>3763</v>
      </c>
      <c r="D708" s="5" t="s">
        <v>605</v>
      </c>
      <c r="E708" s="5" t="s">
        <v>605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11" t="s">
        <v>46</v>
      </c>
      <c r="Q708" s="5" t="s">
        <v>46</v>
      </c>
      <c r="R708" s="5" t="str">
        <f t="shared" si="11"/>
        <v/>
      </c>
      <c r="S708" s="5" t="s">
        <v>46</v>
      </c>
      <c r="T708" s="12">
        <v>705</v>
      </c>
      <c r="U708" s="261" t="s">
        <v>3687</v>
      </c>
      <c r="V708" s="232" t="s">
        <v>3763</v>
      </c>
      <c r="W708" s="232">
        <v>-5503.1</v>
      </c>
      <c r="X708" s="232">
        <v>579.1</v>
      </c>
      <c r="Y708" s="87" t="s">
        <v>3685</v>
      </c>
      <c r="Z708" s="87" t="s">
        <v>50</v>
      </c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261" t="s">
        <v>3687</v>
      </c>
    </row>
    <row r="709" spans="1:43">
      <c r="A709" s="12">
        <v>706</v>
      </c>
      <c r="B709" s="21" t="s">
        <v>3685</v>
      </c>
      <c r="C709" s="5" t="s">
        <v>3764</v>
      </c>
      <c r="D709" s="5" t="s">
        <v>605</v>
      </c>
      <c r="E709" s="5" t="s">
        <v>605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11" t="s">
        <v>46</v>
      </c>
      <c r="Q709" s="5" t="s">
        <v>46</v>
      </c>
      <c r="R709" s="5" t="str">
        <f t="shared" ref="R709:R772" si="12">IF(AND(P709="",Q709=""),"",SUM(P709:Q709))</f>
        <v/>
      </c>
      <c r="S709" s="5" t="s">
        <v>46</v>
      </c>
      <c r="T709" s="12">
        <v>706</v>
      </c>
      <c r="U709" s="261" t="s">
        <v>3687</v>
      </c>
      <c r="V709" s="232" t="s">
        <v>3764</v>
      </c>
      <c r="W709" s="232">
        <v>-6227</v>
      </c>
      <c r="X709" s="232">
        <v>579.1</v>
      </c>
      <c r="Y709" s="87" t="s">
        <v>3685</v>
      </c>
      <c r="Z709" s="87" t="s">
        <v>50</v>
      </c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261" t="s">
        <v>3687</v>
      </c>
    </row>
    <row r="710" spans="1:43">
      <c r="A710" s="12">
        <v>707</v>
      </c>
      <c r="B710" s="21" t="s">
        <v>3685</v>
      </c>
      <c r="C710" s="5" t="s">
        <v>3765</v>
      </c>
      <c r="D710" s="5" t="s">
        <v>605</v>
      </c>
      <c r="E710" s="5" t="s">
        <v>605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11" t="s">
        <v>46</v>
      </c>
      <c r="Q710" s="5" t="s">
        <v>46</v>
      </c>
      <c r="R710" s="5" t="str">
        <f t="shared" si="12"/>
        <v/>
      </c>
      <c r="S710" s="5" t="s">
        <v>46</v>
      </c>
      <c r="T710" s="12">
        <v>707</v>
      </c>
      <c r="U710" s="261" t="s">
        <v>3687</v>
      </c>
      <c r="V710" s="232" t="s">
        <v>3765</v>
      </c>
      <c r="W710" s="232">
        <v>-6950.9</v>
      </c>
      <c r="X710" s="232">
        <v>579.1</v>
      </c>
      <c r="Y710" s="87" t="s">
        <v>3685</v>
      </c>
      <c r="Z710" s="87" t="s">
        <v>50</v>
      </c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261" t="s">
        <v>3687</v>
      </c>
    </row>
    <row r="711" spans="1:43">
      <c r="A711" s="12">
        <v>708</v>
      </c>
      <c r="B711" s="21" t="s">
        <v>3685</v>
      </c>
      <c r="C711" s="5" t="s">
        <v>3766</v>
      </c>
      <c r="D711" s="5" t="s">
        <v>605</v>
      </c>
      <c r="E711" s="5" t="s">
        <v>605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11" t="s">
        <v>46</v>
      </c>
      <c r="Q711" s="5" t="s">
        <v>46</v>
      </c>
      <c r="R711" s="5" t="str">
        <f t="shared" si="12"/>
        <v/>
      </c>
      <c r="S711" s="5" t="s">
        <v>46</v>
      </c>
      <c r="T711" s="12">
        <v>708</v>
      </c>
      <c r="U711" s="261" t="s">
        <v>3687</v>
      </c>
      <c r="V711" s="232" t="s">
        <v>3766</v>
      </c>
      <c r="W711" s="232">
        <v>-7674.8</v>
      </c>
      <c r="X711" s="232">
        <v>579.1</v>
      </c>
      <c r="Y711" s="87" t="s">
        <v>3685</v>
      </c>
      <c r="Z711" s="87" t="s">
        <v>50</v>
      </c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261" t="s">
        <v>3687</v>
      </c>
    </row>
    <row r="712" spans="1:43">
      <c r="A712" s="12">
        <v>709</v>
      </c>
      <c r="B712" s="21" t="s">
        <v>3685</v>
      </c>
      <c r="C712" s="5" t="s">
        <v>3767</v>
      </c>
      <c r="D712" s="5" t="s">
        <v>605</v>
      </c>
      <c r="E712" s="5" t="s">
        <v>605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11" t="s">
        <v>46</v>
      </c>
      <c r="Q712" s="5" t="s">
        <v>46</v>
      </c>
      <c r="R712" s="5" t="str">
        <f t="shared" si="12"/>
        <v/>
      </c>
      <c r="S712" s="5" t="s">
        <v>46</v>
      </c>
      <c r="T712" s="12">
        <v>709</v>
      </c>
      <c r="U712" s="261" t="s">
        <v>3687</v>
      </c>
      <c r="V712" s="232" t="s">
        <v>3767</v>
      </c>
      <c r="W712" s="232">
        <v>-8179.8</v>
      </c>
      <c r="X712" s="232">
        <v>579.1</v>
      </c>
      <c r="Y712" s="87" t="s">
        <v>3685</v>
      </c>
      <c r="Z712" s="87" t="s">
        <v>50</v>
      </c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261" t="s">
        <v>3687</v>
      </c>
    </row>
    <row r="713" spans="1:43">
      <c r="A713" s="12">
        <v>710</v>
      </c>
      <c r="B713" s="21" t="s">
        <v>3685</v>
      </c>
      <c r="C713" s="5" t="s">
        <v>3768</v>
      </c>
      <c r="D713" s="5" t="s">
        <v>605</v>
      </c>
      <c r="E713" s="5" t="s">
        <v>605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11" t="s">
        <v>46</v>
      </c>
      <c r="Q713" s="5" t="s">
        <v>46</v>
      </c>
      <c r="R713" s="5" t="str">
        <f t="shared" si="12"/>
        <v/>
      </c>
      <c r="S713" s="5" t="s">
        <v>46</v>
      </c>
      <c r="T713" s="12">
        <v>710</v>
      </c>
      <c r="U713" s="261" t="s">
        <v>3687</v>
      </c>
      <c r="V713" s="232" t="s">
        <v>3768</v>
      </c>
      <c r="W713" s="232">
        <v>11659.6</v>
      </c>
      <c r="X713" s="232">
        <v>579.1</v>
      </c>
      <c r="Y713" s="87" t="s">
        <v>3685</v>
      </c>
      <c r="Z713" s="87" t="s">
        <v>50</v>
      </c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261" t="s">
        <v>3687</v>
      </c>
    </row>
    <row r="714" spans="1:43">
      <c r="A714" s="12">
        <v>711</v>
      </c>
      <c r="B714" s="21" t="s">
        <v>3685</v>
      </c>
      <c r="C714" s="5" t="s">
        <v>3769</v>
      </c>
      <c r="D714" s="5" t="s">
        <v>605</v>
      </c>
      <c r="E714" s="5" t="s">
        <v>605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11" t="s">
        <v>46</v>
      </c>
      <c r="Q714" s="5" t="s">
        <v>46</v>
      </c>
      <c r="R714" s="5" t="str">
        <f t="shared" si="12"/>
        <v/>
      </c>
      <c r="S714" s="5" t="s">
        <v>46</v>
      </c>
      <c r="T714" s="12">
        <v>711</v>
      </c>
      <c r="U714" s="261" t="s">
        <v>3687</v>
      </c>
      <c r="V714" s="232" t="s">
        <v>3769</v>
      </c>
      <c r="W714" s="232">
        <v>-11659.6</v>
      </c>
      <c r="X714" s="232">
        <v>579.1</v>
      </c>
      <c r="Y714" s="87" t="s">
        <v>3685</v>
      </c>
      <c r="Z714" s="87" t="s">
        <v>50</v>
      </c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261" t="s">
        <v>3687</v>
      </c>
    </row>
    <row r="715" spans="1:43">
      <c r="A715" s="12">
        <v>712</v>
      </c>
      <c r="B715" s="21" t="s">
        <v>3685</v>
      </c>
      <c r="C715" s="5" t="s">
        <v>3770</v>
      </c>
      <c r="D715" s="5" t="s">
        <v>605</v>
      </c>
      <c r="E715" s="5" t="s">
        <v>605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11" t="s">
        <v>46</v>
      </c>
      <c r="Q715" s="5" t="s">
        <v>46</v>
      </c>
      <c r="R715" s="5" t="str">
        <f t="shared" si="12"/>
        <v/>
      </c>
      <c r="S715" s="5" t="s">
        <v>46</v>
      </c>
      <c r="T715" s="12">
        <v>712</v>
      </c>
      <c r="U715" s="261" t="s">
        <v>3687</v>
      </c>
      <c r="V715" s="232" t="s">
        <v>3770</v>
      </c>
      <c r="W715" s="232">
        <v>3098.8</v>
      </c>
      <c r="X715" s="232">
        <v>774.7</v>
      </c>
      <c r="Y715" s="87" t="s">
        <v>3685</v>
      </c>
      <c r="Z715" s="87" t="s">
        <v>50</v>
      </c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261" t="s">
        <v>3687</v>
      </c>
    </row>
    <row r="716" spans="1:43">
      <c r="A716" s="12">
        <v>713</v>
      </c>
      <c r="B716" s="21" t="s">
        <v>3685</v>
      </c>
      <c r="C716" s="5" t="s">
        <v>3771</v>
      </c>
      <c r="D716" s="5" t="s">
        <v>605</v>
      </c>
      <c r="E716" s="5" t="s">
        <v>605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11" t="s">
        <v>46</v>
      </c>
      <c r="Q716" s="5" t="s">
        <v>46</v>
      </c>
      <c r="R716" s="5" t="str">
        <f t="shared" si="12"/>
        <v/>
      </c>
      <c r="S716" s="5" t="s">
        <v>46</v>
      </c>
      <c r="T716" s="12">
        <v>713</v>
      </c>
      <c r="U716" s="261" t="s">
        <v>3687</v>
      </c>
      <c r="V716" s="232" t="s">
        <v>3771</v>
      </c>
      <c r="W716" s="232">
        <v>2324.1</v>
      </c>
      <c r="X716" s="232">
        <v>774.7</v>
      </c>
      <c r="Y716" s="87" t="s">
        <v>3685</v>
      </c>
      <c r="Z716" s="87" t="s">
        <v>50</v>
      </c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261" t="s">
        <v>3687</v>
      </c>
    </row>
    <row r="717" spans="1:43">
      <c r="A717" s="12">
        <v>714</v>
      </c>
      <c r="B717" s="21" t="s">
        <v>3685</v>
      </c>
      <c r="C717" s="5" t="s">
        <v>3772</v>
      </c>
      <c r="D717" s="5" t="s">
        <v>605</v>
      </c>
      <c r="E717" s="5" t="s">
        <v>605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11" t="s">
        <v>46</v>
      </c>
      <c r="Q717" s="5" t="s">
        <v>46</v>
      </c>
      <c r="R717" s="5" t="str">
        <f t="shared" si="12"/>
        <v/>
      </c>
      <c r="S717" s="5" t="s">
        <v>46</v>
      </c>
      <c r="T717" s="12">
        <v>714</v>
      </c>
      <c r="U717" s="261" t="s">
        <v>3687</v>
      </c>
      <c r="V717" s="232" t="s">
        <v>3772</v>
      </c>
      <c r="W717" s="232">
        <v>-3098.8</v>
      </c>
      <c r="X717" s="232">
        <v>774.7</v>
      </c>
      <c r="Y717" s="87" t="s">
        <v>3685</v>
      </c>
      <c r="Z717" s="87" t="s">
        <v>50</v>
      </c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261" t="s">
        <v>3687</v>
      </c>
    </row>
    <row r="718" spans="1:43">
      <c r="A718" s="12">
        <v>715</v>
      </c>
      <c r="B718" s="21" t="s">
        <v>3685</v>
      </c>
      <c r="C718" s="5" t="s">
        <v>3773</v>
      </c>
      <c r="D718" s="5" t="s">
        <v>605</v>
      </c>
      <c r="E718" s="5" t="s">
        <v>605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11" t="s">
        <v>46</v>
      </c>
      <c r="Q718" s="5" t="s">
        <v>46</v>
      </c>
      <c r="R718" s="5" t="str">
        <f t="shared" si="12"/>
        <v/>
      </c>
      <c r="S718" s="5" t="s">
        <v>46</v>
      </c>
      <c r="T718" s="12">
        <v>715</v>
      </c>
      <c r="U718" s="261" t="s">
        <v>3687</v>
      </c>
      <c r="V718" s="232" t="s">
        <v>3773</v>
      </c>
      <c r="W718" s="232">
        <v>6227</v>
      </c>
      <c r="X718" s="232">
        <v>1353.8</v>
      </c>
      <c r="Y718" s="87" t="s">
        <v>3685</v>
      </c>
      <c r="Z718" s="87" t="s">
        <v>50</v>
      </c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261" t="s">
        <v>3687</v>
      </c>
    </row>
    <row r="719" spans="1:43">
      <c r="A719" s="12">
        <v>716</v>
      </c>
      <c r="B719" s="21" t="s">
        <v>3685</v>
      </c>
      <c r="C719" s="5" t="s">
        <v>3774</v>
      </c>
      <c r="D719" s="5" t="s">
        <v>605</v>
      </c>
      <c r="E719" s="5" t="s">
        <v>605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11" t="s">
        <v>46</v>
      </c>
      <c r="Q719" s="5" t="s">
        <v>46</v>
      </c>
      <c r="R719" s="5" t="str">
        <f t="shared" si="12"/>
        <v/>
      </c>
      <c r="S719" s="5" t="s">
        <v>46</v>
      </c>
      <c r="T719" s="12">
        <v>716</v>
      </c>
      <c r="U719" s="261" t="s">
        <v>3687</v>
      </c>
      <c r="V719" s="232" t="s">
        <v>3774</v>
      </c>
      <c r="W719" s="232">
        <v>5503.1</v>
      </c>
      <c r="X719" s="232">
        <v>1353.8</v>
      </c>
      <c r="Y719" s="87" t="s">
        <v>3685</v>
      </c>
      <c r="Z719" s="87" t="s">
        <v>50</v>
      </c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261" t="s">
        <v>3687</v>
      </c>
    </row>
    <row r="720" spans="1:43">
      <c r="A720" s="12">
        <v>717</v>
      </c>
      <c r="B720" s="21" t="s">
        <v>3685</v>
      </c>
      <c r="C720" s="5" t="s">
        <v>3775</v>
      </c>
      <c r="D720" s="5" t="s">
        <v>605</v>
      </c>
      <c r="E720" s="5" t="s">
        <v>605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11" t="s">
        <v>46</v>
      </c>
      <c r="Q720" s="5" t="s">
        <v>46</v>
      </c>
      <c r="R720" s="5" t="str">
        <f t="shared" si="12"/>
        <v/>
      </c>
      <c r="S720" s="5" t="s">
        <v>46</v>
      </c>
      <c r="T720" s="12">
        <v>717</v>
      </c>
      <c r="U720" s="261" t="s">
        <v>3687</v>
      </c>
      <c r="V720" s="232" t="s">
        <v>3775</v>
      </c>
      <c r="W720" s="232">
        <v>4779.2</v>
      </c>
      <c r="X720" s="232">
        <v>1353.8</v>
      </c>
      <c r="Y720" s="87" t="s">
        <v>3685</v>
      </c>
      <c r="Z720" s="87" t="s">
        <v>50</v>
      </c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261" t="s">
        <v>3687</v>
      </c>
    </row>
    <row r="721" spans="1:43">
      <c r="A721" s="12">
        <v>718</v>
      </c>
      <c r="B721" s="21" t="s">
        <v>3685</v>
      </c>
      <c r="C721" s="5" t="s">
        <v>3776</v>
      </c>
      <c r="D721" s="5" t="s">
        <v>605</v>
      </c>
      <c r="E721" s="5" t="s">
        <v>605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11" t="s">
        <v>46</v>
      </c>
      <c r="Q721" s="5" t="s">
        <v>46</v>
      </c>
      <c r="R721" s="5" t="str">
        <f t="shared" si="12"/>
        <v/>
      </c>
      <c r="S721" s="5" t="s">
        <v>46</v>
      </c>
      <c r="T721" s="12">
        <v>718</v>
      </c>
      <c r="U721" s="261" t="s">
        <v>3687</v>
      </c>
      <c r="V721" s="232" t="s">
        <v>3776</v>
      </c>
      <c r="W721" s="232">
        <v>1549.4</v>
      </c>
      <c r="X721" s="232">
        <v>1549.4</v>
      </c>
      <c r="Y721" s="87" t="s">
        <v>3685</v>
      </c>
      <c r="Z721" s="87" t="s">
        <v>50</v>
      </c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261" t="s">
        <v>3687</v>
      </c>
    </row>
    <row r="722" spans="1:43">
      <c r="A722" s="12">
        <v>719</v>
      </c>
      <c r="B722" s="21" t="s">
        <v>3685</v>
      </c>
      <c r="C722" s="5" t="s">
        <v>3777</v>
      </c>
      <c r="D722" s="5" t="s">
        <v>605</v>
      </c>
      <c r="E722" s="5" t="s">
        <v>605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11" t="s">
        <v>46</v>
      </c>
      <c r="Q722" s="5" t="s">
        <v>46</v>
      </c>
      <c r="R722" s="5" t="str">
        <f t="shared" si="12"/>
        <v/>
      </c>
      <c r="S722" s="5" t="s">
        <v>46</v>
      </c>
      <c r="T722" s="12">
        <v>719</v>
      </c>
      <c r="U722" s="261" t="s">
        <v>3687</v>
      </c>
      <c r="V722" s="232" t="s">
        <v>3777</v>
      </c>
      <c r="W722" s="232">
        <v>774.7</v>
      </c>
      <c r="X722" s="232">
        <v>1549.4</v>
      </c>
      <c r="Y722" s="87" t="s">
        <v>3685</v>
      </c>
      <c r="Z722" s="87" t="s">
        <v>50</v>
      </c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261" t="s">
        <v>3687</v>
      </c>
    </row>
    <row r="723" spans="1:43">
      <c r="A723" s="12">
        <v>720</v>
      </c>
      <c r="B723" s="21" t="s">
        <v>3685</v>
      </c>
      <c r="C723" s="5" t="s">
        <v>3778</v>
      </c>
      <c r="D723" s="5" t="s">
        <v>605</v>
      </c>
      <c r="E723" s="5" t="s">
        <v>605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11" t="s">
        <v>46</v>
      </c>
      <c r="Q723" s="5" t="s">
        <v>46</v>
      </c>
      <c r="R723" s="5" t="str">
        <f t="shared" si="12"/>
        <v/>
      </c>
      <c r="S723" s="5" t="s">
        <v>46</v>
      </c>
      <c r="T723" s="12">
        <v>720</v>
      </c>
      <c r="U723" s="261" t="s">
        <v>3687</v>
      </c>
      <c r="V723" s="232" t="s">
        <v>3778</v>
      </c>
      <c r="W723" s="232">
        <v>0</v>
      </c>
      <c r="X723" s="232">
        <v>1549.4</v>
      </c>
      <c r="Y723" s="87" t="s">
        <v>3685</v>
      </c>
      <c r="Z723" s="87" t="s">
        <v>50</v>
      </c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261" t="s">
        <v>3687</v>
      </c>
    </row>
    <row r="724" spans="1:43">
      <c r="A724" s="12">
        <v>721</v>
      </c>
      <c r="B724" s="21" t="s">
        <v>3685</v>
      </c>
      <c r="C724" s="5" t="s">
        <v>3779</v>
      </c>
      <c r="D724" s="5" t="s">
        <v>605</v>
      </c>
      <c r="E724" s="5" t="s">
        <v>605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11" t="s">
        <v>46</v>
      </c>
      <c r="Q724" s="5" t="s">
        <v>46</v>
      </c>
      <c r="R724" s="5" t="str">
        <f t="shared" si="12"/>
        <v/>
      </c>
      <c r="S724" s="5" t="s">
        <v>46</v>
      </c>
      <c r="T724" s="12">
        <v>721</v>
      </c>
      <c r="U724" s="261" t="s">
        <v>3687</v>
      </c>
      <c r="V724" s="232" t="s">
        <v>3779</v>
      </c>
      <c r="W724" s="232">
        <v>-774.7</v>
      </c>
      <c r="X724" s="232">
        <v>1549.4</v>
      </c>
      <c r="Y724" s="87" t="s">
        <v>3685</v>
      </c>
      <c r="Z724" s="87" t="s">
        <v>50</v>
      </c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261" t="s">
        <v>3687</v>
      </c>
    </row>
    <row r="725" spans="1:43">
      <c r="A725" s="12">
        <v>722</v>
      </c>
      <c r="B725" s="21" t="s">
        <v>3685</v>
      </c>
      <c r="C725" s="5" t="s">
        <v>3780</v>
      </c>
      <c r="D725" s="5" t="s">
        <v>605</v>
      </c>
      <c r="E725" s="5" t="s">
        <v>605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11" t="s">
        <v>46</v>
      </c>
      <c r="Q725" s="5" t="s">
        <v>46</v>
      </c>
      <c r="R725" s="5" t="str">
        <f t="shared" si="12"/>
        <v/>
      </c>
      <c r="S725" s="5" t="s">
        <v>46</v>
      </c>
      <c r="T725" s="12">
        <v>722</v>
      </c>
      <c r="U725" s="261" t="s">
        <v>3687</v>
      </c>
      <c r="V725" s="232" t="s">
        <v>3780</v>
      </c>
      <c r="W725" s="232">
        <v>-1549.4</v>
      </c>
      <c r="X725" s="232">
        <v>1549.4</v>
      </c>
      <c r="Y725" s="87" t="s">
        <v>3685</v>
      </c>
      <c r="Z725" s="87" t="s">
        <v>50</v>
      </c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261" t="s">
        <v>3687</v>
      </c>
    </row>
    <row r="726" spans="1:43">
      <c r="A726" s="12">
        <v>723</v>
      </c>
      <c r="B726" s="21" t="s">
        <v>3685</v>
      </c>
      <c r="C726" s="5" t="s">
        <v>3781</v>
      </c>
      <c r="D726" s="5" t="s">
        <v>605</v>
      </c>
      <c r="E726" s="5" t="s">
        <v>605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11" t="s">
        <v>46</v>
      </c>
      <c r="Q726" s="5" t="s">
        <v>46</v>
      </c>
      <c r="R726" s="5" t="str">
        <f t="shared" si="12"/>
        <v/>
      </c>
      <c r="S726" s="5" t="s">
        <v>46</v>
      </c>
      <c r="T726" s="12">
        <v>723</v>
      </c>
      <c r="U726" s="261" t="s">
        <v>3687</v>
      </c>
      <c r="V726" s="232" t="s">
        <v>3781</v>
      </c>
      <c r="W726" s="232">
        <v>-2324.1</v>
      </c>
      <c r="X726" s="232">
        <v>1549.4</v>
      </c>
      <c r="Y726" s="87" t="s">
        <v>3685</v>
      </c>
      <c r="Z726" s="87" t="s">
        <v>50</v>
      </c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261" t="s">
        <v>3687</v>
      </c>
    </row>
    <row r="727" spans="1:43">
      <c r="A727" s="12">
        <v>724</v>
      </c>
      <c r="B727" s="21" t="s">
        <v>3685</v>
      </c>
      <c r="C727" s="5" t="s">
        <v>3782</v>
      </c>
      <c r="D727" s="5" t="s">
        <v>605</v>
      </c>
      <c r="E727" s="5" t="s">
        <v>605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11" t="s">
        <v>46</v>
      </c>
      <c r="Q727" s="5" t="s">
        <v>46</v>
      </c>
      <c r="R727" s="5" t="str">
        <f t="shared" si="12"/>
        <v/>
      </c>
      <c r="S727" s="5" t="s">
        <v>46</v>
      </c>
      <c r="T727" s="12">
        <v>724</v>
      </c>
      <c r="U727" s="261" t="s">
        <v>3687</v>
      </c>
      <c r="V727" s="232" t="s">
        <v>3782</v>
      </c>
      <c r="W727" s="232">
        <v>-3098.8</v>
      </c>
      <c r="X727" s="232">
        <v>1549.4</v>
      </c>
      <c r="Y727" s="87" t="s">
        <v>3685</v>
      </c>
      <c r="Z727" s="87" t="s">
        <v>50</v>
      </c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261" t="s">
        <v>3687</v>
      </c>
    </row>
    <row r="728" spans="1:43">
      <c r="A728" s="12">
        <v>725</v>
      </c>
      <c r="B728" s="21" t="s">
        <v>3685</v>
      </c>
      <c r="C728" s="5" t="s">
        <v>3783</v>
      </c>
      <c r="D728" s="5" t="s">
        <v>605</v>
      </c>
      <c r="E728" s="5" t="s">
        <v>605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11" t="s">
        <v>46</v>
      </c>
      <c r="Q728" s="5" t="s">
        <v>46</v>
      </c>
      <c r="R728" s="5" t="str">
        <f t="shared" si="12"/>
        <v/>
      </c>
      <c r="S728" s="5" t="s">
        <v>46</v>
      </c>
      <c r="T728" s="12">
        <v>725</v>
      </c>
      <c r="U728" s="261" t="s">
        <v>3687</v>
      </c>
      <c r="V728" s="232" t="s">
        <v>3783</v>
      </c>
      <c r="W728" s="232">
        <v>-5503.1</v>
      </c>
      <c r="X728" s="232">
        <v>1353.8</v>
      </c>
      <c r="Y728" s="87" t="s">
        <v>3685</v>
      </c>
      <c r="Z728" s="87" t="s">
        <v>50</v>
      </c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261" t="s">
        <v>3687</v>
      </c>
    </row>
    <row r="729" spans="1:43">
      <c r="A729" s="12">
        <v>726</v>
      </c>
      <c r="B729" s="21" t="s">
        <v>3685</v>
      </c>
      <c r="C729" s="5" t="s">
        <v>3784</v>
      </c>
      <c r="D729" s="5" t="s">
        <v>605</v>
      </c>
      <c r="E729" s="5" t="s">
        <v>605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11" t="s">
        <v>46</v>
      </c>
      <c r="Q729" s="5" t="s">
        <v>46</v>
      </c>
      <c r="R729" s="5" t="str">
        <f t="shared" si="12"/>
        <v/>
      </c>
      <c r="S729" s="5" t="s">
        <v>46</v>
      </c>
      <c r="T729" s="12">
        <v>726</v>
      </c>
      <c r="U729" s="261" t="s">
        <v>3687</v>
      </c>
      <c r="V729" s="232" t="s">
        <v>3784</v>
      </c>
      <c r="W729" s="232">
        <v>13439.1</v>
      </c>
      <c r="X729" s="232">
        <v>1677.7</v>
      </c>
      <c r="Y729" s="87" t="s">
        <v>3685</v>
      </c>
      <c r="Z729" s="87" t="s">
        <v>50</v>
      </c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261" t="s">
        <v>3687</v>
      </c>
    </row>
    <row r="730" spans="1:43">
      <c r="A730" s="12">
        <v>727</v>
      </c>
      <c r="B730" s="21" t="s">
        <v>3685</v>
      </c>
      <c r="C730" s="5" t="s">
        <v>3785</v>
      </c>
      <c r="D730" s="5" t="s">
        <v>605</v>
      </c>
      <c r="E730" s="5" t="s">
        <v>605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11" t="s">
        <v>46</v>
      </c>
      <c r="Q730" s="5" t="s">
        <v>46</v>
      </c>
      <c r="R730" s="5" t="str">
        <f t="shared" si="12"/>
        <v/>
      </c>
      <c r="S730" s="5" t="s">
        <v>46</v>
      </c>
      <c r="T730" s="12">
        <v>727</v>
      </c>
      <c r="U730" s="261" t="s">
        <v>3687</v>
      </c>
      <c r="V730" s="232" t="s">
        <v>3785</v>
      </c>
      <c r="W730" s="232">
        <v>8271.2999999999993</v>
      </c>
      <c r="X730" s="232">
        <v>2014.2</v>
      </c>
      <c r="Y730" s="87" t="s">
        <v>3685</v>
      </c>
      <c r="Z730" s="87" t="s">
        <v>50</v>
      </c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261" t="s">
        <v>3687</v>
      </c>
    </row>
    <row r="731" spans="1:43">
      <c r="A731" s="12">
        <v>728</v>
      </c>
      <c r="B731" s="21" t="s">
        <v>3685</v>
      </c>
      <c r="C731" s="5" t="s">
        <v>3786</v>
      </c>
      <c r="D731" s="5" t="s">
        <v>605</v>
      </c>
      <c r="E731" s="5" t="s">
        <v>605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11" t="s">
        <v>46</v>
      </c>
      <c r="Q731" s="5" t="s">
        <v>46</v>
      </c>
      <c r="R731" s="5" t="str">
        <f t="shared" si="12"/>
        <v/>
      </c>
      <c r="S731" s="5" t="s">
        <v>46</v>
      </c>
      <c r="T731" s="12">
        <v>728</v>
      </c>
      <c r="U731" s="261" t="s">
        <v>3687</v>
      </c>
      <c r="V731" s="232" t="s">
        <v>3786</v>
      </c>
      <c r="W731" s="232">
        <v>-8271.2999999999993</v>
      </c>
      <c r="X731" s="232">
        <v>2014.2</v>
      </c>
      <c r="Y731" s="87" t="s">
        <v>3685</v>
      </c>
      <c r="Z731" s="87" t="s">
        <v>50</v>
      </c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261" t="s">
        <v>3687</v>
      </c>
    </row>
    <row r="732" spans="1:43">
      <c r="A732" s="12">
        <v>729</v>
      </c>
      <c r="B732" s="21" t="s">
        <v>3685</v>
      </c>
      <c r="C732" s="5" t="s">
        <v>3787</v>
      </c>
      <c r="D732" s="5" t="s">
        <v>605</v>
      </c>
      <c r="E732" s="5" t="s">
        <v>605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11" t="s">
        <v>46</v>
      </c>
      <c r="Q732" s="5" t="s">
        <v>46</v>
      </c>
      <c r="R732" s="5" t="str">
        <f t="shared" si="12"/>
        <v/>
      </c>
      <c r="S732" s="5" t="s">
        <v>46</v>
      </c>
      <c r="T732" s="12">
        <v>729</v>
      </c>
      <c r="U732" s="261" t="s">
        <v>3687</v>
      </c>
      <c r="V732" s="232" t="s">
        <v>3787</v>
      </c>
      <c r="W732" s="232">
        <v>-13439.1</v>
      </c>
      <c r="X732" s="232">
        <v>1677.7</v>
      </c>
      <c r="Y732" s="87" t="s">
        <v>3685</v>
      </c>
      <c r="Z732" s="87" t="s">
        <v>50</v>
      </c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261" t="s">
        <v>3687</v>
      </c>
    </row>
    <row r="733" spans="1:43">
      <c r="A733" s="12">
        <v>730</v>
      </c>
      <c r="B733" s="21" t="s">
        <v>3685</v>
      </c>
      <c r="C733" s="5" t="s">
        <v>3788</v>
      </c>
      <c r="D733" s="5" t="s">
        <v>605</v>
      </c>
      <c r="E733" s="5" t="s">
        <v>605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11" t="s">
        <v>46</v>
      </c>
      <c r="Q733" s="5" t="s">
        <v>46</v>
      </c>
      <c r="R733" s="5" t="str">
        <f t="shared" si="12"/>
        <v/>
      </c>
      <c r="S733" s="5" t="s">
        <v>46</v>
      </c>
      <c r="T733" s="12">
        <v>730</v>
      </c>
      <c r="U733" s="261" t="s">
        <v>3687</v>
      </c>
      <c r="V733" s="232" t="s">
        <v>3788</v>
      </c>
      <c r="W733" s="232">
        <v>6227</v>
      </c>
      <c r="X733" s="232">
        <v>2344.5</v>
      </c>
      <c r="Y733" s="87" t="s">
        <v>3685</v>
      </c>
      <c r="Z733" s="87" t="s">
        <v>50</v>
      </c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261" t="s">
        <v>3687</v>
      </c>
    </row>
    <row r="734" spans="1:43">
      <c r="A734" s="12">
        <v>731</v>
      </c>
      <c r="B734" s="21" t="s">
        <v>3685</v>
      </c>
      <c r="C734" s="5" t="s">
        <v>3789</v>
      </c>
      <c r="D734" s="5" t="s">
        <v>605</v>
      </c>
      <c r="E734" s="5" t="s">
        <v>605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11" t="s">
        <v>46</v>
      </c>
      <c r="Q734" s="5" t="s">
        <v>46</v>
      </c>
      <c r="R734" s="5" t="str">
        <f t="shared" si="12"/>
        <v/>
      </c>
      <c r="S734" s="5" t="s">
        <v>46</v>
      </c>
      <c r="T734" s="12">
        <v>731</v>
      </c>
      <c r="U734" s="261" t="s">
        <v>3687</v>
      </c>
      <c r="V734" s="232" t="s">
        <v>3789</v>
      </c>
      <c r="W734" s="232">
        <v>-4779.2</v>
      </c>
      <c r="X734" s="232">
        <v>2344.5</v>
      </c>
      <c r="Y734" s="87" t="s">
        <v>3685</v>
      </c>
      <c r="Z734" s="87" t="s">
        <v>50</v>
      </c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261" t="s">
        <v>3687</v>
      </c>
    </row>
    <row r="735" spans="1:43">
      <c r="A735" s="12">
        <v>732</v>
      </c>
      <c r="B735" s="21" t="s">
        <v>3685</v>
      </c>
      <c r="C735" s="5" t="s">
        <v>3790</v>
      </c>
      <c r="D735" s="5" t="s">
        <v>605</v>
      </c>
      <c r="E735" s="5" t="s">
        <v>605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11" t="s">
        <v>46</v>
      </c>
      <c r="Q735" s="5" t="s">
        <v>46</v>
      </c>
      <c r="R735" s="5" t="str">
        <f t="shared" si="12"/>
        <v/>
      </c>
      <c r="S735" s="5" t="s">
        <v>46</v>
      </c>
      <c r="T735" s="12">
        <v>732</v>
      </c>
      <c r="U735" s="261" t="s">
        <v>3687</v>
      </c>
      <c r="V735" s="232" t="s">
        <v>3790</v>
      </c>
      <c r="W735" s="232">
        <v>-5503.1</v>
      </c>
      <c r="X735" s="232">
        <v>2344.5</v>
      </c>
      <c r="Y735" s="87" t="s">
        <v>3685</v>
      </c>
      <c r="Z735" s="87" t="s">
        <v>50</v>
      </c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261" t="s">
        <v>3687</v>
      </c>
    </row>
    <row r="736" spans="1:43">
      <c r="A736" s="12">
        <v>733</v>
      </c>
      <c r="B736" s="21" t="s">
        <v>3685</v>
      </c>
      <c r="C736" s="5" t="s">
        <v>3791</v>
      </c>
      <c r="D736" s="5" t="s">
        <v>605</v>
      </c>
      <c r="E736" s="5" t="s">
        <v>605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11" t="s">
        <v>46</v>
      </c>
      <c r="Q736" s="5" t="s">
        <v>46</v>
      </c>
      <c r="R736" s="5" t="str">
        <f t="shared" si="12"/>
        <v/>
      </c>
      <c r="S736" s="5" t="s">
        <v>46</v>
      </c>
      <c r="T736" s="12">
        <v>733</v>
      </c>
      <c r="U736" s="261" t="s">
        <v>3687</v>
      </c>
      <c r="V736" s="232" t="s">
        <v>3791</v>
      </c>
      <c r="W736" s="232">
        <v>-6227</v>
      </c>
      <c r="X736" s="232">
        <v>2344.5</v>
      </c>
      <c r="Y736" s="87" t="s">
        <v>3685</v>
      </c>
      <c r="Z736" s="87" t="s">
        <v>50</v>
      </c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261" t="s">
        <v>3687</v>
      </c>
    </row>
    <row r="737" spans="1:43">
      <c r="A737" s="12">
        <v>734</v>
      </c>
      <c r="B737" s="21" t="s">
        <v>3685</v>
      </c>
      <c r="C737" s="5" t="s">
        <v>3792</v>
      </c>
      <c r="D737" s="5" t="s">
        <v>605</v>
      </c>
      <c r="E737" s="5" t="s">
        <v>605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11" t="s">
        <v>46</v>
      </c>
      <c r="Q737" s="5" t="s">
        <v>46</v>
      </c>
      <c r="R737" s="5" t="str">
        <f t="shared" si="12"/>
        <v/>
      </c>
      <c r="S737" s="5" t="s">
        <v>46</v>
      </c>
      <c r="T737" s="12">
        <v>734</v>
      </c>
      <c r="U737" s="261" t="s">
        <v>3687</v>
      </c>
      <c r="V737" s="232" t="s">
        <v>3792</v>
      </c>
      <c r="W737" s="232">
        <v>3897.3</v>
      </c>
      <c r="X737" s="232">
        <v>2975.7</v>
      </c>
      <c r="Y737" s="87" t="s">
        <v>3685</v>
      </c>
      <c r="Z737" s="87" t="s">
        <v>50</v>
      </c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261" t="s">
        <v>3687</v>
      </c>
    </row>
    <row r="738" spans="1:43">
      <c r="A738" s="12">
        <v>735</v>
      </c>
      <c r="B738" s="21" t="s">
        <v>3685</v>
      </c>
      <c r="C738" s="5" t="s">
        <v>3793</v>
      </c>
      <c r="D738" s="5" t="s">
        <v>605</v>
      </c>
      <c r="E738" s="5" t="s">
        <v>605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11" t="s">
        <v>46</v>
      </c>
      <c r="Q738" s="5" t="s">
        <v>46</v>
      </c>
      <c r="R738" s="5" t="str">
        <f t="shared" si="12"/>
        <v/>
      </c>
      <c r="S738" s="5" t="s">
        <v>46</v>
      </c>
      <c r="T738" s="12">
        <v>735</v>
      </c>
      <c r="U738" s="261" t="s">
        <v>3687</v>
      </c>
      <c r="V738" s="232" t="s">
        <v>3793</v>
      </c>
      <c r="W738" s="232">
        <v>0</v>
      </c>
      <c r="X738" s="232">
        <v>2887.3</v>
      </c>
      <c r="Y738" s="87" t="s">
        <v>3685</v>
      </c>
      <c r="Z738" s="87" t="s">
        <v>50</v>
      </c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261" t="s">
        <v>3687</v>
      </c>
    </row>
    <row r="739" spans="1:43">
      <c r="A739" s="12">
        <v>736</v>
      </c>
      <c r="B739" s="21" t="s">
        <v>3685</v>
      </c>
      <c r="C739" s="5" t="s">
        <v>3794</v>
      </c>
      <c r="D739" s="5" t="s">
        <v>605</v>
      </c>
      <c r="E739" s="5" t="s">
        <v>605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11" t="s">
        <v>46</v>
      </c>
      <c r="Q739" s="5" t="s">
        <v>46</v>
      </c>
      <c r="R739" s="5" t="str">
        <f t="shared" si="12"/>
        <v/>
      </c>
      <c r="S739" s="5" t="s">
        <v>46</v>
      </c>
      <c r="T739" s="12">
        <v>736</v>
      </c>
      <c r="U739" s="261" t="s">
        <v>3687</v>
      </c>
      <c r="V739" s="232" t="s">
        <v>3794</v>
      </c>
      <c r="W739" s="232">
        <v>-3897.3</v>
      </c>
      <c r="X739" s="232">
        <v>2975.7</v>
      </c>
      <c r="Y739" s="87" t="s">
        <v>3685</v>
      </c>
      <c r="Z739" s="87" t="s">
        <v>50</v>
      </c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261" t="s">
        <v>3687</v>
      </c>
    </row>
    <row r="740" spans="1:43">
      <c r="A740" s="12">
        <v>737</v>
      </c>
      <c r="B740" s="21" t="s">
        <v>3685</v>
      </c>
      <c r="C740" s="5" t="s">
        <v>3795</v>
      </c>
      <c r="D740" s="5" t="s">
        <v>605</v>
      </c>
      <c r="E740" s="5" t="s">
        <v>605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11" t="s">
        <v>46</v>
      </c>
      <c r="Q740" s="5" t="s">
        <v>46</v>
      </c>
      <c r="R740" s="5" t="str">
        <f t="shared" si="12"/>
        <v/>
      </c>
      <c r="S740" s="5" t="s">
        <v>46</v>
      </c>
      <c r="T740" s="12">
        <v>737</v>
      </c>
      <c r="U740" s="261" t="s">
        <v>3687</v>
      </c>
      <c r="V740" s="232" t="s">
        <v>3795</v>
      </c>
      <c r="W740" s="232">
        <v>11659.6</v>
      </c>
      <c r="X740" s="232">
        <v>2776.2</v>
      </c>
      <c r="Y740" s="87" t="s">
        <v>3685</v>
      </c>
      <c r="Z740" s="87" t="s">
        <v>50</v>
      </c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261" t="s">
        <v>3687</v>
      </c>
    </row>
    <row r="741" spans="1:43">
      <c r="A741" s="12">
        <v>738</v>
      </c>
      <c r="B741" s="21" t="s">
        <v>3685</v>
      </c>
      <c r="C741" s="5" t="s">
        <v>3796</v>
      </c>
      <c r="D741" s="5" t="s">
        <v>605</v>
      </c>
      <c r="E741" s="5" t="s">
        <v>605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11" t="s">
        <v>46</v>
      </c>
      <c r="Q741" s="5" t="s">
        <v>46</v>
      </c>
      <c r="R741" s="5" t="str">
        <f t="shared" si="12"/>
        <v/>
      </c>
      <c r="S741" s="5" t="s">
        <v>46</v>
      </c>
      <c r="T741" s="12">
        <v>738</v>
      </c>
      <c r="U741" s="261" t="s">
        <v>3687</v>
      </c>
      <c r="V741" s="232" t="s">
        <v>3796</v>
      </c>
      <c r="W741" s="232">
        <v>-11659.6</v>
      </c>
      <c r="X741" s="232">
        <v>2776.2</v>
      </c>
      <c r="Y741" s="87" t="s">
        <v>3685</v>
      </c>
      <c r="Z741" s="87" t="s">
        <v>50</v>
      </c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261" t="s">
        <v>3687</v>
      </c>
    </row>
    <row r="742" spans="1:43">
      <c r="A742" s="12">
        <v>739</v>
      </c>
      <c r="B742" s="21" t="s">
        <v>3685</v>
      </c>
      <c r="C742" s="5" t="s">
        <v>3797</v>
      </c>
      <c r="D742" s="5" t="s">
        <v>605</v>
      </c>
      <c r="E742" s="5" t="s">
        <v>605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11" t="s">
        <v>46</v>
      </c>
      <c r="Q742" s="5" t="s">
        <v>46</v>
      </c>
      <c r="R742" s="5" t="str">
        <f t="shared" si="12"/>
        <v/>
      </c>
      <c r="S742" s="5" t="s">
        <v>46</v>
      </c>
      <c r="T742" s="12">
        <v>739</v>
      </c>
      <c r="U742" s="261" t="s">
        <v>3687</v>
      </c>
      <c r="V742" s="232" t="s">
        <v>3797</v>
      </c>
      <c r="W742" s="232">
        <v>8272.2999999999993</v>
      </c>
      <c r="X742" s="232">
        <v>3258.8</v>
      </c>
      <c r="Y742" s="87" t="s">
        <v>3685</v>
      </c>
      <c r="Z742" s="87" t="s">
        <v>50</v>
      </c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261" t="s">
        <v>3687</v>
      </c>
    </row>
    <row r="743" spans="1:43">
      <c r="A743" s="12">
        <v>740</v>
      </c>
      <c r="B743" s="21" t="s">
        <v>3685</v>
      </c>
      <c r="C743" s="5" t="s">
        <v>3798</v>
      </c>
      <c r="D743" s="5" t="s">
        <v>605</v>
      </c>
      <c r="E743" s="5" t="s">
        <v>605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11" t="s">
        <v>46</v>
      </c>
      <c r="Q743" s="5" t="s">
        <v>46</v>
      </c>
      <c r="R743" s="5" t="str">
        <f t="shared" si="12"/>
        <v/>
      </c>
      <c r="S743" s="5" t="s">
        <v>46</v>
      </c>
      <c r="T743" s="12">
        <v>740</v>
      </c>
      <c r="U743" s="261" t="s">
        <v>3687</v>
      </c>
      <c r="V743" s="232" t="s">
        <v>3798</v>
      </c>
      <c r="W743" s="232">
        <v>6227</v>
      </c>
      <c r="X743" s="232">
        <v>3335.2</v>
      </c>
      <c r="Y743" s="87" t="s">
        <v>3685</v>
      </c>
      <c r="Z743" s="87" t="s">
        <v>50</v>
      </c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261" t="s">
        <v>3687</v>
      </c>
    </row>
    <row r="744" spans="1:43">
      <c r="A744" s="12">
        <v>741</v>
      </c>
      <c r="B744" s="21" t="s">
        <v>3685</v>
      </c>
      <c r="C744" s="5" t="s">
        <v>3799</v>
      </c>
      <c r="D744" s="5" t="s">
        <v>605</v>
      </c>
      <c r="E744" s="5" t="s">
        <v>605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11" t="s">
        <v>46</v>
      </c>
      <c r="Q744" s="5" t="s">
        <v>46</v>
      </c>
      <c r="R744" s="5" t="str">
        <f t="shared" si="12"/>
        <v/>
      </c>
      <c r="S744" s="5" t="s">
        <v>46</v>
      </c>
      <c r="T744" s="12">
        <v>741</v>
      </c>
      <c r="U744" s="261" t="s">
        <v>3687</v>
      </c>
      <c r="V744" s="232" t="s">
        <v>3799</v>
      </c>
      <c r="W744" s="232">
        <v>3942.6</v>
      </c>
      <c r="X744" s="232">
        <v>3505.8</v>
      </c>
      <c r="Y744" s="87" t="s">
        <v>3685</v>
      </c>
      <c r="Z744" s="87" t="s">
        <v>50</v>
      </c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261" t="s">
        <v>3687</v>
      </c>
    </row>
    <row r="745" spans="1:43">
      <c r="A745" s="12">
        <v>742</v>
      </c>
      <c r="B745" s="21" t="s">
        <v>3685</v>
      </c>
      <c r="C745" s="5" t="s">
        <v>3800</v>
      </c>
      <c r="D745" s="5" t="s">
        <v>605</v>
      </c>
      <c r="E745" s="5" t="s">
        <v>605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11" t="s">
        <v>46</v>
      </c>
      <c r="Q745" s="5" t="s">
        <v>46</v>
      </c>
      <c r="R745" s="5" t="str">
        <f t="shared" si="12"/>
        <v/>
      </c>
      <c r="S745" s="5" t="s">
        <v>46</v>
      </c>
      <c r="T745" s="12">
        <v>742</v>
      </c>
      <c r="U745" s="261" t="s">
        <v>3687</v>
      </c>
      <c r="V745" s="232" t="s">
        <v>3800</v>
      </c>
      <c r="W745" s="232">
        <v>3335.2</v>
      </c>
      <c r="X745" s="232">
        <v>3249.2</v>
      </c>
      <c r="Y745" s="87" t="s">
        <v>3685</v>
      </c>
      <c r="Z745" s="87" t="s">
        <v>50</v>
      </c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261" t="s">
        <v>3687</v>
      </c>
    </row>
    <row r="746" spans="1:43">
      <c r="A746" s="12">
        <v>743</v>
      </c>
      <c r="B746" s="21" t="s">
        <v>3685</v>
      </c>
      <c r="C746" s="5" t="s">
        <v>3801</v>
      </c>
      <c r="D746" s="5" t="s">
        <v>605</v>
      </c>
      <c r="E746" s="5" t="s">
        <v>605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11" t="s">
        <v>46</v>
      </c>
      <c r="Q746" s="5" t="s">
        <v>46</v>
      </c>
      <c r="R746" s="5" t="str">
        <f t="shared" si="12"/>
        <v/>
      </c>
      <c r="S746" s="5" t="s">
        <v>46</v>
      </c>
      <c r="T746" s="12">
        <v>743</v>
      </c>
      <c r="U746" s="261" t="s">
        <v>3687</v>
      </c>
      <c r="V746" s="232" t="s">
        <v>3801</v>
      </c>
      <c r="W746" s="232">
        <v>2344.5</v>
      </c>
      <c r="X746" s="232">
        <v>3249.2</v>
      </c>
      <c r="Y746" s="87" t="s">
        <v>3685</v>
      </c>
      <c r="Z746" s="87" t="s">
        <v>50</v>
      </c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261" t="s">
        <v>3687</v>
      </c>
    </row>
    <row r="747" spans="1:43">
      <c r="A747" s="12">
        <v>744</v>
      </c>
      <c r="B747" s="21" t="s">
        <v>3685</v>
      </c>
      <c r="C747" s="5" t="s">
        <v>3802</v>
      </c>
      <c r="D747" s="5" t="s">
        <v>605</v>
      </c>
      <c r="E747" s="5" t="s">
        <v>605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11" t="s">
        <v>46</v>
      </c>
      <c r="Q747" s="5" t="s">
        <v>46</v>
      </c>
      <c r="R747" s="5" t="str">
        <f t="shared" si="12"/>
        <v/>
      </c>
      <c r="S747" s="5" t="s">
        <v>46</v>
      </c>
      <c r="T747" s="12">
        <v>744</v>
      </c>
      <c r="U747" s="261" t="s">
        <v>3687</v>
      </c>
      <c r="V747" s="232" t="s">
        <v>3802</v>
      </c>
      <c r="W747" s="232">
        <v>579.1</v>
      </c>
      <c r="X747" s="232">
        <v>3249.2</v>
      </c>
      <c r="Y747" s="87" t="s">
        <v>3685</v>
      </c>
      <c r="Z747" s="87" t="s">
        <v>50</v>
      </c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261" t="s">
        <v>3687</v>
      </c>
    </row>
    <row r="748" spans="1:43">
      <c r="A748" s="12">
        <v>745</v>
      </c>
      <c r="B748" s="21" t="s">
        <v>3685</v>
      </c>
      <c r="C748" s="5" t="s">
        <v>3803</v>
      </c>
      <c r="D748" s="5" t="s">
        <v>605</v>
      </c>
      <c r="E748" s="5" t="s">
        <v>605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11" t="s">
        <v>46</v>
      </c>
      <c r="Q748" s="5" t="s">
        <v>46</v>
      </c>
      <c r="R748" s="5" t="str">
        <f t="shared" si="12"/>
        <v/>
      </c>
      <c r="S748" s="5" t="s">
        <v>46</v>
      </c>
      <c r="T748" s="12">
        <v>745</v>
      </c>
      <c r="U748" s="261" t="s">
        <v>3687</v>
      </c>
      <c r="V748" s="232" t="s">
        <v>3803</v>
      </c>
      <c r="W748" s="232">
        <v>-579.1</v>
      </c>
      <c r="X748" s="232">
        <v>3249.2</v>
      </c>
      <c r="Y748" s="87" t="s">
        <v>3685</v>
      </c>
      <c r="Z748" s="87" t="s">
        <v>50</v>
      </c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261" t="s">
        <v>3687</v>
      </c>
    </row>
    <row r="749" spans="1:43">
      <c r="A749" s="12">
        <v>746</v>
      </c>
      <c r="B749" s="21" t="s">
        <v>3685</v>
      </c>
      <c r="C749" s="5" t="s">
        <v>3804</v>
      </c>
      <c r="D749" s="5" t="s">
        <v>605</v>
      </c>
      <c r="E749" s="5" t="s">
        <v>605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11" t="s">
        <v>46</v>
      </c>
      <c r="Q749" s="5" t="s">
        <v>46</v>
      </c>
      <c r="R749" s="5" t="str">
        <f t="shared" si="12"/>
        <v/>
      </c>
      <c r="S749" s="5" t="s">
        <v>46</v>
      </c>
      <c r="T749" s="12">
        <v>746</v>
      </c>
      <c r="U749" s="261" t="s">
        <v>3687</v>
      </c>
      <c r="V749" s="232" t="s">
        <v>3804</v>
      </c>
      <c r="W749" s="232">
        <v>-1353.8</v>
      </c>
      <c r="X749" s="232">
        <v>3249.2</v>
      </c>
      <c r="Y749" s="87" t="s">
        <v>3685</v>
      </c>
      <c r="Z749" s="87" t="s">
        <v>50</v>
      </c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261" t="s">
        <v>3687</v>
      </c>
    </row>
    <row r="750" spans="1:43">
      <c r="A750" s="12">
        <v>747</v>
      </c>
      <c r="B750" s="21" t="s">
        <v>3685</v>
      </c>
      <c r="C750" s="5" t="s">
        <v>3805</v>
      </c>
      <c r="D750" s="5" t="s">
        <v>605</v>
      </c>
      <c r="E750" s="5" t="s">
        <v>605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11" t="s">
        <v>46</v>
      </c>
      <c r="Q750" s="5" t="s">
        <v>46</v>
      </c>
      <c r="R750" s="5" t="str">
        <f t="shared" si="12"/>
        <v/>
      </c>
      <c r="S750" s="5" t="s">
        <v>46</v>
      </c>
      <c r="T750" s="12">
        <v>747</v>
      </c>
      <c r="U750" s="261" t="s">
        <v>3687</v>
      </c>
      <c r="V750" s="232" t="s">
        <v>3805</v>
      </c>
      <c r="W750" s="232">
        <v>-2344.5</v>
      </c>
      <c r="X750" s="232">
        <v>3249.2</v>
      </c>
      <c r="Y750" s="87" t="s">
        <v>3685</v>
      </c>
      <c r="Z750" s="87" t="s">
        <v>50</v>
      </c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261" t="s">
        <v>3687</v>
      </c>
    </row>
    <row r="751" spans="1:43">
      <c r="A751" s="12">
        <v>748</v>
      </c>
      <c r="B751" s="21" t="s">
        <v>3685</v>
      </c>
      <c r="C751" s="5" t="s">
        <v>3806</v>
      </c>
      <c r="D751" s="5" t="s">
        <v>605</v>
      </c>
      <c r="E751" s="5" t="s">
        <v>605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11" t="s">
        <v>46</v>
      </c>
      <c r="Q751" s="5" t="s">
        <v>46</v>
      </c>
      <c r="R751" s="5" t="str">
        <f t="shared" si="12"/>
        <v/>
      </c>
      <c r="S751" s="5" t="s">
        <v>46</v>
      </c>
      <c r="T751" s="12">
        <v>748</v>
      </c>
      <c r="U751" s="261" t="s">
        <v>3687</v>
      </c>
      <c r="V751" s="232" t="s">
        <v>3806</v>
      </c>
      <c r="W751" s="232">
        <v>-3335.2</v>
      </c>
      <c r="X751" s="232">
        <v>3249.2</v>
      </c>
      <c r="Y751" s="87" t="s">
        <v>3685</v>
      </c>
      <c r="Z751" s="87" t="s">
        <v>50</v>
      </c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261" t="s">
        <v>3687</v>
      </c>
    </row>
    <row r="752" spans="1:43">
      <c r="A752" s="12">
        <v>749</v>
      </c>
      <c r="B752" s="21" t="s">
        <v>3685</v>
      </c>
      <c r="C752" s="5" t="s">
        <v>3807</v>
      </c>
      <c r="D752" s="5" t="s">
        <v>605</v>
      </c>
      <c r="E752" s="5" t="s">
        <v>605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11" t="s">
        <v>46</v>
      </c>
      <c r="Q752" s="5" t="s">
        <v>46</v>
      </c>
      <c r="R752" s="5" t="str">
        <f t="shared" si="12"/>
        <v/>
      </c>
      <c r="S752" s="5" t="s">
        <v>46</v>
      </c>
      <c r="T752" s="12">
        <v>749</v>
      </c>
      <c r="U752" s="261" t="s">
        <v>3687</v>
      </c>
      <c r="V752" s="232" t="s">
        <v>3807</v>
      </c>
      <c r="W752" s="232">
        <v>-4779.2</v>
      </c>
      <c r="X752" s="232">
        <v>3335.2</v>
      </c>
      <c r="Y752" s="87" t="s">
        <v>3685</v>
      </c>
      <c r="Z752" s="87" t="s">
        <v>50</v>
      </c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261" t="s">
        <v>3687</v>
      </c>
    </row>
    <row r="753" spans="1:43">
      <c r="A753" s="12">
        <v>750</v>
      </c>
      <c r="B753" s="21" t="s">
        <v>3685</v>
      </c>
      <c r="C753" s="5" t="s">
        <v>3808</v>
      </c>
      <c r="D753" s="5" t="s">
        <v>605</v>
      </c>
      <c r="E753" s="5" t="s">
        <v>605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11" t="s">
        <v>46</v>
      </c>
      <c r="Q753" s="5" t="s">
        <v>46</v>
      </c>
      <c r="R753" s="5" t="str">
        <f t="shared" si="12"/>
        <v/>
      </c>
      <c r="S753" s="5" t="s">
        <v>46</v>
      </c>
      <c r="T753" s="12">
        <v>750</v>
      </c>
      <c r="U753" s="261" t="s">
        <v>3687</v>
      </c>
      <c r="V753" s="232" t="s">
        <v>3808</v>
      </c>
      <c r="W753" s="232">
        <v>-5503.1</v>
      </c>
      <c r="X753" s="232">
        <v>3335.2</v>
      </c>
      <c r="Y753" s="87" t="s">
        <v>3685</v>
      </c>
      <c r="Z753" s="87" t="s">
        <v>50</v>
      </c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261" t="s">
        <v>3687</v>
      </c>
    </row>
    <row r="754" spans="1:43">
      <c r="A754" s="12">
        <v>751</v>
      </c>
      <c r="B754" s="21" t="s">
        <v>3685</v>
      </c>
      <c r="C754" s="5" t="s">
        <v>3809</v>
      </c>
      <c r="D754" s="5" t="s">
        <v>605</v>
      </c>
      <c r="E754" s="5" t="s">
        <v>605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11" t="s">
        <v>46</v>
      </c>
      <c r="Q754" s="5" t="s">
        <v>46</v>
      </c>
      <c r="R754" s="5" t="str">
        <f t="shared" si="12"/>
        <v/>
      </c>
      <c r="S754" s="5" t="s">
        <v>46</v>
      </c>
      <c r="T754" s="12">
        <v>751</v>
      </c>
      <c r="U754" s="261" t="s">
        <v>3687</v>
      </c>
      <c r="V754" s="232" t="s">
        <v>3809</v>
      </c>
      <c r="W754" s="232">
        <v>13439.1</v>
      </c>
      <c r="X754" s="232">
        <v>3874.8</v>
      </c>
      <c r="Y754" s="87" t="s">
        <v>3685</v>
      </c>
      <c r="Z754" s="87" t="s">
        <v>50</v>
      </c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261" t="s">
        <v>3687</v>
      </c>
    </row>
    <row r="755" spans="1:43">
      <c r="A755" s="12">
        <v>752</v>
      </c>
      <c r="B755" s="21" t="s">
        <v>3685</v>
      </c>
      <c r="C755" s="5" t="s">
        <v>3810</v>
      </c>
      <c r="D755" s="5" t="s">
        <v>605</v>
      </c>
      <c r="E755" s="5" t="s">
        <v>605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11" t="s">
        <v>46</v>
      </c>
      <c r="Q755" s="5" t="s">
        <v>46</v>
      </c>
      <c r="R755" s="5" t="str">
        <f t="shared" si="12"/>
        <v/>
      </c>
      <c r="S755" s="5" t="s">
        <v>46</v>
      </c>
      <c r="T755" s="12">
        <v>752</v>
      </c>
      <c r="U755" s="261" t="s">
        <v>3687</v>
      </c>
      <c r="V755" s="232" t="s">
        <v>3810</v>
      </c>
      <c r="W755" s="232">
        <v>5144.7</v>
      </c>
      <c r="X755" s="232">
        <v>3697.5</v>
      </c>
      <c r="Y755" s="87" t="s">
        <v>3685</v>
      </c>
      <c r="Z755" s="87" t="s">
        <v>50</v>
      </c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261" t="s">
        <v>3687</v>
      </c>
    </row>
    <row r="756" spans="1:43">
      <c r="A756" s="12">
        <v>753</v>
      </c>
      <c r="B756" s="21" t="s">
        <v>3685</v>
      </c>
      <c r="C756" s="5" t="s">
        <v>3811</v>
      </c>
      <c r="D756" s="5" t="s">
        <v>605</v>
      </c>
      <c r="E756" s="5" t="s">
        <v>605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11" t="s">
        <v>46</v>
      </c>
      <c r="Q756" s="5" t="s">
        <v>46</v>
      </c>
      <c r="R756" s="5" t="str">
        <f t="shared" si="12"/>
        <v/>
      </c>
      <c r="S756" s="5" t="s">
        <v>46</v>
      </c>
      <c r="T756" s="12">
        <v>753</v>
      </c>
      <c r="U756" s="261" t="s">
        <v>3687</v>
      </c>
      <c r="V756" s="232" t="s">
        <v>3811</v>
      </c>
      <c r="W756" s="232">
        <v>4451.7</v>
      </c>
      <c r="X756" s="232">
        <v>3754.8</v>
      </c>
      <c r="Y756" s="87" t="s">
        <v>3685</v>
      </c>
      <c r="Z756" s="87" t="s">
        <v>50</v>
      </c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261" t="s">
        <v>3687</v>
      </c>
    </row>
    <row r="757" spans="1:43">
      <c r="A757" s="12">
        <v>754</v>
      </c>
      <c r="B757" s="21" t="s">
        <v>3685</v>
      </c>
      <c r="C757" s="5" t="s">
        <v>3812</v>
      </c>
      <c r="D757" s="5" t="s">
        <v>605</v>
      </c>
      <c r="E757" s="5" t="s">
        <v>605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11" t="s">
        <v>46</v>
      </c>
      <c r="Q757" s="5" t="s">
        <v>46</v>
      </c>
      <c r="R757" s="5" t="str">
        <f t="shared" si="12"/>
        <v/>
      </c>
      <c r="S757" s="5" t="s">
        <v>46</v>
      </c>
      <c r="T757" s="12">
        <v>754</v>
      </c>
      <c r="U757" s="261" t="s">
        <v>3687</v>
      </c>
      <c r="V757" s="232" t="s">
        <v>3812</v>
      </c>
      <c r="W757" s="232">
        <v>-13439.1</v>
      </c>
      <c r="X757" s="232">
        <v>3874.8</v>
      </c>
      <c r="Y757" s="87" t="s">
        <v>3685</v>
      </c>
      <c r="Z757" s="87" t="s">
        <v>50</v>
      </c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261" t="s">
        <v>3687</v>
      </c>
    </row>
    <row r="758" spans="1:43">
      <c r="A758" s="12">
        <v>755</v>
      </c>
      <c r="B758" s="21" t="s">
        <v>3685</v>
      </c>
      <c r="C758" s="5" t="s">
        <v>3813</v>
      </c>
      <c r="D758" s="5" t="s">
        <v>605</v>
      </c>
      <c r="E758" s="5" t="s">
        <v>605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11" t="s">
        <v>46</v>
      </c>
      <c r="Q758" s="5" t="s">
        <v>46</v>
      </c>
      <c r="R758" s="5" t="str">
        <f t="shared" si="12"/>
        <v/>
      </c>
      <c r="S758" s="5" t="s">
        <v>46</v>
      </c>
      <c r="T758" s="12">
        <v>755</v>
      </c>
      <c r="U758" s="261" t="s">
        <v>3687</v>
      </c>
      <c r="V758" s="232" t="s">
        <v>3813</v>
      </c>
      <c r="W758" s="232">
        <v>6227</v>
      </c>
      <c r="X758" s="232">
        <v>4325.8999999999996</v>
      </c>
      <c r="Y758" s="87" t="s">
        <v>3685</v>
      </c>
      <c r="Z758" s="87" t="s">
        <v>50</v>
      </c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261" t="s">
        <v>3687</v>
      </c>
    </row>
    <row r="759" spans="1:43">
      <c r="A759" s="12">
        <v>756</v>
      </c>
      <c r="B759" s="21" t="s">
        <v>3685</v>
      </c>
      <c r="C759" s="5" t="s">
        <v>3814</v>
      </c>
      <c r="D759" s="5" t="s">
        <v>605</v>
      </c>
      <c r="E759" s="5" t="s">
        <v>605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11" t="s">
        <v>46</v>
      </c>
      <c r="Q759" s="5" t="s">
        <v>46</v>
      </c>
      <c r="R759" s="5" t="str">
        <f t="shared" si="12"/>
        <v/>
      </c>
      <c r="S759" s="5" t="s">
        <v>46</v>
      </c>
      <c r="T759" s="12">
        <v>756</v>
      </c>
      <c r="U759" s="261" t="s">
        <v>3687</v>
      </c>
      <c r="V759" s="232" t="s">
        <v>3814</v>
      </c>
      <c r="W759" s="232">
        <v>4911.8999999999996</v>
      </c>
      <c r="X759" s="232">
        <v>4151.3999999999996</v>
      </c>
      <c r="Y759" s="87" t="s">
        <v>3685</v>
      </c>
      <c r="Z759" s="87" t="s">
        <v>50</v>
      </c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261" t="s">
        <v>3687</v>
      </c>
    </row>
    <row r="760" spans="1:43">
      <c r="A760" s="12">
        <v>757</v>
      </c>
      <c r="B760" s="21" t="s">
        <v>3685</v>
      </c>
      <c r="C760" s="5" t="s">
        <v>3815</v>
      </c>
      <c r="D760" s="5" t="s">
        <v>605</v>
      </c>
      <c r="E760" s="5" t="s">
        <v>605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11" t="s">
        <v>46</v>
      </c>
      <c r="Q760" s="5" t="s">
        <v>46</v>
      </c>
      <c r="R760" s="5" t="str">
        <f t="shared" si="12"/>
        <v/>
      </c>
      <c r="S760" s="5" t="s">
        <v>46</v>
      </c>
      <c r="T760" s="12">
        <v>757</v>
      </c>
      <c r="U760" s="261" t="s">
        <v>3687</v>
      </c>
      <c r="V760" s="232" t="s">
        <v>3815</v>
      </c>
      <c r="W760" s="232">
        <v>3554.6</v>
      </c>
      <c r="X760" s="232">
        <v>4151.3999999999996</v>
      </c>
      <c r="Y760" s="87" t="s">
        <v>3685</v>
      </c>
      <c r="Z760" s="87" t="s">
        <v>50</v>
      </c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261" t="s">
        <v>3687</v>
      </c>
    </row>
    <row r="761" spans="1:43">
      <c r="A761" s="12">
        <v>758</v>
      </c>
      <c r="B761" s="21" t="s">
        <v>3685</v>
      </c>
      <c r="C761" s="5" t="s">
        <v>3816</v>
      </c>
      <c r="D761" s="5" t="s">
        <v>605</v>
      </c>
      <c r="E761" s="5" t="s">
        <v>605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11" t="s">
        <v>46</v>
      </c>
      <c r="Q761" s="5" t="s">
        <v>46</v>
      </c>
      <c r="R761" s="5" t="str">
        <f t="shared" si="12"/>
        <v/>
      </c>
      <c r="S761" s="5" t="s">
        <v>46</v>
      </c>
      <c r="T761" s="12">
        <v>758</v>
      </c>
      <c r="U761" s="261" t="s">
        <v>3687</v>
      </c>
      <c r="V761" s="232" t="s">
        <v>3816</v>
      </c>
      <c r="W761" s="232">
        <v>825.6</v>
      </c>
      <c r="X761" s="232">
        <v>4151.3999999999996</v>
      </c>
      <c r="Y761" s="87" t="s">
        <v>3685</v>
      </c>
      <c r="Z761" s="87" t="s">
        <v>50</v>
      </c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261" t="s">
        <v>3687</v>
      </c>
    </row>
    <row r="762" spans="1:43">
      <c r="A762" s="12">
        <v>759</v>
      </c>
      <c r="B762" s="21" t="s">
        <v>3685</v>
      </c>
      <c r="C762" s="5" t="s">
        <v>3817</v>
      </c>
      <c r="D762" s="5" t="s">
        <v>605</v>
      </c>
      <c r="E762" s="5" t="s">
        <v>605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11" t="s">
        <v>46</v>
      </c>
      <c r="Q762" s="5" t="s">
        <v>46</v>
      </c>
      <c r="R762" s="5" t="str">
        <f t="shared" si="12"/>
        <v/>
      </c>
      <c r="S762" s="5" t="s">
        <v>46</v>
      </c>
      <c r="T762" s="12">
        <v>759</v>
      </c>
      <c r="U762" s="261" t="s">
        <v>3687</v>
      </c>
      <c r="V762" s="232" t="s">
        <v>3817</v>
      </c>
      <c r="W762" s="232">
        <v>-1903.4</v>
      </c>
      <c r="X762" s="232">
        <v>4151.3999999999996</v>
      </c>
      <c r="Y762" s="87" t="s">
        <v>3685</v>
      </c>
      <c r="Z762" s="87" t="s">
        <v>50</v>
      </c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261" t="s">
        <v>3687</v>
      </c>
    </row>
    <row r="763" spans="1:43">
      <c r="A763" s="12">
        <v>760</v>
      </c>
      <c r="B763" s="21" t="s">
        <v>3685</v>
      </c>
      <c r="C763" s="5" t="s">
        <v>3818</v>
      </c>
      <c r="D763" s="5" t="s">
        <v>605</v>
      </c>
      <c r="E763" s="5" t="s">
        <v>605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11" t="s">
        <v>46</v>
      </c>
      <c r="Q763" s="5" t="s">
        <v>46</v>
      </c>
      <c r="R763" s="5" t="str">
        <f t="shared" si="12"/>
        <v/>
      </c>
      <c r="S763" s="5" t="s">
        <v>46</v>
      </c>
      <c r="T763" s="12">
        <v>760</v>
      </c>
      <c r="U763" s="261" t="s">
        <v>3687</v>
      </c>
      <c r="V763" s="232" t="s">
        <v>3818</v>
      </c>
      <c r="W763" s="232">
        <v>-4632.3999999999996</v>
      </c>
      <c r="X763" s="232">
        <v>4151.3999999999996</v>
      </c>
      <c r="Y763" s="87" t="s">
        <v>3685</v>
      </c>
      <c r="Z763" s="87" t="s">
        <v>50</v>
      </c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261" t="s">
        <v>3687</v>
      </c>
    </row>
    <row r="764" spans="1:43">
      <c r="A764" s="12">
        <v>761</v>
      </c>
      <c r="B764" s="21" t="s">
        <v>3685</v>
      </c>
      <c r="C764" s="5" t="s">
        <v>3819</v>
      </c>
      <c r="D764" s="5" t="s">
        <v>605</v>
      </c>
      <c r="E764" s="5" t="s">
        <v>605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11" t="s">
        <v>46</v>
      </c>
      <c r="Q764" s="5" t="s">
        <v>46</v>
      </c>
      <c r="R764" s="5" t="str">
        <f t="shared" si="12"/>
        <v/>
      </c>
      <c r="S764" s="5" t="s">
        <v>46</v>
      </c>
      <c r="T764" s="12">
        <v>761</v>
      </c>
      <c r="U764" s="261" t="s">
        <v>3687</v>
      </c>
      <c r="V764" s="232" t="s">
        <v>3819</v>
      </c>
      <c r="W764" s="232">
        <v>-6004.1</v>
      </c>
      <c r="X764" s="232">
        <v>4151.3999999999996</v>
      </c>
      <c r="Y764" s="87" t="s">
        <v>3685</v>
      </c>
      <c r="Z764" s="87" t="s">
        <v>50</v>
      </c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261" t="s">
        <v>3687</v>
      </c>
    </row>
    <row r="765" spans="1:43">
      <c r="A765" s="12">
        <v>762</v>
      </c>
      <c r="B765" s="21" t="s">
        <v>3685</v>
      </c>
      <c r="C765" s="5" t="s">
        <v>3820</v>
      </c>
      <c r="D765" s="5" t="s">
        <v>605</v>
      </c>
      <c r="E765" s="5" t="s">
        <v>605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11" t="s">
        <v>46</v>
      </c>
      <c r="Q765" s="5" t="s">
        <v>46</v>
      </c>
      <c r="R765" s="5" t="str">
        <f t="shared" si="12"/>
        <v/>
      </c>
      <c r="S765" s="5" t="s">
        <v>46</v>
      </c>
      <c r="T765" s="12">
        <v>762</v>
      </c>
      <c r="U765" s="261" t="s">
        <v>3687</v>
      </c>
      <c r="V765" s="232" t="s">
        <v>3820</v>
      </c>
      <c r="W765" s="232">
        <v>-6950.9</v>
      </c>
      <c r="X765" s="232">
        <v>4325.8999999999996</v>
      </c>
      <c r="Y765" s="87" t="s">
        <v>3685</v>
      </c>
      <c r="Z765" s="87" t="s">
        <v>50</v>
      </c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261" t="s">
        <v>3687</v>
      </c>
    </row>
    <row r="766" spans="1:43">
      <c r="A766" s="12">
        <v>763</v>
      </c>
      <c r="B766" s="21" t="s">
        <v>3685</v>
      </c>
      <c r="C766" s="5" t="s">
        <v>3821</v>
      </c>
      <c r="D766" s="5" t="s">
        <v>605</v>
      </c>
      <c r="E766" s="5" t="s">
        <v>605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11" t="s">
        <v>46</v>
      </c>
      <c r="Q766" s="5" t="s">
        <v>46</v>
      </c>
      <c r="R766" s="5" t="str">
        <f t="shared" si="12"/>
        <v/>
      </c>
      <c r="S766" s="5" t="s">
        <v>46</v>
      </c>
      <c r="T766" s="12">
        <v>763</v>
      </c>
      <c r="U766" s="261" t="s">
        <v>3687</v>
      </c>
      <c r="V766" s="232" t="s">
        <v>3821</v>
      </c>
      <c r="W766" s="232">
        <v>8272.2999999999993</v>
      </c>
      <c r="X766" s="232">
        <v>4897.1000000000004</v>
      </c>
      <c r="Y766" s="87" t="s">
        <v>3685</v>
      </c>
      <c r="Z766" s="87" t="s">
        <v>50</v>
      </c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261" t="s">
        <v>3687</v>
      </c>
    </row>
    <row r="767" spans="1:43">
      <c r="A767" s="12">
        <v>764</v>
      </c>
      <c r="B767" s="21" t="s">
        <v>3685</v>
      </c>
      <c r="C767" s="5" t="s">
        <v>3822</v>
      </c>
      <c r="D767" s="5" t="s">
        <v>605</v>
      </c>
      <c r="E767" s="5" t="s">
        <v>605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11" t="s">
        <v>46</v>
      </c>
      <c r="Q767" s="5" t="s">
        <v>46</v>
      </c>
      <c r="R767" s="5" t="str">
        <f t="shared" si="12"/>
        <v/>
      </c>
      <c r="S767" s="5" t="s">
        <v>46</v>
      </c>
      <c r="T767" s="12">
        <v>764</v>
      </c>
      <c r="U767" s="261" t="s">
        <v>3687</v>
      </c>
      <c r="V767" s="232" t="s">
        <v>3822</v>
      </c>
      <c r="W767" s="232">
        <v>-8272.2999999999993</v>
      </c>
      <c r="X767" s="232">
        <v>4897.1000000000004</v>
      </c>
      <c r="Y767" s="87" t="s">
        <v>3685</v>
      </c>
      <c r="Z767" s="87" t="s">
        <v>50</v>
      </c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261" t="s">
        <v>3687</v>
      </c>
    </row>
    <row r="768" spans="1:43">
      <c r="A768" s="12">
        <v>765</v>
      </c>
      <c r="B768" s="21" t="s">
        <v>3685</v>
      </c>
      <c r="C768" s="5" t="s">
        <v>3823</v>
      </c>
      <c r="D768" s="5" t="s">
        <v>605</v>
      </c>
      <c r="E768" s="5" t="s">
        <v>605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11" t="s">
        <v>46</v>
      </c>
      <c r="Q768" s="5" t="s">
        <v>46</v>
      </c>
      <c r="R768" s="5" t="str">
        <f t="shared" si="12"/>
        <v/>
      </c>
      <c r="S768" s="5" t="s">
        <v>46</v>
      </c>
      <c r="T768" s="12">
        <v>765</v>
      </c>
      <c r="U768" s="261" t="s">
        <v>3687</v>
      </c>
      <c r="V768" s="232" t="s">
        <v>3823</v>
      </c>
      <c r="W768" s="232">
        <v>11659.6</v>
      </c>
      <c r="X768" s="232">
        <v>4973.3</v>
      </c>
      <c r="Y768" s="87" t="s">
        <v>3685</v>
      </c>
      <c r="Z768" s="87" t="s">
        <v>50</v>
      </c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261" t="s">
        <v>3687</v>
      </c>
    </row>
    <row r="769" spans="1:43">
      <c r="A769" s="12">
        <v>766</v>
      </c>
      <c r="B769" s="21" t="s">
        <v>3685</v>
      </c>
      <c r="C769" s="5" t="s">
        <v>3824</v>
      </c>
      <c r="D769" s="5" t="s">
        <v>605</v>
      </c>
      <c r="E769" s="5" t="s">
        <v>605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11" t="s">
        <v>46</v>
      </c>
      <c r="Q769" s="5" t="s">
        <v>46</v>
      </c>
      <c r="R769" s="5" t="str">
        <f t="shared" si="12"/>
        <v/>
      </c>
      <c r="S769" s="5" t="s">
        <v>46</v>
      </c>
      <c r="T769" s="12">
        <v>766</v>
      </c>
      <c r="U769" s="261" t="s">
        <v>3687</v>
      </c>
      <c r="V769" s="232" t="s">
        <v>3824</v>
      </c>
      <c r="W769" s="232">
        <v>-11659.6</v>
      </c>
      <c r="X769" s="232">
        <v>4973.3</v>
      </c>
      <c r="Y769" s="87" t="s">
        <v>3685</v>
      </c>
      <c r="Z769" s="87" t="s">
        <v>50</v>
      </c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261" t="s">
        <v>3687</v>
      </c>
    </row>
    <row r="770" spans="1:43">
      <c r="A770" s="12">
        <v>767</v>
      </c>
      <c r="B770" s="21" t="s">
        <v>3685</v>
      </c>
      <c r="C770" s="5" t="s">
        <v>3825</v>
      </c>
      <c r="D770" s="5" t="s">
        <v>605</v>
      </c>
      <c r="E770" s="5" t="s">
        <v>605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11" t="s">
        <v>46</v>
      </c>
      <c r="Q770" s="5" t="s">
        <v>46</v>
      </c>
      <c r="R770" s="5" t="str">
        <f t="shared" si="12"/>
        <v/>
      </c>
      <c r="S770" s="5" t="s">
        <v>46</v>
      </c>
      <c r="T770" s="12">
        <v>767</v>
      </c>
      <c r="U770" s="261" t="s">
        <v>3687</v>
      </c>
      <c r="V770" s="232" t="s">
        <v>3825</v>
      </c>
      <c r="W770" s="232">
        <v>6227</v>
      </c>
      <c r="X770" s="232">
        <v>5316.6</v>
      </c>
      <c r="Y770" s="87" t="s">
        <v>3685</v>
      </c>
      <c r="Z770" s="87" t="s">
        <v>50</v>
      </c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261" t="s">
        <v>3687</v>
      </c>
    </row>
    <row r="771" spans="1:43">
      <c r="A771" s="12">
        <v>768</v>
      </c>
      <c r="B771" s="21" t="s">
        <v>3685</v>
      </c>
      <c r="C771" s="5" t="s">
        <v>3826</v>
      </c>
      <c r="D771" s="5" t="s">
        <v>605</v>
      </c>
      <c r="E771" s="5" t="s">
        <v>605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11" t="s">
        <v>46</v>
      </c>
      <c r="Q771" s="5" t="s">
        <v>46</v>
      </c>
      <c r="R771" s="5" t="str">
        <f t="shared" si="12"/>
        <v/>
      </c>
      <c r="S771" s="5" t="s">
        <v>46</v>
      </c>
      <c r="T771" s="12">
        <v>768</v>
      </c>
      <c r="U771" s="261" t="s">
        <v>3687</v>
      </c>
      <c r="V771" s="232" t="s">
        <v>3826</v>
      </c>
      <c r="W771" s="232">
        <v>7752.9</v>
      </c>
      <c r="X771" s="232">
        <v>5874.3</v>
      </c>
      <c r="Y771" s="87" t="s">
        <v>3685</v>
      </c>
      <c r="Z771" s="87" t="s">
        <v>50</v>
      </c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261" t="s">
        <v>3687</v>
      </c>
    </row>
    <row r="772" spans="1:43">
      <c r="A772" s="12">
        <v>769</v>
      </c>
      <c r="B772" s="21" t="s">
        <v>3685</v>
      </c>
      <c r="C772" s="5" t="s">
        <v>3827</v>
      </c>
      <c r="D772" s="5" t="s">
        <v>605</v>
      </c>
      <c r="E772" s="5" t="s">
        <v>605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11" t="s">
        <v>46</v>
      </c>
      <c r="Q772" s="5" t="s">
        <v>46</v>
      </c>
      <c r="R772" s="5" t="str">
        <f t="shared" si="12"/>
        <v/>
      </c>
      <c r="S772" s="5" t="s">
        <v>46</v>
      </c>
      <c r="T772" s="12">
        <v>769</v>
      </c>
      <c r="U772" s="261" t="s">
        <v>3687</v>
      </c>
      <c r="V772" s="232" t="s">
        <v>3827</v>
      </c>
      <c r="W772" s="232">
        <v>6879.6</v>
      </c>
      <c r="X772" s="232">
        <v>5860.8</v>
      </c>
      <c r="Y772" s="87" t="s">
        <v>3685</v>
      </c>
      <c r="Z772" s="87" t="s">
        <v>50</v>
      </c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261" t="s">
        <v>3687</v>
      </c>
    </row>
    <row r="773" spans="1:43">
      <c r="A773" s="12">
        <v>770</v>
      </c>
      <c r="B773" s="21" t="s">
        <v>3685</v>
      </c>
      <c r="C773" s="5" t="s">
        <v>3828</v>
      </c>
      <c r="D773" s="5" t="s">
        <v>605</v>
      </c>
      <c r="E773" s="5" t="s">
        <v>605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11" t="s">
        <v>46</v>
      </c>
      <c r="Q773" s="5" t="s">
        <v>46</v>
      </c>
      <c r="R773" s="5" t="str">
        <f t="shared" ref="R773:R836" si="13">IF(AND(P773="",Q773=""),"",SUM(P773:Q773))</f>
        <v/>
      </c>
      <c r="S773" s="5" t="s">
        <v>46</v>
      </c>
      <c r="T773" s="12">
        <v>770</v>
      </c>
      <c r="U773" s="261" t="s">
        <v>3687</v>
      </c>
      <c r="V773" s="232" t="s">
        <v>3828</v>
      </c>
      <c r="W773" s="232">
        <v>2182.9</v>
      </c>
      <c r="X773" s="232">
        <v>5573.8</v>
      </c>
      <c r="Y773" s="87" t="s">
        <v>3685</v>
      </c>
      <c r="Z773" s="87" t="s">
        <v>50</v>
      </c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261" t="s">
        <v>3687</v>
      </c>
    </row>
    <row r="774" spans="1:43">
      <c r="A774" s="12">
        <v>771</v>
      </c>
      <c r="B774" s="21" t="s">
        <v>3685</v>
      </c>
      <c r="C774" s="5" t="s">
        <v>3829</v>
      </c>
      <c r="D774" s="5" t="s">
        <v>605</v>
      </c>
      <c r="E774" s="5" t="s">
        <v>605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11" t="s">
        <v>46</v>
      </c>
      <c r="Q774" s="5" t="s">
        <v>46</v>
      </c>
      <c r="R774" s="5" t="str">
        <f t="shared" si="13"/>
        <v/>
      </c>
      <c r="S774" s="5" t="s">
        <v>46</v>
      </c>
      <c r="T774" s="12">
        <v>771</v>
      </c>
      <c r="U774" s="261" t="s">
        <v>3687</v>
      </c>
      <c r="V774" s="232" t="s">
        <v>3829</v>
      </c>
      <c r="W774" s="232">
        <v>-546.1</v>
      </c>
      <c r="X774" s="232">
        <v>5573.8</v>
      </c>
      <c r="Y774" s="87" t="s">
        <v>3685</v>
      </c>
      <c r="Z774" s="87" t="s">
        <v>50</v>
      </c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261" t="s">
        <v>3687</v>
      </c>
    </row>
    <row r="775" spans="1:43">
      <c r="A775" s="12">
        <v>772</v>
      </c>
      <c r="B775" s="21" t="s">
        <v>3685</v>
      </c>
      <c r="C775" s="5" t="s">
        <v>3830</v>
      </c>
      <c r="D775" s="5" t="s">
        <v>605</v>
      </c>
      <c r="E775" s="5" t="s">
        <v>605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11" t="s">
        <v>46</v>
      </c>
      <c r="Q775" s="5" t="s">
        <v>46</v>
      </c>
      <c r="R775" s="5" t="str">
        <f t="shared" si="13"/>
        <v/>
      </c>
      <c r="S775" s="5" t="s">
        <v>46</v>
      </c>
      <c r="T775" s="12">
        <v>772</v>
      </c>
      <c r="U775" s="261" t="s">
        <v>3687</v>
      </c>
      <c r="V775" s="232" t="s">
        <v>3830</v>
      </c>
      <c r="W775" s="232">
        <v>-3275.1</v>
      </c>
      <c r="X775" s="232">
        <v>5573.8</v>
      </c>
      <c r="Y775" s="87" t="s">
        <v>3685</v>
      </c>
      <c r="Z775" s="87" t="s">
        <v>50</v>
      </c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261" t="s">
        <v>3687</v>
      </c>
    </row>
    <row r="776" spans="1:43">
      <c r="A776" s="12">
        <v>773</v>
      </c>
      <c r="B776" s="21" t="s">
        <v>3685</v>
      </c>
      <c r="C776" s="5" t="s">
        <v>3831</v>
      </c>
      <c r="D776" s="5" t="s">
        <v>605</v>
      </c>
      <c r="E776" s="5" t="s">
        <v>605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11" t="s">
        <v>46</v>
      </c>
      <c r="Q776" s="5" t="s">
        <v>46</v>
      </c>
      <c r="R776" s="5" t="str">
        <f t="shared" si="13"/>
        <v/>
      </c>
      <c r="S776" s="5" t="s">
        <v>46</v>
      </c>
      <c r="T776" s="12">
        <v>773</v>
      </c>
      <c r="U776" s="261" t="s">
        <v>3687</v>
      </c>
      <c r="V776" s="232" t="s">
        <v>3831</v>
      </c>
      <c r="W776" s="232">
        <v>-6004.1</v>
      </c>
      <c r="X776" s="232">
        <v>5573.8</v>
      </c>
      <c r="Y776" s="87" t="s">
        <v>3685</v>
      </c>
      <c r="Z776" s="87" t="s">
        <v>50</v>
      </c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261" t="s">
        <v>3687</v>
      </c>
    </row>
    <row r="777" spans="1:43">
      <c r="A777" s="12">
        <v>774</v>
      </c>
      <c r="B777" s="21" t="s">
        <v>3685</v>
      </c>
      <c r="C777" s="5" t="s">
        <v>3832</v>
      </c>
      <c r="D777" s="5" t="s">
        <v>605</v>
      </c>
      <c r="E777" s="5" t="s">
        <v>605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11" t="s">
        <v>46</v>
      </c>
      <c r="Q777" s="5" t="s">
        <v>46</v>
      </c>
      <c r="R777" s="5" t="str">
        <f t="shared" si="13"/>
        <v/>
      </c>
      <c r="S777" s="5" t="s">
        <v>46</v>
      </c>
      <c r="T777" s="12">
        <v>774</v>
      </c>
      <c r="U777" s="261" t="s">
        <v>3687</v>
      </c>
      <c r="V777" s="232" t="s">
        <v>3832</v>
      </c>
      <c r="W777" s="232">
        <v>10945.9</v>
      </c>
      <c r="X777" s="232">
        <v>5854.3</v>
      </c>
      <c r="Y777" s="87" t="s">
        <v>3685</v>
      </c>
      <c r="Z777" s="87" t="s">
        <v>50</v>
      </c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261" t="s">
        <v>3687</v>
      </c>
    </row>
    <row r="778" spans="1:43">
      <c r="A778" s="12">
        <v>775</v>
      </c>
      <c r="B778" s="21" t="s">
        <v>3685</v>
      </c>
      <c r="C778" s="5" t="s">
        <v>3833</v>
      </c>
      <c r="D778" s="5" t="s">
        <v>605</v>
      </c>
      <c r="E778" s="5" t="s">
        <v>605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11" t="s">
        <v>46</v>
      </c>
      <c r="Q778" s="5" t="s">
        <v>46</v>
      </c>
      <c r="R778" s="5" t="str">
        <f t="shared" si="13"/>
        <v/>
      </c>
      <c r="S778" s="5" t="s">
        <v>46</v>
      </c>
      <c r="T778" s="12">
        <v>775</v>
      </c>
      <c r="U778" s="261" t="s">
        <v>3687</v>
      </c>
      <c r="V778" s="232" t="s">
        <v>3833</v>
      </c>
      <c r="W778" s="232">
        <v>13439.1</v>
      </c>
      <c r="X778" s="232">
        <v>6071.9</v>
      </c>
      <c r="Y778" s="87" t="s">
        <v>3685</v>
      </c>
      <c r="Z778" s="87" t="s">
        <v>50</v>
      </c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261" t="s">
        <v>3687</v>
      </c>
    </row>
    <row r="779" spans="1:43">
      <c r="A779" s="12">
        <v>776</v>
      </c>
      <c r="B779" s="21" t="s">
        <v>3685</v>
      </c>
      <c r="C779" s="5" t="s">
        <v>3834</v>
      </c>
      <c r="D779" s="5" t="s">
        <v>605</v>
      </c>
      <c r="E779" s="5" t="s">
        <v>605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11" t="s">
        <v>46</v>
      </c>
      <c r="Q779" s="5" t="s">
        <v>46</v>
      </c>
      <c r="R779" s="5" t="str">
        <f t="shared" si="13"/>
        <v/>
      </c>
      <c r="S779" s="5" t="s">
        <v>46</v>
      </c>
      <c r="T779" s="12">
        <v>776</v>
      </c>
      <c r="U779" s="261" t="s">
        <v>3687</v>
      </c>
      <c r="V779" s="232" t="s">
        <v>3834</v>
      </c>
      <c r="W779" s="232">
        <v>4911.8999999999996</v>
      </c>
      <c r="X779" s="232">
        <v>6285</v>
      </c>
      <c r="Y779" s="87" t="s">
        <v>3685</v>
      </c>
      <c r="Z779" s="87" t="s">
        <v>50</v>
      </c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261" t="s">
        <v>3687</v>
      </c>
    </row>
    <row r="780" spans="1:43">
      <c r="A780" s="12">
        <v>777</v>
      </c>
      <c r="B780" s="21" t="s">
        <v>3685</v>
      </c>
      <c r="C780" s="5" t="s">
        <v>3835</v>
      </c>
      <c r="D780" s="5" t="s">
        <v>605</v>
      </c>
      <c r="E780" s="5" t="s">
        <v>605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11" t="s">
        <v>46</v>
      </c>
      <c r="Q780" s="5" t="s">
        <v>46</v>
      </c>
      <c r="R780" s="5" t="str">
        <f t="shared" si="13"/>
        <v/>
      </c>
      <c r="S780" s="5" t="s">
        <v>46</v>
      </c>
      <c r="T780" s="12">
        <v>777</v>
      </c>
      <c r="U780" s="261" t="s">
        <v>3687</v>
      </c>
      <c r="V780" s="232" t="s">
        <v>3835</v>
      </c>
      <c r="W780" s="232">
        <v>3554.6</v>
      </c>
      <c r="X780" s="232">
        <v>6285</v>
      </c>
      <c r="Y780" s="87" t="s">
        <v>3685</v>
      </c>
      <c r="Z780" s="87" t="s">
        <v>50</v>
      </c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261" t="s">
        <v>3687</v>
      </c>
    </row>
    <row r="781" spans="1:43">
      <c r="A781" s="12">
        <v>778</v>
      </c>
      <c r="B781" s="21" t="s">
        <v>3685</v>
      </c>
      <c r="C781" s="5" t="s">
        <v>3836</v>
      </c>
      <c r="D781" s="5" t="s">
        <v>605</v>
      </c>
      <c r="E781" s="5" t="s">
        <v>605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11" t="s">
        <v>46</v>
      </c>
      <c r="Q781" s="5" t="s">
        <v>46</v>
      </c>
      <c r="R781" s="5" t="str">
        <f t="shared" si="13"/>
        <v/>
      </c>
      <c r="S781" s="5" t="s">
        <v>46</v>
      </c>
      <c r="T781" s="12">
        <v>778</v>
      </c>
      <c r="U781" s="261" t="s">
        <v>3687</v>
      </c>
      <c r="V781" s="232" t="s">
        <v>3836</v>
      </c>
      <c r="W781" s="232">
        <v>825.6</v>
      </c>
      <c r="X781" s="232">
        <v>6285</v>
      </c>
      <c r="Y781" s="87" t="s">
        <v>3685</v>
      </c>
      <c r="Z781" s="87" t="s">
        <v>50</v>
      </c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261" t="s">
        <v>3687</v>
      </c>
    </row>
    <row r="782" spans="1:43">
      <c r="A782" s="12">
        <v>779</v>
      </c>
      <c r="B782" s="21" t="s">
        <v>3685</v>
      </c>
      <c r="C782" s="5" t="s">
        <v>3837</v>
      </c>
      <c r="D782" s="5" t="s">
        <v>605</v>
      </c>
      <c r="E782" s="5" t="s">
        <v>605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11" t="s">
        <v>46</v>
      </c>
      <c r="Q782" s="5" t="s">
        <v>46</v>
      </c>
      <c r="R782" s="5" t="str">
        <f t="shared" si="13"/>
        <v/>
      </c>
      <c r="S782" s="5" t="s">
        <v>46</v>
      </c>
      <c r="T782" s="12">
        <v>779</v>
      </c>
      <c r="U782" s="261" t="s">
        <v>3687</v>
      </c>
      <c r="V782" s="232" t="s">
        <v>3837</v>
      </c>
      <c r="W782" s="232">
        <v>-1903.4</v>
      </c>
      <c r="X782" s="232">
        <v>6285</v>
      </c>
      <c r="Y782" s="87" t="s">
        <v>3685</v>
      </c>
      <c r="Z782" s="87" t="s">
        <v>50</v>
      </c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261" t="s">
        <v>3687</v>
      </c>
    </row>
    <row r="783" spans="1:43">
      <c r="A783" s="12">
        <v>780</v>
      </c>
      <c r="B783" s="21" t="s">
        <v>3685</v>
      </c>
      <c r="C783" s="5" t="s">
        <v>3838</v>
      </c>
      <c r="D783" s="5" t="s">
        <v>605</v>
      </c>
      <c r="E783" s="5" t="s">
        <v>605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11" t="s">
        <v>46</v>
      </c>
      <c r="Q783" s="5" t="s">
        <v>46</v>
      </c>
      <c r="R783" s="5" t="str">
        <f t="shared" si="13"/>
        <v/>
      </c>
      <c r="S783" s="5" t="s">
        <v>46</v>
      </c>
      <c r="T783" s="12">
        <v>780</v>
      </c>
      <c r="U783" s="261" t="s">
        <v>3687</v>
      </c>
      <c r="V783" s="232" t="s">
        <v>3838</v>
      </c>
      <c r="W783" s="232">
        <v>-4632.3999999999996</v>
      </c>
      <c r="X783" s="232">
        <v>6285</v>
      </c>
      <c r="Y783" s="87" t="s">
        <v>3685</v>
      </c>
      <c r="Z783" s="87" t="s">
        <v>50</v>
      </c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261" t="s">
        <v>3687</v>
      </c>
    </row>
    <row r="784" spans="1:43">
      <c r="A784" s="12">
        <v>781</v>
      </c>
      <c r="B784" s="21" t="s">
        <v>3685</v>
      </c>
      <c r="C784" s="5" t="s">
        <v>3839</v>
      </c>
      <c r="D784" s="5" t="s">
        <v>605</v>
      </c>
      <c r="E784" s="5" t="s">
        <v>605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11" t="s">
        <v>46</v>
      </c>
      <c r="Q784" s="5" t="s">
        <v>46</v>
      </c>
      <c r="R784" s="5" t="str">
        <f t="shared" si="13"/>
        <v/>
      </c>
      <c r="S784" s="5" t="s">
        <v>46</v>
      </c>
      <c r="T784" s="12">
        <v>781</v>
      </c>
      <c r="U784" s="261" t="s">
        <v>3687</v>
      </c>
      <c r="V784" s="232" t="s">
        <v>3839</v>
      </c>
      <c r="W784" s="232">
        <v>-7361.4</v>
      </c>
      <c r="X784" s="232">
        <v>6285</v>
      </c>
      <c r="Y784" s="87" t="s">
        <v>3685</v>
      </c>
      <c r="Z784" s="87" t="s">
        <v>50</v>
      </c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261" t="s">
        <v>3687</v>
      </c>
    </row>
    <row r="785" spans="1:43">
      <c r="A785" s="12">
        <v>782</v>
      </c>
      <c r="B785" s="21" t="s">
        <v>3685</v>
      </c>
      <c r="C785" s="5" t="s">
        <v>3840</v>
      </c>
      <c r="D785" s="5" t="s">
        <v>605</v>
      </c>
      <c r="E785" s="5" t="s">
        <v>605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11" t="s">
        <v>46</v>
      </c>
      <c r="Q785" s="5" t="s">
        <v>46</v>
      </c>
      <c r="R785" s="5" t="str">
        <f t="shared" si="13"/>
        <v/>
      </c>
      <c r="S785" s="5" t="s">
        <v>46</v>
      </c>
      <c r="T785" s="12">
        <v>782</v>
      </c>
      <c r="U785" s="261" t="s">
        <v>3687</v>
      </c>
      <c r="V785" s="232" t="s">
        <v>3840</v>
      </c>
      <c r="W785" s="232">
        <v>-9665.7000000000007</v>
      </c>
      <c r="X785" s="232">
        <v>6346.5</v>
      </c>
      <c r="Y785" s="87" t="s">
        <v>3685</v>
      </c>
      <c r="Z785" s="87" t="s">
        <v>50</v>
      </c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261" t="s">
        <v>3687</v>
      </c>
    </row>
    <row r="786" spans="1:43">
      <c r="A786" s="12">
        <v>783</v>
      </c>
      <c r="B786" s="21" t="s">
        <v>3685</v>
      </c>
      <c r="C786" s="5" t="s">
        <v>3841</v>
      </c>
      <c r="D786" s="5" t="s">
        <v>605</v>
      </c>
      <c r="E786" s="5" t="s">
        <v>605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11" t="s">
        <v>46</v>
      </c>
      <c r="Q786" s="5" t="s">
        <v>46</v>
      </c>
      <c r="R786" s="5" t="str">
        <f t="shared" si="13"/>
        <v/>
      </c>
      <c r="S786" s="5" t="s">
        <v>46</v>
      </c>
      <c r="T786" s="12">
        <v>783</v>
      </c>
      <c r="U786" s="261" t="s">
        <v>3687</v>
      </c>
      <c r="V786" s="232" t="s">
        <v>3841</v>
      </c>
      <c r="W786" s="232">
        <v>-13439.1</v>
      </c>
      <c r="X786" s="232">
        <v>6071.9</v>
      </c>
      <c r="Y786" s="87" t="s">
        <v>3685</v>
      </c>
      <c r="Z786" s="87" t="s">
        <v>50</v>
      </c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261" t="s">
        <v>3687</v>
      </c>
    </row>
    <row r="787" spans="1:43">
      <c r="A787" s="12">
        <v>784</v>
      </c>
      <c r="B787" s="21" t="s">
        <v>3685</v>
      </c>
      <c r="C787" s="5" t="s">
        <v>3842</v>
      </c>
      <c r="D787" s="5" t="s">
        <v>605</v>
      </c>
      <c r="E787" s="5" t="s">
        <v>605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11" t="s">
        <v>46</v>
      </c>
      <c r="Q787" s="5" t="s">
        <v>46</v>
      </c>
      <c r="R787" s="5" t="str">
        <f t="shared" si="13"/>
        <v/>
      </c>
      <c r="S787" s="5" t="s">
        <v>46</v>
      </c>
      <c r="T787" s="12">
        <v>784</v>
      </c>
      <c r="U787" s="261" t="s">
        <v>3687</v>
      </c>
      <c r="V787" s="232" t="s">
        <v>3842</v>
      </c>
      <c r="W787" s="232">
        <v>7674.8</v>
      </c>
      <c r="X787" s="232">
        <v>6558.1</v>
      </c>
      <c r="Y787" s="87" t="s">
        <v>3685</v>
      </c>
      <c r="Z787" s="87" t="s">
        <v>50</v>
      </c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261" t="s">
        <v>3687</v>
      </c>
    </row>
    <row r="788" spans="1:43">
      <c r="A788" s="12">
        <v>785</v>
      </c>
      <c r="B788" s="21" t="s">
        <v>3685</v>
      </c>
      <c r="C788" s="5" t="s">
        <v>3843</v>
      </c>
      <c r="D788" s="5" t="s">
        <v>605</v>
      </c>
      <c r="E788" s="5" t="s">
        <v>605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11" t="s">
        <v>46</v>
      </c>
      <c r="Q788" s="5" t="s">
        <v>46</v>
      </c>
      <c r="R788" s="5" t="str">
        <f t="shared" si="13"/>
        <v/>
      </c>
      <c r="S788" s="5" t="s">
        <v>46</v>
      </c>
      <c r="T788" s="12">
        <v>785</v>
      </c>
      <c r="U788" s="261" t="s">
        <v>3687</v>
      </c>
      <c r="V788" s="232" t="s">
        <v>3843</v>
      </c>
      <c r="W788" s="232">
        <v>8628.2999999999993</v>
      </c>
      <c r="X788" s="232">
        <v>7048.8</v>
      </c>
      <c r="Y788" s="87" t="s">
        <v>3685</v>
      </c>
      <c r="Z788" s="87" t="s">
        <v>50</v>
      </c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261" t="s">
        <v>3687</v>
      </c>
    </row>
    <row r="789" spans="1:43">
      <c r="A789" s="12">
        <v>786</v>
      </c>
      <c r="B789" s="21" t="s">
        <v>3685</v>
      </c>
      <c r="C789" s="5" t="s">
        <v>3844</v>
      </c>
      <c r="D789" s="5" t="s">
        <v>605</v>
      </c>
      <c r="E789" s="5" t="s">
        <v>605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11" t="s">
        <v>46</v>
      </c>
      <c r="Q789" s="5" t="s">
        <v>46</v>
      </c>
      <c r="R789" s="5" t="str">
        <f t="shared" si="13"/>
        <v/>
      </c>
      <c r="S789" s="5" t="s">
        <v>46</v>
      </c>
      <c r="T789" s="12">
        <v>786</v>
      </c>
      <c r="U789" s="261" t="s">
        <v>3687</v>
      </c>
      <c r="V789" s="232" t="s">
        <v>3844</v>
      </c>
      <c r="W789" s="232">
        <v>4911.8999999999996</v>
      </c>
      <c r="X789" s="232">
        <v>6996.2</v>
      </c>
      <c r="Y789" s="87" t="s">
        <v>3685</v>
      </c>
      <c r="Z789" s="87" t="s">
        <v>50</v>
      </c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261" t="s">
        <v>3687</v>
      </c>
    </row>
    <row r="790" spans="1:43">
      <c r="A790" s="12">
        <v>787</v>
      </c>
      <c r="B790" s="21" t="s">
        <v>3685</v>
      </c>
      <c r="C790" s="5" t="s">
        <v>3845</v>
      </c>
      <c r="D790" s="5" t="s">
        <v>605</v>
      </c>
      <c r="E790" s="5" t="s">
        <v>605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11" t="s">
        <v>46</v>
      </c>
      <c r="Q790" s="5" t="s">
        <v>46</v>
      </c>
      <c r="R790" s="5" t="str">
        <f t="shared" si="13"/>
        <v/>
      </c>
      <c r="S790" s="5" t="s">
        <v>46</v>
      </c>
      <c r="T790" s="12">
        <v>787</v>
      </c>
      <c r="U790" s="261" t="s">
        <v>3687</v>
      </c>
      <c r="V790" s="232" t="s">
        <v>3845</v>
      </c>
      <c r="W790" s="232">
        <v>-7925.1</v>
      </c>
      <c r="X790" s="232">
        <v>7058.7</v>
      </c>
      <c r="Y790" s="87" t="s">
        <v>3685</v>
      </c>
      <c r="Z790" s="87" t="s">
        <v>50</v>
      </c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261" t="s">
        <v>3687</v>
      </c>
    </row>
    <row r="791" spans="1:43">
      <c r="A791" s="12">
        <v>788</v>
      </c>
      <c r="B791" s="21" t="s">
        <v>3685</v>
      </c>
      <c r="C791" s="5" t="s">
        <v>3846</v>
      </c>
      <c r="D791" s="5" t="s">
        <v>605</v>
      </c>
      <c r="E791" s="5" t="s">
        <v>605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11" t="s">
        <v>46</v>
      </c>
      <c r="Q791" s="5" t="s">
        <v>46</v>
      </c>
      <c r="R791" s="5" t="str">
        <f t="shared" si="13"/>
        <v/>
      </c>
      <c r="S791" s="5" t="s">
        <v>46</v>
      </c>
      <c r="T791" s="12">
        <v>788</v>
      </c>
      <c r="U791" s="261" t="s">
        <v>3687</v>
      </c>
      <c r="V791" s="232" t="s">
        <v>3846</v>
      </c>
      <c r="W791" s="232">
        <v>-8635.5</v>
      </c>
      <c r="X791" s="232">
        <v>7048.2</v>
      </c>
      <c r="Y791" s="87" t="s">
        <v>3685</v>
      </c>
      <c r="Z791" s="87" t="s">
        <v>50</v>
      </c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261" t="s">
        <v>3687</v>
      </c>
    </row>
    <row r="792" spans="1:43">
      <c r="A792" s="12">
        <v>789</v>
      </c>
      <c r="B792" s="21" t="s">
        <v>3685</v>
      </c>
      <c r="C792" s="5" t="s">
        <v>3847</v>
      </c>
      <c r="D792" s="5" t="s">
        <v>605</v>
      </c>
      <c r="E792" s="5" t="s">
        <v>605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11" t="s">
        <v>46</v>
      </c>
      <c r="Q792" s="5" t="s">
        <v>46</v>
      </c>
      <c r="R792" s="5" t="str">
        <f t="shared" si="13"/>
        <v/>
      </c>
      <c r="S792" s="5" t="s">
        <v>46</v>
      </c>
      <c r="T792" s="12">
        <v>789</v>
      </c>
      <c r="U792" s="261" t="s">
        <v>3687</v>
      </c>
      <c r="V792" s="232" t="s">
        <v>3847</v>
      </c>
      <c r="W792" s="232">
        <v>11659.6</v>
      </c>
      <c r="X792" s="232">
        <v>7170.4</v>
      </c>
      <c r="Y792" s="87" t="s">
        <v>3685</v>
      </c>
      <c r="Z792" s="87" t="s">
        <v>50</v>
      </c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261" t="s">
        <v>3687</v>
      </c>
    </row>
    <row r="793" spans="1:43">
      <c r="A793" s="12">
        <v>790</v>
      </c>
      <c r="B793" s="21" t="s">
        <v>3685</v>
      </c>
      <c r="C793" s="5" t="s">
        <v>3848</v>
      </c>
      <c r="D793" s="5" t="s">
        <v>605</v>
      </c>
      <c r="E793" s="5" t="s">
        <v>605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11" t="s">
        <v>46</v>
      </c>
      <c r="Q793" s="5" t="s">
        <v>46</v>
      </c>
      <c r="R793" s="5" t="str">
        <f t="shared" si="13"/>
        <v/>
      </c>
      <c r="S793" s="5" t="s">
        <v>46</v>
      </c>
      <c r="T793" s="12">
        <v>790</v>
      </c>
      <c r="U793" s="261" t="s">
        <v>3687</v>
      </c>
      <c r="V793" s="232" t="s">
        <v>3848</v>
      </c>
      <c r="W793" s="232">
        <v>-11659.6</v>
      </c>
      <c r="X793" s="232">
        <v>7170.4</v>
      </c>
      <c r="Y793" s="87" t="s">
        <v>3685</v>
      </c>
      <c r="Z793" s="87" t="s">
        <v>50</v>
      </c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261" t="s">
        <v>3687</v>
      </c>
    </row>
    <row r="794" spans="1:43">
      <c r="A794" s="12">
        <v>791</v>
      </c>
      <c r="B794" s="21" t="s">
        <v>3685</v>
      </c>
      <c r="C794" s="5" t="s">
        <v>3849</v>
      </c>
      <c r="D794" s="5" t="s">
        <v>605</v>
      </c>
      <c r="E794" s="5" t="s">
        <v>605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11" t="s">
        <v>46</v>
      </c>
      <c r="Q794" s="5" t="s">
        <v>46</v>
      </c>
      <c r="R794" s="5" t="str">
        <f t="shared" si="13"/>
        <v/>
      </c>
      <c r="S794" s="5" t="s">
        <v>46</v>
      </c>
      <c r="T794" s="12">
        <v>791</v>
      </c>
      <c r="U794" s="261" t="s">
        <v>3687</v>
      </c>
      <c r="V794" s="232" t="s">
        <v>3849</v>
      </c>
      <c r="W794" s="232">
        <v>5458</v>
      </c>
      <c r="X794" s="232">
        <v>-10756.6</v>
      </c>
      <c r="Y794" s="87" t="s">
        <v>3685</v>
      </c>
      <c r="Z794" s="87" t="s">
        <v>50</v>
      </c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261" t="s">
        <v>3687</v>
      </c>
    </row>
    <row r="795" spans="1:43">
      <c r="A795" s="12">
        <v>792</v>
      </c>
      <c r="B795" s="21" t="s">
        <v>3685</v>
      </c>
      <c r="C795" s="5" t="s">
        <v>3850</v>
      </c>
      <c r="D795" s="5" t="s">
        <v>605</v>
      </c>
      <c r="E795" s="5" t="s">
        <v>605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11" t="s">
        <v>46</v>
      </c>
      <c r="Q795" s="5" t="s">
        <v>46</v>
      </c>
      <c r="R795" s="5" t="str">
        <f t="shared" si="13"/>
        <v/>
      </c>
      <c r="S795" s="5" t="s">
        <v>46</v>
      </c>
      <c r="T795" s="12">
        <v>792</v>
      </c>
      <c r="U795" s="261" t="s">
        <v>3687</v>
      </c>
      <c r="V795" s="232" t="s">
        <v>3850</v>
      </c>
      <c r="W795" s="232">
        <v>4093.5</v>
      </c>
      <c r="X795" s="232">
        <v>-10736.6</v>
      </c>
      <c r="Y795" s="87" t="s">
        <v>3685</v>
      </c>
      <c r="Z795" s="87" t="s">
        <v>50</v>
      </c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261" t="s">
        <v>3687</v>
      </c>
    </row>
    <row r="796" spans="1:43">
      <c r="A796" s="12">
        <v>793</v>
      </c>
      <c r="B796" s="21" t="s">
        <v>3685</v>
      </c>
      <c r="C796" s="5" t="s">
        <v>3851</v>
      </c>
      <c r="D796" s="5" t="s">
        <v>605</v>
      </c>
      <c r="E796" s="5" t="s">
        <v>605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11" t="s">
        <v>46</v>
      </c>
      <c r="Q796" s="5" t="s">
        <v>46</v>
      </c>
      <c r="R796" s="5" t="str">
        <f t="shared" si="13"/>
        <v/>
      </c>
      <c r="S796" s="5" t="s">
        <v>46</v>
      </c>
      <c r="T796" s="12">
        <v>793</v>
      </c>
      <c r="U796" s="261" t="s">
        <v>3687</v>
      </c>
      <c r="V796" s="232" t="s">
        <v>3851</v>
      </c>
      <c r="W796" s="232">
        <v>2729</v>
      </c>
      <c r="X796" s="232">
        <v>-10756.6</v>
      </c>
      <c r="Y796" s="87" t="s">
        <v>3685</v>
      </c>
      <c r="Z796" s="87" t="s">
        <v>50</v>
      </c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261" t="s">
        <v>3687</v>
      </c>
    </row>
    <row r="797" spans="1:43">
      <c r="A797" s="12">
        <v>794</v>
      </c>
      <c r="B797" s="21" t="s">
        <v>3685</v>
      </c>
      <c r="C797" s="5" t="s">
        <v>3852</v>
      </c>
      <c r="D797" s="5" t="s">
        <v>605</v>
      </c>
      <c r="E797" s="5" t="s">
        <v>605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11" t="s">
        <v>46</v>
      </c>
      <c r="Q797" s="5" t="s">
        <v>46</v>
      </c>
      <c r="R797" s="5" t="str">
        <f t="shared" si="13"/>
        <v/>
      </c>
      <c r="S797" s="5" t="s">
        <v>46</v>
      </c>
      <c r="T797" s="12">
        <v>794</v>
      </c>
      <c r="U797" s="261" t="s">
        <v>3687</v>
      </c>
      <c r="V797" s="232" t="s">
        <v>3852</v>
      </c>
      <c r="W797" s="232">
        <v>1364.5</v>
      </c>
      <c r="X797" s="232">
        <v>-10736.6</v>
      </c>
      <c r="Y797" s="87" t="s">
        <v>3685</v>
      </c>
      <c r="Z797" s="87" t="s">
        <v>50</v>
      </c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261" t="s">
        <v>3687</v>
      </c>
    </row>
    <row r="798" spans="1:43">
      <c r="A798" s="12">
        <v>795</v>
      </c>
      <c r="B798" s="21" t="s">
        <v>3685</v>
      </c>
      <c r="C798" s="5" t="s">
        <v>3853</v>
      </c>
      <c r="D798" s="5" t="s">
        <v>605</v>
      </c>
      <c r="E798" s="5" t="s">
        <v>605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11" t="s">
        <v>46</v>
      </c>
      <c r="Q798" s="5" t="s">
        <v>46</v>
      </c>
      <c r="R798" s="5" t="str">
        <f t="shared" si="13"/>
        <v/>
      </c>
      <c r="S798" s="5" t="s">
        <v>46</v>
      </c>
      <c r="T798" s="12">
        <v>795</v>
      </c>
      <c r="U798" s="261" t="s">
        <v>3687</v>
      </c>
      <c r="V798" s="232" t="s">
        <v>3853</v>
      </c>
      <c r="W798" s="232">
        <v>0</v>
      </c>
      <c r="X798" s="232">
        <v>-10756.6</v>
      </c>
      <c r="Y798" s="87" t="s">
        <v>3685</v>
      </c>
      <c r="Z798" s="87" t="s">
        <v>50</v>
      </c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261" t="s">
        <v>3687</v>
      </c>
    </row>
    <row r="799" spans="1:43">
      <c r="A799" s="12">
        <v>796</v>
      </c>
      <c r="B799" s="21" t="s">
        <v>3685</v>
      </c>
      <c r="C799" s="5" t="s">
        <v>3854</v>
      </c>
      <c r="D799" s="5" t="s">
        <v>605</v>
      </c>
      <c r="E799" s="5" t="s">
        <v>605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11" t="s">
        <v>46</v>
      </c>
      <c r="Q799" s="5" t="s">
        <v>46</v>
      </c>
      <c r="R799" s="5" t="str">
        <f t="shared" si="13"/>
        <v/>
      </c>
      <c r="S799" s="5" t="s">
        <v>46</v>
      </c>
      <c r="T799" s="12">
        <v>796</v>
      </c>
      <c r="U799" s="261" t="s">
        <v>3687</v>
      </c>
      <c r="V799" s="232" t="s">
        <v>3854</v>
      </c>
      <c r="W799" s="232">
        <v>12309.1</v>
      </c>
      <c r="X799" s="232">
        <v>-10727.5</v>
      </c>
      <c r="Y799" s="87" t="s">
        <v>3685</v>
      </c>
      <c r="Z799" s="87" t="s">
        <v>50</v>
      </c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261" t="s">
        <v>3687</v>
      </c>
    </row>
    <row r="800" spans="1:43">
      <c r="A800" s="12">
        <v>797</v>
      </c>
      <c r="B800" s="21" t="s">
        <v>3685</v>
      </c>
      <c r="C800" s="5" t="s">
        <v>3855</v>
      </c>
      <c r="D800" s="5" t="s">
        <v>605</v>
      </c>
      <c r="E800" s="5" t="s">
        <v>605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11" t="s">
        <v>46</v>
      </c>
      <c r="Q800" s="5" t="s">
        <v>46</v>
      </c>
      <c r="R800" s="5" t="str">
        <f t="shared" si="13"/>
        <v/>
      </c>
      <c r="S800" s="5" t="s">
        <v>46</v>
      </c>
      <c r="T800" s="12">
        <v>797</v>
      </c>
      <c r="U800" s="261" t="s">
        <v>3687</v>
      </c>
      <c r="V800" s="232" t="s">
        <v>3855</v>
      </c>
      <c r="W800" s="232">
        <v>-2729</v>
      </c>
      <c r="X800" s="232">
        <v>-10756.6</v>
      </c>
      <c r="Y800" s="87" t="s">
        <v>3685</v>
      </c>
      <c r="Z800" s="87" t="s">
        <v>50</v>
      </c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261" t="s">
        <v>3687</v>
      </c>
    </row>
    <row r="801" spans="1:43">
      <c r="A801" s="12">
        <v>798</v>
      </c>
      <c r="B801" s="21" t="s">
        <v>3685</v>
      </c>
      <c r="C801" s="5" t="s">
        <v>3856</v>
      </c>
      <c r="D801" s="5" t="s">
        <v>605</v>
      </c>
      <c r="E801" s="5" t="s">
        <v>605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11" t="s">
        <v>46</v>
      </c>
      <c r="Q801" s="5" t="s">
        <v>46</v>
      </c>
      <c r="R801" s="5" t="str">
        <f t="shared" si="13"/>
        <v/>
      </c>
      <c r="S801" s="5" t="s">
        <v>46</v>
      </c>
      <c r="T801" s="12">
        <v>798</v>
      </c>
      <c r="U801" s="261" t="s">
        <v>3687</v>
      </c>
      <c r="V801" s="232" t="s">
        <v>3856</v>
      </c>
      <c r="W801" s="232">
        <v>-4093.5</v>
      </c>
      <c r="X801" s="232">
        <v>-10736.6</v>
      </c>
      <c r="Y801" s="87" t="s">
        <v>3685</v>
      </c>
      <c r="Z801" s="87" t="s">
        <v>50</v>
      </c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261" t="s">
        <v>3687</v>
      </c>
    </row>
    <row r="802" spans="1:43">
      <c r="A802" s="12">
        <v>799</v>
      </c>
      <c r="B802" s="21" t="s">
        <v>3685</v>
      </c>
      <c r="C802" s="5" t="s">
        <v>3857</v>
      </c>
      <c r="D802" s="5" t="s">
        <v>605</v>
      </c>
      <c r="E802" s="5" t="s">
        <v>605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11" t="s">
        <v>46</v>
      </c>
      <c r="Q802" s="5" t="s">
        <v>46</v>
      </c>
      <c r="R802" s="5" t="str">
        <f t="shared" si="13"/>
        <v/>
      </c>
      <c r="S802" s="5" t="s">
        <v>46</v>
      </c>
      <c r="T802" s="12">
        <v>799</v>
      </c>
      <c r="U802" s="261" t="s">
        <v>3687</v>
      </c>
      <c r="V802" s="232" t="s">
        <v>3857</v>
      </c>
      <c r="W802" s="232">
        <v>11807.2</v>
      </c>
      <c r="X802" s="232">
        <v>-10726.6</v>
      </c>
      <c r="Y802" s="87" t="s">
        <v>3685</v>
      </c>
      <c r="Z802" s="87" t="s">
        <v>50</v>
      </c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261" t="s">
        <v>3687</v>
      </c>
    </row>
    <row r="803" spans="1:43">
      <c r="A803" s="12">
        <v>800</v>
      </c>
      <c r="B803" s="21" t="s">
        <v>3685</v>
      </c>
      <c r="C803" s="5" t="s">
        <v>3858</v>
      </c>
      <c r="D803" s="5" t="s">
        <v>605</v>
      </c>
      <c r="E803" s="5" t="s">
        <v>605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11" t="s">
        <v>46</v>
      </c>
      <c r="Q803" s="5" t="s">
        <v>46</v>
      </c>
      <c r="R803" s="5" t="str">
        <f t="shared" si="13"/>
        <v/>
      </c>
      <c r="S803" s="5" t="s">
        <v>46</v>
      </c>
      <c r="T803" s="12">
        <v>800</v>
      </c>
      <c r="U803" s="261" t="s">
        <v>3687</v>
      </c>
      <c r="V803" s="232" t="s">
        <v>3858</v>
      </c>
      <c r="W803" s="232">
        <v>-5458</v>
      </c>
      <c r="X803" s="232">
        <v>-10756.6</v>
      </c>
      <c r="Y803" s="87" t="s">
        <v>3685</v>
      </c>
      <c r="Z803" s="87" t="s">
        <v>50</v>
      </c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261" t="s">
        <v>3687</v>
      </c>
    </row>
    <row r="804" spans="1:43">
      <c r="A804" s="12">
        <v>801</v>
      </c>
      <c r="B804" s="21" t="s">
        <v>3685</v>
      </c>
      <c r="C804" s="5" t="s">
        <v>3859</v>
      </c>
      <c r="D804" s="5" t="s">
        <v>605</v>
      </c>
      <c r="E804" s="5" t="s">
        <v>605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11" t="s">
        <v>46</v>
      </c>
      <c r="Q804" s="5" t="s">
        <v>46</v>
      </c>
      <c r="R804" s="5" t="str">
        <f t="shared" si="13"/>
        <v/>
      </c>
      <c r="S804" s="5" t="s">
        <v>46</v>
      </c>
      <c r="T804" s="12">
        <v>801</v>
      </c>
      <c r="U804" s="261" t="s">
        <v>3687</v>
      </c>
      <c r="V804" s="232" t="s">
        <v>3859</v>
      </c>
      <c r="W804" s="232">
        <v>-6822.5</v>
      </c>
      <c r="X804" s="232">
        <v>-10736.6</v>
      </c>
      <c r="Y804" s="87" t="s">
        <v>3685</v>
      </c>
      <c r="Z804" s="87" t="s">
        <v>50</v>
      </c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261" t="s">
        <v>3687</v>
      </c>
    </row>
    <row r="805" spans="1:43">
      <c r="A805" s="12">
        <v>802</v>
      </c>
      <c r="B805" s="21" t="s">
        <v>3685</v>
      </c>
      <c r="C805" s="5" t="s">
        <v>3860</v>
      </c>
      <c r="D805" s="5" t="s">
        <v>605</v>
      </c>
      <c r="E805" s="5" t="s">
        <v>605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11" t="s">
        <v>46</v>
      </c>
      <c r="Q805" s="5" t="s">
        <v>46</v>
      </c>
      <c r="R805" s="5" t="str">
        <f t="shared" si="13"/>
        <v/>
      </c>
      <c r="S805" s="5" t="s">
        <v>46</v>
      </c>
      <c r="T805" s="12">
        <v>802</v>
      </c>
      <c r="U805" s="261" t="s">
        <v>3687</v>
      </c>
      <c r="V805" s="232" t="s">
        <v>3860</v>
      </c>
      <c r="W805" s="232">
        <v>-8187</v>
      </c>
      <c r="X805" s="232">
        <v>-10756.6</v>
      </c>
      <c r="Y805" s="87" t="s">
        <v>3685</v>
      </c>
      <c r="Z805" s="87" t="s">
        <v>50</v>
      </c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261" t="s">
        <v>3687</v>
      </c>
    </row>
    <row r="806" spans="1:43">
      <c r="A806" s="12">
        <v>803</v>
      </c>
      <c r="B806" s="21" t="s">
        <v>3685</v>
      </c>
      <c r="C806" s="5" t="s">
        <v>3861</v>
      </c>
      <c r="D806" s="5" t="s">
        <v>605</v>
      </c>
      <c r="E806" s="5" t="s">
        <v>605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11" t="s">
        <v>46</v>
      </c>
      <c r="Q806" s="5" t="s">
        <v>46</v>
      </c>
      <c r="R806" s="5" t="str">
        <f t="shared" si="13"/>
        <v/>
      </c>
      <c r="S806" s="5" t="s">
        <v>46</v>
      </c>
      <c r="T806" s="12">
        <v>803</v>
      </c>
      <c r="U806" s="261" t="s">
        <v>3687</v>
      </c>
      <c r="V806" s="232" t="s">
        <v>3861</v>
      </c>
      <c r="W806" s="232">
        <v>-9551.5</v>
      </c>
      <c r="X806" s="232">
        <v>-10736.6</v>
      </c>
      <c r="Y806" s="87" t="s">
        <v>3685</v>
      </c>
      <c r="Z806" s="87" t="s">
        <v>50</v>
      </c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261" t="s">
        <v>3687</v>
      </c>
    </row>
    <row r="807" spans="1:43">
      <c r="A807" s="12">
        <v>804</v>
      </c>
      <c r="B807" s="21" t="s">
        <v>3685</v>
      </c>
      <c r="C807" s="5" t="s">
        <v>3862</v>
      </c>
      <c r="D807" s="5" t="s">
        <v>605</v>
      </c>
      <c r="E807" s="5" t="s">
        <v>605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11" t="s">
        <v>46</v>
      </c>
      <c r="Q807" s="5" t="s">
        <v>46</v>
      </c>
      <c r="R807" s="5" t="str">
        <f t="shared" si="13"/>
        <v/>
      </c>
      <c r="S807" s="5" t="s">
        <v>46</v>
      </c>
      <c r="T807" s="12">
        <v>804</v>
      </c>
      <c r="U807" s="261" t="s">
        <v>3687</v>
      </c>
      <c r="V807" s="232" t="s">
        <v>3862</v>
      </c>
      <c r="W807" s="232">
        <v>-11807.2</v>
      </c>
      <c r="X807" s="232">
        <v>-10726.6</v>
      </c>
      <c r="Y807" s="87" t="s">
        <v>3685</v>
      </c>
      <c r="Z807" s="87" t="s">
        <v>50</v>
      </c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261" t="s">
        <v>3687</v>
      </c>
    </row>
    <row r="808" spans="1:43">
      <c r="A808" s="12">
        <v>805</v>
      </c>
      <c r="B808" s="21" t="s">
        <v>3685</v>
      </c>
      <c r="C808" s="5" t="s">
        <v>3863</v>
      </c>
      <c r="D808" s="5" t="s">
        <v>605</v>
      </c>
      <c r="E808" s="5" t="s">
        <v>605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11" t="s">
        <v>46</v>
      </c>
      <c r="Q808" s="5" t="s">
        <v>46</v>
      </c>
      <c r="R808" s="5" t="str">
        <f t="shared" si="13"/>
        <v/>
      </c>
      <c r="S808" s="5" t="s">
        <v>46</v>
      </c>
      <c r="T808" s="12">
        <v>805</v>
      </c>
      <c r="U808" s="261" t="s">
        <v>3687</v>
      </c>
      <c r="V808" s="232" t="s">
        <v>3863</v>
      </c>
      <c r="W808" s="232">
        <v>-12309.1</v>
      </c>
      <c r="X808" s="232">
        <v>-10727.5</v>
      </c>
      <c r="Y808" s="87" t="s">
        <v>3685</v>
      </c>
      <c r="Z808" s="87" t="s">
        <v>50</v>
      </c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261" t="s">
        <v>3687</v>
      </c>
    </row>
    <row r="809" spans="1:43">
      <c r="A809" s="12">
        <v>806</v>
      </c>
      <c r="B809" s="21" t="s">
        <v>3685</v>
      </c>
      <c r="C809" s="5" t="s">
        <v>3864</v>
      </c>
      <c r="D809" s="5" t="s">
        <v>605</v>
      </c>
      <c r="E809" s="5" t="s">
        <v>605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11" t="s">
        <v>46</v>
      </c>
      <c r="Q809" s="5" t="s">
        <v>46</v>
      </c>
      <c r="R809" s="5" t="str">
        <f t="shared" si="13"/>
        <v/>
      </c>
      <c r="S809" s="5" t="s">
        <v>46</v>
      </c>
      <c r="T809" s="12">
        <v>806</v>
      </c>
      <c r="U809" s="261" t="s">
        <v>3687</v>
      </c>
      <c r="V809" s="232" t="s">
        <v>3864</v>
      </c>
      <c r="W809" s="232">
        <v>4911.8999999999996</v>
      </c>
      <c r="X809" s="232">
        <v>7707.4</v>
      </c>
      <c r="Y809" s="87" t="s">
        <v>3685</v>
      </c>
      <c r="Z809" s="87" t="s">
        <v>50</v>
      </c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261" t="s">
        <v>3687</v>
      </c>
    </row>
    <row r="810" spans="1:43">
      <c r="A810" s="12">
        <v>807</v>
      </c>
      <c r="B810" s="21" t="s">
        <v>3685</v>
      </c>
      <c r="C810" s="5" t="s">
        <v>3865</v>
      </c>
      <c r="D810" s="5" t="s">
        <v>605</v>
      </c>
      <c r="E810" s="5" t="s">
        <v>605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11" t="s">
        <v>46</v>
      </c>
      <c r="Q810" s="5" t="s">
        <v>46</v>
      </c>
      <c r="R810" s="5" t="str">
        <f t="shared" si="13"/>
        <v/>
      </c>
      <c r="S810" s="5" t="s">
        <v>46</v>
      </c>
      <c r="T810" s="12">
        <v>807</v>
      </c>
      <c r="U810" s="261" t="s">
        <v>3687</v>
      </c>
      <c r="V810" s="232" t="s">
        <v>3865</v>
      </c>
      <c r="W810" s="232">
        <v>2182.9</v>
      </c>
      <c r="X810" s="232">
        <v>7707.4</v>
      </c>
      <c r="Y810" s="87" t="s">
        <v>3685</v>
      </c>
      <c r="Z810" s="87" t="s">
        <v>50</v>
      </c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261" t="s">
        <v>3687</v>
      </c>
    </row>
    <row r="811" spans="1:43">
      <c r="A811" s="12">
        <v>808</v>
      </c>
      <c r="B811" s="21" t="s">
        <v>3685</v>
      </c>
      <c r="C811" s="5" t="s">
        <v>3866</v>
      </c>
      <c r="D811" s="5" t="s">
        <v>605</v>
      </c>
      <c r="E811" s="5" t="s">
        <v>605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11" t="s">
        <v>46</v>
      </c>
      <c r="Q811" s="5" t="s">
        <v>46</v>
      </c>
      <c r="R811" s="5" t="str">
        <f t="shared" si="13"/>
        <v/>
      </c>
      <c r="S811" s="5" t="s">
        <v>46</v>
      </c>
      <c r="T811" s="12">
        <v>808</v>
      </c>
      <c r="U811" s="261" t="s">
        <v>3687</v>
      </c>
      <c r="V811" s="232" t="s">
        <v>3866</v>
      </c>
      <c r="W811" s="232">
        <v>-546.1</v>
      </c>
      <c r="X811" s="232">
        <v>7707.4</v>
      </c>
      <c r="Y811" s="87" t="s">
        <v>3685</v>
      </c>
      <c r="Z811" s="87" t="s">
        <v>50</v>
      </c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261" t="s">
        <v>3687</v>
      </c>
    </row>
    <row r="812" spans="1:43">
      <c r="A812" s="12">
        <v>809</v>
      </c>
      <c r="B812" s="21" t="s">
        <v>3685</v>
      </c>
      <c r="C812" s="5" t="s">
        <v>3867</v>
      </c>
      <c r="D812" s="5" t="s">
        <v>605</v>
      </c>
      <c r="E812" s="5" t="s">
        <v>605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11" t="s">
        <v>46</v>
      </c>
      <c r="Q812" s="5" t="s">
        <v>46</v>
      </c>
      <c r="R812" s="5" t="str">
        <f t="shared" si="13"/>
        <v/>
      </c>
      <c r="S812" s="5" t="s">
        <v>46</v>
      </c>
      <c r="T812" s="12">
        <v>809</v>
      </c>
      <c r="U812" s="261" t="s">
        <v>3687</v>
      </c>
      <c r="V812" s="232" t="s">
        <v>3867</v>
      </c>
      <c r="W812" s="232">
        <v>-3275.1</v>
      </c>
      <c r="X812" s="232">
        <v>7707.4</v>
      </c>
      <c r="Y812" s="87" t="s">
        <v>3685</v>
      </c>
      <c r="Z812" s="87" t="s">
        <v>50</v>
      </c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261" t="s">
        <v>3687</v>
      </c>
    </row>
    <row r="813" spans="1:43">
      <c r="A813" s="12">
        <v>810</v>
      </c>
      <c r="B813" s="21" t="s">
        <v>3685</v>
      </c>
      <c r="C813" s="5" t="s">
        <v>3868</v>
      </c>
      <c r="D813" s="5" t="s">
        <v>605</v>
      </c>
      <c r="E813" s="5" t="s">
        <v>605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11" t="s">
        <v>46</v>
      </c>
      <c r="Q813" s="5" t="s">
        <v>46</v>
      </c>
      <c r="R813" s="5" t="str">
        <f t="shared" si="13"/>
        <v/>
      </c>
      <c r="S813" s="5" t="s">
        <v>46</v>
      </c>
      <c r="T813" s="12">
        <v>810</v>
      </c>
      <c r="U813" s="261" t="s">
        <v>3687</v>
      </c>
      <c r="V813" s="232" t="s">
        <v>3868</v>
      </c>
      <c r="W813" s="232">
        <v>-6004.1</v>
      </c>
      <c r="X813" s="232">
        <v>7707.4</v>
      </c>
      <c r="Y813" s="87" t="s">
        <v>3685</v>
      </c>
      <c r="Z813" s="87" t="s">
        <v>50</v>
      </c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261" t="s">
        <v>3687</v>
      </c>
    </row>
    <row r="814" spans="1:43">
      <c r="A814" s="12">
        <v>811</v>
      </c>
      <c r="B814" s="21" t="s">
        <v>3685</v>
      </c>
      <c r="C814" s="5" t="s">
        <v>3869</v>
      </c>
      <c r="D814" s="5" t="s">
        <v>605</v>
      </c>
      <c r="E814" s="5" t="s">
        <v>605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11" t="s">
        <v>46</v>
      </c>
      <c r="Q814" s="5" t="s">
        <v>46</v>
      </c>
      <c r="R814" s="5" t="str">
        <f t="shared" si="13"/>
        <v/>
      </c>
      <c r="S814" s="5" t="s">
        <v>46</v>
      </c>
      <c r="T814" s="12">
        <v>811</v>
      </c>
      <c r="U814" s="261" t="s">
        <v>3687</v>
      </c>
      <c r="V814" s="232" t="s">
        <v>3869</v>
      </c>
      <c r="W814" s="232">
        <v>-9735.6</v>
      </c>
      <c r="X814" s="232">
        <v>7457.1</v>
      </c>
      <c r="Y814" s="87" t="s">
        <v>3685</v>
      </c>
      <c r="Z814" s="87" t="s">
        <v>50</v>
      </c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261" t="s">
        <v>3687</v>
      </c>
    </row>
    <row r="815" spans="1:43">
      <c r="A815" s="12">
        <v>812</v>
      </c>
      <c r="B815" s="21" t="s">
        <v>3685</v>
      </c>
      <c r="C815" s="5" t="s">
        <v>3870</v>
      </c>
      <c r="D815" s="5" t="s">
        <v>605</v>
      </c>
      <c r="E815" s="5" t="s">
        <v>605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11" t="s">
        <v>46</v>
      </c>
      <c r="Q815" s="5" t="s">
        <v>46</v>
      </c>
      <c r="R815" s="5" t="str">
        <f t="shared" si="13"/>
        <v/>
      </c>
      <c r="S815" s="5" t="s">
        <v>46</v>
      </c>
      <c r="T815" s="12">
        <v>812</v>
      </c>
      <c r="U815" s="261" t="s">
        <v>3687</v>
      </c>
      <c r="V815" s="232" t="s">
        <v>3870</v>
      </c>
      <c r="W815" s="232">
        <v>-10449.6</v>
      </c>
      <c r="X815" s="232">
        <v>7741.5</v>
      </c>
      <c r="Y815" s="87" t="s">
        <v>3685</v>
      </c>
      <c r="Z815" s="87" t="s">
        <v>50</v>
      </c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261" t="s">
        <v>3687</v>
      </c>
    </row>
    <row r="816" spans="1:43">
      <c r="A816" s="12">
        <v>813</v>
      </c>
      <c r="B816" s="21" t="s">
        <v>3685</v>
      </c>
      <c r="C816" s="5" t="s">
        <v>3871</v>
      </c>
      <c r="D816" s="5" t="s">
        <v>605</v>
      </c>
      <c r="E816" s="5" t="s">
        <v>605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11" t="s">
        <v>46</v>
      </c>
      <c r="Q816" s="5" t="s">
        <v>46</v>
      </c>
      <c r="R816" s="5" t="str">
        <f t="shared" si="13"/>
        <v/>
      </c>
      <c r="S816" s="5" t="s">
        <v>46</v>
      </c>
      <c r="T816" s="12">
        <v>813</v>
      </c>
      <c r="U816" s="261" t="s">
        <v>3687</v>
      </c>
      <c r="V816" s="232" t="s">
        <v>3871</v>
      </c>
      <c r="W816" s="232">
        <v>10449.6</v>
      </c>
      <c r="X816" s="232">
        <v>7741.5</v>
      </c>
      <c r="Y816" s="87" t="s">
        <v>3685</v>
      </c>
      <c r="Z816" s="87" t="s">
        <v>50</v>
      </c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261" t="s">
        <v>3687</v>
      </c>
    </row>
    <row r="817" spans="1:43">
      <c r="A817" s="12">
        <v>814</v>
      </c>
      <c r="B817" s="21" t="s">
        <v>3685</v>
      </c>
      <c r="C817" s="5" t="s">
        <v>3872</v>
      </c>
      <c r="D817" s="5" t="s">
        <v>605</v>
      </c>
      <c r="E817" s="5" t="s">
        <v>605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11" t="s">
        <v>46</v>
      </c>
      <c r="Q817" s="5" t="s">
        <v>46</v>
      </c>
      <c r="R817" s="5" t="str">
        <f t="shared" si="13"/>
        <v/>
      </c>
      <c r="S817" s="5" t="s">
        <v>46</v>
      </c>
      <c r="T817" s="12">
        <v>814</v>
      </c>
      <c r="U817" s="261" t="s">
        <v>3687</v>
      </c>
      <c r="V817" s="232" t="s">
        <v>3872</v>
      </c>
      <c r="W817" s="232">
        <v>9735.6</v>
      </c>
      <c r="X817" s="232">
        <v>7457.1</v>
      </c>
      <c r="Y817" s="87" t="s">
        <v>3685</v>
      </c>
      <c r="Z817" s="87" t="s">
        <v>50</v>
      </c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261" t="s">
        <v>3687</v>
      </c>
    </row>
    <row r="818" spans="1:43">
      <c r="A818" s="12">
        <v>815</v>
      </c>
      <c r="B818" s="21" t="s">
        <v>3685</v>
      </c>
      <c r="C818" s="5" t="s">
        <v>3873</v>
      </c>
      <c r="D818" s="5" t="s">
        <v>605</v>
      </c>
      <c r="E818" s="5" t="s">
        <v>605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11" t="s">
        <v>46</v>
      </c>
      <c r="Q818" s="5" t="s">
        <v>46</v>
      </c>
      <c r="R818" s="5" t="str">
        <f t="shared" si="13"/>
        <v/>
      </c>
      <c r="S818" s="5" t="s">
        <v>46</v>
      </c>
      <c r="T818" s="12">
        <v>815</v>
      </c>
      <c r="U818" s="261" t="s">
        <v>3687</v>
      </c>
      <c r="V818" s="232" t="s">
        <v>3873</v>
      </c>
      <c r="W818" s="232">
        <v>13439.1</v>
      </c>
      <c r="X818" s="232">
        <v>8294.4</v>
      </c>
      <c r="Y818" s="87" t="s">
        <v>3685</v>
      </c>
      <c r="Z818" s="87" t="s">
        <v>50</v>
      </c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261" t="s">
        <v>3687</v>
      </c>
    </row>
    <row r="819" spans="1:43">
      <c r="A819" s="12">
        <v>816</v>
      </c>
      <c r="B819" s="21" t="s">
        <v>3685</v>
      </c>
      <c r="C819" s="5" t="s">
        <v>3874</v>
      </c>
      <c r="D819" s="5" t="s">
        <v>605</v>
      </c>
      <c r="E819" s="5" t="s">
        <v>605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11" t="s">
        <v>46</v>
      </c>
      <c r="Q819" s="5" t="s">
        <v>46</v>
      </c>
      <c r="R819" s="5" t="str">
        <f t="shared" si="13"/>
        <v/>
      </c>
      <c r="S819" s="5" t="s">
        <v>46</v>
      </c>
      <c r="T819" s="12">
        <v>816</v>
      </c>
      <c r="U819" s="261" t="s">
        <v>3687</v>
      </c>
      <c r="V819" s="232" t="s">
        <v>3874</v>
      </c>
      <c r="W819" s="232">
        <v>5955.9</v>
      </c>
      <c r="X819" s="232">
        <v>8217.2999999999993</v>
      </c>
      <c r="Y819" s="87" t="s">
        <v>3685</v>
      </c>
      <c r="Z819" s="87" t="s">
        <v>50</v>
      </c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261" t="s">
        <v>3687</v>
      </c>
    </row>
    <row r="820" spans="1:43">
      <c r="A820" s="12">
        <v>817</v>
      </c>
      <c r="B820" s="21" t="s">
        <v>3685</v>
      </c>
      <c r="C820" s="5" t="s">
        <v>3875</v>
      </c>
      <c r="D820" s="5" t="s">
        <v>605</v>
      </c>
      <c r="E820" s="5" t="s">
        <v>605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11" t="s">
        <v>46</v>
      </c>
      <c r="Q820" s="5" t="s">
        <v>46</v>
      </c>
      <c r="R820" s="5" t="str">
        <f t="shared" si="13"/>
        <v/>
      </c>
      <c r="S820" s="5" t="s">
        <v>46</v>
      </c>
      <c r="T820" s="12">
        <v>817</v>
      </c>
      <c r="U820" s="261" t="s">
        <v>3687</v>
      </c>
      <c r="V820" s="232" t="s">
        <v>3875</v>
      </c>
      <c r="W820" s="232">
        <v>-10883.1</v>
      </c>
      <c r="X820" s="232">
        <v>8100</v>
      </c>
      <c r="Y820" s="87" t="s">
        <v>3685</v>
      </c>
      <c r="Z820" s="87" t="s">
        <v>50</v>
      </c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261" t="s">
        <v>3687</v>
      </c>
    </row>
    <row r="821" spans="1:43">
      <c r="A821" s="12">
        <v>818</v>
      </c>
      <c r="B821" s="21" t="s">
        <v>3685</v>
      </c>
      <c r="C821" s="5" t="s">
        <v>3876</v>
      </c>
      <c r="D821" s="5" t="s">
        <v>605</v>
      </c>
      <c r="E821" s="5" t="s">
        <v>605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11" t="s">
        <v>46</v>
      </c>
      <c r="Q821" s="5" t="s">
        <v>46</v>
      </c>
      <c r="R821" s="5" t="str">
        <f t="shared" si="13"/>
        <v/>
      </c>
      <c r="S821" s="5" t="s">
        <v>46</v>
      </c>
      <c r="T821" s="12">
        <v>818</v>
      </c>
      <c r="U821" s="261" t="s">
        <v>3687</v>
      </c>
      <c r="V821" s="232" t="s">
        <v>3876</v>
      </c>
      <c r="W821" s="232">
        <v>-13439.1</v>
      </c>
      <c r="X821" s="232">
        <v>8294.4</v>
      </c>
      <c r="Y821" s="87" t="s">
        <v>3685</v>
      </c>
      <c r="Z821" s="87" t="s">
        <v>50</v>
      </c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261" t="s">
        <v>3687</v>
      </c>
    </row>
    <row r="822" spans="1:43">
      <c r="A822" s="12">
        <v>819</v>
      </c>
      <c r="B822" s="21" t="s">
        <v>3685</v>
      </c>
      <c r="C822" s="5" t="s">
        <v>3877</v>
      </c>
      <c r="D822" s="5" t="s">
        <v>605</v>
      </c>
      <c r="E822" s="5" t="s">
        <v>605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11" t="s">
        <v>46</v>
      </c>
      <c r="Q822" s="5" t="s">
        <v>46</v>
      </c>
      <c r="R822" s="5" t="str">
        <f t="shared" si="13"/>
        <v/>
      </c>
      <c r="S822" s="5" t="s">
        <v>46</v>
      </c>
      <c r="T822" s="12">
        <v>819</v>
      </c>
      <c r="U822" s="261" t="s">
        <v>3687</v>
      </c>
      <c r="V822" s="232" t="s">
        <v>3877</v>
      </c>
      <c r="W822" s="232">
        <v>8005.6</v>
      </c>
      <c r="X822" s="232">
        <v>8695.7999999999993</v>
      </c>
      <c r="Y822" s="87" t="s">
        <v>3685</v>
      </c>
      <c r="Z822" s="87" t="s">
        <v>50</v>
      </c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261" t="s">
        <v>3687</v>
      </c>
    </row>
    <row r="823" spans="1:43">
      <c r="A823" s="12">
        <v>820</v>
      </c>
      <c r="B823" s="21" t="s">
        <v>3685</v>
      </c>
      <c r="C823" s="5" t="s">
        <v>3878</v>
      </c>
      <c r="D823" s="5" t="s">
        <v>605</v>
      </c>
      <c r="E823" s="5" t="s">
        <v>605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11" t="s">
        <v>46</v>
      </c>
      <c r="Q823" s="5" t="s">
        <v>46</v>
      </c>
      <c r="R823" s="5" t="str">
        <f t="shared" si="13"/>
        <v/>
      </c>
      <c r="S823" s="5" t="s">
        <v>46</v>
      </c>
      <c r="T823" s="12">
        <v>820</v>
      </c>
      <c r="U823" s="261" t="s">
        <v>3687</v>
      </c>
      <c r="V823" s="232" t="s">
        <v>3878</v>
      </c>
      <c r="W823" s="232">
        <v>3554.6</v>
      </c>
      <c r="X823" s="232">
        <v>8418.6</v>
      </c>
      <c r="Y823" s="87" t="s">
        <v>3685</v>
      </c>
      <c r="Z823" s="87" t="s">
        <v>50</v>
      </c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261" t="s">
        <v>3687</v>
      </c>
    </row>
    <row r="824" spans="1:43">
      <c r="A824" s="12">
        <v>821</v>
      </c>
      <c r="B824" s="21" t="s">
        <v>3685</v>
      </c>
      <c r="C824" s="5" t="s">
        <v>3879</v>
      </c>
      <c r="D824" s="5" t="s">
        <v>605</v>
      </c>
      <c r="E824" s="5" t="s">
        <v>605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11" t="s">
        <v>46</v>
      </c>
      <c r="Q824" s="5" t="s">
        <v>46</v>
      </c>
      <c r="R824" s="5" t="str">
        <f t="shared" si="13"/>
        <v/>
      </c>
      <c r="S824" s="5" t="s">
        <v>46</v>
      </c>
      <c r="T824" s="12">
        <v>821</v>
      </c>
      <c r="U824" s="261" t="s">
        <v>3687</v>
      </c>
      <c r="V824" s="232" t="s">
        <v>3879</v>
      </c>
      <c r="W824" s="232">
        <v>825.6</v>
      </c>
      <c r="X824" s="232">
        <v>8418.6</v>
      </c>
      <c r="Y824" s="87" t="s">
        <v>3685</v>
      </c>
      <c r="Z824" s="87" t="s">
        <v>50</v>
      </c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261" t="s">
        <v>3687</v>
      </c>
    </row>
    <row r="825" spans="1:43">
      <c r="A825" s="12">
        <v>822</v>
      </c>
      <c r="B825" s="21" t="s">
        <v>3685</v>
      </c>
      <c r="C825" s="5" t="s">
        <v>3880</v>
      </c>
      <c r="D825" s="5" t="s">
        <v>605</v>
      </c>
      <c r="E825" s="5" t="s">
        <v>605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11" t="s">
        <v>46</v>
      </c>
      <c r="Q825" s="5" t="s">
        <v>46</v>
      </c>
      <c r="R825" s="5" t="str">
        <f t="shared" si="13"/>
        <v/>
      </c>
      <c r="S825" s="5" t="s">
        <v>46</v>
      </c>
      <c r="T825" s="12">
        <v>822</v>
      </c>
      <c r="U825" s="261" t="s">
        <v>3687</v>
      </c>
      <c r="V825" s="232" t="s">
        <v>3880</v>
      </c>
      <c r="W825" s="232">
        <v>-1903.4</v>
      </c>
      <c r="X825" s="232">
        <v>8418.6</v>
      </c>
      <c r="Y825" s="87" t="s">
        <v>3685</v>
      </c>
      <c r="Z825" s="87" t="s">
        <v>50</v>
      </c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261" t="s">
        <v>3687</v>
      </c>
    </row>
    <row r="826" spans="1:43">
      <c r="A826" s="12">
        <v>823</v>
      </c>
      <c r="B826" s="21" t="s">
        <v>3685</v>
      </c>
      <c r="C826" s="5" t="s">
        <v>3881</v>
      </c>
      <c r="D826" s="5" t="s">
        <v>605</v>
      </c>
      <c r="E826" s="5" t="s">
        <v>605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11" t="s">
        <v>46</v>
      </c>
      <c r="Q826" s="5" t="s">
        <v>46</v>
      </c>
      <c r="R826" s="5" t="str">
        <f t="shared" si="13"/>
        <v/>
      </c>
      <c r="S826" s="5" t="s">
        <v>46</v>
      </c>
      <c r="T826" s="12">
        <v>823</v>
      </c>
      <c r="U826" s="261" t="s">
        <v>3687</v>
      </c>
      <c r="V826" s="232" t="s">
        <v>3881</v>
      </c>
      <c r="W826" s="232">
        <v>-4632.3999999999996</v>
      </c>
      <c r="X826" s="232">
        <v>8418.6</v>
      </c>
      <c r="Y826" s="87" t="s">
        <v>3685</v>
      </c>
      <c r="Z826" s="87" t="s">
        <v>50</v>
      </c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261" t="s">
        <v>3687</v>
      </c>
    </row>
    <row r="827" spans="1:43">
      <c r="A827" s="12">
        <v>824</v>
      </c>
      <c r="B827" s="21" t="s">
        <v>3685</v>
      </c>
      <c r="C827" s="5" t="s">
        <v>3882</v>
      </c>
      <c r="D827" s="5" t="s">
        <v>605</v>
      </c>
      <c r="E827" s="5" t="s">
        <v>605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11" t="s">
        <v>46</v>
      </c>
      <c r="Q827" s="5" t="s">
        <v>46</v>
      </c>
      <c r="R827" s="5" t="str">
        <f t="shared" si="13"/>
        <v/>
      </c>
      <c r="S827" s="5" t="s">
        <v>46</v>
      </c>
      <c r="T827" s="12">
        <v>824</v>
      </c>
      <c r="U827" s="261" t="s">
        <v>3687</v>
      </c>
      <c r="V827" s="232" t="s">
        <v>3882</v>
      </c>
      <c r="W827" s="232">
        <v>-7361.4</v>
      </c>
      <c r="X827" s="232">
        <v>8418.6</v>
      </c>
      <c r="Y827" s="87" t="s">
        <v>3685</v>
      </c>
      <c r="Z827" s="87" t="s">
        <v>50</v>
      </c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261" t="s">
        <v>3687</v>
      </c>
    </row>
    <row r="828" spans="1:43">
      <c r="A828" s="12">
        <v>825</v>
      </c>
      <c r="B828" s="21" t="s">
        <v>3685</v>
      </c>
      <c r="C828" s="5" t="s">
        <v>3883</v>
      </c>
      <c r="D828" s="5" t="s">
        <v>605</v>
      </c>
      <c r="E828" s="5" t="s">
        <v>605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11" t="s">
        <v>46</v>
      </c>
      <c r="Q828" s="5" t="s">
        <v>46</v>
      </c>
      <c r="R828" s="5" t="str">
        <f t="shared" si="13"/>
        <v/>
      </c>
      <c r="S828" s="5" t="s">
        <v>46</v>
      </c>
      <c r="T828" s="12">
        <v>825</v>
      </c>
      <c r="U828" s="261" t="s">
        <v>3687</v>
      </c>
      <c r="V828" s="232" t="s">
        <v>3883</v>
      </c>
      <c r="W828" s="232">
        <v>5995.7</v>
      </c>
      <c r="X828" s="232">
        <v>9205.2999999999993</v>
      </c>
      <c r="Y828" s="87" t="s">
        <v>3685</v>
      </c>
      <c r="Z828" s="87" t="s">
        <v>50</v>
      </c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261" t="s">
        <v>3687</v>
      </c>
    </row>
    <row r="829" spans="1:43">
      <c r="A829" s="12">
        <v>826</v>
      </c>
      <c r="B829" s="21" t="s">
        <v>3685</v>
      </c>
      <c r="C829" s="5" t="s">
        <v>3884</v>
      </c>
      <c r="D829" s="5" t="s">
        <v>605</v>
      </c>
      <c r="E829" s="5" t="s">
        <v>605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11" t="s">
        <v>46</v>
      </c>
      <c r="Q829" s="5" t="s">
        <v>46</v>
      </c>
      <c r="R829" s="5" t="str">
        <f t="shared" si="13"/>
        <v/>
      </c>
      <c r="S829" s="5" t="s">
        <v>46</v>
      </c>
      <c r="T829" s="12">
        <v>826</v>
      </c>
      <c r="U829" s="261" t="s">
        <v>3687</v>
      </c>
      <c r="V829" s="232" t="s">
        <v>3884</v>
      </c>
      <c r="W829" s="232">
        <v>3554.6</v>
      </c>
      <c r="X829" s="232">
        <v>9129.7999999999993</v>
      </c>
      <c r="Y829" s="87" t="s">
        <v>3685</v>
      </c>
      <c r="Z829" s="87" t="s">
        <v>50</v>
      </c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261" t="s">
        <v>3687</v>
      </c>
    </row>
    <row r="830" spans="1:43">
      <c r="A830" s="12">
        <v>827</v>
      </c>
      <c r="B830" s="21" t="s">
        <v>3685</v>
      </c>
      <c r="C830" s="5" t="s">
        <v>3885</v>
      </c>
      <c r="D830" s="5" t="s">
        <v>605</v>
      </c>
      <c r="E830" s="5" t="s">
        <v>605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11" t="s">
        <v>46</v>
      </c>
      <c r="Q830" s="5" t="s">
        <v>46</v>
      </c>
      <c r="R830" s="5" t="str">
        <f t="shared" si="13"/>
        <v/>
      </c>
      <c r="S830" s="5" t="s">
        <v>46</v>
      </c>
      <c r="T830" s="12">
        <v>827</v>
      </c>
      <c r="U830" s="261" t="s">
        <v>3687</v>
      </c>
      <c r="V830" s="232" t="s">
        <v>3885</v>
      </c>
      <c r="W830" s="232">
        <v>825.6</v>
      </c>
      <c r="X830" s="232">
        <v>9129.7999999999993</v>
      </c>
      <c r="Y830" s="87" t="s">
        <v>3685</v>
      </c>
      <c r="Z830" s="87" t="s">
        <v>50</v>
      </c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261" t="s">
        <v>3687</v>
      </c>
    </row>
    <row r="831" spans="1:43">
      <c r="A831" s="12">
        <v>828</v>
      </c>
      <c r="B831" s="21" t="s">
        <v>3685</v>
      </c>
      <c r="C831" s="5" t="s">
        <v>3886</v>
      </c>
      <c r="D831" s="5" t="s">
        <v>605</v>
      </c>
      <c r="E831" s="5" t="s">
        <v>605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11" t="s">
        <v>46</v>
      </c>
      <c r="Q831" s="5" t="s">
        <v>46</v>
      </c>
      <c r="R831" s="5" t="str">
        <f t="shared" si="13"/>
        <v/>
      </c>
      <c r="S831" s="5" t="s">
        <v>46</v>
      </c>
      <c r="T831" s="12">
        <v>828</v>
      </c>
      <c r="U831" s="261" t="s">
        <v>3687</v>
      </c>
      <c r="V831" s="232" t="s">
        <v>3886</v>
      </c>
      <c r="W831" s="232">
        <v>-1903.4</v>
      </c>
      <c r="X831" s="232">
        <v>9129.7999999999993</v>
      </c>
      <c r="Y831" s="87" t="s">
        <v>3685</v>
      </c>
      <c r="Z831" s="87" t="s">
        <v>50</v>
      </c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261" t="s">
        <v>3687</v>
      </c>
    </row>
    <row r="832" spans="1:43">
      <c r="A832" s="12">
        <v>829</v>
      </c>
      <c r="B832" s="21" t="s">
        <v>3685</v>
      </c>
      <c r="C832" s="5" t="s">
        <v>3887</v>
      </c>
      <c r="D832" s="5" t="s">
        <v>605</v>
      </c>
      <c r="E832" s="5" t="s">
        <v>605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11" t="s">
        <v>46</v>
      </c>
      <c r="Q832" s="5" t="s">
        <v>46</v>
      </c>
      <c r="R832" s="5" t="str">
        <f t="shared" si="13"/>
        <v/>
      </c>
      <c r="S832" s="5" t="s">
        <v>46</v>
      </c>
      <c r="T832" s="12">
        <v>829</v>
      </c>
      <c r="U832" s="261" t="s">
        <v>3687</v>
      </c>
      <c r="V832" s="232" t="s">
        <v>3887</v>
      </c>
      <c r="W832" s="232">
        <v>-4632.3999999999996</v>
      </c>
      <c r="X832" s="232">
        <v>9129.7999999999993</v>
      </c>
      <c r="Y832" s="87" t="s">
        <v>3685</v>
      </c>
      <c r="Z832" s="87" t="s">
        <v>50</v>
      </c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261" t="s">
        <v>3687</v>
      </c>
    </row>
    <row r="833" spans="1:43">
      <c r="A833" s="12">
        <v>830</v>
      </c>
      <c r="B833" s="21" t="s">
        <v>3685</v>
      </c>
      <c r="C833" s="5" t="s">
        <v>3888</v>
      </c>
      <c r="D833" s="5" t="s">
        <v>605</v>
      </c>
      <c r="E833" s="5" t="s">
        <v>605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11" t="s">
        <v>46</v>
      </c>
      <c r="Q833" s="5" t="s">
        <v>46</v>
      </c>
      <c r="R833" s="5" t="str">
        <f t="shared" si="13"/>
        <v/>
      </c>
      <c r="S833" s="5" t="s">
        <v>46</v>
      </c>
      <c r="T833" s="12">
        <v>830</v>
      </c>
      <c r="U833" s="261" t="s">
        <v>3687</v>
      </c>
      <c r="V833" s="232" t="s">
        <v>3888</v>
      </c>
      <c r="W833" s="232">
        <v>-7361.4</v>
      </c>
      <c r="X833" s="232">
        <v>9129.7999999999993</v>
      </c>
      <c r="Y833" s="87" t="s">
        <v>3685</v>
      </c>
      <c r="Z833" s="87" t="s">
        <v>50</v>
      </c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261" t="s">
        <v>3687</v>
      </c>
    </row>
    <row r="834" spans="1:43">
      <c r="A834" s="12">
        <v>831</v>
      </c>
      <c r="B834" s="21" t="s">
        <v>3685</v>
      </c>
      <c r="C834" s="5" t="s">
        <v>3889</v>
      </c>
      <c r="D834" s="5" t="s">
        <v>605</v>
      </c>
      <c r="E834" s="5" t="s">
        <v>605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11" t="s">
        <v>46</v>
      </c>
      <c r="Q834" s="5" t="s">
        <v>46</v>
      </c>
      <c r="R834" s="5" t="str">
        <f t="shared" si="13"/>
        <v/>
      </c>
      <c r="S834" s="5" t="s">
        <v>46</v>
      </c>
      <c r="T834" s="12">
        <v>831</v>
      </c>
      <c r="U834" s="261" t="s">
        <v>3687</v>
      </c>
      <c r="V834" s="232" t="s">
        <v>3889</v>
      </c>
      <c r="W834" s="232">
        <v>-8192.7999999999993</v>
      </c>
      <c r="X834" s="232">
        <v>9205.2999999999993</v>
      </c>
      <c r="Y834" s="87" t="s">
        <v>3685</v>
      </c>
      <c r="Z834" s="87" t="s">
        <v>50</v>
      </c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261" t="s">
        <v>3687</v>
      </c>
    </row>
    <row r="835" spans="1:43">
      <c r="A835" s="12">
        <v>832</v>
      </c>
      <c r="B835" s="21" t="s">
        <v>3685</v>
      </c>
      <c r="C835" s="5" t="s">
        <v>3890</v>
      </c>
      <c r="D835" s="5" t="s">
        <v>605</v>
      </c>
      <c r="E835" s="5" t="s">
        <v>605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11" t="s">
        <v>46</v>
      </c>
      <c r="Q835" s="5" t="s">
        <v>46</v>
      </c>
      <c r="R835" s="5" t="str">
        <f t="shared" si="13"/>
        <v/>
      </c>
      <c r="S835" s="5" t="s">
        <v>46</v>
      </c>
      <c r="T835" s="12">
        <v>832</v>
      </c>
      <c r="U835" s="261" t="s">
        <v>3687</v>
      </c>
      <c r="V835" s="232" t="s">
        <v>3890</v>
      </c>
      <c r="W835" s="232">
        <v>10389.9</v>
      </c>
      <c r="X835" s="232">
        <v>9205.2999999999993</v>
      </c>
      <c r="Y835" s="87" t="s">
        <v>3685</v>
      </c>
      <c r="Z835" s="87" t="s">
        <v>50</v>
      </c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261" t="s">
        <v>3687</v>
      </c>
    </row>
    <row r="836" spans="1:43">
      <c r="A836" s="12">
        <v>833</v>
      </c>
      <c r="B836" s="21" t="s">
        <v>3685</v>
      </c>
      <c r="C836" s="5" t="s">
        <v>3891</v>
      </c>
      <c r="D836" s="5" t="s">
        <v>605</v>
      </c>
      <c r="E836" s="5" t="s">
        <v>605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11" t="s">
        <v>46</v>
      </c>
      <c r="Q836" s="5" t="s">
        <v>46</v>
      </c>
      <c r="R836" s="5" t="str">
        <f t="shared" si="13"/>
        <v/>
      </c>
      <c r="S836" s="5" t="s">
        <v>46</v>
      </c>
      <c r="T836" s="12">
        <v>833</v>
      </c>
      <c r="U836" s="261" t="s">
        <v>3687</v>
      </c>
      <c r="V836" s="232" t="s">
        <v>3891</v>
      </c>
      <c r="W836" s="232">
        <v>7170.4</v>
      </c>
      <c r="X836" s="232">
        <v>9409.5</v>
      </c>
      <c r="Y836" s="87" t="s">
        <v>3685</v>
      </c>
      <c r="Z836" s="87" t="s">
        <v>50</v>
      </c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261" t="s">
        <v>3687</v>
      </c>
    </row>
    <row r="837" spans="1:43">
      <c r="A837" s="12">
        <v>834</v>
      </c>
      <c r="B837" s="21" t="s">
        <v>3685</v>
      </c>
      <c r="C837" s="5" t="s">
        <v>3892</v>
      </c>
      <c r="D837" s="5" t="s">
        <v>605</v>
      </c>
      <c r="E837" s="5" t="s">
        <v>605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11" t="s">
        <v>46</v>
      </c>
      <c r="Q837" s="5" t="s">
        <v>46</v>
      </c>
      <c r="R837" s="5" t="str">
        <f t="shared" ref="R837:R900" si="14">IF(AND(P837="",Q837=""),"",SUM(P837:Q837))</f>
        <v/>
      </c>
      <c r="S837" s="5" t="s">
        <v>46</v>
      </c>
      <c r="T837" s="12">
        <v>834</v>
      </c>
      <c r="U837" s="261" t="s">
        <v>3687</v>
      </c>
      <c r="V837" s="232" t="s">
        <v>3892</v>
      </c>
      <c r="W837" s="232">
        <v>6214.1</v>
      </c>
      <c r="X837" s="232">
        <v>9662.5</v>
      </c>
      <c r="Y837" s="87" t="s">
        <v>3685</v>
      </c>
      <c r="Z837" s="87" t="s">
        <v>50</v>
      </c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261" t="s">
        <v>3687</v>
      </c>
    </row>
    <row r="838" spans="1:43">
      <c r="A838" s="12">
        <v>835</v>
      </c>
      <c r="B838" s="21" t="s">
        <v>3685</v>
      </c>
      <c r="C838" s="5" t="s">
        <v>3893</v>
      </c>
      <c r="D838" s="5" t="s">
        <v>605</v>
      </c>
      <c r="E838" s="5" t="s">
        <v>605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11" t="s">
        <v>46</v>
      </c>
      <c r="Q838" s="5" t="s">
        <v>46</v>
      </c>
      <c r="R838" s="5" t="str">
        <f t="shared" si="14"/>
        <v/>
      </c>
      <c r="S838" s="5" t="s">
        <v>46</v>
      </c>
      <c r="T838" s="12">
        <v>835</v>
      </c>
      <c r="U838" s="261" t="s">
        <v>3687</v>
      </c>
      <c r="V838" s="232" t="s">
        <v>3893</v>
      </c>
      <c r="W838" s="232">
        <v>-7881</v>
      </c>
      <c r="X838" s="232">
        <v>9603.6</v>
      </c>
      <c r="Y838" s="87" t="s">
        <v>3685</v>
      </c>
      <c r="Z838" s="87" t="s">
        <v>50</v>
      </c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261" t="s">
        <v>3687</v>
      </c>
    </row>
    <row r="839" spans="1:43">
      <c r="A839" s="12">
        <v>836</v>
      </c>
      <c r="B839" s="21" t="s">
        <v>3685</v>
      </c>
      <c r="C839" s="5" t="s">
        <v>3894</v>
      </c>
      <c r="D839" s="5" t="s">
        <v>605</v>
      </c>
      <c r="E839" s="5" t="s">
        <v>605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11" t="s">
        <v>46</v>
      </c>
      <c r="Q839" s="5" t="s">
        <v>46</v>
      </c>
      <c r="R839" s="5" t="str">
        <f t="shared" si="14"/>
        <v/>
      </c>
      <c r="S839" s="5" t="s">
        <v>46</v>
      </c>
      <c r="T839" s="12">
        <v>836</v>
      </c>
      <c r="U839" s="261" t="s">
        <v>3687</v>
      </c>
      <c r="V839" s="232" t="s">
        <v>3894</v>
      </c>
      <c r="W839" s="232">
        <v>-9367.5</v>
      </c>
      <c r="X839" s="232">
        <v>9409.5</v>
      </c>
      <c r="Y839" s="87" t="s">
        <v>3685</v>
      </c>
      <c r="Z839" s="87" t="s">
        <v>50</v>
      </c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261" t="s">
        <v>3687</v>
      </c>
    </row>
    <row r="840" spans="1:43">
      <c r="A840" s="12">
        <v>837</v>
      </c>
      <c r="B840" s="21" t="s">
        <v>3685</v>
      </c>
      <c r="C840" s="5" t="s">
        <v>3895</v>
      </c>
      <c r="D840" s="5" t="s">
        <v>605</v>
      </c>
      <c r="E840" s="5" t="s">
        <v>605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11" t="s">
        <v>46</v>
      </c>
      <c r="Q840" s="5" t="s">
        <v>46</v>
      </c>
      <c r="R840" s="5" t="str">
        <f t="shared" si="14"/>
        <v/>
      </c>
      <c r="S840" s="5" t="s">
        <v>46</v>
      </c>
      <c r="T840" s="12">
        <v>837</v>
      </c>
      <c r="U840" s="261" t="s">
        <v>3687</v>
      </c>
      <c r="V840" s="232" t="s">
        <v>3895</v>
      </c>
      <c r="W840" s="232">
        <v>-13439.1</v>
      </c>
      <c r="X840" s="232">
        <v>9307.6</v>
      </c>
      <c r="Y840" s="87" t="s">
        <v>3685</v>
      </c>
      <c r="Z840" s="87" t="s">
        <v>50</v>
      </c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261" t="s">
        <v>3687</v>
      </c>
    </row>
    <row r="841" spans="1:43">
      <c r="A841" s="12">
        <v>838</v>
      </c>
      <c r="B841" s="21" t="s">
        <v>3685</v>
      </c>
      <c r="C841" s="5" t="s">
        <v>3896</v>
      </c>
      <c r="D841" s="5" t="s">
        <v>605</v>
      </c>
      <c r="E841" s="5" t="s">
        <v>605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11" t="s">
        <v>46</v>
      </c>
      <c r="Q841" s="5" t="s">
        <v>46</v>
      </c>
      <c r="R841" s="5" t="str">
        <f t="shared" si="14"/>
        <v/>
      </c>
      <c r="S841" s="5" t="s">
        <v>46</v>
      </c>
      <c r="T841" s="12">
        <v>838</v>
      </c>
      <c r="U841" s="261" t="s">
        <v>3687</v>
      </c>
      <c r="V841" s="232" t="s">
        <v>3896</v>
      </c>
      <c r="W841" s="232">
        <v>9367.5</v>
      </c>
      <c r="X841" s="232">
        <v>9409.5</v>
      </c>
      <c r="Y841" s="87" t="s">
        <v>3685</v>
      </c>
      <c r="Z841" s="87" t="s">
        <v>50</v>
      </c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261" t="s">
        <v>3687</v>
      </c>
    </row>
    <row r="842" spans="1:43">
      <c r="A842" s="12">
        <v>839</v>
      </c>
      <c r="B842" s="21" t="s">
        <v>3685</v>
      </c>
      <c r="C842" s="5" t="s">
        <v>3897</v>
      </c>
      <c r="D842" s="5" t="s">
        <v>605</v>
      </c>
      <c r="E842" s="5" t="s">
        <v>605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11" t="s">
        <v>46</v>
      </c>
      <c r="Q842" s="5" t="s">
        <v>46</v>
      </c>
      <c r="R842" s="5" t="str">
        <f t="shared" si="14"/>
        <v/>
      </c>
      <c r="S842" s="5" t="s">
        <v>46</v>
      </c>
      <c r="T842" s="12">
        <v>839</v>
      </c>
      <c r="U842" s="261" t="s">
        <v>3687</v>
      </c>
      <c r="V842" s="232" t="s">
        <v>3897</v>
      </c>
      <c r="W842" s="232">
        <v>7784.1</v>
      </c>
      <c r="X842" s="232">
        <v>10035.6</v>
      </c>
      <c r="Y842" s="87" t="s">
        <v>3685</v>
      </c>
      <c r="Z842" s="87" t="s">
        <v>50</v>
      </c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261" t="s">
        <v>3687</v>
      </c>
    </row>
    <row r="843" spans="1:43">
      <c r="A843" s="12">
        <v>840</v>
      </c>
      <c r="B843" s="21" t="s">
        <v>3685</v>
      </c>
      <c r="C843" s="5" t="s">
        <v>3898</v>
      </c>
      <c r="D843" s="5" t="s">
        <v>605</v>
      </c>
      <c r="E843" s="5" t="s">
        <v>605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11" t="s">
        <v>46</v>
      </c>
      <c r="Q843" s="5" t="s">
        <v>46</v>
      </c>
      <c r="R843" s="5" t="str">
        <f t="shared" si="14"/>
        <v/>
      </c>
      <c r="S843" s="5" t="s">
        <v>46</v>
      </c>
      <c r="T843" s="12">
        <v>840</v>
      </c>
      <c r="U843" s="261" t="s">
        <v>3687</v>
      </c>
      <c r="V843" s="232" t="s">
        <v>3898</v>
      </c>
      <c r="W843" s="232">
        <v>4775.8</v>
      </c>
      <c r="X843" s="232">
        <v>9947.2000000000007</v>
      </c>
      <c r="Y843" s="87" t="s">
        <v>3685</v>
      </c>
      <c r="Z843" s="87" t="s">
        <v>50</v>
      </c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261" t="s">
        <v>3687</v>
      </c>
    </row>
    <row r="844" spans="1:43">
      <c r="A844" s="12">
        <v>841</v>
      </c>
      <c r="B844" s="21" t="s">
        <v>3685</v>
      </c>
      <c r="C844" s="5" t="s">
        <v>3899</v>
      </c>
      <c r="D844" s="5" t="s">
        <v>605</v>
      </c>
      <c r="E844" s="5" t="s">
        <v>605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11" t="s">
        <v>46</v>
      </c>
      <c r="Q844" s="5" t="s">
        <v>46</v>
      </c>
      <c r="R844" s="5" t="str">
        <f t="shared" si="14"/>
        <v/>
      </c>
      <c r="S844" s="5" t="s">
        <v>46</v>
      </c>
      <c r="T844" s="12">
        <v>841</v>
      </c>
      <c r="U844" s="261" t="s">
        <v>3687</v>
      </c>
      <c r="V844" s="232" t="s">
        <v>3899</v>
      </c>
      <c r="W844" s="232">
        <v>4093.5</v>
      </c>
      <c r="X844" s="232">
        <v>10006</v>
      </c>
      <c r="Y844" s="87" t="s">
        <v>3685</v>
      </c>
      <c r="Z844" s="87" t="s">
        <v>50</v>
      </c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261" t="s">
        <v>3687</v>
      </c>
    </row>
    <row r="845" spans="1:43">
      <c r="A845" s="12">
        <v>842</v>
      </c>
      <c r="B845" s="21" t="s">
        <v>3685</v>
      </c>
      <c r="C845" s="5" t="s">
        <v>3900</v>
      </c>
      <c r="D845" s="5" t="s">
        <v>605</v>
      </c>
      <c r="E845" s="5" t="s">
        <v>605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11" t="s">
        <v>46</v>
      </c>
      <c r="Q845" s="5" t="s">
        <v>46</v>
      </c>
      <c r="R845" s="5" t="str">
        <f t="shared" si="14"/>
        <v/>
      </c>
      <c r="S845" s="5" t="s">
        <v>46</v>
      </c>
      <c r="T845" s="12">
        <v>842</v>
      </c>
      <c r="U845" s="261" t="s">
        <v>3687</v>
      </c>
      <c r="V845" s="232" t="s">
        <v>3900</v>
      </c>
      <c r="W845" s="232">
        <v>3411.2</v>
      </c>
      <c r="X845" s="232">
        <v>9947.2000000000007</v>
      </c>
      <c r="Y845" s="87" t="s">
        <v>3685</v>
      </c>
      <c r="Z845" s="87" t="s">
        <v>50</v>
      </c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261" t="s">
        <v>3687</v>
      </c>
    </row>
    <row r="846" spans="1:43">
      <c r="A846" s="12">
        <v>843</v>
      </c>
      <c r="B846" s="21" t="s">
        <v>3685</v>
      </c>
      <c r="C846" s="5" t="s">
        <v>3901</v>
      </c>
      <c r="D846" s="5" t="s">
        <v>605</v>
      </c>
      <c r="E846" s="5" t="s">
        <v>605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11" t="s">
        <v>46</v>
      </c>
      <c r="Q846" s="5" t="s">
        <v>46</v>
      </c>
      <c r="R846" s="5" t="str">
        <f t="shared" si="14"/>
        <v/>
      </c>
      <c r="S846" s="5" t="s">
        <v>46</v>
      </c>
      <c r="T846" s="12">
        <v>843</v>
      </c>
      <c r="U846" s="261" t="s">
        <v>3687</v>
      </c>
      <c r="V846" s="232" t="s">
        <v>3901</v>
      </c>
      <c r="W846" s="232">
        <v>2046.8</v>
      </c>
      <c r="X846" s="232">
        <v>9947.2000000000007</v>
      </c>
      <c r="Y846" s="87" t="s">
        <v>3685</v>
      </c>
      <c r="Z846" s="87" t="s">
        <v>50</v>
      </c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261" t="s">
        <v>3687</v>
      </c>
    </row>
    <row r="847" spans="1:43">
      <c r="A847" s="12">
        <v>844</v>
      </c>
      <c r="B847" s="21" t="s">
        <v>3685</v>
      </c>
      <c r="C847" s="5" t="s">
        <v>3902</v>
      </c>
      <c r="D847" s="5" t="s">
        <v>605</v>
      </c>
      <c r="E847" s="5" t="s">
        <v>605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11" t="s">
        <v>46</v>
      </c>
      <c r="Q847" s="5" t="s">
        <v>46</v>
      </c>
      <c r="R847" s="5" t="str">
        <f t="shared" si="14"/>
        <v/>
      </c>
      <c r="S847" s="5" t="s">
        <v>46</v>
      </c>
      <c r="T847" s="12">
        <v>844</v>
      </c>
      <c r="U847" s="261" t="s">
        <v>3687</v>
      </c>
      <c r="V847" s="232" t="s">
        <v>3902</v>
      </c>
      <c r="W847" s="232">
        <v>1364.5</v>
      </c>
      <c r="X847" s="232">
        <v>10006</v>
      </c>
      <c r="Y847" s="87" t="s">
        <v>3685</v>
      </c>
      <c r="Z847" s="87" t="s">
        <v>50</v>
      </c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261" t="s">
        <v>3687</v>
      </c>
    </row>
    <row r="848" spans="1:43">
      <c r="A848" s="12">
        <v>845</v>
      </c>
      <c r="B848" s="21" t="s">
        <v>3685</v>
      </c>
      <c r="C848" s="5" t="s">
        <v>3903</v>
      </c>
      <c r="D848" s="5" t="s">
        <v>605</v>
      </c>
      <c r="E848" s="5" t="s">
        <v>605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11" t="s">
        <v>46</v>
      </c>
      <c r="Q848" s="5" t="s">
        <v>46</v>
      </c>
      <c r="R848" s="5" t="str">
        <f t="shared" si="14"/>
        <v/>
      </c>
      <c r="S848" s="5" t="s">
        <v>46</v>
      </c>
      <c r="T848" s="12">
        <v>845</v>
      </c>
      <c r="U848" s="261" t="s">
        <v>3687</v>
      </c>
      <c r="V848" s="232" t="s">
        <v>3903</v>
      </c>
      <c r="W848" s="232">
        <v>682.2</v>
      </c>
      <c r="X848" s="232">
        <v>9947.2000000000007</v>
      </c>
      <c r="Y848" s="87" t="s">
        <v>3685</v>
      </c>
      <c r="Z848" s="87" t="s">
        <v>50</v>
      </c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261" t="s">
        <v>3687</v>
      </c>
    </row>
    <row r="849" spans="1:43">
      <c r="A849" s="12">
        <v>846</v>
      </c>
      <c r="B849" s="21" t="s">
        <v>3685</v>
      </c>
      <c r="C849" s="5" t="s">
        <v>3904</v>
      </c>
      <c r="D849" s="5" t="s">
        <v>605</v>
      </c>
      <c r="E849" s="5" t="s">
        <v>605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11" t="s">
        <v>46</v>
      </c>
      <c r="Q849" s="5" t="s">
        <v>46</v>
      </c>
      <c r="R849" s="5" t="str">
        <f t="shared" si="14"/>
        <v/>
      </c>
      <c r="S849" s="5" t="s">
        <v>46</v>
      </c>
      <c r="T849" s="12">
        <v>846</v>
      </c>
      <c r="U849" s="261" t="s">
        <v>3687</v>
      </c>
      <c r="V849" s="232" t="s">
        <v>3904</v>
      </c>
      <c r="W849" s="232">
        <v>-682.2</v>
      </c>
      <c r="X849" s="232">
        <v>9947.2000000000007</v>
      </c>
      <c r="Y849" s="87" t="s">
        <v>3685</v>
      </c>
      <c r="Z849" s="87" t="s">
        <v>50</v>
      </c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261" t="s">
        <v>3687</v>
      </c>
    </row>
    <row r="850" spans="1:43">
      <c r="A850" s="12">
        <v>847</v>
      </c>
      <c r="B850" s="21" t="s">
        <v>3685</v>
      </c>
      <c r="C850" s="5" t="s">
        <v>3905</v>
      </c>
      <c r="D850" s="5" t="s">
        <v>605</v>
      </c>
      <c r="E850" s="5" t="s">
        <v>605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11" t="s">
        <v>46</v>
      </c>
      <c r="Q850" s="5" t="s">
        <v>46</v>
      </c>
      <c r="R850" s="5" t="str">
        <f t="shared" si="14"/>
        <v/>
      </c>
      <c r="S850" s="5" t="s">
        <v>46</v>
      </c>
      <c r="T850" s="12">
        <v>847</v>
      </c>
      <c r="U850" s="261" t="s">
        <v>3687</v>
      </c>
      <c r="V850" s="232" t="s">
        <v>3905</v>
      </c>
      <c r="W850" s="232">
        <v>-1364.5</v>
      </c>
      <c r="X850" s="232">
        <v>10006</v>
      </c>
      <c r="Y850" s="87" t="s">
        <v>3685</v>
      </c>
      <c r="Z850" s="87" t="s">
        <v>50</v>
      </c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261" t="s">
        <v>3687</v>
      </c>
    </row>
    <row r="851" spans="1:43">
      <c r="A851" s="12">
        <v>848</v>
      </c>
      <c r="B851" s="21" t="s">
        <v>3685</v>
      </c>
      <c r="C851" s="5" t="s">
        <v>3906</v>
      </c>
      <c r="D851" s="5" t="s">
        <v>605</v>
      </c>
      <c r="E851" s="5" t="s">
        <v>605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11" t="s">
        <v>46</v>
      </c>
      <c r="Q851" s="5" t="s">
        <v>46</v>
      </c>
      <c r="R851" s="5" t="str">
        <f t="shared" si="14"/>
        <v/>
      </c>
      <c r="S851" s="5" t="s">
        <v>46</v>
      </c>
      <c r="T851" s="12">
        <v>848</v>
      </c>
      <c r="U851" s="261" t="s">
        <v>3687</v>
      </c>
      <c r="V851" s="232" t="s">
        <v>3906</v>
      </c>
      <c r="W851" s="232">
        <v>-2046.8</v>
      </c>
      <c r="X851" s="232">
        <v>9947.2000000000007</v>
      </c>
      <c r="Y851" s="87" t="s">
        <v>3685</v>
      </c>
      <c r="Z851" s="87" t="s">
        <v>50</v>
      </c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261" t="s">
        <v>3687</v>
      </c>
    </row>
    <row r="852" spans="1:43">
      <c r="A852" s="12">
        <v>849</v>
      </c>
      <c r="B852" s="21" t="s">
        <v>3685</v>
      </c>
      <c r="C852" s="5" t="s">
        <v>3907</v>
      </c>
      <c r="D852" s="5" t="s">
        <v>605</v>
      </c>
      <c r="E852" s="5" t="s">
        <v>605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11" t="s">
        <v>46</v>
      </c>
      <c r="Q852" s="5" t="s">
        <v>46</v>
      </c>
      <c r="R852" s="5" t="str">
        <f t="shared" si="14"/>
        <v/>
      </c>
      <c r="S852" s="5" t="s">
        <v>46</v>
      </c>
      <c r="T852" s="12">
        <v>849</v>
      </c>
      <c r="U852" s="261" t="s">
        <v>3687</v>
      </c>
      <c r="V852" s="232" t="s">
        <v>3907</v>
      </c>
      <c r="W852" s="232">
        <v>-3411.2</v>
      </c>
      <c r="X852" s="232">
        <v>9947.2000000000007</v>
      </c>
      <c r="Y852" s="87" t="s">
        <v>3685</v>
      </c>
      <c r="Z852" s="87" t="s">
        <v>50</v>
      </c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261" t="s">
        <v>3687</v>
      </c>
    </row>
    <row r="853" spans="1:43">
      <c r="A853" s="12">
        <v>850</v>
      </c>
      <c r="B853" s="21" t="s">
        <v>3685</v>
      </c>
      <c r="C853" s="5" t="s">
        <v>3908</v>
      </c>
      <c r="D853" s="5" t="s">
        <v>605</v>
      </c>
      <c r="E853" s="5" t="s">
        <v>605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11" t="s">
        <v>46</v>
      </c>
      <c r="Q853" s="5" t="s">
        <v>46</v>
      </c>
      <c r="R853" s="5" t="str">
        <f t="shared" si="14"/>
        <v/>
      </c>
      <c r="S853" s="5" t="s">
        <v>46</v>
      </c>
      <c r="T853" s="12">
        <v>850</v>
      </c>
      <c r="U853" s="261" t="s">
        <v>3687</v>
      </c>
      <c r="V853" s="232" t="s">
        <v>3908</v>
      </c>
      <c r="W853" s="232">
        <v>-4093.5</v>
      </c>
      <c r="X853" s="232">
        <v>10006</v>
      </c>
      <c r="Y853" s="87" t="s">
        <v>3685</v>
      </c>
      <c r="Z853" s="87" t="s">
        <v>50</v>
      </c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261" t="s">
        <v>3687</v>
      </c>
    </row>
    <row r="854" spans="1:43">
      <c r="A854" s="12">
        <v>851</v>
      </c>
      <c r="B854" s="21" t="s">
        <v>3685</v>
      </c>
      <c r="C854" s="5" t="s">
        <v>3909</v>
      </c>
      <c r="D854" s="5" t="s">
        <v>605</v>
      </c>
      <c r="E854" s="5" t="s">
        <v>605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11" t="s">
        <v>46</v>
      </c>
      <c r="Q854" s="5" t="s">
        <v>46</v>
      </c>
      <c r="R854" s="5" t="str">
        <f t="shared" si="14"/>
        <v/>
      </c>
      <c r="S854" s="5" t="s">
        <v>46</v>
      </c>
      <c r="T854" s="12">
        <v>851</v>
      </c>
      <c r="U854" s="261" t="s">
        <v>3687</v>
      </c>
      <c r="V854" s="232" t="s">
        <v>3909</v>
      </c>
      <c r="W854" s="232">
        <v>-4775.8</v>
      </c>
      <c r="X854" s="232">
        <v>9947.2000000000007</v>
      </c>
      <c r="Y854" s="87" t="s">
        <v>3685</v>
      </c>
      <c r="Z854" s="87" t="s">
        <v>50</v>
      </c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261" t="s">
        <v>3687</v>
      </c>
    </row>
    <row r="855" spans="1:43">
      <c r="A855" s="12">
        <v>852</v>
      </c>
      <c r="B855" s="21" t="s">
        <v>3685</v>
      </c>
      <c r="C855" s="5" t="s">
        <v>3910</v>
      </c>
      <c r="D855" s="5" t="s">
        <v>605</v>
      </c>
      <c r="E855" s="5" t="s">
        <v>605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11" t="s">
        <v>46</v>
      </c>
      <c r="Q855" s="5" t="s">
        <v>46</v>
      </c>
      <c r="R855" s="5" t="str">
        <f t="shared" si="14"/>
        <v/>
      </c>
      <c r="S855" s="5" t="s">
        <v>46</v>
      </c>
      <c r="T855" s="12">
        <v>852</v>
      </c>
      <c r="U855" s="261" t="s">
        <v>3687</v>
      </c>
      <c r="V855" s="232" t="s">
        <v>3910</v>
      </c>
      <c r="W855" s="232">
        <v>11787</v>
      </c>
      <c r="X855" s="232">
        <v>9771.9</v>
      </c>
      <c r="Y855" s="87" t="s">
        <v>3685</v>
      </c>
      <c r="Z855" s="87" t="s">
        <v>50</v>
      </c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261" t="s">
        <v>3687</v>
      </c>
    </row>
    <row r="856" spans="1:43">
      <c r="A856" s="12">
        <v>853</v>
      </c>
      <c r="B856" s="21" t="s">
        <v>3685</v>
      </c>
      <c r="C856" s="5" t="s">
        <v>3911</v>
      </c>
      <c r="D856" s="5" t="s">
        <v>605</v>
      </c>
      <c r="E856" s="5" t="s">
        <v>605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11" t="s">
        <v>46</v>
      </c>
      <c r="Q856" s="5" t="s">
        <v>46</v>
      </c>
      <c r="R856" s="5" t="str">
        <f t="shared" si="14"/>
        <v/>
      </c>
      <c r="S856" s="5" t="s">
        <v>46</v>
      </c>
      <c r="T856" s="12">
        <v>853</v>
      </c>
      <c r="U856" s="261" t="s">
        <v>3687</v>
      </c>
      <c r="V856" s="232" t="s">
        <v>3911</v>
      </c>
      <c r="W856" s="232">
        <v>-6140.2</v>
      </c>
      <c r="X856" s="232">
        <v>9947.2000000000007</v>
      </c>
      <c r="Y856" s="87" t="s">
        <v>3685</v>
      </c>
      <c r="Z856" s="87" t="s">
        <v>50</v>
      </c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261" t="s">
        <v>3687</v>
      </c>
    </row>
    <row r="857" spans="1:43">
      <c r="A857" s="12">
        <v>854</v>
      </c>
      <c r="B857" s="21" t="s">
        <v>3685</v>
      </c>
      <c r="C857" s="5" t="s">
        <v>3912</v>
      </c>
      <c r="D857" s="5" t="s">
        <v>605</v>
      </c>
      <c r="E857" s="5" t="s">
        <v>605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11" t="s">
        <v>46</v>
      </c>
      <c r="Q857" s="5" t="s">
        <v>46</v>
      </c>
      <c r="R857" s="5" t="str">
        <f t="shared" si="14"/>
        <v/>
      </c>
      <c r="S857" s="5" t="s">
        <v>46</v>
      </c>
      <c r="T857" s="12">
        <v>854</v>
      </c>
      <c r="U857" s="261" t="s">
        <v>3687</v>
      </c>
      <c r="V857" s="232" t="s">
        <v>3912</v>
      </c>
      <c r="W857" s="232">
        <v>-6822.5</v>
      </c>
      <c r="X857" s="232">
        <v>10006</v>
      </c>
      <c r="Y857" s="87" t="s">
        <v>3685</v>
      </c>
      <c r="Z857" s="87" t="s">
        <v>50</v>
      </c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261" t="s">
        <v>3687</v>
      </c>
    </row>
    <row r="858" spans="1:43">
      <c r="A858" s="12">
        <v>855</v>
      </c>
      <c r="B858" s="21" t="s">
        <v>3685</v>
      </c>
      <c r="C858" s="5" t="s">
        <v>3913</v>
      </c>
      <c r="D858" s="5" t="s">
        <v>605</v>
      </c>
      <c r="E858" s="5" t="s">
        <v>605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11" t="s">
        <v>46</v>
      </c>
      <c r="Q858" s="5" t="s">
        <v>46</v>
      </c>
      <c r="R858" s="5" t="str">
        <f t="shared" si="14"/>
        <v/>
      </c>
      <c r="S858" s="5" t="s">
        <v>46</v>
      </c>
      <c r="T858" s="12">
        <v>855</v>
      </c>
      <c r="U858" s="261" t="s">
        <v>3687</v>
      </c>
      <c r="V858" s="232" t="s">
        <v>3913</v>
      </c>
      <c r="W858" s="232">
        <v>-7504.8</v>
      </c>
      <c r="X858" s="232">
        <v>9947.2000000000007</v>
      </c>
      <c r="Y858" s="87" t="s">
        <v>3685</v>
      </c>
      <c r="Z858" s="87" t="s">
        <v>50</v>
      </c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261" t="s">
        <v>3687</v>
      </c>
    </row>
    <row r="859" spans="1:43">
      <c r="A859" s="12">
        <v>856</v>
      </c>
      <c r="B859" s="21" t="s">
        <v>3685</v>
      </c>
      <c r="C859" s="5" t="s">
        <v>3914</v>
      </c>
      <c r="D859" s="5" t="s">
        <v>605</v>
      </c>
      <c r="E859" s="5" t="s">
        <v>605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11" t="s">
        <v>46</v>
      </c>
      <c r="Q859" s="5" t="s">
        <v>46</v>
      </c>
      <c r="R859" s="5" t="str">
        <f t="shared" si="14"/>
        <v/>
      </c>
      <c r="S859" s="5" t="s">
        <v>46</v>
      </c>
      <c r="T859" s="12">
        <v>856</v>
      </c>
      <c r="U859" s="261" t="s">
        <v>3687</v>
      </c>
      <c r="V859" s="232" t="s">
        <v>3914</v>
      </c>
      <c r="W859" s="232">
        <v>-9981.2000000000007</v>
      </c>
      <c r="X859" s="232">
        <v>10035.6</v>
      </c>
      <c r="Y859" s="87" t="s">
        <v>3685</v>
      </c>
      <c r="Z859" s="87" t="s">
        <v>50</v>
      </c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261" t="s">
        <v>3687</v>
      </c>
    </row>
    <row r="860" spans="1:43">
      <c r="A860" s="12">
        <v>857</v>
      </c>
      <c r="B860" s="21" t="s">
        <v>3685</v>
      </c>
      <c r="C860" s="5" t="s">
        <v>3915</v>
      </c>
      <c r="D860" s="5" t="s">
        <v>605</v>
      </c>
      <c r="E860" s="5" t="s">
        <v>605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11" t="s">
        <v>46</v>
      </c>
      <c r="Q860" s="5" t="s">
        <v>46</v>
      </c>
      <c r="R860" s="5" t="str">
        <f t="shared" si="14"/>
        <v/>
      </c>
      <c r="S860" s="5" t="s">
        <v>46</v>
      </c>
      <c r="T860" s="12">
        <v>857</v>
      </c>
      <c r="U860" s="261" t="s">
        <v>3687</v>
      </c>
      <c r="V860" s="232" t="s">
        <v>3915</v>
      </c>
      <c r="W860" s="232">
        <v>13439.1</v>
      </c>
      <c r="X860" s="232">
        <v>10308.9</v>
      </c>
      <c r="Y860" s="87" t="s">
        <v>3685</v>
      </c>
      <c r="Z860" s="87" t="s">
        <v>50</v>
      </c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261" t="s">
        <v>3687</v>
      </c>
    </row>
    <row r="861" spans="1:43">
      <c r="A861" s="12">
        <v>858</v>
      </c>
      <c r="B861" s="21" t="s">
        <v>3685</v>
      </c>
      <c r="C861" s="5" t="s">
        <v>3917</v>
      </c>
      <c r="D861" s="5" t="s">
        <v>605</v>
      </c>
      <c r="E861" s="5" t="s">
        <v>605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11" t="s">
        <v>46</v>
      </c>
      <c r="Q861" s="5" t="s">
        <v>46</v>
      </c>
      <c r="R861" s="5" t="str">
        <f t="shared" si="14"/>
        <v/>
      </c>
      <c r="S861" s="5" t="s">
        <v>46</v>
      </c>
      <c r="T861" s="12">
        <v>858</v>
      </c>
      <c r="U861" s="261" t="s">
        <v>3687</v>
      </c>
      <c r="V861" s="232" t="s">
        <v>3917</v>
      </c>
      <c r="W861" s="232">
        <v>-12930.1</v>
      </c>
      <c r="X861" s="232">
        <v>10680</v>
      </c>
      <c r="Y861" s="87" t="s">
        <v>3685</v>
      </c>
      <c r="Z861" s="87" t="s">
        <v>50</v>
      </c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261" t="s">
        <v>3687</v>
      </c>
    </row>
    <row r="862" spans="1:43">
      <c r="A862" s="12">
        <v>859</v>
      </c>
      <c r="B862" s="21" t="s">
        <v>3685</v>
      </c>
      <c r="C862" s="5" t="s">
        <v>3918</v>
      </c>
      <c r="D862" s="5" t="s">
        <v>605</v>
      </c>
      <c r="E862" s="5" t="s">
        <v>605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11" t="s">
        <v>46</v>
      </c>
      <c r="Q862" s="5" t="s">
        <v>46</v>
      </c>
      <c r="R862" s="5" t="str">
        <f t="shared" si="14"/>
        <v/>
      </c>
      <c r="S862" s="5" t="s">
        <v>46</v>
      </c>
      <c r="T862" s="12">
        <v>859</v>
      </c>
      <c r="U862" s="261" t="s">
        <v>3687</v>
      </c>
      <c r="V862" s="232" t="s">
        <v>3918</v>
      </c>
      <c r="W862" s="232">
        <v>10659.4</v>
      </c>
      <c r="X862" s="232">
        <v>10665.3</v>
      </c>
      <c r="Y862" s="87" t="s">
        <v>3685</v>
      </c>
      <c r="Z862" s="87" t="s">
        <v>50</v>
      </c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261" t="s">
        <v>3687</v>
      </c>
    </row>
    <row r="863" spans="1:43">
      <c r="A863" s="12">
        <v>860</v>
      </c>
      <c r="B863" s="21" t="s">
        <v>3685</v>
      </c>
      <c r="C863" s="5" t="s">
        <v>3919</v>
      </c>
      <c r="D863" s="5" t="s">
        <v>605</v>
      </c>
      <c r="E863" s="5" t="s">
        <v>605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11" t="s">
        <v>46</v>
      </c>
      <c r="Q863" s="5" t="s">
        <v>46</v>
      </c>
      <c r="R863" s="5" t="str">
        <f t="shared" si="14"/>
        <v/>
      </c>
      <c r="S863" s="5" t="s">
        <v>46</v>
      </c>
      <c r="T863" s="12">
        <v>860</v>
      </c>
      <c r="U863" s="261" t="s">
        <v>3687</v>
      </c>
      <c r="V863" s="232" t="s">
        <v>3919</v>
      </c>
      <c r="W863" s="232">
        <v>5458</v>
      </c>
      <c r="X863" s="232">
        <v>10756.6</v>
      </c>
      <c r="Y863" s="87" t="s">
        <v>3685</v>
      </c>
      <c r="Z863" s="87" t="s">
        <v>50</v>
      </c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261" t="s">
        <v>3687</v>
      </c>
    </row>
    <row r="864" spans="1:43">
      <c r="A864" s="12">
        <v>861</v>
      </c>
      <c r="B864" s="21" t="s">
        <v>3685</v>
      </c>
      <c r="C864" s="5" t="s">
        <v>3920</v>
      </c>
      <c r="D864" s="5" t="s">
        <v>605</v>
      </c>
      <c r="E864" s="5" t="s">
        <v>605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11" t="s">
        <v>46</v>
      </c>
      <c r="Q864" s="5" t="s">
        <v>46</v>
      </c>
      <c r="R864" s="5" t="str">
        <f t="shared" si="14"/>
        <v/>
      </c>
      <c r="S864" s="5" t="s">
        <v>46</v>
      </c>
      <c r="T864" s="12">
        <v>861</v>
      </c>
      <c r="U864" s="261" t="s">
        <v>3687</v>
      </c>
      <c r="V864" s="232" t="s">
        <v>3920</v>
      </c>
      <c r="W864" s="232">
        <v>4093.5</v>
      </c>
      <c r="X864" s="232">
        <v>10736.6</v>
      </c>
      <c r="Y864" s="87" t="s">
        <v>3685</v>
      </c>
      <c r="Z864" s="87" t="s">
        <v>50</v>
      </c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261" t="s">
        <v>3687</v>
      </c>
    </row>
    <row r="865" spans="1:43">
      <c r="A865" s="12">
        <v>862</v>
      </c>
      <c r="B865" s="21" t="s">
        <v>3685</v>
      </c>
      <c r="C865" s="5" t="s">
        <v>3921</v>
      </c>
      <c r="D865" s="5" t="s">
        <v>605</v>
      </c>
      <c r="E865" s="5" t="s">
        <v>605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11" t="s">
        <v>46</v>
      </c>
      <c r="Q865" s="5" t="s">
        <v>46</v>
      </c>
      <c r="R865" s="5" t="str">
        <f t="shared" si="14"/>
        <v/>
      </c>
      <c r="S865" s="5" t="s">
        <v>46</v>
      </c>
      <c r="T865" s="12">
        <v>862</v>
      </c>
      <c r="U865" s="261" t="s">
        <v>3687</v>
      </c>
      <c r="V865" s="232" t="s">
        <v>3921</v>
      </c>
      <c r="W865" s="232">
        <v>2729</v>
      </c>
      <c r="X865" s="232">
        <v>10756.6</v>
      </c>
      <c r="Y865" s="87" t="s">
        <v>3685</v>
      </c>
      <c r="Z865" s="87" t="s">
        <v>50</v>
      </c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261" t="s">
        <v>3687</v>
      </c>
    </row>
    <row r="866" spans="1:43">
      <c r="A866" s="12">
        <v>863</v>
      </c>
      <c r="B866" s="21" t="s">
        <v>3685</v>
      </c>
      <c r="C866" s="5" t="s">
        <v>3922</v>
      </c>
      <c r="D866" s="5" t="s">
        <v>605</v>
      </c>
      <c r="E866" s="5" t="s">
        <v>605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11" t="s">
        <v>46</v>
      </c>
      <c r="Q866" s="5" t="s">
        <v>46</v>
      </c>
      <c r="R866" s="5" t="str">
        <f t="shared" si="14"/>
        <v/>
      </c>
      <c r="S866" s="5" t="s">
        <v>46</v>
      </c>
      <c r="T866" s="12">
        <v>863</v>
      </c>
      <c r="U866" s="261" t="s">
        <v>3687</v>
      </c>
      <c r="V866" s="232" t="s">
        <v>3922</v>
      </c>
      <c r="W866" s="232">
        <v>1364.5</v>
      </c>
      <c r="X866" s="232">
        <v>10736.6</v>
      </c>
      <c r="Y866" s="87" t="s">
        <v>3685</v>
      </c>
      <c r="Z866" s="87" t="s">
        <v>50</v>
      </c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261" t="s">
        <v>3687</v>
      </c>
    </row>
    <row r="867" spans="1:43">
      <c r="A867" s="12">
        <v>864</v>
      </c>
      <c r="B867" s="21" t="s">
        <v>3685</v>
      </c>
      <c r="C867" s="5" t="s">
        <v>3923</v>
      </c>
      <c r="D867" s="5" t="s">
        <v>605</v>
      </c>
      <c r="E867" s="5" t="s">
        <v>605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11" t="s">
        <v>46</v>
      </c>
      <c r="Q867" s="5" t="s">
        <v>46</v>
      </c>
      <c r="R867" s="5" t="str">
        <f t="shared" si="14"/>
        <v/>
      </c>
      <c r="S867" s="5" t="s">
        <v>46</v>
      </c>
      <c r="T867" s="12">
        <v>864</v>
      </c>
      <c r="U867" s="261" t="s">
        <v>3687</v>
      </c>
      <c r="V867" s="232" t="s">
        <v>3923</v>
      </c>
      <c r="W867" s="232">
        <v>0</v>
      </c>
      <c r="X867" s="232">
        <v>10756.6</v>
      </c>
      <c r="Y867" s="87" t="s">
        <v>3685</v>
      </c>
      <c r="Z867" s="87" t="s">
        <v>50</v>
      </c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261" t="s">
        <v>3687</v>
      </c>
    </row>
    <row r="868" spans="1:43">
      <c r="A868" s="12">
        <v>865</v>
      </c>
      <c r="B868" s="21" t="s">
        <v>3685</v>
      </c>
      <c r="C868" s="5" t="s">
        <v>3924</v>
      </c>
      <c r="D868" s="5" t="s">
        <v>605</v>
      </c>
      <c r="E868" s="5" t="s">
        <v>605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11" t="s">
        <v>46</v>
      </c>
      <c r="Q868" s="5" t="s">
        <v>46</v>
      </c>
      <c r="R868" s="5" t="str">
        <f t="shared" si="14"/>
        <v/>
      </c>
      <c r="S868" s="5" t="s">
        <v>46</v>
      </c>
      <c r="T868" s="12">
        <v>865</v>
      </c>
      <c r="U868" s="261" t="s">
        <v>3687</v>
      </c>
      <c r="V868" s="232" t="s">
        <v>3924</v>
      </c>
      <c r="W868" s="232">
        <v>12309.1</v>
      </c>
      <c r="X868" s="232">
        <v>10727.5</v>
      </c>
      <c r="Y868" s="87" t="s">
        <v>3685</v>
      </c>
      <c r="Z868" s="87" t="s">
        <v>50</v>
      </c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261" t="s">
        <v>3687</v>
      </c>
    </row>
    <row r="869" spans="1:43">
      <c r="A869" s="12">
        <v>866</v>
      </c>
      <c r="B869" s="21" t="s">
        <v>3685</v>
      </c>
      <c r="C869" s="5" t="s">
        <v>3925</v>
      </c>
      <c r="D869" s="5" t="s">
        <v>605</v>
      </c>
      <c r="E869" s="5" t="s">
        <v>605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11" t="s">
        <v>46</v>
      </c>
      <c r="Q869" s="5" t="s">
        <v>46</v>
      </c>
      <c r="R869" s="5" t="str">
        <f t="shared" si="14"/>
        <v/>
      </c>
      <c r="S869" s="5" t="s">
        <v>46</v>
      </c>
      <c r="T869" s="12">
        <v>866</v>
      </c>
      <c r="U869" s="261" t="s">
        <v>3687</v>
      </c>
      <c r="V869" s="232" t="s">
        <v>3925</v>
      </c>
      <c r="W869" s="232">
        <v>-1364.5</v>
      </c>
      <c r="X869" s="232">
        <v>10736.6</v>
      </c>
      <c r="Y869" s="87" t="s">
        <v>3685</v>
      </c>
      <c r="Z869" s="87" t="s">
        <v>50</v>
      </c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261" t="s">
        <v>3687</v>
      </c>
    </row>
    <row r="870" spans="1:43">
      <c r="A870" s="12">
        <v>867</v>
      </c>
      <c r="B870" s="21" t="s">
        <v>3685</v>
      </c>
      <c r="C870" s="5" t="s">
        <v>3926</v>
      </c>
      <c r="D870" s="5" t="s">
        <v>605</v>
      </c>
      <c r="E870" s="5" t="s">
        <v>605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11" t="s">
        <v>46</v>
      </c>
      <c r="Q870" s="5" t="s">
        <v>46</v>
      </c>
      <c r="R870" s="5" t="str">
        <f t="shared" si="14"/>
        <v/>
      </c>
      <c r="S870" s="5" t="s">
        <v>46</v>
      </c>
      <c r="T870" s="12">
        <v>867</v>
      </c>
      <c r="U870" s="261" t="s">
        <v>3687</v>
      </c>
      <c r="V870" s="232" t="s">
        <v>3926</v>
      </c>
      <c r="W870" s="232">
        <v>-2729</v>
      </c>
      <c r="X870" s="232">
        <v>10756.6</v>
      </c>
      <c r="Y870" s="87" t="s">
        <v>3685</v>
      </c>
      <c r="Z870" s="87" t="s">
        <v>50</v>
      </c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261" t="s">
        <v>3687</v>
      </c>
    </row>
    <row r="871" spans="1:43">
      <c r="A871" s="12">
        <v>868</v>
      </c>
      <c r="B871" s="21" t="s">
        <v>3685</v>
      </c>
      <c r="C871" s="5" t="s">
        <v>3927</v>
      </c>
      <c r="D871" s="5" t="s">
        <v>605</v>
      </c>
      <c r="E871" s="5" t="s">
        <v>605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11" t="s">
        <v>46</v>
      </c>
      <c r="Q871" s="5" t="s">
        <v>46</v>
      </c>
      <c r="R871" s="5" t="str">
        <f t="shared" si="14"/>
        <v/>
      </c>
      <c r="S871" s="5" t="s">
        <v>46</v>
      </c>
      <c r="T871" s="12">
        <v>868</v>
      </c>
      <c r="U871" s="261" t="s">
        <v>3687</v>
      </c>
      <c r="V871" s="232" t="s">
        <v>3927</v>
      </c>
      <c r="W871" s="232">
        <v>-4093.5</v>
      </c>
      <c r="X871" s="232">
        <v>10736.6</v>
      </c>
      <c r="Y871" s="87" t="s">
        <v>3685</v>
      </c>
      <c r="Z871" s="87" t="s">
        <v>50</v>
      </c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261" t="s">
        <v>3687</v>
      </c>
    </row>
    <row r="872" spans="1:43">
      <c r="A872" s="12">
        <v>869</v>
      </c>
      <c r="B872" s="21" t="s">
        <v>3685</v>
      </c>
      <c r="C872" s="5" t="s">
        <v>3928</v>
      </c>
      <c r="D872" s="5" t="s">
        <v>605</v>
      </c>
      <c r="E872" s="5" t="s">
        <v>605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11" t="s">
        <v>46</v>
      </c>
      <c r="Q872" s="5" t="s">
        <v>46</v>
      </c>
      <c r="R872" s="5" t="str">
        <f t="shared" si="14"/>
        <v/>
      </c>
      <c r="S872" s="5" t="s">
        <v>46</v>
      </c>
      <c r="T872" s="12">
        <v>869</v>
      </c>
      <c r="U872" s="261" t="s">
        <v>3687</v>
      </c>
      <c r="V872" s="232" t="s">
        <v>3928</v>
      </c>
      <c r="W872" s="232">
        <v>11807.2</v>
      </c>
      <c r="X872" s="232">
        <v>10726.6</v>
      </c>
      <c r="Y872" s="87" t="s">
        <v>3685</v>
      </c>
      <c r="Z872" s="87" t="s">
        <v>50</v>
      </c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261" t="s">
        <v>3687</v>
      </c>
    </row>
    <row r="873" spans="1:43">
      <c r="A873" s="12">
        <v>870</v>
      </c>
      <c r="B873" s="21" t="s">
        <v>3685</v>
      </c>
      <c r="C873" s="5" t="s">
        <v>3929</v>
      </c>
      <c r="D873" s="5" t="s">
        <v>605</v>
      </c>
      <c r="E873" s="5" t="s">
        <v>605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11" t="s">
        <v>46</v>
      </c>
      <c r="Q873" s="5" t="s">
        <v>46</v>
      </c>
      <c r="R873" s="5" t="str">
        <f t="shared" si="14"/>
        <v/>
      </c>
      <c r="S873" s="5" t="s">
        <v>46</v>
      </c>
      <c r="T873" s="12">
        <v>870</v>
      </c>
      <c r="U873" s="261" t="s">
        <v>3687</v>
      </c>
      <c r="V873" s="232" t="s">
        <v>3929</v>
      </c>
      <c r="W873" s="232">
        <v>-5458</v>
      </c>
      <c r="X873" s="232">
        <v>10756.6</v>
      </c>
      <c r="Y873" s="87" t="s">
        <v>3685</v>
      </c>
      <c r="Z873" s="87" t="s">
        <v>50</v>
      </c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261" t="s">
        <v>3687</v>
      </c>
    </row>
    <row r="874" spans="1:43">
      <c r="A874" s="12">
        <v>871</v>
      </c>
      <c r="B874" s="21" t="s">
        <v>3685</v>
      </c>
      <c r="C874" s="5" t="s">
        <v>3930</v>
      </c>
      <c r="D874" s="5" t="s">
        <v>605</v>
      </c>
      <c r="E874" s="5" t="s">
        <v>605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11" t="s">
        <v>46</v>
      </c>
      <c r="Q874" s="5" t="s">
        <v>46</v>
      </c>
      <c r="R874" s="5" t="str">
        <f t="shared" si="14"/>
        <v/>
      </c>
      <c r="S874" s="5" t="s">
        <v>46</v>
      </c>
      <c r="T874" s="12">
        <v>871</v>
      </c>
      <c r="U874" s="261" t="s">
        <v>3687</v>
      </c>
      <c r="V874" s="232" t="s">
        <v>3930</v>
      </c>
      <c r="W874" s="232">
        <v>-6822.5</v>
      </c>
      <c r="X874" s="232">
        <v>10736.6</v>
      </c>
      <c r="Y874" s="87" t="s">
        <v>3685</v>
      </c>
      <c r="Z874" s="87" t="s">
        <v>50</v>
      </c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261" t="s">
        <v>3687</v>
      </c>
    </row>
    <row r="875" spans="1:43">
      <c r="A875" s="12">
        <v>872</v>
      </c>
      <c r="B875" s="21" t="s">
        <v>3685</v>
      </c>
      <c r="C875" s="5" t="s">
        <v>3931</v>
      </c>
      <c r="D875" s="5" t="s">
        <v>605</v>
      </c>
      <c r="E875" s="5" t="s">
        <v>605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11" t="s">
        <v>46</v>
      </c>
      <c r="Q875" s="5" t="s">
        <v>46</v>
      </c>
      <c r="R875" s="5" t="str">
        <f t="shared" si="14"/>
        <v/>
      </c>
      <c r="S875" s="5" t="s">
        <v>46</v>
      </c>
      <c r="T875" s="12">
        <v>872</v>
      </c>
      <c r="U875" s="261" t="s">
        <v>3687</v>
      </c>
      <c r="V875" s="232" t="s">
        <v>3931</v>
      </c>
      <c r="W875" s="232">
        <v>8269</v>
      </c>
      <c r="X875" s="232">
        <v>11189</v>
      </c>
      <c r="Y875" s="87" t="s">
        <v>3685</v>
      </c>
      <c r="Z875" s="87" t="s">
        <v>50</v>
      </c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261" t="s">
        <v>3687</v>
      </c>
    </row>
    <row r="876" spans="1:43">
      <c r="A876" s="12">
        <v>873</v>
      </c>
      <c r="B876" s="21" t="s">
        <v>3685</v>
      </c>
      <c r="C876" s="5" t="s">
        <v>3932</v>
      </c>
      <c r="D876" s="5" t="s">
        <v>605</v>
      </c>
      <c r="E876" s="5" t="s">
        <v>605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11" t="s">
        <v>46</v>
      </c>
      <c r="Q876" s="5" t="s">
        <v>46</v>
      </c>
      <c r="R876" s="5" t="str">
        <f t="shared" si="14"/>
        <v/>
      </c>
      <c r="S876" s="5" t="s">
        <v>46</v>
      </c>
      <c r="T876" s="12">
        <v>873</v>
      </c>
      <c r="U876" s="261" t="s">
        <v>3687</v>
      </c>
      <c r="V876" s="232" t="s">
        <v>3932</v>
      </c>
      <c r="W876" s="232">
        <v>12058.3</v>
      </c>
      <c r="X876" s="232">
        <v>11189</v>
      </c>
      <c r="Y876" s="87" t="s">
        <v>3685</v>
      </c>
      <c r="Z876" s="87" t="s">
        <v>50</v>
      </c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261" t="s">
        <v>3687</v>
      </c>
    </row>
    <row r="877" spans="1:43">
      <c r="A877" s="12">
        <v>874</v>
      </c>
      <c r="B877" s="21" t="s">
        <v>3685</v>
      </c>
      <c r="C877" s="5" t="s">
        <v>3933</v>
      </c>
      <c r="D877" s="5" t="s">
        <v>605</v>
      </c>
      <c r="E877" s="5" t="s">
        <v>605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11" t="s">
        <v>46</v>
      </c>
      <c r="Q877" s="5" t="s">
        <v>46</v>
      </c>
      <c r="R877" s="5" t="str">
        <f t="shared" si="14"/>
        <v/>
      </c>
      <c r="S877" s="5" t="s">
        <v>46</v>
      </c>
      <c r="T877" s="12">
        <v>874</v>
      </c>
      <c r="U877" s="261" t="s">
        <v>3687</v>
      </c>
      <c r="V877" s="232" t="s">
        <v>3933</v>
      </c>
      <c r="W877" s="232">
        <v>11557.8</v>
      </c>
      <c r="X877" s="232">
        <v>11189</v>
      </c>
      <c r="Y877" s="87" t="s">
        <v>3685</v>
      </c>
      <c r="Z877" s="87" t="s">
        <v>50</v>
      </c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261" t="s">
        <v>3687</v>
      </c>
    </row>
    <row r="878" spans="1:43">
      <c r="A878" s="12">
        <v>875</v>
      </c>
      <c r="B878" s="21" t="s">
        <v>3685</v>
      </c>
      <c r="C878" s="5" t="s">
        <v>3934</v>
      </c>
      <c r="D878" s="5" t="s">
        <v>605</v>
      </c>
      <c r="E878" s="5" t="s">
        <v>605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11" t="s">
        <v>46</v>
      </c>
      <c r="Q878" s="5" t="s">
        <v>46</v>
      </c>
      <c r="R878" s="5" t="str">
        <f t="shared" si="14"/>
        <v/>
      </c>
      <c r="S878" s="5" t="s">
        <v>46</v>
      </c>
      <c r="T878" s="12">
        <v>875</v>
      </c>
      <c r="U878" s="261" t="s">
        <v>3687</v>
      </c>
      <c r="V878" s="232" t="s">
        <v>3934</v>
      </c>
      <c r="W878" s="232">
        <v>-10491.5</v>
      </c>
      <c r="X878" s="232">
        <v>11189</v>
      </c>
      <c r="Y878" s="87" t="s">
        <v>3685</v>
      </c>
      <c r="Z878" s="87" t="s">
        <v>50</v>
      </c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261" t="s">
        <v>3687</v>
      </c>
    </row>
    <row r="879" spans="1:43">
      <c r="A879" s="12">
        <v>876</v>
      </c>
      <c r="B879" s="21" t="s">
        <v>3685</v>
      </c>
      <c r="C879" s="5" t="s">
        <v>3935</v>
      </c>
      <c r="D879" s="5" t="s">
        <v>605</v>
      </c>
      <c r="E879" s="5" t="s">
        <v>605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11" t="s">
        <v>46</v>
      </c>
      <c r="Q879" s="5" t="s">
        <v>46</v>
      </c>
      <c r="R879" s="5" t="str">
        <f t="shared" si="14"/>
        <v/>
      </c>
      <c r="S879" s="5" t="s">
        <v>46</v>
      </c>
      <c r="T879" s="12">
        <v>876</v>
      </c>
      <c r="U879" s="261" t="s">
        <v>3687</v>
      </c>
      <c r="V879" s="232" t="s">
        <v>3935</v>
      </c>
      <c r="W879" s="232">
        <v>10491.5</v>
      </c>
      <c r="X879" s="232">
        <v>11189</v>
      </c>
      <c r="Y879" s="87" t="s">
        <v>3685</v>
      </c>
      <c r="Z879" s="87" t="s">
        <v>50</v>
      </c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261" t="s">
        <v>3687</v>
      </c>
    </row>
    <row r="880" spans="1:43">
      <c r="A880" s="12">
        <v>877</v>
      </c>
      <c r="B880" s="21" t="s">
        <v>3685</v>
      </c>
      <c r="C880" s="5" t="s">
        <v>3936</v>
      </c>
      <c r="D880" s="5" t="s">
        <v>605</v>
      </c>
      <c r="E880" s="5" t="s">
        <v>605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11" t="s">
        <v>46</v>
      </c>
      <c r="Q880" s="5" t="s">
        <v>46</v>
      </c>
      <c r="R880" s="5" t="str">
        <f t="shared" si="14"/>
        <v/>
      </c>
      <c r="S880" s="5" t="s">
        <v>46</v>
      </c>
      <c r="T880" s="12">
        <v>877</v>
      </c>
      <c r="U880" s="261" t="s">
        <v>3687</v>
      </c>
      <c r="V880" s="232" t="s">
        <v>3936</v>
      </c>
      <c r="W880" s="232">
        <v>13439.1</v>
      </c>
      <c r="X880" s="232">
        <v>-10308.9</v>
      </c>
      <c r="Y880" s="87" t="s">
        <v>3685</v>
      </c>
      <c r="Z880" s="87" t="s">
        <v>50</v>
      </c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261" t="s">
        <v>3687</v>
      </c>
    </row>
    <row r="881" spans="1:43">
      <c r="A881" s="12">
        <v>878</v>
      </c>
      <c r="B881" s="21" t="s">
        <v>3685</v>
      </c>
      <c r="C881" s="5" t="s">
        <v>3937</v>
      </c>
      <c r="D881" s="5" t="s">
        <v>605</v>
      </c>
      <c r="E881" s="5" t="s">
        <v>605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11" t="s">
        <v>46</v>
      </c>
      <c r="Q881" s="5" t="s">
        <v>46</v>
      </c>
      <c r="R881" s="5" t="str">
        <f t="shared" si="14"/>
        <v/>
      </c>
      <c r="S881" s="5" t="s">
        <v>46</v>
      </c>
      <c r="T881" s="12">
        <v>878</v>
      </c>
      <c r="U881" s="261" t="s">
        <v>3687</v>
      </c>
      <c r="V881" s="232" t="s">
        <v>3937</v>
      </c>
      <c r="W881" s="232">
        <v>12930.1</v>
      </c>
      <c r="X881" s="232">
        <v>-10680</v>
      </c>
      <c r="Y881" s="87" t="s">
        <v>3685</v>
      </c>
      <c r="Z881" s="87" t="s">
        <v>50</v>
      </c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261" t="s">
        <v>3687</v>
      </c>
    </row>
    <row r="882" spans="1:43">
      <c r="A882" s="12">
        <v>879</v>
      </c>
      <c r="B882" s="21" t="s">
        <v>3685</v>
      </c>
      <c r="C882" s="5" t="s">
        <v>3938</v>
      </c>
      <c r="D882" s="5" t="s">
        <v>605</v>
      </c>
      <c r="E882" s="5" t="s">
        <v>605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11" t="s">
        <v>46</v>
      </c>
      <c r="Q882" s="5" t="s">
        <v>46</v>
      </c>
      <c r="R882" s="5" t="str">
        <f t="shared" si="14"/>
        <v/>
      </c>
      <c r="S882" s="5" t="s">
        <v>46</v>
      </c>
      <c r="T882" s="12">
        <v>879</v>
      </c>
      <c r="U882" s="261" t="s">
        <v>3687</v>
      </c>
      <c r="V882" s="232" t="s">
        <v>3938</v>
      </c>
      <c r="W882" s="232">
        <v>12527.8</v>
      </c>
      <c r="X882" s="232">
        <v>-10277.200000000001</v>
      </c>
      <c r="Y882" s="87" t="s">
        <v>3685</v>
      </c>
      <c r="Z882" s="87" t="s">
        <v>50</v>
      </c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261" t="s">
        <v>3687</v>
      </c>
    </row>
    <row r="883" spans="1:43">
      <c r="A883" s="12">
        <v>880</v>
      </c>
      <c r="B883" s="21" t="s">
        <v>3685</v>
      </c>
      <c r="C883" s="5" t="s">
        <v>3939</v>
      </c>
      <c r="D883" s="5" t="s">
        <v>605</v>
      </c>
      <c r="E883" s="5" t="s">
        <v>605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11" t="s">
        <v>46</v>
      </c>
      <c r="Q883" s="5" t="s">
        <v>46</v>
      </c>
      <c r="R883" s="5" t="str">
        <f t="shared" si="14"/>
        <v/>
      </c>
      <c r="S883" s="5" t="s">
        <v>46</v>
      </c>
      <c r="T883" s="12">
        <v>880</v>
      </c>
      <c r="U883" s="261" t="s">
        <v>3687</v>
      </c>
      <c r="V883" s="232" t="s">
        <v>3939</v>
      </c>
      <c r="W883" s="232">
        <v>-1796.4</v>
      </c>
      <c r="X883" s="232">
        <v>-10380.6</v>
      </c>
      <c r="Y883" s="87" t="s">
        <v>3685</v>
      </c>
      <c r="Z883" s="87" t="s">
        <v>50</v>
      </c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261" t="s">
        <v>3687</v>
      </c>
    </row>
    <row r="884" spans="1:43">
      <c r="A884" s="12">
        <v>881</v>
      </c>
      <c r="B884" s="21" t="s">
        <v>3685</v>
      </c>
      <c r="C884" s="5" t="s">
        <v>3940</v>
      </c>
      <c r="D884" s="5" t="s">
        <v>605</v>
      </c>
      <c r="E884" s="5" t="s">
        <v>605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11" t="s">
        <v>46</v>
      </c>
      <c r="Q884" s="5" t="s">
        <v>46</v>
      </c>
      <c r="R884" s="5" t="str">
        <f t="shared" si="14"/>
        <v/>
      </c>
      <c r="S884" s="5" t="s">
        <v>46</v>
      </c>
      <c r="T884" s="12">
        <v>881</v>
      </c>
      <c r="U884" s="261" t="s">
        <v>3687</v>
      </c>
      <c r="V884" s="232" t="s">
        <v>3940</v>
      </c>
      <c r="W884" s="232">
        <v>-2297</v>
      </c>
      <c r="X884" s="232">
        <v>-10380.6</v>
      </c>
      <c r="Y884" s="87" t="s">
        <v>3685</v>
      </c>
      <c r="Z884" s="87" t="s">
        <v>50</v>
      </c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261" t="s">
        <v>3687</v>
      </c>
    </row>
    <row r="885" spans="1:43">
      <c r="A885" s="12">
        <v>882</v>
      </c>
      <c r="B885" s="21" t="s">
        <v>3685</v>
      </c>
      <c r="C885" s="5" t="s">
        <v>3941</v>
      </c>
      <c r="D885" s="5" t="s">
        <v>605</v>
      </c>
      <c r="E885" s="5" t="s">
        <v>605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11" t="s">
        <v>46</v>
      </c>
      <c r="Q885" s="5" t="s">
        <v>46</v>
      </c>
      <c r="R885" s="5" t="str">
        <f t="shared" si="14"/>
        <v/>
      </c>
      <c r="S885" s="5" t="s">
        <v>46</v>
      </c>
      <c r="T885" s="12">
        <v>882</v>
      </c>
      <c r="U885" s="261" t="s">
        <v>3687</v>
      </c>
      <c r="V885" s="232" t="s">
        <v>3941</v>
      </c>
      <c r="W885" s="232">
        <v>11467.2</v>
      </c>
      <c r="X885" s="232">
        <v>-10357.200000000001</v>
      </c>
      <c r="Y885" s="87" t="s">
        <v>3685</v>
      </c>
      <c r="Z885" s="87" t="s">
        <v>50</v>
      </c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261" t="s">
        <v>3687</v>
      </c>
    </row>
    <row r="886" spans="1:43">
      <c r="A886" s="12">
        <v>883</v>
      </c>
      <c r="B886" s="21" t="s">
        <v>3685</v>
      </c>
      <c r="C886" s="5" t="s">
        <v>3942</v>
      </c>
      <c r="D886" s="5" t="s">
        <v>605</v>
      </c>
      <c r="E886" s="5" t="s">
        <v>605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11" t="s">
        <v>46</v>
      </c>
      <c r="Q886" s="5" t="s">
        <v>46</v>
      </c>
      <c r="R886" s="5" t="str">
        <f t="shared" si="14"/>
        <v/>
      </c>
      <c r="S886" s="5" t="s">
        <v>46</v>
      </c>
      <c r="T886" s="12">
        <v>883</v>
      </c>
      <c r="U886" s="261" t="s">
        <v>3687</v>
      </c>
      <c r="V886" s="232" t="s">
        <v>3942</v>
      </c>
      <c r="W886" s="232">
        <v>-12930.1</v>
      </c>
      <c r="X886" s="232">
        <v>-10680</v>
      </c>
      <c r="Y886" s="87" t="s">
        <v>3685</v>
      </c>
      <c r="Z886" s="87" t="s">
        <v>50</v>
      </c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261" t="s">
        <v>3687</v>
      </c>
    </row>
    <row r="887" spans="1:43">
      <c r="A887" s="12">
        <v>884</v>
      </c>
      <c r="B887" s="21" t="s">
        <v>3685</v>
      </c>
      <c r="C887" s="5" t="s">
        <v>3943</v>
      </c>
      <c r="D887" s="5" t="s">
        <v>605</v>
      </c>
      <c r="E887" s="5" t="s">
        <v>605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11" t="s">
        <v>46</v>
      </c>
      <c r="Q887" s="5" t="s">
        <v>46</v>
      </c>
      <c r="R887" s="5" t="str">
        <f t="shared" si="14"/>
        <v/>
      </c>
      <c r="S887" s="5" t="s">
        <v>46</v>
      </c>
      <c r="T887" s="12">
        <v>884</v>
      </c>
      <c r="U887" s="261" t="s">
        <v>3687</v>
      </c>
      <c r="V887" s="232" t="s">
        <v>3943</v>
      </c>
      <c r="W887" s="232">
        <v>-13439.1</v>
      </c>
      <c r="X887" s="232">
        <v>-10308.9</v>
      </c>
      <c r="Y887" s="87" t="s">
        <v>3685</v>
      </c>
      <c r="Z887" s="87" t="s">
        <v>50</v>
      </c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261" t="s">
        <v>3687</v>
      </c>
    </row>
    <row r="888" spans="1:43">
      <c r="A888" s="12">
        <v>885</v>
      </c>
      <c r="B888" s="21" t="s">
        <v>3685</v>
      </c>
      <c r="C888" s="5" t="s">
        <v>3944</v>
      </c>
      <c r="D888" s="5" t="s">
        <v>605</v>
      </c>
      <c r="E888" s="5" t="s">
        <v>605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11" t="s">
        <v>46</v>
      </c>
      <c r="Q888" s="5" t="s">
        <v>46</v>
      </c>
      <c r="R888" s="5" t="str">
        <f t="shared" si="14"/>
        <v/>
      </c>
      <c r="S888" s="5" t="s">
        <v>46</v>
      </c>
      <c r="T888" s="12">
        <v>885</v>
      </c>
      <c r="U888" s="261" t="s">
        <v>3687</v>
      </c>
      <c r="V888" s="232" t="s">
        <v>3944</v>
      </c>
      <c r="W888" s="232">
        <v>13439.1</v>
      </c>
      <c r="X888" s="232">
        <v>-9808.2999999999993</v>
      </c>
      <c r="Y888" s="87" t="s">
        <v>3685</v>
      </c>
      <c r="Z888" s="87" t="s">
        <v>50</v>
      </c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261" t="s">
        <v>3687</v>
      </c>
    </row>
    <row r="889" spans="1:43">
      <c r="A889" s="12">
        <v>886</v>
      </c>
      <c r="B889" s="21" t="s">
        <v>3685</v>
      </c>
      <c r="C889" s="5" t="s">
        <v>3945</v>
      </c>
      <c r="D889" s="5" t="s">
        <v>605</v>
      </c>
      <c r="E889" s="5" t="s">
        <v>605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11" t="s">
        <v>46</v>
      </c>
      <c r="Q889" s="5" t="s">
        <v>46</v>
      </c>
      <c r="R889" s="5" t="str">
        <f t="shared" si="14"/>
        <v/>
      </c>
      <c r="S889" s="5" t="s">
        <v>46</v>
      </c>
      <c r="T889" s="12">
        <v>886</v>
      </c>
      <c r="U889" s="261" t="s">
        <v>3687</v>
      </c>
      <c r="V889" s="232" t="s">
        <v>3945</v>
      </c>
      <c r="W889" s="232">
        <v>4775.8</v>
      </c>
      <c r="X889" s="232">
        <v>-9947.1</v>
      </c>
      <c r="Y889" s="87" t="s">
        <v>3685</v>
      </c>
      <c r="Z889" s="87" t="s">
        <v>50</v>
      </c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261" t="s">
        <v>3687</v>
      </c>
    </row>
    <row r="890" spans="1:43">
      <c r="A890" s="12">
        <v>887</v>
      </c>
      <c r="B890" s="21" t="s">
        <v>3685</v>
      </c>
      <c r="C890" s="5" t="s">
        <v>3946</v>
      </c>
      <c r="D890" s="5" t="s">
        <v>605</v>
      </c>
      <c r="E890" s="5" t="s">
        <v>605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11" t="s">
        <v>46</v>
      </c>
      <c r="Q890" s="5" t="s">
        <v>46</v>
      </c>
      <c r="R890" s="5" t="str">
        <f t="shared" si="14"/>
        <v/>
      </c>
      <c r="S890" s="5" t="s">
        <v>46</v>
      </c>
      <c r="T890" s="12">
        <v>887</v>
      </c>
      <c r="U890" s="261" t="s">
        <v>3687</v>
      </c>
      <c r="V890" s="232" t="s">
        <v>3946</v>
      </c>
      <c r="W890" s="232">
        <v>12972.8</v>
      </c>
      <c r="X890" s="232">
        <v>-10045.5</v>
      </c>
      <c r="Y890" s="87" t="s">
        <v>3685</v>
      </c>
      <c r="Z890" s="87" t="s">
        <v>50</v>
      </c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261" t="s">
        <v>3687</v>
      </c>
    </row>
    <row r="891" spans="1:43">
      <c r="A891" s="12">
        <v>888</v>
      </c>
      <c r="B891" s="21" t="s">
        <v>3685</v>
      </c>
      <c r="C891" s="5" t="s">
        <v>3947</v>
      </c>
      <c r="D891" s="5" t="s">
        <v>605</v>
      </c>
      <c r="E891" s="5" t="s">
        <v>605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11" t="s">
        <v>46</v>
      </c>
      <c r="Q891" s="5" t="s">
        <v>46</v>
      </c>
      <c r="R891" s="5" t="str">
        <f t="shared" si="14"/>
        <v/>
      </c>
      <c r="S891" s="5" t="s">
        <v>46</v>
      </c>
      <c r="T891" s="12">
        <v>888</v>
      </c>
      <c r="U891" s="261" t="s">
        <v>3687</v>
      </c>
      <c r="V891" s="232" t="s">
        <v>3947</v>
      </c>
      <c r="W891" s="232">
        <v>4093.5</v>
      </c>
      <c r="X891" s="232">
        <v>-10006</v>
      </c>
      <c r="Y891" s="87" t="s">
        <v>3685</v>
      </c>
      <c r="Z891" s="87" t="s">
        <v>50</v>
      </c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261" t="s">
        <v>3687</v>
      </c>
    </row>
    <row r="892" spans="1:43">
      <c r="A892" s="12">
        <v>889</v>
      </c>
      <c r="B892" s="21" t="s">
        <v>3685</v>
      </c>
      <c r="C892" s="5" t="s">
        <v>3948</v>
      </c>
      <c r="D892" s="5" t="s">
        <v>605</v>
      </c>
      <c r="E892" s="5" t="s">
        <v>605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11" t="s">
        <v>46</v>
      </c>
      <c r="Q892" s="5" t="s">
        <v>46</v>
      </c>
      <c r="R892" s="5" t="str">
        <f t="shared" si="14"/>
        <v/>
      </c>
      <c r="S892" s="5" t="s">
        <v>46</v>
      </c>
      <c r="T892" s="12">
        <v>889</v>
      </c>
      <c r="U892" s="261" t="s">
        <v>3687</v>
      </c>
      <c r="V892" s="232" t="s">
        <v>3948</v>
      </c>
      <c r="W892" s="232">
        <v>3411.3</v>
      </c>
      <c r="X892" s="232">
        <v>-9947.1</v>
      </c>
      <c r="Y892" s="87" t="s">
        <v>3685</v>
      </c>
      <c r="Z892" s="87" t="s">
        <v>50</v>
      </c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261" t="s">
        <v>3687</v>
      </c>
    </row>
    <row r="893" spans="1:43">
      <c r="A893" s="12">
        <v>890</v>
      </c>
      <c r="B893" s="21" t="s">
        <v>3685</v>
      </c>
      <c r="C893" s="5" t="s">
        <v>3949</v>
      </c>
      <c r="D893" s="5" t="s">
        <v>605</v>
      </c>
      <c r="E893" s="5" t="s">
        <v>605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11" t="s">
        <v>46</v>
      </c>
      <c r="Q893" s="5" t="s">
        <v>46</v>
      </c>
      <c r="R893" s="5" t="str">
        <f t="shared" si="14"/>
        <v/>
      </c>
      <c r="S893" s="5" t="s">
        <v>46</v>
      </c>
      <c r="T893" s="12">
        <v>890</v>
      </c>
      <c r="U893" s="261" t="s">
        <v>3687</v>
      </c>
      <c r="V893" s="232" t="s">
        <v>3949</v>
      </c>
      <c r="W893" s="232">
        <v>2046.8</v>
      </c>
      <c r="X893" s="232">
        <v>-9947.1</v>
      </c>
      <c r="Y893" s="87" t="s">
        <v>3685</v>
      </c>
      <c r="Z893" s="87" t="s">
        <v>50</v>
      </c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261" t="s">
        <v>3687</v>
      </c>
    </row>
    <row r="894" spans="1:43">
      <c r="A894" s="12">
        <v>891</v>
      </c>
      <c r="B894" s="21" t="s">
        <v>3685</v>
      </c>
      <c r="C894" s="5" t="s">
        <v>3950</v>
      </c>
      <c r="D894" s="5" t="s">
        <v>605</v>
      </c>
      <c r="E894" s="5" t="s">
        <v>605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11" t="s">
        <v>46</v>
      </c>
      <c r="Q894" s="5" t="s">
        <v>46</v>
      </c>
      <c r="R894" s="5" t="str">
        <f t="shared" si="14"/>
        <v/>
      </c>
      <c r="S894" s="5" t="s">
        <v>46</v>
      </c>
      <c r="T894" s="12">
        <v>891</v>
      </c>
      <c r="U894" s="261" t="s">
        <v>3687</v>
      </c>
      <c r="V894" s="232" t="s">
        <v>3950</v>
      </c>
      <c r="W894" s="232">
        <v>1364.5</v>
      </c>
      <c r="X894" s="232">
        <v>-10006</v>
      </c>
      <c r="Y894" s="87" t="s">
        <v>3685</v>
      </c>
      <c r="Z894" s="87" t="s">
        <v>50</v>
      </c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261" t="s">
        <v>3687</v>
      </c>
    </row>
    <row r="895" spans="1:43">
      <c r="A895" s="12">
        <v>892</v>
      </c>
      <c r="B895" s="21" t="s">
        <v>3685</v>
      </c>
      <c r="C895" s="5" t="s">
        <v>3951</v>
      </c>
      <c r="D895" s="5" t="s">
        <v>605</v>
      </c>
      <c r="E895" s="5" t="s">
        <v>605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11" t="s">
        <v>46</v>
      </c>
      <c r="Q895" s="5" t="s">
        <v>46</v>
      </c>
      <c r="R895" s="5" t="str">
        <f t="shared" si="14"/>
        <v/>
      </c>
      <c r="S895" s="5" t="s">
        <v>46</v>
      </c>
      <c r="T895" s="12">
        <v>892</v>
      </c>
      <c r="U895" s="261" t="s">
        <v>3687</v>
      </c>
      <c r="V895" s="232" t="s">
        <v>3951</v>
      </c>
      <c r="W895" s="232">
        <v>682.3</v>
      </c>
      <c r="X895" s="232">
        <v>-9947.1</v>
      </c>
      <c r="Y895" s="87" t="s">
        <v>3685</v>
      </c>
      <c r="Z895" s="87" t="s">
        <v>50</v>
      </c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261" t="s">
        <v>3687</v>
      </c>
    </row>
    <row r="896" spans="1:43">
      <c r="A896" s="12">
        <v>893</v>
      </c>
      <c r="B896" s="21" t="s">
        <v>3685</v>
      </c>
      <c r="C896" s="5" t="s">
        <v>3952</v>
      </c>
      <c r="D896" s="5" t="s">
        <v>605</v>
      </c>
      <c r="E896" s="5" t="s">
        <v>605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11" t="s">
        <v>46</v>
      </c>
      <c r="Q896" s="5" t="s">
        <v>46</v>
      </c>
      <c r="R896" s="5" t="str">
        <f t="shared" si="14"/>
        <v/>
      </c>
      <c r="S896" s="5" t="s">
        <v>46</v>
      </c>
      <c r="T896" s="12">
        <v>893</v>
      </c>
      <c r="U896" s="261" t="s">
        <v>3687</v>
      </c>
      <c r="V896" s="232" t="s">
        <v>3952</v>
      </c>
      <c r="W896" s="232">
        <v>-682.2</v>
      </c>
      <c r="X896" s="232">
        <v>-9947.1</v>
      </c>
      <c r="Y896" s="87" t="s">
        <v>3685</v>
      </c>
      <c r="Z896" s="87" t="s">
        <v>50</v>
      </c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261" t="s">
        <v>3687</v>
      </c>
    </row>
    <row r="897" spans="1:43">
      <c r="A897" s="12">
        <v>894</v>
      </c>
      <c r="B897" s="21" t="s">
        <v>3685</v>
      </c>
      <c r="C897" s="5" t="s">
        <v>3953</v>
      </c>
      <c r="D897" s="5" t="s">
        <v>605</v>
      </c>
      <c r="E897" s="5" t="s">
        <v>605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11" t="s">
        <v>46</v>
      </c>
      <c r="Q897" s="5" t="s">
        <v>46</v>
      </c>
      <c r="R897" s="5" t="str">
        <f t="shared" si="14"/>
        <v/>
      </c>
      <c r="S897" s="5" t="s">
        <v>46</v>
      </c>
      <c r="T897" s="12">
        <v>894</v>
      </c>
      <c r="U897" s="261" t="s">
        <v>3687</v>
      </c>
      <c r="V897" s="232" t="s">
        <v>3953</v>
      </c>
      <c r="W897" s="232">
        <v>-1364.5</v>
      </c>
      <c r="X897" s="232">
        <v>-10006</v>
      </c>
      <c r="Y897" s="87" t="s">
        <v>3685</v>
      </c>
      <c r="Z897" s="87" t="s">
        <v>50</v>
      </c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261" t="s">
        <v>3687</v>
      </c>
    </row>
    <row r="898" spans="1:43">
      <c r="A898" s="12">
        <v>895</v>
      </c>
      <c r="B898" s="21" t="s">
        <v>3685</v>
      </c>
      <c r="C898" s="5" t="s">
        <v>3954</v>
      </c>
      <c r="D898" s="5" t="s">
        <v>605</v>
      </c>
      <c r="E898" s="5" t="s">
        <v>605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11" t="s">
        <v>46</v>
      </c>
      <c r="Q898" s="5" t="s">
        <v>46</v>
      </c>
      <c r="R898" s="5" t="str">
        <f t="shared" si="14"/>
        <v/>
      </c>
      <c r="S898" s="5" t="s">
        <v>46</v>
      </c>
      <c r="T898" s="12">
        <v>895</v>
      </c>
      <c r="U898" s="261" t="s">
        <v>3687</v>
      </c>
      <c r="V898" s="232" t="s">
        <v>3954</v>
      </c>
      <c r="W898" s="232">
        <v>-2046.7</v>
      </c>
      <c r="X898" s="232">
        <v>-9947.1</v>
      </c>
      <c r="Y898" s="87" t="s">
        <v>3685</v>
      </c>
      <c r="Z898" s="87" t="s">
        <v>50</v>
      </c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261" t="s">
        <v>3687</v>
      </c>
    </row>
    <row r="899" spans="1:43">
      <c r="A899" s="12">
        <v>896</v>
      </c>
      <c r="B899" s="21" t="s">
        <v>3685</v>
      </c>
      <c r="C899" s="5" t="s">
        <v>3955</v>
      </c>
      <c r="D899" s="5" t="s">
        <v>605</v>
      </c>
      <c r="E899" s="5" t="s">
        <v>605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11" t="s">
        <v>46</v>
      </c>
      <c r="Q899" s="5" t="s">
        <v>46</v>
      </c>
      <c r="R899" s="5" t="str">
        <f t="shared" si="14"/>
        <v/>
      </c>
      <c r="S899" s="5" t="s">
        <v>46</v>
      </c>
      <c r="T899" s="12">
        <v>896</v>
      </c>
      <c r="U899" s="261" t="s">
        <v>3687</v>
      </c>
      <c r="V899" s="232" t="s">
        <v>3955</v>
      </c>
      <c r="W899" s="232">
        <v>-3411.2</v>
      </c>
      <c r="X899" s="232">
        <v>-9947.1</v>
      </c>
      <c r="Y899" s="87" t="s">
        <v>3685</v>
      </c>
      <c r="Z899" s="87" t="s">
        <v>50</v>
      </c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261" t="s">
        <v>3687</v>
      </c>
    </row>
    <row r="900" spans="1:43">
      <c r="A900" s="12">
        <v>897</v>
      </c>
      <c r="B900" s="21" t="s">
        <v>3685</v>
      </c>
      <c r="C900" s="5" t="s">
        <v>3956</v>
      </c>
      <c r="D900" s="5" t="s">
        <v>605</v>
      </c>
      <c r="E900" s="5" t="s">
        <v>605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11" t="s">
        <v>46</v>
      </c>
      <c r="Q900" s="5" t="s">
        <v>46</v>
      </c>
      <c r="R900" s="5" t="str">
        <f t="shared" si="14"/>
        <v/>
      </c>
      <c r="S900" s="5" t="s">
        <v>46</v>
      </c>
      <c r="T900" s="12">
        <v>897</v>
      </c>
      <c r="U900" s="261" t="s">
        <v>3687</v>
      </c>
      <c r="V900" s="232" t="s">
        <v>3956</v>
      </c>
      <c r="W900" s="232">
        <v>-4093.5</v>
      </c>
      <c r="X900" s="232">
        <v>-10006</v>
      </c>
      <c r="Y900" s="87" t="s">
        <v>3685</v>
      </c>
      <c r="Z900" s="87" t="s">
        <v>50</v>
      </c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261" t="s">
        <v>3687</v>
      </c>
    </row>
    <row r="901" spans="1:43">
      <c r="A901" s="12">
        <v>898</v>
      </c>
      <c r="B901" s="21" t="s">
        <v>3685</v>
      </c>
      <c r="C901" s="5" t="s">
        <v>3957</v>
      </c>
      <c r="D901" s="5" t="s">
        <v>605</v>
      </c>
      <c r="E901" s="5" t="s">
        <v>605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11" t="s">
        <v>46</v>
      </c>
      <c r="Q901" s="5" t="s">
        <v>46</v>
      </c>
      <c r="R901" s="5" t="str">
        <f t="shared" ref="R901:R964" si="15">IF(AND(P901="",Q901=""),"",SUM(P901:Q901))</f>
        <v/>
      </c>
      <c r="S901" s="5" t="s">
        <v>46</v>
      </c>
      <c r="T901" s="12">
        <v>898</v>
      </c>
      <c r="U901" s="261" t="s">
        <v>3687</v>
      </c>
      <c r="V901" s="232" t="s">
        <v>3957</v>
      </c>
      <c r="W901" s="232">
        <v>-4775.7</v>
      </c>
      <c r="X901" s="232">
        <v>-9947.1</v>
      </c>
      <c r="Y901" s="87" t="s">
        <v>3685</v>
      </c>
      <c r="Z901" s="87" t="s">
        <v>50</v>
      </c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261" t="s">
        <v>3687</v>
      </c>
    </row>
    <row r="902" spans="1:43">
      <c r="A902" s="12">
        <v>899</v>
      </c>
      <c r="B902" s="21" t="s">
        <v>3685</v>
      </c>
      <c r="C902" s="5" t="s">
        <v>3958</v>
      </c>
      <c r="D902" s="5" t="s">
        <v>605</v>
      </c>
      <c r="E902" s="5" t="s">
        <v>605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11" t="s">
        <v>46</v>
      </c>
      <c r="Q902" s="5" t="s">
        <v>46</v>
      </c>
      <c r="R902" s="5" t="str">
        <f t="shared" si="15"/>
        <v/>
      </c>
      <c r="S902" s="5" t="s">
        <v>46</v>
      </c>
      <c r="T902" s="12">
        <v>899</v>
      </c>
      <c r="U902" s="261" t="s">
        <v>3687</v>
      </c>
      <c r="V902" s="232" t="s">
        <v>3958</v>
      </c>
      <c r="W902" s="232">
        <v>-6140.2</v>
      </c>
      <c r="X902" s="232">
        <v>-9947.1</v>
      </c>
      <c r="Y902" s="87" t="s">
        <v>3685</v>
      </c>
      <c r="Z902" s="87" t="s">
        <v>50</v>
      </c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261" t="s">
        <v>3687</v>
      </c>
    </row>
    <row r="903" spans="1:43">
      <c r="A903" s="12">
        <v>900</v>
      </c>
      <c r="B903" s="21" t="s">
        <v>3685</v>
      </c>
      <c r="C903" s="5" t="s">
        <v>3959</v>
      </c>
      <c r="D903" s="5" t="s">
        <v>605</v>
      </c>
      <c r="E903" s="5" t="s">
        <v>605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11" t="s">
        <v>46</v>
      </c>
      <c r="Q903" s="5" t="s">
        <v>46</v>
      </c>
      <c r="R903" s="5" t="str">
        <f t="shared" si="15"/>
        <v/>
      </c>
      <c r="S903" s="5" t="s">
        <v>46</v>
      </c>
      <c r="T903" s="12">
        <v>900</v>
      </c>
      <c r="U903" s="261" t="s">
        <v>3687</v>
      </c>
      <c r="V903" s="232" t="s">
        <v>3959</v>
      </c>
      <c r="W903" s="232">
        <v>-6822.5</v>
      </c>
      <c r="X903" s="232">
        <v>-10006</v>
      </c>
      <c r="Y903" s="87" t="s">
        <v>3685</v>
      </c>
      <c r="Z903" s="87" t="s">
        <v>50</v>
      </c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261" t="s">
        <v>3687</v>
      </c>
    </row>
    <row r="904" spans="1:43">
      <c r="A904" s="12">
        <v>901</v>
      </c>
      <c r="B904" s="21" t="s">
        <v>3685</v>
      </c>
      <c r="C904" s="5" t="s">
        <v>3960</v>
      </c>
      <c r="D904" s="5" t="s">
        <v>605</v>
      </c>
      <c r="E904" s="5" t="s">
        <v>605</v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11" t="s">
        <v>46</v>
      </c>
      <c r="Q904" s="5" t="s">
        <v>46</v>
      </c>
      <c r="R904" s="5" t="str">
        <f t="shared" si="15"/>
        <v/>
      </c>
      <c r="S904" s="5" t="s">
        <v>46</v>
      </c>
      <c r="T904" s="12">
        <v>901</v>
      </c>
      <c r="U904" s="261" t="s">
        <v>3687</v>
      </c>
      <c r="V904" s="232" t="s">
        <v>3960</v>
      </c>
      <c r="W904" s="232">
        <v>-7504.7</v>
      </c>
      <c r="X904" s="232">
        <v>-9947.1</v>
      </c>
      <c r="Y904" s="87" t="s">
        <v>3685</v>
      </c>
      <c r="Z904" s="87" t="s">
        <v>50</v>
      </c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261" t="s">
        <v>3687</v>
      </c>
    </row>
    <row r="905" spans="1:43">
      <c r="A905" s="12">
        <v>902</v>
      </c>
      <c r="B905" s="21" t="s">
        <v>3685</v>
      </c>
      <c r="C905" s="5" t="s">
        <v>3961</v>
      </c>
      <c r="D905" s="5" t="s">
        <v>605</v>
      </c>
      <c r="E905" s="5" t="s">
        <v>605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11" t="s">
        <v>46</v>
      </c>
      <c r="Q905" s="5" t="s">
        <v>46</v>
      </c>
      <c r="R905" s="5" t="str">
        <f t="shared" si="15"/>
        <v/>
      </c>
      <c r="S905" s="5" t="s">
        <v>46</v>
      </c>
      <c r="T905" s="12">
        <v>902</v>
      </c>
      <c r="U905" s="261" t="s">
        <v>3687</v>
      </c>
      <c r="V905" s="232" t="s">
        <v>3961</v>
      </c>
      <c r="W905" s="232">
        <v>-8869.2000000000007</v>
      </c>
      <c r="X905" s="232">
        <v>-9947.1</v>
      </c>
      <c r="Y905" s="87" t="s">
        <v>3685</v>
      </c>
      <c r="Z905" s="87" t="s">
        <v>50</v>
      </c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261" t="s">
        <v>3687</v>
      </c>
    </row>
    <row r="906" spans="1:43">
      <c r="A906" s="12">
        <v>903</v>
      </c>
      <c r="B906" s="21" t="s">
        <v>3685</v>
      </c>
      <c r="C906" s="5" t="s">
        <v>3962</v>
      </c>
      <c r="D906" s="5" t="s">
        <v>605</v>
      </c>
      <c r="E906" s="5" t="s">
        <v>605</v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11" t="s">
        <v>46</v>
      </c>
      <c r="Q906" s="5" t="s">
        <v>46</v>
      </c>
      <c r="R906" s="5" t="str">
        <f t="shared" si="15"/>
        <v/>
      </c>
      <c r="S906" s="5" t="s">
        <v>46</v>
      </c>
      <c r="T906" s="12">
        <v>903</v>
      </c>
      <c r="U906" s="261" t="s">
        <v>3687</v>
      </c>
      <c r="V906" s="232" t="s">
        <v>3962</v>
      </c>
      <c r="W906" s="232">
        <v>-9551.5</v>
      </c>
      <c r="X906" s="232">
        <v>-10006</v>
      </c>
      <c r="Y906" s="87" t="s">
        <v>3685</v>
      </c>
      <c r="Z906" s="87" t="s">
        <v>50</v>
      </c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261" t="s">
        <v>3687</v>
      </c>
    </row>
    <row r="907" spans="1:43">
      <c r="A907" s="12">
        <v>904</v>
      </c>
      <c r="B907" s="21" t="s">
        <v>3685</v>
      </c>
      <c r="C907" s="5" t="s">
        <v>3963</v>
      </c>
      <c r="D907" s="5" t="s">
        <v>605</v>
      </c>
      <c r="E907" s="5" t="s">
        <v>605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11" t="s">
        <v>46</v>
      </c>
      <c r="Q907" s="5" t="s">
        <v>46</v>
      </c>
      <c r="R907" s="5" t="str">
        <f t="shared" si="15"/>
        <v/>
      </c>
      <c r="S907" s="5" t="s">
        <v>46</v>
      </c>
      <c r="T907" s="12">
        <v>904</v>
      </c>
      <c r="U907" s="261" t="s">
        <v>3687</v>
      </c>
      <c r="V907" s="232" t="s">
        <v>3963</v>
      </c>
      <c r="W907" s="232">
        <v>-10233.700000000001</v>
      </c>
      <c r="X907" s="232">
        <v>-9947.1</v>
      </c>
      <c r="Y907" s="87" t="s">
        <v>3685</v>
      </c>
      <c r="Z907" s="87" t="s">
        <v>50</v>
      </c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261" t="s">
        <v>3687</v>
      </c>
    </row>
    <row r="908" spans="1:43">
      <c r="A908" s="12">
        <v>905</v>
      </c>
      <c r="B908" s="21" t="s">
        <v>3685</v>
      </c>
      <c r="C908" s="5" t="s">
        <v>3964</v>
      </c>
      <c r="D908" s="5" t="s">
        <v>605</v>
      </c>
      <c r="E908" s="5" t="s">
        <v>605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11" t="s">
        <v>46</v>
      </c>
      <c r="Q908" s="5" t="s">
        <v>46</v>
      </c>
      <c r="R908" s="5" t="str">
        <f t="shared" si="15"/>
        <v/>
      </c>
      <c r="S908" s="5" t="s">
        <v>46</v>
      </c>
      <c r="T908" s="12">
        <v>905</v>
      </c>
      <c r="U908" s="261" t="s">
        <v>3687</v>
      </c>
      <c r="V908" s="232" t="s">
        <v>3964</v>
      </c>
      <c r="W908" s="232">
        <v>-12972.8</v>
      </c>
      <c r="X908" s="232">
        <v>-10045.5</v>
      </c>
      <c r="Y908" s="87" t="s">
        <v>3685</v>
      </c>
      <c r="Z908" s="87" t="s">
        <v>50</v>
      </c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261" t="s">
        <v>3687</v>
      </c>
    </row>
    <row r="909" spans="1:43">
      <c r="A909" s="12">
        <v>906</v>
      </c>
      <c r="B909" s="21" t="s">
        <v>3685</v>
      </c>
      <c r="C909" s="5" t="s">
        <v>3965</v>
      </c>
      <c r="D909" s="5" t="s">
        <v>605</v>
      </c>
      <c r="E909" s="5" t="s">
        <v>605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11" t="s">
        <v>46</v>
      </c>
      <c r="Q909" s="5" t="s">
        <v>46</v>
      </c>
      <c r="R909" s="5" t="str">
        <f t="shared" si="15"/>
        <v/>
      </c>
      <c r="S909" s="5" t="s">
        <v>46</v>
      </c>
      <c r="T909" s="12">
        <v>906</v>
      </c>
      <c r="U909" s="261" t="s">
        <v>3687</v>
      </c>
      <c r="V909" s="232" t="s">
        <v>3965</v>
      </c>
      <c r="W909" s="232">
        <v>-13439.1</v>
      </c>
      <c r="X909" s="232">
        <v>-9808.2999999999993</v>
      </c>
      <c r="Y909" s="87" t="s">
        <v>3685</v>
      </c>
      <c r="Z909" s="87" t="s">
        <v>50</v>
      </c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261" t="s">
        <v>3687</v>
      </c>
    </row>
    <row r="910" spans="1:43">
      <c r="A910" s="12">
        <v>907</v>
      </c>
      <c r="B910" s="21" t="s">
        <v>3685</v>
      </c>
      <c r="C910" s="5" t="s">
        <v>3966</v>
      </c>
      <c r="D910" s="5" t="s">
        <v>605</v>
      </c>
      <c r="E910" s="5" t="s">
        <v>605</v>
      </c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11" t="s">
        <v>46</v>
      </c>
      <c r="Q910" s="5" t="s">
        <v>46</v>
      </c>
      <c r="R910" s="5" t="str">
        <f t="shared" si="15"/>
        <v/>
      </c>
      <c r="S910" s="5" t="s">
        <v>46</v>
      </c>
      <c r="T910" s="12">
        <v>907</v>
      </c>
      <c r="U910" s="261" t="s">
        <v>3687</v>
      </c>
      <c r="V910" s="232" t="s">
        <v>3966</v>
      </c>
      <c r="W910" s="232">
        <v>10689.6</v>
      </c>
      <c r="X910" s="232">
        <v>-10162.9</v>
      </c>
      <c r="Y910" s="87" t="s">
        <v>3685</v>
      </c>
      <c r="Z910" s="87" t="s">
        <v>50</v>
      </c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261" t="s">
        <v>3687</v>
      </c>
    </row>
    <row r="911" spans="1:43">
      <c r="A911" s="12">
        <v>908</v>
      </c>
      <c r="B911" s="21" t="s">
        <v>3685</v>
      </c>
      <c r="C911" s="5" t="s">
        <v>3967</v>
      </c>
      <c r="D911" s="5" t="s">
        <v>605</v>
      </c>
      <c r="E911" s="5" t="s">
        <v>605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11" t="s">
        <v>46</v>
      </c>
      <c r="Q911" s="5" t="s">
        <v>46</v>
      </c>
      <c r="R911" s="5" t="str">
        <f t="shared" si="15"/>
        <v/>
      </c>
      <c r="S911" s="5" t="s">
        <v>46</v>
      </c>
      <c r="T911" s="12">
        <v>908</v>
      </c>
      <c r="U911" s="261" t="s">
        <v>3687</v>
      </c>
      <c r="V911" s="232" t="s">
        <v>3967</v>
      </c>
      <c r="W911" s="232">
        <v>13439.1</v>
      </c>
      <c r="X911" s="232">
        <v>-9307.6</v>
      </c>
      <c r="Y911" s="87" t="s">
        <v>3685</v>
      </c>
      <c r="Z911" s="87" t="s">
        <v>50</v>
      </c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261" t="s">
        <v>3687</v>
      </c>
    </row>
    <row r="912" spans="1:43">
      <c r="A912" s="12">
        <v>909</v>
      </c>
      <c r="B912" s="21" t="s">
        <v>3685</v>
      </c>
      <c r="C912" s="5" t="s">
        <v>3968</v>
      </c>
      <c r="D912" s="5" t="s">
        <v>605</v>
      </c>
      <c r="E912" s="5" t="s">
        <v>605</v>
      </c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11" t="s">
        <v>46</v>
      </c>
      <c r="Q912" s="5" t="s">
        <v>46</v>
      </c>
      <c r="R912" s="5" t="str">
        <f t="shared" si="15"/>
        <v/>
      </c>
      <c r="S912" s="5" t="s">
        <v>46</v>
      </c>
      <c r="T912" s="12">
        <v>909</v>
      </c>
      <c r="U912" s="261" t="s">
        <v>3687</v>
      </c>
      <c r="V912" s="232" t="s">
        <v>3968</v>
      </c>
      <c r="W912" s="232">
        <v>7170.4</v>
      </c>
      <c r="X912" s="232">
        <v>-9409.5</v>
      </c>
      <c r="Y912" s="87" t="s">
        <v>3685</v>
      </c>
      <c r="Z912" s="87" t="s">
        <v>50</v>
      </c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261" t="s">
        <v>3687</v>
      </c>
    </row>
    <row r="913" spans="1:43">
      <c r="A913" s="12">
        <v>910</v>
      </c>
      <c r="B913" s="21" t="s">
        <v>3685</v>
      </c>
      <c r="C913" s="5" t="s">
        <v>3969</v>
      </c>
      <c r="D913" s="5" t="s">
        <v>605</v>
      </c>
      <c r="E913" s="5" t="s">
        <v>605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11" t="s">
        <v>46</v>
      </c>
      <c r="Q913" s="5" t="s">
        <v>46</v>
      </c>
      <c r="R913" s="5" t="str">
        <f t="shared" si="15"/>
        <v/>
      </c>
      <c r="S913" s="5" t="s">
        <v>46</v>
      </c>
      <c r="T913" s="12">
        <v>910</v>
      </c>
      <c r="U913" s="261" t="s">
        <v>3687</v>
      </c>
      <c r="V913" s="232" t="s">
        <v>3969</v>
      </c>
      <c r="W913" s="232">
        <v>6214.1</v>
      </c>
      <c r="X913" s="232">
        <v>-9662.5</v>
      </c>
      <c r="Y913" s="87" t="s">
        <v>3685</v>
      </c>
      <c r="Z913" s="87" t="s">
        <v>50</v>
      </c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261" t="s">
        <v>3687</v>
      </c>
    </row>
    <row r="914" spans="1:43">
      <c r="A914" s="12">
        <v>911</v>
      </c>
      <c r="B914" s="21" t="s">
        <v>3685</v>
      </c>
      <c r="C914" s="5" t="s">
        <v>3970</v>
      </c>
      <c r="D914" s="5" t="s">
        <v>605</v>
      </c>
      <c r="E914" s="5" t="s">
        <v>605</v>
      </c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11" t="s">
        <v>46</v>
      </c>
      <c r="Q914" s="5" t="s">
        <v>46</v>
      </c>
      <c r="R914" s="5" t="str">
        <f t="shared" si="15"/>
        <v/>
      </c>
      <c r="S914" s="5" t="s">
        <v>46</v>
      </c>
      <c r="T914" s="12">
        <v>911</v>
      </c>
      <c r="U914" s="261" t="s">
        <v>3687</v>
      </c>
      <c r="V914" s="232" t="s">
        <v>3970</v>
      </c>
      <c r="W914" s="232">
        <v>12141</v>
      </c>
      <c r="X914" s="232">
        <v>-9411.9</v>
      </c>
      <c r="Y914" s="87" t="s">
        <v>3685</v>
      </c>
      <c r="Z914" s="87" t="s">
        <v>50</v>
      </c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261" t="s">
        <v>3687</v>
      </c>
    </row>
    <row r="915" spans="1:43">
      <c r="A915" s="12">
        <v>912</v>
      </c>
      <c r="B915" s="21" t="s">
        <v>3685</v>
      </c>
      <c r="C915" s="5" t="s">
        <v>3971</v>
      </c>
      <c r="D915" s="5" t="s">
        <v>605</v>
      </c>
      <c r="E915" s="5" t="s">
        <v>605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11" t="s">
        <v>46</v>
      </c>
      <c r="Q915" s="5" t="s">
        <v>46</v>
      </c>
      <c r="R915" s="5" t="str">
        <f t="shared" si="15"/>
        <v/>
      </c>
      <c r="S915" s="5" t="s">
        <v>46</v>
      </c>
      <c r="T915" s="12">
        <v>912</v>
      </c>
      <c r="U915" s="261" t="s">
        <v>3687</v>
      </c>
      <c r="V915" s="232" t="s">
        <v>3971</v>
      </c>
      <c r="W915" s="232">
        <v>-10092.6</v>
      </c>
      <c r="X915" s="232">
        <v>-9441.2999999999993</v>
      </c>
      <c r="Y915" s="87" t="s">
        <v>3685</v>
      </c>
      <c r="Z915" s="87" t="s">
        <v>50</v>
      </c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261" t="s">
        <v>3687</v>
      </c>
    </row>
    <row r="916" spans="1:43">
      <c r="A916" s="12">
        <v>913</v>
      </c>
      <c r="B916" s="21" t="s">
        <v>3685</v>
      </c>
      <c r="C916" s="5" t="s">
        <v>3972</v>
      </c>
      <c r="D916" s="5" t="s">
        <v>605</v>
      </c>
      <c r="E916" s="5" t="s">
        <v>605</v>
      </c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11" t="s">
        <v>46</v>
      </c>
      <c r="Q916" s="5" t="s">
        <v>46</v>
      </c>
      <c r="R916" s="5" t="str">
        <f t="shared" si="15"/>
        <v/>
      </c>
      <c r="S916" s="5" t="s">
        <v>46</v>
      </c>
      <c r="T916" s="12">
        <v>913</v>
      </c>
      <c r="U916" s="261" t="s">
        <v>3687</v>
      </c>
      <c r="V916" s="232" t="s">
        <v>3972</v>
      </c>
      <c r="W916" s="232">
        <v>-10681.9</v>
      </c>
      <c r="X916" s="232">
        <v>-9718.4</v>
      </c>
      <c r="Y916" s="87" t="s">
        <v>3685</v>
      </c>
      <c r="Z916" s="87" t="s">
        <v>50</v>
      </c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261" t="s">
        <v>3687</v>
      </c>
    </row>
    <row r="917" spans="1:43">
      <c r="A917" s="12">
        <v>914</v>
      </c>
      <c r="B917" s="21" t="s">
        <v>3685</v>
      </c>
      <c r="C917" s="5" t="s">
        <v>3973</v>
      </c>
      <c r="D917" s="5" t="s">
        <v>605</v>
      </c>
      <c r="E917" s="5" t="s">
        <v>605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11" t="s">
        <v>46</v>
      </c>
      <c r="Q917" s="5" t="s">
        <v>46</v>
      </c>
      <c r="R917" s="5" t="str">
        <f t="shared" si="15"/>
        <v/>
      </c>
      <c r="S917" s="5" t="s">
        <v>46</v>
      </c>
      <c r="T917" s="12">
        <v>914</v>
      </c>
      <c r="U917" s="261" t="s">
        <v>3687</v>
      </c>
      <c r="V917" s="232" t="s">
        <v>3973</v>
      </c>
      <c r="W917" s="232">
        <v>-12141</v>
      </c>
      <c r="X917" s="232">
        <v>-9411.9</v>
      </c>
      <c r="Y917" s="87" t="s">
        <v>3685</v>
      </c>
      <c r="Z917" s="87" t="s">
        <v>50</v>
      </c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261" t="s">
        <v>3687</v>
      </c>
    </row>
    <row r="918" spans="1:43">
      <c r="A918" s="12">
        <v>915</v>
      </c>
      <c r="B918" s="21" t="s">
        <v>3685</v>
      </c>
      <c r="C918" s="5" t="s">
        <v>3974</v>
      </c>
      <c r="D918" s="5" t="s">
        <v>605</v>
      </c>
      <c r="E918" s="5" t="s">
        <v>605</v>
      </c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11" t="s">
        <v>46</v>
      </c>
      <c r="Q918" s="5" t="s">
        <v>46</v>
      </c>
      <c r="R918" s="5" t="str">
        <f t="shared" si="15"/>
        <v/>
      </c>
      <c r="S918" s="5" t="s">
        <v>46</v>
      </c>
      <c r="T918" s="12">
        <v>915</v>
      </c>
      <c r="U918" s="261" t="s">
        <v>3687</v>
      </c>
      <c r="V918" s="232" t="s">
        <v>3974</v>
      </c>
      <c r="W918" s="232">
        <v>-12922</v>
      </c>
      <c r="X918" s="232">
        <v>-9407.2000000000007</v>
      </c>
      <c r="Y918" s="87" t="s">
        <v>3685</v>
      </c>
      <c r="Z918" s="87" t="s">
        <v>50</v>
      </c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261" t="s">
        <v>3687</v>
      </c>
    </row>
    <row r="919" spans="1:43">
      <c r="A919" s="12">
        <v>916</v>
      </c>
      <c r="B919" s="21" t="s">
        <v>3685</v>
      </c>
      <c r="C919" s="5" t="s">
        <v>3975</v>
      </c>
      <c r="D919" s="5" t="s">
        <v>605</v>
      </c>
      <c r="E919" s="5" t="s">
        <v>605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11" t="s">
        <v>46</v>
      </c>
      <c r="Q919" s="5" t="s">
        <v>46</v>
      </c>
      <c r="R919" s="5" t="str">
        <f t="shared" si="15"/>
        <v/>
      </c>
      <c r="S919" s="5" t="s">
        <v>46</v>
      </c>
      <c r="T919" s="12">
        <v>916</v>
      </c>
      <c r="U919" s="261" t="s">
        <v>3687</v>
      </c>
      <c r="V919" s="232" t="s">
        <v>3975</v>
      </c>
      <c r="W919" s="232">
        <v>-13439.1</v>
      </c>
      <c r="X919" s="232">
        <v>-9307.6</v>
      </c>
      <c r="Y919" s="87" t="s">
        <v>3685</v>
      </c>
      <c r="Z919" s="87" t="s">
        <v>50</v>
      </c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261" t="s">
        <v>3687</v>
      </c>
    </row>
    <row r="920" spans="1:43">
      <c r="A920" s="12">
        <v>917</v>
      </c>
      <c r="B920" s="21" t="s">
        <v>3685</v>
      </c>
      <c r="C920" s="5" t="s">
        <v>3976</v>
      </c>
      <c r="D920" s="5" t="s">
        <v>605</v>
      </c>
      <c r="E920" s="5" t="s">
        <v>605</v>
      </c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11" t="s">
        <v>46</v>
      </c>
      <c r="Q920" s="5" t="s">
        <v>46</v>
      </c>
      <c r="R920" s="5" t="str">
        <f t="shared" si="15"/>
        <v/>
      </c>
      <c r="S920" s="5" t="s">
        <v>46</v>
      </c>
      <c r="T920" s="12">
        <v>917</v>
      </c>
      <c r="U920" s="261" t="s">
        <v>3687</v>
      </c>
      <c r="V920" s="232" t="s">
        <v>3976</v>
      </c>
      <c r="W920" s="232">
        <v>9367.5</v>
      </c>
      <c r="X920" s="232">
        <v>-9409.5</v>
      </c>
      <c r="Y920" s="87" t="s">
        <v>3685</v>
      </c>
      <c r="Z920" s="87" t="s">
        <v>50</v>
      </c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261" t="s">
        <v>3687</v>
      </c>
    </row>
    <row r="921" spans="1:43">
      <c r="A921" s="12">
        <v>918</v>
      </c>
      <c r="B921" s="21" t="s">
        <v>3685</v>
      </c>
      <c r="C921" s="5" t="s">
        <v>3977</v>
      </c>
      <c r="D921" s="5" t="s">
        <v>605</v>
      </c>
      <c r="E921" s="5" t="s">
        <v>605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11" t="s">
        <v>46</v>
      </c>
      <c r="Q921" s="5" t="s">
        <v>46</v>
      </c>
      <c r="R921" s="5" t="str">
        <f t="shared" si="15"/>
        <v/>
      </c>
      <c r="S921" s="5" t="s">
        <v>46</v>
      </c>
      <c r="T921" s="12">
        <v>918</v>
      </c>
      <c r="U921" s="261" t="s">
        <v>3687</v>
      </c>
      <c r="V921" s="232" t="s">
        <v>3977</v>
      </c>
      <c r="W921" s="232">
        <v>4632.3999999999996</v>
      </c>
      <c r="X921" s="232">
        <v>-9129.7999999999993</v>
      </c>
      <c r="Y921" s="87" t="s">
        <v>3685</v>
      </c>
      <c r="Z921" s="87" t="s">
        <v>50</v>
      </c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261" t="s">
        <v>3687</v>
      </c>
    </row>
    <row r="922" spans="1:43">
      <c r="A922" s="12">
        <v>919</v>
      </c>
      <c r="B922" s="21" t="s">
        <v>3685</v>
      </c>
      <c r="C922" s="5" t="s">
        <v>3978</v>
      </c>
      <c r="D922" s="5" t="s">
        <v>605</v>
      </c>
      <c r="E922" s="5" t="s">
        <v>605</v>
      </c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11" t="s">
        <v>46</v>
      </c>
      <c r="Q922" s="5" t="s">
        <v>46</v>
      </c>
      <c r="R922" s="5" t="str">
        <f t="shared" si="15"/>
        <v/>
      </c>
      <c r="S922" s="5" t="s">
        <v>46</v>
      </c>
      <c r="T922" s="12">
        <v>919</v>
      </c>
      <c r="U922" s="261" t="s">
        <v>3687</v>
      </c>
      <c r="V922" s="232" t="s">
        <v>3978</v>
      </c>
      <c r="W922" s="232">
        <v>1903.4</v>
      </c>
      <c r="X922" s="232">
        <v>-9129.7999999999993</v>
      </c>
      <c r="Y922" s="87" t="s">
        <v>3685</v>
      </c>
      <c r="Z922" s="87" t="s">
        <v>50</v>
      </c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261" t="s">
        <v>3687</v>
      </c>
    </row>
    <row r="923" spans="1:43">
      <c r="A923" s="12">
        <v>920</v>
      </c>
      <c r="B923" s="21" t="s">
        <v>3685</v>
      </c>
      <c r="C923" s="5" t="s">
        <v>3979</v>
      </c>
      <c r="D923" s="5" t="s">
        <v>605</v>
      </c>
      <c r="E923" s="5" t="s">
        <v>605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11" t="s">
        <v>46</v>
      </c>
      <c r="Q923" s="5" t="s">
        <v>46</v>
      </c>
      <c r="R923" s="5" t="str">
        <f t="shared" si="15"/>
        <v/>
      </c>
      <c r="S923" s="5" t="s">
        <v>46</v>
      </c>
      <c r="T923" s="12">
        <v>920</v>
      </c>
      <c r="U923" s="261" t="s">
        <v>3687</v>
      </c>
      <c r="V923" s="232" t="s">
        <v>3979</v>
      </c>
      <c r="W923" s="232">
        <v>-825.6</v>
      </c>
      <c r="X923" s="232">
        <v>-9129.7999999999993</v>
      </c>
      <c r="Y923" s="87" t="s">
        <v>3685</v>
      </c>
      <c r="Z923" s="87" t="s">
        <v>50</v>
      </c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261" t="s">
        <v>3687</v>
      </c>
    </row>
    <row r="924" spans="1:43">
      <c r="A924" s="12">
        <v>921</v>
      </c>
      <c r="B924" s="21" t="s">
        <v>3685</v>
      </c>
      <c r="C924" s="5" t="s">
        <v>3980</v>
      </c>
      <c r="D924" s="5" t="s">
        <v>605</v>
      </c>
      <c r="E924" s="5" t="s">
        <v>605</v>
      </c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11" t="s">
        <v>46</v>
      </c>
      <c r="Q924" s="5" t="s">
        <v>46</v>
      </c>
      <c r="R924" s="5" t="str">
        <f t="shared" si="15"/>
        <v/>
      </c>
      <c r="S924" s="5" t="s">
        <v>46</v>
      </c>
      <c r="T924" s="12">
        <v>921</v>
      </c>
      <c r="U924" s="261" t="s">
        <v>3687</v>
      </c>
      <c r="V924" s="232" t="s">
        <v>3980</v>
      </c>
      <c r="W924" s="232">
        <v>-3554.6</v>
      </c>
      <c r="X924" s="232">
        <v>-9129.7999999999993</v>
      </c>
      <c r="Y924" s="87" t="s">
        <v>3685</v>
      </c>
      <c r="Z924" s="87" t="s">
        <v>50</v>
      </c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261" t="s">
        <v>3687</v>
      </c>
    </row>
    <row r="925" spans="1:43">
      <c r="A925" s="12">
        <v>922</v>
      </c>
      <c r="B925" s="21" t="s">
        <v>3685</v>
      </c>
      <c r="C925" s="5" t="s">
        <v>3981</v>
      </c>
      <c r="D925" s="5" t="s">
        <v>605</v>
      </c>
      <c r="E925" s="5" t="s">
        <v>605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11" t="s">
        <v>46</v>
      </c>
      <c r="Q925" s="5" t="s">
        <v>46</v>
      </c>
      <c r="R925" s="5" t="str">
        <f t="shared" si="15"/>
        <v/>
      </c>
      <c r="S925" s="5" t="s">
        <v>46</v>
      </c>
      <c r="T925" s="12">
        <v>922</v>
      </c>
      <c r="U925" s="261" t="s">
        <v>3687</v>
      </c>
      <c r="V925" s="232" t="s">
        <v>3981</v>
      </c>
      <c r="W925" s="232">
        <v>-10083.9</v>
      </c>
      <c r="X925" s="232">
        <v>-8889.9</v>
      </c>
      <c r="Y925" s="87" t="s">
        <v>3685</v>
      </c>
      <c r="Z925" s="87" t="s">
        <v>50</v>
      </c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261" t="s">
        <v>3687</v>
      </c>
    </row>
    <row r="926" spans="1:43">
      <c r="A926" s="12">
        <v>923</v>
      </c>
      <c r="B926" s="21" t="s">
        <v>3685</v>
      </c>
      <c r="C926" s="5" t="s">
        <v>3982</v>
      </c>
      <c r="D926" s="5" t="s">
        <v>605</v>
      </c>
      <c r="E926" s="5" t="s">
        <v>605</v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11" t="s">
        <v>46</v>
      </c>
      <c r="Q926" s="5" t="s">
        <v>46</v>
      </c>
      <c r="R926" s="5" t="str">
        <f t="shared" si="15"/>
        <v/>
      </c>
      <c r="S926" s="5" t="s">
        <v>46</v>
      </c>
      <c r="T926" s="12">
        <v>923</v>
      </c>
      <c r="U926" s="261" t="s">
        <v>3687</v>
      </c>
      <c r="V926" s="232" t="s">
        <v>3982</v>
      </c>
      <c r="W926" s="232">
        <v>4632.3999999999996</v>
      </c>
      <c r="X926" s="232">
        <v>-8418.6</v>
      </c>
      <c r="Y926" s="87" t="s">
        <v>3685</v>
      </c>
      <c r="Z926" s="87" t="s">
        <v>50</v>
      </c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261" t="s">
        <v>3687</v>
      </c>
    </row>
    <row r="927" spans="1:43">
      <c r="A927" s="12">
        <v>924</v>
      </c>
      <c r="B927" s="21" t="s">
        <v>3685</v>
      </c>
      <c r="C927" s="5" t="s">
        <v>3983</v>
      </c>
      <c r="D927" s="5" t="s">
        <v>605</v>
      </c>
      <c r="E927" s="5" t="s">
        <v>605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11" t="s">
        <v>46</v>
      </c>
      <c r="Q927" s="5" t="s">
        <v>46</v>
      </c>
      <c r="R927" s="5" t="str">
        <f t="shared" si="15"/>
        <v/>
      </c>
      <c r="S927" s="5" t="s">
        <v>46</v>
      </c>
      <c r="T927" s="12">
        <v>924</v>
      </c>
      <c r="U927" s="261" t="s">
        <v>3687</v>
      </c>
      <c r="V927" s="232" t="s">
        <v>3983</v>
      </c>
      <c r="W927" s="232">
        <v>1903.4</v>
      </c>
      <c r="X927" s="232">
        <v>-8418.6</v>
      </c>
      <c r="Y927" s="87" t="s">
        <v>3685</v>
      </c>
      <c r="Z927" s="87" t="s">
        <v>50</v>
      </c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261" t="s">
        <v>3687</v>
      </c>
    </row>
    <row r="928" spans="1:43">
      <c r="A928" s="12">
        <v>925</v>
      </c>
      <c r="B928" s="21" t="s">
        <v>3685</v>
      </c>
      <c r="C928" s="5" t="s">
        <v>3984</v>
      </c>
      <c r="D928" s="5" t="s">
        <v>605</v>
      </c>
      <c r="E928" s="5" t="s">
        <v>605</v>
      </c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11" t="s">
        <v>46</v>
      </c>
      <c r="Q928" s="5" t="s">
        <v>46</v>
      </c>
      <c r="R928" s="5" t="str">
        <f t="shared" si="15"/>
        <v/>
      </c>
      <c r="S928" s="5" t="s">
        <v>46</v>
      </c>
      <c r="T928" s="12">
        <v>925</v>
      </c>
      <c r="U928" s="261" t="s">
        <v>3687</v>
      </c>
      <c r="V928" s="232" t="s">
        <v>3984</v>
      </c>
      <c r="W928" s="232">
        <v>-825.6</v>
      </c>
      <c r="X928" s="232">
        <v>-8418.6</v>
      </c>
      <c r="Y928" s="87" t="s">
        <v>3685</v>
      </c>
      <c r="Z928" s="87" t="s">
        <v>50</v>
      </c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261" t="s">
        <v>3687</v>
      </c>
    </row>
    <row r="929" spans="1:43">
      <c r="A929" s="12">
        <v>926</v>
      </c>
      <c r="B929" s="21" t="s">
        <v>3685</v>
      </c>
      <c r="C929" s="5" t="s">
        <v>3985</v>
      </c>
      <c r="D929" s="5" t="s">
        <v>605</v>
      </c>
      <c r="E929" s="5" t="s">
        <v>605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11" t="s">
        <v>46</v>
      </c>
      <c r="Q929" s="5" t="s">
        <v>46</v>
      </c>
      <c r="R929" s="5" t="str">
        <f t="shared" si="15"/>
        <v/>
      </c>
      <c r="S929" s="5" t="s">
        <v>46</v>
      </c>
      <c r="T929" s="12">
        <v>926</v>
      </c>
      <c r="U929" s="261" t="s">
        <v>3687</v>
      </c>
      <c r="V929" s="232" t="s">
        <v>3985</v>
      </c>
      <c r="W929" s="232">
        <v>-3554.6</v>
      </c>
      <c r="X929" s="232">
        <v>-8418.6</v>
      </c>
      <c r="Y929" s="87" t="s">
        <v>3685</v>
      </c>
      <c r="Z929" s="87" t="s">
        <v>50</v>
      </c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261" t="s">
        <v>3687</v>
      </c>
    </row>
    <row r="930" spans="1:43">
      <c r="A930" s="12">
        <v>927</v>
      </c>
      <c r="B930" s="21" t="s">
        <v>3685</v>
      </c>
      <c r="C930" s="5" t="s">
        <v>3986</v>
      </c>
      <c r="D930" s="5" t="s">
        <v>605</v>
      </c>
      <c r="E930" s="5" t="s">
        <v>605</v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11" t="s">
        <v>46</v>
      </c>
      <c r="Q930" s="5" t="s">
        <v>46</v>
      </c>
      <c r="R930" s="5" t="str">
        <f t="shared" si="15"/>
        <v/>
      </c>
      <c r="S930" s="5" t="s">
        <v>46</v>
      </c>
      <c r="T930" s="12">
        <v>927</v>
      </c>
      <c r="U930" s="261" t="s">
        <v>3687</v>
      </c>
      <c r="V930" s="232" t="s">
        <v>3986</v>
      </c>
      <c r="W930" s="232">
        <v>11912.6</v>
      </c>
      <c r="X930" s="232">
        <v>-8411.2000000000007</v>
      </c>
      <c r="Y930" s="87" t="s">
        <v>3685</v>
      </c>
      <c r="Z930" s="87" t="s">
        <v>50</v>
      </c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261" t="s">
        <v>3687</v>
      </c>
    </row>
    <row r="931" spans="1:43">
      <c r="A931" s="12">
        <v>928</v>
      </c>
      <c r="B931" s="21" t="s">
        <v>3685</v>
      </c>
      <c r="C931" s="5" t="s">
        <v>3987</v>
      </c>
      <c r="D931" s="5" t="s">
        <v>605</v>
      </c>
      <c r="E931" s="5" t="s">
        <v>605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11" t="s">
        <v>46</v>
      </c>
      <c r="Q931" s="5" t="s">
        <v>46</v>
      </c>
      <c r="R931" s="5" t="str">
        <f t="shared" si="15"/>
        <v/>
      </c>
      <c r="S931" s="5" t="s">
        <v>46</v>
      </c>
      <c r="T931" s="12">
        <v>928</v>
      </c>
      <c r="U931" s="261" t="s">
        <v>3687</v>
      </c>
      <c r="V931" s="232" t="s">
        <v>3987</v>
      </c>
      <c r="W931" s="232">
        <v>10633.2</v>
      </c>
      <c r="X931" s="232">
        <v>-8765.7000000000007</v>
      </c>
      <c r="Y931" s="87" t="s">
        <v>3685</v>
      </c>
      <c r="Z931" s="87" t="s">
        <v>50</v>
      </c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261" t="s">
        <v>3687</v>
      </c>
    </row>
    <row r="932" spans="1:43">
      <c r="A932" s="12">
        <v>929</v>
      </c>
      <c r="B932" s="21" t="s">
        <v>3685</v>
      </c>
      <c r="C932" s="5" t="s">
        <v>3988</v>
      </c>
      <c r="D932" s="5" t="s">
        <v>605</v>
      </c>
      <c r="E932" s="5" t="s">
        <v>605</v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11" t="s">
        <v>46</v>
      </c>
      <c r="Q932" s="5" t="s">
        <v>46</v>
      </c>
      <c r="R932" s="5" t="str">
        <f t="shared" si="15"/>
        <v/>
      </c>
      <c r="S932" s="5" t="s">
        <v>46</v>
      </c>
      <c r="T932" s="12">
        <v>929</v>
      </c>
      <c r="U932" s="261" t="s">
        <v>3687</v>
      </c>
      <c r="V932" s="232" t="s">
        <v>3988</v>
      </c>
      <c r="W932" s="232">
        <v>13439.1</v>
      </c>
      <c r="X932" s="232">
        <v>-8294.4</v>
      </c>
      <c r="Y932" s="87" t="s">
        <v>3685</v>
      </c>
      <c r="Z932" s="87" t="s">
        <v>50</v>
      </c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261" t="s">
        <v>3687</v>
      </c>
    </row>
    <row r="933" spans="1:43">
      <c r="A933" s="12">
        <v>930</v>
      </c>
      <c r="B933" s="21" t="s">
        <v>3685</v>
      </c>
      <c r="C933" s="5" t="s">
        <v>3989</v>
      </c>
      <c r="D933" s="5" t="s">
        <v>605</v>
      </c>
      <c r="E933" s="5" t="s">
        <v>605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11" t="s">
        <v>46</v>
      </c>
      <c r="Q933" s="5" t="s">
        <v>46</v>
      </c>
      <c r="R933" s="5" t="str">
        <f t="shared" si="15"/>
        <v/>
      </c>
      <c r="S933" s="5" t="s">
        <v>46</v>
      </c>
      <c r="T933" s="12">
        <v>930</v>
      </c>
      <c r="U933" s="261" t="s">
        <v>3687</v>
      </c>
      <c r="V933" s="232" t="s">
        <v>3989</v>
      </c>
      <c r="W933" s="232">
        <v>-9012.6</v>
      </c>
      <c r="X933" s="232">
        <v>-8037.4</v>
      </c>
      <c r="Y933" s="87" t="s">
        <v>3685</v>
      </c>
      <c r="Z933" s="87" t="s">
        <v>50</v>
      </c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261" t="s">
        <v>3687</v>
      </c>
    </row>
    <row r="934" spans="1:43">
      <c r="A934" s="12">
        <v>931</v>
      </c>
      <c r="B934" s="21" t="s">
        <v>3685</v>
      </c>
      <c r="C934" s="5" t="s">
        <v>3990</v>
      </c>
      <c r="D934" s="5" t="s">
        <v>605</v>
      </c>
      <c r="E934" s="5" t="s">
        <v>605</v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11" t="s">
        <v>46</v>
      </c>
      <c r="Q934" s="5" t="s">
        <v>46</v>
      </c>
      <c r="R934" s="5" t="str">
        <f t="shared" si="15"/>
        <v/>
      </c>
      <c r="S934" s="5" t="s">
        <v>46</v>
      </c>
      <c r="T934" s="12">
        <v>931</v>
      </c>
      <c r="U934" s="261" t="s">
        <v>3687</v>
      </c>
      <c r="V934" s="232" t="s">
        <v>3990</v>
      </c>
      <c r="W934" s="232">
        <v>-10883.1</v>
      </c>
      <c r="X934" s="232">
        <v>-8100</v>
      </c>
      <c r="Y934" s="87" t="s">
        <v>3685</v>
      </c>
      <c r="Z934" s="87" t="s">
        <v>50</v>
      </c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261" t="s">
        <v>3687</v>
      </c>
    </row>
    <row r="935" spans="1:43">
      <c r="A935" s="12">
        <v>932</v>
      </c>
      <c r="B935" s="21" t="s">
        <v>3685</v>
      </c>
      <c r="C935" s="5" t="s">
        <v>3991</v>
      </c>
      <c r="D935" s="5" t="s">
        <v>605</v>
      </c>
      <c r="E935" s="5" t="s">
        <v>605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11" t="s">
        <v>46</v>
      </c>
      <c r="Q935" s="5" t="s">
        <v>46</v>
      </c>
      <c r="R935" s="5" t="str">
        <f t="shared" si="15"/>
        <v/>
      </c>
      <c r="S935" s="5" t="s">
        <v>46</v>
      </c>
      <c r="T935" s="12">
        <v>932</v>
      </c>
      <c r="U935" s="261" t="s">
        <v>3687</v>
      </c>
      <c r="V935" s="232" t="s">
        <v>3991</v>
      </c>
      <c r="W935" s="232">
        <v>-13439.1</v>
      </c>
      <c r="X935" s="232">
        <v>-8294.4</v>
      </c>
      <c r="Y935" s="87" t="s">
        <v>3685</v>
      </c>
      <c r="Z935" s="87" t="s">
        <v>50</v>
      </c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261" t="s">
        <v>3687</v>
      </c>
    </row>
    <row r="936" spans="1:43">
      <c r="A936" s="12">
        <v>933</v>
      </c>
      <c r="B936" s="21" t="s">
        <v>3685</v>
      </c>
      <c r="C936" s="5" t="s">
        <v>3992</v>
      </c>
      <c r="D936" s="5" t="s">
        <v>605</v>
      </c>
      <c r="E936" s="5" t="s">
        <v>605</v>
      </c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11" t="s">
        <v>46</v>
      </c>
      <c r="Q936" s="5" t="s">
        <v>46</v>
      </c>
      <c r="R936" s="5" t="str">
        <f t="shared" si="15"/>
        <v/>
      </c>
      <c r="S936" s="5" t="s">
        <v>46</v>
      </c>
      <c r="T936" s="12">
        <v>933</v>
      </c>
      <c r="U936" s="261" t="s">
        <v>3687</v>
      </c>
      <c r="V936" s="232" t="s">
        <v>3992</v>
      </c>
      <c r="W936" s="232">
        <v>9973.5</v>
      </c>
      <c r="X936" s="232">
        <v>-7962.3</v>
      </c>
      <c r="Y936" s="87" t="s">
        <v>3685</v>
      </c>
      <c r="Z936" s="87" t="s">
        <v>50</v>
      </c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261" t="s">
        <v>3687</v>
      </c>
    </row>
    <row r="937" spans="1:43">
      <c r="A937" s="12">
        <v>934</v>
      </c>
      <c r="B937" s="21" t="s">
        <v>3685</v>
      </c>
      <c r="C937" s="5" t="s">
        <v>3993</v>
      </c>
      <c r="D937" s="5" t="s">
        <v>605</v>
      </c>
      <c r="E937" s="5" t="s">
        <v>605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11" t="s">
        <v>46</v>
      </c>
      <c r="Q937" s="5" t="s">
        <v>46</v>
      </c>
      <c r="R937" s="5" t="str">
        <f t="shared" si="15"/>
        <v/>
      </c>
      <c r="S937" s="5" t="s">
        <v>46</v>
      </c>
      <c r="T937" s="12">
        <v>934</v>
      </c>
      <c r="U937" s="261" t="s">
        <v>3687</v>
      </c>
      <c r="V937" s="232" t="s">
        <v>3993</v>
      </c>
      <c r="W937" s="232">
        <v>8498.2000000000007</v>
      </c>
      <c r="X937" s="232">
        <v>-7554.1</v>
      </c>
      <c r="Y937" s="87" t="s">
        <v>3685</v>
      </c>
      <c r="Z937" s="87" t="s">
        <v>50</v>
      </c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261" t="s">
        <v>3687</v>
      </c>
    </row>
    <row r="938" spans="1:43">
      <c r="A938" s="12">
        <v>935</v>
      </c>
      <c r="B938" s="21" t="s">
        <v>3685</v>
      </c>
      <c r="C938" s="5" t="s">
        <v>3994</v>
      </c>
      <c r="D938" s="5" t="s">
        <v>605</v>
      </c>
      <c r="E938" s="5" t="s">
        <v>605</v>
      </c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11" t="s">
        <v>46</v>
      </c>
      <c r="Q938" s="5" t="s">
        <v>46</v>
      </c>
      <c r="R938" s="5" t="str">
        <f t="shared" si="15"/>
        <v/>
      </c>
      <c r="S938" s="5" t="s">
        <v>46</v>
      </c>
      <c r="T938" s="12">
        <v>935</v>
      </c>
      <c r="U938" s="261" t="s">
        <v>3687</v>
      </c>
      <c r="V938" s="232" t="s">
        <v>3994</v>
      </c>
      <c r="W938" s="232">
        <v>6004.1</v>
      </c>
      <c r="X938" s="232">
        <v>-7707.4</v>
      </c>
      <c r="Y938" s="87" t="s">
        <v>3685</v>
      </c>
      <c r="Z938" s="87" t="s">
        <v>50</v>
      </c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261" t="s">
        <v>3687</v>
      </c>
    </row>
    <row r="939" spans="1:43">
      <c r="A939" s="12">
        <v>936</v>
      </c>
      <c r="B939" s="21" t="s">
        <v>3685</v>
      </c>
      <c r="C939" s="5" t="s">
        <v>3995</v>
      </c>
      <c r="D939" s="5" t="s">
        <v>605</v>
      </c>
      <c r="E939" s="5" t="s">
        <v>605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11" t="s">
        <v>46</v>
      </c>
      <c r="Q939" s="5" t="s">
        <v>46</v>
      </c>
      <c r="R939" s="5" t="str">
        <f t="shared" si="15"/>
        <v/>
      </c>
      <c r="S939" s="5" t="s">
        <v>46</v>
      </c>
      <c r="T939" s="12">
        <v>936</v>
      </c>
      <c r="U939" s="261" t="s">
        <v>3687</v>
      </c>
      <c r="V939" s="232" t="s">
        <v>3995</v>
      </c>
      <c r="W939" s="232">
        <v>3275.1</v>
      </c>
      <c r="X939" s="232">
        <v>-7707.4</v>
      </c>
      <c r="Y939" s="87" t="s">
        <v>3685</v>
      </c>
      <c r="Z939" s="87" t="s">
        <v>50</v>
      </c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261" t="s">
        <v>3687</v>
      </c>
    </row>
    <row r="940" spans="1:43">
      <c r="A940" s="12">
        <v>937</v>
      </c>
      <c r="B940" s="21" t="s">
        <v>3685</v>
      </c>
      <c r="C940" s="5" t="s">
        <v>3996</v>
      </c>
      <c r="D940" s="5" t="s">
        <v>605</v>
      </c>
      <c r="E940" s="5" t="s">
        <v>605</v>
      </c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11" t="s">
        <v>46</v>
      </c>
      <c r="Q940" s="5" t="s">
        <v>46</v>
      </c>
      <c r="R940" s="5" t="str">
        <f t="shared" si="15"/>
        <v/>
      </c>
      <c r="S940" s="5" t="s">
        <v>46</v>
      </c>
      <c r="T940" s="12">
        <v>937</v>
      </c>
      <c r="U940" s="261" t="s">
        <v>3687</v>
      </c>
      <c r="V940" s="232" t="s">
        <v>3996</v>
      </c>
      <c r="W940" s="232">
        <v>546.1</v>
      </c>
      <c r="X940" s="232">
        <v>-7707.4</v>
      </c>
      <c r="Y940" s="87" t="s">
        <v>3685</v>
      </c>
      <c r="Z940" s="87" t="s">
        <v>50</v>
      </c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261" t="s">
        <v>3687</v>
      </c>
    </row>
    <row r="941" spans="1:43">
      <c r="A941" s="12">
        <v>938</v>
      </c>
      <c r="B941" s="21" t="s">
        <v>3685</v>
      </c>
      <c r="C941" s="5" t="s">
        <v>3997</v>
      </c>
      <c r="D941" s="5" t="s">
        <v>605</v>
      </c>
      <c r="E941" s="5" t="s">
        <v>605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11" t="s">
        <v>46</v>
      </c>
      <c r="Q941" s="5" t="s">
        <v>46</v>
      </c>
      <c r="R941" s="5" t="str">
        <f t="shared" si="15"/>
        <v/>
      </c>
      <c r="S941" s="5" t="s">
        <v>46</v>
      </c>
      <c r="T941" s="12">
        <v>938</v>
      </c>
      <c r="U941" s="261" t="s">
        <v>3687</v>
      </c>
      <c r="V941" s="232" t="s">
        <v>3997</v>
      </c>
      <c r="W941" s="232">
        <v>-2182.9</v>
      </c>
      <c r="X941" s="232">
        <v>-7707.4</v>
      </c>
      <c r="Y941" s="87" t="s">
        <v>3685</v>
      </c>
      <c r="Z941" s="87" t="s">
        <v>50</v>
      </c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261" t="s">
        <v>3687</v>
      </c>
    </row>
    <row r="942" spans="1:43">
      <c r="A942" s="12">
        <v>939</v>
      </c>
      <c r="B942" s="21" t="s">
        <v>3685</v>
      </c>
      <c r="C942" s="5" t="s">
        <v>3998</v>
      </c>
      <c r="D942" s="5" t="s">
        <v>605</v>
      </c>
      <c r="E942" s="5" t="s">
        <v>605</v>
      </c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11" t="s">
        <v>46</v>
      </c>
      <c r="Q942" s="5" t="s">
        <v>46</v>
      </c>
      <c r="R942" s="5" t="str">
        <f t="shared" si="15"/>
        <v/>
      </c>
      <c r="S942" s="5" t="s">
        <v>46</v>
      </c>
      <c r="T942" s="12">
        <v>939</v>
      </c>
      <c r="U942" s="261" t="s">
        <v>3687</v>
      </c>
      <c r="V942" s="232" t="s">
        <v>3998</v>
      </c>
      <c r="W942" s="232">
        <v>-4911.8999999999996</v>
      </c>
      <c r="X942" s="232">
        <v>-7707.4</v>
      </c>
      <c r="Y942" s="87" t="s">
        <v>3685</v>
      </c>
      <c r="Z942" s="87" t="s">
        <v>50</v>
      </c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261" t="s">
        <v>3687</v>
      </c>
    </row>
    <row r="943" spans="1:43">
      <c r="A943" s="12">
        <v>940</v>
      </c>
      <c r="B943" s="21" t="s">
        <v>3685</v>
      </c>
      <c r="C943" s="5" t="s">
        <v>3999</v>
      </c>
      <c r="D943" s="5" t="s">
        <v>605</v>
      </c>
      <c r="E943" s="5" t="s">
        <v>605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11" t="s">
        <v>46</v>
      </c>
      <c r="Q943" s="5" t="s">
        <v>46</v>
      </c>
      <c r="R943" s="5" t="str">
        <f t="shared" si="15"/>
        <v/>
      </c>
      <c r="S943" s="5" t="s">
        <v>46</v>
      </c>
      <c r="T943" s="12">
        <v>940</v>
      </c>
      <c r="U943" s="261" t="s">
        <v>3687</v>
      </c>
      <c r="V943" s="232" t="s">
        <v>3999</v>
      </c>
      <c r="W943" s="232">
        <v>-6283.6</v>
      </c>
      <c r="X943" s="232">
        <v>-7707.4</v>
      </c>
      <c r="Y943" s="87" t="s">
        <v>3685</v>
      </c>
      <c r="Z943" s="87" t="s">
        <v>50</v>
      </c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261" t="s">
        <v>3687</v>
      </c>
    </row>
    <row r="944" spans="1:43">
      <c r="A944" s="12">
        <v>941</v>
      </c>
      <c r="B944" s="21" t="s">
        <v>3685</v>
      </c>
      <c r="C944" s="5" t="s">
        <v>4000</v>
      </c>
      <c r="D944" s="5" t="s">
        <v>605</v>
      </c>
      <c r="E944" s="5" t="s">
        <v>605</v>
      </c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11" t="s">
        <v>46</v>
      </c>
      <c r="Q944" s="5" t="s">
        <v>46</v>
      </c>
      <c r="R944" s="5" t="str">
        <f t="shared" si="15"/>
        <v/>
      </c>
      <c r="S944" s="5" t="s">
        <v>46</v>
      </c>
      <c r="T944" s="12">
        <v>941</v>
      </c>
      <c r="U944" s="261" t="s">
        <v>3687</v>
      </c>
      <c r="V944" s="232" t="s">
        <v>4000</v>
      </c>
      <c r="W944" s="232">
        <v>-7640.9</v>
      </c>
      <c r="X944" s="232">
        <v>-7707.4</v>
      </c>
      <c r="Y944" s="87" t="s">
        <v>3685</v>
      </c>
      <c r="Z944" s="87" t="s">
        <v>50</v>
      </c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261" t="s">
        <v>3687</v>
      </c>
    </row>
    <row r="945" spans="1:43">
      <c r="A945" s="12">
        <v>942</v>
      </c>
      <c r="B945" s="21" t="s">
        <v>3685</v>
      </c>
      <c r="C945" s="5" t="s">
        <v>4001</v>
      </c>
      <c r="D945" s="5" t="s">
        <v>605</v>
      </c>
      <c r="E945" s="5" t="s">
        <v>605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11" t="s">
        <v>46</v>
      </c>
      <c r="Q945" s="5" t="s">
        <v>46</v>
      </c>
      <c r="R945" s="5" t="str">
        <f t="shared" si="15"/>
        <v/>
      </c>
      <c r="S945" s="5" t="s">
        <v>46</v>
      </c>
      <c r="T945" s="12">
        <v>942</v>
      </c>
      <c r="U945" s="261" t="s">
        <v>3687</v>
      </c>
      <c r="V945" s="232" t="s">
        <v>4001</v>
      </c>
      <c r="W945" s="232">
        <v>-9462</v>
      </c>
      <c r="X945" s="232">
        <v>-7407.3</v>
      </c>
      <c r="Y945" s="87" t="s">
        <v>3685</v>
      </c>
      <c r="Z945" s="87" t="s">
        <v>50</v>
      </c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261" t="s">
        <v>3687</v>
      </c>
    </row>
    <row r="946" spans="1:43">
      <c r="A946" s="12">
        <v>943</v>
      </c>
      <c r="B946" s="21" t="s">
        <v>3685</v>
      </c>
      <c r="C946" s="5" t="s">
        <v>4002</v>
      </c>
      <c r="D946" s="5" t="s">
        <v>605</v>
      </c>
      <c r="E946" s="5" t="s">
        <v>605</v>
      </c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11" t="s">
        <v>46</v>
      </c>
      <c r="Q946" s="5" t="s">
        <v>46</v>
      </c>
      <c r="R946" s="5" t="str">
        <f t="shared" si="15"/>
        <v/>
      </c>
      <c r="S946" s="5" t="s">
        <v>46</v>
      </c>
      <c r="T946" s="12">
        <v>943</v>
      </c>
      <c r="U946" s="261" t="s">
        <v>3687</v>
      </c>
      <c r="V946" s="232" t="s">
        <v>4002</v>
      </c>
      <c r="W946" s="232">
        <v>-9923.1</v>
      </c>
      <c r="X946" s="232">
        <v>-7663.2</v>
      </c>
      <c r="Y946" s="87" t="s">
        <v>3685</v>
      </c>
      <c r="Z946" s="87" t="s">
        <v>50</v>
      </c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261" t="s">
        <v>3687</v>
      </c>
    </row>
    <row r="947" spans="1:43">
      <c r="A947" s="12">
        <v>944</v>
      </c>
      <c r="B947" s="21" t="s">
        <v>3685</v>
      </c>
      <c r="C947" s="5" t="s">
        <v>4003</v>
      </c>
      <c r="D947" s="5" t="s">
        <v>605</v>
      </c>
      <c r="E947" s="5" t="s">
        <v>605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11" t="s">
        <v>46</v>
      </c>
      <c r="Q947" s="5" t="s">
        <v>46</v>
      </c>
      <c r="R947" s="5" t="str">
        <f t="shared" si="15"/>
        <v/>
      </c>
      <c r="S947" s="5" t="s">
        <v>46</v>
      </c>
      <c r="T947" s="12">
        <v>944</v>
      </c>
      <c r="U947" s="261" t="s">
        <v>3687</v>
      </c>
      <c r="V947" s="232" t="s">
        <v>4003</v>
      </c>
      <c r="W947" s="232">
        <v>-10449.6</v>
      </c>
      <c r="X947" s="232">
        <v>-7741.5</v>
      </c>
      <c r="Y947" s="87" t="s">
        <v>3685</v>
      </c>
      <c r="Z947" s="87" t="s">
        <v>50</v>
      </c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261" t="s">
        <v>3687</v>
      </c>
    </row>
    <row r="948" spans="1:43">
      <c r="A948" s="12">
        <v>945</v>
      </c>
      <c r="B948" s="21" t="s">
        <v>3685</v>
      </c>
      <c r="C948" s="5" t="s">
        <v>4004</v>
      </c>
      <c r="D948" s="5" t="s">
        <v>605</v>
      </c>
      <c r="E948" s="5" t="s">
        <v>605</v>
      </c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11" t="s">
        <v>46</v>
      </c>
      <c r="Q948" s="5" t="s">
        <v>46</v>
      </c>
      <c r="R948" s="5" t="str">
        <f t="shared" si="15"/>
        <v/>
      </c>
      <c r="S948" s="5" t="s">
        <v>46</v>
      </c>
      <c r="T948" s="12">
        <v>945</v>
      </c>
      <c r="U948" s="261" t="s">
        <v>3687</v>
      </c>
      <c r="V948" s="232" t="s">
        <v>4004</v>
      </c>
      <c r="W948" s="232">
        <v>9735.6</v>
      </c>
      <c r="X948" s="232">
        <v>-7457.1</v>
      </c>
      <c r="Y948" s="87" t="s">
        <v>3685</v>
      </c>
      <c r="Z948" s="87" t="s">
        <v>50</v>
      </c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261" t="s">
        <v>3687</v>
      </c>
    </row>
    <row r="949" spans="1:43">
      <c r="A949" s="12">
        <v>946</v>
      </c>
      <c r="B949" s="21" t="s">
        <v>3685</v>
      </c>
      <c r="C949" s="5" t="s">
        <v>4005</v>
      </c>
      <c r="D949" s="5" t="s">
        <v>605</v>
      </c>
      <c r="E949" s="5" t="s">
        <v>605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11" t="s">
        <v>46</v>
      </c>
      <c r="Q949" s="5" t="s">
        <v>46</v>
      </c>
      <c r="R949" s="5" t="str">
        <f t="shared" si="15"/>
        <v/>
      </c>
      <c r="S949" s="5" t="s">
        <v>46</v>
      </c>
      <c r="T949" s="12">
        <v>946</v>
      </c>
      <c r="U949" s="261" t="s">
        <v>3687</v>
      </c>
      <c r="V949" s="232" t="s">
        <v>4005</v>
      </c>
      <c r="W949" s="232">
        <v>8631.9</v>
      </c>
      <c r="X949" s="232">
        <v>-7044.3</v>
      </c>
      <c r="Y949" s="87" t="s">
        <v>3685</v>
      </c>
      <c r="Z949" s="87" t="s">
        <v>50</v>
      </c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261" t="s">
        <v>3687</v>
      </c>
    </row>
    <row r="950" spans="1:43">
      <c r="A950" s="12">
        <v>947</v>
      </c>
      <c r="B950" s="21" t="s">
        <v>3685</v>
      </c>
      <c r="C950" s="5" t="s">
        <v>4006</v>
      </c>
      <c r="D950" s="5" t="s">
        <v>605</v>
      </c>
      <c r="E950" s="5" t="s">
        <v>605</v>
      </c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11" t="s">
        <v>46</v>
      </c>
      <c r="Q950" s="5" t="s">
        <v>46</v>
      </c>
      <c r="R950" s="5" t="str">
        <f t="shared" si="15"/>
        <v/>
      </c>
      <c r="S950" s="5" t="s">
        <v>46</v>
      </c>
      <c r="T950" s="12">
        <v>947</v>
      </c>
      <c r="U950" s="261" t="s">
        <v>3687</v>
      </c>
      <c r="V950" s="232" t="s">
        <v>4006</v>
      </c>
      <c r="W950" s="232">
        <v>12159</v>
      </c>
      <c r="X950" s="232">
        <v>-7277.1</v>
      </c>
      <c r="Y950" s="87" t="s">
        <v>3685</v>
      </c>
      <c r="Z950" s="87" t="s">
        <v>50</v>
      </c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261" t="s">
        <v>3687</v>
      </c>
    </row>
    <row r="951" spans="1:43">
      <c r="A951" s="12">
        <v>948</v>
      </c>
      <c r="B951" s="21" t="s">
        <v>3685</v>
      </c>
      <c r="C951" s="5" t="s">
        <v>4007</v>
      </c>
      <c r="D951" s="5" t="s">
        <v>605</v>
      </c>
      <c r="E951" s="5" t="s">
        <v>605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11" t="s">
        <v>46</v>
      </c>
      <c r="Q951" s="5" t="s">
        <v>46</v>
      </c>
      <c r="R951" s="5" t="str">
        <f t="shared" si="15"/>
        <v/>
      </c>
      <c r="S951" s="5" t="s">
        <v>46</v>
      </c>
      <c r="T951" s="12">
        <v>948</v>
      </c>
      <c r="U951" s="261" t="s">
        <v>3687</v>
      </c>
      <c r="V951" s="232" t="s">
        <v>4007</v>
      </c>
      <c r="W951" s="232">
        <v>-7640.9</v>
      </c>
      <c r="X951" s="232">
        <v>-6996.2</v>
      </c>
      <c r="Y951" s="87" t="s">
        <v>3685</v>
      </c>
      <c r="Z951" s="87" t="s">
        <v>50</v>
      </c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261" t="s">
        <v>3687</v>
      </c>
    </row>
    <row r="952" spans="1:43">
      <c r="A952" s="12">
        <v>949</v>
      </c>
      <c r="B952" s="21" t="s">
        <v>3685</v>
      </c>
      <c r="C952" s="5" t="s">
        <v>4008</v>
      </c>
      <c r="D952" s="5" t="s">
        <v>605</v>
      </c>
      <c r="E952" s="5" t="s">
        <v>605</v>
      </c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11" t="s">
        <v>46</v>
      </c>
      <c r="Q952" s="5" t="s">
        <v>46</v>
      </c>
      <c r="R952" s="5" t="str">
        <f t="shared" si="15"/>
        <v/>
      </c>
      <c r="S952" s="5" t="s">
        <v>46</v>
      </c>
      <c r="T952" s="12">
        <v>949</v>
      </c>
      <c r="U952" s="261" t="s">
        <v>3687</v>
      </c>
      <c r="V952" s="232" t="s">
        <v>4008</v>
      </c>
      <c r="W952" s="232">
        <v>11659.6</v>
      </c>
      <c r="X952" s="232">
        <v>-7170.4</v>
      </c>
      <c r="Y952" s="87" t="s">
        <v>3685</v>
      </c>
      <c r="Z952" s="87" t="s">
        <v>50</v>
      </c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261" t="s">
        <v>3687</v>
      </c>
    </row>
    <row r="953" spans="1:43">
      <c r="A953" s="12">
        <v>950</v>
      </c>
      <c r="B953" s="21" t="s">
        <v>3685</v>
      </c>
      <c r="C953" s="5" t="s">
        <v>4009</v>
      </c>
      <c r="D953" s="5" t="s">
        <v>605</v>
      </c>
      <c r="E953" s="5" t="s">
        <v>605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11" t="s">
        <v>46</v>
      </c>
      <c r="Q953" s="5" t="s">
        <v>46</v>
      </c>
      <c r="R953" s="5" t="str">
        <f t="shared" si="15"/>
        <v/>
      </c>
      <c r="S953" s="5" t="s">
        <v>46</v>
      </c>
      <c r="T953" s="12">
        <v>950</v>
      </c>
      <c r="U953" s="261" t="s">
        <v>3687</v>
      </c>
      <c r="V953" s="232" t="s">
        <v>4009</v>
      </c>
      <c r="W953" s="232">
        <v>-10945.9</v>
      </c>
      <c r="X953" s="232">
        <v>-7035.5</v>
      </c>
      <c r="Y953" s="87" t="s">
        <v>3685</v>
      </c>
      <c r="Z953" s="87" t="s">
        <v>50</v>
      </c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261" t="s">
        <v>3687</v>
      </c>
    </row>
    <row r="954" spans="1:43">
      <c r="A954" s="12">
        <v>951</v>
      </c>
      <c r="B954" s="21" t="s">
        <v>3685</v>
      </c>
      <c r="C954" s="5" t="s">
        <v>4010</v>
      </c>
      <c r="D954" s="5" t="s">
        <v>605</v>
      </c>
      <c r="E954" s="5" t="s">
        <v>605</v>
      </c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11" t="s">
        <v>46</v>
      </c>
      <c r="Q954" s="5" t="s">
        <v>46</v>
      </c>
      <c r="R954" s="5" t="str">
        <f t="shared" si="15"/>
        <v/>
      </c>
      <c r="S954" s="5" t="s">
        <v>46</v>
      </c>
      <c r="T954" s="12">
        <v>951</v>
      </c>
      <c r="U954" s="261" t="s">
        <v>3687</v>
      </c>
      <c r="V954" s="232" t="s">
        <v>4010</v>
      </c>
      <c r="W954" s="232">
        <v>-11659.6</v>
      </c>
      <c r="X954" s="232">
        <v>-7170.4</v>
      </c>
      <c r="Y954" s="87" t="s">
        <v>3685</v>
      </c>
      <c r="Z954" s="87" t="s">
        <v>50</v>
      </c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261" t="s">
        <v>3687</v>
      </c>
    </row>
    <row r="955" spans="1:43">
      <c r="A955" s="12">
        <v>952</v>
      </c>
      <c r="B955" s="21" t="s">
        <v>3685</v>
      </c>
      <c r="C955" s="5" t="s">
        <v>2289</v>
      </c>
      <c r="D955" s="5" t="s">
        <v>605</v>
      </c>
      <c r="E955" s="5" t="s">
        <v>605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11" t="s">
        <v>46</v>
      </c>
      <c r="Q955" s="5" t="s">
        <v>46</v>
      </c>
      <c r="R955" s="5" t="str">
        <f t="shared" si="15"/>
        <v/>
      </c>
      <c r="S955" s="5" t="s">
        <v>46</v>
      </c>
      <c r="T955" s="12">
        <v>952</v>
      </c>
      <c r="U955" s="261" t="s">
        <v>3687</v>
      </c>
      <c r="V955" s="232" t="s">
        <v>2289</v>
      </c>
      <c r="W955" s="232">
        <v>7674.8</v>
      </c>
      <c r="X955" s="232">
        <v>-6558.1</v>
      </c>
      <c r="Y955" s="87" t="s">
        <v>3685</v>
      </c>
      <c r="Z955" s="87" t="s">
        <v>50</v>
      </c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261" t="s">
        <v>3687</v>
      </c>
    </row>
    <row r="956" spans="1:43">
      <c r="A956" s="12">
        <v>953</v>
      </c>
      <c r="B956" s="21" t="s">
        <v>3685</v>
      </c>
      <c r="C956" s="5" t="s">
        <v>2641</v>
      </c>
      <c r="D956" s="5" t="s">
        <v>605</v>
      </c>
      <c r="E956" s="5" t="s">
        <v>605</v>
      </c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11" t="s">
        <v>46</v>
      </c>
      <c r="Q956" s="5" t="s">
        <v>46</v>
      </c>
      <c r="R956" s="5" t="str">
        <f t="shared" si="15"/>
        <v/>
      </c>
      <c r="S956" s="5" t="s">
        <v>46</v>
      </c>
      <c r="T956" s="12">
        <v>953</v>
      </c>
      <c r="U956" s="261" t="s">
        <v>3687</v>
      </c>
      <c r="V956" s="232" t="s">
        <v>2641</v>
      </c>
      <c r="W956" s="232">
        <v>6519.9</v>
      </c>
      <c r="X956" s="232">
        <v>-6883.2</v>
      </c>
      <c r="Y956" s="87" t="s">
        <v>3685</v>
      </c>
      <c r="Z956" s="87" t="s">
        <v>50</v>
      </c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261" t="s">
        <v>3687</v>
      </c>
    </row>
    <row r="957" spans="1:43">
      <c r="A957" s="12">
        <v>954</v>
      </c>
      <c r="B957" s="21" t="s">
        <v>3685</v>
      </c>
      <c r="C957" s="5" t="s">
        <v>4011</v>
      </c>
      <c r="D957" s="5" t="s">
        <v>605</v>
      </c>
      <c r="E957" s="5" t="s">
        <v>605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11" t="s">
        <v>46</v>
      </c>
      <c r="Q957" s="5" t="s">
        <v>46</v>
      </c>
      <c r="R957" s="5" t="str">
        <f t="shared" si="15"/>
        <v/>
      </c>
      <c r="S957" s="5" t="s">
        <v>46</v>
      </c>
      <c r="T957" s="12">
        <v>954</v>
      </c>
      <c r="U957" s="261" t="s">
        <v>3687</v>
      </c>
      <c r="V957" s="232" t="s">
        <v>4011</v>
      </c>
      <c r="W957" s="232">
        <v>11697.7</v>
      </c>
      <c r="X957" s="232">
        <v>-6668.5</v>
      </c>
      <c r="Y957" s="87" t="s">
        <v>3685</v>
      </c>
      <c r="Z957" s="87" t="s">
        <v>50</v>
      </c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261" t="s">
        <v>3687</v>
      </c>
    </row>
    <row r="958" spans="1:43">
      <c r="A958" s="12">
        <v>955</v>
      </c>
      <c r="B958" s="21" t="s">
        <v>3685</v>
      </c>
      <c r="C958" s="5" t="s">
        <v>2191</v>
      </c>
      <c r="D958" s="5" t="s">
        <v>605</v>
      </c>
      <c r="E958" s="5" t="s">
        <v>605</v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11" t="s">
        <v>46</v>
      </c>
      <c r="Q958" s="5" t="s">
        <v>46</v>
      </c>
      <c r="R958" s="5" t="str">
        <f t="shared" si="15"/>
        <v/>
      </c>
      <c r="S958" s="5" t="s">
        <v>46</v>
      </c>
      <c r="T958" s="12">
        <v>955</v>
      </c>
      <c r="U958" s="261" t="s">
        <v>3687</v>
      </c>
      <c r="V958" s="232" t="s">
        <v>2191</v>
      </c>
      <c r="W958" s="232">
        <v>-7307.7</v>
      </c>
      <c r="X958" s="232">
        <v>-6509.2</v>
      </c>
      <c r="Y958" s="87" t="s">
        <v>3685</v>
      </c>
      <c r="Z958" s="87" t="s">
        <v>50</v>
      </c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261" t="s">
        <v>3687</v>
      </c>
    </row>
    <row r="959" spans="1:43">
      <c r="A959" s="12">
        <v>956</v>
      </c>
      <c r="B959" s="21" t="s">
        <v>3685</v>
      </c>
      <c r="C959" s="5" t="s">
        <v>2360</v>
      </c>
      <c r="D959" s="5" t="s">
        <v>605</v>
      </c>
      <c r="E959" s="5" t="s">
        <v>605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11" t="s">
        <v>46</v>
      </c>
      <c r="Q959" s="5" t="s">
        <v>46</v>
      </c>
      <c r="R959" s="5" t="str">
        <f t="shared" si="15"/>
        <v/>
      </c>
      <c r="S959" s="5" t="s">
        <v>46</v>
      </c>
      <c r="T959" s="12">
        <v>956</v>
      </c>
      <c r="U959" s="261" t="s">
        <v>3687</v>
      </c>
      <c r="V959" s="232" t="s">
        <v>2360</v>
      </c>
      <c r="W959" s="232">
        <v>-10289.299999999999</v>
      </c>
      <c r="X959" s="232">
        <v>-6694.5</v>
      </c>
      <c r="Y959" s="87" t="s">
        <v>3685</v>
      </c>
      <c r="Z959" s="87" t="s">
        <v>50</v>
      </c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261" t="s">
        <v>3687</v>
      </c>
    </row>
    <row r="960" spans="1:43">
      <c r="A960" s="12">
        <v>957</v>
      </c>
      <c r="B960" s="21" t="s">
        <v>3685</v>
      </c>
      <c r="C960" s="5" t="s">
        <v>4012</v>
      </c>
      <c r="D960" s="5" t="s">
        <v>605</v>
      </c>
      <c r="E960" s="5" t="s">
        <v>605</v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11" t="s">
        <v>46</v>
      </c>
      <c r="Q960" s="5" t="s">
        <v>46</v>
      </c>
      <c r="R960" s="5" t="str">
        <f t="shared" si="15"/>
        <v/>
      </c>
      <c r="S960" s="5" t="s">
        <v>46</v>
      </c>
      <c r="T960" s="12">
        <v>957</v>
      </c>
      <c r="U960" s="261" t="s">
        <v>3687</v>
      </c>
      <c r="V960" s="232" t="s">
        <v>4012</v>
      </c>
      <c r="W960" s="232">
        <v>13439.1</v>
      </c>
      <c r="X960" s="232">
        <v>-6071.9</v>
      </c>
      <c r="Y960" s="87" t="s">
        <v>3685</v>
      </c>
      <c r="Z960" s="87" t="s">
        <v>50</v>
      </c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261" t="s">
        <v>3687</v>
      </c>
    </row>
    <row r="961" spans="1:43">
      <c r="A961" s="12">
        <v>958</v>
      </c>
      <c r="B961" s="21" t="s">
        <v>3685</v>
      </c>
      <c r="C961" s="5" t="s">
        <v>4013</v>
      </c>
      <c r="D961" s="5" t="s">
        <v>605</v>
      </c>
      <c r="E961" s="5" t="s">
        <v>605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11" t="s">
        <v>46</v>
      </c>
      <c r="Q961" s="5" t="s">
        <v>46</v>
      </c>
      <c r="R961" s="5" t="str">
        <f t="shared" si="15"/>
        <v/>
      </c>
      <c r="S961" s="5" t="s">
        <v>46</v>
      </c>
      <c r="T961" s="12">
        <v>958</v>
      </c>
      <c r="U961" s="261" t="s">
        <v>3687</v>
      </c>
      <c r="V961" s="232" t="s">
        <v>4013</v>
      </c>
      <c r="W961" s="232">
        <v>4632.3999999999996</v>
      </c>
      <c r="X961" s="232">
        <v>-6285</v>
      </c>
      <c r="Y961" s="87" t="s">
        <v>3685</v>
      </c>
      <c r="Z961" s="87" t="s">
        <v>50</v>
      </c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261" t="s">
        <v>3687</v>
      </c>
    </row>
    <row r="962" spans="1:43">
      <c r="A962" s="12">
        <v>959</v>
      </c>
      <c r="B962" s="21" t="s">
        <v>3685</v>
      </c>
      <c r="C962" s="5" t="s">
        <v>4014</v>
      </c>
      <c r="D962" s="5" t="s">
        <v>605</v>
      </c>
      <c r="E962" s="5" t="s">
        <v>605</v>
      </c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11" t="s">
        <v>46</v>
      </c>
      <c r="Q962" s="5" t="s">
        <v>46</v>
      </c>
      <c r="R962" s="5" t="str">
        <f t="shared" si="15"/>
        <v/>
      </c>
      <c r="S962" s="5" t="s">
        <v>46</v>
      </c>
      <c r="T962" s="12">
        <v>959</v>
      </c>
      <c r="U962" s="261" t="s">
        <v>3687</v>
      </c>
      <c r="V962" s="232" t="s">
        <v>4014</v>
      </c>
      <c r="W962" s="232">
        <v>1903.4</v>
      </c>
      <c r="X962" s="232">
        <v>-6285</v>
      </c>
      <c r="Y962" s="87" t="s">
        <v>3685</v>
      </c>
      <c r="Z962" s="87" t="s">
        <v>50</v>
      </c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261" t="s">
        <v>3687</v>
      </c>
    </row>
    <row r="963" spans="1:43">
      <c r="A963" s="12">
        <v>960</v>
      </c>
      <c r="B963" s="21" t="s">
        <v>3685</v>
      </c>
      <c r="C963" s="5" t="s">
        <v>4015</v>
      </c>
      <c r="D963" s="5" t="s">
        <v>605</v>
      </c>
      <c r="E963" s="5" t="s">
        <v>605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11" t="s">
        <v>46</v>
      </c>
      <c r="Q963" s="5" t="s">
        <v>46</v>
      </c>
      <c r="R963" s="5" t="str">
        <f t="shared" si="15"/>
        <v/>
      </c>
      <c r="S963" s="5" t="s">
        <v>46</v>
      </c>
      <c r="T963" s="12">
        <v>960</v>
      </c>
      <c r="U963" s="261" t="s">
        <v>3687</v>
      </c>
      <c r="V963" s="232" t="s">
        <v>4015</v>
      </c>
      <c r="W963" s="232">
        <v>-825.6</v>
      </c>
      <c r="X963" s="232">
        <v>-6285</v>
      </c>
      <c r="Y963" s="87" t="s">
        <v>3685</v>
      </c>
      <c r="Z963" s="87" t="s">
        <v>50</v>
      </c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261" t="s">
        <v>3687</v>
      </c>
    </row>
    <row r="964" spans="1:43">
      <c r="A964" s="12">
        <v>961</v>
      </c>
      <c r="B964" s="21" t="s">
        <v>3685</v>
      </c>
      <c r="C964" s="5" t="s">
        <v>4016</v>
      </c>
      <c r="D964" s="5" t="s">
        <v>605</v>
      </c>
      <c r="E964" s="5" t="s">
        <v>605</v>
      </c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11" t="s">
        <v>46</v>
      </c>
      <c r="Q964" s="5" t="s">
        <v>46</v>
      </c>
      <c r="R964" s="5" t="str">
        <f t="shared" si="15"/>
        <v/>
      </c>
      <c r="S964" s="5" t="s">
        <v>46</v>
      </c>
      <c r="T964" s="12">
        <v>961</v>
      </c>
      <c r="U964" s="261" t="s">
        <v>3687</v>
      </c>
      <c r="V964" s="232" t="s">
        <v>4016</v>
      </c>
      <c r="W964" s="232">
        <v>-3554.6</v>
      </c>
      <c r="X964" s="232">
        <v>-6285</v>
      </c>
      <c r="Y964" s="87" t="s">
        <v>3685</v>
      </c>
      <c r="Z964" s="87" t="s">
        <v>50</v>
      </c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261" t="s">
        <v>3687</v>
      </c>
    </row>
    <row r="965" spans="1:43">
      <c r="A965" s="12">
        <v>962</v>
      </c>
      <c r="B965" s="21" t="s">
        <v>3685</v>
      </c>
      <c r="C965" s="5" t="s">
        <v>4017</v>
      </c>
      <c r="D965" s="5" t="s">
        <v>605</v>
      </c>
      <c r="E965" s="5" t="s">
        <v>605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11" t="s">
        <v>46</v>
      </c>
      <c r="Q965" s="5" t="s">
        <v>46</v>
      </c>
      <c r="R965" s="5" t="str">
        <f t="shared" ref="R965:R1028" si="16">IF(AND(P965="",Q965=""),"",SUM(P965:Q965))</f>
        <v/>
      </c>
      <c r="S965" s="5" t="s">
        <v>46</v>
      </c>
      <c r="T965" s="12">
        <v>962</v>
      </c>
      <c r="U965" s="261" t="s">
        <v>3687</v>
      </c>
      <c r="V965" s="232" t="s">
        <v>4017</v>
      </c>
      <c r="W965" s="232">
        <v>-8272.2999999999993</v>
      </c>
      <c r="X965" s="232">
        <v>-6110.3</v>
      </c>
      <c r="Y965" s="87" t="s">
        <v>3685</v>
      </c>
      <c r="Z965" s="87" t="s">
        <v>50</v>
      </c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261" t="s">
        <v>3687</v>
      </c>
    </row>
    <row r="966" spans="1:43">
      <c r="A966" s="12">
        <v>963</v>
      </c>
      <c r="B966" s="21" t="s">
        <v>3685</v>
      </c>
      <c r="C966" s="5" t="s">
        <v>4018</v>
      </c>
      <c r="D966" s="5" t="s">
        <v>605</v>
      </c>
      <c r="E966" s="5" t="s">
        <v>605</v>
      </c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11" t="s">
        <v>46</v>
      </c>
      <c r="Q966" s="5" t="s">
        <v>46</v>
      </c>
      <c r="R966" s="5" t="str">
        <f t="shared" si="16"/>
        <v/>
      </c>
      <c r="S966" s="5" t="s">
        <v>46</v>
      </c>
      <c r="T966" s="12">
        <v>963</v>
      </c>
      <c r="U966" s="261" t="s">
        <v>3687</v>
      </c>
      <c r="V966" s="232" t="s">
        <v>4018</v>
      </c>
      <c r="W966" s="232">
        <v>-8983.5</v>
      </c>
      <c r="X966" s="232">
        <v>-6110.3</v>
      </c>
      <c r="Y966" s="87" t="s">
        <v>3685</v>
      </c>
      <c r="Z966" s="87" t="s">
        <v>50</v>
      </c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261" t="s">
        <v>3687</v>
      </c>
    </row>
    <row r="967" spans="1:43">
      <c r="A967" s="12">
        <v>964</v>
      </c>
      <c r="B967" s="21" t="s">
        <v>3685</v>
      </c>
      <c r="C967" s="5" t="s">
        <v>4019</v>
      </c>
      <c r="D967" s="5" t="s">
        <v>605</v>
      </c>
      <c r="E967" s="5" t="s">
        <v>605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11" t="s">
        <v>46</v>
      </c>
      <c r="Q967" s="5" t="s">
        <v>46</v>
      </c>
      <c r="R967" s="5" t="str">
        <f t="shared" si="16"/>
        <v/>
      </c>
      <c r="S967" s="5" t="s">
        <v>46</v>
      </c>
      <c r="T967" s="12">
        <v>964</v>
      </c>
      <c r="U967" s="261" t="s">
        <v>3687</v>
      </c>
      <c r="V967" s="232" t="s">
        <v>4019</v>
      </c>
      <c r="W967" s="232">
        <v>-9665.7000000000007</v>
      </c>
      <c r="X967" s="232">
        <v>-6346.5</v>
      </c>
      <c r="Y967" s="87" t="s">
        <v>3685</v>
      </c>
      <c r="Z967" s="87" t="s">
        <v>50</v>
      </c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261" t="s">
        <v>3687</v>
      </c>
    </row>
    <row r="968" spans="1:43">
      <c r="A968" s="12">
        <v>965</v>
      </c>
      <c r="B968" s="21" t="s">
        <v>3685</v>
      </c>
      <c r="C968" s="5" t="s">
        <v>4020</v>
      </c>
      <c r="D968" s="5" t="s">
        <v>605</v>
      </c>
      <c r="E968" s="5" t="s">
        <v>605</v>
      </c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11" t="s">
        <v>46</v>
      </c>
      <c r="Q968" s="5" t="s">
        <v>46</v>
      </c>
      <c r="R968" s="5" t="str">
        <f t="shared" si="16"/>
        <v/>
      </c>
      <c r="S968" s="5" t="s">
        <v>46</v>
      </c>
      <c r="T968" s="12">
        <v>965</v>
      </c>
      <c r="U968" s="261" t="s">
        <v>3687</v>
      </c>
      <c r="V968" s="232" t="s">
        <v>4020</v>
      </c>
      <c r="W968" s="232">
        <v>-13439.1</v>
      </c>
      <c r="X968" s="232">
        <v>-6071.9</v>
      </c>
      <c r="Y968" s="87" t="s">
        <v>3685</v>
      </c>
      <c r="Z968" s="87" t="s">
        <v>50</v>
      </c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261" t="s">
        <v>3687</v>
      </c>
    </row>
    <row r="969" spans="1:43">
      <c r="A969" s="12">
        <v>966</v>
      </c>
      <c r="B969" s="21" t="s">
        <v>3685</v>
      </c>
      <c r="C969" s="5" t="s">
        <v>4021</v>
      </c>
      <c r="D969" s="5" t="s">
        <v>605</v>
      </c>
      <c r="E969" s="5" t="s">
        <v>605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11" t="s">
        <v>46</v>
      </c>
      <c r="Q969" s="5" t="s">
        <v>46</v>
      </c>
      <c r="R969" s="5" t="str">
        <f t="shared" si="16"/>
        <v/>
      </c>
      <c r="S969" s="5" t="s">
        <v>46</v>
      </c>
      <c r="T969" s="12">
        <v>966</v>
      </c>
      <c r="U969" s="261" t="s">
        <v>3687</v>
      </c>
      <c r="V969" s="232" t="s">
        <v>4021</v>
      </c>
      <c r="W969" s="232">
        <v>9665.7000000000007</v>
      </c>
      <c r="X969" s="232">
        <v>-6346.5</v>
      </c>
      <c r="Y969" s="87" t="s">
        <v>3685</v>
      </c>
      <c r="Z969" s="87" t="s">
        <v>50</v>
      </c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261" t="s">
        <v>3687</v>
      </c>
    </row>
    <row r="970" spans="1:43">
      <c r="A970" s="12">
        <v>967</v>
      </c>
      <c r="B970" s="21" t="s">
        <v>3685</v>
      </c>
      <c r="C970" s="5" t="s">
        <v>4022</v>
      </c>
      <c r="D970" s="5" t="s">
        <v>605</v>
      </c>
      <c r="E970" s="5" t="s">
        <v>605</v>
      </c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11" t="s">
        <v>46</v>
      </c>
      <c r="Q970" s="5" t="s">
        <v>46</v>
      </c>
      <c r="R970" s="5" t="str">
        <f t="shared" si="16"/>
        <v/>
      </c>
      <c r="S970" s="5" t="s">
        <v>46</v>
      </c>
      <c r="T970" s="12">
        <v>967</v>
      </c>
      <c r="U970" s="261" t="s">
        <v>3687</v>
      </c>
      <c r="V970" s="232" t="s">
        <v>4022</v>
      </c>
      <c r="W970" s="232">
        <v>7752.9</v>
      </c>
      <c r="X970" s="232">
        <v>-5874.3</v>
      </c>
      <c r="Y970" s="87" t="s">
        <v>3685</v>
      </c>
      <c r="Z970" s="87" t="s">
        <v>50</v>
      </c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261" t="s">
        <v>3687</v>
      </c>
    </row>
    <row r="971" spans="1:43">
      <c r="A971" s="12">
        <v>968</v>
      </c>
      <c r="B971" s="21" t="s">
        <v>3685</v>
      </c>
      <c r="C971" s="5" t="s">
        <v>4023</v>
      </c>
      <c r="D971" s="5" t="s">
        <v>605</v>
      </c>
      <c r="E971" s="5" t="s">
        <v>605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11" t="s">
        <v>46</v>
      </c>
      <c r="Q971" s="5" t="s">
        <v>46</v>
      </c>
      <c r="R971" s="5" t="str">
        <f t="shared" si="16"/>
        <v/>
      </c>
      <c r="S971" s="5" t="s">
        <v>46</v>
      </c>
      <c r="T971" s="12">
        <v>968</v>
      </c>
      <c r="U971" s="261" t="s">
        <v>3687</v>
      </c>
      <c r="V971" s="232" t="s">
        <v>4023</v>
      </c>
      <c r="W971" s="232">
        <v>6879.6</v>
      </c>
      <c r="X971" s="232">
        <v>-5860.8</v>
      </c>
      <c r="Y971" s="87" t="s">
        <v>3685</v>
      </c>
      <c r="Z971" s="87" t="s">
        <v>50</v>
      </c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261" t="s">
        <v>3687</v>
      </c>
    </row>
    <row r="972" spans="1:43">
      <c r="A972" s="12">
        <v>969</v>
      </c>
      <c r="B972" s="21" t="s">
        <v>3685</v>
      </c>
      <c r="C972" s="5" t="s">
        <v>4024</v>
      </c>
      <c r="D972" s="5" t="s">
        <v>605</v>
      </c>
      <c r="E972" s="5" t="s">
        <v>605</v>
      </c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11" t="s">
        <v>46</v>
      </c>
      <c r="Q972" s="5" t="s">
        <v>46</v>
      </c>
      <c r="R972" s="5" t="str">
        <f t="shared" si="16"/>
        <v/>
      </c>
      <c r="S972" s="5" t="s">
        <v>46</v>
      </c>
      <c r="T972" s="12">
        <v>969</v>
      </c>
      <c r="U972" s="261" t="s">
        <v>3687</v>
      </c>
      <c r="V972" s="232" t="s">
        <v>4024</v>
      </c>
      <c r="W972" s="232">
        <v>6004.1</v>
      </c>
      <c r="X972" s="232">
        <v>-5773.8</v>
      </c>
      <c r="Y972" s="87" t="s">
        <v>3685</v>
      </c>
      <c r="Z972" s="87" t="s">
        <v>50</v>
      </c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261" t="s">
        <v>3687</v>
      </c>
    </row>
    <row r="973" spans="1:43">
      <c r="A973" s="12">
        <v>970</v>
      </c>
      <c r="B973" s="21" t="s">
        <v>3685</v>
      </c>
      <c r="C973" s="5" t="s">
        <v>4025</v>
      </c>
      <c r="D973" s="5" t="s">
        <v>605</v>
      </c>
      <c r="E973" s="5" t="s">
        <v>605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11" t="s">
        <v>46</v>
      </c>
      <c r="Q973" s="5" t="s">
        <v>46</v>
      </c>
      <c r="R973" s="5" t="str">
        <f t="shared" si="16"/>
        <v/>
      </c>
      <c r="S973" s="5" t="s">
        <v>46</v>
      </c>
      <c r="T973" s="12">
        <v>970</v>
      </c>
      <c r="U973" s="261" t="s">
        <v>3687</v>
      </c>
      <c r="V973" s="232" t="s">
        <v>4025</v>
      </c>
      <c r="W973" s="232">
        <v>3275.1</v>
      </c>
      <c r="X973" s="232">
        <v>-5573.8</v>
      </c>
      <c r="Y973" s="87" t="s">
        <v>3685</v>
      </c>
      <c r="Z973" s="87" t="s">
        <v>50</v>
      </c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261" t="s">
        <v>3687</v>
      </c>
    </row>
    <row r="974" spans="1:43">
      <c r="A974" s="12">
        <v>971</v>
      </c>
      <c r="B974" s="21" t="s">
        <v>3685</v>
      </c>
      <c r="C974" s="5" t="s">
        <v>4026</v>
      </c>
      <c r="D974" s="5" t="s">
        <v>605</v>
      </c>
      <c r="E974" s="5" t="s">
        <v>605</v>
      </c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11" t="s">
        <v>46</v>
      </c>
      <c r="Q974" s="5" t="s">
        <v>46</v>
      </c>
      <c r="R974" s="5" t="str">
        <f t="shared" si="16"/>
        <v/>
      </c>
      <c r="S974" s="5" t="s">
        <v>46</v>
      </c>
      <c r="T974" s="12">
        <v>971</v>
      </c>
      <c r="U974" s="261" t="s">
        <v>3687</v>
      </c>
      <c r="V974" s="232" t="s">
        <v>4026</v>
      </c>
      <c r="W974" s="232">
        <v>546.1</v>
      </c>
      <c r="X974" s="232">
        <v>-5573.8</v>
      </c>
      <c r="Y974" s="87" t="s">
        <v>3685</v>
      </c>
      <c r="Z974" s="87" t="s">
        <v>50</v>
      </c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261" t="s">
        <v>3687</v>
      </c>
    </row>
    <row r="975" spans="1:43">
      <c r="A975" s="12">
        <v>972</v>
      </c>
      <c r="B975" s="21" t="s">
        <v>3685</v>
      </c>
      <c r="C975" s="5" t="s">
        <v>4027</v>
      </c>
      <c r="D975" s="5" t="s">
        <v>605</v>
      </c>
      <c r="E975" s="5" t="s">
        <v>605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11" t="s">
        <v>46</v>
      </c>
      <c r="Q975" s="5" t="s">
        <v>46</v>
      </c>
      <c r="R975" s="5" t="str">
        <f t="shared" si="16"/>
        <v/>
      </c>
      <c r="S975" s="5" t="s">
        <v>46</v>
      </c>
      <c r="T975" s="12">
        <v>972</v>
      </c>
      <c r="U975" s="261" t="s">
        <v>3687</v>
      </c>
      <c r="V975" s="232" t="s">
        <v>4027</v>
      </c>
      <c r="W975" s="232">
        <v>-2182.9</v>
      </c>
      <c r="X975" s="232">
        <v>-5573.8</v>
      </c>
      <c r="Y975" s="87" t="s">
        <v>3685</v>
      </c>
      <c r="Z975" s="87" t="s">
        <v>50</v>
      </c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261" t="s">
        <v>3687</v>
      </c>
    </row>
    <row r="976" spans="1:43">
      <c r="A976" s="12">
        <v>973</v>
      </c>
      <c r="B976" s="21" t="s">
        <v>3685</v>
      </c>
      <c r="C976" s="5" t="s">
        <v>4028</v>
      </c>
      <c r="D976" s="5" t="s">
        <v>605</v>
      </c>
      <c r="E976" s="5" t="s">
        <v>605</v>
      </c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11" t="s">
        <v>46</v>
      </c>
      <c r="Q976" s="5" t="s">
        <v>46</v>
      </c>
      <c r="R976" s="5" t="str">
        <f t="shared" si="16"/>
        <v/>
      </c>
      <c r="S976" s="5" t="s">
        <v>46</v>
      </c>
      <c r="T976" s="12">
        <v>973</v>
      </c>
      <c r="U976" s="261" t="s">
        <v>3687</v>
      </c>
      <c r="V976" s="232" t="s">
        <v>4028</v>
      </c>
      <c r="W976" s="232">
        <v>-4911.8999999999996</v>
      </c>
      <c r="X976" s="232">
        <v>-5573.8</v>
      </c>
      <c r="Y976" s="87" t="s">
        <v>3685</v>
      </c>
      <c r="Z976" s="87" t="s">
        <v>50</v>
      </c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261" t="s">
        <v>3687</v>
      </c>
    </row>
    <row r="977" spans="1:43">
      <c r="A977" s="12">
        <v>974</v>
      </c>
      <c r="B977" s="21" t="s">
        <v>3685</v>
      </c>
      <c r="C977" s="5" t="s">
        <v>4029</v>
      </c>
      <c r="D977" s="5" t="s">
        <v>605</v>
      </c>
      <c r="E977" s="5" t="s">
        <v>605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11" t="s">
        <v>46</v>
      </c>
      <c r="Q977" s="5" t="s">
        <v>46</v>
      </c>
      <c r="R977" s="5" t="str">
        <f t="shared" si="16"/>
        <v/>
      </c>
      <c r="S977" s="5" t="s">
        <v>46</v>
      </c>
      <c r="T977" s="12">
        <v>974</v>
      </c>
      <c r="U977" s="261" t="s">
        <v>3687</v>
      </c>
      <c r="V977" s="232" t="s">
        <v>4029</v>
      </c>
      <c r="W977" s="232">
        <v>-6063.6</v>
      </c>
      <c r="X977" s="232">
        <v>-5811.9</v>
      </c>
      <c r="Y977" s="87" t="s">
        <v>3685</v>
      </c>
      <c r="Z977" s="87" t="s">
        <v>50</v>
      </c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261" t="s">
        <v>3687</v>
      </c>
    </row>
    <row r="978" spans="1:43">
      <c r="A978" s="12">
        <v>975</v>
      </c>
      <c r="B978" s="21" t="s">
        <v>3685</v>
      </c>
      <c r="C978" s="5" t="s">
        <v>4030</v>
      </c>
      <c r="D978" s="5" t="s">
        <v>605</v>
      </c>
      <c r="E978" s="5" t="s">
        <v>605</v>
      </c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11" t="s">
        <v>46</v>
      </c>
      <c r="Q978" s="5" t="s">
        <v>46</v>
      </c>
      <c r="R978" s="5" t="str">
        <f t="shared" si="16"/>
        <v/>
      </c>
      <c r="S978" s="5" t="s">
        <v>46</v>
      </c>
      <c r="T978" s="12">
        <v>975</v>
      </c>
      <c r="U978" s="261" t="s">
        <v>3687</v>
      </c>
      <c r="V978" s="232" t="s">
        <v>4030</v>
      </c>
      <c r="W978" s="232">
        <v>-6716.1</v>
      </c>
      <c r="X978" s="232">
        <v>-5765.7</v>
      </c>
      <c r="Y978" s="87" t="s">
        <v>3685</v>
      </c>
      <c r="Z978" s="87" t="s">
        <v>50</v>
      </c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261" t="s">
        <v>3687</v>
      </c>
    </row>
    <row r="979" spans="1:43">
      <c r="A979" s="12">
        <v>976</v>
      </c>
      <c r="B979" s="21" t="s">
        <v>3685</v>
      </c>
      <c r="C979" s="5" t="s">
        <v>4031</v>
      </c>
      <c r="D979" s="5" t="s">
        <v>605</v>
      </c>
      <c r="E979" s="5" t="s">
        <v>605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11" t="s">
        <v>46</v>
      </c>
      <c r="Q979" s="5" t="s">
        <v>46</v>
      </c>
      <c r="R979" s="5" t="str">
        <f t="shared" si="16"/>
        <v/>
      </c>
      <c r="S979" s="5" t="s">
        <v>46</v>
      </c>
      <c r="T979" s="12">
        <v>976</v>
      </c>
      <c r="U979" s="261" t="s">
        <v>3687</v>
      </c>
      <c r="V979" s="232" t="s">
        <v>4031</v>
      </c>
      <c r="W979" s="232">
        <v>-7847.4</v>
      </c>
      <c r="X979" s="232">
        <v>-5811.6</v>
      </c>
      <c r="Y979" s="87" t="s">
        <v>3685</v>
      </c>
      <c r="Z979" s="87" t="s">
        <v>50</v>
      </c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261" t="s">
        <v>3687</v>
      </c>
    </row>
    <row r="980" spans="1:43">
      <c r="A980" s="12">
        <v>977</v>
      </c>
      <c r="B980" s="21" t="s">
        <v>3685</v>
      </c>
      <c r="C980" s="5" t="s">
        <v>4032</v>
      </c>
      <c r="D980" s="5" t="s">
        <v>605</v>
      </c>
      <c r="E980" s="5" t="s">
        <v>605</v>
      </c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11" t="s">
        <v>46</v>
      </c>
      <c r="Q980" s="5" t="s">
        <v>46</v>
      </c>
      <c r="R980" s="5" t="str">
        <f t="shared" si="16"/>
        <v/>
      </c>
      <c r="S980" s="5" t="s">
        <v>46</v>
      </c>
      <c r="T980" s="12">
        <v>977</v>
      </c>
      <c r="U980" s="261" t="s">
        <v>3687</v>
      </c>
      <c r="V980" s="232" t="s">
        <v>4032</v>
      </c>
      <c r="W980" s="232">
        <v>7674.8</v>
      </c>
      <c r="X980" s="232">
        <v>-5316.6</v>
      </c>
      <c r="Y980" s="87" t="s">
        <v>3685</v>
      </c>
      <c r="Z980" s="87" t="s">
        <v>50</v>
      </c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261" t="s">
        <v>3687</v>
      </c>
    </row>
    <row r="981" spans="1:43">
      <c r="A981" s="12">
        <v>978</v>
      </c>
      <c r="B981" s="21" t="s">
        <v>3685</v>
      </c>
      <c r="C981" s="5" t="s">
        <v>4033</v>
      </c>
      <c r="D981" s="5" t="s">
        <v>605</v>
      </c>
      <c r="E981" s="5" t="s">
        <v>605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11" t="s">
        <v>46</v>
      </c>
      <c r="Q981" s="5" t="s">
        <v>46</v>
      </c>
      <c r="R981" s="5" t="str">
        <f t="shared" si="16"/>
        <v/>
      </c>
      <c r="S981" s="5" t="s">
        <v>46</v>
      </c>
      <c r="T981" s="12">
        <v>978</v>
      </c>
      <c r="U981" s="261" t="s">
        <v>3687</v>
      </c>
      <c r="V981" s="232" t="s">
        <v>4033</v>
      </c>
      <c r="W981" s="232">
        <v>5327.1</v>
      </c>
      <c r="X981" s="232">
        <v>-5035.5</v>
      </c>
      <c r="Y981" s="87" t="s">
        <v>3685</v>
      </c>
      <c r="Z981" s="87" t="s">
        <v>50</v>
      </c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261" t="s">
        <v>3687</v>
      </c>
    </row>
    <row r="982" spans="1:43">
      <c r="A982" s="12">
        <v>979</v>
      </c>
      <c r="B982" s="21" t="s">
        <v>3685</v>
      </c>
      <c r="C982" s="5" t="s">
        <v>4034</v>
      </c>
      <c r="D982" s="5" t="s">
        <v>605</v>
      </c>
      <c r="E982" s="5" t="s">
        <v>605</v>
      </c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11" t="s">
        <v>46</v>
      </c>
      <c r="Q982" s="5" t="s">
        <v>46</v>
      </c>
      <c r="R982" s="5" t="str">
        <f t="shared" si="16"/>
        <v/>
      </c>
      <c r="S982" s="5" t="s">
        <v>46</v>
      </c>
      <c r="T982" s="12">
        <v>979</v>
      </c>
      <c r="U982" s="261" t="s">
        <v>3687</v>
      </c>
      <c r="V982" s="232" t="s">
        <v>4034</v>
      </c>
      <c r="W982" s="232">
        <v>-6227</v>
      </c>
      <c r="X982" s="232">
        <v>-5316.6</v>
      </c>
      <c r="Y982" s="87" t="s">
        <v>3685</v>
      </c>
      <c r="Z982" s="87" t="s">
        <v>50</v>
      </c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261" t="s">
        <v>3687</v>
      </c>
    </row>
    <row r="983" spans="1:43">
      <c r="A983" s="12">
        <v>980</v>
      </c>
      <c r="B983" s="21" t="s">
        <v>3685</v>
      </c>
      <c r="C983" s="5" t="s">
        <v>4035</v>
      </c>
      <c r="D983" s="5" t="s">
        <v>605</v>
      </c>
      <c r="E983" s="5" t="s">
        <v>605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11" t="s">
        <v>46</v>
      </c>
      <c r="Q983" s="5" t="s">
        <v>46</v>
      </c>
      <c r="R983" s="5" t="str">
        <f t="shared" si="16"/>
        <v/>
      </c>
      <c r="S983" s="5" t="s">
        <v>46</v>
      </c>
      <c r="T983" s="12">
        <v>980</v>
      </c>
      <c r="U983" s="261" t="s">
        <v>3687</v>
      </c>
      <c r="V983" s="232" t="s">
        <v>4035</v>
      </c>
      <c r="W983" s="232">
        <v>-6950.9</v>
      </c>
      <c r="X983" s="232">
        <v>-5316.6</v>
      </c>
      <c r="Y983" s="87" t="s">
        <v>3685</v>
      </c>
      <c r="Z983" s="87" t="s">
        <v>50</v>
      </c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261" t="s">
        <v>3687</v>
      </c>
    </row>
    <row r="984" spans="1:43">
      <c r="A984" s="12">
        <v>981</v>
      </c>
      <c r="B984" s="21" t="s">
        <v>3685</v>
      </c>
      <c r="C984" s="5" t="s">
        <v>4036</v>
      </c>
      <c r="D984" s="5" t="s">
        <v>605</v>
      </c>
      <c r="E984" s="5" t="s">
        <v>605</v>
      </c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11" t="s">
        <v>46</v>
      </c>
      <c r="Q984" s="5" t="s">
        <v>46</v>
      </c>
      <c r="R984" s="5" t="str">
        <f t="shared" si="16"/>
        <v/>
      </c>
      <c r="S984" s="5" t="s">
        <v>46</v>
      </c>
      <c r="T984" s="12">
        <v>981</v>
      </c>
      <c r="U984" s="261" t="s">
        <v>3687</v>
      </c>
      <c r="V984" s="232" t="s">
        <v>4036</v>
      </c>
      <c r="W984" s="232">
        <v>-7674.8</v>
      </c>
      <c r="X984" s="232">
        <v>-5316.6</v>
      </c>
      <c r="Y984" s="87" t="s">
        <v>3685</v>
      </c>
      <c r="Z984" s="87" t="s">
        <v>50</v>
      </c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261" t="s">
        <v>3687</v>
      </c>
    </row>
    <row r="985" spans="1:43">
      <c r="A985" s="12">
        <v>982</v>
      </c>
      <c r="B985" s="21" t="s">
        <v>3685</v>
      </c>
      <c r="C985" s="5" t="s">
        <v>4037</v>
      </c>
      <c r="D985" s="5" t="s">
        <v>605</v>
      </c>
      <c r="E985" s="5" t="s">
        <v>605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11" t="s">
        <v>46</v>
      </c>
      <c r="Q985" s="5" t="s">
        <v>46</v>
      </c>
      <c r="R985" s="5" t="str">
        <f t="shared" si="16"/>
        <v/>
      </c>
      <c r="S985" s="5" t="s">
        <v>46</v>
      </c>
      <c r="T985" s="12">
        <v>982</v>
      </c>
      <c r="U985" s="261" t="s">
        <v>3687</v>
      </c>
      <c r="V985" s="232" t="s">
        <v>4037</v>
      </c>
      <c r="W985" s="232">
        <v>9665.7000000000007</v>
      </c>
      <c r="X985" s="232">
        <v>-5133.3</v>
      </c>
      <c r="Y985" s="87" t="s">
        <v>3685</v>
      </c>
      <c r="Z985" s="87" t="s">
        <v>50</v>
      </c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261" t="s">
        <v>3687</v>
      </c>
    </row>
    <row r="986" spans="1:43">
      <c r="A986" s="12">
        <v>983</v>
      </c>
      <c r="B986" s="21" t="s">
        <v>3685</v>
      </c>
      <c r="C986" s="5" t="s">
        <v>4038</v>
      </c>
      <c r="D986" s="5" t="s">
        <v>605</v>
      </c>
      <c r="E986" s="5" t="s">
        <v>605</v>
      </c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11" t="s">
        <v>46</v>
      </c>
      <c r="Q986" s="5" t="s">
        <v>46</v>
      </c>
      <c r="R986" s="5" t="str">
        <f t="shared" si="16"/>
        <v/>
      </c>
      <c r="S986" s="5" t="s">
        <v>46</v>
      </c>
      <c r="T986" s="12">
        <v>983</v>
      </c>
      <c r="U986" s="261" t="s">
        <v>3687</v>
      </c>
      <c r="V986" s="232" t="s">
        <v>4038</v>
      </c>
      <c r="W986" s="232">
        <v>-8272.2999999999993</v>
      </c>
      <c r="X986" s="232">
        <v>-4897.1000000000004</v>
      </c>
      <c r="Y986" s="87" t="s">
        <v>3685</v>
      </c>
      <c r="Z986" s="87" t="s">
        <v>50</v>
      </c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261" t="s">
        <v>3687</v>
      </c>
    </row>
    <row r="987" spans="1:43">
      <c r="A987" s="12">
        <v>984</v>
      </c>
      <c r="B987" s="21" t="s">
        <v>3685</v>
      </c>
      <c r="C987" s="5" t="s">
        <v>4039</v>
      </c>
      <c r="D987" s="5" t="s">
        <v>605</v>
      </c>
      <c r="E987" s="5" t="s">
        <v>605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11" t="s">
        <v>46</v>
      </c>
      <c r="Q987" s="5" t="s">
        <v>46</v>
      </c>
      <c r="R987" s="5" t="str">
        <f t="shared" si="16"/>
        <v/>
      </c>
      <c r="S987" s="5" t="s">
        <v>46</v>
      </c>
      <c r="T987" s="12">
        <v>984</v>
      </c>
      <c r="U987" s="261" t="s">
        <v>3687</v>
      </c>
      <c r="V987" s="232" t="s">
        <v>4039</v>
      </c>
      <c r="W987" s="232">
        <v>11659.6</v>
      </c>
      <c r="X987" s="232">
        <v>-4973.3</v>
      </c>
      <c r="Y987" s="87" t="s">
        <v>3685</v>
      </c>
      <c r="Z987" s="87" t="s">
        <v>50</v>
      </c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261" t="s">
        <v>3687</v>
      </c>
    </row>
    <row r="988" spans="1:43">
      <c r="A988" s="12">
        <v>985</v>
      </c>
      <c r="B988" s="21" t="s">
        <v>3685</v>
      </c>
      <c r="C988" s="5" t="s">
        <v>4040</v>
      </c>
      <c r="D988" s="5" t="s">
        <v>605</v>
      </c>
      <c r="E988" s="5" t="s">
        <v>605</v>
      </c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11" t="s">
        <v>46</v>
      </c>
      <c r="Q988" s="5" t="s">
        <v>46</v>
      </c>
      <c r="R988" s="5" t="str">
        <f t="shared" si="16"/>
        <v/>
      </c>
      <c r="S988" s="5" t="s">
        <v>46</v>
      </c>
      <c r="T988" s="12">
        <v>985</v>
      </c>
      <c r="U988" s="261" t="s">
        <v>3687</v>
      </c>
      <c r="V988" s="232" t="s">
        <v>4040</v>
      </c>
      <c r="W988" s="232">
        <v>-11659.6</v>
      </c>
      <c r="X988" s="232">
        <v>-4973.3</v>
      </c>
      <c r="Y988" s="87" t="s">
        <v>3685</v>
      </c>
      <c r="Z988" s="87" t="s">
        <v>50</v>
      </c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261" t="s">
        <v>3687</v>
      </c>
    </row>
    <row r="989" spans="1:43">
      <c r="A989" s="12">
        <v>986</v>
      </c>
      <c r="B989" s="21" t="s">
        <v>3685</v>
      </c>
      <c r="C989" s="5" t="s">
        <v>4041</v>
      </c>
      <c r="D989" s="5" t="s">
        <v>605</v>
      </c>
      <c r="E989" s="5" t="s">
        <v>605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11" t="s">
        <v>46</v>
      </c>
      <c r="Q989" s="5" t="s">
        <v>46</v>
      </c>
      <c r="R989" s="5" t="str">
        <f t="shared" si="16"/>
        <v/>
      </c>
      <c r="S989" s="5" t="s">
        <v>46</v>
      </c>
      <c r="T989" s="12">
        <v>986</v>
      </c>
      <c r="U989" s="261" t="s">
        <v>3687</v>
      </c>
      <c r="V989" s="232" t="s">
        <v>4041</v>
      </c>
      <c r="W989" s="232">
        <v>4632.3999999999996</v>
      </c>
      <c r="X989" s="232">
        <v>-4151.3999999999996</v>
      </c>
      <c r="Y989" s="87" t="s">
        <v>3685</v>
      </c>
      <c r="Z989" s="87" t="s">
        <v>50</v>
      </c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261" t="s">
        <v>3687</v>
      </c>
    </row>
    <row r="990" spans="1:43">
      <c r="A990" s="12">
        <v>987</v>
      </c>
      <c r="B990" s="21" t="s">
        <v>3685</v>
      </c>
      <c r="C990" s="5" t="s">
        <v>4042</v>
      </c>
      <c r="D990" s="5" t="s">
        <v>605</v>
      </c>
      <c r="E990" s="5" t="s">
        <v>605</v>
      </c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11" t="s">
        <v>46</v>
      </c>
      <c r="Q990" s="5" t="s">
        <v>46</v>
      </c>
      <c r="R990" s="5" t="str">
        <f t="shared" si="16"/>
        <v/>
      </c>
      <c r="S990" s="5" t="s">
        <v>46</v>
      </c>
      <c r="T990" s="12">
        <v>987</v>
      </c>
      <c r="U990" s="261" t="s">
        <v>3687</v>
      </c>
      <c r="V990" s="232" t="s">
        <v>4042</v>
      </c>
      <c r="W990" s="232">
        <v>12915.4</v>
      </c>
      <c r="X990" s="232">
        <v>-4068.1</v>
      </c>
      <c r="Y990" s="87" t="s">
        <v>3685</v>
      </c>
      <c r="Z990" s="87" t="s">
        <v>50</v>
      </c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261" t="s">
        <v>3687</v>
      </c>
    </row>
    <row r="991" spans="1:43">
      <c r="A991" s="12">
        <v>988</v>
      </c>
      <c r="B991" s="21" t="s">
        <v>3685</v>
      </c>
      <c r="C991" s="5" t="s">
        <v>4043</v>
      </c>
      <c r="D991" s="5" t="s">
        <v>605</v>
      </c>
      <c r="E991" s="5" t="s">
        <v>605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11" t="s">
        <v>46</v>
      </c>
      <c r="Q991" s="5" t="s">
        <v>46</v>
      </c>
      <c r="R991" s="5" t="str">
        <f t="shared" si="16"/>
        <v/>
      </c>
      <c r="S991" s="5" t="s">
        <v>46</v>
      </c>
      <c r="T991" s="12">
        <v>988</v>
      </c>
      <c r="U991" s="261" t="s">
        <v>3687</v>
      </c>
      <c r="V991" s="232" t="s">
        <v>4043</v>
      </c>
      <c r="W991" s="232">
        <v>1903.4</v>
      </c>
      <c r="X991" s="232">
        <v>-4151.3999999999996</v>
      </c>
      <c r="Y991" s="87" t="s">
        <v>3685</v>
      </c>
      <c r="Z991" s="87" t="s">
        <v>50</v>
      </c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261" t="s">
        <v>3687</v>
      </c>
    </row>
    <row r="992" spans="1:43">
      <c r="A992" s="12">
        <v>989</v>
      </c>
      <c r="B992" s="21" t="s">
        <v>3685</v>
      </c>
      <c r="C992" s="5" t="s">
        <v>4044</v>
      </c>
      <c r="D992" s="5" t="s">
        <v>605</v>
      </c>
      <c r="E992" s="5" t="s">
        <v>605</v>
      </c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11" t="s">
        <v>46</v>
      </c>
      <c r="Q992" s="5" t="s">
        <v>46</v>
      </c>
      <c r="R992" s="5" t="str">
        <f t="shared" si="16"/>
        <v/>
      </c>
      <c r="S992" s="5" t="s">
        <v>46</v>
      </c>
      <c r="T992" s="12">
        <v>989</v>
      </c>
      <c r="U992" s="261" t="s">
        <v>3687</v>
      </c>
      <c r="V992" s="232" t="s">
        <v>4044</v>
      </c>
      <c r="W992" s="232">
        <v>-825.6</v>
      </c>
      <c r="X992" s="232">
        <v>-4151.3999999999996</v>
      </c>
      <c r="Y992" s="87" t="s">
        <v>3685</v>
      </c>
      <c r="Z992" s="87" t="s">
        <v>50</v>
      </c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261" t="s">
        <v>3687</v>
      </c>
    </row>
    <row r="993" spans="1:43">
      <c r="A993" s="12">
        <v>990</v>
      </c>
      <c r="B993" s="21" t="s">
        <v>3685</v>
      </c>
      <c r="C993" s="5" t="s">
        <v>4045</v>
      </c>
      <c r="D993" s="5" t="s">
        <v>605</v>
      </c>
      <c r="E993" s="5" t="s">
        <v>605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11" t="s">
        <v>46</v>
      </c>
      <c r="Q993" s="5" t="s">
        <v>46</v>
      </c>
      <c r="R993" s="5" t="str">
        <f t="shared" si="16"/>
        <v/>
      </c>
      <c r="S993" s="5" t="s">
        <v>46</v>
      </c>
      <c r="T993" s="12">
        <v>990</v>
      </c>
      <c r="U993" s="261" t="s">
        <v>3687</v>
      </c>
      <c r="V993" s="232" t="s">
        <v>4045</v>
      </c>
      <c r="W993" s="232">
        <v>-3554.6</v>
      </c>
      <c r="X993" s="232">
        <v>-4151.3999999999996</v>
      </c>
      <c r="Y993" s="87" t="s">
        <v>3685</v>
      </c>
      <c r="Z993" s="87" t="s">
        <v>50</v>
      </c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261" t="s">
        <v>3687</v>
      </c>
    </row>
    <row r="994" spans="1:43">
      <c r="A994" s="12">
        <v>991</v>
      </c>
      <c r="B994" s="21" t="s">
        <v>3685</v>
      </c>
      <c r="C994" s="5" t="s">
        <v>4046</v>
      </c>
      <c r="D994" s="5" t="s">
        <v>605</v>
      </c>
      <c r="E994" s="5" t="s">
        <v>605</v>
      </c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11" t="s">
        <v>46</v>
      </c>
      <c r="Q994" s="5" t="s">
        <v>46</v>
      </c>
      <c r="R994" s="5" t="str">
        <f t="shared" si="16"/>
        <v/>
      </c>
      <c r="S994" s="5" t="s">
        <v>46</v>
      </c>
      <c r="T994" s="12">
        <v>991</v>
      </c>
      <c r="U994" s="261" t="s">
        <v>3687</v>
      </c>
      <c r="V994" s="232" t="s">
        <v>4046</v>
      </c>
      <c r="W994" s="232">
        <v>-4916.3999999999996</v>
      </c>
      <c r="X994" s="232">
        <v>-4437.8999999999996</v>
      </c>
      <c r="Y994" s="87" t="s">
        <v>3685</v>
      </c>
      <c r="Z994" s="87" t="s">
        <v>50</v>
      </c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261" t="s">
        <v>3687</v>
      </c>
    </row>
    <row r="995" spans="1:43">
      <c r="A995" s="12">
        <v>992</v>
      </c>
      <c r="B995" s="21" t="s">
        <v>3685</v>
      </c>
      <c r="C995" s="5" t="s">
        <v>4047</v>
      </c>
      <c r="D995" s="5" t="s">
        <v>605</v>
      </c>
      <c r="E995" s="5" t="s">
        <v>605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11" t="s">
        <v>46</v>
      </c>
      <c r="Q995" s="5" t="s">
        <v>46</v>
      </c>
      <c r="R995" s="5" t="str">
        <f t="shared" si="16"/>
        <v/>
      </c>
      <c r="S995" s="5" t="s">
        <v>46</v>
      </c>
      <c r="T995" s="12">
        <v>992</v>
      </c>
      <c r="U995" s="261" t="s">
        <v>3687</v>
      </c>
      <c r="V995" s="232" t="s">
        <v>4047</v>
      </c>
      <c r="W995" s="232">
        <v>11697.7</v>
      </c>
      <c r="X995" s="232">
        <v>-4471.3999999999996</v>
      </c>
      <c r="Y995" s="87" t="s">
        <v>3685</v>
      </c>
      <c r="Z995" s="87" t="s">
        <v>50</v>
      </c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261" t="s">
        <v>3687</v>
      </c>
    </row>
    <row r="996" spans="1:43">
      <c r="A996" s="12">
        <v>993</v>
      </c>
      <c r="B996" s="21" t="s">
        <v>3685</v>
      </c>
      <c r="C996" s="5" t="s">
        <v>4048</v>
      </c>
      <c r="D996" s="5" t="s">
        <v>605</v>
      </c>
      <c r="E996" s="5" t="s">
        <v>605</v>
      </c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11" t="s">
        <v>46</v>
      </c>
      <c r="Q996" s="5" t="s">
        <v>46</v>
      </c>
      <c r="R996" s="5" t="str">
        <f t="shared" si="16"/>
        <v/>
      </c>
      <c r="S996" s="5" t="s">
        <v>46</v>
      </c>
      <c r="T996" s="12">
        <v>993</v>
      </c>
      <c r="U996" s="261" t="s">
        <v>3687</v>
      </c>
      <c r="V996" s="232" t="s">
        <v>4048</v>
      </c>
      <c r="W996" s="232">
        <v>-5503.1</v>
      </c>
      <c r="X996" s="232">
        <v>-4325.8999999999996</v>
      </c>
      <c r="Y996" s="87" t="s">
        <v>3685</v>
      </c>
      <c r="Z996" s="87" t="s">
        <v>50</v>
      </c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261" t="s">
        <v>3687</v>
      </c>
    </row>
    <row r="997" spans="1:43">
      <c r="A997" s="12">
        <v>994</v>
      </c>
      <c r="B997" s="21" t="s">
        <v>3685</v>
      </c>
      <c r="C997" s="5" t="s">
        <v>4049</v>
      </c>
      <c r="D997" s="5" t="s">
        <v>605</v>
      </c>
      <c r="E997" s="5" t="s">
        <v>605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11" t="s">
        <v>46</v>
      </c>
      <c r="Q997" s="5" t="s">
        <v>46</v>
      </c>
      <c r="R997" s="5" t="str">
        <f t="shared" si="16"/>
        <v/>
      </c>
      <c r="S997" s="5" t="s">
        <v>46</v>
      </c>
      <c r="T997" s="12">
        <v>994</v>
      </c>
      <c r="U997" s="261" t="s">
        <v>3687</v>
      </c>
      <c r="V997" s="232" t="s">
        <v>4049</v>
      </c>
      <c r="W997" s="232">
        <v>-6227</v>
      </c>
      <c r="X997" s="232">
        <v>-4325.8999999999996</v>
      </c>
      <c r="Y997" s="87" t="s">
        <v>3685</v>
      </c>
      <c r="Z997" s="87" t="s">
        <v>50</v>
      </c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261" t="s">
        <v>3687</v>
      </c>
    </row>
    <row r="998" spans="1:43">
      <c r="A998" s="12">
        <v>995</v>
      </c>
      <c r="B998" s="21" t="s">
        <v>3685</v>
      </c>
      <c r="C998" s="5" t="s">
        <v>4050</v>
      </c>
      <c r="D998" s="5" t="s">
        <v>605</v>
      </c>
      <c r="E998" s="5" t="s">
        <v>605</v>
      </c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11" t="s">
        <v>46</v>
      </c>
      <c r="Q998" s="5" t="s">
        <v>46</v>
      </c>
      <c r="R998" s="5" t="str">
        <f t="shared" si="16"/>
        <v/>
      </c>
      <c r="S998" s="5" t="s">
        <v>46</v>
      </c>
      <c r="T998" s="12">
        <v>995</v>
      </c>
      <c r="U998" s="261" t="s">
        <v>3687</v>
      </c>
      <c r="V998" s="232" t="s">
        <v>4050</v>
      </c>
      <c r="W998" s="232">
        <v>10945.9</v>
      </c>
      <c r="X998" s="232">
        <v>-4224</v>
      </c>
      <c r="Y998" s="87" t="s">
        <v>3685</v>
      </c>
      <c r="Z998" s="87" t="s">
        <v>50</v>
      </c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261" t="s">
        <v>3687</v>
      </c>
    </row>
    <row r="999" spans="1:43">
      <c r="A999" s="12">
        <v>996</v>
      </c>
      <c r="B999" s="21" t="s">
        <v>3685</v>
      </c>
      <c r="C999" s="5" t="s">
        <v>4051</v>
      </c>
      <c r="D999" s="5" t="s">
        <v>605</v>
      </c>
      <c r="E999" s="5" t="s">
        <v>605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11" t="s">
        <v>46</v>
      </c>
      <c r="Q999" s="5" t="s">
        <v>46</v>
      </c>
      <c r="R999" s="5" t="str">
        <f t="shared" si="16"/>
        <v/>
      </c>
      <c r="S999" s="5" t="s">
        <v>46</v>
      </c>
      <c r="T999" s="12">
        <v>996</v>
      </c>
      <c r="U999" s="261" t="s">
        <v>3687</v>
      </c>
      <c r="V999" s="232" t="s">
        <v>4051</v>
      </c>
      <c r="W999" s="232">
        <v>13439.1</v>
      </c>
      <c r="X999" s="232">
        <v>-3874.8</v>
      </c>
      <c r="Y999" s="87" t="s">
        <v>3685</v>
      </c>
      <c r="Z999" s="87" t="s">
        <v>50</v>
      </c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261" t="s">
        <v>3687</v>
      </c>
    </row>
    <row r="1000" spans="1:43">
      <c r="A1000" s="12">
        <v>997</v>
      </c>
      <c r="B1000" s="21" t="s">
        <v>3685</v>
      </c>
      <c r="C1000" s="5" t="s">
        <v>4052</v>
      </c>
      <c r="D1000" s="5" t="s">
        <v>605</v>
      </c>
      <c r="E1000" s="5" t="s">
        <v>605</v>
      </c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11" t="s">
        <v>46</v>
      </c>
      <c r="Q1000" s="5" t="s">
        <v>46</v>
      </c>
      <c r="R1000" s="5" t="str">
        <f t="shared" si="16"/>
        <v/>
      </c>
      <c r="S1000" s="5" t="s">
        <v>46</v>
      </c>
      <c r="T1000" s="12">
        <v>997</v>
      </c>
      <c r="U1000" s="261" t="s">
        <v>3687</v>
      </c>
      <c r="V1000" s="232" t="s">
        <v>4052</v>
      </c>
      <c r="W1000" s="232">
        <v>5351.4</v>
      </c>
      <c r="X1000" s="232">
        <v>-4029.9</v>
      </c>
      <c r="Y1000" s="87" t="s">
        <v>3685</v>
      </c>
      <c r="Z1000" s="87" t="s">
        <v>50</v>
      </c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261" t="s">
        <v>3687</v>
      </c>
    </row>
    <row r="1001" spans="1:43">
      <c r="A1001" s="12">
        <v>998</v>
      </c>
      <c r="B1001" s="21" t="s">
        <v>3685</v>
      </c>
      <c r="C1001" s="5" t="s">
        <v>4053</v>
      </c>
      <c r="D1001" s="5" t="s">
        <v>605</v>
      </c>
      <c r="E1001" s="5" t="s">
        <v>605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11" t="s">
        <v>46</v>
      </c>
      <c r="Q1001" s="5" t="s">
        <v>46</v>
      </c>
      <c r="R1001" s="5" t="str">
        <f t="shared" si="16"/>
        <v/>
      </c>
      <c r="S1001" s="5" t="s">
        <v>46</v>
      </c>
      <c r="T1001" s="12">
        <v>998</v>
      </c>
      <c r="U1001" s="261" t="s">
        <v>3687</v>
      </c>
      <c r="V1001" s="232" t="s">
        <v>4053</v>
      </c>
      <c r="W1001" s="232">
        <v>4312.5</v>
      </c>
      <c r="X1001" s="232">
        <v>-3612</v>
      </c>
      <c r="Y1001" s="87" t="s">
        <v>3685</v>
      </c>
      <c r="Z1001" s="87" t="s">
        <v>50</v>
      </c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261" t="s">
        <v>3687</v>
      </c>
    </row>
    <row r="1002" spans="1:43">
      <c r="A1002" s="12">
        <v>999</v>
      </c>
      <c r="B1002" s="21" t="s">
        <v>3685</v>
      </c>
      <c r="C1002" s="5" t="s">
        <v>4054</v>
      </c>
      <c r="D1002" s="5" t="s">
        <v>605</v>
      </c>
      <c r="E1002" s="5" t="s">
        <v>605</v>
      </c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11" t="s">
        <v>46</v>
      </c>
      <c r="Q1002" s="5" t="s">
        <v>46</v>
      </c>
      <c r="R1002" s="5" t="str">
        <f t="shared" si="16"/>
        <v/>
      </c>
      <c r="S1002" s="5" t="s">
        <v>46</v>
      </c>
      <c r="T1002" s="12">
        <v>999</v>
      </c>
      <c r="U1002" s="261" t="s">
        <v>3687</v>
      </c>
      <c r="V1002" s="232" t="s">
        <v>4054</v>
      </c>
      <c r="W1002" s="232">
        <v>-4570.8</v>
      </c>
      <c r="X1002" s="232">
        <v>-3860.1</v>
      </c>
      <c r="Y1002" s="87" t="s">
        <v>3685</v>
      </c>
      <c r="Z1002" s="87" t="s">
        <v>50</v>
      </c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261" t="s">
        <v>3687</v>
      </c>
    </row>
    <row r="1003" spans="1:43">
      <c r="A1003" s="12">
        <v>1000</v>
      </c>
      <c r="B1003" s="21" t="s">
        <v>3685</v>
      </c>
      <c r="C1003" s="5" t="s">
        <v>4055</v>
      </c>
      <c r="D1003" s="5" t="s">
        <v>605</v>
      </c>
      <c r="E1003" s="5" t="s">
        <v>605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11" t="s">
        <v>46</v>
      </c>
      <c r="Q1003" s="5" t="s">
        <v>46</v>
      </c>
      <c r="R1003" s="5" t="str">
        <f t="shared" si="16"/>
        <v/>
      </c>
      <c r="S1003" s="5" t="s">
        <v>46</v>
      </c>
      <c r="T1003" s="12">
        <v>1000</v>
      </c>
      <c r="U1003" s="261" t="s">
        <v>3687</v>
      </c>
      <c r="V1003" s="232" t="s">
        <v>4055</v>
      </c>
      <c r="W1003" s="232">
        <v>-13439.1</v>
      </c>
      <c r="X1003" s="232">
        <v>-3874.8</v>
      </c>
      <c r="Y1003" s="87" t="s">
        <v>3685</v>
      </c>
      <c r="Z1003" s="87" t="s">
        <v>50</v>
      </c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261" t="s">
        <v>3687</v>
      </c>
    </row>
    <row r="1004" spans="1:43">
      <c r="A1004" s="12">
        <v>1001</v>
      </c>
      <c r="B1004" s="21" t="s">
        <v>3685</v>
      </c>
      <c r="C1004" s="5" t="s">
        <v>4056</v>
      </c>
      <c r="D1004" s="5" t="s">
        <v>605</v>
      </c>
      <c r="E1004" s="5" t="s">
        <v>605</v>
      </c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11" t="s">
        <v>46</v>
      </c>
      <c r="Q1004" s="5" t="s">
        <v>46</v>
      </c>
      <c r="R1004" s="5" t="str">
        <f t="shared" si="16"/>
        <v/>
      </c>
      <c r="S1004" s="5" t="s">
        <v>46</v>
      </c>
      <c r="T1004" s="12">
        <v>1001</v>
      </c>
      <c r="U1004" s="261" t="s">
        <v>3687</v>
      </c>
      <c r="V1004" s="232" t="s">
        <v>4056</v>
      </c>
      <c r="W1004" s="232">
        <v>10316.299999999999</v>
      </c>
      <c r="X1004" s="232">
        <v>-3843</v>
      </c>
      <c r="Y1004" s="87" t="s">
        <v>3685</v>
      </c>
      <c r="Z1004" s="87" t="s">
        <v>50</v>
      </c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261" t="s">
        <v>3687</v>
      </c>
    </row>
    <row r="1005" spans="1:43">
      <c r="A1005" s="12">
        <v>1002</v>
      </c>
      <c r="B1005" s="21" t="s">
        <v>3685</v>
      </c>
      <c r="C1005" s="5" t="s">
        <v>4057</v>
      </c>
      <c r="D1005" s="5" t="s">
        <v>605</v>
      </c>
      <c r="E1005" s="5" t="s">
        <v>605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11" t="s">
        <v>46</v>
      </c>
      <c r="Q1005" s="5" t="s">
        <v>46</v>
      </c>
      <c r="R1005" s="5" t="str">
        <f t="shared" si="16"/>
        <v/>
      </c>
      <c r="S1005" s="5" t="s">
        <v>46</v>
      </c>
      <c r="T1005" s="12">
        <v>1002</v>
      </c>
      <c r="U1005" s="261" t="s">
        <v>3687</v>
      </c>
      <c r="V1005" s="232" t="s">
        <v>4057</v>
      </c>
      <c r="W1005" s="232">
        <v>7674.8</v>
      </c>
      <c r="X1005" s="232">
        <v>-3335.2</v>
      </c>
      <c r="Y1005" s="87" t="s">
        <v>3685</v>
      </c>
      <c r="Z1005" s="87" t="s">
        <v>50</v>
      </c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261" t="s">
        <v>3687</v>
      </c>
    </row>
    <row r="1006" spans="1:43">
      <c r="A1006" s="12">
        <v>1003</v>
      </c>
      <c r="B1006" s="21" t="s">
        <v>3685</v>
      </c>
      <c r="C1006" s="5" t="s">
        <v>4058</v>
      </c>
      <c r="D1006" s="5" t="s">
        <v>605</v>
      </c>
      <c r="E1006" s="5" t="s">
        <v>605</v>
      </c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11" t="s">
        <v>46</v>
      </c>
      <c r="Q1006" s="5" t="s">
        <v>46</v>
      </c>
      <c r="R1006" s="5" t="str">
        <f t="shared" si="16"/>
        <v/>
      </c>
      <c r="S1006" s="5" t="s">
        <v>46</v>
      </c>
      <c r="T1006" s="12">
        <v>1003</v>
      </c>
      <c r="U1006" s="261" t="s">
        <v>3687</v>
      </c>
      <c r="V1006" s="232" t="s">
        <v>4058</v>
      </c>
      <c r="W1006" s="232">
        <v>6950.9</v>
      </c>
      <c r="X1006" s="232">
        <v>-3335.2</v>
      </c>
      <c r="Y1006" s="87" t="s">
        <v>3685</v>
      </c>
      <c r="Z1006" s="87" t="s">
        <v>50</v>
      </c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261" t="s">
        <v>3687</v>
      </c>
    </row>
    <row r="1007" spans="1:43">
      <c r="A1007" s="12">
        <v>1004</v>
      </c>
      <c r="B1007" s="21" t="s">
        <v>3685</v>
      </c>
      <c r="C1007" s="5" t="s">
        <v>4059</v>
      </c>
      <c r="D1007" s="5" t="s">
        <v>605</v>
      </c>
      <c r="E1007" s="5" t="s">
        <v>605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11" t="s">
        <v>46</v>
      </c>
      <c r="Q1007" s="5" t="s">
        <v>46</v>
      </c>
      <c r="R1007" s="5" t="str">
        <f t="shared" si="16"/>
        <v/>
      </c>
      <c r="S1007" s="5" t="s">
        <v>46</v>
      </c>
      <c r="T1007" s="12">
        <v>1004</v>
      </c>
      <c r="U1007" s="261" t="s">
        <v>3687</v>
      </c>
      <c r="V1007" s="232" t="s">
        <v>4059</v>
      </c>
      <c r="W1007" s="232">
        <v>6227</v>
      </c>
      <c r="X1007" s="232">
        <v>-3335.2</v>
      </c>
      <c r="Y1007" s="87" t="s">
        <v>3685</v>
      </c>
      <c r="Z1007" s="87" t="s">
        <v>50</v>
      </c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261" t="s">
        <v>3687</v>
      </c>
    </row>
    <row r="1008" spans="1:43">
      <c r="A1008" s="12">
        <v>1005</v>
      </c>
      <c r="B1008" s="21" t="s">
        <v>3685</v>
      </c>
      <c r="C1008" s="5" t="s">
        <v>4060</v>
      </c>
      <c r="D1008" s="5" t="s">
        <v>605</v>
      </c>
      <c r="E1008" s="5" t="s">
        <v>605</v>
      </c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11" t="s">
        <v>46</v>
      </c>
      <c r="Q1008" s="5" t="s">
        <v>46</v>
      </c>
      <c r="R1008" s="5" t="str">
        <f t="shared" si="16"/>
        <v/>
      </c>
      <c r="S1008" s="5" t="s">
        <v>46</v>
      </c>
      <c r="T1008" s="12">
        <v>1005</v>
      </c>
      <c r="U1008" s="261" t="s">
        <v>3687</v>
      </c>
      <c r="V1008" s="232" t="s">
        <v>4060</v>
      </c>
      <c r="W1008" s="232">
        <v>5503.1</v>
      </c>
      <c r="X1008" s="232">
        <v>-3335.2</v>
      </c>
      <c r="Y1008" s="87" t="s">
        <v>3685</v>
      </c>
      <c r="Z1008" s="87" t="s">
        <v>50</v>
      </c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261" t="s">
        <v>3687</v>
      </c>
    </row>
    <row r="1009" spans="1:43">
      <c r="A1009" s="12">
        <v>1006</v>
      </c>
      <c r="B1009" s="21" t="s">
        <v>3685</v>
      </c>
      <c r="C1009" s="5" t="s">
        <v>4061</v>
      </c>
      <c r="D1009" s="5" t="s">
        <v>605</v>
      </c>
      <c r="E1009" s="5" t="s">
        <v>605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11" t="s">
        <v>46</v>
      </c>
      <c r="Q1009" s="5" t="s">
        <v>46</v>
      </c>
      <c r="R1009" s="5" t="str">
        <f t="shared" si="16"/>
        <v/>
      </c>
      <c r="S1009" s="5" t="s">
        <v>46</v>
      </c>
      <c r="T1009" s="12">
        <v>1006</v>
      </c>
      <c r="U1009" s="261" t="s">
        <v>3687</v>
      </c>
      <c r="V1009" s="232" t="s">
        <v>4061</v>
      </c>
      <c r="W1009" s="232">
        <v>4779.2</v>
      </c>
      <c r="X1009" s="232">
        <v>-3335.2</v>
      </c>
      <c r="Y1009" s="87" t="s">
        <v>3685</v>
      </c>
      <c r="Z1009" s="87" t="s">
        <v>50</v>
      </c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261" t="s">
        <v>3687</v>
      </c>
    </row>
    <row r="1010" spans="1:43">
      <c r="A1010" s="12">
        <v>1007</v>
      </c>
      <c r="B1010" s="21" t="s">
        <v>3685</v>
      </c>
      <c r="C1010" s="5" t="s">
        <v>4062</v>
      </c>
      <c r="D1010" s="5" t="s">
        <v>605</v>
      </c>
      <c r="E1010" s="5" t="s">
        <v>605</v>
      </c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11" t="s">
        <v>46</v>
      </c>
      <c r="Q1010" s="5" t="s">
        <v>46</v>
      </c>
      <c r="R1010" s="5" t="str">
        <f t="shared" si="16"/>
        <v/>
      </c>
      <c r="S1010" s="5" t="s">
        <v>46</v>
      </c>
      <c r="T1010" s="12">
        <v>1007</v>
      </c>
      <c r="U1010" s="261" t="s">
        <v>3687</v>
      </c>
      <c r="V1010" s="232" t="s">
        <v>4062</v>
      </c>
      <c r="W1010" s="232">
        <v>3335.2</v>
      </c>
      <c r="X1010" s="232">
        <v>-3249.2</v>
      </c>
      <c r="Y1010" s="87" t="s">
        <v>3685</v>
      </c>
      <c r="Z1010" s="87" t="s">
        <v>50</v>
      </c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261" t="s">
        <v>3687</v>
      </c>
    </row>
    <row r="1011" spans="1:43">
      <c r="A1011" s="12">
        <v>1008</v>
      </c>
      <c r="B1011" s="21" t="s">
        <v>3685</v>
      </c>
      <c r="C1011" s="5" t="s">
        <v>4063</v>
      </c>
      <c r="D1011" s="5" t="s">
        <v>605</v>
      </c>
      <c r="E1011" s="5" t="s">
        <v>605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11" t="s">
        <v>46</v>
      </c>
      <c r="Q1011" s="5" t="s">
        <v>46</v>
      </c>
      <c r="R1011" s="5" t="str">
        <f t="shared" si="16"/>
        <v/>
      </c>
      <c r="S1011" s="5" t="s">
        <v>46</v>
      </c>
      <c r="T1011" s="12">
        <v>1008</v>
      </c>
      <c r="U1011" s="261" t="s">
        <v>3687</v>
      </c>
      <c r="V1011" s="232" t="s">
        <v>4063</v>
      </c>
      <c r="W1011" s="232">
        <v>579.1</v>
      </c>
      <c r="X1011" s="232">
        <v>-3249.2</v>
      </c>
      <c r="Y1011" s="87" t="s">
        <v>3685</v>
      </c>
      <c r="Z1011" s="87" t="s">
        <v>50</v>
      </c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261" t="s">
        <v>3687</v>
      </c>
    </row>
    <row r="1012" spans="1:43">
      <c r="A1012" s="12">
        <v>1009</v>
      </c>
      <c r="B1012" s="21" t="s">
        <v>3685</v>
      </c>
      <c r="C1012" s="5" t="s">
        <v>4064</v>
      </c>
      <c r="D1012" s="5" t="s">
        <v>605</v>
      </c>
      <c r="E1012" s="5" t="s">
        <v>605</v>
      </c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11" t="s">
        <v>46</v>
      </c>
      <c r="Q1012" s="5" t="s">
        <v>46</v>
      </c>
      <c r="R1012" s="5" t="str">
        <f t="shared" si="16"/>
        <v/>
      </c>
      <c r="S1012" s="5" t="s">
        <v>46</v>
      </c>
      <c r="T1012" s="12">
        <v>1009</v>
      </c>
      <c r="U1012" s="261" t="s">
        <v>3687</v>
      </c>
      <c r="V1012" s="232" t="s">
        <v>4064</v>
      </c>
      <c r="W1012" s="232">
        <v>-579.1</v>
      </c>
      <c r="X1012" s="232">
        <v>-3249.2</v>
      </c>
      <c r="Y1012" s="87" t="s">
        <v>3685</v>
      </c>
      <c r="Z1012" s="87" t="s">
        <v>50</v>
      </c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261" t="s">
        <v>3687</v>
      </c>
    </row>
    <row r="1013" spans="1:43">
      <c r="A1013" s="12">
        <v>1010</v>
      </c>
      <c r="B1013" s="21" t="s">
        <v>3685</v>
      </c>
      <c r="C1013" s="5" t="s">
        <v>4065</v>
      </c>
      <c r="D1013" s="5" t="s">
        <v>605</v>
      </c>
      <c r="E1013" s="5" t="s">
        <v>605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11" t="s">
        <v>46</v>
      </c>
      <c r="Q1013" s="5" t="s">
        <v>46</v>
      </c>
      <c r="R1013" s="5" t="str">
        <f t="shared" si="16"/>
        <v/>
      </c>
      <c r="S1013" s="5" t="s">
        <v>46</v>
      </c>
      <c r="T1013" s="12">
        <v>1010</v>
      </c>
      <c r="U1013" s="261" t="s">
        <v>3687</v>
      </c>
      <c r="V1013" s="232" t="s">
        <v>4065</v>
      </c>
      <c r="W1013" s="232">
        <v>-1353.8</v>
      </c>
      <c r="X1013" s="232">
        <v>-3249.2</v>
      </c>
      <c r="Y1013" s="87" t="s">
        <v>3685</v>
      </c>
      <c r="Z1013" s="87" t="s">
        <v>50</v>
      </c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261" t="s">
        <v>3687</v>
      </c>
    </row>
    <row r="1014" spans="1:43">
      <c r="A1014" s="12">
        <v>1011</v>
      </c>
      <c r="B1014" s="21" t="s">
        <v>3685</v>
      </c>
      <c r="C1014" s="5" t="s">
        <v>4066</v>
      </c>
      <c r="D1014" s="5" t="s">
        <v>605</v>
      </c>
      <c r="E1014" s="5" t="s">
        <v>605</v>
      </c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11" t="s">
        <v>46</v>
      </c>
      <c r="Q1014" s="5" t="s">
        <v>46</v>
      </c>
      <c r="R1014" s="5" t="str">
        <f t="shared" si="16"/>
        <v/>
      </c>
      <c r="S1014" s="5" t="s">
        <v>46</v>
      </c>
      <c r="T1014" s="12">
        <v>1011</v>
      </c>
      <c r="U1014" s="261" t="s">
        <v>3687</v>
      </c>
      <c r="V1014" s="232" t="s">
        <v>4066</v>
      </c>
      <c r="W1014" s="232">
        <v>-2344.5</v>
      </c>
      <c r="X1014" s="232">
        <v>-3249.2</v>
      </c>
      <c r="Y1014" s="87" t="s">
        <v>3685</v>
      </c>
      <c r="Z1014" s="87" t="s">
        <v>50</v>
      </c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261" t="s">
        <v>3687</v>
      </c>
    </row>
    <row r="1015" spans="1:43">
      <c r="A1015" s="12">
        <v>1012</v>
      </c>
      <c r="B1015" s="21" t="s">
        <v>3685</v>
      </c>
      <c r="C1015" s="5" t="s">
        <v>4067</v>
      </c>
      <c r="D1015" s="5" t="s">
        <v>605</v>
      </c>
      <c r="E1015" s="5" t="s">
        <v>605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11" t="s">
        <v>46</v>
      </c>
      <c r="Q1015" s="5" t="s">
        <v>46</v>
      </c>
      <c r="R1015" s="5" t="str">
        <f t="shared" si="16"/>
        <v/>
      </c>
      <c r="S1015" s="5" t="s">
        <v>46</v>
      </c>
      <c r="T1015" s="12">
        <v>1012</v>
      </c>
      <c r="U1015" s="261" t="s">
        <v>3687</v>
      </c>
      <c r="V1015" s="232" t="s">
        <v>4067</v>
      </c>
      <c r="W1015" s="232">
        <v>-3335.2</v>
      </c>
      <c r="X1015" s="232">
        <v>-3249.2</v>
      </c>
      <c r="Y1015" s="87" t="s">
        <v>3685</v>
      </c>
      <c r="Z1015" s="87" t="s">
        <v>50</v>
      </c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261" t="s">
        <v>3687</v>
      </c>
    </row>
    <row r="1016" spans="1:43">
      <c r="A1016" s="12">
        <v>1013</v>
      </c>
      <c r="B1016" s="21" t="s">
        <v>3685</v>
      </c>
      <c r="C1016" s="5" t="s">
        <v>4068</v>
      </c>
      <c r="D1016" s="5" t="s">
        <v>605</v>
      </c>
      <c r="E1016" s="5" t="s">
        <v>605</v>
      </c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11" t="s">
        <v>46</v>
      </c>
      <c r="Q1016" s="5" t="s">
        <v>46</v>
      </c>
      <c r="R1016" s="5" t="str">
        <f t="shared" si="16"/>
        <v/>
      </c>
      <c r="S1016" s="5" t="s">
        <v>46</v>
      </c>
      <c r="T1016" s="12">
        <v>1013</v>
      </c>
      <c r="U1016" s="261" t="s">
        <v>3687</v>
      </c>
      <c r="V1016" s="232" t="s">
        <v>4068</v>
      </c>
      <c r="W1016" s="232">
        <v>-4087.8</v>
      </c>
      <c r="X1016" s="232">
        <v>-3502.2</v>
      </c>
      <c r="Y1016" s="87" t="s">
        <v>3685</v>
      </c>
      <c r="Z1016" s="87" t="s">
        <v>50</v>
      </c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261" t="s">
        <v>3687</v>
      </c>
    </row>
    <row r="1017" spans="1:43">
      <c r="A1017" s="12">
        <v>1014</v>
      </c>
      <c r="B1017" s="21" t="s">
        <v>3685</v>
      </c>
      <c r="C1017" s="5" t="s">
        <v>4069</v>
      </c>
      <c r="D1017" s="5" t="s">
        <v>605</v>
      </c>
      <c r="E1017" s="5" t="s">
        <v>605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11" t="s">
        <v>46</v>
      </c>
      <c r="Q1017" s="5" t="s">
        <v>46</v>
      </c>
      <c r="R1017" s="5" t="str">
        <f t="shared" si="16"/>
        <v/>
      </c>
      <c r="S1017" s="5" t="s">
        <v>46</v>
      </c>
      <c r="T1017" s="12">
        <v>1014</v>
      </c>
      <c r="U1017" s="261" t="s">
        <v>3687</v>
      </c>
      <c r="V1017" s="232" t="s">
        <v>4069</v>
      </c>
      <c r="W1017" s="232">
        <v>-6227</v>
      </c>
      <c r="X1017" s="232">
        <v>-3335.2</v>
      </c>
      <c r="Y1017" s="87" t="s">
        <v>3685</v>
      </c>
      <c r="Z1017" s="87" t="s">
        <v>50</v>
      </c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261" t="s">
        <v>3687</v>
      </c>
    </row>
    <row r="1018" spans="1:43">
      <c r="A1018" s="12">
        <v>1015</v>
      </c>
      <c r="B1018" s="21" t="s">
        <v>3685</v>
      </c>
      <c r="C1018" s="5" t="s">
        <v>4070</v>
      </c>
      <c r="D1018" s="5" t="s">
        <v>605</v>
      </c>
      <c r="E1018" s="5" t="s">
        <v>605</v>
      </c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11" t="s">
        <v>46</v>
      </c>
      <c r="Q1018" s="5" t="s">
        <v>46</v>
      </c>
      <c r="R1018" s="5" t="str">
        <f t="shared" si="16"/>
        <v/>
      </c>
      <c r="S1018" s="5" t="s">
        <v>46</v>
      </c>
      <c r="T1018" s="12">
        <v>1015</v>
      </c>
      <c r="U1018" s="261" t="s">
        <v>3687</v>
      </c>
      <c r="V1018" s="232" t="s">
        <v>4070</v>
      </c>
      <c r="W1018" s="232">
        <v>-8272.2999999999993</v>
      </c>
      <c r="X1018" s="232">
        <v>-3258.8</v>
      </c>
      <c r="Y1018" s="87" t="s">
        <v>3685</v>
      </c>
      <c r="Z1018" s="87" t="s">
        <v>50</v>
      </c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261" t="s">
        <v>3687</v>
      </c>
    </row>
    <row r="1019" spans="1:43">
      <c r="A1019" s="12">
        <v>1016</v>
      </c>
      <c r="B1019" s="21" t="s">
        <v>3685</v>
      </c>
      <c r="C1019" s="5" t="s">
        <v>4071</v>
      </c>
      <c r="D1019" s="5" t="s">
        <v>605</v>
      </c>
      <c r="E1019" s="5" t="s">
        <v>605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11" t="s">
        <v>46</v>
      </c>
      <c r="Q1019" s="5" t="s">
        <v>46</v>
      </c>
      <c r="R1019" s="5" t="str">
        <f t="shared" si="16"/>
        <v/>
      </c>
      <c r="S1019" s="5" t="s">
        <v>46</v>
      </c>
      <c r="T1019" s="12">
        <v>1016</v>
      </c>
      <c r="U1019" s="261" t="s">
        <v>3687</v>
      </c>
      <c r="V1019" s="232" t="s">
        <v>4071</v>
      </c>
      <c r="W1019" s="232">
        <v>9665.7000000000007</v>
      </c>
      <c r="X1019" s="232">
        <v>-3495</v>
      </c>
      <c r="Y1019" s="87" t="s">
        <v>3685</v>
      </c>
      <c r="Z1019" s="87" t="s">
        <v>50</v>
      </c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261" t="s">
        <v>3687</v>
      </c>
    </row>
    <row r="1020" spans="1:43">
      <c r="A1020" s="12">
        <v>1017</v>
      </c>
      <c r="B1020" s="21" t="s">
        <v>3685</v>
      </c>
      <c r="C1020" s="5" t="s">
        <v>4072</v>
      </c>
      <c r="D1020" s="5" t="s">
        <v>605</v>
      </c>
      <c r="E1020" s="5" t="s">
        <v>605</v>
      </c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11" t="s">
        <v>46</v>
      </c>
      <c r="Q1020" s="5" t="s">
        <v>46</v>
      </c>
      <c r="R1020" s="5" t="str">
        <f t="shared" si="16"/>
        <v/>
      </c>
      <c r="S1020" s="5" t="s">
        <v>46</v>
      </c>
      <c r="T1020" s="12">
        <v>1017</v>
      </c>
      <c r="U1020" s="261" t="s">
        <v>3687</v>
      </c>
      <c r="V1020" s="232" t="s">
        <v>4072</v>
      </c>
      <c r="W1020" s="232">
        <v>3897.3</v>
      </c>
      <c r="X1020" s="232">
        <v>-2975.7</v>
      </c>
      <c r="Y1020" s="87" t="s">
        <v>3685</v>
      </c>
      <c r="Z1020" s="87" t="s">
        <v>50</v>
      </c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261" t="s">
        <v>3687</v>
      </c>
    </row>
    <row r="1021" spans="1:43">
      <c r="A1021" s="12">
        <v>1018</v>
      </c>
      <c r="B1021" s="21" t="s">
        <v>3685</v>
      </c>
      <c r="C1021" s="5" t="s">
        <v>4073</v>
      </c>
      <c r="D1021" s="5" t="s">
        <v>605</v>
      </c>
      <c r="E1021" s="5" t="s">
        <v>605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11" t="s">
        <v>46</v>
      </c>
      <c r="Q1021" s="5" t="s">
        <v>46</v>
      </c>
      <c r="R1021" s="5" t="str">
        <f t="shared" si="16"/>
        <v/>
      </c>
      <c r="S1021" s="5" t="s">
        <v>46</v>
      </c>
      <c r="T1021" s="12">
        <v>1018</v>
      </c>
      <c r="U1021" s="261" t="s">
        <v>3687</v>
      </c>
      <c r="V1021" s="232" t="s">
        <v>4073</v>
      </c>
      <c r="W1021" s="232">
        <v>-3897.3</v>
      </c>
      <c r="X1021" s="232">
        <v>-2975.7</v>
      </c>
      <c r="Y1021" s="87" t="s">
        <v>3685</v>
      </c>
      <c r="Z1021" s="87" t="s">
        <v>50</v>
      </c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261" t="s">
        <v>3687</v>
      </c>
    </row>
    <row r="1022" spans="1:43">
      <c r="A1022" s="12">
        <v>1019</v>
      </c>
      <c r="B1022" s="21" t="s">
        <v>3685</v>
      </c>
      <c r="C1022" s="5" t="s">
        <v>4074</v>
      </c>
      <c r="D1022" s="5" t="s">
        <v>605</v>
      </c>
      <c r="E1022" s="5" t="s">
        <v>605</v>
      </c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11" t="s">
        <v>46</v>
      </c>
      <c r="Q1022" s="5" t="s">
        <v>46</v>
      </c>
      <c r="R1022" s="5" t="str">
        <f t="shared" si="16"/>
        <v/>
      </c>
      <c r="S1022" s="5" t="s">
        <v>46</v>
      </c>
      <c r="T1022" s="12">
        <v>1019</v>
      </c>
      <c r="U1022" s="261" t="s">
        <v>3687</v>
      </c>
      <c r="V1022" s="232" t="s">
        <v>4074</v>
      </c>
      <c r="W1022" s="232">
        <v>11659.6</v>
      </c>
      <c r="X1022" s="232">
        <v>-2776.2</v>
      </c>
      <c r="Y1022" s="87" t="s">
        <v>3685</v>
      </c>
      <c r="Z1022" s="87" t="s">
        <v>50</v>
      </c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261" t="s">
        <v>3687</v>
      </c>
    </row>
    <row r="1023" spans="1:43">
      <c r="A1023" s="12">
        <v>1020</v>
      </c>
      <c r="B1023" s="21" t="s">
        <v>3685</v>
      </c>
      <c r="C1023" s="5" t="s">
        <v>4075</v>
      </c>
      <c r="D1023" s="5" t="s">
        <v>605</v>
      </c>
      <c r="E1023" s="5" t="s">
        <v>605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11" t="s">
        <v>46</v>
      </c>
      <c r="Q1023" s="5" t="s">
        <v>46</v>
      </c>
      <c r="R1023" s="5" t="str">
        <f t="shared" si="16"/>
        <v/>
      </c>
      <c r="S1023" s="5" t="s">
        <v>46</v>
      </c>
      <c r="T1023" s="12">
        <v>1020</v>
      </c>
      <c r="U1023" s="261" t="s">
        <v>3687</v>
      </c>
      <c r="V1023" s="232" t="s">
        <v>4075</v>
      </c>
      <c r="W1023" s="232">
        <v>-11659.6</v>
      </c>
      <c r="X1023" s="232">
        <v>-2776.2</v>
      </c>
      <c r="Y1023" s="87" t="s">
        <v>3685</v>
      </c>
      <c r="Z1023" s="87" t="s">
        <v>50</v>
      </c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261" t="s">
        <v>3687</v>
      </c>
    </row>
    <row r="1024" spans="1:43">
      <c r="A1024" s="12">
        <v>1021</v>
      </c>
      <c r="B1024" s="21" t="s">
        <v>3685</v>
      </c>
      <c r="C1024" s="5" t="s">
        <v>4076</v>
      </c>
      <c r="D1024" s="5" t="s">
        <v>605</v>
      </c>
      <c r="E1024" s="5" t="s">
        <v>605</v>
      </c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11" t="s">
        <v>46</v>
      </c>
      <c r="Q1024" s="5" t="s">
        <v>46</v>
      </c>
      <c r="R1024" s="5" t="str">
        <f t="shared" si="16"/>
        <v/>
      </c>
      <c r="S1024" s="5" t="s">
        <v>46</v>
      </c>
      <c r="T1024" s="12">
        <v>1021</v>
      </c>
      <c r="U1024" s="261" t="s">
        <v>3687</v>
      </c>
      <c r="V1024" s="232" t="s">
        <v>4076</v>
      </c>
      <c r="W1024" s="232">
        <v>7674.8</v>
      </c>
      <c r="X1024" s="232">
        <v>-2344.5</v>
      </c>
      <c r="Y1024" s="87" t="s">
        <v>3685</v>
      </c>
      <c r="Z1024" s="87" t="s">
        <v>50</v>
      </c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261" t="s">
        <v>3687</v>
      </c>
    </row>
    <row r="1025" spans="1:43">
      <c r="A1025" s="12">
        <v>1022</v>
      </c>
      <c r="B1025" s="21" t="s">
        <v>3685</v>
      </c>
      <c r="C1025" s="5" t="s">
        <v>4077</v>
      </c>
      <c r="D1025" s="5" t="s">
        <v>605</v>
      </c>
      <c r="E1025" s="5" t="s">
        <v>605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11" t="s">
        <v>46</v>
      </c>
      <c r="Q1025" s="5" t="s">
        <v>46</v>
      </c>
      <c r="R1025" s="5" t="str">
        <f t="shared" si="16"/>
        <v/>
      </c>
      <c r="S1025" s="5" t="s">
        <v>46</v>
      </c>
      <c r="T1025" s="12">
        <v>1022</v>
      </c>
      <c r="U1025" s="261" t="s">
        <v>3687</v>
      </c>
      <c r="V1025" s="232" t="s">
        <v>4077</v>
      </c>
      <c r="W1025" s="232">
        <v>3335.2</v>
      </c>
      <c r="X1025" s="232">
        <v>-2525.3000000000002</v>
      </c>
      <c r="Y1025" s="87" t="s">
        <v>3685</v>
      </c>
      <c r="Z1025" s="87" t="s">
        <v>50</v>
      </c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261" t="s">
        <v>3687</v>
      </c>
    </row>
    <row r="1026" spans="1:43">
      <c r="A1026" s="12">
        <v>1023</v>
      </c>
      <c r="B1026" s="21" t="s">
        <v>3685</v>
      </c>
      <c r="C1026" s="5" t="s">
        <v>4078</v>
      </c>
      <c r="D1026" s="5" t="s">
        <v>605</v>
      </c>
      <c r="E1026" s="5" t="s">
        <v>605</v>
      </c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11" t="s">
        <v>46</v>
      </c>
      <c r="Q1026" s="5" t="s">
        <v>46</v>
      </c>
      <c r="R1026" s="5" t="str">
        <f t="shared" si="16"/>
        <v/>
      </c>
      <c r="S1026" s="5" t="s">
        <v>46</v>
      </c>
      <c r="T1026" s="12">
        <v>1023</v>
      </c>
      <c r="U1026" s="261" t="s">
        <v>3687</v>
      </c>
      <c r="V1026" s="232" t="s">
        <v>4078</v>
      </c>
      <c r="W1026" s="232">
        <v>579.1</v>
      </c>
      <c r="X1026" s="232">
        <v>-2525.3000000000002</v>
      </c>
      <c r="Y1026" s="87" t="s">
        <v>3685</v>
      </c>
      <c r="Z1026" s="87" t="s">
        <v>50</v>
      </c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261" t="s">
        <v>3687</v>
      </c>
    </row>
    <row r="1027" spans="1:43">
      <c r="A1027" s="12">
        <v>1024</v>
      </c>
      <c r="B1027" s="21" t="s">
        <v>3685</v>
      </c>
      <c r="C1027" s="5" t="s">
        <v>4079</v>
      </c>
      <c r="D1027" s="5" t="s">
        <v>605</v>
      </c>
      <c r="E1027" s="5" t="s">
        <v>605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11" t="s">
        <v>46</v>
      </c>
      <c r="Q1027" s="5" t="s">
        <v>46</v>
      </c>
      <c r="R1027" s="5" t="str">
        <f t="shared" si="16"/>
        <v/>
      </c>
      <c r="S1027" s="5" t="s">
        <v>46</v>
      </c>
      <c r="T1027" s="12">
        <v>1024</v>
      </c>
      <c r="U1027" s="261" t="s">
        <v>3687</v>
      </c>
      <c r="V1027" s="232" t="s">
        <v>4079</v>
      </c>
      <c r="W1027" s="232">
        <v>-4779.2</v>
      </c>
      <c r="X1027" s="232">
        <v>-2344.5</v>
      </c>
      <c r="Y1027" s="87" t="s">
        <v>3685</v>
      </c>
      <c r="Z1027" s="87" t="s">
        <v>50</v>
      </c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261" t="s">
        <v>3687</v>
      </c>
    </row>
    <row r="1028" spans="1:43">
      <c r="A1028" s="12">
        <v>1025</v>
      </c>
      <c r="B1028" s="21" t="s">
        <v>3685</v>
      </c>
      <c r="C1028" s="5" t="s">
        <v>4080</v>
      </c>
      <c r="D1028" s="5" t="s">
        <v>605</v>
      </c>
      <c r="E1028" s="5" t="s">
        <v>605</v>
      </c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11" t="s">
        <v>46</v>
      </c>
      <c r="Q1028" s="5" t="s">
        <v>46</v>
      </c>
      <c r="R1028" s="5" t="str">
        <f t="shared" si="16"/>
        <v/>
      </c>
      <c r="S1028" s="5" t="s">
        <v>46</v>
      </c>
      <c r="T1028" s="12">
        <v>1025</v>
      </c>
      <c r="U1028" s="261" t="s">
        <v>3687</v>
      </c>
      <c r="V1028" s="232" t="s">
        <v>4080</v>
      </c>
      <c r="W1028" s="232">
        <v>-6227</v>
      </c>
      <c r="X1028" s="232">
        <v>-2344.5</v>
      </c>
      <c r="Y1028" s="87" t="s">
        <v>3685</v>
      </c>
      <c r="Z1028" s="87" t="s">
        <v>50</v>
      </c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261" t="s">
        <v>3687</v>
      </c>
    </row>
    <row r="1029" spans="1:43">
      <c r="A1029" s="12">
        <v>1026</v>
      </c>
      <c r="B1029" s="21" t="s">
        <v>3685</v>
      </c>
      <c r="C1029" s="5" t="s">
        <v>4081</v>
      </c>
      <c r="D1029" s="5" t="s">
        <v>605</v>
      </c>
      <c r="E1029" s="5" t="s">
        <v>605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11" t="s">
        <v>46</v>
      </c>
      <c r="Q1029" s="5" t="s">
        <v>46</v>
      </c>
      <c r="R1029" s="5" t="str">
        <f t="shared" ref="R1029:R1036" si="17">IF(AND(P1029="",Q1029=""),"",SUM(P1029:Q1029))</f>
        <v/>
      </c>
      <c r="S1029" s="5" t="s">
        <v>46</v>
      </c>
      <c r="T1029" s="12">
        <v>1026</v>
      </c>
      <c r="U1029" s="261" t="s">
        <v>3687</v>
      </c>
      <c r="V1029" s="232" t="s">
        <v>4081</v>
      </c>
      <c r="W1029" s="232">
        <v>9670.7999999999993</v>
      </c>
      <c r="X1029" s="232">
        <v>-2204.6999999999998</v>
      </c>
      <c r="Y1029" s="87" t="s">
        <v>3685</v>
      </c>
      <c r="Z1029" s="87" t="s">
        <v>50</v>
      </c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261" t="s">
        <v>3687</v>
      </c>
    </row>
    <row r="1030" spans="1:43">
      <c r="A1030" s="12">
        <v>1027</v>
      </c>
      <c r="B1030" s="21" t="s">
        <v>6255</v>
      </c>
      <c r="C1030" s="5" t="s">
        <v>4083</v>
      </c>
      <c r="D1030" s="5" t="s">
        <v>6256</v>
      </c>
      <c r="E1030" s="5" t="s">
        <v>6257</v>
      </c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11" t="s">
        <v>46</v>
      </c>
      <c r="Q1030" s="5">
        <v>129.48089999999999</v>
      </c>
      <c r="R1030" s="5">
        <f t="shared" si="17"/>
        <v>129.48089999999999</v>
      </c>
      <c r="S1030" s="5" t="s">
        <v>60</v>
      </c>
      <c r="T1030" s="12">
        <v>1027</v>
      </c>
      <c r="U1030" s="261" t="s">
        <v>4086</v>
      </c>
      <c r="V1030" s="232" t="s">
        <v>4083</v>
      </c>
      <c r="W1030" s="232">
        <v>6950.9</v>
      </c>
      <c r="X1030" s="232">
        <v>2344.5</v>
      </c>
      <c r="Y1030" s="87" t="s">
        <v>49</v>
      </c>
      <c r="Z1030" s="87" t="s">
        <v>50</v>
      </c>
      <c r="AA1030" s="17" t="s">
        <v>51</v>
      </c>
      <c r="AB1030" s="17"/>
      <c r="AC1030" s="17">
        <v>1</v>
      </c>
      <c r="AD1030" s="17" t="s">
        <v>226</v>
      </c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261" t="s">
        <v>333</v>
      </c>
    </row>
    <row r="1031" spans="1:43">
      <c r="A1031" s="12">
        <v>1028</v>
      </c>
      <c r="B1031" s="21" t="s">
        <v>6258</v>
      </c>
      <c r="C1031" s="5" t="s">
        <v>4088</v>
      </c>
      <c r="D1031" s="5" t="s">
        <v>6259</v>
      </c>
      <c r="E1031" s="5" t="s">
        <v>6260</v>
      </c>
      <c r="F1031" s="5" t="s">
        <v>6261</v>
      </c>
      <c r="G1031" s="5"/>
      <c r="H1031" s="5"/>
      <c r="I1031" s="5"/>
      <c r="J1031" s="5"/>
      <c r="K1031" s="5"/>
      <c r="L1031" s="5"/>
      <c r="M1031" s="5"/>
      <c r="N1031" s="5"/>
      <c r="O1031" s="5"/>
      <c r="P1031" s="11" t="s">
        <v>46</v>
      </c>
      <c r="Q1031" s="5">
        <v>209.2561</v>
      </c>
      <c r="R1031" s="5">
        <f t="shared" si="17"/>
        <v>209.2561</v>
      </c>
      <c r="S1031" s="5" t="s">
        <v>706</v>
      </c>
      <c r="T1031" s="12">
        <v>1028</v>
      </c>
      <c r="U1031" s="261" t="s">
        <v>4092</v>
      </c>
      <c r="V1031" s="232" t="s">
        <v>4088</v>
      </c>
      <c r="W1031" s="232">
        <v>6950.9</v>
      </c>
      <c r="X1031" s="232">
        <v>-2344.5</v>
      </c>
      <c r="Y1031" s="87" t="s">
        <v>49</v>
      </c>
      <c r="Z1031" s="87" t="s">
        <v>50</v>
      </c>
      <c r="AA1031" s="17" t="s">
        <v>51</v>
      </c>
      <c r="AB1031" s="17"/>
      <c r="AC1031" s="17">
        <v>1</v>
      </c>
      <c r="AD1031" s="17" t="s">
        <v>226</v>
      </c>
      <c r="AE1031" s="17"/>
      <c r="AF1031" s="17"/>
      <c r="AG1031" s="17" t="s">
        <v>4093</v>
      </c>
      <c r="AH1031" s="17">
        <v>5</v>
      </c>
      <c r="AI1031" s="17">
        <v>100</v>
      </c>
      <c r="AJ1031" s="17"/>
      <c r="AK1031" s="17"/>
      <c r="AL1031" s="17"/>
      <c r="AM1031" s="17"/>
      <c r="AN1031" s="17"/>
      <c r="AO1031" s="17" t="s">
        <v>636</v>
      </c>
      <c r="AP1031" s="17"/>
      <c r="AQ1031" s="261" t="s">
        <v>653</v>
      </c>
    </row>
    <row r="1032" spans="1:43">
      <c r="A1032" s="12">
        <v>1029</v>
      </c>
      <c r="B1032" s="21" t="s">
        <v>6262</v>
      </c>
      <c r="C1032" s="5" t="s">
        <v>4095</v>
      </c>
      <c r="D1032" s="5" t="s">
        <v>6263</v>
      </c>
      <c r="E1032" s="5" t="s">
        <v>6264</v>
      </c>
      <c r="F1032" s="5" t="s">
        <v>6265</v>
      </c>
      <c r="G1032" s="5"/>
      <c r="H1032" s="5"/>
      <c r="I1032" s="5"/>
      <c r="J1032" s="5"/>
      <c r="K1032" s="5"/>
      <c r="L1032" s="5"/>
      <c r="M1032" s="5"/>
      <c r="N1032" s="5"/>
      <c r="O1032" s="5"/>
      <c r="P1032" s="11" t="s">
        <v>46</v>
      </c>
      <c r="Q1032" s="5">
        <v>209.25040000000001</v>
      </c>
      <c r="R1032" s="5">
        <f t="shared" si="17"/>
        <v>209.25040000000001</v>
      </c>
      <c r="S1032" s="5" t="s">
        <v>706</v>
      </c>
      <c r="T1032" s="12">
        <v>1029</v>
      </c>
      <c r="U1032" s="261" t="s">
        <v>4099</v>
      </c>
      <c r="V1032" s="232" t="s">
        <v>4095</v>
      </c>
      <c r="W1032" s="232">
        <v>6227</v>
      </c>
      <c r="X1032" s="232">
        <v>-2344.5</v>
      </c>
      <c r="Y1032" s="87" t="s">
        <v>49</v>
      </c>
      <c r="Z1032" s="87" t="s">
        <v>50</v>
      </c>
      <c r="AA1032" s="17" t="s">
        <v>51</v>
      </c>
      <c r="AB1032" s="17"/>
      <c r="AC1032" s="17">
        <v>1</v>
      </c>
      <c r="AD1032" s="17" t="s">
        <v>226</v>
      </c>
      <c r="AE1032" s="17"/>
      <c r="AF1032" s="17"/>
      <c r="AG1032" s="17" t="s">
        <v>4093</v>
      </c>
      <c r="AH1032" s="17">
        <v>5</v>
      </c>
      <c r="AI1032" s="17">
        <v>100</v>
      </c>
      <c r="AJ1032" s="17"/>
      <c r="AK1032" s="17"/>
      <c r="AL1032" s="17"/>
      <c r="AM1032" s="17"/>
      <c r="AN1032" s="17"/>
      <c r="AO1032" s="17" t="s">
        <v>636</v>
      </c>
      <c r="AP1032" s="17"/>
      <c r="AQ1032" s="261" t="s">
        <v>653</v>
      </c>
    </row>
    <row r="1033" spans="1:43">
      <c r="A1033" s="12">
        <v>1030</v>
      </c>
      <c r="B1033" s="21" t="s">
        <v>6266</v>
      </c>
      <c r="C1033" s="5" t="s">
        <v>4101</v>
      </c>
      <c r="D1033" s="5" t="s">
        <v>6267</v>
      </c>
      <c r="E1033" s="5" t="s">
        <v>6268</v>
      </c>
      <c r="F1033" s="5" t="s">
        <v>6269</v>
      </c>
      <c r="G1033" s="5" t="s">
        <v>6270</v>
      </c>
      <c r="H1033" s="5" t="s">
        <v>6271</v>
      </c>
      <c r="I1033" s="11" t="s">
        <v>6272</v>
      </c>
      <c r="J1033" s="5"/>
      <c r="K1033" s="5"/>
      <c r="L1033" s="5"/>
      <c r="M1033" s="5"/>
      <c r="N1033" s="5"/>
      <c r="O1033" s="5"/>
      <c r="P1033" s="11">
        <v>102.2437</v>
      </c>
      <c r="Q1033" s="5">
        <v>67.691800000000001</v>
      </c>
      <c r="R1033" s="5">
        <f t="shared" si="17"/>
        <v>169.93549999999999</v>
      </c>
      <c r="S1033" s="5" t="s">
        <v>60</v>
      </c>
      <c r="T1033" s="12">
        <v>1030</v>
      </c>
      <c r="U1033" s="261" t="s">
        <v>4108</v>
      </c>
      <c r="V1033" s="232" t="s">
        <v>4101</v>
      </c>
      <c r="W1033" s="232">
        <v>11047.5</v>
      </c>
      <c r="X1033" s="232">
        <v>-2585.6999999999998</v>
      </c>
      <c r="Y1033" s="87" t="s">
        <v>49</v>
      </c>
      <c r="Z1033" s="87" t="s">
        <v>50</v>
      </c>
      <c r="AA1033" s="17" t="s">
        <v>51</v>
      </c>
      <c r="AB1033" s="17"/>
      <c r="AC1033" s="17">
        <v>1</v>
      </c>
      <c r="AD1033" s="17" t="s">
        <v>52</v>
      </c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261" t="s">
        <v>4109</v>
      </c>
    </row>
    <row r="1034" spans="1:43">
      <c r="A1034" s="12">
        <v>1031</v>
      </c>
      <c r="B1034" s="21" t="s">
        <v>6273</v>
      </c>
      <c r="C1034" s="5" t="s">
        <v>4111</v>
      </c>
      <c r="D1034" s="5" t="s">
        <v>6274</v>
      </c>
      <c r="E1034" s="5" t="s">
        <v>6275</v>
      </c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11" t="s">
        <v>46</v>
      </c>
      <c r="Q1034" s="5">
        <v>168.1808</v>
      </c>
      <c r="R1034" s="5">
        <f t="shared" si="17"/>
        <v>168.1808</v>
      </c>
      <c r="S1034" s="5" t="s">
        <v>60</v>
      </c>
      <c r="T1034" s="12">
        <v>1031</v>
      </c>
      <c r="U1034" s="261" t="s">
        <v>4114</v>
      </c>
      <c r="V1034" s="232" t="s">
        <v>4111</v>
      </c>
      <c r="W1034" s="232">
        <v>10359.1</v>
      </c>
      <c r="X1034" s="232">
        <v>-2395.1999999999998</v>
      </c>
      <c r="Y1034" s="87" t="s">
        <v>49</v>
      </c>
      <c r="Z1034" s="87" t="s">
        <v>50</v>
      </c>
      <c r="AA1034" s="17" t="s">
        <v>51</v>
      </c>
      <c r="AB1034" s="17"/>
      <c r="AC1034" s="17">
        <v>1</v>
      </c>
      <c r="AD1034" s="17" t="s">
        <v>52</v>
      </c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261" t="s">
        <v>4115</v>
      </c>
    </row>
    <row r="1035" spans="1:43">
      <c r="B1035" s="6"/>
      <c r="C1035" s="6"/>
      <c r="D1035" s="6"/>
      <c r="E1035" s="6"/>
      <c r="M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</row>
    <row r="1036" spans="1:43">
      <c r="A1036" s="12">
        <v>1032</v>
      </c>
      <c r="B1036" s="21" t="s">
        <v>6276</v>
      </c>
      <c r="C1036" s="5" t="s">
        <v>6277</v>
      </c>
      <c r="D1036" s="268" t="s">
        <v>6278</v>
      </c>
      <c r="E1036" s="268" t="s">
        <v>6279</v>
      </c>
      <c r="F1036" s="5" t="s">
        <v>6277</v>
      </c>
      <c r="G1036" s="5"/>
      <c r="H1036" s="5"/>
      <c r="I1036" s="5"/>
      <c r="J1036" s="5"/>
      <c r="K1036" s="5"/>
      <c r="L1036" s="5"/>
      <c r="M1036" s="5"/>
      <c r="N1036" s="5"/>
      <c r="O1036" s="5"/>
      <c r="P1036" s="11" t="s">
        <v>46</v>
      </c>
      <c r="Q1036" s="268">
        <v>207.30520000000001</v>
      </c>
      <c r="R1036" s="268">
        <f t="shared" si="17"/>
        <v>207.30520000000001</v>
      </c>
      <c r="S1036" s="268" t="s">
        <v>732</v>
      </c>
      <c r="T1036" s="12">
        <v>1032</v>
      </c>
      <c r="U1036" s="253" t="s">
        <v>4120</v>
      </c>
      <c r="V1036" s="232" t="s">
        <v>6280</v>
      </c>
      <c r="W1036" s="232"/>
      <c r="X1036" s="232"/>
      <c r="Y1036" s="233" t="s">
        <v>49</v>
      </c>
      <c r="Z1036" s="87" t="s">
        <v>50</v>
      </c>
      <c r="AA1036" s="233" t="s">
        <v>51</v>
      </c>
      <c r="AB1036" s="234"/>
      <c r="AC1036" s="233">
        <v>2</v>
      </c>
      <c r="AD1036" s="233" t="s">
        <v>226</v>
      </c>
      <c r="AE1036" s="234"/>
      <c r="AF1036" s="234"/>
      <c r="AG1036" s="234"/>
      <c r="AH1036" s="233"/>
      <c r="AI1036" s="233"/>
      <c r="AJ1036" s="233"/>
      <c r="AK1036" s="233"/>
      <c r="AL1036" s="233"/>
      <c r="AM1036" s="233"/>
      <c r="AN1036" s="233"/>
      <c r="AO1036" s="233"/>
      <c r="AP1036" s="234"/>
      <c r="AQ1036" s="234" t="s">
        <v>2913</v>
      </c>
    </row>
    <row r="1037" spans="1:43">
      <c r="A1037" s="12">
        <v>1033</v>
      </c>
      <c r="B1037" s="21" t="s">
        <v>6281</v>
      </c>
      <c r="C1037" s="5" t="s">
        <v>6282</v>
      </c>
      <c r="D1037" s="5" t="s">
        <v>6283</v>
      </c>
      <c r="E1037" s="5" t="s">
        <v>6284</v>
      </c>
      <c r="F1037" s="5" t="s">
        <v>6282</v>
      </c>
      <c r="G1037" s="5"/>
      <c r="H1037" s="5"/>
      <c r="I1037" s="5"/>
      <c r="J1037" s="5"/>
      <c r="K1037" s="5"/>
      <c r="L1037" s="5"/>
      <c r="M1037" s="5"/>
      <c r="N1037" s="5"/>
      <c r="O1037" s="5"/>
      <c r="P1037" s="11" t="s">
        <v>46</v>
      </c>
      <c r="Q1037" s="268">
        <v>207.3732</v>
      </c>
      <c r="R1037" s="268">
        <f t="shared" ref="R1037" si="18">IF(AND(P1037="",Q1037=""),"",SUM(P1037:Q1037))</f>
        <v>207.3732</v>
      </c>
      <c r="S1037" s="268" t="s">
        <v>732</v>
      </c>
      <c r="T1037" s="12">
        <v>1033</v>
      </c>
      <c r="U1037" s="253" t="s">
        <v>4125</v>
      </c>
      <c r="V1037" s="232" t="s">
        <v>6285</v>
      </c>
      <c r="W1037" s="232"/>
      <c r="X1037" s="232"/>
      <c r="Y1037" s="233" t="s">
        <v>49</v>
      </c>
      <c r="Z1037" s="87" t="s">
        <v>50</v>
      </c>
      <c r="AA1037" s="233" t="s">
        <v>51</v>
      </c>
      <c r="AB1037" s="234"/>
      <c r="AC1037" s="233">
        <v>2</v>
      </c>
      <c r="AD1037" s="233" t="s">
        <v>226</v>
      </c>
      <c r="AE1037" s="234"/>
      <c r="AF1037" s="234"/>
      <c r="AG1037" s="234"/>
      <c r="AH1037" s="233"/>
      <c r="AI1037" s="233"/>
      <c r="AJ1037" s="233"/>
      <c r="AK1037" s="233"/>
      <c r="AL1037" s="233"/>
      <c r="AM1037" s="233"/>
      <c r="AN1037" s="233"/>
      <c r="AO1037" s="233"/>
      <c r="AP1037" s="234"/>
      <c r="AQ1037" s="234" t="s">
        <v>2913</v>
      </c>
    </row>
  </sheetData>
  <autoFilter ref="A3:V1037" xr:uid="{00000000-0009-0000-0000-000002000000}"/>
  <phoneticPr fontId="3"/>
  <dataValidations disablePrompts="1" count="11">
    <dataValidation type="list" allowBlank="1" showInputMessage="1" showErrorMessage="1" sqref="AM4:AM1034 AM1036:AM1037" xr:uid="{A7007311-4724-46B6-AB70-9C67C71A1E2C}">
      <formula1>Loop_back</formula1>
    </dataValidation>
    <dataValidation type="list" allowBlank="1" showInputMessage="1" showErrorMessage="1" sqref="AL4:AL1034 AL1036:AL1037" xr:uid="{D26796E2-1ABA-4F84-988C-22336D3F551F}">
      <formula1>Share_</formula1>
    </dataValidation>
    <dataValidation type="list" allowBlank="1" showInputMessage="1" showErrorMessage="1" sqref="AA4:AA1034 AA1036:AA1037" xr:uid="{2D626FCE-80C1-43A5-8BB1-EDA3B1D47DB8}">
      <formula1>"DM250,DM800,Float/Loopback,PLL/sense/PU/PD"</formula1>
    </dataValidation>
    <dataValidation type="list" allowBlank="1" showInputMessage="1" showErrorMessage="1" sqref="Z4:Z1034 Z1036:Z1037" xr:uid="{8176FF65-553A-4538-A727-0E12E95F405B}">
      <formula1>"Top,Bottom"</formula1>
    </dataValidation>
    <dataValidation type="list" allowBlank="1" showInputMessage="1" showErrorMessage="1" sqref="AO4:AP1034 AO1036:AP1037" xr:uid="{D7B92E58-B0F3-4D86-8959-06E41DF84609}">
      <formula1>"Yes"</formula1>
    </dataValidation>
    <dataValidation type="list" allowBlank="1" showInputMessage="1" showErrorMessage="1" sqref="AJ4:AJ1034 AJ1036:AJ1037" xr:uid="{85E09B9B-ED7C-4946-8242-90723E4A78C7}">
      <formula1>Match_</formula1>
    </dataValidation>
    <dataValidation type="list" allowBlank="1" showInputMessage="1" showErrorMessage="1" sqref="AG4:AG1034 AG1036:AG1037" xr:uid="{8EE81ABB-E609-4336-8B0D-C2D2644D101C}">
      <formula1>Diff_</formula1>
    </dataValidation>
    <dataValidation type="whole" operator="greaterThan" allowBlank="1" showInputMessage="1" showErrorMessage="1" sqref="AF4:AK1034 AF1036:AK1037" xr:uid="{F12684D5-C392-4C65-AA8B-7EFD39442C63}">
      <formula1>0</formula1>
    </dataValidation>
    <dataValidation type="list" allowBlank="1" showInputMessage="1" showErrorMessage="1" sqref="AD4:AD1034 AD1036:AD1037" xr:uid="{AF149500-A4B3-41ED-BC4D-82AE6CCC1E89}">
      <formula1>Time_Domain</formula1>
    </dataValidation>
    <dataValidation type="list" allowBlank="1" showInputMessage="1" showErrorMessage="1" sqref="AC4:AC1034 AC1036:AC1037" xr:uid="{C75B395A-DB1A-4724-AA28-B90130CB6104}">
      <formula1>"0,1,2"</formula1>
    </dataValidation>
    <dataValidation type="list" allowBlank="1" showInputMessage="1" showErrorMessage="1" sqref="AB4:AB1034 AB1036:AB1037" xr:uid="{0B0AB0BA-ADF4-42BC-969A-0BE779969DBE}">
      <formula1>"SC2,SC4,SC8,SC16,SC2_SC4"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38C50-26C6-4F15-AE49-251071223FB8}">
  <sheetPr codeName="Sheet2"/>
  <dimension ref="B1:U25"/>
  <sheetViews>
    <sheetView zoomScale="70" zoomScaleNormal="70" workbookViewId="0"/>
  </sheetViews>
  <sheetFormatPr defaultColWidth="9" defaultRowHeight="14.25"/>
  <cols>
    <col min="1" max="1" width="13" style="26" customWidth="1"/>
    <col min="2" max="2" width="13.85546875" style="26" bestFit="1" customWidth="1"/>
    <col min="3" max="3" width="13.42578125" style="26" customWidth="1"/>
    <col min="4" max="8" width="9" style="26"/>
    <col min="9" max="9" width="10.42578125" style="26" bestFit="1" customWidth="1"/>
    <col min="10" max="10" width="9" style="26"/>
    <col min="11" max="15" width="11.5703125" style="26" customWidth="1"/>
    <col min="16" max="19" width="10.5703125" style="26" customWidth="1"/>
    <col min="20" max="20" width="12" style="26" customWidth="1"/>
    <col min="21" max="21" width="12.28515625" style="26" customWidth="1"/>
    <col min="22" max="16384" width="9" style="26"/>
  </cols>
  <sheetData>
    <row r="1" spans="2:21" ht="25.5">
      <c r="B1" s="8" t="str">
        <f>SITE1!B1</f>
        <v>ITTO-620-0190 Meteor Lake PCH X4</v>
      </c>
      <c r="K1" s="7">
        <v>44635</v>
      </c>
      <c r="S1" s="110"/>
      <c r="T1" s="110"/>
    </row>
    <row r="2" spans="2:21" ht="20.25">
      <c r="B2" s="125" t="s">
        <v>6286</v>
      </c>
    </row>
    <row r="3" spans="2:21" ht="20.25">
      <c r="B3" s="13"/>
    </row>
    <row r="4" spans="2:21" ht="20.25">
      <c r="B4" s="13"/>
      <c r="K4" s="26" t="s">
        <v>6287</v>
      </c>
      <c r="M4" s="26" t="s">
        <v>6288</v>
      </c>
      <c r="R4" s="111" t="s">
        <v>6289</v>
      </c>
      <c r="T4" s="26" t="s">
        <v>6290</v>
      </c>
    </row>
    <row r="5" spans="2:21" ht="20.25">
      <c r="B5" s="13"/>
      <c r="K5" s="5" t="s">
        <v>6291</v>
      </c>
      <c r="L5" s="27">
        <f>MAX(K14:L25)</f>
        <v>29.936599999999999</v>
      </c>
      <c r="M5" s="5" t="s">
        <v>6291</v>
      </c>
      <c r="N5" s="27">
        <f>MAX(M14:N25)</f>
        <v>4.539999999999722E-2</v>
      </c>
      <c r="R5" s="5" t="s">
        <v>6291</v>
      </c>
      <c r="S5" s="27">
        <f>MAX(R14:S25)</f>
        <v>305.255</v>
      </c>
      <c r="T5" s="5" t="s">
        <v>6291</v>
      </c>
      <c r="U5" s="27">
        <f>MAX(T14:U25)</f>
        <v>0.10009999999994079</v>
      </c>
    </row>
    <row r="6" spans="2:21" ht="20.25">
      <c r="B6" s="13"/>
      <c r="K6" s="5" t="s">
        <v>6292</v>
      </c>
      <c r="L6" s="27">
        <f>MIN(K14:L25)</f>
        <v>29.585999999999999</v>
      </c>
      <c r="R6" s="5" t="s">
        <v>6292</v>
      </c>
      <c r="S6" s="27">
        <f>MIN(R14:S25)</f>
        <v>304.72930000000002</v>
      </c>
    </row>
    <row r="7" spans="2:21" ht="20.25">
      <c r="B7" s="13"/>
      <c r="K7" s="5" t="s">
        <v>6293</v>
      </c>
      <c r="L7" s="27">
        <f>L5-L6</f>
        <v>0.35060000000000002</v>
      </c>
      <c r="R7" s="5" t="s">
        <v>6293</v>
      </c>
      <c r="S7" s="27">
        <f>S5-S6</f>
        <v>0.52569999999997208</v>
      </c>
    </row>
    <row r="8" spans="2:21">
      <c r="K8" s="26" t="s">
        <v>6294</v>
      </c>
      <c r="L8" s="113">
        <f>I14*2</f>
        <v>40</v>
      </c>
      <c r="M8" s="26" t="s">
        <v>6294</v>
      </c>
      <c r="N8" s="115">
        <v>5</v>
      </c>
      <c r="R8" s="26" t="s">
        <v>6294</v>
      </c>
      <c r="S8" s="113">
        <f>I14*2</f>
        <v>40</v>
      </c>
      <c r="T8" s="26" t="s">
        <v>6294</v>
      </c>
      <c r="U8" s="115">
        <v>5</v>
      </c>
    </row>
    <row r="9" spans="2:21">
      <c r="L9" s="112">
        <f>L8*0.0254</f>
        <v>1.016</v>
      </c>
      <c r="N9" s="112">
        <f>N8*0.0254</f>
        <v>0.127</v>
      </c>
      <c r="S9" s="112">
        <f>S8*0.0254</f>
        <v>1.016</v>
      </c>
      <c r="U9" s="112">
        <f>U8*0.0254</f>
        <v>0.127</v>
      </c>
    </row>
    <row r="10" spans="2:21">
      <c r="L10" s="111" t="str">
        <f>IF(L7&gt;L9,"Wrong","OK")</f>
        <v>OK</v>
      </c>
      <c r="N10" s="111" t="str">
        <f>IF(N5&gt;N9,"Wrong","OK")</f>
        <v>OK</v>
      </c>
      <c r="S10" s="111" t="str">
        <f>IF(S7&gt;S9,"Wrong","OK")</f>
        <v>OK</v>
      </c>
      <c r="U10" s="111" t="str">
        <f>IF(U5&gt;U9,"Wrong","OK")</f>
        <v>OK</v>
      </c>
    </row>
    <row r="11" spans="2:21">
      <c r="N11" s="111"/>
      <c r="Q11" s="111"/>
      <c r="R11" s="114"/>
      <c r="U11" s="112"/>
    </row>
    <row r="12" spans="2:21" ht="25.5">
      <c r="K12" s="116" t="s">
        <v>6295</v>
      </c>
      <c r="L12" s="117"/>
      <c r="M12" s="123" t="s">
        <v>6296</v>
      </c>
      <c r="N12" s="121"/>
      <c r="P12" s="116" t="s">
        <v>6297</v>
      </c>
      <c r="Q12" s="117"/>
      <c r="R12" s="116" t="s">
        <v>6298</v>
      </c>
      <c r="S12" s="117"/>
      <c r="T12" s="116" t="s">
        <v>6296</v>
      </c>
      <c r="U12" s="121"/>
    </row>
    <row r="13" spans="2:21" ht="90">
      <c r="B13" s="91" t="s">
        <v>19</v>
      </c>
      <c r="C13" s="91" t="s">
        <v>20</v>
      </c>
      <c r="D13" s="99" t="s">
        <v>29</v>
      </c>
      <c r="E13" s="100" t="s">
        <v>30</v>
      </c>
      <c r="F13" s="93" t="s">
        <v>31</v>
      </c>
      <c r="G13" s="93" t="s">
        <v>32</v>
      </c>
      <c r="H13" s="102" t="s">
        <v>34</v>
      </c>
      <c r="I13" s="103" t="s">
        <v>35</v>
      </c>
      <c r="J13" s="97" t="s">
        <v>37</v>
      </c>
      <c r="K13" s="118" t="s">
        <v>10</v>
      </c>
      <c r="L13" s="118" t="s">
        <v>4127</v>
      </c>
      <c r="M13" s="118" t="s">
        <v>10</v>
      </c>
      <c r="N13" s="124" t="s">
        <v>4127</v>
      </c>
      <c r="P13" s="118" t="s">
        <v>10</v>
      </c>
      <c r="Q13" s="118" t="s">
        <v>4127</v>
      </c>
      <c r="R13" s="118" t="s">
        <v>10</v>
      </c>
      <c r="S13" s="118" t="s">
        <v>4127</v>
      </c>
      <c r="T13" s="120" t="s">
        <v>10</v>
      </c>
      <c r="U13" s="120" t="s">
        <v>4127</v>
      </c>
    </row>
    <row r="14" spans="2:21">
      <c r="B14" s="228" t="s">
        <v>225</v>
      </c>
      <c r="C14" s="216" t="s">
        <v>219</v>
      </c>
      <c r="D14" s="217"/>
      <c r="E14" s="217"/>
      <c r="F14" s="217" t="s">
        <v>227</v>
      </c>
      <c r="G14" s="217">
        <v>5</v>
      </c>
      <c r="H14" s="217" t="s">
        <v>228</v>
      </c>
      <c r="I14" s="217">
        <v>20</v>
      </c>
      <c r="J14" s="217" t="s">
        <v>229</v>
      </c>
      <c r="K14" s="122">
        <v>29.741</v>
      </c>
      <c r="L14" s="122">
        <v>29.741</v>
      </c>
      <c r="M14" s="274">
        <f>ABS(K14-K15)</f>
        <v>7.1000000000012164E-3</v>
      </c>
      <c r="N14" s="274">
        <f>ABS(L14-L15)</f>
        <v>7.1000000000012164E-3</v>
      </c>
      <c r="P14" s="122">
        <v>275.35379999999998</v>
      </c>
      <c r="Q14" s="122">
        <v>275.35379999999998</v>
      </c>
      <c r="R14" s="122">
        <f t="shared" ref="R14:R25" si="0">SUM(K14,P14)</f>
        <v>305.09479999999996</v>
      </c>
      <c r="S14" s="122">
        <f t="shared" ref="S14:S25" si="1">SUM(L14,Q14)</f>
        <v>305.09479999999996</v>
      </c>
      <c r="T14" s="174">
        <f>ABS(R14-R15)</f>
        <v>5.1000000000840373E-3</v>
      </c>
      <c r="U14" s="174">
        <f>ABS(S14-S15)</f>
        <v>5.1000000000840373E-3</v>
      </c>
    </row>
    <row r="15" spans="2:21">
      <c r="B15" s="228" t="s">
        <v>238</v>
      </c>
      <c r="C15" s="216" t="s">
        <v>233</v>
      </c>
      <c r="D15" s="217"/>
      <c r="E15" s="217"/>
      <c r="F15" s="217" t="s">
        <v>227</v>
      </c>
      <c r="G15" s="217">
        <v>5</v>
      </c>
      <c r="H15" s="217" t="s">
        <v>228</v>
      </c>
      <c r="I15" s="217">
        <v>20</v>
      </c>
      <c r="J15" s="217" t="s">
        <v>239</v>
      </c>
      <c r="K15" s="122">
        <v>29.748100000000001</v>
      </c>
      <c r="L15" s="122">
        <v>29.748100000000001</v>
      </c>
      <c r="M15" s="275"/>
      <c r="N15" s="275"/>
      <c r="P15" s="122">
        <v>275.35180000000003</v>
      </c>
      <c r="Q15" s="122">
        <v>275.35180000000003</v>
      </c>
      <c r="R15" s="122">
        <f t="shared" si="0"/>
        <v>305.09990000000005</v>
      </c>
      <c r="S15" s="122">
        <f t="shared" si="1"/>
        <v>305.09990000000005</v>
      </c>
      <c r="T15" s="175"/>
      <c r="U15" s="175"/>
    </row>
    <row r="16" spans="2:21">
      <c r="B16" s="228" t="s">
        <v>246</v>
      </c>
      <c r="C16" s="216" t="s">
        <v>241</v>
      </c>
      <c r="D16" s="217"/>
      <c r="E16" s="217"/>
      <c r="F16" s="217" t="s">
        <v>247</v>
      </c>
      <c r="G16" s="217">
        <v>5</v>
      </c>
      <c r="H16" s="217" t="s">
        <v>228</v>
      </c>
      <c r="I16" s="217">
        <v>20</v>
      </c>
      <c r="J16" s="217" t="s">
        <v>248</v>
      </c>
      <c r="K16" s="122">
        <v>29.821899999999999</v>
      </c>
      <c r="L16" s="122">
        <v>29.821899999999999</v>
      </c>
      <c r="M16" s="274">
        <f>ABS(K16-K17)</f>
        <v>7.9999999999991189E-3</v>
      </c>
      <c r="N16" s="274">
        <f>ABS(L16-L17)</f>
        <v>7.9999999999991189E-3</v>
      </c>
      <c r="P16" s="122">
        <v>275.31580000000002</v>
      </c>
      <c r="Q16" s="122">
        <v>275.31580000000002</v>
      </c>
      <c r="R16" s="122">
        <f t="shared" si="0"/>
        <v>305.1377</v>
      </c>
      <c r="S16" s="122">
        <f t="shared" si="1"/>
        <v>305.1377</v>
      </c>
      <c r="T16" s="174">
        <f>ABS(R16-R17)</f>
        <v>6.5000000000168257E-3</v>
      </c>
      <c r="U16" s="174">
        <f>ABS(S16-S17)</f>
        <v>6.5000000000168257E-3</v>
      </c>
    </row>
    <row r="17" spans="2:21">
      <c r="B17" s="228" t="s">
        <v>256</v>
      </c>
      <c r="C17" s="216" t="s">
        <v>251</v>
      </c>
      <c r="D17" s="217"/>
      <c r="E17" s="217"/>
      <c r="F17" s="217" t="s">
        <v>247</v>
      </c>
      <c r="G17" s="217">
        <v>5</v>
      </c>
      <c r="H17" s="217" t="s">
        <v>228</v>
      </c>
      <c r="I17" s="217">
        <v>20</v>
      </c>
      <c r="J17" s="217" t="s">
        <v>257</v>
      </c>
      <c r="K17" s="122">
        <v>29.829899999999999</v>
      </c>
      <c r="L17" s="122">
        <v>29.829899999999999</v>
      </c>
      <c r="M17" s="275"/>
      <c r="N17" s="275"/>
      <c r="P17" s="122">
        <v>275.3143</v>
      </c>
      <c r="Q17" s="122">
        <v>275.3143</v>
      </c>
      <c r="R17" s="122">
        <f t="shared" si="0"/>
        <v>305.14420000000001</v>
      </c>
      <c r="S17" s="122">
        <f t="shared" si="1"/>
        <v>305.14420000000001</v>
      </c>
      <c r="T17" s="175"/>
      <c r="U17" s="175"/>
    </row>
    <row r="18" spans="2:21">
      <c r="B18" s="228" t="s">
        <v>265</v>
      </c>
      <c r="C18" s="216" t="s">
        <v>259</v>
      </c>
      <c r="D18" s="217"/>
      <c r="E18" s="217"/>
      <c r="F18" s="217" t="s">
        <v>266</v>
      </c>
      <c r="G18" s="217">
        <v>5</v>
      </c>
      <c r="H18" s="217" t="s">
        <v>228</v>
      </c>
      <c r="I18" s="217">
        <v>20</v>
      </c>
      <c r="J18" s="217" t="s">
        <v>267</v>
      </c>
      <c r="K18" s="122">
        <v>29.636299999999999</v>
      </c>
      <c r="L18" s="122">
        <v>29.636299999999999</v>
      </c>
      <c r="M18" s="274">
        <f>ABS(K18-K19)</f>
        <v>4.539999999999722E-2</v>
      </c>
      <c r="N18" s="274">
        <f>ABS(L18-L19)</f>
        <v>4.539999999999722E-2</v>
      </c>
      <c r="P18" s="122">
        <v>275.32240000000002</v>
      </c>
      <c r="Q18" s="122">
        <v>275.32240000000002</v>
      </c>
      <c r="R18" s="122">
        <f t="shared" si="0"/>
        <v>304.95870000000002</v>
      </c>
      <c r="S18" s="122">
        <f t="shared" si="1"/>
        <v>304.95870000000002</v>
      </c>
      <c r="T18" s="174">
        <f>ABS(R18-R19)</f>
        <v>5.1000000000044565E-2</v>
      </c>
      <c r="U18" s="174">
        <f>ABS(S18-S19)</f>
        <v>5.1000000000044565E-2</v>
      </c>
    </row>
    <row r="19" spans="2:21">
      <c r="B19" s="228" t="s">
        <v>274</v>
      </c>
      <c r="C19" s="216" t="s">
        <v>269</v>
      </c>
      <c r="D19" s="217"/>
      <c r="E19" s="217"/>
      <c r="F19" s="217" t="s">
        <v>266</v>
      </c>
      <c r="G19" s="217">
        <v>5</v>
      </c>
      <c r="H19" s="217" t="s">
        <v>228</v>
      </c>
      <c r="I19" s="217">
        <v>20</v>
      </c>
      <c r="J19" s="217" t="s">
        <v>275</v>
      </c>
      <c r="K19" s="122">
        <v>29.590900000000001</v>
      </c>
      <c r="L19" s="122">
        <v>29.590900000000001</v>
      </c>
      <c r="M19" s="275"/>
      <c r="N19" s="275"/>
      <c r="P19" s="122">
        <v>275.3168</v>
      </c>
      <c r="Q19" s="122">
        <v>275.3168</v>
      </c>
      <c r="R19" s="122">
        <f t="shared" si="0"/>
        <v>304.90769999999998</v>
      </c>
      <c r="S19" s="122">
        <f t="shared" si="1"/>
        <v>304.90769999999998</v>
      </c>
      <c r="T19" s="175"/>
      <c r="U19" s="175"/>
    </row>
    <row r="20" spans="2:21">
      <c r="B20" s="228" t="s">
        <v>283</v>
      </c>
      <c r="C20" s="216" t="s">
        <v>277</v>
      </c>
      <c r="D20" s="217"/>
      <c r="E20" s="217"/>
      <c r="F20" s="217" t="s">
        <v>284</v>
      </c>
      <c r="G20" s="217">
        <v>5</v>
      </c>
      <c r="H20" s="217" t="s">
        <v>228</v>
      </c>
      <c r="I20" s="217">
        <v>20</v>
      </c>
      <c r="J20" s="217" t="s">
        <v>229</v>
      </c>
      <c r="K20" s="122">
        <v>29.839400000000001</v>
      </c>
      <c r="L20" s="122">
        <v>29.839400000000001</v>
      </c>
      <c r="M20" s="274">
        <f>ABS(K20-K21)</f>
        <v>2.400000000001512E-3</v>
      </c>
      <c r="N20" s="274">
        <f>ABS(L20-L21)</f>
        <v>2.400000000001512E-3</v>
      </c>
      <c r="P20" s="122">
        <v>275.41559999999998</v>
      </c>
      <c r="Q20" s="122">
        <v>275.41559999999998</v>
      </c>
      <c r="R20" s="122">
        <f t="shared" si="0"/>
        <v>305.255</v>
      </c>
      <c r="S20" s="122">
        <f t="shared" si="1"/>
        <v>305.255</v>
      </c>
      <c r="T20" s="174">
        <f>ABS(R20-R21)</f>
        <v>1.7400000000009186E-2</v>
      </c>
      <c r="U20" s="174">
        <f>ABS(S20-S21)</f>
        <v>1.7400000000009186E-2</v>
      </c>
    </row>
    <row r="21" spans="2:21">
      <c r="B21" s="228" t="s">
        <v>291</v>
      </c>
      <c r="C21" s="216" t="s">
        <v>286</v>
      </c>
      <c r="D21" s="217"/>
      <c r="E21" s="217"/>
      <c r="F21" s="217" t="s">
        <v>284</v>
      </c>
      <c r="G21" s="217">
        <v>5</v>
      </c>
      <c r="H21" s="217" t="s">
        <v>228</v>
      </c>
      <c r="I21" s="217">
        <v>20</v>
      </c>
      <c r="J21" s="217" t="s">
        <v>239</v>
      </c>
      <c r="K21" s="122">
        <v>29.837</v>
      </c>
      <c r="L21" s="122">
        <v>29.837</v>
      </c>
      <c r="M21" s="275"/>
      <c r="N21" s="275"/>
      <c r="P21" s="122">
        <v>275.4006</v>
      </c>
      <c r="Q21" s="122">
        <v>275.4006</v>
      </c>
      <c r="R21" s="122">
        <f t="shared" si="0"/>
        <v>305.23759999999999</v>
      </c>
      <c r="S21" s="122">
        <f t="shared" si="1"/>
        <v>305.23759999999999</v>
      </c>
      <c r="T21" s="175"/>
      <c r="U21" s="175"/>
    </row>
    <row r="22" spans="2:21">
      <c r="B22" s="228" t="s">
        <v>300</v>
      </c>
      <c r="C22" s="216" t="s">
        <v>293</v>
      </c>
      <c r="D22" s="217"/>
      <c r="E22" s="217"/>
      <c r="F22" s="217" t="s">
        <v>301</v>
      </c>
      <c r="G22" s="217">
        <v>5</v>
      </c>
      <c r="H22" s="217" t="s">
        <v>228</v>
      </c>
      <c r="I22" s="217">
        <v>20</v>
      </c>
      <c r="J22" s="217" t="s">
        <v>248</v>
      </c>
      <c r="K22" s="122">
        <v>29.933299999999999</v>
      </c>
      <c r="L22" s="122">
        <v>29.933299999999999</v>
      </c>
      <c r="M22" s="274">
        <f>ABS(K22-K23)</f>
        <v>3.2999999999994145E-3</v>
      </c>
      <c r="N22" s="274">
        <f>ABS(L22-L23)</f>
        <v>3.2999999999994145E-3</v>
      </c>
      <c r="P22" s="122">
        <v>275.21820000000002</v>
      </c>
      <c r="Q22" s="122">
        <v>275.21820000000002</v>
      </c>
      <c r="R22" s="122">
        <f t="shared" si="0"/>
        <v>305.1515</v>
      </c>
      <c r="S22" s="122">
        <f t="shared" si="1"/>
        <v>305.1515</v>
      </c>
      <c r="T22" s="174">
        <f>ABS(R22-R23)</f>
        <v>4.7100000000000364E-2</v>
      </c>
      <c r="U22" s="174">
        <f>ABS(S22-S23)</f>
        <v>4.7100000000000364E-2</v>
      </c>
    </row>
    <row r="23" spans="2:21">
      <c r="B23" s="228" t="s">
        <v>309</v>
      </c>
      <c r="C23" s="216" t="s">
        <v>303</v>
      </c>
      <c r="D23" s="217"/>
      <c r="E23" s="217"/>
      <c r="F23" s="217" t="s">
        <v>301</v>
      </c>
      <c r="G23" s="217">
        <v>5</v>
      </c>
      <c r="H23" s="217" t="s">
        <v>228</v>
      </c>
      <c r="I23" s="217">
        <v>20</v>
      </c>
      <c r="J23" s="217" t="s">
        <v>257</v>
      </c>
      <c r="K23" s="122">
        <v>29.936599999999999</v>
      </c>
      <c r="L23" s="122">
        <v>29.936599999999999</v>
      </c>
      <c r="M23" s="275"/>
      <c r="N23" s="275"/>
      <c r="P23" s="122">
        <v>275.1678</v>
      </c>
      <c r="Q23" s="122">
        <v>275.1678</v>
      </c>
      <c r="R23" s="122">
        <f t="shared" si="0"/>
        <v>305.1044</v>
      </c>
      <c r="S23" s="122">
        <f t="shared" si="1"/>
        <v>305.1044</v>
      </c>
      <c r="T23" s="175"/>
      <c r="U23" s="175"/>
    </row>
    <row r="24" spans="2:21">
      <c r="B24" s="228" t="s">
        <v>318</v>
      </c>
      <c r="C24" s="216" t="s">
        <v>311</v>
      </c>
      <c r="D24" s="217"/>
      <c r="E24" s="217"/>
      <c r="F24" s="217" t="s">
        <v>319</v>
      </c>
      <c r="G24" s="217">
        <v>5</v>
      </c>
      <c r="H24" s="217" t="s">
        <v>228</v>
      </c>
      <c r="I24" s="217">
        <v>20</v>
      </c>
      <c r="J24" s="217" t="s">
        <v>267</v>
      </c>
      <c r="K24" s="122">
        <v>29.6142</v>
      </c>
      <c r="L24" s="122">
        <v>29.6142</v>
      </c>
      <c r="M24" s="274">
        <f>ABS(K24-K25)</f>
        <v>2.8200000000001779E-2</v>
      </c>
      <c r="N24" s="274">
        <f>ABS(L24-L25)</f>
        <v>2.8200000000001779E-2</v>
      </c>
      <c r="P24" s="122">
        <v>275.21519999999998</v>
      </c>
      <c r="Q24" s="122">
        <v>275.21519999999998</v>
      </c>
      <c r="R24" s="122">
        <f t="shared" si="0"/>
        <v>304.82939999999996</v>
      </c>
      <c r="S24" s="122">
        <f t="shared" si="1"/>
        <v>304.82939999999996</v>
      </c>
      <c r="T24" s="174">
        <f>ABS(R24-R25)</f>
        <v>0.10009999999994079</v>
      </c>
      <c r="U24" s="174">
        <f>ABS(S24-S25)</f>
        <v>0.10009999999994079</v>
      </c>
    </row>
    <row r="25" spans="2:21">
      <c r="B25" s="228" t="s">
        <v>327</v>
      </c>
      <c r="C25" s="216" t="s">
        <v>321</v>
      </c>
      <c r="D25" s="217"/>
      <c r="E25" s="217"/>
      <c r="F25" s="217" t="s">
        <v>319</v>
      </c>
      <c r="G25" s="217">
        <v>5</v>
      </c>
      <c r="H25" s="217" t="s">
        <v>228</v>
      </c>
      <c r="I25" s="217">
        <v>20</v>
      </c>
      <c r="J25" s="217" t="s">
        <v>275</v>
      </c>
      <c r="K25" s="122">
        <v>29.585999999999999</v>
      </c>
      <c r="L25" s="122">
        <v>29.585999999999999</v>
      </c>
      <c r="M25" s="275"/>
      <c r="N25" s="275"/>
      <c r="P25" s="122">
        <v>275.14330000000001</v>
      </c>
      <c r="Q25" s="122">
        <v>275.14330000000001</v>
      </c>
      <c r="R25" s="122">
        <f t="shared" si="0"/>
        <v>304.72930000000002</v>
      </c>
      <c r="S25" s="122">
        <f t="shared" si="1"/>
        <v>304.72930000000002</v>
      </c>
      <c r="T25" s="176"/>
      <c r="U25" s="176"/>
    </row>
  </sheetData>
  <mergeCells count="12">
    <mergeCell ref="M20:M21"/>
    <mergeCell ref="N20:N21"/>
    <mergeCell ref="M22:M23"/>
    <mergeCell ref="N22:N23"/>
    <mergeCell ref="M24:M25"/>
    <mergeCell ref="N24:N25"/>
    <mergeCell ref="M14:M15"/>
    <mergeCell ref="N14:N15"/>
    <mergeCell ref="M16:M17"/>
    <mergeCell ref="N16:N17"/>
    <mergeCell ref="M18:M19"/>
    <mergeCell ref="N18:N19"/>
  </mergeCells>
  <phoneticPr fontId="3"/>
  <dataValidations disablePrompts="1" count="4">
    <dataValidation type="list" allowBlank="1" showInputMessage="1" showErrorMessage="1" sqref="G14:G25" xr:uid="{AF2C1A7D-415A-4783-B065-2886DCA5A08C}">
      <formula1>Match_</formula1>
    </dataValidation>
    <dataValidation type="list" allowBlank="1" showInputMessage="1" showErrorMessage="1" sqref="I14:I25" xr:uid="{6118FC8B-F8DE-478E-A618-EC5AB6F8B994}">
      <formula1>Loop_back</formula1>
    </dataValidation>
    <dataValidation type="whole" operator="greaterThan" allowBlank="1" showInputMessage="1" showErrorMessage="1" sqref="F14:F25 D14:D25 H14:H25" xr:uid="{A66E4E78-BD28-4929-BFBC-4D03733B004B}">
      <formula1>0</formula1>
    </dataValidation>
    <dataValidation type="list" allowBlank="1" showInputMessage="1" showErrorMessage="1" sqref="E14:E25" xr:uid="{9801E0D3-898B-429C-9796-83016DABC655}">
      <formula1>Diff_</formula1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B1:Y154"/>
  <sheetViews>
    <sheetView zoomScale="55" zoomScaleNormal="55" workbookViewId="0"/>
  </sheetViews>
  <sheetFormatPr defaultColWidth="9" defaultRowHeight="14.25"/>
  <cols>
    <col min="1" max="1" width="13" style="26" customWidth="1"/>
    <col min="2" max="2" width="27.42578125" style="26" bestFit="1" customWidth="1"/>
    <col min="3" max="3" width="13.42578125" style="26" bestFit="1" customWidth="1"/>
    <col min="4" max="8" width="9" style="26"/>
    <col min="9" max="9" width="10.42578125" style="26" bestFit="1" customWidth="1"/>
    <col min="10" max="10" width="9" style="26"/>
    <col min="11" max="17" width="11.5703125" style="26" customWidth="1"/>
    <col min="18" max="23" width="10.5703125" style="26" customWidth="1"/>
    <col min="24" max="24" width="12" style="26" customWidth="1"/>
    <col min="25" max="25" width="12.28515625" style="26" customWidth="1"/>
    <col min="26" max="16384" width="9" style="26"/>
  </cols>
  <sheetData>
    <row r="1" spans="2:25" ht="25.5">
      <c r="B1" s="8" t="str">
        <f>SITE1!B1</f>
        <v>ITTO-620-0190 Meteor Lake PCH X4</v>
      </c>
      <c r="K1" s="7">
        <v>44635</v>
      </c>
      <c r="O1" s="110"/>
      <c r="P1" s="110"/>
      <c r="W1" s="110"/>
      <c r="X1" s="110"/>
    </row>
    <row r="2" spans="2:25" ht="20.25">
      <c r="B2" s="125" t="s">
        <v>6299</v>
      </c>
    </row>
    <row r="3" spans="2:25" ht="20.25">
      <c r="B3" s="13"/>
    </row>
    <row r="4" spans="2:25" ht="20.25">
      <c r="B4" s="13"/>
      <c r="M4" s="26" t="s">
        <v>6300</v>
      </c>
      <c r="O4" s="26" t="s">
        <v>6288</v>
      </c>
      <c r="V4" s="111" t="s">
        <v>6289</v>
      </c>
      <c r="X4" s="26" t="s">
        <v>6290</v>
      </c>
    </row>
    <row r="5" spans="2:25" ht="20.25">
      <c r="B5" s="13"/>
      <c r="M5" s="5" t="s">
        <v>6291</v>
      </c>
      <c r="N5" s="27">
        <f>MAX(M14:N149)</f>
        <v>110.0189</v>
      </c>
      <c r="O5" s="5" t="s">
        <v>6291</v>
      </c>
      <c r="P5" s="27">
        <f>MAX(O14:P149)</f>
        <v>6.0900000000003729E-2</v>
      </c>
      <c r="V5" s="5" t="s">
        <v>6291</v>
      </c>
      <c r="W5" s="27">
        <f>MAX(V14:W154)</f>
        <v>312.3965</v>
      </c>
      <c r="X5" s="5" t="s">
        <v>6291</v>
      </c>
      <c r="Y5" s="27">
        <f>MAX(X14:Y149)</f>
        <v>6.729999999993197E-2</v>
      </c>
    </row>
    <row r="6" spans="2:25" ht="20.25">
      <c r="B6" s="13"/>
      <c r="M6" s="5" t="s">
        <v>6292</v>
      </c>
      <c r="N6" s="27">
        <f>MIN(M14:N129)</f>
        <v>108.8937</v>
      </c>
      <c r="V6" s="5" t="s">
        <v>6292</v>
      </c>
      <c r="W6" s="27">
        <f>MIN(V14:W154)</f>
        <v>310.40899999999999</v>
      </c>
    </row>
    <row r="7" spans="2:25" ht="20.25">
      <c r="B7" s="13"/>
      <c r="M7" s="5" t="s">
        <v>6293</v>
      </c>
      <c r="N7" s="27">
        <f>N5-N6</f>
        <v>1.1252000000000066</v>
      </c>
      <c r="V7" s="5" t="s">
        <v>6293</v>
      </c>
      <c r="W7" s="27">
        <f>W5-W6</f>
        <v>1.9875000000000114</v>
      </c>
    </row>
    <row r="8" spans="2:25">
      <c r="M8" s="26" t="s">
        <v>6294</v>
      </c>
      <c r="N8" s="113">
        <f>I14*2</f>
        <v>200</v>
      </c>
      <c r="O8" s="26" t="s">
        <v>6294</v>
      </c>
      <c r="P8" s="115">
        <v>5</v>
      </c>
      <c r="V8" s="26" t="s">
        <v>6294</v>
      </c>
      <c r="W8" s="113">
        <f>I14*2</f>
        <v>200</v>
      </c>
      <c r="X8" s="26" t="s">
        <v>6294</v>
      </c>
      <c r="Y8" s="115">
        <v>5</v>
      </c>
    </row>
    <row r="9" spans="2:25">
      <c r="N9" s="112">
        <f>N8*0.0254</f>
        <v>5.08</v>
      </c>
      <c r="P9" s="112">
        <f>P8*0.0254</f>
        <v>0.127</v>
      </c>
      <c r="W9" s="112">
        <f>W8*0.0254</f>
        <v>5.08</v>
      </c>
      <c r="Y9" s="112">
        <f>Y8*0.0254</f>
        <v>0.127</v>
      </c>
    </row>
    <row r="10" spans="2:25">
      <c r="N10" s="111" t="str">
        <f>IF(N7&gt;N9,"Wrong","OK")</f>
        <v>OK</v>
      </c>
      <c r="P10" s="111" t="str">
        <f>IF(P5&gt;P9,"Wrong","OK")</f>
        <v>OK</v>
      </c>
      <c r="W10" s="111" t="str">
        <f>IF(W7&gt;W9,"Wrong","OK")</f>
        <v>OK</v>
      </c>
      <c r="Y10" s="111" t="str">
        <f>IF(Y5&gt;Y9,"Wrong","OK")</f>
        <v>OK</v>
      </c>
    </row>
    <row r="11" spans="2:25">
      <c r="N11" s="111"/>
      <c r="O11" s="111"/>
      <c r="S11" s="111"/>
      <c r="U11" s="111"/>
      <c r="V11" s="114"/>
      <c r="Y11" s="112"/>
    </row>
    <row r="12" spans="2:25">
      <c r="K12" s="116" t="s">
        <v>6301</v>
      </c>
      <c r="L12" s="117"/>
      <c r="M12" s="116" t="s">
        <v>6302</v>
      </c>
      <c r="N12" s="117"/>
      <c r="O12" s="116" t="s">
        <v>6296</v>
      </c>
      <c r="P12" s="121"/>
      <c r="R12" s="116" t="s">
        <v>6303</v>
      </c>
      <c r="S12" s="117"/>
      <c r="T12" s="116" t="s">
        <v>6304</v>
      </c>
      <c r="U12" s="117"/>
      <c r="V12" s="116" t="s">
        <v>6298</v>
      </c>
      <c r="W12" s="117"/>
      <c r="X12" s="116" t="s">
        <v>6296</v>
      </c>
      <c r="Y12" s="121"/>
    </row>
    <row r="13" spans="2:25" ht="90">
      <c r="B13" s="91" t="s">
        <v>19</v>
      </c>
      <c r="C13" s="91" t="s">
        <v>20</v>
      </c>
      <c r="D13" s="99" t="s">
        <v>29</v>
      </c>
      <c r="E13" s="100" t="s">
        <v>30</v>
      </c>
      <c r="F13" s="93" t="s">
        <v>31</v>
      </c>
      <c r="G13" s="93" t="s">
        <v>32</v>
      </c>
      <c r="H13" s="102" t="s">
        <v>34</v>
      </c>
      <c r="I13" s="103" t="s">
        <v>35</v>
      </c>
      <c r="J13" s="97" t="s">
        <v>37</v>
      </c>
      <c r="K13" s="118" t="s">
        <v>10</v>
      </c>
      <c r="L13" s="118" t="s">
        <v>4127</v>
      </c>
      <c r="M13" s="118" t="s">
        <v>10</v>
      </c>
      <c r="N13" s="118" t="s">
        <v>4127</v>
      </c>
      <c r="O13" s="119" t="s">
        <v>10</v>
      </c>
      <c r="P13" s="119" t="s">
        <v>4127</v>
      </c>
      <c r="R13" s="118" t="s">
        <v>10</v>
      </c>
      <c r="S13" s="118" t="s">
        <v>4127</v>
      </c>
      <c r="T13" s="118" t="s">
        <v>10</v>
      </c>
      <c r="U13" s="118" t="s">
        <v>4127</v>
      </c>
      <c r="V13" s="118" t="s">
        <v>10</v>
      </c>
      <c r="W13" s="118" t="s">
        <v>4127</v>
      </c>
      <c r="X13" s="120" t="s">
        <v>10</v>
      </c>
      <c r="Y13" s="120" t="s">
        <v>4127</v>
      </c>
    </row>
    <row r="14" spans="2:25">
      <c r="B14" s="229" t="s">
        <v>1915</v>
      </c>
      <c r="C14" s="216" t="s">
        <v>1908</v>
      </c>
      <c r="D14" s="217"/>
      <c r="E14" s="217"/>
      <c r="F14" s="217" t="s">
        <v>1895</v>
      </c>
      <c r="G14" s="217">
        <v>5</v>
      </c>
      <c r="H14" s="217" t="s">
        <v>432</v>
      </c>
      <c r="I14" s="217">
        <v>100</v>
      </c>
      <c r="J14" s="217" t="s">
        <v>1896</v>
      </c>
      <c r="K14" s="122">
        <v>54.676900000000003</v>
      </c>
      <c r="L14" s="122">
        <v>54.676900000000003</v>
      </c>
      <c r="M14" s="276">
        <f>SUM(K14:K15)</f>
        <v>110.01140000000001</v>
      </c>
      <c r="N14" s="278">
        <f>SUM(L14:L15)</f>
        <v>110.01140000000001</v>
      </c>
      <c r="O14" s="174">
        <f>ABS(M14-M16)</f>
        <v>7.4999999999931788E-3</v>
      </c>
      <c r="P14" s="174">
        <f>ABS(N14-N16)</f>
        <v>7.4999999999931788E-3</v>
      </c>
      <c r="R14" s="122">
        <v>52.641200000000005</v>
      </c>
      <c r="S14" s="122">
        <v>52.641200000000005</v>
      </c>
      <c r="T14" s="122">
        <v>258.03829999999999</v>
      </c>
      <c r="U14" s="122">
        <v>258.03829999999999</v>
      </c>
      <c r="V14" s="122">
        <f>SUM(R14,T14)</f>
        <v>310.67950000000002</v>
      </c>
      <c r="W14" s="122">
        <f>SUM(S14,U14)</f>
        <v>310.67950000000002</v>
      </c>
      <c r="X14" s="174">
        <f>ABS(V14-V16)</f>
        <v>1.140000000003738E-2</v>
      </c>
      <c r="Y14" s="174">
        <f>ABS(W14-W16)</f>
        <v>1.140000000003738E-2</v>
      </c>
    </row>
    <row r="15" spans="2:25">
      <c r="B15" s="229" t="s">
        <v>1894</v>
      </c>
      <c r="C15" s="216" t="s">
        <v>1887</v>
      </c>
      <c r="D15" s="217"/>
      <c r="E15" s="217"/>
      <c r="F15" s="217" t="s">
        <v>1895</v>
      </c>
      <c r="G15" s="217">
        <v>5</v>
      </c>
      <c r="H15" s="217" t="s">
        <v>432</v>
      </c>
      <c r="I15" s="217">
        <v>100</v>
      </c>
      <c r="J15" s="217" t="s">
        <v>1896</v>
      </c>
      <c r="K15" s="122">
        <v>55.334499999999998</v>
      </c>
      <c r="L15" s="122">
        <v>55.334499999999998</v>
      </c>
      <c r="M15" s="277"/>
      <c r="N15" s="278"/>
      <c r="O15" s="175"/>
      <c r="P15" s="175"/>
      <c r="R15" s="122">
        <v>53.2988</v>
      </c>
      <c r="S15" s="122">
        <v>53.2988</v>
      </c>
      <c r="T15" s="122">
        <v>258.04790000000003</v>
      </c>
      <c r="U15" s="122">
        <v>258.04790000000003</v>
      </c>
      <c r="V15" s="122">
        <f t="shared" ref="V15:V78" si="0">SUM(R15,T15)</f>
        <v>311.34670000000006</v>
      </c>
      <c r="W15" s="122">
        <f t="shared" ref="W15:W78" si="1">SUM(S15,U15)</f>
        <v>311.34670000000006</v>
      </c>
      <c r="X15" s="174">
        <f>ABS(V15-V17)</f>
        <v>5.9000000000537511E-3</v>
      </c>
      <c r="Y15" s="174">
        <f>ABS(W15-W17)</f>
        <v>5.9000000000537511E-3</v>
      </c>
    </row>
    <row r="16" spans="2:25">
      <c r="B16" s="229" t="s">
        <v>1923</v>
      </c>
      <c r="C16" s="216" t="s">
        <v>1917</v>
      </c>
      <c r="D16" s="217"/>
      <c r="E16" s="217"/>
      <c r="F16" s="217" t="s">
        <v>1895</v>
      </c>
      <c r="G16" s="217">
        <v>5</v>
      </c>
      <c r="H16" s="217" t="s">
        <v>432</v>
      </c>
      <c r="I16" s="217">
        <v>100</v>
      </c>
      <c r="J16" s="217" t="s">
        <v>1906</v>
      </c>
      <c r="K16" s="122">
        <v>54.688600000000001</v>
      </c>
      <c r="L16" s="122">
        <v>54.688600000000001</v>
      </c>
      <c r="M16" s="276">
        <f>SUM(K16:K17)</f>
        <v>110.0189</v>
      </c>
      <c r="N16" s="278">
        <f>SUM(L16:L17)</f>
        <v>110.0189</v>
      </c>
      <c r="O16" s="175"/>
      <c r="P16" s="175"/>
      <c r="R16" s="122">
        <v>52.652900000000002</v>
      </c>
      <c r="S16" s="122">
        <v>52.652900000000002</v>
      </c>
      <c r="T16" s="122">
        <v>258.01519999999999</v>
      </c>
      <c r="U16" s="122">
        <v>258.01519999999999</v>
      </c>
      <c r="V16" s="122">
        <f t="shared" si="0"/>
        <v>310.66809999999998</v>
      </c>
      <c r="W16" s="122">
        <f t="shared" si="1"/>
        <v>310.66809999999998</v>
      </c>
      <c r="X16" s="174"/>
      <c r="Y16" s="174"/>
    </row>
    <row r="17" spans="2:25">
      <c r="B17" s="229" t="s">
        <v>1905</v>
      </c>
      <c r="C17" s="216" t="s">
        <v>1899</v>
      </c>
      <c r="D17" s="217"/>
      <c r="E17" s="217"/>
      <c r="F17" s="217" t="s">
        <v>1895</v>
      </c>
      <c r="G17" s="217">
        <v>5</v>
      </c>
      <c r="H17" s="217" t="s">
        <v>432</v>
      </c>
      <c r="I17" s="217">
        <v>100</v>
      </c>
      <c r="J17" s="217" t="s">
        <v>1906</v>
      </c>
      <c r="K17" s="122">
        <v>55.330300000000001</v>
      </c>
      <c r="L17" s="122">
        <v>55.330300000000001</v>
      </c>
      <c r="M17" s="277"/>
      <c r="N17" s="278"/>
      <c r="O17" s="176"/>
      <c r="P17" s="176"/>
      <c r="R17" s="122">
        <v>53.294600000000003</v>
      </c>
      <c r="S17" s="122">
        <v>53.294600000000003</v>
      </c>
      <c r="T17" s="122">
        <v>258.0462</v>
      </c>
      <c r="U17" s="122">
        <v>258.0462</v>
      </c>
      <c r="V17" s="122">
        <f t="shared" si="0"/>
        <v>311.3408</v>
      </c>
      <c r="W17" s="122">
        <f t="shared" si="1"/>
        <v>311.3408</v>
      </c>
      <c r="X17" s="175"/>
      <c r="Y17" s="175"/>
    </row>
    <row r="18" spans="2:25">
      <c r="B18" s="229" t="s">
        <v>2307</v>
      </c>
      <c r="C18" s="216" t="s">
        <v>2300</v>
      </c>
      <c r="D18" s="217"/>
      <c r="E18" s="217"/>
      <c r="F18" s="217" t="s">
        <v>2288</v>
      </c>
      <c r="G18" s="217">
        <v>5</v>
      </c>
      <c r="H18" s="217" t="s">
        <v>432</v>
      </c>
      <c r="I18" s="217">
        <v>100</v>
      </c>
      <c r="J18" s="217" t="s">
        <v>2289</v>
      </c>
      <c r="K18" s="122">
        <v>54.4726</v>
      </c>
      <c r="L18" s="122">
        <v>54.4726</v>
      </c>
      <c r="M18" s="276">
        <f>SUM(K18:K19)</f>
        <v>108.8937</v>
      </c>
      <c r="N18" s="278">
        <f>SUM(L18:L19)</f>
        <v>108.8937</v>
      </c>
      <c r="O18" s="174">
        <f>ABS(M18-M20)</f>
        <v>1.3400000000004297E-2</v>
      </c>
      <c r="P18" s="174">
        <f>ABS(N18-N20)</f>
        <v>1.3400000000004297E-2</v>
      </c>
      <c r="R18" s="122">
        <v>52.436900000000001</v>
      </c>
      <c r="S18" s="122">
        <v>52.436900000000001</v>
      </c>
      <c r="T18" s="122">
        <v>258.03280000000001</v>
      </c>
      <c r="U18" s="122">
        <v>258.03280000000001</v>
      </c>
      <c r="V18" s="122">
        <f t="shared" si="0"/>
        <v>310.46969999999999</v>
      </c>
      <c r="W18" s="122">
        <f t="shared" si="1"/>
        <v>310.46969999999999</v>
      </c>
      <c r="X18" s="174">
        <f t="shared" ref="X18:Y18" si="2">ABS(V18-V20)</f>
        <v>4.6999999999570719E-3</v>
      </c>
      <c r="Y18" s="174">
        <f t="shared" si="2"/>
        <v>4.6999999999570719E-3</v>
      </c>
    </row>
    <row r="19" spans="2:25">
      <c r="B19" s="229" t="s">
        <v>2287</v>
      </c>
      <c r="C19" s="216" t="s">
        <v>2281</v>
      </c>
      <c r="D19" s="217"/>
      <c r="E19" s="217"/>
      <c r="F19" s="217" t="s">
        <v>2288</v>
      </c>
      <c r="G19" s="217">
        <v>5</v>
      </c>
      <c r="H19" s="217" t="s">
        <v>432</v>
      </c>
      <c r="I19" s="217">
        <v>100</v>
      </c>
      <c r="J19" s="217" t="s">
        <v>2289</v>
      </c>
      <c r="K19" s="122">
        <v>54.421100000000003</v>
      </c>
      <c r="L19" s="122">
        <v>54.421100000000003</v>
      </c>
      <c r="M19" s="277"/>
      <c r="N19" s="278"/>
      <c r="O19" s="175"/>
      <c r="P19" s="175"/>
      <c r="R19" s="122">
        <v>52.385400000000004</v>
      </c>
      <c r="S19" s="122">
        <v>52.385400000000004</v>
      </c>
      <c r="T19" s="122">
        <v>258.02359999999999</v>
      </c>
      <c r="U19" s="122">
        <v>258.02359999999999</v>
      </c>
      <c r="V19" s="122">
        <f t="shared" si="0"/>
        <v>310.40899999999999</v>
      </c>
      <c r="W19" s="122">
        <f t="shared" si="1"/>
        <v>310.40899999999999</v>
      </c>
      <c r="X19" s="174">
        <f t="shared" ref="X19:Y19" si="3">ABS(V19-V21)</f>
        <v>1.870000000002392E-2</v>
      </c>
      <c r="Y19" s="174">
        <f t="shared" si="3"/>
        <v>1.870000000002392E-2</v>
      </c>
    </row>
    <row r="20" spans="2:25">
      <c r="B20" s="229" t="s">
        <v>2315</v>
      </c>
      <c r="C20" s="216" t="s">
        <v>2309</v>
      </c>
      <c r="D20" s="217"/>
      <c r="E20" s="217"/>
      <c r="F20" s="217" t="s">
        <v>2288</v>
      </c>
      <c r="G20" s="217">
        <v>5</v>
      </c>
      <c r="H20" s="217" t="s">
        <v>432</v>
      </c>
      <c r="I20" s="217">
        <v>100</v>
      </c>
      <c r="J20" s="217" t="s">
        <v>2298</v>
      </c>
      <c r="K20" s="122">
        <v>54.468600000000002</v>
      </c>
      <c r="L20" s="122">
        <v>54.468600000000002</v>
      </c>
      <c r="M20" s="276">
        <f>SUM(K20:K21)</f>
        <v>108.9071</v>
      </c>
      <c r="N20" s="278">
        <f>SUM(L20:L21)</f>
        <v>108.9071</v>
      </c>
      <c r="O20" s="175"/>
      <c r="P20" s="175"/>
      <c r="R20" s="122">
        <v>52.432900000000004</v>
      </c>
      <c r="S20" s="122">
        <v>52.432900000000004</v>
      </c>
      <c r="T20" s="122">
        <v>258.03210000000001</v>
      </c>
      <c r="U20" s="122">
        <v>258.03210000000001</v>
      </c>
      <c r="V20" s="122">
        <f t="shared" si="0"/>
        <v>310.46500000000003</v>
      </c>
      <c r="W20" s="122">
        <f t="shared" si="1"/>
        <v>310.46500000000003</v>
      </c>
      <c r="X20" s="174"/>
      <c r="Y20" s="174"/>
    </row>
    <row r="21" spans="2:25">
      <c r="B21" s="229" t="s">
        <v>2297</v>
      </c>
      <c r="C21" s="216" t="s">
        <v>2291</v>
      </c>
      <c r="D21" s="217"/>
      <c r="E21" s="217"/>
      <c r="F21" s="217" t="s">
        <v>2288</v>
      </c>
      <c r="G21" s="217">
        <v>5</v>
      </c>
      <c r="H21" s="217" t="s">
        <v>432</v>
      </c>
      <c r="I21" s="217">
        <v>100</v>
      </c>
      <c r="J21" s="217" t="s">
        <v>2298</v>
      </c>
      <c r="K21" s="122">
        <v>54.438499999999998</v>
      </c>
      <c r="L21" s="122">
        <v>54.438499999999998</v>
      </c>
      <c r="M21" s="277"/>
      <c r="N21" s="278"/>
      <c r="O21" s="176"/>
      <c r="P21" s="176"/>
      <c r="R21" s="122">
        <v>52.402799999999999</v>
      </c>
      <c r="S21" s="122">
        <v>52.402799999999999</v>
      </c>
      <c r="T21" s="122">
        <v>258.0249</v>
      </c>
      <c r="U21" s="122">
        <v>258.0249</v>
      </c>
      <c r="V21" s="122">
        <f t="shared" si="0"/>
        <v>310.42770000000002</v>
      </c>
      <c r="W21" s="122">
        <f t="shared" si="1"/>
        <v>310.42770000000002</v>
      </c>
      <c r="X21" s="175"/>
      <c r="Y21" s="175"/>
    </row>
    <row r="22" spans="2:25">
      <c r="B22" s="229" t="s">
        <v>2658</v>
      </c>
      <c r="C22" s="216" t="s">
        <v>2652</v>
      </c>
      <c r="D22" s="217"/>
      <c r="E22" s="217"/>
      <c r="F22" s="217" t="s">
        <v>2640</v>
      </c>
      <c r="G22" s="217">
        <v>5</v>
      </c>
      <c r="H22" s="217" t="s">
        <v>432</v>
      </c>
      <c r="I22" s="217">
        <v>100</v>
      </c>
      <c r="J22" s="217" t="s">
        <v>2641</v>
      </c>
      <c r="K22" s="122">
        <v>54.514499999999998</v>
      </c>
      <c r="L22" s="122">
        <v>54.514499999999998</v>
      </c>
      <c r="M22" s="276">
        <f>SUM(K22:K23)</f>
        <v>109.4025</v>
      </c>
      <c r="N22" s="278">
        <f>SUM(L22:L23)</f>
        <v>109.4025</v>
      </c>
      <c r="O22" s="174">
        <f>ABS(M22-M24)</f>
        <v>3.8000000000010914E-2</v>
      </c>
      <c r="P22" s="174">
        <f>ABS(N22-N24)</f>
        <v>3.8000000000010914E-2</v>
      </c>
      <c r="R22" s="122">
        <v>52.4788</v>
      </c>
      <c r="S22" s="122">
        <v>52.4788</v>
      </c>
      <c r="T22" s="122">
        <v>258.08109999999999</v>
      </c>
      <c r="U22" s="122">
        <v>258.08109999999999</v>
      </c>
      <c r="V22" s="122">
        <f t="shared" si="0"/>
        <v>310.55989999999997</v>
      </c>
      <c r="W22" s="122">
        <f t="shared" si="1"/>
        <v>310.55989999999997</v>
      </c>
      <c r="X22" s="174">
        <f t="shared" ref="X22:Y22" si="4">ABS(V22-V24)</f>
        <v>6.729999999993197E-2</v>
      </c>
      <c r="Y22" s="174">
        <f t="shared" si="4"/>
        <v>6.729999999993197E-2</v>
      </c>
    </row>
    <row r="23" spans="2:25">
      <c r="B23" s="229" t="s">
        <v>2639</v>
      </c>
      <c r="C23" s="216" t="s">
        <v>2633</v>
      </c>
      <c r="D23" s="217"/>
      <c r="E23" s="217"/>
      <c r="F23" s="217" t="s">
        <v>2640</v>
      </c>
      <c r="G23" s="217">
        <v>5</v>
      </c>
      <c r="H23" s="217" t="s">
        <v>432</v>
      </c>
      <c r="I23" s="217">
        <v>100</v>
      </c>
      <c r="J23" s="217" t="s">
        <v>2641</v>
      </c>
      <c r="K23" s="122">
        <v>54.887999999999998</v>
      </c>
      <c r="L23" s="122">
        <v>54.887999999999998</v>
      </c>
      <c r="M23" s="277"/>
      <c r="N23" s="278"/>
      <c r="O23" s="175"/>
      <c r="P23" s="175"/>
      <c r="R23" s="122">
        <v>52.8523</v>
      </c>
      <c r="S23" s="122">
        <v>52.8523</v>
      </c>
      <c r="T23" s="122">
        <v>258.05180000000001</v>
      </c>
      <c r="U23" s="122">
        <v>258.05180000000001</v>
      </c>
      <c r="V23" s="122">
        <f t="shared" si="0"/>
        <v>310.90410000000003</v>
      </c>
      <c r="W23" s="122">
        <f t="shared" si="1"/>
        <v>310.90410000000003</v>
      </c>
      <c r="X23" s="174">
        <f t="shared" ref="X23:Y23" si="5">ABS(V23-V25)</f>
        <v>1.7699999999990723E-2</v>
      </c>
      <c r="Y23" s="174">
        <f t="shared" si="5"/>
        <v>1.7699999999990723E-2</v>
      </c>
    </row>
    <row r="24" spans="2:25">
      <c r="B24" s="229" t="s">
        <v>2666</v>
      </c>
      <c r="C24" s="216" t="s">
        <v>2660</v>
      </c>
      <c r="D24" s="217"/>
      <c r="E24" s="217"/>
      <c r="F24" s="217" t="s">
        <v>2640</v>
      </c>
      <c r="G24" s="217">
        <v>5</v>
      </c>
      <c r="H24" s="217" t="s">
        <v>432</v>
      </c>
      <c r="I24" s="217">
        <v>100</v>
      </c>
      <c r="J24" s="217" t="s">
        <v>2650</v>
      </c>
      <c r="K24" s="122">
        <v>54.493499999999997</v>
      </c>
      <c r="L24" s="122">
        <v>54.493499999999997</v>
      </c>
      <c r="M24" s="276">
        <f>SUM(K24:K25)</f>
        <v>109.36449999999999</v>
      </c>
      <c r="N24" s="278">
        <f>SUM(L24:L25)</f>
        <v>109.36449999999999</v>
      </c>
      <c r="O24" s="175"/>
      <c r="P24" s="175"/>
      <c r="R24" s="122">
        <v>52.457799999999999</v>
      </c>
      <c r="S24" s="122">
        <v>52.457799999999999</v>
      </c>
      <c r="T24" s="122">
        <v>258.03480000000002</v>
      </c>
      <c r="U24" s="122">
        <v>258.03480000000002</v>
      </c>
      <c r="V24" s="122">
        <f t="shared" si="0"/>
        <v>310.49260000000004</v>
      </c>
      <c r="W24" s="122">
        <f t="shared" si="1"/>
        <v>310.49260000000004</v>
      </c>
      <c r="X24" s="174"/>
      <c r="Y24" s="174"/>
    </row>
    <row r="25" spans="2:25">
      <c r="B25" s="229" t="s">
        <v>2649</v>
      </c>
      <c r="C25" s="216" t="s">
        <v>2643</v>
      </c>
      <c r="D25" s="217"/>
      <c r="E25" s="217"/>
      <c r="F25" s="217" t="s">
        <v>2640</v>
      </c>
      <c r="G25" s="217">
        <v>5</v>
      </c>
      <c r="H25" s="217" t="s">
        <v>432</v>
      </c>
      <c r="I25" s="217">
        <v>100</v>
      </c>
      <c r="J25" s="217" t="s">
        <v>2650</v>
      </c>
      <c r="K25" s="122">
        <v>54.871000000000002</v>
      </c>
      <c r="L25" s="122">
        <v>54.871000000000002</v>
      </c>
      <c r="M25" s="277"/>
      <c r="N25" s="278"/>
      <c r="O25" s="176"/>
      <c r="P25" s="176"/>
      <c r="R25" s="122">
        <v>52.835300000000004</v>
      </c>
      <c r="S25" s="122">
        <v>52.835300000000004</v>
      </c>
      <c r="T25" s="122">
        <v>258.05110000000002</v>
      </c>
      <c r="U25" s="122">
        <v>258.05110000000002</v>
      </c>
      <c r="V25" s="122">
        <f t="shared" si="0"/>
        <v>310.88640000000004</v>
      </c>
      <c r="W25" s="122">
        <f t="shared" si="1"/>
        <v>310.88640000000004</v>
      </c>
      <c r="X25" s="175"/>
      <c r="Y25" s="175"/>
    </row>
    <row r="26" spans="2:25">
      <c r="B26" s="229" t="s">
        <v>2693</v>
      </c>
      <c r="C26" s="216" t="s">
        <v>2687</v>
      </c>
      <c r="D26" s="217"/>
      <c r="E26" s="217"/>
      <c r="F26" s="217" t="s">
        <v>2675</v>
      </c>
      <c r="G26" s="217">
        <v>5</v>
      </c>
      <c r="H26" s="217" t="s">
        <v>432</v>
      </c>
      <c r="I26" s="217">
        <v>100</v>
      </c>
      <c r="J26" s="217" t="s">
        <v>2676</v>
      </c>
      <c r="K26" s="122">
        <v>54.4664</v>
      </c>
      <c r="L26" s="122">
        <v>54.4664</v>
      </c>
      <c r="M26" s="276">
        <f>SUM(K26:K27)</f>
        <v>109.08320000000001</v>
      </c>
      <c r="N26" s="278">
        <f>SUM(L26:L27)</f>
        <v>109.08320000000001</v>
      </c>
      <c r="O26" s="174">
        <f>ABS(M26-M28)</f>
        <v>3.2000000000010687E-2</v>
      </c>
      <c r="P26" s="174">
        <f>ABS(N26-N28)</f>
        <v>3.2000000000010687E-2</v>
      </c>
      <c r="R26" s="122">
        <v>52.430700000000002</v>
      </c>
      <c r="S26" s="122">
        <v>52.430700000000002</v>
      </c>
      <c r="T26" s="122">
        <v>258.03289999999998</v>
      </c>
      <c r="U26" s="122">
        <v>258.03289999999998</v>
      </c>
      <c r="V26" s="122">
        <f t="shared" si="0"/>
        <v>310.46359999999999</v>
      </c>
      <c r="W26" s="122">
        <f t="shared" si="1"/>
        <v>310.46359999999999</v>
      </c>
      <c r="X26" s="174">
        <f t="shared" ref="X26:Y26" si="6">ABS(V26-V28)</f>
        <v>2.2399999999947795E-2</v>
      </c>
      <c r="Y26" s="174">
        <f t="shared" si="6"/>
        <v>2.2399999999947795E-2</v>
      </c>
    </row>
    <row r="27" spans="2:25">
      <c r="B27" s="229" t="s">
        <v>2674</v>
      </c>
      <c r="C27" s="216" t="s">
        <v>2668</v>
      </c>
      <c r="D27" s="217"/>
      <c r="E27" s="217"/>
      <c r="F27" s="217" t="s">
        <v>2675</v>
      </c>
      <c r="G27" s="217">
        <v>5</v>
      </c>
      <c r="H27" s="217" t="s">
        <v>432</v>
      </c>
      <c r="I27" s="217">
        <v>100</v>
      </c>
      <c r="J27" s="217" t="s">
        <v>2676</v>
      </c>
      <c r="K27" s="122">
        <v>54.616799999999998</v>
      </c>
      <c r="L27" s="122">
        <v>54.616799999999998</v>
      </c>
      <c r="M27" s="277"/>
      <c r="N27" s="278"/>
      <c r="O27" s="175"/>
      <c r="P27" s="175"/>
      <c r="R27" s="122">
        <v>52.581099999999999</v>
      </c>
      <c r="S27" s="122">
        <v>52.581099999999999</v>
      </c>
      <c r="T27" s="122">
        <v>258.01710000000003</v>
      </c>
      <c r="U27" s="122">
        <v>258.01710000000003</v>
      </c>
      <c r="V27" s="122">
        <f t="shared" si="0"/>
        <v>310.59820000000002</v>
      </c>
      <c r="W27" s="122">
        <f t="shared" si="1"/>
        <v>310.59820000000002</v>
      </c>
      <c r="X27" s="174">
        <f t="shared" ref="X27:Y27" si="7">ABS(V27-V29)</f>
        <v>1.4200000000016644E-2</v>
      </c>
      <c r="Y27" s="174">
        <f t="shared" si="7"/>
        <v>1.4200000000016644E-2</v>
      </c>
    </row>
    <row r="28" spans="2:25">
      <c r="B28" s="229" t="s">
        <v>2701</v>
      </c>
      <c r="C28" s="216" t="s">
        <v>2695</v>
      </c>
      <c r="D28" s="217"/>
      <c r="E28" s="217"/>
      <c r="F28" s="217" t="s">
        <v>2675</v>
      </c>
      <c r="G28" s="217">
        <v>5</v>
      </c>
      <c r="H28" s="217" t="s">
        <v>432</v>
      </c>
      <c r="I28" s="217">
        <v>100</v>
      </c>
      <c r="J28" s="217" t="s">
        <v>2685</v>
      </c>
      <c r="K28" s="122">
        <v>54.439599999999999</v>
      </c>
      <c r="L28" s="122">
        <v>54.439599999999999</v>
      </c>
      <c r="M28" s="276">
        <f>SUM(K28:K29)</f>
        <v>109.05119999999999</v>
      </c>
      <c r="N28" s="278">
        <f>SUM(L28:L29)</f>
        <v>109.05119999999999</v>
      </c>
      <c r="O28" s="175"/>
      <c r="P28" s="175"/>
      <c r="R28" s="122">
        <v>52.4039</v>
      </c>
      <c r="S28" s="122">
        <v>52.4039</v>
      </c>
      <c r="T28" s="122">
        <v>258.03730000000002</v>
      </c>
      <c r="U28" s="122">
        <v>258.03730000000002</v>
      </c>
      <c r="V28" s="122">
        <f t="shared" si="0"/>
        <v>310.44120000000004</v>
      </c>
      <c r="W28" s="122">
        <f t="shared" si="1"/>
        <v>310.44120000000004</v>
      </c>
      <c r="X28" s="174"/>
      <c r="Y28" s="174"/>
    </row>
    <row r="29" spans="2:25">
      <c r="B29" s="229" t="s">
        <v>2684</v>
      </c>
      <c r="C29" s="216" t="s">
        <v>2678</v>
      </c>
      <c r="D29" s="217"/>
      <c r="E29" s="217"/>
      <c r="F29" s="217" t="s">
        <v>2675</v>
      </c>
      <c r="G29" s="217">
        <v>5</v>
      </c>
      <c r="H29" s="217" t="s">
        <v>432</v>
      </c>
      <c r="I29" s="217">
        <v>100</v>
      </c>
      <c r="J29" s="217" t="s">
        <v>2685</v>
      </c>
      <c r="K29" s="122">
        <v>54.611600000000003</v>
      </c>
      <c r="L29" s="122">
        <v>54.611600000000003</v>
      </c>
      <c r="M29" s="277"/>
      <c r="N29" s="278"/>
      <c r="O29" s="176"/>
      <c r="P29" s="176"/>
      <c r="R29" s="122">
        <v>52.575900000000004</v>
      </c>
      <c r="S29" s="122">
        <v>52.575900000000004</v>
      </c>
      <c r="T29" s="122">
        <v>258.00810000000001</v>
      </c>
      <c r="U29" s="122">
        <v>258.00810000000001</v>
      </c>
      <c r="V29" s="122">
        <f t="shared" si="0"/>
        <v>310.584</v>
      </c>
      <c r="W29" s="122">
        <f t="shared" si="1"/>
        <v>310.584</v>
      </c>
      <c r="X29" s="175"/>
      <c r="Y29" s="175"/>
    </row>
    <row r="30" spans="2:25">
      <c r="B30" s="229" t="s">
        <v>2728</v>
      </c>
      <c r="C30" s="216" t="s">
        <v>2722</v>
      </c>
      <c r="D30" s="217"/>
      <c r="E30" s="217"/>
      <c r="F30" s="217" t="s">
        <v>2710</v>
      </c>
      <c r="G30" s="217">
        <v>5</v>
      </c>
      <c r="H30" s="217" t="s">
        <v>432</v>
      </c>
      <c r="I30" s="217">
        <v>100</v>
      </c>
      <c r="J30" s="217" t="s">
        <v>2711</v>
      </c>
      <c r="K30" s="122">
        <v>54.8339</v>
      </c>
      <c r="L30" s="122">
        <v>54.8339</v>
      </c>
      <c r="M30" s="276">
        <f>SUM(K30:K31)</f>
        <v>109.602</v>
      </c>
      <c r="N30" s="278">
        <f>SUM(L30:L31)</f>
        <v>109.602</v>
      </c>
      <c r="O30" s="174">
        <f>ABS(M30-M32)</f>
        <v>1.0600000000010823E-2</v>
      </c>
      <c r="P30" s="174">
        <f>ABS(N30-N32)</f>
        <v>1.0600000000010823E-2</v>
      </c>
      <c r="R30" s="122">
        <v>52.798200000000001</v>
      </c>
      <c r="S30" s="122">
        <v>52.798200000000001</v>
      </c>
      <c r="T30" s="122">
        <v>258.05160000000001</v>
      </c>
      <c r="U30" s="122">
        <v>258.05160000000001</v>
      </c>
      <c r="V30" s="122">
        <f t="shared" si="0"/>
        <v>310.84980000000002</v>
      </c>
      <c r="W30" s="122">
        <f t="shared" si="1"/>
        <v>310.84980000000002</v>
      </c>
      <c r="X30" s="174">
        <f t="shared" ref="X30:Y30" si="8">ABS(V30-V32)</f>
        <v>1.490000000001146E-2</v>
      </c>
      <c r="Y30" s="174">
        <f t="shared" si="8"/>
        <v>1.490000000001146E-2</v>
      </c>
    </row>
    <row r="31" spans="2:25">
      <c r="B31" s="229" t="s">
        <v>2709</v>
      </c>
      <c r="C31" s="216" t="s">
        <v>2703</v>
      </c>
      <c r="D31" s="217"/>
      <c r="E31" s="217"/>
      <c r="F31" s="217" t="s">
        <v>2710</v>
      </c>
      <c r="G31" s="217">
        <v>5</v>
      </c>
      <c r="H31" s="217" t="s">
        <v>432</v>
      </c>
      <c r="I31" s="217">
        <v>100</v>
      </c>
      <c r="J31" s="217" t="s">
        <v>2711</v>
      </c>
      <c r="K31" s="122">
        <v>54.768099999999997</v>
      </c>
      <c r="L31" s="122">
        <v>54.768099999999997</v>
      </c>
      <c r="M31" s="277"/>
      <c r="N31" s="278"/>
      <c r="O31" s="175"/>
      <c r="P31" s="175"/>
      <c r="R31" s="122">
        <v>52.732399999999998</v>
      </c>
      <c r="S31" s="122">
        <v>52.732399999999998</v>
      </c>
      <c r="T31" s="122">
        <v>258.01400000000001</v>
      </c>
      <c r="U31" s="122">
        <v>258.01400000000001</v>
      </c>
      <c r="V31" s="122">
        <f t="shared" si="0"/>
        <v>310.74639999999999</v>
      </c>
      <c r="W31" s="122">
        <f t="shared" si="1"/>
        <v>310.74639999999999</v>
      </c>
      <c r="X31" s="174">
        <f t="shared" ref="X31:Y31" si="9">ABS(V31-V33)</f>
        <v>8.5000000000263753E-3</v>
      </c>
      <c r="Y31" s="174">
        <f t="shared" si="9"/>
        <v>8.5000000000263753E-3</v>
      </c>
    </row>
    <row r="32" spans="2:25">
      <c r="B32" s="229" t="s">
        <v>2736</v>
      </c>
      <c r="C32" s="216" t="s">
        <v>2730</v>
      </c>
      <c r="D32" s="217"/>
      <c r="E32" s="217"/>
      <c r="F32" s="217" t="s">
        <v>2710</v>
      </c>
      <c r="G32" s="217">
        <v>5</v>
      </c>
      <c r="H32" s="217" t="s">
        <v>432</v>
      </c>
      <c r="I32" s="217">
        <v>100</v>
      </c>
      <c r="J32" s="217" t="s">
        <v>2720</v>
      </c>
      <c r="K32" s="122">
        <v>54.814999999999998</v>
      </c>
      <c r="L32" s="122">
        <v>54.814999999999998</v>
      </c>
      <c r="M32" s="276">
        <f>SUM(K32:K33)</f>
        <v>109.59139999999999</v>
      </c>
      <c r="N32" s="278">
        <f>SUM(L32:L33)</f>
        <v>109.59139999999999</v>
      </c>
      <c r="O32" s="175"/>
      <c r="P32" s="175"/>
      <c r="R32" s="122">
        <v>52.779299999999999</v>
      </c>
      <c r="S32" s="122">
        <v>52.779299999999999</v>
      </c>
      <c r="T32" s="122">
        <v>258.05560000000003</v>
      </c>
      <c r="U32" s="122">
        <v>258.05560000000003</v>
      </c>
      <c r="V32" s="122">
        <f t="shared" si="0"/>
        <v>310.8349</v>
      </c>
      <c r="W32" s="122">
        <f t="shared" si="1"/>
        <v>310.8349</v>
      </c>
      <c r="X32" s="174"/>
      <c r="Y32" s="174"/>
    </row>
    <row r="33" spans="2:25">
      <c r="B33" s="229" t="s">
        <v>2719</v>
      </c>
      <c r="C33" s="216" t="s">
        <v>2713</v>
      </c>
      <c r="D33" s="217"/>
      <c r="E33" s="217"/>
      <c r="F33" s="217" t="s">
        <v>2710</v>
      </c>
      <c r="G33" s="217">
        <v>5</v>
      </c>
      <c r="H33" s="217" t="s">
        <v>432</v>
      </c>
      <c r="I33" s="217">
        <v>100</v>
      </c>
      <c r="J33" s="217" t="s">
        <v>2720</v>
      </c>
      <c r="K33" s="122">
        <v>54.776400000000002</v>
      </c>
      <c r="L33" s="122">
        <v>54.776400000000002</v>
      </c>
      <c r="M33" s="277"/>
      <c r="N33" s="278"/>
      <c r="O33" s="176"/>
      <c r="P33" s="176"/>
      <c r="R33" s="122">
        <v>52.740700000000004</v>
      </c>
      <c r="S33" s="122">
        <v>52.740700000000004</v>
      </c>
      <c r="T33" s="122">
        <v>258.01420000000002</v>
      </c>
      <c r="U33" s="122">
        <v>258.01420000000002</v>
      </c>
      <c r="V33" s="122">
        <f t="shared" si="0"/>
        <v>310.75490000000002</v>
      </c>
      <c r="W33" s="122">
        <f t="shared" si="1"/>
        <v>310.75490000000002</v>
      </c>
      <c r="X33" s="175"/>
      <c r="Y33" s="175"/>
    </row>
    <row r="34" spans="2:25">
      <c r="B34" s="229" t="s">
        <v>1951</v>
      </c>
      <c r="C34" s="216" t="s">
        <v>1945</v>
      </c>
      <c r="D34" s="217"/>
      <c r="E34" s="217"/>
      <c r="F34" s="217" t="s">
        <v>1933</v>
      </c>
      <c r="G34" s="217">
        <v>5</v>
      </c>
      <c r="H34" s="217" t="s">
        <v>432</v>
      </c>
      <c r="I34" s="217">
        <v>100</v>
      </c>
      <c r="J34" s="217" t="s">
        <v>1934</v>
      </c>
      <c r="K34" s="122">
        <v>54.688400000000001</v>
      </c>
      <c r="L34" s="122">
        <v>54.688400000000001</v>
      </c>
      <c r="M34" s="276">
        <f>SUM(K34:K35)</f>
        <v>109.2993</v>
      </c>
      <c r="N34" s="278">
        <f>SUM(L34:L35)</f>
        <v>109.2993</v>
      </c>
      <c r="O34" s="174">
        <f>ABS(M34-M36)</f>
        <v>4.1699999999991633E-2</v>
      </c>
      <c r="P34" s="174">
        <f>ABS(N34-N36)</f>
        <v>4.1699999999991633E-2</v>
      </c>
      <c r="R34" s="122">
        <v>52.652700000000003</v>
      </c>
      <c r="S34" s="122">
        <v>52.652700000000003</v>
      </c>
      <c r="T34" s="122">
        <v>258.02890000000002</v>
      </c>
      <c r="U34" s="122">
        <v>258.02890000000002</v>
      </c>
      <c r="V34" s="122">
        <f t="shared" si="0"/>
        <v>310.6816</v>
      </c>
      <c r="W34" s="122">
        <f t="shared" si="1"/>
        <v>310.6816</v>
      </c>
      <c r="X34" s="174">
        <f t="shared" ref="X34:Y34" si="10">ABS(V34-V36)</f>
        <v>8.6999999999761712E-3</v>
      </c>
      <c r="Y34" s="174">
        <f t="shared" si="10"/>
        <v>8.6999999999761712E-3</v>
      </c>
    </row>
    <row r="35" spans="2:25">
      <c r="B35" s="229" t="s">
        <v>1932</v>
      </c>
      <c r="C35" s="216" t="s">
        <v>1925</v>
      </c>
      <c r="D35" s="217"/>
      <c r="E35" s="217"/>
      <c r="F35" s="217" t="s">
        <v>1933</v>
      </c>
      <c r="G35" s="217">
        <v>5</v>
      </c>
      <c r="H35" s="217" t="s">
        <v>432</v>
      </c>
      <c r="I35" s="217">
        <v>100</v>
      </c>
      <c r="J35" s="217" t="s">
        <v>1934</v>
      </c>
      <c r="K35" s="122">
        <v>54.610900000000001</v>
      </c>
      <c r="L35" s="122">
        <v>54.610900000000001</v>
      </c>
      <c r="M35" s="277"/>
      <c r="N35" s="278"/>
      <c r="O35" s="175"/>
      <c r="P35" s="175"/>
      <c r="R35" s="122">
        <v>52.575200000000002</v>
      </c>
      <c r="S35" s="122">
        <v>52.575200000000002</v>
      </c>
      <c r="T35" s="122">
        <v>258.06540000000001</v>
      </c>
      <c r="U35" s="122">
        <v>258.06540000000001</v>
      </c>
      <c r="V35" s="122">
        <f t="shared" si="0"/>
        <v>310.64060000000001</v>
      </c>
      <c r="W35" s="122">
        <f t="shared" si="1"/>
        <v>310.64060000000001</v>
      </c>
      <c r="X35" s="174">
        <f t="shared" ref="X35:Y35" si="11">ABS(V35-V37)</f>
        <v>4.6400000000005548E-2</v>
      </c>
      <c r="Y35" s="174">
        <f t="shared" si="11"/>
        <v>4.6400000000005548E-2</v>
      </c>
    </row>
    <row r="36" spans="2:25">
      <c r="B36" s="229" t="s">
        <v>1959</v>
      </c>
      <c r="C36" s="216" t="s">
        <v>1953</v>
      </c>
      <c r="D36" s="217"/>
      <c r="E36" s="217"/>
      <c r="F36" s="217" t="s">
        <v>1933</v>
      </c>
      <c r="G36" s="217">
        <v>5</v>
      </c>
      <c r="H36" s="217" t="s">
        <v>432</v>
      </c>
      <c r="I36" s="217">
        <v>100</v>
      </c>
      <c r="J36" s="217" t="s">
        <v>1943</v>
      </c>
      <c r="K36" s="122">
        <v>54.714599999999997</v>
      </c>
      <c r="L36" s="122">
        <v>54.714599999999997</v>
      </c>
      <c r="M36" s="276">
        <f>SUM(K36:K37)</f>
        <v>109.34099999999999</v>
      </c>
      <c r="N36" s="278">
        <f>SUM(L36:L37)</f>
        <v>109.34099999999999</v>
      </c>
      <c r="O36" s="175"/>
      <c r="P36" s="175"/>
      <c r="R36" s="122">
        <v>52.678899999999999</v>
      </c>
      <c r="S36" s="122">
        <v>52.678899999999999</v>
      </c>
      <c r="T36" s="122">
        <v>258.01139999999998</v>
      </c>
      <c r="U36" s="122">
        <v>258.01139999999998</v>
      </c>
      <c r="V36" s="122">
        <f t="shared" si="0"/>
        <v>310.69029999999998</v>
      </c>
      <c r="W36" s="122">
        <f t="shared" si="1"/>
        <v>310.69029999999998</v>
      </c>
      <c r="X36" s="174"/>
      <c r="Y36" s="174"/>
    </row>
    <row r="37" spans="2:25">
      <c r="B37" s="229" t="s">
        <v>1942</v>
      </c>
      <c r="C37" s="216" t="s">
        <v>1936</v>
      </c>
      <c r="D37" s="217"/>
      <c r="E37" s="217"/>
      <c r="F37" s="217" t="s">
        <v>1933</v>
      </c>
      <c r="G37" s="217">
        <v>5</v>
      </c>
      <c r="H37" s="217" t="s">
        <v>432</v>
      </c>
      <c r="I37" s="217">
        <v>100</v>
      </c>
      <c r="J37" s="217" t="s">
        <v>1943</v>
      </c>
      <c r="K37" s="122">
        <v>54.626399999999997</v>
      </c>
      <c r="L37" s="122">
        <v>54.626399999999997</v>
      </c>
      <c r="M37" s="277"/>
      <c r="N37" s="278"/>
      <c r="O37" s="176"/>
      <c r="P37" s="176"/>
      <c r="R37" s="122">
        <v>52.590699999999998</v>
      </c>
      <c r="S37" s="122">
        <v>52.590699999999998</v>
      </c>
      <c r="T37" s="122">
        <v>258.09629999999999</v>
      </c>
      <c r="U37" s="122">
        <v>258.09629999999999</v>
      </c>
      <c r="V37" s="122">
        <f t="shared" si="0"/>
        <v>310.68700000000001</v>
      </c>
      <c r="W37" s="122">
        <f t="shared" si="1"/>
        <v>310.68700000000001</v>
      </c>
      <c r="X37" s="175"/>
      <c r="Y37" s="175"/>
    </row>
    <row r="38" spans="2:25">
      <c r="B38" s="229" t="s">
        <v>1987</v>
      </c>
      <c r="C38" s="216" t="s">
        <v>1981</v>
      </c>
      <c r="D38" s="217"/>
      <c r="E38" s="217"/>
      <c r="F38" s="217" t="s">
        <v>1969</v>
      </c>
      <c r="G38" s="217">
        <v>5</v>
      </c>
      <c r="H38" s="217" t="s">
        <v>432</v>
      </c>
      <c r="I38" s="217">
        <v>100</v>
      </c>
      <c r="J38" s="217" t="s">
        <v>1970</v>
      </c>
      <c r="K38" s="122">
        <v>54.530500000000004</v>
      </c>
      <c r="L38" s="122">
        <v>54.530500000000004</v>
      </c>
      <c r="M38" s="276">
        <f>SUM(K38:K39)</f>
        <v>109.2159</v>
      </c>
      <c r="N38" s="278">
        <f>SUM(L38:L39)</f>
        <v>109.2159</v>
      </c>
      <c r="O38" s="174">
        <f>ABS(M38-M40)</f>
        <v>3.9800000000013824E-2</v>
      </c>
      <c r="P38" s="174">
        <f>ABS(N38-N40)</f>
        <v>3.9800000000013824E-2</v>
      </c>
      <c r="R38" s="122">
        <v>52.494800000000005</v>
      </c>
      <c r="S38" s="122">
        <v>52.494800000000005</v>
      </c>
      <c r="T38" s="122">
        <v>258.00200000000001</v>
      </c>
      <c r="U38" s="122">
        <v>258.00200000000001</v>
      </c>
      <c r="V38" s="122">
        <f t="shared" si="0"/>
        <v>310.49680000000001</v>
      </c>
      <c r="W38" s="122">
        <f t="shared" si="1"/>
        <v>310.49680000000001</v>
      </c>
      <c r="X38" s="174">
        <f t="shared" ref="X38:Y38" si="12">ABS(V38-V40)</f>
        <v>4.0100000000052205E-2</v>
      </c>
      <c r="Y38" s="174">
        <f t="shared" si="12"/>
        <v>4.0100000000052205E-2</v>
      </c>
    </row>
    <row r="39" spans="2:25">
      <c r="B39" s="229" t="s">
        <v>1968</v>
      </c>
      <c r="C39" s="216" t="s">
        <v>1961</v>
      </c>
      <c r="D39" s="217"/>
      <c r="E39" s="217"/>
      <c r="F39" s="217" t="s">
        <v>1969</v>
      </c>
      <c r="G39" s="217">
        <v>5</v>
      </c>
      <c r="H39" s="217" t="s">
        <v>432</v>
      </c>
      <c r="I39" s="217">
        <v>100</v>
      </c>
      <c r="J39" s="217" t="s">
        <v>1970</v>
      </c>
      <c r="K39" s="122">
        <v>54.685400000000001</v>
      </c>
      <c r="L39" s="122">
        <v>54.685400000000001</v>
      </c>
      <c r="M39" s="277"/>
      <c r="N39" s="278"/>
      <c r="O39" s="175"/>
      <c r="P39" s="175"/>
      <c r="R39" s="122">
        <v>52.649700000000003</v>
      </c>
      <c r="S39" s="122">
        <v>52.649700000000003</v>
      </c>
      <c r="T39" s="122">
        <v>258.00380000000001</v>
      </c>
      <c r="U39" s="122">
        <v>258.00380000000001</v>
      </c>
      <c r="V39" s="122">
        <f t="shared" si="0"/>
        <v>310.65350000000001</v>
      </c>
      <c r="W39" s="122">
        <f t="shared" si="1"/>
        <v>310.65350000000001</v>
      </c>
      <c r="X39" s="174">
        <f t="shared" ref="X39:Y39" si="13">ABS(V39-V41)</f>
        <v>7.4000000000182808E-3</v>
      </c>
      <c r="Y39" s="174">
        <f t="shared" si="13"/>
        <v>7.4000000000182808E-3</v>
      </c>
    </row>
    <row r="40" spans="2:25">
      <c r="B40" s="229" t="s">
        <v>1995</v>
      </c>
      <c r="C40" s="216" t="s">
        <v>1989</v>
      </c>
      <c r="D40" s="217"/>
      <c r="E40" s="217"/>
      <c r="F40" s="217" t="s">
        <v>1969</v>
      </c>
      <c r="G40" s="217">
        <v>5</v>
      </c>
      <c r="H40" s="217" t="s">
        <v>432</v>
      </c>
      <c r="I40" s="217">
        <v>100</v>
      </c>
      <c r="J40" s="217" t="s">
        <v>1979</v>
      </c>
      <c r="K40" s="122">
        <v>54.4923</v>
      </c>
      <c r="L40" s="122">
        <v>54.4923</v>
      </c>
      <c r="M40" s="276">
        <f>SUM(K40:K41)</f>
        <v>109.17609999999999</v>
      </c>
      <c r="N40" s="278">
        <f>SUM(L40:L41)</f>
        <v>109.17609999999999</v>
      </c>
      <c r="O40" s="175"/>
      <c r="P40" s="175"/>
      <c r="R40" s="122">
        <v>52.456600000000002</v>
      </c>
      <c r="S40" s="122">
        <v>52.456600000000002</v>
      </c>
      <c r="T40" s="122">
        <v>258.00009999999997</v>
      </c>
      <c r="U40" s="122">
        <v>258.00009999999997</v>
      </c>
      <c r="V40" s="122">
        <f t="shared" si="0"/>
        <v>310.45669999999996</v>
      </c>
      <c r="W40" s="122">
        <f t="shared" si="1"/>
        <v>310.45669999999996</v>
      </c>
      <c r="X40" s="174"/>
      <c r="Y40" s="174"/>
    </row>
    <row r="41" spans="2:25">
      <c r="B41" s="229" t="s">
        <v>1978</v>
      </c>
      <c r="C41" s="216" t="s">
        <v>1972</v>
      </c>
      <c r="D41" s="217"/>
      <c r="E41" s="217"/>
      <c r="F41" s="217" t="s">
        <v>1969</v>
      </c>
      <c r="G41" s="217">
        <v>5</v>
      </c>
      <c r="H41" s="217" t="s">
        <v>432</v>
      </c>
      <c r="I41" s="217">
        <v>100</v>
      </c>
      <c r="J41" s="217" t="s">
        <v>1979</v>
      </c>
      <c r="K41" s="122">
        <v>54.683799999999998</v>
      </c>
      <c r="L41" s="122">
        <v>54.683799999999998</v>
      </c>
      <c r="M41" s="277"/>
      <c r="N41" s="278"/>
      <c r="O41" s="176"/>
      <c r="P41" s="176"/>
      <c r="R41" s="122">
        <v>52.648099999999999</v>
      </c>
      <c r="S41" s="122">
        <v>52.648099999999999</v>
      </c>
      <c r="T41" s="122">
        <v>257.99799999999999</v>
      </c>
      <c r="U41" s="122">
        <v>257.99799999999999</v>
      </c>
      <c r="V41" s="122">
        <f t="shared" si="0"/>
        <v>310.64609999999999</v>
      </c>
      <c r="W41" s="122">
        <f t="shared" si="1"/>
        <v>310.64609999999999</v>
      </c>
      <c r="X41" s="175"/>
      <c r="Y41" s="175"/>
    </row>
    <row r="42" spans="2:25">
      <c r="B42" s="229" t="s">
        <v>2023</v>
      </c>
      <c r="C42" s="216" t="s">
        <v>2017</v>
      </c>
      <c r="D42" s="217"/>
      <c r="E42" s="217"/>
      <c r="F42" s="217" t="s">
        <v>2005</v>
      </c>
      <c r="G42" s="217">
        <v>5</v>
      </c>
      <c r="H42" s="217" t="s">
        <v>432</v>
      </c>
      <c r="I42" s="217">
        <v>100</v>
      </c>
      <c r="J42" s="217" t="s">
        <v>2006</v>
      </c>
      <c r="K42" s="122">
        <v>54.641500000000001</v>
      </c>
      <c r="L42" s="122">
        <v>54.641500000000001</v>
      </c>
      <c r="M42" s="276">
        <f>SUM(K42:K43)</f>
        <v>109.3314</v>
      </c>
      <c r="N42" s="278">
        <f>SUM(L42:L43)</f>
        <v>109.3314</v>
      </c>
      <c r="O42" s="174">
        <f>ABS(M42-M44)</f>
        <v>4.8999999999921329E-3</v>
      </c>
      <c r="P42" s="174">
        <f>ABS(N42-N44)</f>
        <v>4.8999999999921329E-3</v>
      </c>
      <c r="R42" s="122">
        <v>52.605800000000002</v>
      </c>
      <c r="S42" s="122">
        <v>52.605800000000002</v>
      </c>
      <c r="T42" s="122">
        <v>258.0478</v>
      </c>
      <c r="U42" s="122">
        <v>258.0478</v>
      </c>
      <c r="V42" s="122">
        <f t="shared" si="0"/>
        <v>310.65359999999998</v>
      </c>
      <c r="W42" s="122">
        <f t="shared" si="1"/>
        <v>310.65359999999998</v>
      </c>
      <c r="X42" s="174">
        <f t="shared" ref="X42:Y42" si="14">ABS(V42-V44)</f>
        <v>4.7999999999319698E-3</v>
      </c>
      <c r="Y42" s="174">
        <f t="shared" si="14"/>
        <v>4.7999999999319698E-3</v>
      </c>
    </row>
    <row r="43" spans="2:25">
      <c r="B43" s="229" t="s">
        <v>2004</v>
      </c>
      <c r="C43" s="216" t="s">
        <v>1997</v>
      </c>
      <c r="D43" s="217"/>
      <c r="E43" s="217"/>
      <c r="F43" s="217" t="s">
        <v>2005</v>
      </c>
      <c r="G43" s="217">
        <v>5</v>
      </c>
      <c r="H43" s="217" t="s">
        <v>432</v>
      </c>
      <c r="I43" s="217">
        <v>100</v>
      </c>
      <c r="J43" s="217" t="s">
        <v>2006</v>
      </c>
      <c r="K43" s="122">
        <v>54.689900000000002</v>
      </c>
      <c r="L43" s="122">
        <v>54.689900000000002</v>
      </c>
      <c r="M43" s="277"/>
      <c r="N43" s="278"/>
      <c r="O43" s="175"/>
      <c r="P43" s="175"/>
      <c r="R43" s="122">
        <v>52.654200000000003</v>
      </c>
      <c r="S43" s="122">
        <v>52.654200000000003</v>
      </c>
      <c r="T43" s="122">
        <v>258.02510000000001</v>
      </c>
      <c r="U43" s="122">
        <v>258.02510000000001</v>
      </c>
      <c r="V43" s="122">
        <f t="shared" si="0"/>
        <v>310.67930000000001</v>
      </c>
      <c r="W43" s="122">
        <f t="shared" si="1"/>
        <v>310.67930000000001</v>
      </c>
      <c r="X43" s="174">
        <f t="shared" ref="X43:Y43" si="15">ABS(V43-V45)</f>
        <v>2.299999999991087E-3</v>
      </c>
      <c r="Y43" s="174">
        <f t="shared" si="15"/>
        <v>2.299999999991087E-3</v>
      </c>
    </row>
    <row r="44" spans="2:25">
      <c r="B44" s="229" t="s">
        <v>2031</v>
      </c>
      <c r="C44" s="216" t="s">
        <v>2025</v>
      </c>
      <c r="D44" s="217"/>
      <c r="E44" s="217"/>
      <c r="F44" s="217" t="s">
        <v>2005</v>
      </c>
      <c r="G44" s="217">
        <v>5</v>
      </c>
      <c r="H44" s="217" t="s">
        <v>432</v>
      </c>
      <c r="I44" s="217">
        <v>100</v>
      </c>
      <c r="J44" s="217" t="s">
        <v>2015</v>
      </c>
      <c r="K44" s="122">
        <v>54.636600000000001</v>
      </c>
      <c r="L44" s="122">
        <v>54.636600000000001</v>
      </c>
      <c r="M44" s="276">
        <f>SUM(K44:K45)</f>
        <v>109.32650000000001</v>
      </c>
      <c r="N44" s="278">
        <f>SUM(L44:L45)</f>
        <v>109.32650000000001</v>
      </c>
      <c r="O44" s="175"/>
      <c r="P44" s="175"/>
      <c r="R44" s="122">
        <v>52.600900000000003</v>
      </c>
      <c r="S44" s="122">
        <v>52.600900000000003</v>
      </c>
      <c r="T44" s="122">
        <v>258.04790000000003</v>
      </c>
      <c r="U44" s="122">
        <v>258.04790000000003</v>
      </c>
      <c r="V44" s="122">
        <f t="shared" si="0"/>
        <v>310.64880000000005</v>
      </c>
      <c r="W44" s="122">
        <f t="shared" si="1"/>
        <v>310.64880000000005</v>
      </c>
      <c r="X44" s="174"/>
      <c r="Y44" s="174"/>
    </row>
    <row r="45" spans="2:25">
      <c r="B45" s="229" t="s">
        <v>2014</v>
      </c>
      <c r="C45" s="216" t="s">
        <v>2008</v>
      </c>
      <c r="D45" s="217"/>
      <c r="E45" s="217"/>
      <c r="F45" s="217" t="s">
        <v>2005</v>
      </c>
      <c r="G45" s="217">
        <v>5</v>
      </c>
      <c r="H45" s="217" t="s">
        <v>432</v>
      </c>
      <c r="I45" s="217">
        <v>100</v>
      </c>
      <c r="J45" s="217" t="s">
        <v>2015</v>
      </c>
      <c r="K45" s="122">
        <v>54.689900000000002</v>
      </c>
      <c r="L45" s="122">
        <v>54.689900000000002</v>
      </c>
      <c r="M45" s="277"/>
      <c r="N45" s="278"/>
      <c r="O45" s="176"/>
      <c r="P45" s="176"/>
      <c r="R45" s="122">
        <v>52.654200000000003</v>
      </c>
      <c r="S45" s="122">
        <v>52.654200000000003</v>
      </c>
      <c r="T45" s="122">
        <v>258.02280000000002</v>
      </c>
      <c r="U45" s="122">
        <v>258.02280000000002</v>
      </c>
      <c r="V45" s="122">
        <f t="shared" si="0"/>
        <v>310.67700000000002</v>
      </c>
      <c r="W45" s="122">
        <f t="shared" si="1"/>
        <v>310.67700000000002</v>
      </c>
      <c r="X45" s="175"/>
      <c r="Y45" s="175"/>
    </row>
    <row r="46" spans="2:25">
      <c r="B46" s="229" t="s">
        <v>2059</v>
      </c>
      <c r="C46" s="216" t="s">
        <v>2052</v>
      </c>
      <c r="D46" s="217"/>
      <c r="E46" s="217"/>
      <c r="F46" s="217" t="s">
        <v>2040</v>
      </c>
      <c r="G46" s="217">
        <v>5</v>
      </c>
      <c r="H46" s="217" t="s">
        <v>432</v>
      </c>
      <c r="I46" s="217">
        <v>100</v>
      </c>
      <c r="J46" s="217" t="s">
        <v>2041</v>
      </c>
      <c r="K46" s="122">
        <v>54.652700000000003</v>
      </c>
      <c r="L46" s="122">
        <v>54.652700000000003</v>
      </c>
      <c r="M46" s="276">
        <f>SUM(K46:K47)</f>
        <v>109.3133</v>
      </c>
      <c r="N46" s="278">
        <f>SUM(L46:L47)</f>
        <v>109.3133</v>
      </c>
      <c r="O46" s="174">
        <f>ABS(M46-M48)</f>
        <v>4.8100000000005139E-2</v>
      </c>
      <c r="P46" s="174">
        <f>ABS(N46-N48)</f>
        <v>4.8100000000005139E-2</v>
      </c>
      <c r="R46" s="122">
        <v>52.617000000000004</v>
      </c>
      <c r="S46" s="122">
        <v>52.617000000000004</v>
      </c>
      <c r="T46" s="122">
        <v>258.07510000000002</v>
      </c>
      <c r="U46" s="122">
        <v>258.07510000000002</v>
      </c>
      <c r="V46" s="122">
        <f t="shared" si="0"/>
        <v>310.69210000000004</v>
      </c>
      <c r="W46" s="122">
        <f t="shared" si="1"/>
        <v>310.69210000000004</v>
      </c>
      <c r="X46" s="174">
        <f t="shared" ref="X46:Y46" si="16">ABS(V46-V48)</f>
        <v>4.8899999999946431E-2</v>
      </c>
      <c r="Y46" s="174">
        <f t="shared" si="16"/>
        <v>4.8899999999946431E-2</v>
      </c>
    </row>
    <row r="47" spans="2:25">
      <c r="B47" s="229" t="s">
        <v>2039</v>
      </c>
      <c r="C47" s="216" t="s">
        <v>2033</v>
      </c>
      <c r="D47" s="217"/>
      <c r="E47" s="217"/>
      <c r="F47" s="217" t="s">
        <v>2040</v>
      </c>
      <c r="G47" s="217">
        <v>5</v>
      </c>
      <c r="H47" s="217" t="s">
        <v>432</v>
      </c>
      <c r="I47" s="217">
        <v>100</v>
      </c>
      <c r="J47" s="217" t="s">
        <v>2041</v>
      </c>
      <c r="K47" s="122">
        <v>54.660600000000002</v>
      </c>
      <c r="L47" s="122">
        <v>54.660600000000002</v>
      </c>
      <c r="M47" s="277"/>
      <c r="N47" s="278"/>
      <c r="O47" s="175"/>
      <c r="P47" s="175"/>
      <c r="R47" s="122">
        <v>52.624900000000004</v>
      </c>
      <c r="S47" s="122">
        <v>52.624900000000004</v>
      </c>
      <c r="T47" s="122">
        <v>258.05700000000002</v>
      </c>
      <c r="U47" s="122">
        <v>258.05700000000002</v>
      </c>
      <c r="V47" s="122">
        <f t="shared" si="0"/>
        <v>310.68190000000004</v>
      </c>
      <c r="W47" s="122">
        <f t="shared" si="1"/>
        <v>310.68190000000004</v>
      </c>
      <c r="X47" s="174">
        <f t="shared" ref="X47:Y47" si="17">ABS(V47-V49)</f>
        <v>2.6600000000030377E-2</v>
      </c>
      <c r="Y47" s="174">
        <f t="shared" si="17"/>
        <v>2.6600000000030377E-2</v>
      </c>
    </row>
    <row r="48" spans="2:25">
      <c r="B48" s="229" t="s">
        <v>2067</v>
      </c>
      <c r="C48" s="216" t="s">
        <v>2061</v>
      </c>
      <c r="D48" s="217"/>
      <c r="E48" s="217"/>
      <c r="F48" s="217" t="s">
        <v>2040</v>
      </c>
      <c r="G48" s="217">
        <v>5</v>
      </c>
      <c r="H48" s="217" t="s">
        <v>432</v>
      </c>
      <c r="I48" s="217">
        <v>100</v>
      </c>
      <c r="J48" s="217" t="s">
        <v>2050</v>
      </c>
      <c r="K48" s="122">
        <v>54.698300000000003</v>
      </c>
      <c r="L48" s="122">
        <v>54.698300000000003</v>
      </c>
      <c r="M48" s="276">
        <f>SUM(K48:K49)</f>
        <v>109.3614</v>
      </c>
      <c r="N48" s="278">
        <f>SUM(L48:L49)</f>
        <v>109.3614</v>
      </c>
      <c r="O48" s="175"/>
      <c r="P48" s="175"/>
      <c r="R48" s="122">
        <v>52.662600000000005</v>
      </c>
      <c r="S48" s="122">
        <v>52.662600000000005</v>
      </c>
      <c r="T48" s="122">
        <v>258.07839999999999</v>
      </c>
      <c r="U48" s="122">
        <v>258.07839999999999</v>
      </c>
      <c r="V48" s="122">
        <f t="shared" si="0"/>
        <v>310.74099999999999</v>
      </c>
      <c r="W48" s="122">
        <f t="shared" si="1"/>
        <v>310.74099999999999</v>
      </c>
      <c r="X48" s="174"/>
      <c r="Y48" s="174"/>
    </row>
    <row r="49" spans="2:25">
      <c r="B49" s="229" t="s">
        <v>2049</v>
      </c>
      <c r="C49" s="216" t="s">
        <v>2043</v>
      </c>
      <c r="D49" s="217"/>
      <c r="E49" s="217"/>
      <c r="F49" s="217" t="s">
        <v>2040</v>
      </c>
      <c r="G49" s="217">
        <v>5</v>
      </c>
      <c r="H49" s="217" t="s">
        <v>432</v>
      </c>
      <c r="I49" s="217">
        <v>100</v>
      </c>
      <c r="J49" s="217" t="s">
        <v>2050</v>
      </c>
      <c r="K49" s="122">
        <v>54.6631</v>
      </c>
      <c r="L49" s="122">
        <v>54.6631</v>
      </c>
      <c r="M49" s="277"/>
      <c r="N49" s="278"/>
      <c r="O49" s="176"/>
      <c r="P49" s="176"/>
      <c r="R49" s="122">
        <v>52.627400000000002</v>
      </c>
      <c r="S49" s="122">
        <v>52.627400000000002</v>
      </c>
      <c r="T49" s="122">
        <v>258.02789999999999</v>
      </c>
      <c r="U49" s="122">
        <v>258.02789999999999</v>
      </c>
      <c r="V49" s="122">
        <f t="shared" si="0"/>
        <v>310.65530000000001</v>
      </c>
      <c r="W49" s="122">
        <f t="shared" si="1"/>
        <v>310.65530000000001</v>
      </c>
      <c r="X49" s="175"/>
      <c r="Y49" s="175"/>
    </row>
    <row r="50" spans="2:25">
      <c r="B50" s="229" t="s">
        <v>2094</v>
      </c>
      <c r="C50" s="216" t="s">
        <v>2088</v>
      </c>
      <c r="D50" s="217"/>
      <c r="E50" s="217"/>
      <c r="F50" s="217" t="s">
        <v>2076</v>
      </c>
      <c r="G50" s="217">
        <v>5</v>
      </c>
      <c r="H50" s="217" t="s">
        <v>432</v>
      </c>
      <c r="I50" s="217">
        <v>100</v>
      </c>
      <c r="J50" s="217" t="s">
        <v>2077</v>
      </c>
      <c r="K50" s="122">
        <v>54.639800000000001</v>
      </c>
      <c r="L50" s="122">
        <v>54.639800000000001</v>
      </c>
      <c r="M50" s="276">
        <f>SUM(K50:K51)</f>
        <v>109.48089999999999</v>
      </c>
      <c r="N50" s="278">
        <f>SUM(L50:L51)</f>
        <v>109.48089999999999</v>
      </c>
      <c r="O50" s="174">
        <f>ABS(M50-M52)</f>
        <v>5.4699999999996862E-2</v>
      </c>
      <c r="P50" s="174">
        <f>ABS(N50-N52)</f>
        <v>5.4699999999996862E-2</v>
      </c>
      <c r="R50" s="122">
        <v>52.604100000000003</v>
      </c>
      <c r="S50" s="122">
        <v>52.604100000000003</v>
      </c>
      <c r="T50" s="122">
        <v>258.01929999999999</v>
      </c>
      <c r="U50" s="122">
        <v>258.01929999999999</v>
      </c>
      <c r="V50" s="122">
        <f t="shared" si="0"/>
        <v>310.6234</v>
      </c>
      <c r="W50" s="122">
        <f t="shared" si="1"/>
        <v>310.6234</v>
      </c>
      <c r="X50" s="174">
        <f t="shared" ref="X50:Y50" si="18">ABS(V50-V52)</f>
        <v>1.8400000000042382E-2</v>
      </c>
      <c r="Y50" s="174">
        <f t="shared" si="18"/>
        <v>1.8400000000042382E-2</v>
      </c>
    </row>
    <row r="51" spans="2:25">
      <c r="B51" s="229" t="s">
        <v>2075</v>
      </c>
      <c r="C51" s="216" t="s">
        <v>2069</v>
      </c>
      <c r="D51" s="217"/>
      <c r="E51" s="217"/>
      <c r="F51" s="217" t="s">
        <v>2076</v>
      </c>
      <c r="G51" s="217">
        <v>5</v>
      </c>
      <c r="H51" s="217" t="s">
        <v>432</v>
      </c>
      <c r="I51" s="217">
        <v>100</v>
      </c>
      <c r="J51" s="217" t="s">
        <v>2077</v>
      </c>
      <c r="K51" s="122">
        <v>54.841099999999997</v>
      </c>
      <c r="L51" s="122">
        <v>54.841099999999997</v>
      </c>
      <c r="M51" s="277"/>
      <c r="N51" s="278"/>
      <c r="O51" s="175"/>
      <c r="P51" s="175"/>
      <c r="R51" s="122">
        <v>52.805399999999999</v>
      </c>
      <c r="S51" s="122">
        <v>52.805399999999999</v>
      </c>
      <c r="T51" s="122">
        <v>258.0061</v>
      </c>
      <c r="U51" s="122">
        <v>258.0061</v>
      </c>
      <c r="V51" s="122">
        <f t="shared" si="0"/>
        <v>310.81150000000002</v>
      </c>
      <c r="W51" s="122">
        <f t="shared" si="1"/>
        <v>310.81150000000002</v>
      </c>
      <c r="X51" s="174">
        <f t="shared" ref="X51:Y51" si="19">ABS(V51-V53)</f>
        <v>5.8000000000220098E-3</v>
      </c>
      <c r="Y51" s="174">
        <f t="shared" si="19"/>
        <v>5.8000000000220098E-3</v>
      </c>
    </row>
    <row r="52" spans="2:25">
      <c r="B52" s="229" t="s">
        <v>2102</v>
      </c>
      <c r="C52" s="216" t="s">
        <v>2096</v>
      </c>
      <c r="D52" s="217"/>
      <c r="E52" s="217"/>
      <c r="F52" s="217" t="s">
        <v>2076</v>
      </c>
      <c r="G52" s="217">
        <v>5</v>
      </c>
      <c r="H52" s="217" t="s">
        <v>432</v>
      </c>
      <c r="I52" s="217">
        <v>100</v>
      </c>
      <c r="J52" s="217" t="s">
        <v>2086</v>
      </c>
      <c r="K52" s="122">
        <v>54.599600000000002</v>
      </c>
      <c r="L52" s="122">
        <v>54.599600000000002</v>
      </c>
      <c r="M52" s="276">
        <f>SUM(K52:K53)</f>
        <v>109.42619999999999</v>
      </c>
      <c r="N52" s="278">
        <f>SUM(L52:L53)</f>
        <v>109.42619999999999</v>
      </c>
      <c r="O52" s="175"/>
      <c r="P52" s="175"/>
      <c r="R52" s="122">
        <v>52.563900000000004</v>
      </c>
      <c r="S52" s="122">
        <v>52.563900000000004</v>
      </c>
      <c r="T52" s="122">
        <v>258.04109999999997</v>
      </c>
      <c r="U52" s="122">
        <v>258.04109999999997</v>
      </c>
      <c r="V52" s="122">
        <f t="shared" si="0"/>
        <v>310.60499999999996</v>
      </c>
      <c r="W52" s="122">
        <f t="shared" si="1"/>
        <v>310.60499999999996</v>
      </c>
      <c r="X52" s="174"/>
      <c r="Y52" s="174"/>
    </row>
    <row r="53" spans="2:25">
      <c r="B53" s="229" t="s">
        <v>2085</v>
      </c>
      <c r="C53" s="216" t="s">
        <v>2079</v>
      </c>
      <c r="D53" s="217"/>
      <c r="E53" s="217"/>
      <c r="F53" s="217" t="s">
        <v>2076</v>
      </c>
      <c r="G53" s="217">
        <v>5</v>
      </c>
      <c r="H53" s="217" t="s">
        <v>432</v>
      </c>
      <c r="I53" s="217">
        <v>100</v>
      </c>
      <c r="J53" s="217" t="s">
        <v>2086</v>
      </c>
      <c r="K53" s="122">
        <v>54.826599999999999</v>
      </c>
      <c r="L53" s="122">
        <v>54.826599999999999</v>
      </c>
      <c r="M53" s="277"/>
      <c r="N53" s="278"/>
      <c r="O53" s="176"/>
      <c r="P53" s="176"/>
      <c r="R53" s="122">
        <v>52.790900000000001</v>
      </c>
      <c r="S53" s="122">
        <v>52.790900000000001</v>
      </c>
      <c r="T53" s="122">
        <v>258.01479999999998</v>
      </c>
      <c r="U53" s="122">
        <v>258.01479999999998</v>
      </c>
      <c r="V53" s="122">
        <f t="shared" si="0"/>
        <v>310.8057</v>
      </c>
      <c r="W53" s="122">
        <f t="shared" si="1"/>
        <v>310.8057</v>
      </c>
      <c r="X53" s="175"/>
      <c r="Y53" s="175"/>
    </row>
    <row r="54" spans="2:25">
      <c r="B54" s="229" t="s">
        <v>2129</v>
      </c>
      <c r="C54" s="216" t="s">
        <v>2123</v>
      </c>
      <c r="D54" s="217"/>
      <c r="E54" s="217"/>
      <c r="F54" s="217" t="s">
        <v>2111</v>
      </c>
      <c r="G54" s="217">
        <v>5</v>
      </c>
      <c r="H54" s="217" t="s">
        <v>432</v>
      </c>
      <c r="I54" s="217">
        <v>100</v>
      </c>
      <c r="J54" s="217" t="s">
        <v>2112</v>
      </c>
      <c r="K54" s="122">
        <v>54.786999999999999</v>
      </c>
      <c r="L54" s="122">
        <v>54.786999999999999</v>
      </c>
      <c r="M54" s="276">
        <f>SUM(K54:K55)</f>
        <v>109.55959999999999</v>
      </c>
      <c r="N54" s="278">
        <f>SUM(L54:L55)</f>
        <v>109.55959999999999</v>
      </c>
      <c r="O54" s="174">
        <f>ABS(M54-M56)</f>
        <v>1.0199999999997544E-2</v>
      </c>
      <c r="P54" s="174">
        <f>ABS(N54-N56)</f>
        <v>1.0199999999997544E-2</v>
      </c>
      <c r="R54" s="122">
        <v>52.751300000000001</v>
      </c>
      <c r="S54" s="122">
        <v>52.751300000000001</v>
      </c>
      <c r="T54" s="122">
        <v>257.99740000000003</v>
      </c>
      <c r="U54" s="122">
        <v>257.99740000000003</v>
      </c>
      <c r="V54" s="122">
        <f t="shared" si="0"/>
        <v>310.74870000000004</v>
      </c>
      <c r="W54" s="122">
        <f t="shared" si="1"/>
        <v>310.74870000000004</v>
      </c>
      <c r="X54" s="174">
        <f t="shared" ref="X54:Y54" si="20">ABS(V54-V56)</f>
        <v>5.4000000000655746E-3</v>
      </c>
      <c r="Y54" s="174">
        <f t="shared" si="20"/>
        <v>5.4000000000655746E-3</v>
      </c>
    </row>
    <row r="55" spans="2:25">
      <c r="B55" s="229" t="s">
        <v>2110</v>
      </c>
      <c r="C55" s="216" t="s">
        <v>2104</v>
      </c>
      <c r="D55" s="217"/>
      <c r="E55" s="217"/>
      <c r="F55" s="217" t="s">
        <v>2111</v>
      </c>
      <c r="G55" s="217">
        <v>5</v>
      </c>
      <c r="H55" s="217" t="s">
        <v>432</v>
      </c>
      <c r="I55" s="217">
        <v>100</v>
      </c>
      <c r="J55" s="217" t="s">
        <v>2112</v>
      </c>
      <c r="K55" s="122">
        <v>54.772599999999997</v>
      </c>
      <c r="L55" s="122">
        <v>54.772599999999997</v>
      </c>
      <c r="M55" s="277"/>
      <c r="N55" s="278"/>
      <c r="O55" s="175"/>
      <c r="P55" s="175"/>
      <c r="R55" s="122">
        <v>52.736899999999999</v>
      </c>
      <c r="S55" s="122">
        <v>52.736899999999999</v>
      </c>
      <c r="T55" s="122">
        <v>258.06150000000002</v>
      </c>
      <c r="U55" s="122">
        <v>258.06150000000002</v>
      </c>
      <c r="V55" s="122">
        <f t="shared" si="0"/>
        <v>310.79840000000002</v>
      </c>
      <c r="W55" s="122">
        <f t="shared" si="1"/>
        <v>310.79840000000002</v>
      </c>
      <c r="X55" s="174">
        <f t="shared" ref="X55:Y55" si="21">ABS(V55-V57)</f>
        <v>3.5000000000309228E-3</v>
      </c>
      <c r="Y55" s="174">
        <f t="shared" si="21"/>
        <v>3.5000000000309228E-3</v>
      </c>
    </row>
    <row r="56" spans="2:25">
      <c r="B56" s="229" t="s">
        <v>2137</v>
      </c>
      <c r="C56" s="216" t="s">
        <v>2131</v>
      </c>
      <c r="D56" s="217"/>
      <c r="E56" s="217"/>
      <c r="F56" s="217" t="s">
        <v>2111</v>
      </c>
      <c r="G56" s="217">
        <v>5</v>
      </c>
      <c r="H56" s="217" t="s">
        <v>432</v>
      </c>
      <c r="I56" s="217">
        <v>100</v>
      </c>
      <c r="J56" s="217" t="s">
        <v>2121</v>
      </c>
      <c r="K56" s="122">
        <v>54.770800000000001</v>
      </c>
      <c r="L56" s="122">
        <v>54.770800000000001</v>
      </c>
      <c r="M56" s="276">
        <f>SUM(K56:K57)</f>
        <v>109.54939999999999</v>
      </c>
      <c r="N56" s="278">
        <f>SUM(L56:L57)</f>
        <v>109.54939999999999</v>
      </c>
      <c r="O56" s="175"/>
      <c r="P56" s="175"/>
      <c r="R56" s="122">
        <v>52.735100000000003</v>
      </c>
      <c r="S56" s="122">
        <v>52.735100000000003</v>
      </c>
      <c r="T56" s="122">
        <v>258.00819999999999</v>
      </c>
      <c r="U56" s="122">
        <v>258.00819999999999</v>
      </c>
      <c r="V56" s="122">
        <f t="shared" si="0"/>
        <v>310.74329999999998</v>
      </c>
      <c r="W56" s="122">
        <f t="shared" si="1"/>
        <v>310.74329999999998</v>
      </c>
      <c r="X56" s="174"/>
      <c r="Y56" s="174"/>
    </row>
    <row r="57" spans="2:25">
      <c r="B57" s="229" t="s">
        <v>2120</v>
      </c>
      <c r="C57" s="216" t="s">
        <v>2114</v>
      </c>
      <c r="D57" s="217"/>
      <c r="E57" s="217"/>
      <c r="F57" s="217" t="s">
        <v>2111</v>
      </c>
      <c r="G57" s="217">
        <v>5</v>
      </c>
      <c r="H57" s="217" t="s">
        <v>432</v>
      </c>
      <c r="I57" s="217">
        <v>100</v>
      </c>
      <c r="J57" s="217" t="s">
        <v>2121</v>
      </c>
      <c r="K57" s="122">
        <v>54.778599999999997</v>
      </c>
      <c r="L57" s="122">
        <v>54.778599999999997</v>
      </c>
      <c r="M57" s="277"/>
      <c r="N57" s="278"/>
      <c r="O57" s="176"/>
      <c r="P57" s="176"/>
      <c r="R57" s="122">
        <v>52.742899999999999</v>
      </c>
      <c r="S57" s="122">
        <v>52.742899999999999</v>
      </c>
      <c r="T57" s="122">
        <v>258.05900000000003</v>
      </c>
      <c r="U57" s="122">
        <v>258.05900000000003</v>
      </c>
      <c r="V57" s="122">
        <f t="shared" si="0"/>
        <v>310.80190000000005</v>
      </c>
      <c r="W57" s="122">
        <f t="shared" si="1"/>
        <v>310.80190000000005</v>
      </c>
      <c r="X57" s="175"/>
      <c r="Y57" s="175"/>
    </row>
    <row r="58" spans="2:25">
      <c r="B58" s="229" t="s">
        <v>2164</v>
      </c>
      <c r="C58" s="216" t="s">
        <v>2158</v>
      </c>
      <c r="D58" s="217"/>
      <c r="E58" s="217"/>
      <c r="F58" s="217" t="s">
        <v>2146</v>
      </c>
      <c r="G58" s="217">
        <v>5</v>
      </c>
      <c r="H58" s="217" t="s">
        <v>432</v>
      </c>
      <c r="I58" s="217">
        <v>100</v>
      </c>
      <c r="J58" s="217" t="s">
        <v>2147</v>
      </c>
      <c r="K58" s="122">
        <v>54.666600000000003</v>
      </c>
      <c r="L58" s="122">
        <v>54.666600000000003</v>
      </c>
      <c r="M58" s="276">
        <f>SUM(K58:K59)</f>
        <v>109.2162</v>
      </c>
      <c r="N58" s="278">
        <f>SUM(L58:L59)</f>
        <v>109.2162</v>
      </c>
      <c r="O58" s="174">
        <f>ABS(M58-M60)</f>
        <v>1.3400000000004297E-2</v>
      </c>
      <c r="P58" s="174">
        <f>ABS(N58-N60)</f>
        <v>1.3400000000004297E-2</v>
      </c>
      <c r="R58" s="122">
        <v>52.630900000000004</v>
      </c>
      <c r="S58" s="122">
        <v>52.630900000000004</v>
      </c>
      <c r="T58" s="122">
        <v>258.01179999999999</v>
      </c>
      <c r="U58" s="122">
        <v>258.01179999999999</v>
      </c>
      <c r="V58" s="122">
        <f t="shared" si="0"/>
        <v>310.64269999999999</v>
      </c>
      <c r="W58" s="122">
        <f t="shared" si="1"/>
        <v>310.64269999999999</v>
      </c>
      <c r="X58" s="174">
        <f t="shared" ref="X58:Y58" si="22">ABS(V58-V60)</f>
        <v>1.6500000000007731E-2</v>
      </c>
      <c r="Y58" s="174">
        <f t="shared" si="22"/>
        <v>1.6500000000007731E-2</v>
      </c>
    </row>
    <row r="59" spans="2:25">
      <c r="B59" s="229" t="s">
        <v>2145</v>
      </c>
      <c r="C59" s="216" t="s">
        <v>2139</v>
      </c>
      <c r="D59" s="217"/>
      <c r="E59" s="217"/>
      <c r="F59" s="217" t="s">
        <v>2146</v>
      </c>
      <c r="G59" s="217">
        <v>5</v>
      </c>
      <c r="H59" s="217" t="s">
        <v>432</v>
      </c>
      <c r="I59" s="217">
        <v>100</v>
      </c>
      <c r="J59" s="217" t="s">
        <v>2147</v>
      </c>
      <c r="K59" s="122">
        <v>54.549599999999998</v>
      </c>
      <c r="L59" s="122">
        <v>54.549599999999998</v>
      </c>
      <c r="M59" s="277"/>
      <c r="N59" s="278"/>
      <c r="O59" s="175"/>
      <c r="P59" s="175"/>
      <c r="R59" s="122">
        <v>52.5139</v>
      </c>
      <c r="S59" s="122">
        <v>52.5139</v>
      </c>
      <c r="T59" s="122">
        <v>258.05779999999999</v>
      </c>
      <c r="U59" s="122">
        <v>258.05779999999999</v>
      </c>
      <c r="V59" s="122">
        <f t="shared" si="0"/>
        <v>310.57169999999996</v>
      </c>
      <c r="W59" s="122">
        <f t="shared" si="1"/>
        <v>310.57169999999996</v>
      </c>
      <c r="X59" s="174">
        <f t="shared" ref="X59:Y59" si="23">ABS(V59-V61)</f>
        <v>8.0000000000381988E-3</v>
      </c>
      <c r="Y59" s="174">
        <f t="shared" si="23"/>
        <v>8.0000000000381988E-3</v>
      </c>
    </row>
    <row r="60" spans="2:25">
      <c r="B60" s="229" t="s">
        <v>2172</v>
      </c>
      <c r="C60" s="216" t="s">
        <v>2166</v>
      </c>
      <c r="D60" s="217"/>
      <c r="E60" s="217"/>
      <c r="F60" s="217" t="s">
        <v>2146</v>
      </c>
      <c r="G60" s="217">
        <v>5</v>
      </c>
      <c r="H60" s="217" t="s">
        <v>432</v>
      </c>
      <c r="I60" s="217">
        <v>100</v>
      </c>
      <c r="J60" s="217" t="s">
        <v>2156</v>
      </c>
      <c r="K60" s="122">
        <v>54.676000000000002</v>
      </c>
      <c r="L60" s="122">
        <v>54.676000000000002</v>
      </c>
      <c r="M60" s="276">
        <f>SUM(K60:K61)</f>
        <v>109.2296</v>
      </c>
      <c r="N60" s="278">
        <f>SUM(L60:L61)</f>
        <v>109.2296</v>
      </c>
      <c r="O60" s="175"/>
      <c r="P60" s="175"/>
      <c r="R60" s="122">
        <v>52.640300000000003</v>
      </c>
      <c r="S60" s="122">
        <v>52.640300000000003</v>
      </c>
      <c r="T60" s="122">
        <v>258.01889999999997</v>
      </c>
      <c r="U60" s="122">
        <v>258.01889999999997</v>
      </c>
      <c r="V60" s="122">
        <f t="shared" si="0"/>
        <v>310.6592</v>
      </c>
      <c r="W60" s="122">
        <f t="shared" si="1"/>
        <v>310.6592</v>
      </c>
      <c r="X60" s="174"/>
      <c r="Y60" s="174"/>
    </row>
    <row r="61" spans="2:25">
      <c r="B61" s="229" t="s">
        <v>2155</v>
      </c>
      <c r="C61" s="216" t="s">
        <v>2149</v>
      </c>
      <c r="D61" s="217"/>
      <c r="E61" s="217"/>
      <c r="F61" s="217" t="s">
        <v>2146</v>
      </c>
      <c r="G61" s="217">
        <v>5</v>
      </c>
      <c r="H61" s="217" t="s">
        <v>432</v>
      </c>
      <c r="I61" s="217">
        <v>100</v>
      </c>
      <c r="J61" s="217" t="s">
        <v>2156</v>
      </c>
      <c r="K61" s="122">
        <v>54.553600000000003</v>
      </c>
      <c r="L61" s="122">
        <v>54.553600000000003</v>
      </c>
      <c r="M61" s="277"/>
      <c r="N61" s="278"/>
      <c r="O61" s="176"/>
      <c r="P61" s="176"/>
      <c r="R61" s="122">
        <v>52.517900000000004</v>
      </c>
      <c r="S61" s="122">
        <v>52.517900000000004</v>
      </c>
      <c r="T61" s="122">
        <v>258.06180000000001</v>
      </c>
      <c r="U61" s="122">
        <v>258.06180000000001</v>
      </c>
      <c r="V61" s="122">
        <f t="shared" si="0"/>
        <v>310.5797</v>
      </c>
      <c r="W61" s="122">
        <f t="shared" si="1"/>
        <v>310.5797</v>
      </c>
      <c r="X61" s="175"/>
      <c r="Y61" s="175"/>
    </row>
    <row r="62" spans="2:25">
      <c r="B62" s="229" t="s">
        <v>2200</v>
      </c>
      <c r="C62" s="216" t="s">
        <v>2193</v>
      </c>
      <c r="D62" s="217"/>
      <c r="E62" s="217"/>
      <c r="F62" s="217" t="s">
        <v>2181</v>
      </c>
      <c r="G62" s="217">
        <v>5</v>
      </c>
      <c r="H62" s="217" t="s">
        <v>432</v>
      </c>
      <c r="I62" s="217">
        <v>100</v>
      </c>
      <c r="J62" s="217" t="s">
        <v>2182</v>
      </c>
      <c r="K62" s="122">
        <v>54.859000000000002</v>
      </c>
      <c r="L62" s="122">
        <v>54.859000000000002</v>
      </c>
      <c r="M62" s="276">
        <f>SUM(K62:K63)</f>
        <v>109.39150000000001</v>
      </c>
      <c r="N62" s="278">
        <f>SUM(L62:L63)</f>
        <v>109.39150000000001</v>
      </c>
      <c r="O62" s="174">
        <f>ABS(M62-M64)</f>
        <v>3.0000000000143245E-3</v>
      </c>
      <c r="P62" s="174">
        <f>ABS(N62-N64)</f>
        <v>3.0000000000143245E-3</v>
      </c>
      <c r="R62" s="122">
        <v>52.823300000000003</v>
      </c>
      <c r="S62" s="122">
        <v>52.823300000000003</v>
      </c>
      <c r="T62" s="122">
        <v>258.00450000000001</v>
      </c>
      <c r="U62" s="122">
        <v>258.00450000000001</v>
      </c>
      <c r="V62" s="122">
        <f t="shared" si="0"/>
        <v>310.82780000000002</v>
      </c>
      <c r="W62" s="122">
        <f t="shared" si="1"/>
        <v>310.82780000000002</v>
      </c>
      <c r="X62" s="174">
        <f t="shared" ref="X62:Y62" si="24">ABS(V62-V64)</f>
        <v>7.1000000000367436E-3</v>
      </c>
      <c r="Y62" s="174">
        <f t="shared" si="24"/>
        <v>7.1000000000367436E-3</v>
      </c>
    </row>
    <row r="63" spans="2:25">
      <c r="B63" s="229" t="s">
        <v>2180</v>
      </c>
      <c r="C63" s="216" t="s">
        <v>2174</v>
      </c>
      <c r="D63" s="217"/>
      <c r="E63" s="217"/>
      <c r="F63" s="217" t="s">
        <v>2181</v>
      </c>
      <c r="G63" s="217">
        <v>5</v>
      </c>
      <c r="H63" s="217" t="s">
        <v>432</v>
      </c>
      <c r="I63" s="217">
        <v>100</v>
      </c>
      <c r="J63" s="217" t="s">
        <v>2182</v>
      </c>
      <c r="K63" s="122">
        <v>54.532499999999999</v>
      </c>
      <c r="L63" s="122">
        <v>54.532499999999999</v>
      </c>
      <c r="M63" s="277"/>
      <c r="N63" s="278"/>
      <c r="O63" s="175"/>
      <c r="P63" s="175"/>
      <c r="R63" s="122">
        <v>52.4968</v>
      </c>
      <c r="S63" s="122">
        <v>52.4968</v>
      </c>
      <c r="T63" s="122">
        <v>258.0745</v>
      </c>
      <c r="U63" s="122">
        <v>258.0745</v>
      </c>
      <c r="V63" s="122">
        <f t="shared" si="0"/>
        <v>310.57130000000001</v>
      </c>
      <c r="W63" s="122">
        <f t="shared" si="1"/>
        <v>310.57130000000001</v>
      </c>
      <c r="X63" s="174">
        <f t="shared" ref="X63:Y63" si="25">ABS(V63-V65)</f>
        <v>6.3000000000101863E-3</v>
      </c>
      <c r="Y63" s="174">
        <f t="shared" si="25"/>
        <v>6.3000000000101863E-3</v>
      </c>
    </row>
    <row r="64" spans="2:25">
      <c r="B64" s="229" t="s">
        <v>2208</v>
      </c>
      <c r="C64" s="216" t="s">
        <v>2202</v>
      </c>
      <c r="D64" s="217"/>
      <c r="E64" s="217"/>
      <c r="F64" s="217" t="s">
        <v>2181</v>
      </c>
      <c r="G64" s="217">
        <v>5</v>
      </c>
      <c r="H64" s="217" t="s">
        <v>432</v>
      </c>
      <c r="I64" s="217">
        <v>100</v>
      </c>
      <c r="J64" s="217" t="s">
        <v>2191</v>
      </c>
      <c r="K64" s="122">
        <v>54.853200000000001</v>
      </c>
      <c r="L64" s="122">
        <v>54.853200000000001</v>
      </c>
      <c r="M64" s="276">
        <f>SUM(K64:K65)</f>
        <v>109.38849999999999</v>
      </c>
      <c r="N64" s="278">
        <f>SUM(L64:L65)</f>
        <v>109.38849999999999</v>
      </c>
      <c r="O64" s="175"/>
      <c r="P64" s="175"/>
      <c r="R64" s="122">
        <v>52.817500000000003</v>
      </c>
      <c r="S64" s="122">
        <v>52.817500000000003</v>
      </c>
      <c r="T64" s="122">
        <v>258.00319999999999</v>
      </c>
      <c r="U64" s="122">
        <v>258.00319999999999</v>
      </c>
      <c r="V64" s="122">
        <f t="shared" si="0"/>
        <v>310.82069999999999</v>
      </c>
      <c r="W64" s="122">
        <f t="shared" si="1"/>
        <v>310.82069999999999</v>
      </c>
      <c r="X64" s="174"/>
      <c r="Y64" s="174"/>
    </row>
    <row r="65" spans="2:25">
      <c r="B65" s="229" t="s">
        <v>2190</v>
      </c>
      <c r="C65" s="216" t="s">
        <v>2184</v>
      </c>
      <c r="D65" s="217"/>
      <c r="E65" s="217"/>
      <c r="F65" s="217" t="s">
        <v>2181</v>
      </c>
      <c r="G65" s="217">
        <v>5</v>
      </c>
      <c r="H65" s="217" t="s">
        <v>432</v>
      </c>
      <c r="I65" s="217">
        <v>100</v>
      </c>
      <c r="J65" s="217" t="s">
        <v>2191</v>
      </c>
      <c r="K65" s="122">
        <v>54.535299999999999</v>
      </c>
      <c r="L65" s="122">
        <v>54.535299999999999</v>
      </c>
      <c r="M65" s="277"/>
      <c r="N65" s="278"/>
      <c r="O65" s="176"/>
      <c r="P65" s="176"/>
      <c r="R65" s="122">
        <v>52.499600000000001</v>
      </c>
      <c r="S65" s="122">
        <v>52.499600000000001</v>
      </c>
      <c r="T65" s="122">
        <v>258.06540000000001</v>
      </c>
      <c r="U65" s="122">
        <v>258.06540000000001</v>
      </c>
      <c r="V65" s="122">
        <f t="shared" si="0"/>
        <v>310.565</v>
      </c>
      <c r="W65" s="122">
        <f t="shared" si="1"/>
        <v>310.565</v>
      </c>
      <c r="X65" s="175"/>
      <c r="Y65" s="175"/>
    </row>
    <row r="66" spans="2:25">
      <c r="B66" s="229" t="s">
        <v>2235</v>
      </c>
      <c r="C66" s="216" t="s">
        <v>2229</v>
      </c>
      <c r="D66" s="217"/>
      <c r="E66" s="217"/>
      <c r="F66" s="217" t="s">
        <v>2217</v>
      </c>
      <c r="G66" s="217">
        <v>5</v>
      </c>
      <c r="H66" s="217" t="s">
        <v>432</v>
      </c>
      <c r="I66" s="217">
        <v>100</v>
      </c>
      <c r="J66" s="217" t="s">
        <v>2218</v>
      </c>
      <c r="K66" s="122">
        <v>54.564599999999999</v>
      </c>
      <c r="L66" s="122">
        <v>54.564599999999999</v>
      </c>
      <c r="M66" s="276">
        <f>SUM(K66:K67)</f>
        <v>109.01599999999999</v>
      </c>
      <c r="N66" s="278">
        <f>SUM(L66:L67)</f>
        <v>109.01599999999999</v>
      </c>
      <c r="O66" s="174">
        <f>ABS(M66-M68)</f>
        <v>1.1600000000015598E-2</v>
      </c>
      <c r="P66" s="174">
        <f>ABS(N66-N68)</f>
        <v>1.1600000000015598E-2</v>
      </c>
      <c r="R66" s="122">
        <v>52.5289</v>
      </c>
      <c r="S66" s="122">
        <v>52.5289</v>
      </c>
      <c r="T66" s="122">
        <v>258.04399999999998</v>
      </c>
      <c r="U66" s="122">
        <v>258.04399999999998</v>
      </c>
      <c r="V66" s="122">
        <f t="shared" si="0"/>
        <v>310.5729</v>
      </c>
      <c r="W66" s="122">
        <f t="shared" si="1"/>
        <v>310.5729</v>
      </c>
      <c r="X66" s="174">
        <f t="shared" ref="X66:Y66" si="26">ABS(V66-V68)</f>
        <v>9.0000000000145519E-4</v>
      </c>
      <c r="Y66" s="174">
        <f t="shared" si="26"/>
        <v>9.0000000000145519E-4</v>
      </c>
    </row>
    <row r="67" spans="2:25">
      <c r="B67" s="229" t="s">
        <v>2216</v>
      </c>
      <c r="C67" s="216" t="s">
        <v>2210</v>
      </c>
      <c r="D67" s="217"/>
      <c r="E67" s="217"/>
      <c r="F67" s="217" t="s">
        <v>2217</v>
      </c>
      <c r="G67" s="217">
        <v>5</v>
      </c>
      <c r="H67" s="217" t="s">
        <v>432</v>
      </c>
      <c r="I67" s="217">
        <v>100</v>
      </c>
      <c r="J67" s="217" t="s">
        <v>2218</v>
      </c>
      <c r="K67" s="122">
        <v>54.4514</v>
      </c>
      <c r="L67" s="122">
        <v>54.4514</v>
      </c>
      <c r="M67" s="277"/>
      <c r="N67" s="278"/>
      <c r="O67" s="175"/>
      <c r="P67" s="175"/>
      <c r="R67" s="122">
        <v>52.415700000000001</v>
      </c>
      <c r="S67" s="122">
        <v>52.415700000000001</v>
      </c>
      <c r="T67" s="122">
        <v>258.03980000000001</v>
      </c>
      <c r="U67" s="122">
        <v>258.03980000000001</v>
      </c>
      <c r="V67" s="122">
        <f t="shared" si="0"/>
        <v>310.45550000000003</v>
      </c>
      <c r="W67" s="122">
        <f t="shared" si="1"/>
        <v>310.45550000000003</v>
      </c>
      <c r="X67" s="174">
        <f t="shared" ref="X67:Y67" si="27">ABS(V67-V69)</f>
        <v>9.0000000000713953E-3</v>
      </c>
      <c r="Y67" s="174">
        <f t="shared" si="27"/>
        <v>9.0000000000713953E-3</v>
      </c>
    </row>
    <row r="68" spans="2:25">
      <c r="B68" s="229" t="s">
        <v>2243</v>
      </c>
      <c r="C68" s="216" t="s">
        <v>2237</v>
      </c>
      <c r="D68" s="217"/>
      <c r="E68" s="217"/>
      <c r="F68" s="217" t="s">
        <v>2217</v>
      </c>
      <c r="G68" s="217">
        <v>5</v>
      </c>
      <c r="H68" s="217" t="s">
        <v>432</v>
      </c>
      <c r="I68" s="217">
        <v>100</v>
      </c>
      <c r="J68" s="217" t="s">
        <v>2227</v>
      </c>
      <c r="K68" s="122">
        <v>54.555900000000001</v>
      </c>
      <c r="L68" s="122">
        <v>54.555900000000001</v>
      </c>
      <c r="M68" s="276">
        <f>SUM(K68:K69)</f>
        <v>109.02760000000001</v>
      </c>
      <c r="N68" s="278">
        <f>SUM(L68:L69)</f>
        <v>109.02760000000001</v>
      </c>
      <c r="O68" s="175"/>
      <c r="P68" s="175"/>
      <c r="R68" s="122">
        <v>52.520200000000003</v>
      </c>
      <c r="S68" s="122">
        <v>52.520200000000003</v>
      </c>
      <c r="T68" s="122">
        <v>258.05360000000002</v>
      </c>
      <c r="U68" s="122">
        <v>258.05360000000002</v>
      </c>
      <c r="V68" s="122">
        <f t="shared" si="0"/>
        <v>310.57380000000001</v>
      </c>
      <c r="W68" s="122">
        <f t="shared" si="1"/>
        <v>310.57380000000001</v>
      </c>
      <c r="X68" s="174"/>
      <c r="Y68" s="174"/>
    </row>
    <row r="69" spans="2:25">
      <c r="B69" s="229" t="s">
        <v>2226</v>
      </c>
      <c r="C69" s="216" t="s">
        <v>2220</v>
      </c>
      <c r="D69" s="217"/>
      <c r="E69" s="217"/>
      <c r="F69" s="217" t="s">
        <v>2217</v>
      </c>
      <c r="G69" s="217">
        <v>5</v>
      </c>
      <c r="H69" s="217" t="s">
        <v>432</v>
      </c>
      <c r="I69" s="217">
        <v>100</v>
      </c>
      <c r="J69" s="217" t="s">
        <v>2227</v>
      </c>
      <c r="K69" s="122">
        <v>54.471699999999998</v>
      </c>
      <c r="L69" s="122">
        <v>54.471699999999998</v>
      </c>
      <c r="M69" s="277"/>
      <c r="N69" s="278"/>
      <c r="O69" s="176"/>
      <c r="P69" s="176"/>
      <c r="R69" s="122">
        <v>52.436</v>
      </c>
      <c r="S69" s="122">
        <v>52.436</v>
      </c>
      <c r="T69" s="122">
        <v>258.01049999999998</v>
      </c>
      <c r="U69" s="122">
        <v>258.01049999999998</v>
      </c>
      <c r="V69" s="122">
        <f t="shared" si="0"/>
        <v>310.44649999999996</v>
      </c>
      <c r="W69" s="122">
        <f t="shared" si="1"/>
        <v>310.44649999999996</v>
      </c>
      <c r="X69" s="175"/>
      <c r="Y69" s="175"/>
    </row>
    <row r="70" spans="2:25">
      <c r="B70" s="229" t="s">
        <v>2271</v>
      </c>
      <c r="C70" s="216" t="s">
        <v>2264</v>
      </c>
      <c r="D70" s="217"/>
      <c r="E70" s="217"/>
      <c r="F70" s="217" t="s">
        <v>2252</v>
      </c>
      <c r="G70" s="217">
        <v>5</v>
      </c>
      <c r="H70" s="217" t="s">
        <v>432</v>
      </c>
      <c r="I70" s="217">
        <v>100</v>
      </c>
      <c r="J70" s="217" t="s">
        <v>2253</v>
      </c>
      <c r="K70" s="122">
        <v>54.679699999999997</v>
      </c>
      <c r="L70" s="122">
        <v>54.679699999999997</v>
      </c>
      <c r="M70" s="276">
        <f>SUM(K70:K71)</f>
        <v>109.39019999999999</v>
      </c>
      <c r="N70" s="278">
        <f>SUM(L70:L71)</f>
        <v>109.39019999999999</v>
      </c>
      <c r="O70" s="174">
        <f>ABS(M70-M72)</f>
        <v>1.8799999999998818E-2</v>
      </c>
      <c r="P70" s="174">
        <f>ABS(N70-N72)</f>
        <v>1.8799999999998818E-2</v>
      </c>
      <c r="R70" s="122">
        <v>52.643999999999998</v>
      </c>
      <c r="S70" s="122">
        <v>52.643999999999998</v>
      </c>
      <c r="T70" s="122">
        <v>258.00720000000001</v>
      </c>
      <c r="U70" s="122">
        <v>258.00720000000001</v>
      </c>
      <c r="V70" s="122">
        <f t="shared" si="0"/>
        <v>310.65120000000002</v>
      </c>
      <c r="W70" s="122">
        <f t="shared" si="1"/>
        <v>310.65120000000002</v>
      </c>
      <c r="X70" s="174">
        <f t="shared" ref="X70:Y70" si="28">ABS(V70-V72)</f>
        <v>3.0599999999992633E-2</v>
      </c>
      <c r="Y70" s="174">
        <f t="shared" si="28"/>
        <v>3.0599999999992633E-2</v>
      </c>
    </row>
    <row r="71" spans="2:25">
      <c r="B71" s="229" t="s">
        <v>2251</v>
      </c>
      <c r="C71" s="216" t="s">
        <v>2245</v>
      </c>
      <c r="D71" s="217"/>
      <c r="E71" s="217"/>
      <c r="F71" s="217" t="s">
        <v>2252</v>
      </c>
      <c r="G71" s="217">
        <v>5</v>
      </c>
      <c r="H71" s="217" t="s">
        <v>432</v>
      </c>
      <c r="I71" s="217">
        <v>100</v>
      </c>
      <c r="J71" s="217" t="s">
        <v>2253</v>
      </c>
      <c r="K71" s="122">
        <v>54.710500000000003</v>
      </c>
      <c r="L71" s="122">
        <v>54.710500000000003</v>
      </c>
      <c r="M71" s="277"/>
      <c r="N71" s="278"/>
      <c r="O71" s="175"/>
      <c r="P71" s="175"/>
      <c r="R71" s="122">
        <v>52.674800000000005</v>
      </c>
      <c r="S71" s="122">
        <v>52.674800000000005</v>
      </c>
      <c r="T71" s="122">
        <v>257.98110000000003</v>
      </c>
      <c r="U71" s="122">
        <v>257.98110000000003</v>
      </c>
      <c r="V71" s="122">
        <f t="shared" si="0"/>
        <v>310.65590000000003</v>
      </c>
      <c r="W71" s="122">
        <f t="shared" si="1"/>
        <v>310.65590000000003</v>
      </c>
      <c r="X71" s="174">
        <f t="shared" ref="X71:Y71" si="29">ABS(V71-V73)</f>
        <v>9.0999999999894499E-3</v>
      </c>
      <c r="Y71" s="174">
        <f t="shared" si="29"/>
        <v>9.0999999999894499E-3</v>
      </c>
    </row>
    <row r="72" spans="2:25">
      <c r="B72" s="229" t="s">
        <v>2279</v>
      </c>
      <c r="C72" s="216" t="s">
        <v>2273</v>
      </c>
      <c r="D72" s="217"/>
      <c r="E72" s="217"/>
      <c r="F72" s="217" t="s">
        <v>2252</v>
      </c>
      <c r="G72" s="217">
        <v>5</v>
      </c>
      <c r="H72" s="217" t="s">
        <v>432</v>
      </c>
      <c r="I72" s="217">
        <v>100</v>
      </c>
      <c r="J72" s="217" t="s">
        <v>2262</v>
      </c>
      <c r="K72" s="122">
        <v>54.6586</v>
      </c>
      <c r="L72" s="122">
        <v>54.6586</v>
      </c>
      <c r="M72" s="276">
        <f>SUM(K72:K73)</f>
        <v>109.37139999999999</v>
      </c>
      <c r="N72" s="278">
        <f>SUM(L72:L73)</f>
        <v>109.37139999999999</v>
      </c>
      <c r="O72" s="175"/>
      <c r="P72" s="175"/>
      <c r="R72" s="122">
        <v>52.622900000000001</v>
      </c>
      <c r="S72" s="122">
        <v>52.622900000000001</v>
      </c>
      <c r="T72" s="122">
        <v>257.99770000000001</v>
      </c>
      <c r="U72" s="122">
        <v>257.99770000000001</v>
      </c>
      <c r="V72" s="122">
        <f t="shared" si="0"/>
        <v>310.62060000000002</v>
      </c>
      <c r="W72" s="122">
        <f t="shared" si="1"/>
        <v>310.62060000000002</v>
      </c>
      <c r="X72" s="174"/>
      <c r="Y72" s="174"/>
    </row>
    <row r="73" spans="2:25">
      <c r="B73" s="229" t="s">
        <v>2261</v>
      </c>
      <c r="C73" s="216" t="s">
        <v>2255</v>
      </c>
      <c r="D73" s="217"/>
      <c r="E73" s="217"/>
      <c r="F73" s="217" t="s">
        <v>2252</v>
      </c>
      <c r="G73" s="217">
        <v>5</v>
      </c>
      <c r="H73" s="217" t="s">
        <v>432</v>
      </c>
      <c r="I73" s="217">
        <v>100</v>
      </c>
      <c r="J73" s="217" t="s">
        <v>2262</v>
      </c>
      <c r="K73" s="122">
        <v>54.712800000000001</v>
      </c>
      <c r="L73" s="122">
        <v>54.712800000000001</v>
      </c>
      <c r="M73" s="277"/>
      <c r="N73" s="278"/>
      <c r="O73" s="176"/>
      <c r="P73" s="176"/>
      <c r="R73" s="122">
        <v>52.677100000000003</v>
      </c>
      <c r="S73" s="122">
        <v>52.677100000000003</v>
      </c>
      <c r="T73" s="122">
        <v>257.98790000000002</v>
      </c>
      <c r="U73" s="122">
        <v>257.98790000000002</v>
      </c>
      <c r="V73" s="122">
        <f t="shared" si="0"/>
        <v>310.66500000000002</v>
      </c>
      <c r="W73" s="122">
        <f t="shared" si="1"/>
        <v>310.66500000000002</v>
      </c>
      <c r="X73" s="175"/>
      <c r="Y73" s="175"/>
    </row>
    <row r="74" spans="2:25">
      <c r="B74" s="229" t="s">
        <v>2342</v>
      </c>
      <c r="C74" s="216" t="s">
        <v>2336</v>
      </c>
      <c r="D74" s="217"/>
      <c r="E74" s="217"/>
      <c r="F74" s="217" t="s">
        <v>2324</v>
      </c>
      <c r="G74" s="217">
        <v>5</v>
      </c>
      <c r="H74" s="217" t="s">
        <v>432</v>
      </c>
      <c r="I74" s="217">
        <v>100</v>
      </c>
      <c r="J74" s="217" t="s">
        <v>2325</v>
      </c>
      <c r="K74" s="122">
        <v>54.716900000000003</v>
      </c>
      <c r="L74" s="122">
        <v>54.716900000000003</v>
      </c>
      <c r="M74" s="276">
        <f>SUM(K74:K75)</f>
        <v>109.24010000000001</v>
      </c>
      <c r="N74" s="278">
        <f>SUM(L74:L75)</f>
        <v>109.24010000000001</v>
      </c>
      <c r="O74" s="174">
        <f>ABS(M74-M76)</f>
        <v>4.9999999999954525E-3</v>
      </c>
      <c r="P74" s="174">
        <f>ABS(N74-N76)</f>
        <v>4.9999999999954525E-3</v>
      </c>
      <c r="R74" s="122">
        <v>52.681200000000004</v>
      </c>
      <c r="S74" s="122">
        <v>52.681200000000004</v>
      </c>
      <c r="T74" s="122">
        <v>258.0412</v>
      </c>
      <c r="U74" s="122">
        <v>258.0412</v>
      </c>
      <c r="V74" s="122">
        <f t="shared" si="0"/>
        <v>310.72239999999999</v>
      </c>
      <c r="W74" s="122">
        <f t="shared" si="1"/>
        <v>310.72239999999999</v>
      </c>
      <c r="X74" s="174">
        <f t="shared" ref="X74:Y74" si="30">ABS(V74-V76)</f>
        <v>8.399999999994634E-3</v>
      </c>
      <c r="Y74" s="174">
        <f t="shared" si="30"/>
        <v>8.399999999994634E-3</v>
      </c>
    </row>
    <row r="75" spans="2:25">
      <c r="B75" s="229" t="s">
        <v>2323</v>
      </c>
      <c r="C75" s="216" t="s">
        <v>2317</v>
      </c>
      <c r="D75" s="217"/>
      <c r="E75" s="217"/>
      <c r="F75" s="217" t="s">
        <v>2324</v>
      </c>
      <c r="G75" s="217">
        <v>5</v>
      </c>
      <c r="H75" s="217" t="s">
        <v>432</v>
      </c>
      <c r="I75" s="217">
        <v>100</v>
      </c>
      <c r="J75" s="217" t="s">
        <v>2325</v>
      </c>
      <c r="K75" s="122">
        <v>54.523200000000003</v>
      </c>
      <c r="L75" s="122">
        <v>54.523200000000003</v>
      </c>
      <c r="M75" s="277"/>
      <c r="N75" s="278"/>
      <c r="O75" s="175"/>
      <c r="P75" s="175"/>
      <c r="R75" s="122">
        <v>52.487500000000004</v>
      </c>
      <c r="S75" s="122">
        <v>52.487500000000004</v>
      </c>
      <c r="T75" s="122">
        <v>258.04570000000001</v>
      </c>
      <c r="U75" s="122">
        <v>258.04570000000001</v>
      </c>
      <c r="V75" s="122">
        <f t="shared" si="0"/>
        <v>310.53320000000002</v>
      </c>
      <c r="W75" s="122">
        <f t="shared" si="1"/>
        <v>310.53320000000002</v>
      </c>
      <c r="X75" s="174">
        <f t="shared" ref="X75:Y75" si="31">ABS(V75-V77)</f>
        <v>3.999999999564352E-4</v>
      </c>
      <c r="Y75" s="174">
        <f t="shared" si="31"/>
        <v>3.999999999564352E-4</v>
      </c>
    </row>
    <row r="76" spans="2:25">
      <c r="B76" s="229" t="s">
        <v>2350</v>
      </c>
      <c r="C76" s="216" t="s">
        <v>2344</v>
      </c>
      <c r="D76" s="217"/>
      <c r="E76" s="217"/>
      <c r="F76" s="217" t="s">
        <v>2324</v>
      </c>
      <c r="G76" s="217">
        <v>5</v>
      </c>
      <c r="H76" s="217" t="s">
        <v>432</v>
      </c>
      <c r="I76" s="217">
        <v>100</v>
      </c>
      <c r="J76" s="217" t="s">
        <v>2334</v>
      </c>
      <c r="K76" s="122">
        <v>54.7211</v>
      </c>
      <c r="L76" s="122">
        <v>54.7211</v>
      </c>
      <c r="M76" s="276">
        <f>SUM(K76:K77)</f>
        <v>109.24510000000001</v>
      </c>
      <c r="N76" s="278">
        <f>SUM(L76:L77)</f>
        <v>109.24510000000001</v>
      </c>
      <c r="O76" s="175"/>
      <c r="P76" s="175"/>
      <c r="R76" s="122">
        <v>52.685400000000001</v>
      </c>
      <c r="S76" s="122">
        <v>52.685400000000001</v>
      </c>
      <c r="T76" s="122">
        <v>258.04539999999997</v>
      </c>
      <c r="U76" s="122">
        <v>258.04539999999997</v>
      </c>
      <c r="V76" s="122">
        <f t="shared" si="0"/>
        <v>310.73079999999999</v>
      </c>
      <c r="W76" s="122">
        <f t="shared" si="1"/>
        <v>310.73079999999999</v>
      </c>
      <c r="X76" s="174"/>
      <c r="Y76" s="174"/>
    </row>
    <row r="77" spans="2:25">
      <c r="B77" s="229" t="s">
        <v>2333</v>
      </c>
      <c r="C77" s="216" t="s">
        <v>2327</v>
      </c>
      <c r="D77" s="217"/>
      <c r="E77" s="217"/>
      <c r="F77" s="217" t="s">
        <v>2324</v>
      </c>
      <c r="G77" s="217">
        <v>5</v>
      </c>
      <c r="H77" s="217" t="s">
        <v>432</v>
      </c>
      <c r="I77" s="217">
        <v>100</v>
      </c>
      <c r="J77" s="217" t="s">
        <v>2334</v>
      </c>
      <c r="K77" s="122">
        <v>54.524000000000001</v>
      </c>
      <c r="L77" s="122">
        <v>54.524000000000001</v>
      </c>
      <c r="M77" s="277"/>
      <c r="N77" s="278"/>
      <c r="O77" s="176"/>
      <c r="P77" s="176"/>
      <c r="R77" s="122">
        <v>52.488300000000002</v>
      </c>
      <c r="S77" s="122">
        <v>52.488300000000002</v>
      </c>
      <c r="T77" s="122">
        <v>258.0453</v>
      </c>
      <c r="U77" s="122">
        <v>258.0453</v>
      </c>
      <c r="V77" s="122">
        <f t="shared" si="0"/>
        <v>310.53359999999998</v>
      </c>
      <c r="W77" s="122">
        <f t="shared" si="1"/>
        <v>310.53359999999998</v>
      </c>
      <c r="X77" s="175"/>
      <c r="Y77" s="175"/>
    </row>
    <row r="78" spans="2:25">
      <c r="B78" s="229" t="s">
        <v>2377</v>
      </c>
      <c r="C78" s="216" t="s">
        <v>2371</v>
      </c>
      <c r="D78" s="217"/>
      <c r="E78" s="217"/>
      <c r="F78" s="217" t="s">
        <v>2359</v>
      </c>
      <c r="G78" s="217">
        <v>5</v>
      </c>
      <c r="H78" s="217" t="s">
        <v>432</v>
      </c>
      <c r="I78" s="217">
        <v>100</v>
      </c>
      <c r="J78" s="217" t="s">
        <v>2360</v>
      </c>
      <c r="K78" s="122">
        <v>54.576099999999997</v>
      </c>
      <c r="L78" s="122">
        <v>54.576099999999997</v>
      </c>
      <c r="M78" s="276">
        <f>SUM(K78:K79)</f>
        <v>109.2092</v>
      </c>
      <c r="N78" s="278">
        <f>SUM(L78:L79)</f>
        <v>109.2092</v>
      </c>
      <c r="O78" s="174">
        <f>ABS(M78-M80)</f>
        <v>7.3000000000007503E-3</v>
      </c>
      <c r="P78" s="174">
        <f>ABS(N78-N80)</f>
        <v>7.3000000000007503E-3</v>
      </c>
      <c r="R78" s="122">
        <v>52.540399999999998</v>
      </c>
      <c r="S78" s="122">
        <v>52.540399999999998</v>
      </c>
      <c r="T78" s="122">
        <v>258.08999999999997</v>
      </c>
      <c r="U78" s="122">
        <v>258.08999999999997</v>
      </c>
      <c r="V78" s="122">
        <f t="shared" si="0"/>
        <v>310.63039999999995</v>
      </c>
      <c r="W78" s="122">
        <f t="shared" si="1"/>
        <v>310.63039999999995</v>
      </c>
      <c r="X78" s="174">
        <f t="shared" ref="X78:Y78" si="32">ABS(V78-V80)</f>
        <v>3.4599999999954889E-2</v>
      </c>
      <c r="Y78" s="174">
        <f t="shared" si="32"/>
        <v>3.4599999999954889E-2</v>
      </c>
    </row>
    <row r="79" spans="2:25">
      <c r="B79" s="229" t="s">
        <v>2358</v>
      </c>
      <c r="C79" s="216" t="s">
        <v>2352</v>
      </c>
      <c r="D79" s="217"/>
      <c r="E79" s="217"/>
      <c r="F79" s="217" t="s">
        <v>2359</v>
      </c>
      <c r="G79" s="217">
        <v>5</v>
      </c>
      <c r="H79" s="217" t="s">
        <v>432</v>
      </c>
      <c r="I79" s="217">
        <v>100</v>
      </c>
      <c r="J79" s="217" t="s">
        <v>2360</v>
      </c>
      <c r="K79" s="122">
        <v>54.633099999999999</v>
      </c>
      <c r="L79" s="122">
        <v>54.633099999999999</v>
      </c>
      <c r="M79" s="277"/>
      <c r="N79" s="278"/>
      <c r="O79" s="175"/>
      <c r="P79" s="175"/>
      <c r="R79" s="122">
        <v>52.5974</v>
      </c>
      <c r="S79" s="122">
        <v>52.5974</v>
      </c>
      <c r="T79" s="122">
        <v>258.005</v>
      </c>
      <c r="U79" s="122">
        <v>258.005</v>
      </c>
      <c r="V79" s="122">
        <f t="shared" ref="V79:V142" si="33">SUM(R79,T79)</f>
        <v>310.60239999999999</v>
      </c>
      <c r="W79" s="122">
        <f t="shared" ref="W79:W142" si="34">SUM(S79,U79)</f>
        <v>310.60239999999999</v>
      </c>
      <c r="X79" s="174">
        <f t="shared" ref="X79:Y79" si="35">ABS(V79-V81)</f>
        <v>4.2000000000257387E-3</v>
      </c>
      <c r="Y79" s="174">
        <f t="shared" si="35"/>
        <v>4.2000000000257387E-3</v>
      </c>
    </row>
    <row r="80" spans="2:25">
      <c r="B80" s="229" t="s">
        <v>2385</v>
      </c>
      <c r="C80" s="216" t="s">
        <v>2379</v>
      </c>
      <c r="D80" s="217"/>
      <c r="E80" s="217"/>
      <c r="F80" s="217" t="s">
        <v>2359</v>
      </c>
      <c r="G80" s="217">
        <v>5</v>
      </c>
      <c r="H80" s="217" t="s">
        <v>432</v>
      </c>
      <c r="I80" s="217">
        <v>100</v>
      </c>
      <c r="J80" s="217" t="s">
        <v>2369</v>
      </c>
      <c r="K80" s="122">
        <v>54.584299999999999</v>
      </c>
      <c r="L80" s="122">
        <v>54.584299999999999</v>
      </c>
      <c r="M80" s="276">
        <f>SUM(K80:K81)</f>
        <v>109.2165</v>
      </c>
      <c r="N80" s="278">
        <f>SUM(L80:L81)</f>
        <v>109.2165</v>
      </c>
      <c r="O80" s="175"/>
      <c r="P80" s="175"/>
      <c r="R80" s="122">
        <v>52.5486</v>
      </c>
      <c r="S80" s="122">
        <v>52.5486</v>
      </c>
      <c r="T80" s="122">
        <v>258.04719999999998</v>
      </c>
      <c r="U80" s="122">
        <v>258.04719999999998</v>
      </c>
      <c r="V80" s="122">
        <f t="shared" si="33"/>
        <v>310.5958</v>
      </c>
      <c r="W80" s="122">
        <f t="shared" si="34"/>
        <v>310.5958</v>
      </c>
      <c r="X80" s="174"/>
      <c r="Y80" s="174"/>
    </row>
    <row r="81" spans="2:25">
      <c r="B81" s="229" t="s">
        <v>2368</v>
      </c>
      <c r="C81" s="216" t="s">
        <v>2362</v>
      </c>
      <c r="D81" s="217"/>
      <c r="E81" s="217"/>
      <c r="F81" s="217" t="s">
        <v>2359</v>
      </c>
      <c r="G81" s="217">
        <v>5</v>
      </c>
      <c r="H81" s="217" t="s">
        <v>432</v>
      </c>
      <c r="I81" s="217">
        <v>100</v>
      </c>
      <c r="J81" s="217" t="s">
        <v>2369</v>
      </c>
      <c r="K81" s="122">
        <v>54.632199999999997</v>
      </c>
      <c r="L81" s="122">
        <v>54.632199999999997</v>
      </c>
      <c r="M81" s="277"/>
      <c r="N81" s="278"/>
      <c r="O81" s="176"/>
      <c r="P81" s="176"/>
      <c r="R81" s="122">
        <v>52.596499999999999</v>
      </c>
      <c r="S81" s="122">
        <v>52.596499999999999</v>
      </c>
      <c r="T81" s="122">
        <v>258.01010000000002</v>
      </c>
      <c r="U81" s="122">
        <v>258.01010000000002</v>
      </c>
      <c r="V81" s="122">
        <f t="shared" si="33"/>
        <v>310.60660000000001</v>
      </c>
      <c r="W81" s="122">
        <f t="shared" si="34"/>
        <v>310.60660000000001</v>
      </c>
      <c r="X81" s="175"/>
      <c r="Y81" s="175"/>
    </row>
    <row r="82" spans="2:25">
      <c r="B82" s="229" t="s">
        <v>2412</v>
      </c>
      <c r="C82" s="216" t="s">
        <v>2405</v>
      </c>
      <c r="D82" s="217"/>
      <c r="E82" s="217"/>
      <c r="F82" s="217" t="s">
        <v>2394</v>
      </c>
      <c r="G82" s="217">
        <v>5</v>
      </c>
      <c r="H82" s="217" t="s">
        <v>432</v>
      </c>
      <c r="I82" s="217">
        <v>100</v>
      </c>
      <c r="J82" s="217" t="s">
        <v>2395</v>
      </c>
      <c r="K82" s="122">
        <v>54.796599999999998</v>
      </c>
      <c r="L82" s="122">
        <v>54.796599999999998</v>
      </c>
      <c r="M82" s="276">
        <f>SUM(K82:K83)</f>
        <v>109.501</v>
      </c>
      <c r="N82" s="278">
        <f>SUM(L82:L83)</f>
        <v>109.501</v>
      </c>
      <c r="O82" s="174">
        <f>ABS(M82-M84)</f>
        <v>6.0900000000003729E-2</v>
      </c>
      <c r="P82" s="174">
        <f>ABS(N82-N84)</f>
        <v>6.0900000000003729E-2</v>
      </c>
      <c r="R82" s="122">
        <v>52.760899999999999</v>
      </c>
      <c r="S82" s="122">
        <v>52.760899999999999</v>
      </c>
      <c r="T82" s="122">
        <v>258.00529999999998</v>
      </c>
      <c r="U82" s="122">
        <v>258.00529999999998</v>
      </c>
      <c r="V82" s="122">
        <f t="shared" si="33"/>
        <v>310.76619999999997</v>
      </c>
      <c r="W82" s="122">
        <f t="shared" si="34"/>
        <v>310.76619999999997</v>
      </c>
      <c r="X82" s="174">
        <f t="shared" ref="X82:Y82" si="36">ABS(V82-V84)</f>
        <v>4.9000000000035016E-2</v>
      </c>
      <c r="Y82" s="174">
        <f t="shared" si="36"/>
        <v>4.9000000000035016E-2</v>
      </c>
    </row>
    <row r="83" spans="2:25">
      <c r="B83" s="229" t="s">
        <v>2393</v>
      </c>
      <c r="C83" s="216" t="s">
        <v>2387</v>
      </c>
      <c r="D83" s="217"/>
      <c r="E83" s="217"/>
      <c r="F83" s="217" t="s">
        <v>2394</v>
      </c>
      <c r="G83" s="217">
        <v>5</v>
      </c>
      <c r="H83" s="217" t="s">
        <v>432</v>
      </c>
      <c r="I83" s="217">
        <v>100</v>
      </c>
      <c r="J83" s="217" t="s">
        <v>2395</v>
      </c>
      <c r="K83" s="122">
        <v>54.7044</v>
      </c>
      <c r="L83" s="122">
        <v>54.7044</v>
      </c>
      <c r="M83" s="277"/>
      <c r="N83" s="278"/>
      <c r="O83" s="175"/>
      <c r="P83" s="175"/>
      <c r="R83" s="122">
        <v>52.668700000000001</v>
      </c>
      <c r="S83" s="122">
        <v>52.668700000000001</v>
      </c>
      <c r="T83" s="122">
        <v>257.99779999999998</v>
      </c>
      <c r="U83" s="122">
        <v>257.99779999999998</v>
      </c>
      <c r="V83" s="122">
        <f t="shared" si="33"/>
        <v>310.66649999999998</v>
      </c>
      <c r="W83" s="122">
        <f t="shared" si="34"/>
        <v>310.66649999999998</v>
      </c>
      <c r="X83" s="174">
        <f t="shared" ref="X83:Y83" si="37">ABS(V83-V85)</f>
        <v>2.1099999999989905E-2</v>
      </c>
      <c r="Y83" s="174">
        <f t="shared" si="37"/>
        <v>2.1099999999989905E-2</v>
      </c>
    </row>
    <row r="84" spans="2:25">
      <c r="B84" s="229" t="s">
        <v>2420</v>
      </c>
      <c r="C84" s="216" t="s">
        <v>2414</v>
      </c>
      <c r="D84" s="217"/>
      <c r="E84" s="217"/>
      <c r="F84" s="217" t="s">
        <v>2394</v>
      </c>
      <c r="G84" s="217">
        <v>5</v>
      </c>
      <c r="H84" s="217" t="s">
        <v>432</v>
      </c>
      <c r="I84" s="217">
        <v>100</v>
      </c>
      <c r="J84" s="217" t="s">
        <v>760</v>
      </c>
      <c r="K84" s="122">
        <v>54.845399999999998</v>
      </c>
      <c r="L84" s="122">
        <v>54.845399999999998</v>
      </c>
      <c r="M84" s="276">
        <f>SUM(K84:K85)</f>
        <v>109.56190000000001</v>
      </c>
      <c r="N84" s="278">
        <f>SUM(L84:L85)</f>
        <v>109.56190000000001</v>
      </c>
      <c r="O84" s="175"/>
      <c r="P84" s="175"/>
      <c r="R84" s="122">
        <v>52.809699999999999</v>
      </c>
      <c r="S84" s="122">
        <v>52.809699999999999</v>
      </c>
      <c r="T84" s="122">
        <v>258.00549999999998</v>
      </c>
      <c r="U84" s="122">
        <v>258.00549999999998</v>
      </c>
      <c r="V84" s="122">
        <f t="shared" si="33"/>
        <v>310.8152</v>
      </c>
      <c r="W84" s="122">
        <f t="shared" si="34"/>
        <v>310.8152</v>
      </c>
      <c r="X84" s="174"/>
      <c r="Y84" s="174"/>
    </row>
    <row r="85" spans="2:25">
      <c r="B85" s="229" t="s">
        <v>2403</v>
      </c>
      <c r="C85" s="216" t="s">
        <v>2397</v>
      </c>
      <c r="D85" s="217"/>
      <c r="E85" s="217"/>
      <c r="F85" s="217" t="s">
        <v>2394</v>
      </c>
      <c r="G85" s="217">
        <v>5</v>
      </c>
      <c r="H85" s="217" t="s">
        <v>432</v>
      </c>
      <c r="I85" s="217">
        <v>100</v>
      </c>
      <c r="J85" s="217" t="s">
        <v>760</v>
      </c>
      <c r="K85" s="122">
        <v>54.716500000000003</v>
      </c>
      <c r="L85" s="122">
        <v>54.716500000000003</v>
      </c>
      <c r="M85" s="277"/>
      <c r="N85" s="278"/>
      <c r="O85" s="176"/>
      <c r="P85" s="176"/>
      <c r="R85" s="122">
        <v>52.680800000000005</v>
      </c>
      <c r="S85" s="122">
        <v>52.680800000000005</v>
      </c>
      <c r="T85" s="122">
        <v>258.0068</v>
      </c>
      <c r="U85" s="122">
        <v>258.0068</v>
      </c>
      <c r="V85" s="122">
        <f t="shared" si="33"/>
        <v>310.68759999999997</v>
      </c>
      <c r="W85" s="122">
        <f t="shared" si="34"/>
        <v>310.68759999999997</v>
      </c>
      <c r="X85" s="175"/>
      <c r="Y85" s="175"/>
    </row>
    <row r="86" spans="2:25">
      <c r="B86" s="229" t="s">
        <v>2446</v>
      </c>
      <c r="C86" s="216" t="s">
        <v>2440</v>
      </c>
      <c r="D86" s="217"/>
      <c r="E86" s="217"/>
      <c r="F86" s="217" t="s">
        <v>2429</v>
      </c>
      <c r="G86" s="217">
        <v>5</v>
      </c>
      <c r="H86" s="217" t="s">
        <v>432</v>
      </c>
      <c r="I86" s="217">
        <v>100</v>
      </c>
      <c r="J86" s="217" t="s">
        <v>770</v>
      </c>
      <c r="K86" s="122">
        <v>54.742899999999999</v>
      </c>
      <c r="L86" s="122">
        <v>54.742899999999999</v>
      </c>
      <c r="M86" s="276">
        <f>SUM(K86:K87)</f>
        <v>109.56659999999999</v>
      </c>
      <c r="N86" s="278">
        <f>SUM(L86:L87)</f>
        <v>109.56659999999999</v>
      </c>
      <c r="O86" s="174">
        <f>ABS(M86-M88)</f>
        <v>1.3499999999993406E-2</v>
      </c>
      <c r="P86" s="174">
        <f>ABS(N86-N88)</f>
        <v>1.3499999999993406E-2</v>
      </c>
      <c r="R86" s="122">
        <v>52.7072</v>
      </c>
      <c r="S86" s="122">
        <v>52.7072</v>
      </c>
      <c r="T86" s="122">
        <v>258.07080000000002</v>
      </c>
      <c r="U86" s="122">
        <v>258.07080000000002</v>
      </c>
      <c r="V86" s="122">
        <f t="shared" si="33"/>
        <v>310.77800000000002</v>
      </c>
      <c r="W86" s="122">
        <f t="shared" si="34"/>
        <v>310.77800000000002</v>
      </c>
      <c r="X86" s="174">
        <f t="shared" ref="X86:Y86" si="38">ABS(V86-V88)</f>
        <v>4.7999999999888132E-3</v>
      </c>
      <c r="Y86" s="174">
        <f t="shared" si="38"/>
        <v>4.7999999999888132E-3</v>
      </c>
    </row>
    <row r="87" spans="2:25">
      <c r="B87" s="229" t="s">
        <v>2428</v>
      </c>
      <c r="C87" s="216" t="s">
        <v>2422</v>
      </c>
      <c r="D87" s="217"/>
      <c r="E87" s="217"/>
      <c r="F87" s="217" t="s">
        <v>2429</v>
      </c>
      <c r="G87" s="217">
        <v>5</v>
      </c>
      <c r="H87" s="217" t="s">
        <v>432</v>
      </c>
      <c r="I87" s="217">
        <v>100</v>
      </c>
      <c r="J87" s="217" t="s">
        <v>770</v>
      </c>
      <c r="K87" s="122">
        <v>54.823700000000002</v>
      </c>
      <c r="L87" s="122">
        <v>54.823700000000002</v>
      </c>
      <c r="M87" s="277"/>
      <c r="N87" s="278"/>
      <c r="O87" s="175"/>
      <c r="P87" s="175"/>
      <c r="R87" s="122">
        <v>52.788000000000004</v>
      </c>
      <c r="S87" s="122">
        <v>52.788000000000004</v>
      </c>
      <c r="T87" s="122">
        <v>258.00330000000002</v>
      </c>
      <c r="U87" s="122">
        <v>258.00330000000002</v>
      </c>
      <c r="V87" s="122">
        <f t="shared" si="33"/>
        <v>310.79130000000004</v>
      </c>
      <c r="W87" s="122">
        <f t="shared" si="34"/>
        <v>310.79130000000004</v>
      </c>
      <c r="X87" s="174">
        <f t="shared" ref="X87:Y87" si="39">ABS(V87-V89)</f>
        <v>1.8000000000597538E-3</v>
      </c>
      <c r="Y87" s="174">
        <f t="shared" si="39"/>
        <v>1.8000000000597538E-3</v>
      </c>
    </row>
    <row r="88" spans="2:25">
      <c r="B88" s="229" t="s">
        <v>2454</v>
      </c>
      <c r="C88" s="216" t="s">
        <v>2448</v>
      </c>
      <c r="D88" s="217"/>
      <c r="E88" s="217"/>
      <c r="F88" s="217" t="s">
        <v>2429</v>
      </c>
      <c r="G88" s="217">
        <v>5</v>
      </c>
      <c r="H88" s="217" t="s">
        <v>432</v>
      </c>
      <c r="I88" s="217">
        <v>100</v>
      </c>
      <c r="J88" s="217" t="s">
        <v>2438</v>
      </c>
      <c r="K88" s="122">
        <v>54.731999999999999</v>
      </c>
      <c r="L88" s="122">
        <v>54.731999999999999</v>
      </c>
      <c r="M88" s="276">
        <f>SUM(K88:K89)</f>
        <v>109.5531</v>
      </c>
      <c r="N88" s="278">
        <f>SUM(L88:L89)</f>
        <v>109.5531</v>
      </c>
      <c r="O88" s="175"/>
      <c r="P88" s="175"/>
      <c r="R88" s="122">
        <v>52.696300000000001</v>
      </c>
      <c r="S88" s="122">
        <v>52.696300000000001</v>
      </c>
      <c r="T88" s="122">
        <v>258.07690000000002</v>
      </c>
      <c r="U88" s="122">
        <v>258.07690000000002</v>
      </c>
      <c r="V88" s="122">
        <f t="shared" si="33"/>
        <v>310.77320000000003</v>
      </c>
      <c r="W88" s="122">
        <f t="shared" si="34"/>
        <v>310.77320000000003</v>
      </c>
      <c r="X88" s="174"/>
      <c r="Y88" s="174"/>
    </row>
    <row r="89" spans="2:25">
      <c r="B89" s="229" t="s">
        <v>2437</v>
      </c>
      <c r="C89" s="216" t="s">
        <v>2431</v>
      </c>
      <c r="D89" s="217"/>
      <c r="E89" s="217"/>
      <c r="F89" s="217" t="s">
        <v>2429</v>
      </c>
      <c r="G89" s="217">
        <v>5</v>
      </c>
      <c r="H89" s="217" t="s">
        <v>432</v>
      </c>
      <c r="I89" s="217">
        <v>100</v>
      </c>
      <c r="J89" s="217" t="s">
        <v>2438</v>
      </c>
      <c r="K89" s="122">
        <v>54.821100000000001</v>
      </c>
      <c r="L89" s="122">
        <v>54.821100000000001</v>
      </c>
      <c r="M89" s="277"/>
      <c r="N89" s="278"/>
      <c r="O89" s="176"/>
      <c r="P89" s="176"/>
      <c r="R89" s="122">
        <v>52.785400000000003</v>
      </c>
      <c r="S89" s="122">
        <v>52.785400000000003</v>
      </c>
      <c r="T89" s="122">
        <v>258.00409999999999</v>
      </c>
      <c r="U89" s="122">
        <v>258.00409999999999</v>
      </c>
      <c r="V89" s="122">
        <f t="shared" si="33"/>
        <v>310.78949999999998</v>
      </c>
      <c r="W89" s="122">
        <f t="shared" si="34"/>
        <v>310.78949999999998</v>
      </c>
      <c r="X89" s="175"/>
      <c r="Y89" s="175"/>
    </row>
    <row r="90" spans="2:25">
      <c r="B90" s="229" t="s">
        <v>2482</v>
      </c>
      <c r="C90" s="216" t="s">
        <v>2476</v>
      </c>
      <c r="D90" s="217"/>
      <c r="E90" s="217"/>
      <c r="F90" s="217" t="s">
        <v>2464</v>
      </c>
      <c r="G90" s="217">
        <v>5</v>
      </c>
      <c r="H90" s="217" t="s">
        <v>432</v>
      </c>
      <c r="I90" s="217">
        <v>100</v>
      </c>
      <c r="J90" s="217" t="s">
        <v>2465</v>
      </c>
      <c r="K90" s="122">
        <v>54.648699999999998</v>
      </c>
      <c r="L90" s="122">
        <v>54.648699999999998</v>
      </c>
      <c r="M90" s="276">
        <f>SUM(K90:K91)</f>
        <v>109.2058</v>
      </c>
      <c r="N90" s="278">
        <f>SUM(L90:L91)</f>
        <v>109.2058</v>
      </c>
      <c r="O90" s="174">
        <f>ABS(M90-M92)</f>
        <v>1.4600000000001501E-2</v>
      </c>
      <c r="P90" s="174">
        <f>ABS(N90-N92)</f>
        <v>1.4600000000001501E-2</v>
      </c>
      <c r="R90" s="122">
        <v>52.613</v>
      </c>
      <c r="S90" s="122">
        <v>52.613</v>
      </c>
      <c r="T90" s="122">
        <v>258.00069999999999</v>
      </c>
      <c r="U90" s="122">
        <v>258.00069999999999</v>
      </c>
      <c r="V90" s="122">
        <f t="shared" si="33"/>
        <v>310.61369999999999</v>
      </c>
      <c r="W90" s="122">
        <f t="shared" si="34"/>
        <v>310.61369999999999</v>
      </c>
      <c r="X90" s="174">
        <f t="shared" ref="X90:Y90" si="40">ABS(V90-V92)</f>
        <v>9.9999999997635314E-4</v>
      </c>
      <c r="Y90" s="174">
        <f t="shared" si="40"/>
        <v>9.9999999997635314E-4</v>
      </c>
    </row>
    <row r="91" spans="2:25">
      <c r="B91" s="229" t="s">
        <v>2463</v>
      </c>
      <c r="C91" s="216" t="s">
        <v>2456</v>
      </c>
      <c r="D91" s="217"/>
      <c r="E91" s="217"/>
      <c r="F91" s="217" t="s">
        <v>2464</v>
      </c>
      <c r="G91" s="217">
        <v>5</v>
      </c>
      <c r="H91" s="217" t="s">
        <v>432</v>
      </c>
      <c r="I91" s="217">
        <v>100</v>
      </c>
      <c r="J91" s="217" t="s">
        <v>2465</v>
      </c>
      <c r="K91" s="122">
        <v>54.557099999999998</v>
      </c>
      <c r="L91" s="122">
        <v>54.557099999999998</v>
      </c>
      <c r="M91" s="277"/>
      <c r="N91" s="278"/>
      <c r="O91" s="175"/>
      <c r="P91" s="175"/>
      <c r="R91" s="122">
        <v>52.5214</v>
      </c>
      <c r="S91" s="122">
        <v>52.5214</v>
      </c>
      <c r="T91" s="122">
        <v>258.06029999999998</v>
      </c>
      <c r="U91" s="122">
        <v>258.06029999999998</v>
      </c>
      <c r="V91" s="122">
        <f t="shared" si="33"/>
        <v>310.58169999999996</v>
      </c>
      <c r="W91" s="122">
        <f t="shared" si="34"/>
        <v>310.58169999999996</v>
      </c>
      <c r="X91" s="174">
        <f t="shared" ref="X91:Y91" si="41">ABS(V91-V93)</f>
        <v>1.1999999999829924E-3</v>
      </c>
      <c r="Y91" s="174">
        <f t="shared" si="41"/>
        <v>1.1999999999829924E-3</v>
      </c>
    </row>
    <row r="92" spans="2:25">
      <c r="B92" s="229" t="s">
        <v>2490</v>
      </c>
      <c r="C92" s="216" t="s">
        <v>2484</v>
      </c>
      <c r="D92" s="217"/>
      <c r="E92" s="217"/>
      <c r="F92" s="217" t="s">
        <v>2464</v>
      </c>
      <c r="G92" s="217">
        <v>5</v>
      </c>
      <c r="H92" s="217" t="s">
        <v>432</v>
      </c>
      <c r="I92" s="217">
        <v>100</v>
      </c>
      <c r="J92" s="217" t="s">
        <v>2474</v>
      </c>
      <c r="K92" s="122">
        <v>54.641199999999998</v>
      </c>
      <c r="L92" s="122">
        <v>54.641199999999998</v>
      </c>
      <c r="M92" s="276">
        <f>SUM(K92:K93)</f>
        <v>109.19119999999999</v>
      </c>
      <c r="N92" s="278">
        <f>SUM(L92:L93)</f>
        <v>109.19119999999999</v>
      </c>
      <c r="O92" s="175"/>
      <c r="P92" s="175"/>
      <c r="R92" s="122">
        <v>52.605499999999999</v>
      </c>
      <c r="S92" s="122">
        <v>52.605499999999999</v>
      </c>
      <c r="T92" s="122">
        <v>258.00720000000001</v>
      </c>
      <c r="U92" s="122">
        <v>258.00720000000001</v>
      </c>
      <c r="V92" s="122">
        <f t="shared" si="33"/>
        <v>310.61270000000002</v>
      </c>
      <c r="W92" s="122">
        <f t="shared" si="34"/>
        <v>310.61270000000002</v>
      </c>
      <c r="X92" s="174"/>
      <c r="Y92" s="174"/>
    </row>
    <row r="93" spans="2:25">
      <c r="B93" s="229" t="s">
        <v>2473</v>
      </c>
      <c r="C93" s="216" t="s">
        <v>2467</v>
      </c>
      <c r="D93" s="217"/>
      <c r="E93" s="217"/>
      <c r="F93" s="217" t="s">
        <v>2464</v>
      </c>
      <c r="G93" s="217">
        <v>5</v>
      </c>
      <c r="H93" s="217" t="s">
        <v>432</v>
      </c>
      <c r="I93" s="217">
        <v>100</v>
      </c>
      <c r="J93" s="217" t="s">
        <v>2474</v>
      </c>
      <c r="K93" s="122">
        <v>54.55</v>
      </c>
      <c r="L93" s="122">
        <v>54.55</v>
      </c>
      <c r="M93" s="277"/>
      <c r="N93" s="278"/>
      <c r="O93" s="176"/>
      <c r="P93" s="176"/>
      <c r="R93" s="122">
        <v>52.514299999999999</v>
      </c>
      <c r="S93" s="122">
        <v>52.514299999999999</v>
      </c>
      <c r="T93" s="122">
        <v>258.06619999999998</v>
      </c>
      <c r="U93" s="122">
        <v>258.06619999999998</v>
      </c>
      <c r="V93" s="122">
        <f t="shared" si="33"/>
        <v>310.58049999999997</v>
      </c>
      <c r="W93" s="122">
        <f t="shared" si="34"/>
        <v>310.58049999999997</v>
      </c>
      <c r="X93" s="175"/>
      <c r="Y93" s="175"/>
    </row>
    <row r="94" spans="2:25">
      <c r="B94" s="229" t="s">
        <v>2517</v>
      </c>
      <c r="C94" s="216" t="s">
        <v>2511</v>
      </c>
      <c r="D94" s="217"/>
      <c r="E94" s="217"/>
      <c r="F94" s="217" t="s">
        <v>2499</v>
      </c>
      <c r="G94" s="217">
        <v>5</v>
      </c>
      <c r="H94" s="217" t="s">
        <v>432</v>
      </c>
      <c r="I94" s="217">
        <v>100</v>
      </c>
      <c r="J94" s="217" t="s">
        <v>2500</v>
      </c>
      <c r="K94" s="122">
        <v>54.584800000000001</v>
      </c>
      <c r="L94" s="122">
        <v>54.584800000000001</v>
      </c>
      <c r="M94" s="276">
        <f>SUM(K94:K95)</f>
        <v>109.38079999999999</v>
      </c>
      <c r="N94" s="278">
        <f>SUM(L94:L95)</f>
        <v>109.38079999999999</v>
      </c>
      <c r="O94" s="174">
        <f>ABS(M94-M96)</f>
        <v>9.6000000000060481E-3</v>
      </c>
      <c r="P94" s="174">
        <f>ABS(N94-N96)</f>
        <v>9.6000000000060481E-3</v>
      </c>
      <c r="R94" s="122">
        <v>52.549100000000003</v>
      </c>
      <c r="S94" s="122">
        <v>52.549100000000003</v>
      </c>
      <c r="T94" s="122">
        <v>258.0806</v>
      </c>
      <c r="U94" s="122">
        <v>258.0806</v>
      </c>
      <c r="V94" s="122">
        <f t="shared" si="33"/>
        <v>310.62970000000001</v>
      </c>
      <c r="W94" s="122">
        <f t="shared" si="34"/>
        <v>310.62970000000001</v>
      </c>
      <c r="X94" s="174">
        <f t="shared" ref="X94:Y94" si="42">ABS(V94-V96)</f>
        <v>1.1799999999993815E-2</v>
      </c>
      <c r="Y94" s="174">
        <f t="shared" si="42"/>
        <v>1.1799999999993815E-2</v>
      </c>
    </row>
    <row r="95" spans="2:25">
      <c r="B95" s="229" t="s">
        <v>2498</v>
      </c>
      <c r="C95" s="216" t="s">
        <v>2492</v>
      </c>
      <c r="D95" s="217"/>
      <c r="E95" s="217"/>
      <c r="F95" s="217" t="s">
        <v>2499</v>
      </c>
      <c r="G95" s="217">
        <v>5</v>
      </c>
      <c r="H95" s="217" t="s">
        <v>432</v>
      </c>
      <c r="I95" s="217">
        <v>100</v>
      </c>
      <c r="J95" s="217" t="s">
        <v>2500</v>
      </c>
      <c r="K95" s="122">
        <v>54.795999999999999</v>
      </c>
      <c r="L95" s="122">
        <v>54.795999999999999</v>
      </c>
      <c r="M95" s="277"/>
      <c r="N95" s="278"/>
      <c r="O95" s="175"/>
      <c r="P95" s="175"/>
      <c r="R95" s="122">
        <v>52.760300000000001</v>
      </c>
      <c r="S95" s="122">
        <v>52.760300000000001</v>
      </c>
      <c r="T95" s="122">
        <v>258.00369999999998</v>
      </c>
      <c r="U95" s="122">
        <v>258.00369999999998</v>
      </c>
      <c r="V95" s="122">
        <f t="shared" si="33"/>
        <v>310.76400000000001</v>
      </c>
      <c r="W95" s="122">
        <f t="shared" si="34"/>
        <v>310.76400000000001</v>
      </c>
      <c r="X95" s="174">
        <f t="shared" ref="X95:Y95" si="43">ABS(V95-V97)</f>
        <v>1.1799999999993815E-2</v>
      </c>
      <c r="Y95" s="174">
        <f t="shared" si="43"/>
        <v>1.1799999999993815E-2</v>
      </c>
    </row>
    <row r="96" spans="2:25">
      <c r="B96" s="229" t="s">
        <v>2525</v>
      </c>
      <c r="C96" s="216" t="s">
        <v>2519</v>
      </c>
      <c r="D96" s="217"/>
      <c r="E96" s="217"/>
      <c r="F96" s="217" t="s">
        <v>2499</v>
      </c>
      <c r="G96" s="217">
        <v>5</v>
      </c>
      <c r="H96" s="217" t="s">
        <v>432</v>
      </c>
      <c r="I96" s="217">
        <v>100</v>
      </c>
      <c r="J96" s="217" t="s">
        <v>2509</v>
      </c>
      <c r="K96" s="122">
        <v>54.582599999999999</v>
      </c>
      <c r="L96" s="122">
        <v>54.582599999999999</v>
      </c>
      <c r="M96" s="276">
        <f>SUM(K96:K97)</f>
        <v>109.3904</v>
      </c>
      <c r="N96" s="278">
        <f>SUM(L96:L97)</f>
        <v>109.3904</v>
      </c>
      <c r="O96" s="175"/>
      <c r="P96" s="175"/>
      <c r="R96" s="122">
        <v>52.546900000000001</v>
      </c>
      <c r="S96" s="122">
        <v>52.546900000000001</v>
      </c>
      <c r="T96" s="122">
        <v>258.07100000000003</v>
      </c>
      <c r="U96" s="122">
        <v>258.07100000000003</v>
      </c>
      <c r="V96" s="122">
        <f t="shared" si="33"/>
        <v>310.61790000000002</v>
      </c>
      <c r="W96" s="122">
        <f t="shared" si="34"/>
        <v>310.61790000000002</v>
      </c>
      <c r="X96" s="174"/>
      <c r="Y96" s="174"/>
    </row>
    <row r="97" spans="2:25">
      <c r="B97" s="229" t="s">
        <v>2508</v>
      </c>
      <c r="C97" s="216" t="s">
        <v>2502</v>
      </c>
      <c r="D97" s="217"/>
      <c r="E97" s="217"/>
      <c r="F97" s="217" t="s">
        <v>2499</v>
      </c>
      <c r="G97" s="217">
        <v>5</v>
      </c>
      <c r="H97" s="217" t="s">
        <v>432</v>
      </c>
      <c r="I97" s="217">
        <v>100</v>
      </c>
      <c r="J97" s="217" t="s">
        <v>2509</v>
      </c>
      <c r="K97" s="122">
        <v>54.8078</v>
      </c>
      <c r="L97" s="122">
        <v>54.8078</v>
      </c>
      <c r="M97" s="277"/>
      <c r="N97" s="278"/>
      <c r="O97" s="176"/>
      <c r="P97" s="176"/>
      <c r="R97" s="122">
        <v>52.772100000000002</v>
      </c>
      <c r="S97" s="122">
        <v>52.772100000000002</v>
      </c>
      <c r="T97" s="122">
        <v>258.00369999999998</v>
      </c>
      <c r="U97" s="122">
        <v>258.00369999999998</v>
      </c>
      <c r="V97" s="122">
        <f t="shared" si="33"/>
        <v>310.7758</v>
      </c>
      <c r="W97" s="122">
        <f t="shared" si="34"/>
        <v>310.7758</v>
      </c>
      <c r="X97" s="175"/>
      <c r="Y97" s="175"/>
    </row>
    <row r="98" spans="2:25">
      <c r="B98" s="229" t="s">
        <v>2552</v>
      </c>
      <c r="C98" s="216" t="s">
        <v>2546</v>
      </c>
      <c r="D98" s="217"/>
      <c r="E98" s="217"/>
      <c r="F98" s="217" t="s">
        <v>2534</v>
      </c>
      <c r="G98" s="217">
        <v>5</v>
      </c>
      <c r="H98" s="217" t="s">
        <v>432</v>
      </c>
      <c r="I98" s="217">
        <v>100</v>
      </c>
      <c r="J98" s="217" t="s">
        <v>2535</v>
      </c>
      <c r="K98" s="122">
        <v>54.565100000000001</v>
      </c>
      <c r="L98" s="122">
        <v>54.565100000000001</v>
      </c>
      <c r="M98" s="276">
        <f>SUM(K98:K99)</f>
        <v>109.0305</v>
      </c>
      <c r="N98" s="278">
        <f>SUM(L98:L99)</f>
        <v>109.0305</v>
      </c>
      <c r="O98" s="174">
        <f>ABS(M98-M100)</f>
        <v>5.3800000000009618E-2</v>
      </c>
      <c r="P98" s="174">
        <f>ABS(N98-N100)</f>
        <v>5.3800000000009618E-2</v>
      </c>
      <c r="R98" s="122">
        <v>52.529400000000003</v>
      </c>
      <c r="S98" s="122">
        <v>52.529400000000003</v>
      </c>
      <c r="T98" s="122">
        <v>258.00459999999998</v>
      </c>
      <c r="U98" s="122">
        <v>258.00459999999998</v>
      </c>
      <c r="V98" s="122">
        <f t="shared" si="33"/>
        <v>310.53399999999999</v>
      </c>
      <c r="W98" s="122">
        <f t="shared" si="34"/>
        <v>310.53399999999999</v>
      </c>
      <c r="X98" s="174">
        <f t="shared" ref="X98:Y98" si="44">ABS(V98-V100)</f>
        <v>4.0899999999965075E-2</v>
      </c>
      <c r="Y98" s="174">
        <f t="shared" si="44"/>
        <v>4.0899999999965075E-2</v>
      </c>
    </row>
    <row r="99" spans="2:25">
      <c r="B99" s="229" t="s">
        <v>2533</v>
      </c>
      <c r="C99" s="216" t="s">
        <v>2527</v>
      </c>
      <c r="D99" s="217"/>
      <c r="E99" s="217"/>
      <c r="F99" s="217" t="s">
        <v>2534</v>
      </c>
      <c r="G99" s="217">
        <v>5</v>
      </c>
      <c r="H99" s="217" t="s">
        <v>432</v>
      </c>
      <c r="I99" s="217">
        <v>100</v>
      </c>
      <c r="J99" s="217" t="s">
        <v>2535</v>
      </c>
      <c r="K99" s="122">
        <v>54.465400000000002</v>
      </c>
      <c r="L99" s="122">
        <v>54.465400000000002</v>
      </c>
      <c r="M99" s="277"/>
      <c r="N99" s="278"/>
      <c r="O99" s="175"/>
      <c r="P99" s="175"/>
      <c r="R99" s="122">
        <v>52.429700000000004</v>
      </c>
      <c r="S99" s="122">
        <v>52.429700000000004</v>
      </c>
      <c r="T99" s="122">
        <v>258.00360000000001</v>
      </c>
      <c r="U99" s="122">
        <v>258.00360000000001</v>
      </c>
      <c r="V99" s="122">
        <f t="shared" si="33"/>
        <v>310.43330000000003</v>
      </c>
      <c r="W99" s="122">
        <f t="shared" si="34"/>
        <v>310.43330000000003</v>
      </c>
      <c r="X99" s="174">
        <f t="shared" ref="X99:Y99" si="45">ABS(V99-V101)</f>
        <v>9.6000000000344698E-3</v>
      </c>
      <c r="Y99" s="174">
        <f t="shared" si="45"/>
        <v>9.6000000000344698E-3</v>
      </c>
    </row>
    <row r="100" spans="2:25">
      <c r="B100" s="229" t="s">
        <v>2560</v>
      </c>
      <c r="C100" s="216" t="s">
        <v>2554</v>
      </c>
      <c r="D100" s="217"/>
      <c r="E100" s="217"/>
      <c r="F100" s="217" t="s">
        <v>2534</v>
      </c>
      <c r="G100" s="217">
        <v>5</v>
      </c>
      <c r="H100" s="217" t="s">
        <v>432</v>
      </c>
      <c r="I100" s="217">
        <v>100</v>
      </c>
      <c r="J100" s="217" t="s">
        <v>2544</v>
      </c>
      <c r="K100" s="122">
        <v>54.520699999999998</v>
      </c>
      <c r="L100" s="122">
        <v>54.520699999999998</v>
      </c>
      <c r="M100" s="276">
        <f>SUM(K100:K101)</f>
        <v>108.97669999999999</v>
      </c>
      <c r="N100" s="278">
        <f>SUM(L100:L101)</f>
        <v>108.97669999999999</v>
      </c>
      <c r="O100" s="175"/>
      <c r="P100" s="175"/>
      <c r="R100" s="122">
        <v>52.484999999999999</v>
      </c>
      <c r="S100" s="122">
        <v>52.484999999999999</v>
      </c>
      <c r="T100" s="122">
        <v>258.00810000000001</v>
      </c>
      <c r="U100" s="122">
        <v>258.00810000000001</v>
      </c>
      <c r="V100" s="122">
        <f t="shared" si="33"/>
        <v>310.49310000000003</v>
      </c>
      <c r="W100" s="122">
        <f t="shared" si="34"/>
        <v>310.49310000000003</v>
      </c>
      <c r="X100" s="174"/>
      <c r="Y100" s="174"/>
    </row>
    <row r="101" spans="2:25">
      <c r="B101" s="229" t="s">
        <v>2543</v>
      </c>
      <c r="C101" s="216" t="s">
        <v>2537</v>
      </c>
      <c r="D101" s="217"/>
      <c r="E101" s="217"/>
      <c r="F101" s="217" t="s">
        <v>2534</v>
      </c>
      <c r="G101" s="217">
        <v>5</v>
      </c>
      <c r="H101" s="217" t="s">
        <v>432</v>
      </c>
      <c r="I101" s="217">
        <v>100</v>
      </c>
      <c r="J101" s="217" t="s">
        <v>2544</v>
      </c>
      <c r="K101" s="122">
        <v>54.456000000000003</v>
      </c>
      <c r="L101" s="122">
        <v>54.456000000000003</v>
      </c>
      <c r="M101" s="277"/>
      <c r="N101" s="278"/>
      <c r="O101" s="176"/>
      <c r="P101" s="176"/>
      <c r="R101" s="122">
        <v>52.420300000000005</v>
      </c>
      <c r="S101" s="122">
        <v>52.420300000000005</v>
      </c>
      <c r="T101" s="122">
        <v>258.0034</v>
      </c>
      <c r="U101" s="122">
        <v>258.0034</v>
      </c>
      <c r="V101" s="122">
        <f t="shared" si="33"/>
        <v>310.4237</v>
      </c>
      <c r="W101" s="122">
        <f t="shared" si="34"/>
        <v>310.4237</v>
      </c>
      <c r="X101" s="175"/>
      <c r="Y101" s="175"/>
    </row>
    <row r="102" spans="2:25">
      <c r="B102" s="229" t="s">
        <v>2588</v>
      </c>
      <c r="C102" s="216" t="s">
        <v>2582</v>
      </c>
      <c r="D102" s="217"/>
      <c r="E102" s="217"/>
      <c r="F102" s="217" t="s">
        <v>2570</v>
      </c>
      <c r="G102" s="217">
        <v>5</v>
      </c>
      <c r="H102" s="217" t="s">
        <v>432</v>
      </c>
      <c r="I102" s="217">
        <v>100</v>
      </c>
      <c r="J102" s="217" t="s">
        <v>2571</v>
      </c>
      <c r="K102" s="122">
        <v>54.673699999999997</v>
      </c>
      <c r="L102" s="122">
        <v>54.673699999999997</v>
      </c>
      <c r="M102" s="276">
        <f>SUM(K102:K103)</f>
        <v>109.30670000000001</v>
      </c>
      <c r="N102" s="278">
        <f>SUM(L102:L103)</f>
        <v>109.30670000000001</v>
      </c>
      <c r="O102" s="174">
        <f>ABS(M102-M104)</f>
        <v>2.4999999999977263E-3</v>
      </c>
      <c r="P102" s="174">
        <f>ABS(N102-N104)</f>
        <v>2.4999999999977263E-3</v>
      </c>
      <c r="R102" s="122">
        <v>52.637999999999998</v>
      </c>
      <c r="S102" s="122">
        <v>52.637999999999998</v>
      </c>
      <c r="T102" s="122">
        <v>258.00319999999999</v>
      </c>
      <c r="U102" s="122">
        <v>258.00319999999999</v>
      </c>
      <c r="V102" s="122">
        <f t="shared" si="33"/>
        <v>310.64119999999997</v>
      </c>
      <c r="W102" s="122">
        <f t="shared" si="34"/>
        <v>310.64119999999997</v>
      </c>
      <c r="X102" s="174">
        <f t="shared" ref="X102:Y102" si="46">ABS(V102-V104)</f>
        <v>4.0000000000759428E-3</v>
      </c>
      <c r="Y102" s="174">
        <f t="shared" si="46"/>
        <v>4.0000000000759428E-3</v>
      </c>
    </row>
    <row r="103" spans="2:25">
      <c r="B103" s="229" t="s">
        <v>2569</v>
      </c>
      <c r="C103" s="216" t="s">
        <v>2562</v>
      </c>
      <c r="D103" s="217"/>
      <c r="E103" s="217"/>
      <c r="F103" s="217" t="s">
        <v>2570</v>
      </c>
      <c r="G103" s="217">
        <v>5</v>
      </c>
      <c r="H103" s="217" t="s">
        <v>432</v>
      </c>
      <c r="I103" s="217">
        <v>100</v>
      </c>
      <c r="J103" s="217" t="s">
        <v>2571</v>
      </c>
      <c r="K103" s="122">
        <v>54.633000000000003</v>
      </c>
      <c r="L103" s="122">
        <v>54.633000000000003</v>
      </c>
      <c r="M103" s="277"/>
      <c r="N103" s="278"/>
      <c r="O103" s="175"/>
      <c r="P103" s="175"/>
      <c r="R103" s="122">
        <v>52.597300000000004</v>
      </c>
      <c r="S103" s="122">
        <v>52.597300000000004</v>
      </c>
      <c r="T103" s="122">
        <v>258.06819999999999</v>
      </c>
      <c r="U103" s="122">
        <v>258.06819999999999</v>
      </c>
      <c r="V103" s="122">
        <f t="shared" si="33"/>
        <v>310.66550000000001</v>
      </c>
      <c r="W103" s="122">
        <f t="shared" si="34"/>
        <v>310.66550000000001</v>
      </c>
      <c r="X103" s="174">
        <f t="shared" ref="X103:Y103" si="47">ABS(V103-V105)</f>
        <v>2.810000000005175E-2</v>
      </c>
      <c r="Y103" s="174">
        <f t="shared" si="47"/>
        <v>2.810000000005175E-2</v>
      </c>
    </row>
    <row r="104" spans="2:25">
      <c r="B104" s="229" t="s">
        <v>2596</v>
      </c>
      <c r="C104" s="216" t="s">
        <v>2590</v>
      </c>
      <c r="D104" s="217"/>
      <c r="E104" s="217"/>
      <c r="F104" s="217" t="s">
        <v>2570</v>
      </c>
      <c r="G104" s="217">
        <v>5</v>
      </c>
      <c r="H104" s="217" t="s">
        <v>432</v>
      </c>
      <c r="I104" s="217">
        <v>100</v>
      </c>
      <c r="J104" s="217" t="s">
        <v>2580</v>
      </c>
      <c r="K104" s="122">
        <v>54.677599999999998</v>
      </c>
      <c r="L104" s="122">
        <v>54.677599999999998</v>
      </c>
      <c r="M104" s="276">
        <f>SUM(K104:K105)</f>
        <v>109.30420000000001</v>
      </c>
      <c r="N104" s="278">
        <f>SUM(L104:L105)</f>
        <v>109.30420000000001</v>
      </c>
      <c r="O104" s="175"/>
      <c r="P104" s="175"/>
      <c r="R104" s="122">
        <v>52.6419</v>
      </c>
      <c r="S104" s="122">
        <v>52.6419</v>
      </c>
      <c r="T104" s="122">
        <v>258.00330000000002</v>
      </c>
      <c r="U104" s="122">
        <v>258.00330000000002</v>
      </c>
      <c r="V104" s="122">
        <f t="shared" si="33"/>
        <v>310.64520000000005</v>
      </c>
      <c r="W104" s="122">
        <f t="shared" si="34"/>
        <v>310.64520000000005</v>
      </c>
      <c r="X104" s="174"/>
      <c r="Y104" s="174"/>
    </row>
    <row r="105" spans="2:25">
      <c r="B105" s="229" t="s">
        <v>2579</v>
      </c>
      <c r="C105" s="216" t="s">
        <v>2573</v>
      </c>
      <c r="D105" s="217"/>
      <c r="E105" s="217"/>
      <c r="F105" s="217" t="s">
        <v>2570</v>
      </c>
      <c r="G105" s="217">
        <v>5</v>
      </c>
      <c r="H105" s="217" t="s">
        <v>432</v>
      </c>
      <c r="I105" s="217">
        <v>100</v>
      </c>
      <c r="J105" s="217" t="s">
        <v>2580</v>
      </c>
      <c r="K105" s="122">
        <v>54.626600000000003</v>
      </c>
      <c r="L105" s="122">
        <v>54.626600000000003</v>
      </c>
      <c r="M105" s="277"/>
      <c r="N105" s="278"/>
      <c r="O105" s="176"/>
      <c r="P105" s="176"/>
      <c r="R105" s="122">
        <v>52.590900000000005</v>
      </c>
      <c r="S105" s="122">
        <v>52.590900000000005</v>
      </c>
      <c r="T105" s="122">
        <v>258.04649999999998</v>
      </c>
      <c r="U105" s="122">
        <v>258.04649999999998</v>
      </c>
      <c r="V105" s="122">
        <f t="shared" si="33"/>
        <v>310.63739999999996</v>
      </c>
      <c r="W105" s="122">
        <f t="shared" si="34"/>
        <v>310.63739999999996</v>
      </c>
      <c r="X105" s="175"/>
      <c r="Y105" s="175"/>
    </row>
    <row r="106" spans="2:25">
      <c r="B106" s="229" t="s">
        <v>2623</v>
      </c>
      <c r="C106" s="216" t="s">
        <v>2617</v>
      </c>
      <c r="D106" s="217"/>
      <c r="E106" s="217"/>
      <c r="F106" s="217" t="s">
        <v>2605</v>
      </c>
      <c r="G106" s="217">
        <v>5</v>
      </c>
      <c r="H106" s="217" t="s">
        <v>432</v>
      </c>
      <c r="I106" s="217">
        <v>100</v>
      </c>
      <c r="J106" s="217" t="s">
        <v>2606</v>
      </c>
      <c r="K106" s="122">
        <v>54.9953</v>
      </c>
      <c r="L106" s="122">
        <v>54.9953</v>
      </c>
      <c r="M106" s="276">
        <f>SUM(K106:K107)</f>
        <v>109.6139</v>
      </c>
      <c r="N106" s="278">
        <f>SUM(L106:L107)</f>
        <v>109.6139</v>
      </c>
      <c r="O106" s="174">
        <f>ABS(M106-M108)</f>
        <v>6.100000000003547E-3</v>
      </c>
      <c r="P106" s="174">
        <f>ABS(N106-N108)</f>
        <v>6.100000000003547E-3</v>
      </c>
      <c r="R106" s="122">
        <v>52.959600000000002</v>
      </c>
      <c r="S106" s="122">
        <v>52.959600000000002</v>
      </c>
      <c r="T106" s="122">
        <v>258.0247</v>
      </c>
      <c r="U106" s="122">
        <v>258.0247</v>
      </c>
      <c r="V106" s="122">
        <f t="shared" si="33"/>
        <v>310.98430000000002</v>
      </c>
      <c r="W106" s="122">
        <f t="shared" si="34"/>
        <v>310.98430000000002</v>
      </c>
      <c r="X106" s="174">
        <f t="shared" ref="X106:Y106" si="48">ABS(V106-V108)</f>
        <v>6.0000000001991793E-4</v>
      </c>
      <c r="Y106" s="174">
        <f t="shared" si="48"/>
        <v>6.0000000001991793E-4</v>
      </c>
    </row>
    <row r="107" spans="2:25">
      <c r="B107" s="229" t="s">
        <v>2604</v>
      </c>
      <c r="C107" s="216" t="s">
        <v>2598</v>
      </c>
      <c r="D107" s="217"/>
      <c r="E107" s="217"/>
      <c r="F107" s="217" t="s">
        <v>2605</v>
      </c>
      <c r="G107" s="217">
        <v>5</v>
      </c>
      <c r="H107" s="217" t="s">
        <v>432</v>
      </c>
      <c r="I107" s="217">
        <v>100</v>
      </c>
      <c r="J107" s="217" t="s">
        <v>2606</v>
      </c>
      <c r="K107" s="122">
        <v>54.618600000000001</v>
      </c>
      <c r="L107" s="122">
        <v>54.618600000000001</v>
      </c>
      <c r="M107" s="277"/>
      <c r="N107" s="278"/>
      <c r="O107" s="175"/>
      <c r="P107" s="175"/>
      <c r="R107" s="122">
        <v>52.582900000000002</v>
      </c>
      <c r="S107" s="122">
        <v>52.582900000000002</v>
      </c>
      <c r="T107" s="122">
        <v>258.041</v>
      </c>
      <c r="U107" s="122">
        <v>258.041</v>
      </c>
      <c r="V107" s="122">
        <f t="shared" si="33"/>
        <v>310.62389999999999</v>
      </c>
      <c r="W107" s="122">
        <f t="shared" si="34"/>
        <v>310.62389999999999</v>
      </c>
      <c r="X107" s="174">
        <f t="shared" ref="X107:Y107" si="49">ABS(V107-V109)</f>
        <v>3.1000000000176442E-3</v>
      </c>
      <c r="Y107" s="174">
        <f t="shared" si="49"/>
        <v>3.1000000000176442E-3</v>
      </c>
    </row>
    <row r="108" spans="2:25">
      <c r="B108" s="229" t="s">
        <v>2631</v>
      </c>
      <c r="C108" s="216" t="s">
        <v>2625</v>
      </c>
      <c r="D108" s="217"/>
      <c r="E108" s="217"/>
      <c r="F108" s="217" t="s">
        <v>2605</v>
      </c>
      <c r="G108" s="217">
        <v>5</v>
      </c>
      <c r="H108" s="217" t="s">
        <v>432</v>
      </c>
      <c r="I108" s="217">
        <v>100</v>
      </c>
      <c r="J108" s="217" t="s">
        <v>2615</v>
      </c>
      <c r="K108" s="122">
        <v>54.996600000000001</v>
      </c>
      <c r="L108" s="122">
        <v>54.996600000000001</v>
      </c>
      <c r="M108" s="276">
        <f>SUM(K108:K109)</f>
        <v>109.62</v>
      </c>
      <c r="N108" s="278">
        <f>SUM(L108:L109)</f>
        <v>109.62</v>
      </c>
      <c r="O108" s="175"/>
      <c r="P108" s="175"/>
      <c r="R108" s="122">
        <v>52.960900000000002</v>
      </c>
      <c r="S108" s="122">
        <v>52.960900000000002</v>
      </c>
      <c r="T108" s="122">
        <v>258.02280000000002</v>
      </c>
      <c r="U108" s="122">
        <v>258.02280000000002</v>
      </c>
      <c r="V108" s="122">
        <f t="shared" si="33"/>
        <v>310.9837</v>
      </c>
      <c r="W108" s="122">
        <f t="shared" si="34"/>
        <v>310.9837</v>
      </c>
      <c r="X108" s="174"/>
      <c r="Y108" s="174"/>
    </row>
    <row r="109" spans="2:25">
      <c r="B109" s="229" t="s">
        <v>2614</v>
      </c>
      <c r="C109" s="216" t="s">
        <v>2608</v>
      </c>
      <c r="D109" s="217"/>
      <c r="E109" s="217"/>
      <c r="F109" s="217" t="s">
        <v>2605</v>
      </c>
      <c r="G109" s="217">
        <v>5</v>
      </c>
      <c r="H109" s="217" t="s">
        <v>432</v>
      </c>
      <c r="I109" s="217">
        <v>100</v>
      </c>
      <c r="J109" s="217" t="s">
        <v>2615</v>
      </c>
      <c r="K109" s="122">
        <v>54.623399999999997</v>
      </c>
      <c r="L109" s="122">
        <v>54.623399999999997</v>
      </c>
      <c r="M109" s="277"/>
      <c r="N109" s="278"/>
      <c r="O109" s="176"/>
      <c r="P109" s="176"/>
      <c r="R109" s="122">
        <v>52.587699999999998</v>
      </c>
      <c r="S109" s="122">
        <v>52.587699999999998</v>
      </c>
      <c r="T109" s="122">
        <v>258.03930000000003</v>
      </c>
      <c r="U109" s="122">
        <v>258.03930000000003</v>
      </c>
      <c r="V109" s="122">
        <f t="shared" si="33"/>
        <v>310.62700000000001</v>
      </c>
      <c r="W109" s="122">
        <f t="shared" si="34"/>
        <v>310.62700000000001</v>
      </c>
      <c r="X109" s="175"/>
      <c r="Y109" s="175"/>
    </row>
    <row r="110" spans="2:25">
      <c r="B110" s="230" t="s">
        <v>3168</v>
      </c>
      <c r="C110" s="216" t="s">
        <v>3162</v>
      </c>
      <c r="D110" s="217"/>
      <c r="E110" s="217"/>
      <c r="F110" s="217" t="s">
        <v>3150</v>
      </c>
      <c r="G110" s="217">
        <v>5</v>
      </c>
      <c r="H110" s="217" t="s">
        <v>432</v>
      </c>
      <c r="I110" s="217">
        <v>100</v>
      </c>
      <c r="J110" s="217" t="s">
        <v>3151</v>
      </c>
      <c r="K110" s="122">
        <v>54.770400000000002</v>
      </c>
      <c r="L110" s="122">
        <v>54.770400000000002</v>
      </c>
      <c r="M110" s="276">
        <f>SUM(K110:K111)</f>
        <v>109.456</v>
      </c>
      <c r="N110" s="278">
        <f>SUM(L110:L111)</f>
        <v>109.456</v>
      </c>
      <c r="O110" s="174">
        <f>ABS(M110-M112)</f>
        <v>1.2199999999992883E-2</v>
      </c>
      <c r="P110" s="174">
        <f>ABS(N110-N112)</f>
        <v>1.2199999999992883E-2</v>
      </c>
      <c r="R110" s="122">
        <v>52.734700000000004</v>
      </c>
      <c r="S110" s="122">
        <v>52.734700000000004</v>
      </c>
      <c r="T110" s="122">
        <v>258.0421</v>
      </c>
      <c r="U110" s="122">
        <v>258.0421</v>
      </c>
      <c r="V110" s="122">
        <f t="shared" si="33"/>
        <v>310.77679999999998</v>
      </c>
      <c r="W110" s="122">
        <f t="shared" si="34"/>
        <v>310.77679999999998</v>
      </c>
      <c r="X110" s="174">
        <f t="shared" ref="X110:Y110" si="50">ABS(V110-V112)</f>
        <v>4.6100000000024011E-2</v>
      </c>
      <c r="Y110" s="174">
        <f t="shared" si="50"/>
        <v>4.6100000000024011E-2</v>
      </c>
    </row>
    <row r="111" spans="2:25">
      <c r="B111" s="230" t="s">
        <v>3149</v>
      </c>
      <c r="C111" s="216" t="s">
        <v>3143</v>
      </c>
      <c r="D111" s="217"/>
      <c r="E111" s="217"/>
      <c r="F111" s="217" t="s">
        <v>3150</v>
      </c>
      <c r="G111" s="217">
        <v>5</v>
      </c>
      <c r="H111" s="217" t="s">
        <v>432</v>
      </c>
      <c r="I111" s="217">
        <v>100</v>
      </c>
      <c r="J111" s="217" t="s">
        <v>3151</v>
      </c>
      <c r="K111" s="122">
        <v>54.685600000000001</v>
      </c>
      <c r="L111" s="122">
        <v>54.685600000000001</v>
      </c>
      <c r="M111" s="277"/>
      <c r="N111" s="278"/>
      <c r="O111" s="175"/>
      <c r="P111" s="175"/>
      <c r="R111" s="122">
        <v>52.649900000000002</v>
      </c>
      <c r="S111" s="122">
        <v>52.649900000000002</v>
      </c>
      <c r="T111" s="122">
        <v>258.03989999999999</v>
      </c>
      <c r="U111" s="122">
        <v>258.03989999999999</v>
      </c>
      <c r="V111" s="122">
        <f t="shared" si="33"/>
        <v>310.68979999999999</v>
      </c>
      <c r="W111" s="122">
        <f t="shared" si="34"/>
        <v>310.68979999999999</v>
      </c>
      <c r="X111" s="174">
        <f t="shared" ref="X111:Y111" si="51">ABS(V111-V113)</f>
        <v>3.4299999999973352E-2</v>
      </c>
      <c r="Y111" s="174">
        <f t="shared" si="51"/>
        <v>3.4299999999973352E-2</v>
      </c>
    </row>
    <row r="112" spans="2:25">
      <c r="B112" s="230" t="s">
        <v>3176</v>
      </c>
      <c r="C112" s="216" t="s">
        <v>3170</v>
      </c>
      <c r="D112" s="217"/>
      <c r="E112" s="217"/>
      <c r="F112" s="217" t="s">
        <v>3150</v>
      </c>
      <c r="G112" s="217">
        <v>5</v>
      </c>
      <c r="H112" s="217" t="s">
        <v>432</v>
      </c>
      <c r="I112" s="217">
        <v>100</v>
      </c>
      <c r="J112" s="217" t="s">
        <v>3160</v>
      </c>
      <c r="K112" s="122">
        <v>54.783099999999997</v>
      </c>
      <c r="L112" s="122">
        <v>54.783099999999997</v>
      </c>
      <c r="M112" s="276">
        <f>SUM(K112:K113)</f>
        <v>109.4682</v>
      </c>
      <c r="N112" s="278">
        <f>SUM(L112:L113)</f>
        <v>109.4682</v>
      </c>
      <c r="O112" s="175"/>
      <c r="P112" s="175"/>
      <c r="R112" s="122">
        <v>52.747399999999999</v>
      </c>
      <c r="S112" s="122">
        <v>52.747399999999999</v>
      </c>
      <c r="T112" s="122">
        <v>258.07549999999998</v>
      </c>
      <c r="U112" s="122">
        <v>258.07549999999998</v>
      </c>
      <c r="V112" s="122">
        <f t="shared" si="33"/>
        <v>310.8229</v>
      </c>
      <c r="W112" s="122">
        <f t="shared" si="34"/>
        <v>310.8229</v>
      </c>
      <c r="X112" s="174"/>
      <c r="Y112" s="174"/>
    </row>
    <row r="113" spans="2:25">
      <c r="B113" s="230" t="s">
        <v>3159</v>
      </c>
      <c r="C113" s="216" t="s">
        <v>3153</v>
      </c>
      <c r="D113" s="217"/>
      <c r="E113" s="217"/>
      <c r="F113" s="217" t="s">
        <v>3150</v>
      </c>
      <c r="G113" s="217">
        <v>5</v>
      </c>
      <c r="H113" s="217" t="s">
        <v>432</v>
      </c>
      <c r="I113" s="217">
        <v>100</v>
      </c>
      <c r="J113" s="217" t="s">
        <v>3160</v>
      </c>
      <c r="K113" s="122">
        <v>54.685099999999998</v>
      </c>
      <c r="L113" s="122">
        <v>54.685099999999998</v>
      </c>
      <c r="M113" s="277"/>
      <c r="N113" s="278"/>
      <c r="O113" s="176"/>
      <c r="P113" s="176"/>
      <c r="R113" s="122">
        <v>52.6494</v>
      </c>
      <c r="S113" s="122">
        <v>52.6494</v>
      </c>
      <c r="T113" s="122">
        <v>258.0061</v>
      </c>
      <c r="U113" s="122">
        <v>258.0061</v>
      </c>
      <c r="V113" s="122">
        <f t="shared" si="33"/>
        <v>310.65550000000002</v>
      </c>
      <c r="W113" s="122">
        <f t="shared" si="34"/>
        <v>310.65550000000002</v>
      </c>
      <c r="X113" s="175"/>
      <c r="Y113" s="175"/>
    </row>
    <row r="114" spans="2:25">
      <c r="B114" s="230" t="s">
        <v>3239</v>
      </c>
      <c r="C114" s="216" t="s">
        <v>3233</v>
      </c>
      <c r="D114" s="217"/>
      <c r="E114" s="217"/>
      <c r="F114" s="217" t="s">
        <v>3221</v>
      </c>
      <c r="G114" s="217">
        <v>5</v>
      </c>
      <c r="H114" s="217" t="s">
        <v>432</v>
      </c>
      <c r="I114" s="217">
        <v>100</v>
      </c>
      <c r="J114" s="217" t="s">
        <v>3222</v>
      </c>
      <c r="K114" s="122">
        <v>54.445500000000003</v>
      </c>
      <c r="L114" s="122">
        <v>54.445500000000003</v>
      </c>
      <c r="M114" s="276">
        <f>SUM(K114:K115)</f>
        <v>109.3835</v>
      </c>
      <c r="N114" s="278">
        <f>SUM(L114:L115)</f>
        <v>109.3835</v>
      </c>
      <c r="O114" s="174">
        <f>ABS(M114-M116)</f>
        <v>8.4999999999979536E-3</v>
      </c>
      <c r="P114" s="174">
        <f>ABS(N114-N116)</f>
        <v>8.4999999999979536E-3</v>
      </c>
      <c r="R114" s="122">
        <v>52.409800000000004</v>
      </c>
      <c r="S114" s="122">
        <v>52.409800000000004</v>
      </c>
      <c r="T114" s="122">
        <v>258.03339999999997</v>
      </c>
      <c r="U114" s="122">
        <v>258.03339999999997</v>
      </c>
      <c r="V114" s="122">
        <f t="shared" si="33"/>
        <v>310.44319999999999</v>
      </c>
      <c r="W114" s="122">
        <f t="shared" si="34"/>
        <v>310.44319999999999</v>
      </c>
      <c r="X114" s="174">
        <f t="shared" ref="X114:Y114" si="52">ABS(V114-V116)</f>
        <v>1.0000000000047748E-2</v>
      </c>
      <c r="Y114" s="174">
        <f t="shared" si="52"/>
        <v>1.0000000000047748E-2</v>
      </c>
    </row>
    <row r="115" spans="2:25">
      <c r="B115" s="230" t="s">
        <v>3220</v>
      </c>
      <c r="C115" s="216" t="s">
        <v>3214</v>
      </c>
      <c r="D115" s="217"/>
      <c r="E115" s="217"/>
      <c r="F115" s="217" t="s">
        <v>3221</v>
      </c>
      <c r="G115" s="217">
        <v>5</v>
      </c>
      <c r="H115" s="217" t="s">
        <v>432</v>
      </c>
      <c r="I115" s="217">
        <v>100</v>
      </c>
      <c r="J115" s="217" t="s">
        <v>3222</v>
      </c>
      <c r="K115" s="122">
        <v>54.938000000000002</v>
      </c>
      <c r="L115" s="122">
        <v>54.938000000000002</v>
      </c>
      <c r="M115" s="277"/>
      <c r="N115" s="278"/>
      <c r="O115" s="175"/>
      <c r="P115" s="175"/>
      <c r="R115" s="122">
        <v>52.902300000000004</v>
      </c>
      <c r="S115" s="122">
        <v>52.902300000000004</v>
      </c>
      <c r="T115" s="122">
        <v>258.06259999999997</v>
      </c>
      <c r="U115" s="122">
        <v>258.06259999999997</v>
      </c>
      <c r="V115" s="122">
        <f t="shared" si="33"/>
        <v>310.9649</v>
      </c>
      <c r="W115" s="122">
        <f t="shared" si="34"/>
        <v>310.9649</v>
      </c>
      <c r="X115" s="174">
        <f t="shared" ref="X115:Y115" si="53">ABS(V115-V117)</f>
        <v>3.6000000000058208E-3</v>
      </c>
      <c r="Y115" s="174">
        <f t="shared" si="53"/>
        <v>3.6000000000058208E-3</v>
      </c>
    </row>
    <row r="116" spans="2:25">
      <c r="B116" s="230" t="s">
        <v>3247</v>
      </c>
      <c r="C116" s="216" t="s">
        <v>3241</v>
      </c>
      <c r="D116" s="217"/>
      <c r="E116" s="217"/>
      <c r="F116" s="217" t="s">
        <v>3221</v>
      </c>
      <c r="G116" s="217">
        <v>5</v>
      </c>
      <c r="H116" s="217" t="s">
        <v>432</v>
      </c>
      <c r="I116" s="217">
        <v>100</v>
      </c>
      <c r="J116" s="217" t="s">
        <v>3231</v>
      </c>
      <c r="K116" s="122">
        <v>54.4527</v>
      </c>
      <c r="L116" s="122">
        <v>54.4527</v>
      </c>
      <c r="M116" s="276">
        <f>SUM(K116:K117)</f>
        <v>109.392</v>
      </c>
      <c r="N116" s="278">
        <f>SUM(L116:L117)</f>
        <v>109.392</v>
      </c>
      <c r="O116" s="175"/>
      <c r="P116" s="175"/>
      <c r="R116" s="122">
        <v>52.417000000000002</v>
      </c>
      <c r="S116" s="122">
        <v>52.417000000000002</v>
      </c>
      <c r="T116" s="122">
        <v>258.03620000000001</v>
      </c>
      <c r="U116" s="122">
        <v>258.03620000000001</v>
      </c>
      <c r="V116" s="122">
        <f t="shared" si="33"/>
        <v>310.45320000000004</v>
      </c>
      <c r="W116" s="122">
        <f t="shared" si="34"/>
        <v>310.45320000000004</v>
      </c>
      <c r="X116" s="174"/>
      <c r="Y116" s="174"/>
    </row>
    <row r="117" spans="2:25">
      <c r="B117" s="230" t="s">
        <v>3230</v>
      </c>
      <c r="C117" s="216" t="s">
        <v>3224</v>
      </c>
      <c r="D117" s="217"/>
      <c r="E117" s="217"/>
      <c r="F117" s="217" t="s">
        <v>3221</v>
      </c>
      <c r="G117" s="217">
        <v>5</v>
      </c>
      <c r="H117" s="217" t="s">
        <v>432</v>
      </c>
      <c r="I117" s="217">
        <v>100</v>
      </c>
      <c r="J117" s="217" t="s">
        <v>3231</v>
      </c>
      <c r="K117" s="122">
        <v>54.939300000000003</v>
      </c>
      <c r="L117" s="122">
        <v>54.939300000000003</v>
      </c>
      <c r="M117" s="277"/>
      <c r="N117" s="278"/>
      <c r="O117" s="176"/>
      <c r="P117" s="176"/>
      <c r="R117" s="122">
        <v>52.903600000000004</v>
      </c>
      <c r="S117" s="122">
        <v>52.903600000000004</v>
      </c>
      <c r="T117" s="122">
        <v>258.06490000000002</v>
      </c>
      <c r="U117" s="122">
        <v>258.06490000000002</v>
      </c>
      <c r="V117" s="122">
        <f t="shared" si="33"/>
        <v>310.96850000000001</v>
      </c>
      <c r="W117" s="122">
        <f t="shared" si="34"/>
        <v>310.96850000000001</v>
      </c>
      <c r="X117" s="175"/>
      <c r="Y117" s="175"/>
    </row>
    <row r="118" spans="2:25">
      <c r="B118" s="230" t="s">
        <v>3274</v>
      </c>
      <c r="C118" s="216" t="s">
        <v>3268</v>
      </c>
      <c r="D118" s="217"/>
      <c r="E118" s="217"/>
      <c r="F118" s="217" t="s">
        <v>3256</v>
      </c>
      <c r="G118" s="217">
        <v>5</v>
      </c>
      <c r="H118" s="217" t="s">
        <v>432</v>
      </c>
      <c r="I118" s="217">
        <v>100</v>
      </c>
      <c r="J118" s="217" t="s">
        <v>3257</v>
      </c>
      <c r="K118" s="122">
        <v>54.887300000000003</v>
      </c>
      <c r="L118" s="122">
        <v>54.887300000000003</v>
      </c>
      <c r="M118" s="276">
        <f>SUM(K118:K119)</f>
        <v>109.6686</v>
      </c>
      <c r="N118" s="278">
        <f>SUM(L118:L119)</f>
        <v>109.6686</v>
      </c>
      <c r="O118" s="174">
        <f>ABS(M118-M120)</f>
        <v>2.0299999999991769E-2</v>
      </c>
      <c r="P118" s="174">
        <f>ABS(N118-N120)</f>
        <v>2.0299999999991769E-2</v>
      </c>
      <c r="R118" s="122">
        <v>52.851600000000005</v>
      </c>
      <c r="S118" s="122">
        <v>52.851600000000005</v>
      </c>
      <c r="T118" s="122">
        <v>258.00400000000002</v>
      </c>
      <c r="U118" s="122">
        <v>258.00400000000002</v>
      </c>
      <c r="V118" s="122">
        <f t="shared" si="33"/>
        <v>310.85560000000004</v>
      </c>
      <c r="W118" s="122">
        <f t="shared" si="34"/>
        <v>310.85560000000004</v>
      </c>
      <c r="X118" s="174">
        <f t="shared" ref="X118:Y118" si="54">ABS(V118-V120)</f>
        <v>1.210000000008904E-2</v>
      </c>
      <c r="Y118" s="174">
        <f t="shared" si="54"/>
        <v>1.210000000008904E-2</v>
      </c>
    </row>
    <row r="119" spans="2:25">
      <c r="B119" s="230" t="s">
        <v>3255</v>
      </c>
      <c r="C119" s="216" t="s">
        <v>3249</v>
      </c>
      <c r="D119" s="217"/>
      <c r="E119" s="217"/>
      <c r="F119" s="217" t="s">
        <v>3256</v>
      </c>
      <c r="G119" s="217">
        <v>5</v>
      </c>
      <c r="H119" s="217" t="s">
        <v>432</v>
      </c>
      <c r="I119" s="217">
        <v>100</v>
      </c>
      <c r="J119" s="217" t="s">
        <v>3257</v>
      </c>
      <c r="K119" s="122">
        <v>54.781300000000002</v>
      </c>
      <c r="L119" s="122">
        <v>54.781300000000002</v>
      </c>
      <c r="M119" s="277"/>
      <c r="N119" s="278"/>
      <c r="O119" s="175"/>
      <c r="P119" s="175"/>
      <c r="R119" s="122">
        <v>52.745600000000003</v>
      </c>
      <c r="S119" s="122">
        <v>52.745600000000003</v>
      </c>
      <c r="T119" s="122">
        <v>258.05259999999998</v>
      </c>
      <c r="U119" s="122">
        <v>258.05259999999998</v>
      </c>
      <c r="V119" s="122">
        <f t="shared" si="33"/>
        <v>310.79820000000001</v>
      </c>
      <c r="W119" s="122">
        <f t="shared" si="34"/>
        <v>310.79820000000001</v>
      </c>
      <c r="X119" s="174">
        <f t="shared" ref="X119:Y119" si="55">ABS(V119-V121)</f>
        <v>1.670000000001437E-2</v>
      </c>
      <c r="Y119" s="174">
        <f t="shared" si="55"/>
        <v>1.670000000001437E-2</v>
      </c>
    </row>
    <row r="120" spans="2:25">
      <c r="B120" s="230" t="s">
        <v>3282</v>
      </c>
      <c r="C120" s="216" t="s">
        <v>3276</v>
      </c>
      <c r="D120" s="217"/>
      <c r="E120" s="217"/>
      <c r="F120" s="217" t="s">
        <v>3256</v>
      </c>
      <c r="G120" s="217">
        <v>5</v>
      </c>
      <c r="H120" s="217" t="s">
        <v>432</v>
      </c>
      <c r="I120" s="217">
        <v>100</v>
      </c>
      <c r="J120" s="217" t="s">
        <v>3266</v>
      </c>
      <c r="K120" s="122">
        <v>54.876600000000003</v>
      </c>
      <c r="L120" s="122">
        <v>54.876600000000003</v>
      </c>
      <c r="M120" s="276">
        <f>SUM(K120:K121)</f>
        <v>109.64830000000001</v>
      </c>
      <c r="N120" s="278">
        <f>SUM(L120:L121)</f>
        <v>109.64830000000001</v>
      </c>
      <c r="O120" s="175"/>
      <c r="P120" s="175"/>
      <c r="R120" s="122">
        <v>52.840900000000005</v>
      </c>
      <c r="S120" s="122">
        <v>52.840900000000005</v>
      </c>
      <c r="T120" s="122">
        <v>258.00259999999997</v>
      </c>
      <c r="U120" s="122">
        <v>258.00259999999997</v>
      </c>
      <c r="V120" s="122">
        <f t="shared" si="33"/>
        <v>310.84349999999995</v>
      </c>
      <c r="W120" s="122">
        <f t="shared" si="34"/>
        <v>310.84349999999995</v>
      </c>
      <c r="X120" s="174"/>
      <c r="Y120" s="174"/>
    </row>
    <row r="121" spans="2:25">
      <c r="B121" s="230" t="s">
        <v>3265</v>
      </c>
      <c r="C121" s="216" t="s">
        <v>3259</v>
      </c>
      <c r="D121" s="217"/>
      <c r="E121" s="217"/>
      <c r="F121" s="217" t="s">
        <v>3256</v>
      </c>
      <c r="G121" s="217">
        <v>5</v>
      </c>
      <c r="H121" s="217" t="s">
        <v>432</v>
      </c>
      <c r="I121" s="217">
        <v>100</v>
      </c>
      <c r="J121" s="217" t="s">
        <v>3266</v>
      </c>
      <c r="K121" s="122">
        <v>54.771700000000003</v>
      </c>
      <c r="L121" s="122">
        <v>54.771700000000003</v>
      </c>
      <c r="M121" s="277"/>
      <c r="N121" s="278"/>
      <c r="O121" s="176"/>
      <c r="P121" s="176"/>
      <c r="R121" s="122">
        <v>52.736000000000004</v>
      </c>
      <c r="S121" s="122">
        <v>52.736000000000004</v>
      </c>
      <c r="T121" s="122">
        <v>258.0455</v>
      </c>
      <c r="U121" s="122">
        <v>258.0455</v>
      </c>
      <c r="V121" s="122">
        <f t="shared" si="33"/>
        <v>310.78149999999999</v>
      </c>
      <c r="W121" s="122">
        <f t="shared" si="34"/>
        <v>310.78149999999999</v>
      </c>
      <c r="X121" s="175"/>
      <c r="Y121" s="175"/>
    </row>
    <row r="122" spans="2:25">
      <c r="B122" s="230" t="s">
        <v>3309</v>
      </c>
      <c r="C122" s="216" t="s">
        <v>3303</v>
      </c>
      <c r="D122" s="217"/>
      <c r="E122" s="217"/>
      <c r="F122" s="217" t="s">
        <v>3291</v>
      </c>
      <c r="G122" s="217">
        <v>5</v>
      </c>
      <c r="H122" s="217" t="s">
        <v>432</v>
      </c>
      <c r="I122" s="217">
        <v>100</v>
      </c>
      <c r="J122" s="217" t="s">
        <v>3292</v>
      </c>
      <c r="K122" s="122">
        <v>54.782899999999998</v>
      </c>
      <c r="L122" s="122">
        <v>54.782899999999998</v>
      </c>
      <c r="M122" s="276">
        <f>SUM(K122:K123)</f>
        <v>109.452</v>
      </c>
      <c r="N122" s="278">
        <f>SUM(L122:L123)</f>
        <v>109.452</v>
      </c>
      <c r="O122" s="174">
        <f>ABS(M122-M124)</f>
        <v>1.9800000000003593E-2</v>
      </c>
      <c r="P122" s="174">
        <f>ABS(N122-N124)</f>
        <v>1.9800000000003593E-2</v>
      </c>
      <c r="R122" s="122">
        <v>52.747199999999999</v>
      </c>
      <c r="S122" s="122">
        <v>52.747199999999999</v>
      </c>
      <c r="T122" s="122">
        <v>257.9966</v>
      </c>
      <c r="U122" s="122">
        <v>257.9966</v>
      </c>
      <c r="V122" s="122">
        <f t="shared" si="33"/>
        <v>310.74380000000002</v>
      </c>
      <c r="W122" s="122">
        <f t="shared" si="34"/>
        <v>310.74380000000002</v>
      </c>
      <c r="X122" s="174">
        <f t="shared" ref="X122:Y122" si="56">ABS(V122-V124)</f>
        <v>3.9599999999950342E-2</v>
      </c>
      <c r="Y122" s="174">
        <f t="shared" si="56"/>
        <v>3.9599999999950342E-2</v>
      </c>
    </row>
    <row r="123" spans="2:25">
      <c r="B123" s="230" t="s">
        <v>3290</v>
      </c>
      <c r="C123" s="216" t="s">
        <v>3284</v>
      </c>
      <c r="D123" s="217"/>
      <c r="E123" s="217"/>
      <c r="F123" s="217" t="s">
        <v>3291</v>
      </c>
      <c r="G123" s="217">
        <v>5</v>
      </c>
      <c r="H123" s="217" t="s">
        <v>432</v>
      </c>
      <c r="I123" s="217">
        <v>100</v>
      </c>
      <c r="J123" s="217" t="s">
        <v>3292</v>
      </c>
      <c r="K123" s="122">
        <v>54.6691</v>
      </c>
      <c r="L123" s="122">
        <v>54.6691</v>
      </c>
      <c r="M123" s="277"/>
      <c r="N123" s="278"/>
      <c r="O123" s="175"/>
      <c r="P123" s="175"/>
      <c r="R123" s="122">
        <v>52.633400000000002</v>
      </c>
      <c r="S123" s="122">
        <v>52.633400000000002</v>
      </c>
      <c r="T123" s="122">
        <v>258.00569999999999</v>
      </c>
      <c r="U123" s="122">
        <v>258.00569999999999</v>
      </c>
      <c r="V123" s="122">
        <f t="shared" si="33"/>
        <v>310.63909999999998</v>
      </c>
      <c r="W123" s="122">
        <f t="shared" si="34"/>
        <v>310.63909999999998</v>
      </c>
      <c r="X123" s="174">
        <f t="shared" ref="X123:Y123" si="57">ABS(V123-V125)</f>
        <v>9.9999999974897946E-5</v>
      </c>
      <c r="Y123" s="174">
        <f t="shared" si="57"/>
        <v>9.9999999974897946E-5</v>
      </c>
    </row>
    <row r="124" spans="2:25">
      <c r="B124" s="230" t="s">
        <v>3317</v>
      </c>
      <c r="C124" s="216" t="s">
        <v>3311</v>
      </c>
      <c r="D124" s="217"/>
      <c r="E124" s="217"/>
      <c r="F124" s="217" t="s">
        <v>3291</v>
      </c>
      <c r="G124" s="217">
        <v>5</v>
      </c>
      <c r="H124" s="217" t="s">
        <v>432</v>
      </c>
      <c r="I124" s="217">
        <v>100</v>
      </c>
      <c r="J124" s="217" t="s">
        <v>3301</v>
      </c>
      <c r="K124" s="122">
        <v>54.793399999999998</v>
      </c>
      <c r="L124" s="122">
        <v>54.793399999999998</v>
      </c>
      <c r="M124" s="276">
        <f>SUM(K124:K125)</f>
        <v>109.4718</v>
      </c>
      <c r="N124" s="278">
        <f>SUM(L124:L125)</f>
        <v>109.4718</v>
      </c>
      <c r="O124" s="175"/>
      <c r="P124" s="175"/>
      <c r="R124" s="122">
        <v>52.7577</v>
      </c>
      <c r="S124" s="122">
        <v>52.7577</v>
      </c>
      <c r="T124" s="122">
        <v>258.02569999999997</v>
      </c>
      <c r="U124" s="122">
        <v>258.02569999999997</v>
      </c>
      <c r="V124" s="122">
        <f t="shared" si="33"/>
        <v>310.78339999999997</v>
      </c>
      <c r="W124" s="122">
        <f t="shared" si="34"/>
        <v>310.78339999999997</v>
      </c>
      <c r="X124" s="174"/>
      <c r="Y124" s="174"/>
    </row>
    <row r="125" spans="2:25">
      <c r="B125" s="230" t="s">
        <v>3300</v>
      </c>
      <c r="C125" s="216" t="s">
        <v>3294</v>
      </c>
      <c r="D125" s="217"/>
      <c r="E125" s="217"/>
      <c r="F125" s="217" t="s">
        <v>3291</v>
      </c>
      <c r="G125" s="217">
        <v>5</v>
      </c>
      <c r="H125" s="217" t="s">
        <v>432</v>
      </c>
      <c r="I125" s="217">
        <v>100</v>
      </c>
      <c r="J125" s="217" t="s">
        <v>3301</v>
      </c>
      <c r="K125" s="122">
        <v>54.678400000000003</v>
      </c>
      <c r="L125" s="122">
        <v>54.678400000000003</v>
      </c>
      <c r="M125" s="277"/>
      <c r="N125" s="278"/>
      <c r="O125" s="176"/>
      <c r="P125" s="176"/>
      <c r="R125" s="122">
        <v>52.642700000000005</v>
      </c>
      <c r="S125" s="122">
        <v>52.642700000000005</v>
      </c>
      <c r="T125" s="122">
        <v>257.99630000000002</v>
      </c>
      <c r="U125" s="122">
        <v>257.99630000000002</v>
      </c>
      <c r="V125" s="122">
        <f t="shared" si="33"/>
        <v>310.63900000000001</v>
      </c>
      <c r="W125" s="122">
        <f t="shared" si="34"/>
        <v>310.63900000000001</v>
      </c>
      <c r="X125" s="175"/>
      <c r="Y125" s="175"/>
    </row>
    <row r="126" spans="2:25">
      <c r="B126" s="230" t="s">
        <v>3344</v>
      </c>
      <c r="C126" s="216" t="s">
        <v>3338</v>
      </c>
      <c r="D126" s="217"/>
      <c r="E126" s="217"/>
      <c r="F126" s="217" t="s">
        <v>3326</v>
      </c>
      <c r="G126" s="217">
        <v>5</v>
      </c>
      <c r="H126" s="217" t="s">
        <v>432</v>
      </c>
      <c r="I126" s="217">
        <v>100</v>
      </c>
      <c r="J126" s="217" t="s">
        <v>3327</v>
      </c>
      <c r="K126" s="122">
        <v>54.812199999999997</v>
      </c>
      <c r="L126" s="122">
        <v>54.812199999999997</v>
      </c>
      <c r="M126" s="276">
        <f>SUM(K126:K127)</f>
        <v>109.4225</v>
      </c>
      <c r="N126" s="278">
        <f>SUM(L126:L127)</f>
        <v>109.4225</v>
      </c>
      <c r="O126" s="174">
        <f>ABS(M126-M128)</f>
        <v>4.8099999999990928E-2</v>
      </c>
      <c r="P126" s="174">
        <f>ABS(N126-N128)</f>
        <v>4.8099999999990928E-2</v>
      </c>
      <c r="R126" s="122">
        <v>52.776499999999999</v>
      </c>
      <c r="S126" s="122">
        <v>52.776499999999999</v>
      </c>
      <c r="T126" s="122">
        <v>258.08839999999998</v>
      </c>
      <c r="U126" s="122">
        <v>258.08839999999998</v>
      </c>
      <c r="V126" s="122">
        <f t="shared" si="33"/>
        <v>310.86489999999998</v>
      </c>
      <c r="W126" s="122">
        <f t="shared" si="34"/>
        <v>310.86489999999998</v>
      </c>
      <c r="X126" s="174">
        <f t="shared" ref="X126:Y126" si="58">ABS(V126-V128)</f>
        <v>5.1000000000271939E-3</v>
      </c>
      <c r="Y126" s="174">
        <f t="shared" si="58"/>
        <v>5.1000000000271939E-3</v>
      </c>
    </row>
    <row r="127" spans="2:25">
      <c r="B127" s="230" t="s">
        <v>3325</v>
      </c>
      <c r="C127" s="216" t="s">
        <v>3319</v>
      </c>
      <c r="D127" s="217"/>
      <c r="E127" s="217"/>
      <c r="F127" s="217" t="s">
        <v>3326</v>
      </c>
      <c r="G127" s="217">
        <v>5</v>
      </c>
      <c r="H127" s="217" t="s">
        <v>432</v>
      </c>
      <c r="I127" s="217">
        <v>100</v>
      </c>
      <c r="J127" s="217" t="s">
        <v>3327</v>
      </c>
      <c r="K127" s="122">
        <v>54.610300000000002</v>
      </c>
      <c r="L127" s="122">
        <v>54.610300000000002</v>
      </c>
      <c r="M127" s="277"/>
      <c r="N127" s="278"/>
      <c r="O127" s="175"/>
      <c r="P127" s="175"/>
      <c r="R127" s="122">
        <v>52.574600000000004</v>
      </c>
      <c r="S127" s="122">
        <v>52.574600000000004</v>
      </c>
      <c r="T127" s="122">
        <v>258.07589999999999</v>
      </c>
      <c r="U127" s="122">
        <v>258.07589999999999</v>
      </c>
      <c r="V127" s="122">
        <f t="shared" si="33"/>
        <v>310.65049999999997</v>
      </c>
      <c r="W127" s="122">
        <f t="shared" si="34"/>
        <v>310.65049999999997</v>
      </c>
      <c r="X127" s="174">
        <f t="shared" ref="X127:Y127" si="59">ABS(V127-V129)</f>
        <v>1.7099999999970805E-2</v>
      </c>
      <c r="Y127" s="174">
        <f t="shared" si="59"/>
        <v>1.7099999999970805E-2</v>
      </c>
    </row>
    <row r="128" spans="2:25">
      <c r="B128" s="230" t="s">
        <v>3352</v>
      </c>
      <c r="C128" s="216" t="s">
        <v>3346</v>
      </c>
      <c r="D128" s="217"/>
      <c r="E128" s="217"/>
      <c r="F128" s="217" t="s">
        <v>3326</v>
      </c>
      <c r="G128" s="217">
        <v>5</v>
      </c>
      <c r="H128" s="217" t="s">
        <v>432</v>
      </c>
      <c r="I128" s="217">
        <v>100</v>
      </c>
      <c r="J128" s="217" t="s">
        <v>3336</v>
      </c>
      <c r="K128" s="122">
        <v>54.857599999999998</v>
      </c>
      <c r="L128" s="122">
        <v>54.857599999999998</v>
      </c>
      <c r="M128" s="276">
        <f>SUM(K128:K129)</f>
        <v>109.47059999999999</v>
      </c>
      <c r="N128" s="278">
        <f>SUM(L128:L129)</f>
        <v>109.47059999999999</v>
      </c>
      <c r="O128" s="175"/>
      <c r="P128" s="175"/>
      <c r="R128" s="122">
        <v>52.821899999999999</v>
      </c>
      <c r="S128" s="122">
        <v>52.821899999999999</v>
      </c>
      <c r="T128" s="122">
        <v>258.03789999999998</v>
      </c>
      <c r="U128" s="122">
        <v>258.03789999999998</v>
      </c>
      <c r="V128" s="122">
        <f t="shared" si="33"/>
        <v>310.85979999999995</v>
      </c>
      <c r="W128" s="122">
        <f t="shared" si="34"/>
        <v>310.85979999999995</v>
      </c>
      <c r="X128" s="174"/>
      <c r="Y128" s="174"/>
    </row>
    <row r="129" spans="2:25">
      <c r="B129" s="230" t="s">
        <v>3335</v>
      </c>
      <c r="C129" s="216" t="s">
        <v>3329</v>
      </c>
      <c r="D129" s="217"/>
      <c r="E129" s="217"/>
      <c r="F129" s="217" t="s">
        <v>3326</v>
      </c>
      <c r="G129" s="217">
        <v>5</v>
      </c>
      <c r="H129" s="217" t="s">
        <v>432</v>
      </c>
      <c r="I129" s="217">
        <v>100</v>
      </c>
      <c r="J129" s="217" t="s">
        <v>3336</v>
      </c>
      <c r="K129" s="122">
        <v>54.613</v>
      </c>
      <c r="L129" s="122">
        <v>54.613</v>
      </c>
      <c r="M129" s="277"/>
      <c r="N129" s="278"/>
      <c r="O129" s="176"/>
      <c r="P129" s="176"/>
      <c r="R129" s="122">
        <v>52.577300000000001</v>
      </c>
      <c r="S129" s="122">
        <v>52.577300000000001</v>
      </c>
      <c r="T129" s="122">
        <v>258.05610000000001</v>
      </c>
      <c r="U129" s="122">
        <v>258.05610000000001</v>
      </c>
      <c r="V129" s="122">
        <f t="shared" si="33"/>
        <v>310.63339999999999</v>
      </c>
      <c r="W129" s="122">
        <f t="shared" si="34"/>
        <v>310.63339999999999</v>
      </c>
      <c r="X129" s="175"/>
      <c r="Y129" s="175"/>
    </row>
    <row r="130" spans="2:25">
      <c r="B130" s="230" t="s">
        <v>430</v>
      </c>
      <c r="C130" s="216" t="s">
        <v>423</v>
      </c>
      <c r="D130" s="217"/>
      <c r="E130" s="217"/>
      <c r="F130" s="217" t="s">
        <v>431</v>
      </c>
      <c r="G130" s="217">
        <v>5</v>
      </c>
      <c r="H130" s="217" t="s">
        <v>432</v>
      </c>
      <c r="I130" s="217">
        <v>100</v>
      </c>
      <c r="J130" s="217" t="s">
        <v>433</v>
      </c>
      <c r="K130" s="122">
        <v>54.889000000000003</v>
      </c>
      <c r="L130" s="122">
        <v>54.889000000000003</v>
      </c>
      <c r="M130" s="276">
        <f>SUM(K130:K131)</f>
        <v>109.35650000000001</v>
      </c>
      <c r="N130" s="278">
        <f>SUM(L130:L131)</f>
        <v>109.35650000000001</v>
      </c>
      <c r="O130" s="174">
        <f>ABS(M130-M132)</f>
        <v>1.1700000000018917E-2</v>
      </c>
      <c r="P130" s="174">
        <f>ABS(N130-N132)</f>
        <v>1.1700000000018917E-2</v>
      </c>
      <c r="R130" s="122">
        <v>52.853300000000004</v>
      </c>
      <c r="S130" s="122">
        <v>52.853300000000004</v>
      </c>
      <c r="T130" s="122">
        <v>258.0249</v>
      </c>
      <c r="U130" s="122">
        <v>258.0249</v>
      </c>
      <c r="V130" s="122">
        <f t="shared" si="33"/>
        <v>310.87819999999999</v>
      </c>
      <c r="W130" s="122">
        <f t="shared" si="34"/>
        <v>310.87819999999999</v>
      </c>
      <c r="X130" s="174">
        <f t="shared" ref="X130:Y130" si="60">ABS(V130-V132)</f>
        <v>1.340000000004693E-2</v>
      </c>
      <c r="Y130" s="174">
        <f t="shared" si="60"/>
        <v>1.340000000004693E-2</v>
      </c>
    </row>
    <row r="131" spans="2:25">
      <c r="B131" s="230" t="s">
        <v>3360</v>
      </c>
      <c r="C131" s="216" t="s">
        <v>3354</v>
      </c>
      <c r="D131" s="217"/>
      <c r="E131" s="217"/>
      <c r="F131" s="217" t="s">
        <v>431</v>
      </c>
      <c r="G131" s="217">
        <v>5</v>
      </c>
      <c r="H131" s="217" t="s">
        <v>432</v>
      </c>
      <c r="I131" s="217">
        <v>100</v>
      </c>
      <c r="J131" s="217" t="s">
        <v>433</v>
      </c>
      <c r="K131" s="122">
        <v>54.467500000000001</v>
      </c>
      <c r="L131" s="122">
        <v>54.467500000000001</v>
      </c>
      <c r="M131" s="277"/>
      <c r="N131" s="278"/>
      <c r="O131" s="175"/>
      <c r="P131" s="175"/>
      <c r="R131" s="122">
        <v>52.431800000000003</v>
      </c>
      <c r="S131" s="122">
        <v>52.431800000000003</v>
      </c>
      <c r="T131" s="122">
        <v>258.05079999999998</v>
      </c>
      <c r="U131" s="122">
        <v>258.05079999999998</v>
      </c>
      <c r="V131" s="122">
        <f t="shared" si="33"/>
        <v>310.48259999999999</v>
      </c>
      <c r="W131" s="122">
        <f t="shared" si="34"/>
        <v>310.48259999999999</v>
      </c>
      <c r="X131" s="174">
        <f t="shared" ref="X131:Y131" si="61">ABS(V131-V133)</f>
        <v>3.1000000000176442E-3</v>
      </c>
      <c r="Y131" s="174">
        <f t="shared" si="61"/>
        <v>3.1000000000176442E-3</v>
      </c>
    </row>
    <row r="132" spans="2:25">
      <c r="B132" s="230" t="s">
        <v>3385</v>
      </c>
      <c r="C132" s="216" t="s">
        <v>3379</v>
      </c>
      <c r="D132" s="217"/>
      <c r="E132" s="217"/>
      <c r="F132" s="217" t="s">
        <v>431</v>
      </c>
      <c r="G132" s="217">
        <v>5</v>
      </c>
      <c r="H132" s="217" t="s">
        <v>432</v>
      </c>
      <c r="I132" s="217">
        <v>100</v>
      </c>
      <c r="J132" s="217" t="s">
        <v>3369</v>
      </c>
      <c r="K132" s="122">
        <v>54.878900000000002</v>
      </c>
      <c r="L132" s="122">
        <v>54.878900000000002</v>
      </c>
      <c r="M132" s="276">
        <f>SUM(K132:K133)</f>
        <v>109.34479999999999</v>
      </c>
      <c r="N132" s="278">
        <f>SUM(L132:L133)</f>
        <v>109.34479999999999</v>
      </c>
      <c r="O132" s="175"/>
      <c r="P132" s="175"/>
      <c r="R132" s="122">
        <v>52.843200000000003</v>
      </c>
      <c r="S132" s="122">
        <v>52.843200000000003</v>
      </c>
      <c r="T132" s="122">
        <v>258.04840000000002</v>
      </c>
      <c r="U132" s="122">
        <v>258.04840000000002</v>
      </c>
      <c r="V132" s="122">
        <f t="shared" si="33"/>
        <v>310.89160000000004</v>
      </c>
      <c r="W132" s="122">
        <f t="shared" si="34"/>
        <v>310.89160000000004</v>
      </c>
      <c r="X132" s="174"/>
      <c r="Y132" s="174"/>
    </row>
    <row r="133" spans="2:25">
      <c r="B133" s="230" t="s">
        <v>3368</v>
      </c>
      <c r="C133" s="216" t="s">
        <v>3362</v>
      </c>
      <c r="D133" s="217"/>
      <c r="E133" s="217"/>
      <c r="F133" s="217" t="s">
        <v>431</v>
      </c>
      <c r="G133" s="217">
        <v>5</v>
      </c>
      <c r="H133" s="217" t="s">
        <v>432</v>
      </c>
      <c r="I133" s="217">
        <v>100</v>
      </c>
      <c r="J133" s="217" t="s">
        <v>3369</v>
      </c>
      <c r="K133" s="122">
        <v>54.465899999999998</v>
      </c>
      <c r="L133" s="122">
        <v>54.465899999999998</v>
      </c>
      <c r="M133" s="277"/>
      <c r="N133" s="278"/>
      <c r="O133" s="176"/>
      <c r="P133" s="176"/>
      <c r="R133" s="122">
        <v>52.430199999999999</v>
      </c>
      <c r="S133" s="122">
        <v>52.430199999999999</v>
      </c>
      <c r="T133" s="122">
        <v>258.05549999999999</v>
      </c>
      <c r="U133" s="122">
        <v>258.05549999999999</v>
      </c>
      <c r="V133" s="122">
        <f t="shared" si="33"/>
        <v>310.48570000000001</v>
      </c>
      <c r="W133" s="122">
        <f t="shared" si="34"/>
        <v>310.48570000000001</v>
      </c>
      <c r="X133" s="175"/>
      <c r="Y133" s="175"/>
    </row>
    <row r="134" spans="2:25">
      <c r="B134" s="230" t="s">
        <v>3413</v>
      </c>
      <c r="C134" s="216" t="s">
        <v>3406</v>
      </c>
      <c r="D134" s="217"/>
      <c r="E134" s="217"/>
      <c r="F134" s="217" t="s">
        <v>3394</v>
      </c>
      <c r="G134" s="217">
        <v>5</v>
      </c>
      <c r="H134" s="217" t="s">
        <v>432</v>
      </c>
      <c r="I134" s="217">
        <v>100</v>
      </c>
      <c r="J134" s="217" t="s">
        <v>3395</v>
      </c>
      <c r="K134" s="122">
        <v>54.728099999999998</v>
      </c>
      <c r="L134" s="122">
        <v>54.728099999999998</v>
      </c>
      <c r="M134" s="276">
        <f>SUM(K134:K135)</f>
        <v>109.39060000000001</v>
      </c>
      <c r="N134" s="278">
        <f>SUM(L134:L135)</f>
        <v>109.39060000000001</v>
      </c>
      <c r="O134" s="174">
        <f>ABS(M134-M136)</f>
        <v>3.7199999999984357E-2</v>
      </c>
      <c r="P134" s="174">
        <f>ABS(N134-N136)</f>
        <v>3.7199999999984357E-2</v>
      </c>
      <c r="R134" s="122">
        <v>52.692399999999999</v>
      </c>
      <c r="S134" s="122">
        <v>52.692399999999999</v>
      </c>
      <c r="T134" s="122">
        <v>258.01029999999997</v>
      </c>
      <c r="U134" s="122">
        <v>258.01029999999997</v>
      </c>
      <c r="V134" s="122">
        <f t="shared" si="33"/>
        <v>310.70269999999999</v>
      </c>
      <c r="W134" s="122">
        <f t="shared" si="34"/>
        <v>310.70269999999999</v>
      </c>
      <c r="X134" s="174">
        <f t="shared" ref="X134:Y134" si="62">ABS(V134-V136)</f>
        <v>4.2699999999967986E-2</v>
      </c>
      <c r="Y134" s="174">
        <f t="shared" si="62"/>
        <v>4.2699999999967986E-2</v>
      </c>
    </row>
    <row r="135" spans="2:25">
      <c r="B135" s="230" t="s">
        <v>3393</v>
      </c>
      <c r="C135" s="216" t="s">
        <v>3387</v>
      </c>
      <c r="D135" s="217"/>
      <c r="E135" s="217"/>
      <c r="F135" s="217" t="s">
        <v>3394</v>
      </c>
      <c r="G135" s="217">
        <v>5</v>
      </c>
      <c r="H135" s="217" t="s">
        <v>432</v>
      </c>
      <c r="I135" s="217">
        <v>100</v>
      </c>
      <c r="J135" s="217" t="s">
        <v>3395</v>
      </c>
      <c r="K135" s="122">
        <v>54.662500000000001</v>
      </c>
      <c r="L135" s="122">
        <v>54.662500000000001</v>
      </c>
      <c r="M135" s="277"/>
      <c r="N135" s="278"/>
      <c r="O135" s="175"/>
      <c r="P135" s="175"/>
      <c r="R135" s="122">
        <v>52.626800000000003</v>
      </c>
      <c r="S135" s="122">
        <v>52.626800000000003</v>
      </c>
      <c r="T135" s="122">
        <v>258.02510000000001</v>
      </c>
      <c r="U135" s="122">
        <v>258.02510000000001</v>
      </c>
      <c r="V135" s="122">
        <f t="shared" si="33"/>
        <v>310.65190000000001</v>
      </c>
      <c r="W135" s="122">
        <f t="shared" si="34"/>
        <v>310.65190000000001</v>
      </c>
      <c r="X135" s="174">
        <f t="shared" ref="X135:Y135" si="63">ABS(V135-V137)</f>
        <v>1.5999999999962711E-3</v>
      </c>
      <c r="Y135" s="174">
        <f t="shared" si="63"/>
        <v>1.5999999999962711E-3</v>
      </c>
    </row>
    <row r="136" spans="2:25">
      <c r="B136" s="230" t="s">
        <v>3421</v>
      </c>
      <c r="C136" s="216" t="s">
        <v>3415</v>
      </c>
      <c r="D136" s="217"/>
      <c r="E136" s="217"/>
      <c r="F136" s="217" t="s">
        <v>3394</v>
      </c>
      <c r="G136" s="217">
        <v>5</v>
      </c>
      <c r="H136" s="217" t="s">
        <v>432</v>
      </c>
      <c r="I136" s="217">
        <v>100</v>
      </c>
      <c r="J136" s="217" t="s">
        <v>3404</v>
      </c>
      <c r="K136" s="122">
        <v>54.767899999999997</v>
      </c>
      <c r="L136" s="122">
        <v>54.767899999999997</v>
      </c>
      <c r="M136" s="276">
        <f>SUM(K136:K137)</f>
        <v>109.42779999999999</v>
      </c>
      <c r="N136" s="278">
        <f>SUM(L136:L137)</f>
        <v>109.42779999999999</v>
      </c>
      <c r="O136" s="175"/>
      <c r="P136" s="175"/>
      <c r="R136" s="122">
        <v>52.732199999999999</v>
      </c>
      <c r="S136" s="122">
        <v>52.732199999999999</v>
      </c>
      <c r="T136" s="122">
        <v>258.01319999999998</v>
      </c>
      <c r="U136" s="122">
        <v>258.01319999999998</v>
      </c>
      <c r="V136" s="122">
        <f t="shared" si="33"/>
        <v>310.74539999999996</v>
      </c>
      <c r="W136" s="122">
        <f t="shared" si="34"/>
        <v>310.74539999999996</v>
      </c>
      <c r="X136" s="174"/>
      <c r="Y136" s="174"/>
    </row>
    <row r="137" spans="2:25">
      <c r="B137" s="230" t="s">
        <v>3403</v>
      </c>
      <c r="C137" s="216" t="s">
        <v>3397</v>
      </c>
      <c r="D137" s="217"/>
      <c r="E137" s="217"/>
      <c r="F137" s="217" t="s">
        <v>3394</v>
      </c>
      <c r="G137" s="217">
        <v>5</v>
      </c>
      <c r="H137" s="217" t="s">
        <v>432</v>
      </c>
      <c r="I137" s="217">
        <v>100</v>
      </c>
      <c r="J137" s="217" t="s">
        <v>3404</v>
      </c>
      <c r="K137" s="122">
        <v>54.6599</v>
      </c>
      <c r="L137" s="122">
        <v>54.6599</v>
      </c>
      <c r="M137" s="277"/>
      <c r="N137" s="278"/>
      <c r="O137" s="176"/>
      <c r="P137" s="176"/>
      <c r="R137" s="122">
        <v>52.624200000000002</v>
      </c>
      <c r="S137" s="122">
        <v>52.624200000000002</v>
      </c>
      <c r="T137" s="122">
        <v>258.02929999999998</v>
      </c>
      <c r="U137" s="122">
        <v>258.02929999999998</v>
      </c>
      <c r="V137" s="122">
        <f t="shared" si="33"/>
        <v>310.65350000000001</v>
      </c>
      <c r="W137" s="122">
        <f t="shared" si="34"/>
        <v>310.65350000000001</v>
      </c>
      <c r="X137" s="175"/>
      <c r="Y137" s="175"/>
    </row>
    <row r="138" spans="2:25">
      <c r="B138" s="230" t="s">
        <v>3448</v>
      </c>
      <c r="C138" s="216" t="s">
        <v>3442</v>
      </c>
      <c r="D138" s="217"/>
      <c r="E138" s="217"/>
      <c r="F138" s="217" t="s">
        <v>3430</v>
      </c>
      <c r="G138" s="217">
        <v>5</v>
      </c>
      <c r="H138" s="217" t="s">
        <v>432</v>
      </c>
      <c r="I138" s="217">
        <v>100</v>
      </c>
      <c r="J138" s="217" t="s">
        <v>3431</v>
      </c>
      <c r="K138" s="122">
        <v>54.845100000000002</v>
      </c>
      <c r="L138" s="122">
        <v>54.845100000000002</v>
      </c>
      <c r="M138" s="276">
        <f>SUM(K138:K139)</f>
        <v>109.4453</v>
      </c>
      <c r="N138" s="278">
        <f>SUM(L138:L139)</f>
        <v>109.4453</v>
      </c>
      <c r="O138" s="174">
        <f>ABS(M138-M140)</f>
        <v>5.6999999999902684E-3</v>
      </c>
      <c r="P138" s="174">
        <f>ABS(N138-N140)</f>
        <v>5.6999999999902684E-3</v>
      </c>
      <c r="R138" s="122">
        <v>52.809400000000004</v>
      </c>
      <c r="S138" s="122">
        <v>52.809400000000004</v>
      </c>
      <c r="T138" s="122">
        <v>257.99</v>
      </c>
      <c r="U138" s="122">
        <v>257.99</v>
      </c>
      <c r="V138" s="122">
        <f t="shared" si="33"/>
        <v>310.79939999999999</v>
      </c>
      <c r="W138" s="122">
        <f t="shared" si="34"/>
        <v>310.79939999999999</v>
      </c>
      <c r="X138" s="174">
        <f t="shared" ref="X138:Y138" si="64">ABS(V138-V140)</f>
        <v>1.2000000000000455E-2</v>
      </c>
      <c r="Y138" s="174">
        <f t="shared" si="64"/>
        <v>1.2000000000000455E-2</v>
      </c>
    </row>
    <row r="139" spans="2:25">
      <c r="B139" s="230" t="s">
        <v>3429</v>
      </c>
      <c r="C139" s="216" t="s">
        <v>3423</v>
      </c>
      <c r="D139" s="217"/>
      <c r="E139" s="217"/>
      <c r="F139" s="217" t="s">
        <v>3430</v>
      </c>
      <c r="G139" s="217">
        <v>5</v>
      </c>
      <c r="H139" s="217" t="s">
        <v>432</v>
      </c>
      <c r="I139" s="217">
        <v>100</v>
      </c>
      <c r="J139" s="217" t="s">
        <v>3431</v>
      </c>
      <c r="K139" s="122">
        <v>54.600200000000001</v>
      </c>
      <c r="L139" s="122">
        <v>54.600200000000001</v>
      </c>
      <c r="M139" s="277"/>
      <c r="N139" s="278"/>
      <c r="O139" s="175"/>
      <c r="P139" s="175"/>
      <c r="R139" s="122">
        <v>52.564500000000002</v>
      </c>
      <c r="S139" s="122">
        <v>52.564500000000002</v>
      </c>
      <c r="T139" s="122">
        <v>258.00619999999998</v>
      </c>
      <c r="U139" s="122">
        <v>258.00619999999998</v>
      </c>
      <c r="V139" s="122">
        <f t="shared" si="33"/>
        <v>310.57069999999999</v>
      </c>
      <c r="W139" s="122">
        <f t="shared" si="34"/>
        <v>310.57069999999999</v>
      </c>
      <c r="X139" s="174">
        <f t="shared" ref="X139:Y139" si="65">ABS(V139-V141)</f>
        <v>2.0999999999844476E-3</v>
      </c>
      <c r="Y139" s="174">
        <f t="shared" si="65"/>
        <v>2.0999999999844476E-3</v>
      </c>
    </row>
    <row r="140" spans="2:25">
      <c r="B140" s="230" t="s">
        <v>3456</v>
      </c>
      <c r="C140" s="216" t="s">
        <v>3450</v>
      </c>
      <c r="D140" s="217"/>
      <c r="E140" s="217"/>
      <c r="F140" s="217" t="s">
        <v>3430</v>
      </c>
      <c r="G140" s="217">
        <v>5</v>
      </c>
      <c r="H140" s="217" t="s">
        <v>432</v>
      </c>
      <c r="I140" s="217">
        <v>100</v>
      </c>
      <c r="J140" s="217" t="s">
        <v>3440</v>
      </c>
      <c r="K140" s="122">
        <v>54.843899999999998</v>
      </c>
      <c r="L140" s="122">
        <v>54.843899999999998</v>
      </c>
      <c r="M140" s="276">
        <f>SUM(K140:K141)</f>
        <v>109.45099999999999</v>
      </c>
      <c r="N140" s="278">
        <f>SUM(L140:L141)</f>
        <v>109.45099999999999</v>
      </c>
      <c r="O140" s="175"/>
      <c r="P140" s="175"/>
      <c r="R140" s="122">
        <v>52.808199999999999</v>
      </c>
      <c r="S140" s="122">
        <v>52.808199999999999</v>
      </c>
      <c r="T140" s="122">
        <v>258.00319999999999</v>
      </c>
      <c r="U140" s="122">
        <v>258.00319999999999</v>
      </c>
      <c r="V140" s="122">
        <f t="shared" si="33"/>
        <v>310.81139999999999</v>
      </c>
      <c r="W140" s="122">
        <f t="shared" si="34"/>
        <v>310.81139999999999</v>
      </c>
      <c r="X140" s="174"/>
      <c r="Y140" s="174"/>
    </row>
    <row r="141" spans="2:25">
      <c r="B141" s="230" t="s">
        <v>3439</v>
      </c>
      <c r="C141" s="216" t="s">
        <v>3433</v>
      </c>
      <c r="D141" s="217"/>
      <c r="E141" s="217"/>
      <c r="F141" s="217" t="s">
        <v>3430</v>
      </c>
      <c r="G141" s="217">
        <v>5</v>
      </c>
      <c r="H141" s="217" t="s">
        <v>432</v>
      </c>
      <c r="I141" s="217">
        <v>100</v>
      </c>
      <c r="J141" s="217" t="s">
        <v>3440</v>
      </c>
      <c r="K141" s="122">
        <v>54.607100000000003</v>
      </c>
      <c r="L141" s="122">
        <v>54.607100000000003</v>
      </c>
      <c r="M141" s="277"/>
      <c r="N141" s="278"/>
      <c r="O141" s="176"/>
      <c r="P141" s="176"/>
      <c r="R141" s="122">
        <v>52.571400000000004</v>
      </c>
      <c r="S141" s="122">
        <v>52.571400000000004</v>
      </c>
      <c r="T141" s="122">
        <v>258.00139999999999</v>
      </c>
      <c r="U141" s="122">
        <v>258.00139999999999</v>
      </c>
      <c r="V141" s="122">
        <f t="shared" si="33"/>
        <v>310.57279999999997</v>
      </c>
      <c r="W141" s="122">
        <f t="shared" si="34"/>
        <v>310.57279999999997</v>
      </c>
      <c r="X141" s="175"/>
      <c r="Y141" s="175"/>
    </row>
    <row r="142" spans="2:25">
      <c r="B142" s="230" t="s">
        <v>3203</v>
      </c>
      <c r="C142" s="216" t="s">
        <v>3197</v>
      </c>
      <c r="D142" s="217"/>
      <c r="E142" s="217"/>
      <c r="F142" s="217" t="s">
        <v>454</v>
      </c>
      <c r="G142" s="217">
        <v>5</v>
      </c>
      <c r="H142" s="217" t="s">
        <v>432</v>
      </c>
      <c r="I142" s="217">
        <v>100</v>
      </c>
      <c r="J142" s="217" t="s">
        <v>3204</v>
      </c>
      <c r="K142" s="122">
        <v>54.759300000000003</v>
      </c>
      <c r="L142" s="122">
        <v>54.759300000000003</v>
      </c>
      <c r="M142" s="276">
        <f>SUM(K142:K143)</f>
        <v>109.34399999999999</v>
      </c>
      <c r="N142" s="278">
        <f>SUM(L142:L143)</f>
        <v>109.34399999999999</v>
      </c>
      <c r="O142" s="174">
        <f>ABS(M142-M144)</f>
        <v>7.3999999999898591E-3</v>
      </c>
      <c r="P142" s="174">
        <f>ABS(N142-N144)</f>
        <v>7.3999999999898591E-3</v>
      </c>
      <c r="R142" s="122">
        <v>52.723600000000005</v>
      </c>
      <c r="S142" s="122">
        <v>52.723600000000005</v>
      </c>
      <c r="T142" s="122">
        <v>257.99599999999998</v>
      </c>
      <c r="U142" s="122">
        <v>257.99599999999998</v>
      </c>
      <c r="V142" s="122">
        <f t="shared" si="33"/>
        <v>310.71960000000001</v>
      </c>
      <c r="W142" s="122">
        <f t="shared" si="34"/>
        <v>310.71960000000001</v>
      </c>
      <c r="X142" s="174">
        <f t="shared" ref="X142:Y142" si="66">ABS(V142-V144)</f>
        <v>9.0000000000145519E-3</v>
      </c>
      <c r="Y142" s="174">
        <f t="shared" si="66"/>
        <v>9.0000000000145519E-3</v>
      </c>
    </row>
    <row r="143" spans="2:25">
      <c r="B143" s="230" t="s">
        <v>3464</v>
      </c>
      <c r="C143" s="216" t="s">
        <v>3458</v>
      </c>
      <c r="D143" s="217"/>
      <c r="E143" s="217"/>
      <c r="F143" s="217" t="s">
        <v>454</v>
      </c>
      <c r="G143" s="217">
        <v>5</v>
      </c>
      <c r="H143" s="217" t="s">
        <v>432</v>
      </c>
      <c r="I143" s="217">
        <v>100</v>
      </c>
      <c r="J143" s="217" t="s">
        <v>3204</v>
      </c>
      <c r="K143" s="122">
        <v>54.584699999999998</v>
      </c>
      <c r="L143" s="122">
        <v>54.584699999999998</v>
      </c>
      <c r="M143" s="277"/>
      <c r="N143" s="278"/>
      <c r="O143" s="175"/>
      <c r="P143" s="175"/>
      <c r="R143" s="122">
        <v>52.548999999999999</v>
      </c>
      <c r="S143" s="122">
        <v>52.548999999999999</v>
      </c>
      <c r="T143" s="122">
        <v>258.01859999999999</v>
      </c>
      <c r="U143" s="122">
        <v>258.01859999999999</v>
      </c>
      <c r="V143" s="122">
        <f t="shared" ref="V143:V149" si="67">SUM(R143,T143)</f>
        <v>310.56759999999997</v>
      </c>
      <c r="W143" s="122">
        <f t="shared" ref="W143:W149" si="68">SUM(S143,U143)</f>
        <v>310.56759999999997</v>
      </c>
      <c r="X143" s="174">
        <f t="shared" ref="X143:Y143" si="69">ABS(V143-V145)</f>
        <v>2.2100000000023101E-2</v>
      </c>
      <c r="Y143" s="174">
        <f t="shared" si="69"/>
        <v>2.2100000000023101E-2</v>
      </c>
    </row>
    <row r="144" spans="2:25">
      <c r="B144" s="230" t="s">
        <v>3482</v>
      </c>
      <c r="C144" s="216" t="s">
        <v>3476</v>
      </c>
      <c r="D144" s="217"/>
      <c r="E144" s="217"/>
      <c r="F144" s="217" t="s">
        <v>454</v>
      </c>
      <c r="G144" s="217">
        <v>5</v>
      </c>
      <c r="H144" s="217" t="s">
        <v>432</v>
      </c>
      <c r="I144" s="217">
        <v>100</v>
      </c>
      <c r="J144" s="217" t="s">
        <v>455</v>
      </c>
      <c r="K144" s="122">
        <v>54.75</v>
      </c>
      <c r="L144" s="122">
        <v>54.75</v>
      </c>
      <c r="M144" s="276">
        <f>SUM(K144:K145)</f>
        <v>109.3366</v>
      </c>
      <c r="N144" s="278">
        <f>SUM(L144:L145)</f>
        <v>109.3366</v>
      </c>
      <c r="O144" s="175"/>
      <c r="P144" s="175"/>
      <c r="R144" s="122">
        <v>52.714300000000001</v>
      </c>
      <c r="S144" s="122">
        <v>52.714300000000001</v>
      </c>
      <c r="T144" s="122">
        <v>257.99630000000002</v>
      </c>
      <c r="U144" s="122">
        <v>257.99630000000002</v>
      </c>
      <c r="V144" s="122">
        <f t="shared" si="67"/>
        <v>310.7106</v>
      </c>
      <c r="W144" s="122">
        <f t="shared" si="68"/>
        <v>310.7106</v>
      </c>
      <c r="X144" s="174"/>
      <c r="Y144" s="174"/>
    </row>
    <row r="145" spans="2:25">
      <c r="B145" s="230" t="s">
        <v>453</v>
      </c>
      <c r="C145" s="216" t="s">
        <v>446</v>
      </c>
      <c r="D145" s="217"/>
      <c r="E145" s="217"/>
      <c r="F145" s="217" t="s">
        <v>454</v>
      </c>
      <c r="G145" s="217">
        <v>5</v>
      </c>
      <c r="H145" s="217" t="s">
        <v>432</v>
      </c>
      <c r="I145" s="217">
        <v>100</v>
      </c>
      <c r="J145" s="217" t="s">
        <v>455</v>
      </c>
      <c r="K145" s="122">
        <v>54.586599999999997</v>
      </c>
      <c r="L145" s="122">
        <v>54.586599999999997</v>
      </c>
      <c r="M145" s="277"/>
      <c r="N145" s="278"/>
      <c r="O145" s="176"/>
      <c r="P145" s="176"/>
      <c r="R145" s="122">
        <v>52.550899999999999</v>
      </c>
      <c r="S145" s="122">
        <v>52.550899999999999</v>
      </c>
      <c r="T145" s="122">
        <v>258.03879999999998</v>
      </c>
      <c r="U145" s="122">
        <v>258.03879999999998</v>
      </c>
      <c r="V145" s="122">
        <f t="shared" si="67"/>
        <v>310.58969999999999</v>
      </c>
      <c r="W145" s="122">
        <f t="shared" si="68"/>
        <v>310.58969999999999</v>
      </c>
      <c r="X145" s="175"/>
      <c r="Y145" s="175"/>
    </row>
    <row r="146" spans="2:25">
      <c r="B146" s="230" t="s">
        <v>3377</v>
      </c>
      <c r="C146" s="216" t="s">
        <v>3371</v>
      </c>
      <c r="D146" s="217"/>
      <c r="E146" s="217"/>
      <c r="F146" s="217" t="s">
        <v>3185</v>
      </c>
      <c r="G146" s="217">
        <v>5</v>
      </c>
      <c r="H146" s="217" t="s">
        <v>432</v>
      </c>
      <c r="I146" s="217">
        <v>100</v>
      </c>
      <c r="J146" s="217" t="s">
        <v>3186</v>
      </c>
      <c r="K146" s="122">
        <v>54.7271</v>
      </c>
      <c r="L146" s="122">
        <v>54.7271</v>
      </c>
      <c r="M146" s="276">
        <f>SUM(K146:K147)</f>
        <v>109.3244</v>
      </c>
      <c r="N146" s="278">
        <f>SUM(L146:L147)</f>
        <v>109.3244</v>
      </c>
      <c r="O146" s="174">
        <f>ABS(M146-M148)</f>
        <v>1.5900000000002024E-2</v>
      </c>
      <c r="P146" s="174">
        <f>ABS(N146-N148)</f>
        <v>1.5900000000002024E-2</v>
      </c>
      <c r="R146" s="122">
        <v>52.691400000000002</v>
      </c>
      <c r="S146" s="122">
        <v>52.691400000000002</v>
      </c>
      <c r="T146" s="122">
        <v>258.04489999999998</v>
      </c>
      <c r="U146" s="122">
        <v>258.04489999999998</v>
      </c>
      <c r="V146" s="122">
        <f t="shared" si="67"/>
        <v>310.73629999999997</v>
      </c>
      <c r="W146" s="122">
        <f t="shared" si="68"/>
        <v>310.73629999999997</v>
      </c>
      <c r="X146" s="174">
        <f t="shared" ref="X146:Y146" si="70">ABS(V146-V148)</f>
        <v>1.6400000000032833E-2</v>
      </c>
      <c r="Y146" s="174">
        <f t="shared" si="70"/>
        <v>1.6400000000032833E-2</v>
      </c>
    </row>
    <row r="147" spans="2:25">
      <c r="B147" s="230" t="s">
        <v>3184</v>
      </c>
      <c r="C147" s="216" t="s">
        <v>3178</v>
      </c>
      <c r="D147" s="217"/>
      <c r="E147" s="217"/>
      <c r="F147" s="217" t="s">
        <v>3185</v>
      </c>
      <c r="G147" s="217">
        <v>5</v>
      </c>
      <c r="H147" s="217" t="s">
        <v>432</v>
      </c>
      <c r="I147" s="217">
        <v>100</v>
      </c>
      <c r="J147" s="217" t="s">
        <v>3186</v>
      </c>
      <c r="K147" s="122">
        <v>54.597299999999997</v>
      </c>
      <c r="L147" s="122">
        <v>54.597299999999997</v>
      </c>
      <c r="M147" s="277"/>
      <c r="N147" s="278"/>
      <c r="O147" s="175"/>
      <c r="P147" s="175"/>
      <c r="R147" s="122">
        <v>52.561599999999999</v>
      </c>
      <c r="S147" s="122">
        <v>52.561599999999999</v>
      </c>
      <c r="T147" s="122">
        <v>258.01889999999997</v>
      </c>
      <c r="U147" s="122">
        <v>258.01889999999997</v>
      </c>
      <c r="V147" s="122">
        <f t="shared" si="67"/>
        <v>310.58049999999997</v>
      </c>
      <c r="W147" s="122">
        <f t="shared" si="68"/>
        <v>310.58049999999997</v>
      </c>
      <c r="X147" s="174">
        <f t="shared" ref="X147:Y147" si="71">ABS(V147-V149)</f>
        <v>3.8000000000124601E-3</v>
      </c>
      <c r="Y147" s="174">
        <f t="shared" si="71"/>
        <v>3.8000000000124601E-3</v>
      </c>
    </row>
    <row r="148" spans="2:25">
      <c r="B148" s="230" t="s">
        <v>3212</v>
      </c>
      <c r="C148" s="216" t="s">
        <v>3206</v>
      </c>
      <c r="D148" s="217"/>
      <c r="E148" s="217"/>
      <c r="F148" s="217" t="s">
        <v>3185</v>
      </c>
      <c r="G148" s="217">
        <v>5</v>
      </c>
      <c r="H148" s="217" t="s">
        <v>432</v>
      </c>
      <c r="I148" s="217">
        <v>100</v>
      </c>
      <c r="J148" s="217" t="s">
        <v>3195</v>
      </c>
      <c r="K148" s="122">
        <v>54.7333</v>
      </c>
      <c r="L148" s="122">
        <v>54.7333</v>
      </c>
      <c r="M148" s="276">
        <f>SUM(K148:K149)</f>
        <v>109.3403</v>
      </c>
      <c r="N148" s="278">
        <f>SUM(L148:L149)</f>
        <v>109.3403</v>
      </c>
      <c r="O148" s="175"/>
      <c r="P148" s="175"/>
      <c r="R148" s="122">
        <v>52.697600000000001</v>
      </c>
      <c r="S148" s="122">
        <v>52.697600000000001</v>
      </c>
      <c r="T148" s="122">
        <v>258.05509999999998</v>
      </c>
      <c r="U148" s="122">
        <v>258.05509999999998</v>
      </c>
      <c r="V148" s="122">
        <f t="shared" si="67"/>
        <v>310.7527</v>
      </c>
      <c r="W148" s="122">
        <f t="shared" si="68"/>
        <v>310.7527</v>
      </c>
      <c r="X148" s="174"/>
      <c r="Y148" s="174"/>
    </row>
    <row r="149" spans="2:25">
      <c r="B149" s="230" t="s">
        <v>3194</v>
      </c>
      <c r="C149" s="216" t="s">
        <v>3188</v>
      </c>
      <c r="D149" s="217"/>
      <c r="E149" s="217"/>
      <c r="F149" s="217" t="s">
        <v>3185</v>
      </c>
      <c r="G149" s="217">
        <v>5</v>
      </c>
      <c r="H149" s="217" t="s">
        <v>432</v>
      </c>
      <c r="I149" s="217">
        <v>100</v>
      </c>
      <c r="J149" s="217" t="s">
        <v>3195</v>
      </c>
      <c r="K149" s="122">
        <v>54.606999999999999</v>
      </c>
      <c r="L149" s="122">
        <v>54.606999999999999</v>
      </c>
      <c r="M149" s="277"/>
      <c r="N149" s="278"/>
      <c r="O149" s="176"/>
      <c r="P149" s="176"/>
      <c r="R149" s="122">
        <v>52.571300000000001</v>
      </c>
      <c r="S149" s="122">
        <v>52.571300000000001</v>
      </c>
      <c r="T149" s="122">
        <v>258.01299999999998</v>
      </c>
      <c r="U149" s="122">
        <v>258.01299999999998</v>
      </c>
      <c r="V149" s="122">
        <f t="shared" si="67"/>
        <v>310.58429999999998</v>
      </c>
      <c r="W149" s="122">
        <f t="shared" si="68"/>
        <v>310.58429999999998</v>
      </c>
      <c r="X149" s="176"/>
      <c r="Y149" s="176"/>
    </row>
    <row r="150" spans="2:25">
      <c r="B150" s="1"/>
      <c r="C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2:25">
      <c r="B151" s="219" t="s">
        <v>2750</v>
      </c>
      <c r="C151" s="216" t="s">
        <v>2746</v>
      </c>
      <c r="D151" s="217"/>
      <c r="E151" s="217"/>
      <c r="F151" s="217" t="s">
        <v>2743</v>
      </c>
      <c r="G151" s="217">
        <v>5</v>
      </c>
      <c r="H151" s="217" t="s">
        <v>432</v>
      </c>
      <c r="I151" s="217"/>
      <c r="J151" s="217"/>
      <c r="R151" s="177"/>
      <c r="S151" s="177"/>
      <c r="T151" s="122">
        <v>312.39260000000002</v>
      </c>
      <c r="U151" s="122">
        <v>312.39260000000002</v>
      </c>
      <c r="V151" s="122">
        <f t="shared" ref="V151:V154" si="72">SUM(R151,T151)</f>
        <v>312.39260000000002</v>
      </c>
      <c r="W151" s="122">
        <f t="shared" ref="W151:W154" si="73">SUM(S151,U151)</f>
        <v>312.39260000000002</v>
      </c>
      <c r="X151" s="174">
        <f>ABS(V151-V152)</f>
        <v>3.899999999987358E-3</v>
      </c>
      <c r="Y151" s="174">
        <f>ABS(W151-W152)</f>
        <v>3.899999999987358E-3</v>
      </c>
    </row>
    <row r="152" spans="2:25">
      <c r="B152" s="219" t="s">
        <v>2742</v>
      </c>
      <c r="C152" s="216" t="s">
        <v>2738</v>
      </c>
      <c r="D152" s="217"/>
      <c r="E152" s="217"/>
      <c r="F152" s="217" t="s">
        <v>2743</v>
      </c>
      <c r="G152" s="217">
        <v>5</v>
      </c>
      <c r="H152" s="217" t="s">
        <v>432</v>
      </c>
      <c r="I152" s="217"/>
      <c r="J152" s="217"/>
      <c r="R152" s="177"/>
      <c r="S152" s="177"/>
      <c r="T152" s="122">
        <v>312.3965</v>
      </c>
      <c r="U152" s="122">
        <v>312.3965</v>
      </c>
      <c r="V152" s="122">
        <f t="shared" si="72"/>
        <v>312.3965</v>
      </c>
      <c r="W152" s="122">
        <f t="shared" si="73"/>
        <v>312.3965</v>
      </c>
      <c r="X152" s="175"/>
      <c r="Y152" s="175"/>
    </row>
    <row r="153" spans="2:25">
      <c r="B153" s="219" t="s">
        <v>3141</v>
      </c>
      <c r="C153" s="216" t="s">
        <v>3138</v>
      </c>
      <c r="D153" s="217"/>
      <c r="E153" s="217"/>
      <c r="F153" s="217" t="s">
        <v>3136</v>
      </c>
      <c r="G153" s="217">
        <v>5</v>
      </c>
      <c r="H153" s="217" t="s">
        <v>432</v>
      </c>
      <c r="I153" s="217">
        <v>100</v>
      </c>
      <c r="J153" s="217"/>
      <c r="R153" s="177"/>
      <c r="S153" s="177"/>
      <c r="T153" s="122">
        <v>312.31900000000002</v>
      </c>
      <c r="U153" s="122">
        <v>312.31900000000002</v>
      </c>
      <c r="V153" s="122">
        <f t="shared" si="72"/>
        <v>312.31900000000002</v>
      </c>
      <c r="W153" s="122">
        <f t="shared" si="73"/>
        <v>312.31900000000002</v>
      </c>
      <c r="X153" s="174">
        <f>ABS(V153-V154)</f>
        <v>1.0300000000029286E-2</v>
      </c>
      <c r="Y153" s="174">
        <f>ABS(W153-W154)</f>
        <v>1.0300000000029286E-2</v>
      </c>
    </row>
    <row r="154" spans="2:25">
      <c r="B154" s="219" t="s">
        <v>3135</v>
      </c>
      <c r="C154" s="216" t="s">
        <v>3132</v>
      </c>
      <c r="D154" s="217"/>
      <c r="E154" s="217"/>
      <c r="F154" s="217" t="s">
        <v>3136</v>
      </c>
      <c r="G154" s="217">
        <v>5</v>
      </c>
      <c r="H154" s="217" t="s">
        <v>432</v>
      </c>
      <c r="I154" s="217">
        <v>100</v>
      </c>
      <c r="J154" s="217"/>
      <c r="R154" s="177"/>
      <c r="S154" s="177"/>
      <c r="T154" s="122">
        <v>312.30869999999999</v>
      </c>
      <c r="U154" s="122">
        <v>312.30869999999999</v>
      </c>
      <c r="V154" s="122">
        <f t="shared" si="72"/>
        <v>312.30869999999999</v>
      </c>
      <c r="W154" s="122">
        <f t="shared" si="73"/>
        <v>312.30869999999999</v>
      </c>
      <c r="X154" s="176"/>
      <c r="Y154" s="176"/>
    </row>
  </sheetData>
  <mergeCells count="136">
    <mergeCell ref="M146:M147"/>
    <mergeCell ref="N146:N147"/>
    <mergeCell ref="M148:M149"/>
    <mergeCell ref="N148:N149"/>
    <mergeCell ref="M140:M141"/>
    <mergeCell ref="N140:N141"/>
    <mergeCell ref="M142:M143"/>
    <mergeCell ref="N142:N143"/>
    <mergeCell ref="M144:M145"/>
    <mergeCell ref="N144:N145"/>
    <mergeCell ref="M134:M135"/>
    <mergeCell ref="N134:N135"/>
    <mergeCell ref="M136:M137"/>
    <mergeCell ref="N136:N137"/>
    <mergeCell ref="M138:M139"/>
    <mergeCell ref="N138:N139"/>
    <mergeCell ref="M128:M129"/>
    <mergeCell ref="N128:N129"/>
    <mergeCell ref="M130:M131"/>
    <mergeCell ref="N130:N131"/>
    <mergeCell ref="M132:M133"/>
    <mergeCell ref="N132:N133"/>
    <mergeCell ref="M122:M123"/>
    <mergeCell ref="N122:N123"/>
    <mergeCell ref="M124:M125"/>
    <mergeCell ref="N124:N125"/>
    <mergeCell ref="M126:M127"/>
    <mergeCell ref="N126:N127"/>
    <mergeCell ref="M116:M117"/>
    <mergeCell ref="N116:N117"/>
    <mergeCell ref="M118:M119"/>
    <mergeCell ref="N118:N119"/>
    <mergeCell ref="M120:M121"/>
    <mergeCell ref="N120:N121"/>
    <mergeCell ref="M110:M111"/>
    <mergeCell ref="N110:N111"/>
    <mergeCell ref="M112:M113"/>
    <mergeCell ref="N112:N113"/>
    <mergeCell ref="M114:M115"/>
    <mergeCell ref="N114:N115"/>
    <mergeCell ref="M104:M105"/>
    <mergeCell ref="N104:N105"/>
    <mergeCell ref="M106:M107"/>
    <mergeCell ref="N106:N107"/>
    <mergeCell ref="M108:M109"/>
    <mergeCell ref="N108:N109"/>
    <mergeCell ref="M98:M99"/>
    <mergeCell ref="N98:N99"/>
    <mergeCell ref="M100:M101"/>
    <mergeCell ref="N100:N101"/>
    <mergeCell ref="M102:M103"/>
    <mergeCell ref="N102:N103"/>
    <mergeCell ref="M92:M93"/>
    <mergeCell ref="N92:N93"/>
    <mergeCell ref="M94:M95"/>
    <mergeCell ref="N94:N95"/>
    <mergeCell ref="M96:M97"/>
    <mergeCell ref="N96:N97"/>
    <mergeCell ref="M86:M87"/>
    <mergeCell ref="N86:N87"/>
    <mergeCell ref="M88:M89"/>
    <mergeCell ref="N88:N89"/>
    <mergeCell ref="M90:M91"/>
    <mergeCell ref="N90:N91"/>
    <mergeCell ref="M80:M81"/>
    <mergeCell ref="N80:N81"/>
    <mergeCell ref="M82:M83"/>
    <mergeCell ref="N82:N83"/>
    <mergeCell ref="M84:M85"/>
    <mergeCell ref="N84:N85"/>
    <mergeCell ref="M74:M75"/>
    <mergeCell ref="N74:N75"/>
    <mergeCell ref="M76:M77"/>
    <mergeCell ref="N76:N77"/>
    <mergeCell ref="M78:M79"/>
    <mergeCell ref="N78:N79"/>
    <mergeCell ref="M68:M69"/>
    <mergeCell ref="N68:N69"/>
    <mergeCell ref="M70:M71"/>
    <mergeCell ref="N70:N71"/>
    <mergeCell ref="M72:M73"/>
    <mergeCell ref="N72:N73"/>
    <mergeCell ref="M62:M63"/>
    <mergeCell ref="N62:N63"/>
    <mergeCell ref="M64:M65"/>
    <mergeCell ref="N64:N65"/>
    <mergeCell ref="M66:M67"/>
    <mergeCell ref="N66:N67"/>
    <mergeCell ref="M56:M57"/>
    <mergeCell ref="N56:N57"/>
    <mergeCell ref="M58:M59"/>
    <mergeCell ref="N58:N59"/>
    <mergeCell ref="M60:M61"/>
    <mergeCell ref="N60:N61"/>
    <mergeCell ref="M50:M51"/>
    <mergeCell ref="N50:N51"/>
    <mergeCell ref="M52:M53"/>
    <mergeCell ref="N52:N53"/>
    <mergeCell ref="M54:M55"/>
    <mergeCell ref="N54:N55"/>
    <mergeCell ref="M44:M45"/>
    <mergeCell ref="N44:N45"/>
    <mergeCell ref="M46:M47"/>
    <mergeCell ref="N46:N47"/>
    <mergeCell ref="M48:M49"/>
    <mergeCell ref="N48:N49"/>
    <mergeCell ref="M40:M41"/>
    <mergeCell ref="N40:N41"/>
    <mergeCell ref="M42:M43"/>
    <mergeCell ref="N42:N43"/>
    <mergeCell ref="M32:M33"/>
    <mergeCell ref="N32:N33"/>
    <mergeCell ref="M34:M35"/>
    <mergeCell ref="N34:N35"/>
    <mergeCell ref="M36:M37"/>
    <mergeCell ref="N36:N37"/>
    <mergeCell ref="M30:M31"/>
    <mergeCell ref="N30:N31"/>
    <mergeCell ref="M20:M21"/>
    <mergeCell ref="N20:N21"/>
    <mergeCell ref="M22:M23"/>
    <mergeCell ref="N22:N23"/>
    <mergeCell ref="M24:M25"/>
    <mergeCell ref="N24:N25"/>
    <mergeCell ref="M38:M39"/>
    <mergeCell ref="N38:N39"/>
    <mergeCell ref="M14:M15"/>
    <mergeCell ref="N14:N15"/>
    <mergeCell ref="M16:M17"/>
    <mergeCell ref="N16:N17"/>
    <mergeCell ref="M18:M19"/>
    <mergeCell ref="N18:N19"/>
    <mergeCell ref="M26:M27"/>
    <mergeCell ref="N26:N27"/>
    <mergeCell ref="M28:M29"/>
    <mergeCell ref="N28:N29"/>
  </mergeCells>
  <phoneticPr fontId="3"/>
  <dataValidations count="4">
    <dataValidation type="list" allowBlank="1" showInputMessage="1" showErrorMessage="1" sqref="E14:E109" xr:uid="{00000000-0002-0000-0400-000000000000}">
      <formula1>Diff_</formula1>
    </dataValidation>
    <dataValidation type="whole" operator="greaterThan" allowBlank="1" showInputMessage="1" showErrorMessage="1" sqref="F14:F109 D14:D109 H14:H109" xr:uid="{00000000-0002-0000-0400-000001000000}">
      <formula1>0</formula1>
    </dataValidation>
    <dataValidation type="list" allowBlank="1" showInputMessage="1" showErrorMessage="1" sqref="I14:I109" xr:uid="{00000000-0002-0000-0400-000002000000}">
      <formula1>Loop_back</formula1>
    </dataValidation>
    <dataValidation type="list" allowBlank="1" showInputMessage="1" showErrorMessage="1" sqref="G14:G109" xr:uid="{00000000-0002-0000-0400-000003000000}">
      <formula1>Match_</formula1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8EF7-E7A0-4648-A85E-6C044D9BFBD4}">
  <sheetPr codeName="Sheet6"/>
  <dimension ref="B1:Y45"/>
  <sheetViews>
    <sheetView zoomScale="70" zoomScaleNormal="70" workbookViewId="0"/>
  </sheetViews>
  <sheetFormatPr defaultColWidth="9" defaultRowHeight="14.25"/>
  <cols>
    <col min="1" max="1" width="13" style="26" customWidth="1"/>
    <col min="2" max="2" width="10.5703125" style="26" bestFit="1" customWidth="1"/>
    <col min="3" max="3" width="13.42578125" style="26" bestFit="1" customWidth="1"/>
    <col min="4" max="8" width="9" style="26"/>
    <col min="9" max="9" width="10.42578125" style="26" bestFit="1" customWidth="1"/>
    <col min="10" max="10" width="9" style="26"/>
    <col min="11" max="19" width="11.5703125" style="26" customWidth="1"/>
    <col min="20" max="23" width="10.5703125" style="26" customWidth="1"/>
    <col min="24" max="24" width="12" style="26" customWidth="1"/>
    <col min="25" max="25" width="12.28515625" style="26" customWidth="1"/>
    <col min="26" max="16384" width="9" style="26"/>
  </cols>
  <sheetData>
    <row r="1" spans="2:25" ht="25.5">
      <c r="B1" s="8" t="str">
        <f>SITE1!B1</f>
        <v>ITTO-620-0190 Meteor Lake PCH X4</v>
      </c>
      <c r="K1" s="7">
        <v>44635</v>
      </c>
      <c r="M1" s="7"/>
      <c r="Q1" s="110"/>
      <c r="R1" s="110"/>
      <c r="W1" s="110"/>
      <c r="X1" s="110"/>
    </row>
    <row r="2" spans="2:25" ht="20.25">
      <c r="B2" s="125" t="s">
        <v>6305</v>
      </c>
    </row>
    <row r="3" spans="2:25" ht="20.25">
      <c r="B3" s="13"/>
    </row>
    <row r="4" spans="2:25" ht="20.25">
      <c r="B4" s="13"/>
      <c r="K4" s="26" t="s">
        <v>6306</v>
      </c>
      <c r="M4" s="26" t="s">
        <v>6307</v>
      </c>
      <c r="O4" s="26" t="s">
        <v>6300</v>
      </c>
      <c r="Q4" s="26" t="s">
        <v>6288</v>
      </c>
      <c r="V4" s="111" t="s">
        <v>6289</v>
      </c>
      <c r="X4" s="26" t="s">
        <v>6290</v>
      </c>
    </row>
    <row r="5" spans="2:25" ht="20.25">
      <c r="B5" s="13"/>
      <c r="K5" s="5" t="s">
        <v>6291</v>
      </c>
      <c r="L5" s="27">
        <f>MAX(K14:L45)</f>
        <v>52.903599999999997</v>
      </c>
      <c r="M5" s="5" t="s">
        <v>6291</v>
      </c>
      <c r="N5" s="27">
        <f>MAX(M14:N45)</f>
        <v>9.5999999999989427E-3</v>
      </c>
      <c r="O5" s="5" t="s">
        <v>6291</v>
      </c>
      <c r="P5" s="27">
        <f>MAX(O14:P45)</f>
        <v>105.79770000000001</v>
      </c>
      <c r="Q5" s="5" t="s">
        <v>6291</v>
      </c>
      <c r="R5" s="27">
        <f>MAX(Q14:R45)</f>
        <v>4.2000000000115278E-3</v>
      </c>
      <c r="V5" s="5" t="s">
        <v>6291</v>
      </c>
      <c r="W5" s="27">
        <f>MAX(V14:W45)</f>
        <v>302.9932</v>
      </c>
      <c r="X5" s="5" t="s">
        <v>6291</v>
      </c>
      <c r="Y5" s="27">
        <f>MAX(X14:Y45)</f>
        <v>4.1699999999991633E-2</v>
      </c>
    </row>
    <row r="6" spans="2:25" ht="20.25">
      <c r="B6" s="13"/>
      <c r="K6" s="5" t="s">
        <v>6292</v>
      </c>
      <c r="L6" s="27">
        <f>MIN(K14:L45)</f>
        <v>52.888300000000001</v>
      </c>
      <c r="V6" s="5" t="s">
        <v>6292</v>
      </c>
      <c r="W6" s="27">
        <f>MIN(V14:W45)</f>
        <v>302.8809</v>
      </c>
    </row>
    <row r="7" spans="2:25" ht="20.25">
      <c r="B7" s="13"/>
      <c r="K7" s="5" t="s">
        <v>6293</v>
      </c>
      <c r="L7" s="27">
        <f>L5-L6</f>
        <v>1.5299999999996317E-2</v>
      </c>
      <c r="V7" s="5" t="s">
        <v>6293</v>
      </c>
      <c r="W7" s="27">
        <f>W5-W6</f>
        <v>0.11230000000000473</v>
      </c>
    </row>
    <row r="8" spans="2:25">
      <c r="K8" s="26" t="s">
        <v>6294</v>
      </c>
      <c r="L8" s="113">
        <f>I14*2</f>
        <v>20</v>
      </c>
      <c r="M8" s="26" t="s">
        <v>6294</v>
      </c>
      <c r="N8" s="115">
        <f>G14</f>
        <v>2.5</v>
      </c>
      <c r="O8" s="26" t="s">
        <v>6294</v>
      </c>
      <c r="P8" s="115">
        <f>4200</f>
        <v>4200</v>
      </c>
      <c r="Q8" s="26" t="s">
        <v>6294</v>
      </c>
      <c r="R8" s="115">
        <v>5</v>
      </c>
      <c r="S8" s="26" t="s">
        <v>6308</v>
      </c>
      <c r="V8" s="26" t="s">
        <v>6294</v>
      </c>
      <c r="W8" s="113">
        <f>I14</f>
        <v>10</v>
      </c>
      <c r="X8" s="26" t="s">
        <v>6294</v>
      </c>
      <c r="Y8" s="115">
        <v>5</v>
      </c>
    </row>
    <row r="9" spans="2:25">
      <c r="L9" s="112">
        <f>L8*0.0254</f>
        <v>0.50800000000000001</v>
      </c>
      <c r="N9" s="112">
        <f>N8*0.0254</f>
        <v>6.3500000000000001E-2</v>
      </c>
      <c r="P9" s="112">
        <f>P8*0.0254</f>
        <v>106.67999999999999</v>
      </c>
      <c r="R9" s="112">
        <f>R8*0.0254</f>
        <v>0.127</v>
      </c>
      <c r="W9" s="112">
        <f>W8*0.0254</f>
        <v>0.254</v>
      </c>
      <c r="Y9" s="112">
        <f>Y8*0.0254</f>
        <v>0.127</v>
      </c>
    </row>
    <row r="10" spans="2:25">
      <c r="L10" s="111" t="str">
        <f>IF(L7&gt;L9,"Wrong","OK")</f>
        <v>OK</v>
      </c>
      <c r="N10" s="111" t="str">
        <f>IF(N5&gt;N9,"Wrong","OK")</f>
        <v>OK</v>
      </c>
      <c r="P10" s="111" t="str">
        <f>IF(P5&gt;P9,"Wrong","OK")</f>
        <v>OK</v>
      </c>
      <c r="R10" s="111" t="str">
        <f>IF(R5&gt;R9,"Wrong","OK")</f>
        <v>OK</v>
      </c>
      <c r="W10" s="111" t="str">
        <f>IF(W7&gt;W9,"Wrong","OK")</f>
        <v>OK</v>
      </c>
      <c r="Y10" s="111" t="str">
        <f>IF(Y5&gt;Y9,"Wrong","OK")</f>
        <v>OK</v>
      </c>
    </row>
    <row r="11" spans="2:25">
      <c r="P11" s="111"/>
      <c r="Q11" s="111"/>
      <c r="U11" s="111"/>
      <c r="V11" s="114"/>
      <c r="Y11" s="112"/>
    </row>
    <row r="12" spans="2:25">
      <c r="K12" s="116" t="s">
        <v>6301</v>
      </c>
      <c r="L12" s="117"/>
      <c r="M12" s="116" t="s">
        <v>6309</v>
      </c>
      <c r="N12" s="117"/>
      <c r="O12" s="116" t="s">
        <v>6302</v>
      </c>
      <c r="P12" s="117"/>
      <c r="Q12" s="116" t="s">
        <v>6296</v>
      </c>
      <c r="R12" s="121"/>
      <c r="T12" s="116" t="s">
        <v>6304</v>
      </c>
      <c r="U12" s="117"/>
      <c r="V12" s="116" t="s">
        <v>6298</v>
      </c>
      <c r="W12" s="117"/>
      <c r="X12" s="116" t="s">
        <v>6296</v>
      </c>
      <c r="Y12" s="121"/>
    </row>
    <row r="13" spans="2:25" ht="90">
      <c r="B13" s="91" t="s">
        <v>19</v>
      </c>
      <c r="C13" s="91" t="s">
        <v>20</v>
      </c>
      <c r="D13" s="99" t="s">
        <v>29</v>
      </c>
      <c r="E13" s="100" t="s">
        <v>30</v>
      </c>
      <c r="F13" s="93" t="s">
        <v>31</v>
      </c>
      <c r="G13" s="93" t="s">
        <v>32</v>
      </c>
      <c r="H13" s="102" t="s">
        <v>34</v>
      </c>
      <c r="I13" s="103" t="s">
        <v>35</v>
      </c>
      <c r="J13" s="97" t="s">
        <v>37</v>
      </c>
      <c r="K13" s="118" t="s">
        <v>10</v>
      </c>
      <c r="L13" s="118" t="s">
        <v>4127</v>
      </c>
      <c r="M13" s="118" t="s">
        <v>10</v>
      </c>
      <c r="N13" s="118" t="s">
        <v>4127</v>
      </c>
      <c r="O13" s="118" t="s">
        <v>10</v>
      </c>
      <c r="P13" s="118" t="s">
        <v>4127</v>
      </c>
      <c r="Q13" s="119" t="s">
        <v>10</v>
      </c>
      <c r="R13" s="119" t="s">
        <v>4127</v>
      </c>
      <c r="T13" s="118" t="s">
        <v>10</v>
      </c>
      <c r="U13" s="118" t="s">
        <v>4127</v>
      </c>
      <c r="V13" s="118" t="s">
        <v>10</v>
      </c>
      <c r="W13" s="118" t="s">
        <v>4127</v>
      </c>
      <c r="X13" s="120" t="s">
        <v>10</v>
      </c>
      <c r="Y13" s="120" t="s">
        <v>4127</v>
      </c>
    </row>
    <row r="14" spans="2:25">
      <c r="B14" s="226" t="s">
        <v>403</v>
      </c>
      <c r="C14" s="216" t="s">
        <v>398</v>
      </c>
      <c r="D14" s="222"/>
      <c r="E14" s="217">
        <v>1100</v>
      </c>
      <c r="F14" s="217" t="s">
        <v>404</v>
      </c>
      <c r="G14" s="217">
        <v>2.5</v>
      </c>
      <c r="H14" s="217" t="s">
        <v>405</v>
      </c>
      <c r="I14" s="217">
        <v>10</v>
      </c>
      <c r="J14" s="217" t="s">
        <v>406</v>
      </c>
      <c r="K14" s="122">
        <v>52.896000000000008</v>
      </c>
      <c r="L14" s="122">
        <v>52.896000000000008</v>
      </c>
      <c r="M14" s="126">
        <f t="shared" ref="M14" si="0">ABS(K14-K15)</f>
        <v>2.6000000000081513E-3</v>
      </c>
      <c r="N14" s="126">
        <f t="shared" ref="N14" si="1">ABS(L14-L15)</f>
        <v>2.6000000000081513E-3</v>
      </c>
      <c r="O14" s="122">
        <f>SUM(K14,K16)</f>
        <v>105.78830000000001</v>
      </c>
      <c r="P14" s="122">
        <f>SUM(L14,L16)</f>
        <v>105.78830000000001</v>
      </c>
      <c r="Q14" s="174">
        <f>ABS(O14-O15)</f>
        <v>3.1999999999925421E-3</v>
      </c>
      <c r="R14" s="174">
        <f>ABS(P14-P15)</f>
        <v>3.1999999999925421E-3</v>
      </c>
      <c r="T14" s="122">
        <v>250.0164</v>
      </c>
      <c r="U14" s="122">
        <v>250.0164</v>
      </c>
      <c r="V14" s="122">
        <f t="shared" ref="V14:V45" si="2">SUM(K14,T14)</f>
        <v>302.91239999999999</v>
      </c>
      <c r="W14" s="122">
        <f t="shared" ref="W14:W45" si="3">SUM(L14,U14)</f>
        <v>302.91239999999999</v>
      </c>
      <c r="X14" s="174">
        <f>ABS(V14-V15)</f>
        <v>1.3000000000147338E-3</v>
      </c>
      <c r="Y14" s="174">
        <f>ABS(W14-W15)</f>
        <v>1.3000000000147338E-3</v>
      </c>
    </row>
    <row r="15" spans="2:25">
      <c r="B15" s="226" t="s">
        <v>415</v>
      </c>
      <c r="C15" s="216" t="s">
        <v>410</v>
      </c>
      <c r="D15" s="222"/>
      <c r="E15" s="217">
        <v>1100</v>
      </c>
      <c r="F15" s="217" t="s">
        <v>404</v>
      </c>
      <c r="G15" s="217">
        <v>2.5</v>
      </c>
      <c r="H15" s="217" t="s">
        <v>405</v>
      </c>
      <c r="I15" s="217">
        <v>10</v>
      </c>
      <c r="J15" s="217" t="s">
        <v>416</v>
      </c>
      <c r="K15" s="122">
        <v>52.8934</v>
      </c>
      <c r="L15" s="122">
        <v>52.8934</v>
      </c>
      <c r="M15" s="127"/>
      <c r="N15" s="127"/>
      <c r="O15" s="122">
        <f>SUM(K15,K17)</f>
        <v>105.7915</v>
      </c>
      <c r="P15" s="122">
        <f>SUM(L15,L17)</f>
        <v>105.7915</v>
      </c>
      <c r="Q15" s="175"/>
      <c r="R15" s="175"/>
      <c r="T15" s="122">
        <v>250.02029999999999</v>
      </c>
      <c r="U15" s="122">
        <v>250.02029999999999</v>
      </c>
      <c r="V15" s="122">
        <f t="shared" si="2"/>
        <v>302.91370000000001</v>
      </c>
      <c r="W15" s="122">
        <f t="shared" si="3"/>
        <v>302.91370000000001</v>
      </c>
      <c r="X15" s="175"/>
      <c r="Y15" s="175"/>
    </row>
    <row r="16" spans="2:25">
      <c r="B16" s="226" t="s">
        <v>418</v>
      </c>
      <c r="C16" s="216" t="s">
        <v>417</v>
      </c>
      <c r="D16" s="222"/>
      <c r="E16" s="222"/>
      <c r="F16" s="217" t="s">
        <v>419</v>
      </c>
      <c r="G16" s="217">
        <v>2.5</v>
      </c>
      <c r="H16" s="217" t="s">
        <v>405</v>
      </c>
      <c r="I16" s="217">
        <v>10</v>
      </c>
      <c r="J16" s="217" t="s">
        <v>406</v>
      </c>
      <c r="K16" s="122">
        <v>52.892299999999999</v>
      </c>
      <c r="L16" s="122">
        <v>52.892299999999999</v>
      </c>
      <c r="M16" s="126">
        <f t="shared" ref="M16" si="4">ABS(K16-K17)</f>
        <v>5.8000000000006935E-3</v>
      </c>
      <c r="N16" s="126">
        <f t="shared" ref="N16" si="5">ABS(L16-L17)</f>
        <v>5.8000000000006935E-3</v>
      </c>
      <c r="O16" s="129"/>
      <c r="P16" s="129"/>
      <c r="Q16" s="175"/>
      <c r="R16" s="175"/>
      <c r="T16" s="122">
        <v>250.0164</v>
      </c>
      <c r="U16" s="122">
        <v>250.0164</v>
      </c>
      <c r="V16" s="122">
        <f t="shared" si="2"/>
        <v>302.90870000000001</v>
      </c>
      <c r="W16" s="122">
        <f t="shared" si="3"/>
        <v>302.90870000000001</v>
      </c>
      <c r="X16" s="174">
        <f>ABS(V16-V17)</f>
        <v>9.7000000000093678E-3</v>
      </c>
      <c r="Y16" s="174">
        <f>ABS(W16-W17)</f>
        <v>9.7000000000093678E-3</v>
      </c>
    </row>
    <row r="17" spans="2:25">
      <c r="B17" s="226" t="s">
        <v>421</v>
      </c>
      <c r="C17" s="216" t="s">
        <v>420</v>
      </c>
      <c r="D17" s="222"/>
      <c r="E17" s="222"/>
      <c r="F17" s="217" t="s">
        <v>419</v>
      </c>
      <c r="G17" s="217">
        <v>2.5</v>
      </c>
      <c r="H17" s="217" t="s">
        <v>405</v>
      </c>
      <c r="I17" s="217">
        <v>10</v>
      </c>
      <c r="J17" s="217" t="s">
        <v>416</v>
      </c>
      <c r="K17" s="122">
        <v>52.898099999999999</v>
      </c>
      <c r="L17" s="122">
        <v>52.898099999999999</v>
      </c>
      <c r="M17" s="127"/>
      <c r="N17" s="127"/>
      <c r="O17" s="129"/>
      <c r="P17" s="129"/>
      <c r="Q17" s="176"/>
      <c r="R17" s="176"/>
      <c r="T17" s="122">
        <v>250.02029999999999</v>
      </c>
      <c r="U17" s="122">
        <v>250.02029999999999</v>
      </c>
      <c r="V17" s="122">
        <f t="shared" si="2"/>
        <v>302.91840000000002</v>
      </c>
      <c r="W17" s="122">
        <f t="shared" si="3"/>
        <v>302.91840000000002</v>
      </c>
      <c r="X17" s="175"/>
      <c r="Y17" s="175"/>
    </row>
    <row r="18" spans="2:25">
      <c r="B18" s="226" t="s">
        <v>3471</v>
      </c>
      <c r="C18" s="216" t="s">
        <v>3466</v>
      </c>
      <c r="D18" s="222"/>
      <c r="E18" s="217">
        <v>1100</v>
      </c>
      <c r="F18" s="217" t="s">
        <v>443</v>
      </c>
      <c r="G18" s="217">
        <v>2.5</v>
      </c>
      <c r="H18" s="217" t="s">
        <v>405</v>
      </c>
      <c r="I18" s="217">
        <v>10</v>
      </c>
      <c r="J18" s="217" t="s">
        <v>3472</v>
      </c>
      <c r="K18" s="122">
        <v>52.891199999999998</v>
      </c>
      <c r="L18" s="122">
        <v>52.891199999999998</v>
      </c>
      <c r="M18" s="126">
        <f t="shared" ref="M18" si="6">ABS(K18-K19)</f>
        <v>2.7000000000043656E-3</v>
      </c>
      <c r="N18" s="126">
        <f t="shared" ref="N18" si="7">ABS(L18-L19)</f>
        <v>2.7000000000043656E-3</v>
      </c>
      <c r="O18" s="122">
        <f t="shared" ref="O18:P18" si="8">SUM(K18,K20)</f>
        <v>105.7842</v>
      </c>
      <c r="P18" s="122">
        <f t="shared" si="8"/>
        <v>105.7842</v>
      </c>
      <c r="Q18" s="174">
        <f t="shared" ref="Q18" si="9">ABS(O18-O19)</f>
        <v>2.7000000000043656E-3</v>
      </c>
      <c r="R18" s="174">
        <f t="shared" ref="R18" si="10">ABS(P18-P19)</f>
        <v>2.7000000000043656E-3</v>
      </c>
      <c r="T18" s="122">
        <v>250.0634</v>
      </c>
      <c r="U18" s="122">
        <v>250.0634</v>
      </c>
      <c r="V18" s="122">
        <f t="shared" si="2"/>
        <v>302.95460000000003</v>
      </c>
      <c r="W18" s="122">
        <f t="shared" si="3"/>
        <v>302.95460000000003</v>
      </c>
      <c r="X18" s="174">
        <f>ABS(V18-V19)</f>
        <v>1.4000000000464752E-3</v>
      </c>
      <c r="Y18" s="174">
        <f>ABS(W18-W19)</f>
        <v>1.4000000000464752E-3</v>
      </c>
    </row>
    <row r="19" spans="2:25">
      <c r="B19" s="226" t="s">
        <v>442</v>
      </c>
      <c r="C19" s="216" t="s">
        <v>436</v>
      </c>
      <c r="D19" s="222"/>
      <c r="E19" s="217">
        <v>1100</v>
      </c>
      <c r="F19" s="217" t="s">
        <v>443</v>
      </c>
      <c r="G19" s="217">
        <v>2.5</v>
      </c>
      <c r="H19" s="217" t="s">
        <v>405</v>
      </c>
      <c r="I19" s="217">
        <v>10</v>
      </c>
      <c r="J19" s="217" t="s">
        <v>444</v>
      </c>
      <c r="K19" s="122">
        <v>52.888499999999993</v>
      </c>
      <c r="L19" s="122">
        <v>52.888499999999993</v>
      </c>
      <c r="M19" s="127"/>
      <c r="N19" s="127"/>
      <c r="O19" s="122">
        <f t="shared" ref="O19:P19" si="11">SUM(K19,K21)</f>
        <v>105.78149999999999</v>
      </c>
      <c r="P19" s="122">
        <f t="shared" si="11"/>
        <v>105.78149999999999</v>
      </c>
      <c r="Q19" s="175"/>
      <c r="R19" s="175"/>
      <c r="T19" s="122">
        <v>250.06469999999999</v>
      </c>
      <c r="U19" s="122">
        <v>250.06469999999999</v>
      </c>
      <c r="V19" s="122">
        <f t="shared" si="2"/>
        <v>302.95319999999998</v>
      </c>
      <c r="W19" s="122">
        <f t="shared" si="3"/>
        <v>302.95319999999998</v>
      </c>
      <c r="X19" s="175"/>
      <c r="Y19" s="175"/>
    </row>
    <row r="20" spans="2:25">
      <c r="B20" s="226" t="s">
        <v>3474</v>
      </c>
      <c r="C20" s="216" t="s">
        <v>3473</v>
      </c>
      <c r="D20" s="222"/>
      <c r="E20" s="222"/>
      <c r="F20" s="217" t="s">
        <v>458</v>
      </c>
      <c r="G20" s="217">
        <v>2.5</v>
      </c>
      <c r="H20" s="217" t="s">
        <v>405</v>
      </c>
      <c r="I20" s="217">
        <v>10</v>
      </c>
      <c r="J20" s="217" t="s">
        <v>3472</v>
      </c>
      <c r="K20" s="122">
        <v>52.893000000000001</v>
      </c>
      <c r="L20" s="122">
        <v>52.893000000000001</v>
      </c>
      <c r="M20" s="126">
        <f t="shared" ref="M20" si="12">ABS(K20-K21)</f>
        <v>0</v>
      </c>
      <c r="N20" s="126">
        <f t="shared" ref="N20" si="13">ABS(L20-L21)</f>
        <v>0</v>
      </c>
      <c r="O20" s="129"/>
      <c r="P20" s="129"/>
      <c r="Q20" s="175"/>
      <c r="R20" s="175"/>
      <c r="T20" s="122">
        <v>250.0634</v>
      </c>
      <c r="U20" s="122">
        <v>250.0634</v>
      </c>
      <c r="V20" s="122">
        <f t="shared" si="2"/>
        <v>302.95640000000003</v>
      </c>
      <c r="W20" s="122">
        <f t="shared" si="3"/>
        <v>302.95640000000003</v>
      </c>
      <c r="X20" s="174">
        <f>ABS(V20-V21)</f>
        <v>1.2999999999578904E-3</v>
      </c>
      <c r="Y20" s="174">
        <f>ABS(W20-W21)</f>
        <v>1.2999999999578904E-3</v>
      </c>
    </row>
    <row r="21" spans="2:25">
      <c r="B21" s="226" t="s">
        <v>457</v>
      </c>
      <c r="C21" s="216" t="s">
        <v>456</v>
      </c>
      <c r="D21" s="222"/>
      <c r="E21" s="222"/>
      <c r="F21" s="217" t="s">
        <v>458</v>
      </c>
      <c r="G21" s="217">
        <v>2.5</v>
      </c>
      <c r="H21" s="217" t="s">
        <v>405</v>
      </c>
      <c r="I21" s="217">
        <v>10</v>
      </c>
      <c r="J21" s="217" t="s">
        <v>444</v>
      </c>
      <c r="K21" s="122">
        <v>52.893000000000001</v>
      </c>
      <c r="L21" s="122">
        <v>52.893000000000001</v>
      </c>
      <c r="M21" s="127"/>
      <c r="N21" s="127"/>
      <c r="O21" s="129"/>
      <c r="P21" s="129"/>
      <c r="Q21" s="176"/>
      <c r="R21" s="176"/>
      <c r="T21" s="122">
        <v>250.06469999999999</v>
      </c>
      <c r="U21" s="122">
        <v>250.06469999999999</v>
      </c>
      <c r="V21" s="122">
        <f t="shared" si="2"/>
        <v>302.95769999999999</v>
      </c>
      <c r="W21" s="122">
        <f t="shared" si="3"/>
        <v>302.95769999999999</v>
      </c>
      <c r="X21" s="175"/>
      <c r="Y21" s="175"/>
    </row>
    <row r="22" spans="2:25">
      <c r="B22" s="226" t="s">
        <v>466</v>
      </c>
      <c r="C22" s="216" t="s">
        <v>460</v>
      </c>
      <c r="D22" s="222"/>
      <c r="E22" s="217">
        <v>1100</v>
      </c>
      <c r="F22" s="217" t="s">
        <v>467</v>
      </c>
      <c r="G22" s="217">
        <v>2.5</v>
      </c>
      <c r="H22" s="217" t="s">
        <v>405</v>
      </c>
      <c r="I22" s="217">
        <v>10</v>
      </c>
      <c r="J22" s="217" t="s">
        <v>468</v>
      </c>
      <c r="K22" s="122">
        <v>52.888599999999997</v>
      </c>
      <c r="L22" s="122">
        <v>52.888599999999997</v>
      </c>
      <c r="M22" s="126">
        <f t="shared" ref="M22" si="14">ABS(K22-K23)</f>
        <v>1.5999999999962711E-3</v>
      </c>
      <c r="N22" s="126">
        <f t="shared" ref="N22" si="15">ABS(L22-L23)</f>
        <v>1.5999999999962711E-3</v>
      </c>
      <c r="O22" s="122">
        <f t="shared" ref="O22:P22" si="16">SUM(K22,K24)</f>
        <v>105.782</v>
      </c>
      <c r="P22" s="122">
        <f t="shared" si="16"/>
        <v>105.782</v>
      </c>
      <c r="Q22" s="174">
        <f t="shared" ref="Q22" si="17">ABS(O22-O23)</f>
        <v>4.199999999997317E-3</v>
      </c>
      <c r="R22" s="174">
        <f t="shared" ref="R22" si="18">ABS(P22-P23)</f>
        <v>4.199999999997317E-3</v>
      </c>
      <c r="T22" s="122">
        <v>250.04490000000001</v>
      </c>
      <c r="U22" s="122">
        <v>250.04490000000001</v>
      </c>
      <c r="V22" s="122">
        <f t="shared" si="2"/>
        <v>302.93349999999998</v>
      </c>
      <c r="W22" s="122">
        <f t="shared" si="3"/>
        <v>302.93349999999998</v>
      </c>
      <c r="X22" s="174">
        <f>ABS(V22-V23)</f>
        <v>4.0000000001327862E-4</v>
      </c>
      <c r="Y22" s="174">
        <f>ABS(W22-W23)</f>
        <v>4.0000000001327862E-4</v>
      </c>
    </row>
    <row r="23" spans="2:25">
      <c r="B23" s="226" t="s">
        <v>475</v>
      </c>
      <c r="C23" s="216" t="s">
        <v>470</v>
      </c>
      <c r="D23" s="222"/>
      <c r="E23" s="217">
        <v>1100</v>
      </c>
      <c r="F23" s="217" t="s">
        <v>467</v>
      </c>
      <c r="G23" s="217">
        <v>2.5</v>
      </c>
      <c r="H23" s="217" t="s">
        <v>405</v>
      </c>
      <c r="I23" s="217">
        <v>10</v>
      </c>
      <c r="J23" s="217" t="s">
        <v>476</v>
      </c>
      <c r="K23" s="122">
        <v>52.890199999999993</v>
      </c>
      <c r="L23" s="122">
        <v>52.890199999999993</v>
      </c>
      <c r="M23" s="127"/>
      <c r="N23" s="127"/>
      <c r="O23" s="122">
        <f t="shared" ref="O23:P23" si="19">SUM(K23,K25)</f>
        <v>105.78619999999999</v>
      </c>
      <c r="P23" s="122">
        <f t="shared" si="19"/>
        <v>105.78619999999999</v>
      </c>
      <c r="Q23" s="175"/>
      <c r="R23" s="175"/>
      <c r="T23" s="122">
        <v>250.0429</v>
      </c>
      <c r="U23" s="122">
        <v>250.0429</v>
      </c>
      <c r="V23" s="122">
        <f t="shared" si="2"/>
        <v>302.93309999999997</v>
      </c>
      <c r="W23" s="122">
        <f t="shared" si="3"/>
        <v>302.93309999999997</v>
      </c>
      <c r="X23" s="175"/>
      <c r="Y23" s="175"/>
    </row>
    <row r="24" spans="2:25">
      <c r="B24" s="226" t="s">
        <v>478</v>
      </c>
      <c r="C24" s="216" t="s">
        <v>477</v>
      </c>
      <c r="D24" s="222"/>
      <c r="E24" s="222"/>
      <c r="F24" s="217" t="s">
        <v>479</v>
      </c>
      <c r="G24" s="217">
        <v>2.5</v>
      </c>
      <c r="H24" s="217" t="s">
        <v>405</v>
      </c>
      <c r="I24" s="217">
        <v>10</v>
      </c>
      <c r="J24" s="217" t="s">
        <v>468</v>
      </c>
      <c r="K24" s="122">
        <v>52.8934</v>
      </c>
      <c r="L24" s="122">
        <v>52.8934</v>
      </c>
      <c r="M24" s="126">
        <f t="shared" ref="M24" si="20">ABS(K24-K25)</f>
        <v>2.6000000000010459E-3</v>
      </c>
      <c r="N24" s="126">
        <f t="shared" ref="N24" si="21">ABS(L24-L25)</f>
        <v>2.6000000000010459E-3</v>
      </c>
      <c r="O24" s="129"/>
      <c r="P24" s="129"/>
      <c r="Q24" s="175"/>
      <c r="R24" s="175"/>
      <c r="T24" s="122">
        <v>250.04490000000001</v>
      </c>
      <c r="U24" s="122">
        <v>250.04490000000001</v>
      </c>
      <c r="V24" s="122">
        <f t="shared" si="2"/>
        <v>302.93830000000003</v>
      </c>
      <c r="W24" s="122">
        <f t="shared" si="3"/>
        <v>302.93830000000003</v>
      </c>
      <c r="X24" s="174">
        <f>ABS(V24-V25)</f>
        <v>5.9999999996307452E-4</v>
      </c>
      <c r="Y24" s="174">
        <f>ABS(W24-W25)</f>
        <v>5.9999999996307452E-4</v>
      </c>
    </row>
    <row r="25" spans="2:25">
      <c r="B25" s="226" t="s">
        <v>481</v>
      </c>
      <c r="C25" s="216" t="s">
        <v>480</v>
      </c>
      <c r="D25" s="222"/>
      <c r="E25" s="222"/>
      <c r="F25" s="217" t="s">
        <v>479</v>
      </c>
      <c r="G25" s="217">
        <v>2.5</v>
      </c>
      <c r="H25" s="217" t="s">
        <v>405</v>
      </c>
      <c r="I25" s="217">
        <v>10</v>
      </c>
      <c r="J25" s="217" t="s">
        <v>476</v>
      </c>
      <c r="K25" s="122">
        <v>52.896000000000001</v>
      </c>
      <c r="L25" s="122">
        <v>52.896000000000001</v>
      </c>
      <c r="M25" s="127"/>
      <c r="N25" s="127"/>
      <c r="O25" s="129"/>
      <c r="P25" s="129"/>
      <c r="Q25" s="176"/>
      <c r="R25" s="176"/>
      <c r="T25" s="122">
        <v>250.0429</v>
      </c>
      <c r="U25" s="122">
        <v>250.0429</v>
      </c>
      <c r="V25" s="122">
        <f t="shared" si="2"/>
        <v>302.93889999999999</v>
      </c>
      <c r="W25" s="122">
        <f t="shared" si="3"/>
        <v>302.93889999999999</v>
      </c>
      <c r="X25" s="175"/>
      <c r="Y25" s="175"/>
    </row>
    <row r="26" spans="2:25">
      <c r="B26" s="226" t="s">
        <v>489</v>
      </c>
      <c r="C26" s="216" t="s">
        <v>483</v>
      </c>
      <c r="D26" s="222"/>
      <c r="E26" s="217">
        <v>1100</v>
      </c>
      <c r="F26" s="217" t="s">
        <v>490</v>
      </c>
      <c r="G26" s="217">
        <v>2.5</v>
      </c>
      <c r="H26" s="217" t="s">
        <v>405</v>
      </c>
      <c r="I26" s="217">
        <v>10</v>
      </c>
      <c r="J26" s="217" t="s">
        <v>491</v>
      </c>
      <c r="K26" s="122">
        <v>52.902300000000004</v>
      </c>
      <c r="L26" s="122">
        <v>52.902300000000004</v>
      </c>
      <c r="M26" s="126">
        <f t="shared" ref="M26" si="22">ABS(K26-K27)</f>
        <v>2.4000000000086175E-3</v>
      </c>
      <c r="N26" s="126">
        <f t="shared" ref="N26" si="23">ABS(L26-L27)</f>
        <v>2.4000000000086175E-3</v>
      </c>
      <c r="O26" s="122">
        <f t="shared" ref="O26:P26" si="24">SUM(K26,K28)</f>
        <v>105.79770000000001</v>
      </c>
      <c r="P26" s="122">
        <f t="shared" si="24"/>
        <v>105.79770000000001</v>
      </c>
      <c r="Q26" s="174">
        <f t="shared" ref="Q26" si="25">ABS(O26-O27)</f>
        <v>8.0000000001234639E-4</v>
      </c>
      <c r="R26" s="174">
        <f t="shared" ref="R26" si="26">ABS(P26-P27)</f>
        <v>8.0000000001234639E-4</v>
      </c>
      <c r="T26" s="122">
        <v>250.02610000000001</v>
      </c>
      <c r="U26" s="122">
        <v>250.02610000000001</v>
      </c>
      <c r="V26" s="122">
        <f t="shared" si="2"/>
        <v>302.92840000000001</v>
      </c>
      <c r="W26" s="122">
        <f t="shared" si="3"/>
        <v>302.92840000000001</v>
      </c>
      <c r="X26" s="174">
        <f>ABS(V26-V27)</f>
        <v>8.300000000019736E-3</v>
      </c>
      <c r="Y26" s="174">
        <f>ABS(W26-W27)</f>
        <v>8.300000000019736E-3</v>
      </c>
    </row>
    <row r="27" spans="2:25">
      <c r="B27" s="226" t="s">
        <v>498</v>
      </c>
      <c r="C27" s="216" t="s">
        <v>493</v>
      </c>
      <c r="D27" s="222"/>
      <c r="E27" s="217">
        <v>1100</v>
      </c>
      <c r="F27" s="217" t="s">
        <v>490</v>
      </c>
      <c r="G27" s="217">
        <v>2.5</v>
      </c>
      <c r="H27" s="217" t="s">
        <v>405</v>
      </c>
      <c r="I27" s="217">
        <v>10</v>
      </c>
      <c r="J27" s="217" t="s">
        <v>499</v>
      </c>
      <c r="K27" s="122">
        <v>52.899899999999995</v>
      </c>
      <c r="L27" s="122">
        <v>52.899899999999995</v>
      </c>
      <c r="M27" s="127"/>
      <c r="N27" s="127"/>
      <c r="O27" s="122">
        <f t="shared" ref="O27:P27" si="27">SUM(K27,K29)</f>
        <v>105.79689999999999</v>
      </c>
      <c r="P27" s="122">
        <f t="shared" si="27"/>
        <v>105.79689999999999</v>
      </c>
      <c r="Q27" s="175"/>
      <c r="R27" s="175"/>
      <c r="T27" s="122">
        <v>250.02019999999999</v>
      </c>
      <c r="U27" s="122">
        <v>250.02019999999999</v>
      </c>
      <c r="V27" s="122">
        <f t="shared" si="2"/>
        <v>302.92009999999999</v>
      </c>
      <c r="W27" s="122">
        <f t="shared" si="3"/>
        <v>302.92009999999999</v>
      </c>
      <c r="X27" s="175"/>
      <c r="Y27" s="175"/>
    </row>
    <row r="28" spans="2:25">
      <c r="B28" s="226" t="s">
        <v>501</v>
      </c>
      <c r="C28" s="216" t="s">
        <v>500</v>
      </c>
      <c r="D28" s="222"/>
      <c r="E28" s="222"/>
      <c r="F28" s="217" t="s">
        <v>502</v>
      </c>
      <c r="G28" s="217">
        <v>2.5</v>
      </c>
      <c r="H28" s="217" t="s">
        <v>405</v>
      </c>
      <c r="I28" s="217">
        <v>10</v>
      </c>
      <c r="J28" s="217" t="s">
        <v>491</v>
      </c>
      <c r="K28" s="122">
        <v>52.895400000000002</v>
      </c>
      <c r="L28" s="122">
        <v>52.895400000000002</v>
      </c>
      <c r="M28" s="126">
        <f t="shared" ref="M28" si="28">ABS(K28-K29)</f>
        <v>1.5999999999962711E-3</v>
      </c>
      <c r="N28" s="126">
        <f t="shared" ref="N28" si="29">ABS(L28-L29)</f>
        <v>1.5999999999962711E-3</v>
      </c>
      <c r="O28" s="129"/>
      <c r="P28" s="129"/>
      <c r="Q28" s="175"/>
      <c r="R28" s="175"/>
      <c r="T28" s="122">
        <v>250.02610000000001</v>
      </c>
      <c r="U28" s="122">
        <v>250.02610000000001</v>
      </c>
      <c r="V28" s="122">
        <f t="shared" si="2"/>
        <v>302.92150000000004</v>
      </c>
      <c r="W28" s="122">
        <f t="shared" si="3"/>
        <v>302.92150000000004</v>
      </c>
      <c r="X28" s="174">
        <f>ABS(V28-V29)</f>
        <v>4.3000000000574801E-3</v>
      </c>
      <c r="Y28" s="174">
        <f>ABS(W28-W29)</f>
        <v>4.3000000000574801E-3</v>
      </c>
    </row>
    <row r="29" spans="2:25">
      <c r="B29" s="226" t="s">
        <v>504</v>
      </c>
      <c r="C29" s="216" t="s">
        <v>503</v>
      </c>
      <c r="D29" s="222"/>
      <c r="E29" s="222"/>
      <c r="F29" s="217" t="s">
        <v>502</v>
      </c>
      <c r="G29" s="217">
        <v>2.5</v>
      </c>
      <c r="H29" s="217" t="s">
        <v>405</v>
      </c>
      <c r="I29" s="217">
        <v>10</v>
      </c>
      <c r="J29" s="217" t="s">
        <v>499</v>
      </c>
      <c r="K29" s="122">
        <v>52.896999999999998</v>
      </c>
      <c r="L29" s="122">
        <v>52.896999999999998</v>
      </c>
      <c r="M29" s="127"/>
      <c r="N29" s="127"/>
      <c r="O29" s="129"/>
      <c r="P29" s="129"/>
      <c r="Q29" s="176"/>
      <c r="R29" s="176"/>
      <c r="T29" s="122">
        <v>250.02019999999999</v>
      </c>
      <c r="U29" s="122">
        <v>250.02019999999999</v>
      </c>
      <c r="V29" s="122">
        <f t="shared" si="2"/>
        <v>302.91719999999998</v>
      </c>
      <c r="W29" s="122">
        <f t="shared" si="3"/>
        <v>302.91719999999998</v>
      </c>
      <c r="X29" s="175"/>
      <c r="Y29" s="175"/>
    </row>
    <row r="30" spans="2:25">
      <c r="B30" s="226" t="s">
        <v>511</v>
      </c>
      <c r="C30" s="216" t="s">
        <v>506</v>
      </c>
      <c r="D30" s="222"/>
      <c r="E30" s="217">
        <v>1100</v>
      </c>
      <c r="F30" s="217" t="s">
        <v>512</v>
      </c>
      <c r="G30" s="217">
        <v>2.5</v>
      </c>
      <c r="H30" s="217" t="s">
        <v>405</v>
      </c>
      <c r="I30" s="217">
        <v>10</v>
      </c>
      <c r="J30" s="217" t="s">
        <v>513</v>
      </c>
      <c r="K30" s="122">
        <v>52.894299999999994</v>
      </c>
      <c r="L30" s="122">
        <v>52.894299999999994</v>
      </c>
      <c r="M30" s="126">
        <f t="shared" ref="M30" si="30">ABS(K30-K31)</f>
        <v>3.6000000000058208E-3</v>
      </c>
      <c r="N30" s="126">
        <f t="shared" ref="N30" si="31">ABS(L30-L31)</f>
        <v>3.6000000000058208E-3</v>
      </c>
      <c r="O30" s="122">
        <f t="shared" ref="O30:P30" si="32">SUM(K30,K32)</f>
        <v>105.7846</v>
      </c>
      <c r="P30" s="122">
        <f t="shared" si="32"/>
        <v>105.7846</v>
      </c>
      <c r="Q30" s="174">
        <f t="shared" ref="Q30" si="33">ABS(O30-O31)</f>
        <v>2.3000000000052978E-3</v>
      </c>
      <c r="R30" s="174">
        <f t="shared" ref="R30" si="34">ABS(P30-P31)</f>
        <v>2.3000000000052978E-3</v>
      </c>
      <c r="T30" s="122">
        <v>250.09889999999999</v>
      </c>
      <c r="U30" s="122">
        <v>250.09889999999999</v>
      </c>
      <c r="V30" s="122">
        <f t="shared" si="2"/>
        <v>302.9932</v>
      </c>
      <c r="W30" s="122">
        <f t="shared" si="3"/>
        <v>302.9932</v>
      </c>
      <c r="X30" s="174">
        <f>ABS(V30-V31)</f>
        <v>2.299999999991087E-3</v>
      </c>
      <c r="Y30" s="174">
        <f>ABS(W30-W31)</f>
        <v>2.299999999991087E-3</v>
      </c>
    </row>
    <row r="31" spans="2:25">
      <c r="B31" s="226" t="s">
        <v>520</v>
      </c>
      <c r="C31" s="216" t="s">
        <v>515</v>
      </c>
      <c r="D31" s="222"/>
      <c r="E31" s="217">
        <v>1100</v>
      </c>
      <c r="F31" s="217" t="s">
        <v>512</v>
      </c>
      <c r="G31" s="217">
        <v>2.5</v>
      </c>
      <c r="H31" s="217" t="s">
        <v>405</v>
      </c>
      <c r="I31" s="217">
        <v>10</v>
      </c>
      <c r="J31" s="217" t="s">
        <v>521</v>
      </c>
      <c r="K31" s="122">
        <v>52.8979</v>
      </c>
      <c r="L31" s="122">
        <v>52.8979</v>
      </c>
      <c r="M31" s="127"/>
      <c r="N31" s="127"/>
      <c r="O31" s="122">
        <f t="shared" ref="O31:P31" si="35">SUM(K31,K33)</f>
        <v>105.7869</v>
      </c>
      <c r="P31" s="122">
        <f t="shared" si="35"/>
        <v>105.7869</v>
      </c>
      <c r="Q31" s="175"/>
      <c r="R31" s="175"/>
      <c r="T31" s="122">
        <v>250.09299999999999</v>
      </c>
      <c r="U31" s="122">
        <v>250.09299999999999</v>
      </c>
      <c r="V31" s="122">
        <f t="shared" si="2"/>
        <v>302.99090000000001</v>
      </c>
      <c r="W31" s="122">
        <f t="shared" si="3"/>
        <v>302.99090000000001</v>
      </c>
      <c r="X31" s="175"/>
      <c r="Y31" s="175"/>
    </row>
    <row r="32" spans="2:25">
      <c r="B32" s="226" t="s">
        <v>523</v>
      </c>
      <c r="C32" s="216" t="s">
        <v>522</v>
      </c>
      <c r="D32" s="222"/>
      <c r="E32" s="222"/>
      <c r="F32" s="217" t="s">
        <v>524</v>
      </c>
      <c r="G32" s="217">
        <v>2.5</v>
      </c>
      <c r="H32" s="217" t="s">
        <v>405</v>
      </c>
      <c r="I32" s="217">
        <v>10</v>
      </c>
      <c r="J32" s="217" t="s">
        <v>513</v>
      </c>
      <c r="K32" s="122">
        <v>52.890300000000003</v>
      </c>
      <c r="L32" s="122">
        <v>52.890300000000003</v>
      </c>
      <c r="M32" s="126">
        <f t="shared" ref="M32" si="36">ABS(K32-K33)</f>
        <v>1.300000000000523E-3</v>
      </c>
      <c r="N32" s="126">
        <f t="shared" ref="N32" si="37">ABS(L32-L33)</f>
        <v>1.300000000000523E-3</v>
      </c>
      <c r="O32" s="129"/>
      <c r="P32" s="129"/>
      <c r="Q32" s="175"/>
      <c r="R32" s="175"/>
      <c r="T32" s="122">
        <v>250.09889999999999</v>
      </c>
      <c r="U32" s="122">
        <v>250.09889999999999</v>
      </c>
      <c r="V32" s="122">
        <f t="shared" si="2"/>
        <v>302.98919999999998</v>
      </c>
      <c r="W32" s="122">
        <f t="shared" si="3"/>
        <v>302.98919999999998</v>
      </c>
      <c r="X32" s="174">
        <f>ABS(V32-V33)</f>
        <v>7.2000000000116415E-3</v>
      </c>
      <c r="Y32" s="174">
        <f>ABS(W32-W33)</f>
        <v>7.2000000000116415E-3</v>
      </c>
    </row>
    <row r="33" spans="2:25">
      <c r="B33" s="226" t="s">
        <v>526</v>
      </c>
      <c r="C33" s="216" t="s">
        <v>525</v>
      </c>
      <c r="D33" s="222"/>
      <c r="E33" s="222"/>
      <c r="F33" s="217" t="s">
        <v>524</v>
      </c>
      <c r="G33" s="217">
        <v>2.5</v>
      </c>
      <c r="H33" s="217" t="s">
        <v>405</v>
      </c>
      <c r="I33" s="217">
        <v>10</v>
      </c>
      <c r="J33" s="217" t="s">
        <v>521</v>
      </c>
      <c r="K33" s="122">
        <v>52.889000000000003</v>
      </c>
      <c r="L33" s="122">
        <v>52.889000000000003</v>
      </c>
      <c r="M33" s="127"/>
      <c r="N33" s="127"/>
      <c r="O33" s="129"/>
      <c r="P33" s="129"/>
      <c r="Q33" s="176"/>
      <c r="R33" s="176"/>
      <c r="T33" s="122">
        <v>250.09299999999999</v>
      </c>
      <c r="U33" s="122">
        <v>250.09299999999999</v>
      </c>
      <c r="V33" s="122">
        <f t="shared" si="2"/>
        <v>302.98199999999997</v>
      </c>
      <c r="W33" s="122">
        <f t="shared" si="3"/>
        <v>302.98199999999997</v>
      </c>
      <c r="X33" s="175"/>
      <c r="Y33" s="175"/>
    </row>
    <row r="34" spans="2:25">
      <c r="B34" s="226" t="s">
        <v>533</v>
      </c>
      <c r="C34" s="216" t="s">
        <v>528</v>
      </c>
      <c r="D34" s="222"/>
      <c r="E34" s="217">
        <v>1100</v>
      </c>
      <c r="F34" s="217" t="s">
        <v>534</v>
      </c>
      <c r="G34" s="217">
        <v>2.5</v>
      </c>
      <c r="H34" s="217" t="s">
        <v>405</v>
      </c>
      <c r="I34" s="217">
        <v>10</v>
      </c>
      <c r="J34" s="217" t="s">
        <v>535</v>
      </c>
      <c r="K34" s="122">
        <v>52.898199999999996</v>
      </c>
      <c r="L34" s="122">
        <v>52.898199999999996</v>
      </c>
      <c r="M34" s="126">
        <f t="shared" ref="M34" si="38">ABS(K34-K35)</f>
        <v>5.3999999999874149E-3</v>
      </c>
      <c r="N34" s="126">
        <f t="shared" ref="N34" si="39">ABS(L34-L35)</f>
        <v>5.3999999999874149E-3</v>
      </c>
      <c r="O34" s="122">
        <f t="shared" ref="O34:P34" si="40">SUM(K34,K36)</f>
        <v>105.7871</v>
      </c>
      <c r="P34" s="122">
        <f t="shared" si="40"/>
        <v>105.7871</v>
      </c>
      <c r="Q34" s="174">
        <f t="shared" ref="Q34" si="41">ABS(O34-O35)</f>
        <v>4.2000000000115278E-3</v>
      </c>
      <c r="R34" s="174">
        <f t="shared" ref="R34" si="42">ABS(P34-P35)</f>
        <v>4.2000000000115278E-3</v>
      </c>
      <c r="T34" s="122">
        <v>249.99199999999999</v>
      </c>
      <c r="U34" s="122">
        <v>249.99199999999999</v>
      </c>
      <c r="V34" s="122">
        <f t="shared" si="2"/>
        <v>302.89019999999999</v>
      </c>
      <c r="W34" s="122">
        <f t="shared" si="3"/>
        <v>302.89019999999999</v>
      </c>
      <c r="X34" s="174">
        <f>ABS(V34-V35)</f>
        <v>2.6700000000005275E-2</v>
      </c>
      <c r="Y34" s="174">
        <f>ABS(W34-W35)</f>
        <v>2.6700000000005275E-2</v>
      </c>
    </row>
    <row r="35" spans="2:25">
      <c r="B35" s="226" t="s">
        <v>542</v>
      </c>
      <c r="C35" s="216" t="s">
        <v>537</v>
      </c>
      <c r="D35" s="222"/>
      <c r="E35" s="217">
        <v>1100</v>
      </c>
      <c r="F35" s="217" t="s">
        <v>534</v>
      </c>
      <c r="G35" s="217">
        <v>2.5</v>
      </c>
      <c r="H35" s="217" t="s">
        <v>405</v>
      </c>
      <c r="I35" s="217">
        <v>10</v>
      </c>
      <c r="J35" s="217" t="s">
        <v>543</v>
      </c>
      <c r="K35" s="122">
        <v>52.892800000000008</v>
      </c>
      <c r="L35" s="122">
        <v>52.892800000000008</v>
      </c>
      <c r="M35" s="127"/>
      <c r="N35" s="127"/>
      <c r="O35" s="122">
        <f t="shared" ref="O35:P35" si="43">SUM(K35,K37)</f>
        <v>105.79130000000001</v>
      </c>
      <c r="P35" s="122">
        <f t="shared" si="43"/>
        <v>105.79130000000001</v>
      </c>
      <c r="Q35" s="175"/>
      <c r="R35" s="175"/>
      <c r="T35" s="122">
        <v>250.0241</v>
      </c>
      <c r="U35" s="122">
        <v>250.0241</v>
      </c>
      <c r="V35" s="122">
        <f t="shared" si="2"/>
        <v>302.9169</v>
      </c>
      <c r="W35" s="122">
        <f t="shared" si="3"/>
        <v>302.9169</v>
      </c>
      <c r="X35" s="175"/>
      <c r="Y35" s="175"/>
    </row>
    <row r="36" spans="2:25">
      <c r="B36" s="226" t="s">
        <v>545</v>
      </c>
      <c r="C36" s="216" t="s">
        <v>544</v>
      </c>
      <c r="D36" s="222"/>
      <c r="E36" s="222"/>
      <c r="F36" s="217" t="s">
        <v>546</v>
      </c>
      <c r="G36" s="217">
        <v>2.5</v>
      </c>
      <c r="H36" s="217" t="s">
        <v>405</v>
      </c>
      <c r="I36" s="217">
        <v>10</v>
      </c>
      <c r="J36" s="217" t="s">
        <v>535</v>
      </c>
      <c r="K36" s="122">
        <v>52.8889</v>
      </c>
      <c r="L36" s="122">
        <v>52.8889</v>
      </c>
      <c r="M36" s="126">
        <f t="shared" ref="M36" si="44">ABS(K36-K37)</f>
        <v>9.5999999999989427E-3</v>
      </c>
      <c r="N36" s="126">
        <f t="shared" ref="N36" si="45">ABS(L36-L37)</f>
        <v>9.5999999999989427E-3</v>
      </c>
      <c r="O36" s="129"/>
      <c r="P36" s="129"/>
      <c r="Q36" s="175"/>
      <c r="R36" s="175"/>
      <c r="T36" s="122">
        <v>249.99199999999999</v>
      </c>
      <c r="U36" s="122">
        <v>249.99199999999999</v>
      </c>
      <c r="V36" s="122">
        <f t="shared" si="2"/>
        <v>302.8809</v>
      </c>
      <c r="W36" s="122">
        <f t="shared" si="3"/>
        <v>302.8809</v>
      </c>
      <c r="X36" s="174">
        <f>ABS(V36-V37)</f>
        <v>4.1699999999991633E-2</v>
      </c>
      <c r="Y36" s="174">
        <f>ABS(W36-W37)</f>
        <v>4.1699999999991633E-2</v>
      </c>
    </row>
    <row r="37" spans="2:25">
      <c r="B37" s="226" t="s">
        <v>548</v>
      </c>
      <c r="C37" s="216" t="s">
        <v>547</v>
      </c>
      <c r="D37" s="222"/>
      <c r="E37" s="222"/>
      <c r="F37" s="217" t="s">
        <v>546</v>
      </c>
      <c r="G37" s="217">
        <v>2.5</v>
      </c>
      <c r="H37" s="217" t="s">
        <v>405</v>
      </c>
      <c r="I37" s="217">
        <v>10</v>
      </c>
      <c r="J37" s="217" t="s">
        <v>543</v>
      </c>
      <c r="K37" s="122">
        <v>52.898499999999999</v>
      </c>
      <c r="L37" s="122">
        <v>52.898499999999999</v>
      </c>
      <c r="M37" s="127"/>
      <c r="N37" s="127"/>
      <c r="O37" s="129"/>
      <c r="P37" s="129"/>
      <c r="Q37" s="176"/>
      <c r="R37" s="176"/>
      <c r="T37" s="122">
        <v>250.0241</v>
      </c>
      <c r="U37" s="122">
        <v>250.0241</v>
      </c>
      <c r="V37" s="122">
        <f t="shared" si="2"/>
        <v>302.92259999999999</v>
      </c>
      <c r="W37" s="122">
        <f t="shared" si="3"/>
        <v>302.92259999999999</v>
      </c>
      <c r="X37" s="175"/>
      <c r="Y37" s="175"/>
    </row>
    <row r="38" spans="2:25">
      <c r="B38" s="226" t="s">
        <v>555</v>
      </c>
      <c r="C38" s="216" t="s">
        <v>550</v>
      </c>
      <c r="D38" s="222"/>
      <c r="E38" s="217">
        <v>1100</v>
      </c>
      <c r="F38" s="217" t="s">
        <v>556</v>
      </c>
      <c r="G38" s="217">
        <v>2.5</v>
      </c>
      <c r="H38" s="217" t="s">
        <v>405</v>
      </c>
      <c r="I38" s="217">
        <v>10</v>
      </c>
      <c r="J38" s="217" t="s">
        <v>557</v>
      </c>
      <c r="K38" s="122">
        <v>52.889199999999995</v>
      </c>
      <c r="L38" s="122">
        <v>52.889199999999995</v>
      </c>
      <c r="M38" s="126">
        <f t="shared" ref="M38" si="46">ABS(K38-K39)</f>
        <v>6.0000000000570708E-4</v>
      </c>
      <c r="N38" s="126">
        <f t="shared" ref="N38" si="47">ABS(L38-L39)</f>
        <v>6.0000000000570708E-4</v>
      </c>
      <c r="O38" s="122">
        <f t="shared" ref="O38:P38" si="48">SUM(K38,K40)</f>
        <v>105.7867</v>
      </c>
      <c r="P38" s="122">
        <f t="shared" si="48"/>
        <v>105.7867</v>
      </c>
      <c r="Q38" s="174">
        <f t="shared" ref="Q38" si="49">ABS(O38-O39)</f>
        <v>1.5000000000071623E-3</v>
      </c>
      <c r="R38" s="174">
        <f t="shared" ref="R38" si="50">ABS(P38-P39)</f>
        <v>1.5000000000071623E-3</v>
      </c>
      <c r="T38" s="122">
        <v>250.0693</v>
      </c>
      <c r="U38" s="122">
        <v>250.0693</v>
      </c>
      <c r="V38" s="122">
        <f t="shared" si="2"/>
        <v>302.95850000000002</v>
      </c>
      <c r="W38" s="122">
        <f t="shared" si="3"/>
        <v>302.95850000000002</v>
      </c>
      <c r="X38" s="174">
        <f>ABS(V38-V39)</f>
        <v>6.6999999999666215E-3</v>
      </c>
      <c r="Y38" s="174">
        <f>ABS(W38-W39)</f>
        <v>6.6999999999666215E-3</v>
      </c>
    </row>
    <row r="39" spans="2:25">
      <c r="B39" s="226" t="s">
        <v>564</v>
      </c>
      <c r="C39" s="216" t="s">
        <v>559</v>
      </c>
      <c r="D39" s="222"/>
      <c r="E39" s="217">
        <v>1100</v>
      </c>
      <c r="F39" s="217" t="s">
        <v>556</v>
      </c>
      <c r="G39" s="217">
        <v>2.5</v>
      </c>
      <c r="H39" s="217" t="s">
        <v>405</v>
      </c>
      <c r="I39" s="217">
        <v>10</v>
      </c>
      <c r="J39" s="217" t="s">
        <v>565</v>
      </c>
      <c r="K39" s="122">
        <v>52.889800000000001</v>
      </c>
      <c r="L39" s="122">
        <v>52.889800000000001</v>
      </c>
      <c r="M39" s="127"/>
      <c r="N39" s="127"/>
      <c r="O39" s="122">
        <f t="shared" ref="O39:P39" si="51">SUM(K39,K41)</f>
        <v>105.7882</v>
      </c>
      <c r="P39" s="122">
        <f t="shared" si="51"/>
        <v>105.7882</v>
      </c>
      <c r="Q39" s="175"/>
      <c r="R39" s="175"/>
      <c r="T39" s="122">
        <v>250.0754</v>
      </c>
      <c r="U39" s="122">
        <v>250.0754</v>
      </c>
      <c r="V39" s="122">
        <f t="shared" si="2"/>
        <v>302.96519999999998</v>
      </c>
      <c r="W39" s="122">
        <f t="shared" si="3"/>
        <v>302.96519999999998</v>
      </c>
      <c r="X39" s="175"/>
      <c r="Y39" s="175"/>
    </row>
    <row r="40" spans="2:25">
      <c r="B40" s="226" t="s">
        <v>567</v>
      </c>
      <c r="C40" s="216" t="s">
        <v>566</v>
      </c>
      <c r="D40" s="222"/>
      <c r="E40" s="222"/>
      <c r="F40" s="217" t="s">
        <v>568</v>
      </c>
      <c r="G40" s="217">
        <v>2.5</v>
      </c>
      <c r="H40" s="217" t="s">
        <v>405</v>
      </c>
      <c r="I40" s="217">
        <v>10</v>
      </c>
      <c r="J40" s="217" t="s">
        <v>557</v>
      </c>
      <c r="K40" s="122">
        <v>52.897500000000001</v>
      </c>
      <c r="L40" s="122">
        <v>52.897500000000001</v>
      </c>
      <c r="M40" s="126">
        <f t="shared" ref="M40" si="52">ABS(K40-K41)</f>
        <v>9.0000000000145519E-4</v>
      </c>
      <c r="N40" s="126">
        <f t="shared" ref="N40" si="53">ABS(L40-L41)</f>
        <v>9.0000000000145519E-4</v>
      </c>
      <c r="O40" s="129"/>
      <c r="P40" s="129"/>
      <c r="Q40" s="175"/>
      <c r="R40" s="175"/>
      <c r="T40" s="122">
        <v>250.0693</v>
      </c>
      <c r="U40" s="122">
        <v>250.0693</v>
      </c>
      <c r="V40" s="122">
        <f t="shared" si="2"/>
        <v>302.96679999999998</v>
      </c>
      <c r="W40" s="122">
        <f t="shared" si="3"/>
        <v>302.96679999999998</v>
      </c>
      <c r="X40" s="174">
        <f>ABS(V40-V41)</f>
        <v>7.0000000000050022E-3</v>
      </c>
      <c r="Y40" s="174">
        <f>ABS(W40-W41)</f>
        <v>7.0000000000050022E-3</v>
      </c>
    </row>
    <row r="41" spans="2:25">
      <c r="B41" s="226" t="s">
        <v>570</v>
      </c>
      <c r="C41" s="216" t="s">
        <v>569</v>
      </c>
      <c r="D41" s="222"/>
      <c r="E41" s="222"/>
      <c r="F41" s="217" t="s">
        <v>568</v>
      </c>
      <c r="G41" s="217">
        <v>2.5</v>
      </c>
      <c r="H41" s="217" t="s">
        <v>405</v>
      </c>
      <c r="I41" s="217">
        <v>10</v>
      </c>
      <c r="J41" s="217" t="s">
        <v>565</v>
      </c>
      <c r="K41" s="122">
        <v>52.898400000000002</v>
      </c>
      <c r="L41" s="122">
        <v>52.898400000000002</v>
      </c>
      <c r="M41" s="127"/>
      <c r="N41" s="127"/>
      <c r="O41" s="129"/>
      <c r="P41" s="129"/>
      <c r="Q41" s="176"/>
      <c r="R41" s="176"/>
      <c r="T41" s="122">
        <v>250.0754</v>
      </c>
      <c r="U41" s="122">
        <v>250.0754</v>
      </c>
      <c r="V41" s="122">
        <f t="shared" si="2"/>
        <v>302.97379999999998</v>
      </c>
      <c r="W41" s="122">
        <f t="shared" si="3"/>
        <v>302.97379999999998</v>
      </c>
      <c r="X41" s="175"/>
      <c r="Y41" s="175"/>
    </row>
    <row r="42" spans="2:25">
      <c r="B42" s="226" t="s">
        <v>577</v>
      </c>
      <c r="C42" s="216" t="s">
        <v>572</v>
      </c>
      <c r="D42" s="222"/>
      <c r="E42" s="217">
        <v>1100</v>
      </c>
      <c r="F42" s="217" t="s">
        <v>578</v>
      </c>
      <c r="G42" s="217">
        <v>2.5</v>
      </c>
      <c r="H42" s="217" t="s">
        <v>405</v>
      </c>
      <c r="I42" s="217">
        <v>10</v>
      </c>
      <c r="J42" s="217" t="s">
        <v>579</v>
      </c>
      <c r="K42" s="122">
        <v>52.903599999999997</v>
      </c>
      <c r="L42" s="122">
        <v>52.903599999999997</v>
      </c>
      <c r="M42" s="126">
        <f t="shared" ref="M42" si="54">ABS(K42-K43)</f>
        <v>1.9999999999242846E-4</v>
      </c>
      <c r="N42" s="126">
        <f t="shared" ref="N42" si="55">ABS(L42-L43)</f>
        <v>1.9999999999242846E-4</v>
      </c>
      <c r="O42" s="122">
        <f t="shared" ref="O42:P42" si="56">SUM(K42,K44)</f>
        <v>105.7919</v>
      </c>
      <c r="P42" s="122">
        <f t="shared" si="56"/>
        <v>105.7919</v>
      </c>
      <c r="Q42" s="174">
        <f t="shared" ref="Q42" si="57">ABS(O42-O43)</f>
        <v>1.1000000000080945E-3</v>
      </c>
      <c r="R42" s="174">
        <f>ABS(P42-P43)</f>
        <v>1.1000000000080945E-3</v>
      </c>
      <c r="T42" s="122">
        <v>250.0701</v>
      </c>
      <c r="U42" s="122">
        <v>250.0701</v>
      </c>
      <c r="V42" s="122">
        <f t="shared" si="2"/>
        <v>302.97370000000001</v>
      </c>
      <c r="W42" s="122">
        <f t="shared" si="3"/>
        <v>302.97370000000001</v>
      </c>
      <c r="X42" s="174">
        <f>ABS(V42-V43)</f>
        <v>9.1999999999643478E-3</v>
      </c>
      <c r="Y42" s="174">
        <f>ABS(W42-W43)</f>
        <v>9.1999999999643478E-3</v>
      </c>
    </row>
    <row r="43" spans="2:25">
      <c r="B43" s="226" t="s">
        <v>586</v>
      </c>
      <c r="C43" s="216" t="s">
        <v>581</v>
      </c>
      <c r="D43" s="222"/>
      <c r="E43" s="217">
        <v>1100</v>
      </c>
      <c r="F43" s="217" t="s">
        <v>578</v>
      </c>
      <c r="G43" s="217">
        <v>2.5</v>
      </c>
      <c r="H43" s="217" t="s">
        <v>405</v>
      </c>
      <c r="I43" s="217">
        <v>10</v>
      </c>
      <c r="J43" s="217" t="s">
        <v>587</v>
      </c>
      <c r="K43" s="122">
        <v>52.903400000000005</v>
      </c>
      <c r="L43" s="122">
        <v>52.903400000000005</v>
      </c>
      <c r="M43" s="127"/>
      <c r="N43" s="127"/>
      <c r="O43" s="122">
        <f t="shared" ref="O43:P43" si="58">SUM(K43,K45)</f>
        <v>105.79300000000001</v>
      </c>
      <c r="P43" s="122">
        <f t="shared" si="58"/>
        <v>105.79300000000001</v>
      </c>
      <c r="Q43" s="175"/>
      <c r="R43" s="175"/>
      <c r="T43" s="122">
        <v>250.0795</v>
      </c>
      <c r="U43" s="122">
        <v>250.0795</v>
      </c>
      <c r="V43" s="122">
        <f t="shared" si="2"/>
        <v>302.98289999999997</v>
      </c>
      <c r="W43" s="122">
        <f t="shared" si="3"/>
        <v>302.98289999999997</v>
      </c>
      <c r="X43" s="175"/>
      <c r="Y43" s="175"/>
    </row>
    <row r="44" spans="2:25">
      <c r="B44" s="226" t="s">
        <v>589</v>
      </c>
      <c r="C44" s="216" t="s">
        <v>588</v>
      </c>
      <c r="D44" s="222"/>
      <c r="E44" s="222"/>
      <c r="F44" s="217" t="s">
        <v>590</v>
      </c>
      <c r="G44" s="217">
        <v>2.5</v>
      </c>
      <c r="H44" s="217" t="s">
        <v>405</v>
      </c>
      <c r="I44" s="217">
        <v>10</v>
      </c>
      <c r="J44" s="217" t="s">
        <v>579</v>
      </c>
      <c r="K44" s="122">
        <v>52.888300000000001</v>
      </c>
      <c r="L44" s="122">
        <v>52.888300000000001</v>
      </c>
      <c r="M44" s="126">
        <f t="shared" ref="M44" si="59">ABS(K44-K45)</f>
        <v>1.300000000000523E-3</v>
      </c>
      <c r="N44" s="126">
        <f t="shared" ref="N44" si="60">ABS(L44-L45)</f>
        <v>1.300000000000523E-3</v>
      </c>
      <c r="O44" s="129"/>
      <c r="P44" s="129"/>
      <c r="Q44" s="175"/>
      <c r="R44" s="175"/>
      <c r="T44" s="122">
        <v>250.0701</v>
      </c>
      <c r="U44" s="122">
        <v>250.0701</v>
      </c>
      <c r="V44" s="122">
        <f t="shared" si="2"/>
        <v>302.95839999999998</v>
      </c>
      <c r="W44" s="122">
        <f t="shared" si="3"/>
        <v>302.95839999999998</v>
      </c>
      <c r="X44" s="174">
        <f>ABS(V44-V45)</f>
        <v>1.0700000000042564E-2</v>
      </c>
      <c r="Y44" s="174">
        <f>ABS(W44-W45)</f>
        <v>1.0700000000042564E-2</v>
      </c>
    </row>
    <row r="45" spans="2:25">
      <c r="B45" s="226" t="s">
        <v>592</v>
      </c>
      <c r="C45" s="216" t="s">
        <v>591</v>
      </c>
      <c r="D45" s="222"/>
      <c r="E45" s="222"/>
      <c r="F45" s="217" t="s">
        <v>590</v>
      </c>
      <c r="G45" s="217">
        <v>2.5</v>
      </c>
      <c r="H45" s="217" t="s">
        <v>405</v>
      </c>
      <c r="I45" s="217">
        <v>10</v>
      </c>
      <c r="J45" s="217" t="s">
        <v>587</v>
      </c>
      <c r="K45" s="122">
        <v>52.889600000000002</v>
      </c>
      <c r="L45" s="122">
        <v>52.889600000000002</v>
      </c>
      <c r="M45" s="128"/>
      <c r="N45" s="128"/>
      <c r="O45" s="129"/>
      <c r="P45" s="129"/>
      <c r="Q45" s="176"/>
      <c r="R45" s="176"/>
      <c r="T45" s="122">
        <v>250.0795</v>
      </c>
      <c r="U45" s="122">
        <v>250.0795</v>
      </c>
      <c r="V45" s="122">
        <f t="shared" si="2"/>
        <v>302.96910000000003</v>
      </c>
      <c r="W45" s="122">
        <f t="shared" si="3"/>
        <v>302.96910000000003</v>
      </c>
      <c r="X45" s="176"/>
      <c r="Y45" s="176"/>
    </row>
  </sheetData>
  <phoneticPr fontId="4"/>
  <dataValidations count="4">
    <dataValidation type="list" allowBlank="1" showInputMessage="1" showErrorMessage="1" sqref="G14:G45" xr:uid="{37F84730-8199-4021-87D3-FD0944F8CF89}">
      <formula1>Match_</formula1>
    </dataValidation>
    <dataValidation type="list" allowBlank="1" showInputMessage="1" showErrorMessage="1" sqref="I14:I45" xr:uid="{8207D537-B604-44D8-80DA-F71272F3FB5F}">
      <formula1>Loop_back</formula1>
    </dataValidation>
    <dataValidation type="whole" operator="greaterThan" allowBlank="1" showInputMessage="1" showErrorMessage="1" sqref="F14:F45 D14:D45 H14:H45" xr:uid="{8203A547-EDB4-4455-AF0F-CBB560A7F01D}">
      <formula1>0</formula1>
    </dataValidation>
    <dataValidation type="list" allowBlank="1" showInputMessage="1" showErrorMessage="1" sqref="E14:E45" xr:uid="{108A181B-278E-4C86-ADEC-293AA65756F3}">
      <formula1>Diff_</formula1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6303-95D7-41E5-8B34-86E75B805AF9}">
  <sheetPr codeName="Sheet22"/>
  <dimension ref="B1:M15"/>
  <sheetViews>
    <sheetView zoomScale="70" zoomScaleNormal="70" workbookViewId="0"/>
  </sheetViews>
  <sheetFormatPr defaultColWidth="9" defaultRowHeight="14.25"/>
  <cols>
    <col min="1" max="1" width="13" style="26" customWidth="1"/>
    <col min="2" max="2" width="16.140625" style="26" customWidth="1"/>
    <col min="3" max="3" width="13.42578125" style="26" bestFit="1" customWidth="1"/>
    <col min="4" max="8" width="9" style="26"/>
    <col min="9" max="9" width="10.42578125" style="26" bestFit="1" customWidth="1"/>
    <col min="10" max="13" width="11.5703125" style="26" customWidth="1"/>
    <col min="14" max="16384" width="9" style="26"/>
  </cols>
  <sheetData>
    <row r="1" spans="2:13" ht="25.5">
      <c r="B1" s="8" t="str">
        <f>SITE1!B1</f>
        <v>ITTO-620-0190 Meteor Lake PCH X4</v>
      </c>
      <c r="K1" s="7">
        <v>44635</v>
      </c>
      <c r="L1" s="7"/>
    </row>
    <row r="2" spans="2:13" ht="20.25">
      <c r="B2" s="125" t="s">
        <v>6310</v>
      </c>
    </row>
    <row r="3" spans="2:13" ht="20.25">
      <c r="B3" s="13"/>
    </row>
    <row r="4" spans="2:13" ht="20.25">
      <c r="B4" s="13"/>
      <c r="J4" s="26" t="s">
        <v>6311</v>
      </c>
      <c r="L4" s="26" t="s">
        <v>6312</v>
      </c>
    </row>
    <row r="5" spans="2:13" ht="20.25">
      <c r="B5" s="13"/>
      <c r="J5" s="5" t="s">
        <v>6291</v>
      </c>
      <c r="K5" s="27">
        <f>MAX(J14:K15)</f>
        <v>187.77670000000001</v>
      </c>
      <c r="L5" s="5" t="s">
        <v>6291</v>
      </c>
      <c r="M5" s="27">
        <f>MAX(L14:M15)</f>
        <v>1.2400000000013733E-2</v>
      </c>
    </row>
    <row r="6" spans="2:13" ht="20.25">
      <c r="B6" s="13"/>
      <c r="J6" s="5" t="s">
        <v>6292</v>
      </c>
      <c r="K6" s="27">
        <f>MIN(J14:K15)</f>
        <v>187.76429999999999</v>
      </c>
    </row>
    <row r="7" spans="2:13" ht="20.25">
      <c r="B7" s="13"/>
      <c r="J7" s="5" t="s">
        <v>6293</v>
      </c>
      <c r="K7" s="27">
        <f>K5-K6</f>
        <v>1.2400000000013733E-2</v>
      </c>
    </row>
    <row r="8" spans="2:13">
      <c r="J8" s="26" t="s">
        <v>6294</v>
      </c>
      <c r="K8" s="113">
        <f>I14</f>
        <v>5</v>
      </c>
      <c r="L8" s="26" t="s">
        <v>6294</v>
      </c>
      <c r="M8" s="115">
        <f>G14</f>
        <v>5</v>
      </c>
    </row>
    <row r="9" spans="2:13">
      <c r="K9" s="112">
        <f>K8*0.0254</f>
        <v>0.127</v>
      </c>
      <c r="M9" s="112">
        <f>M8*0.0254</f>
        <v>0.127</v>
      </c>
    </row>
    <row r="10" spans="2:13">
      <c r="K10" s="111" t="str">
        <f>IF(K7&gt;K9,"Wrong","OK")</f>
        <v>OK</v>
      </c>
      <c r="M10" s="111" t="str">
        <f>IF(M5&gt;M9,"Wrong","OK")</f>
        <v>OK</v>
      </c>
    </row>
    <row r="12" spans="2:13">
      <c r="J12" s="116" t="s">
        <v>6313</v>
      </c>
      <c r="K12" s="117"/>
      <c r="L12" s="116" t="s">
        <v>6296</v>
      </c>
      <c r="M12" s="121"/>
    </row>
    <row r="13" spans="2:13" ht="90">
      <c r="B13" s="91" t="s">
        <v>19</v>
      </c>
      <c r="C13" s="91" t="s">
        <v>20</v>
      </c>
      <c r="D13" s="99" t="s">
        <v>29</v>
      </c>
      <c r="E13" s="100" t="s">
        <v>30</v>
      </c>
      <c r="F13" s="93" t="s">
        <v>31</v>
      </c>
      <c r="G13" s="93" t="s">
        <v>32</v>
      </c>
      <c r="H13" s="102" t="s">
        <v>34</v>
      </c>
      <c r="I13" s="103" t="s">
        <v>35</v>
      </c>
      <c r="J13" s="118" t="s">
        <v>10</v>
      </c>
      <c r="K13" s="118" t="s">
        <v>4127</v>
      </c>
      <c r="L13" s="118" t="s">
        <v>10</v>
      </c>
      <c r="M13" s="118" t="s">
        <v>4127</v>
      </c>
    </row>
    <row r="14" spans="2:13">
      <c r="B14" s="227" t="s">
        <v>210</v>
      </c>
      <c r="C14" s="216" t="s">
        <v>207</v>
      </c>
      <c r="D14" s="222"/>
      <c r="E14" s="217"/>
      <c r="F14" s="217" t="s">
        <v>211</v>
      </c>
      <c r="G14" s="217">
        <v>5</v>
      </c>
      <c r="H14" s="217" t="s">
        <v>212</v>
      </c>
      <c r="I14" s="217">
        <v>5</v>
      </c>
      <c r="J14" s="122">
        <v>187.77670000000001</v>
      </c>
      <c r="K14" s="122">
        <v>187.77670000000001</v>
      </c>
      <c r="L14" s="279">
        <f>ABS(J14-J15)</f>
        <v>1.2400000000013733E-2</v>
      </c>
      <c r="M14" s="279">
        <f>ABS(K14-K15)</f>
        <v>1.2400000000013733E-2</v>
      </c>
    </row>
    <row r="15" spans="2:13">
      <c r="B15" s="227" t="s">
        <v>217</v>
      </c>
      <c r="C15" s="216" t="s">
        <v>214</v>
      </c>
      <c r="D15" s="222"/>
      <c r="E15" s="217"/>
      <c r="F15" s="217" t="s">
        <v>211</v>
      </c>
      <c r="G15" s="217">
        <v>5</v>
      </c>
      <c r="H15" s="217" t="s">
        <v>212</v>
      </c>
      <c r="I15" s="217">
        <v>5</v>
      </c>
      <c r="J15" s="122">
        <v>187.76429999999999</v>
      </c>
      <c r="K15" s="122">
        <v>187.76429999999999</v>
      </c>
      <c r="L15" s="279"/>
      <c r="M15" s="279"/>
    </row>
  </sheetData>
  <mergeCells count="2">
    <mergeCell ref="L14:L15"/>
    <mergeCell ref="M14:M15"/>
  </mergeCells>
  <phoneticPr fontId="3"/>
  <dataValidations count="4">
    <dataValidation type="list" allowBlank="1" showInputMessage="1" showErrorMessage="1" sqref="E14:E15" xr:uid="{074253CF-9C26-4F8F-BDA6-60F44C22DC8C}">
      <formula1>Diff_</formula1>
    </dataValidation>
    <dataValidation type="whole" operator="greaterThan" allowBlank="1" showInputMessage="1" showErrorMessage="1" sqref="F14:F15 D14:D15 H14:H15" xr:uid="{307A6895-59FA-4992-86AF-B048D2778464}">
      <formula1>0</formula1>
    </dataValidation>
    <dataValidation type="list" allowBlank="1" showInputMessage="1" showErrorMessage="1" sqref="I14:I15" xr:uid="{0FE02B86-88ED-44A0-B25E-80EF82D5A90D}">
      <formula1>Loop_back</formula1>
    </dataValidation>
    <dataValidation type="list" allowBlank="1" showInputMessage="1" showErrorMessage="1" sqref="G14:G15" xr:uid="{8A1A881E-066C-4047-8E8E-72420609F428}">
      <formula1>Match_</formula1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A9BD-8664-4260-87D3-602B2EA5DD69}">
  <sheetPr codeName="Sheet27"/>
  <dimension ref="B1:N20"/>
  <sheetViews>
    <sheetView zoomScale="70" zoomScaleNormal="70" workbookViewId="0"/>
  </sheetViews>
  <sheetFormatPr defaultColWidth="9" defaultRowHeight="14.25"/>
  <cols>
    <col min="1" max="1" width="13" style="26" customWidth="1"/>
    <col min="2" max="2" width="16.140625" style="26" customWidth="1"/>
    <col min="3" max="3" width="13.42578125" style="26" bestFit="1" customWidth="1"/>
    <col min="4" max="8" width="9" style="26"/>
    <col min="9" max="9" width="10.42578125" style="26" bestFit="1" customWidth="1"/>
    <col min="10" max="12" width="11.5703125" style="26" customWidth="1"/>
    <col min="13" max="13" width="9.42578125" style="26" customWidth="1"/>
    <col min="14" max="16384" width="9" style="26"/>
  </cols>
  <sheetData>
    <row r="1" spans="2:14" ht="25.5">
      <c r="B1" s="8" t="str">
        <f>SITE1!B1</f>
        <v>ITTO-620-0190 Meteor Lake PCH X4</v>
      </c>
      <c r="K1" s="7">
        <v>44635</v>
      </c>
    </row>
    <row r="2" spans="2:14" ht="20.25">
      <c r="B2" s="125" t="s">
        <v>6310</v>
      </c>
    </row>
    <row r="3" spans="2:14" ht="20.25">
      <c r="B3" s="13"/>
    </row>
    <row r="4" spans="2:14" ht="20.25">
      <c r="B4" s="13"/>
      <c r="J4" s="26" t="s">
        <v>6311</v>
      </c>
      <c r="L4" s="26" t="s">
        <v>6294</v>
      </c>
    </row>
    <row r="5" spans="2:14" ht="20.25">
      <c r="B5" s="13"/>
      <c r="J5" s="5" t="s">
        <v>6291</v>
      </c>
      <c r="K5" s="27">
        <f>MAX(J14:K20)</f>
        <v>257.8972</v>
      </c>
      <c r="L5" s="113">
        <f>E14</f>
        <v>18000</v>
      </c>
      <c r="M5" s="112">
        <f>L5*0.0254</f>
        <v>457.2</v>
      </c>
      <c r="N5" s="111" t="str">
        <f>IF(K5&gt;M5,"Wrong","OK")</f>
        <v>OK</v>
      </c>
    </row>
    <row r="6" spans="2:14" ht="20.25">
      <c r="B6" s="13"/>
      <c r="J6" s="5" t="s">
        <v>6292</v>
      </c>
      <c r="K6" s="27">
        <f>MIN(J14:K20)</f>
        <v>257.82190000000003</v>
      </c>
    </row>
    <row r="7" spans="2:14" ht="20.25">
      <c r="B7" s="13"/>
      <c r="J7" s="5" t="s">
        <v>6293</v>
      </c>
      <c r="K7" s="27">
        <f>K5-K6</f>
        <v>7.5299999999970169E-2</v>
      </c>
      <c r="L7" s="113">
        <f>I14*2</f>
        <v>500</v>
      </c>
      <c r="M7" s="112">
        <f>L7*0.0254</f>
        <v>12.7</v>
      </c>
      <c r="N7" s="111" t="str">
        <f>IF(K7&gt;M7,"Wrong","OK")</f>
        <v>OK</v>
      </c>
    </row>
    <row r="8" spans="2:14">
      <c r="M8" s="111"/>
    </row>
    <row r="11" spans="2:14">
      <c r="M11" s="111"/>
    </row>
    <row r="12" spans="2:14">
      <c r="J12" s="116" t="s">
        <v>6313</v>
      </c>
      <c r="K12" s="121"/>
    </row>
    <row r="13" spans="2:14" ht="90">
      <c r="B13" s="91" t="s">
        <v>19</v>
      </c>
      <c r="C13" s="91" t="s">
        <v>20</v>
      </c>
      <c r="D13" s="99" t="s">
        <v>29</v>
      </c>
      <c r="E13" s="100" t="s">
        <v>30</v>
      </c>
      <c r="F13" s="93" t="s">
        <v>31</v>
      </c>
      <c r="G13" s="93" t="s">
        <v>32</v>
      </c>
      <c r="H13" s="102" t="s">
        <v>34</v>
      </c>
      <c r="I13" s="103" t="s">
        <v>35</v>
      </c>
      <c r="J13" s="118" t="s">
        <v>10</v>
      </c>
      <c r="K13" s="118" t="s">
        <v>4127</v>
      </c>
    </row>
    <row r="14" spans="2:14">
      <c r="B14" s="219" t="s">
        <v>1819</v>
      </c>
      <c r="C14" s="216" t="s">
        <v>1814</v>
      </c>
      <c r="D14" s="222"/>
      <c r="E14" s="217">
        <v>18000</v>
      </c>
      <c r="F14" s="222"/>
      <c r="G14" s="217"/>
      <c r="H14" s="217" t="s">
        <v>1820</v>
      </c>
      <c r="I14" s="217">
        <v>250</v>
      </c>
      <c r="J14" s="130">
        <v>257.85989999999998</v>
      </c>
      <c r="K14" s="122">
        <v>257.85989999999998</v>
      </c>
    </row>
    <row r="15" spans="2:14">
      <c r="B15" s="219" t="s">
        <v>1828</v>
      </c>
      <c r="C15" s="216" t="s">
        <v>1823</v>
      </c>
      <c r="D15" s="222"/>
      <c r="E15" s="217">
        <v>18000</v>
      </c>
      <c r="F15" s="222"/>
      <c r="G15" s="217"/>
      <c r="H15" s="217" t="s">
        <v>1820</v>
      </c>
      <c r="I15" s="217">
        <v>250</v>
      </c>
      <c r="J15" s="130">
        <v>257.83479999999997</v>
      </c>
      <c r="K15" s="122">
        <v>257.83479999999997</v>
      </c>
    </row>
    <row r="16" spans="2:14">
      <c r="B16" s="219" t="s">
        <v>1835</v>
      </c>
      <c r="C16" s="216" t="s">
        <v>1830</v>
      </c>
      <c r="D16" s="222"/>
      <c r="E16" s="217">
        <v>18000</v>
      </c>
      <c r="F16" s="222"/>
      <c r="G16" s="217"/>
      <c r="H16" s="217" t="s">
        <v>1820</v>
      </c>
      <c r="I16" s="217">
        <v>250</v>
      </c>
      <c r="J16" s="130">
        <v>257.83699999999999</v>
      </c>
      <c r="K16" s="122">
        <v>257.83699999999999</v>
      </c>
    </row>
    <row r="17" spans="2:11">
      <c r="B17" s="219" t="s">
        <v>1842</v>
      </c>
      <c r="C17" s="216" t="s">
        <v>1837</v>
      </c>
      <c r="D17" s="222"/>
      <c r="E17" s="217">
        <v>18000</v>
      </c>
      <c r="F17" s="222"/>
      <c r="G17" s="217"/>
      <c r="H17" s="217" t="s">
        <v>1820</v>
      </c>
      <c r="I17" s="217">
        <v>250</v>
      </c>
      <c r="J17" s="130">
        <v>257.82190000000003</v>
      </c>
      <c r="K17" s="122">
        <v>257.82190000000003</v>
      </c>
    </row>
    <row r="18" spans="2:11">
      <c r="B18" s="219" t="s">
        <v>1849</v>
      </c>
      <c r="C18" s="216" t="s">
        <v>1844</v>
      </c>
      <c r="D18" s="222"/>
      <c r="E18" s="217">
        <v>18000</v>
      </c>
      <c r="F18" s="222"/>
      <c r="G18" s="217"/>
      <c r="H18" s="217" t="s">
        <v>1820</v>
      </c>
      <c r="I18" s="217">
        <v>250</v>
      </c>
      <c r="J18" s="130">
        <v>257.8972</v>
      </c>
      <c r="K18" s="122">
        <v>257.8972</v>
      </c>
    </row>
    <row r="19" spans="2:11">
      <c r="B19" s="219" t="s">
        <v>2780</v>
      </c>
      <c r="C19" s="216" t="s">
        <v>2776</v>
      </c>
      <c r="D19" s="222"/>
      <c r="E19" s="217">
        <v>18000</v>
      </c>
      <c r="F19" s="222"/>
      <c r="G19" s="217"/>
      <c r="H19" s="217" t="s">
        <v>1820</v>
      </c>
      <c r="I19" s="217">
        <v>250</v>
      </c>
      <c r="J19" s="130">
        <v>257.8904</v>
      </c>
      <c r="K19" s="122">
        <v>257.8904</v>
      </c>
    </row>
    <row r="20" spans="2:11">
      <c r="B20" s="219" t="s">
        <v>2786</v>
      </c>
      <c r="C20" s="216" t="s">
        <v>2782</v>
      </c>
      <c r="D20" s="222"/>
      <c r="E20" s="217">
        <v>18000</v>
      </c>
      <c r="F20" s="222"/>
      <c r="G20" s="217"/>
      <c r="H20" s="217" t="s">
        <v>1820</v>
      </c>
      <c r="I20" s="217">
        <v>250</v>
      </c>
      <c r="J20" s="130">
        <v>257.86259999999999</v>
      </c>
      <c r="K20" s="122">
        <v>257.86259999999999</v>
      </c>
    </row>
  </sheetData>
  <phoneticPr fontId="3"/>
  <dataValidations count="4">
    <dataValidation type="list" allowBlank="1" showInputMessage="1" showErrorMessage="1" sqref="G14:G15" xr:uid="{8CCAEC9D-B27E-4E14-847D-16CB1035A5F3}">
      <formula1>Match_</formula1>
    </dataValidation>
    <dataValidation type="list" allowBlank="1" showInputMessage="1" showErrorMessage="1" sqref="I14:I15" xr:uid="{477936E6-DD76-4127-A438-F12937EE2400}">
      <formula1>Loop_back</formula1>
    </dataValidation>
    <dataValidation type="whole" operator="greaterThan" allowBlank="1" showInputMessage="1" showErrorMessage="1" sqref="F14:F15 D14:D15 H14:H15" xr:uid="{29F9B3E7-B5D4-46D8-B3A8-DD5163F6279C}">
      <formula1>0</formula1>
    </dataValidation>
    <dataValidation type="list" allowBlank="1" showInputMessage="1" showErrorMessage="1" sqref="E14:E15" xr:uid="{94AA0DB6-2B38-4305-B788-EA93F063E710}">
      <formula1>Diff_</formula1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293BE-4DA2-4873-A890-66D8825EA485}">
  <sheetPr codeName="Sheet28"/>
  <dimension ref="B1:M41"/>
  <sheetViews>
    <sheetView zoomScale="70" zoomScaleNormal="70" workbookViewId="0"/>
  </sheetViews>
  <sheetFormatPr defaultColWidth="9" defaultRowHeight="14.25"/>
  <cols>
    <col min="1" max="1" width="13" style="26" customWidth="1"/>
    <col min="2" max="2" width="17.85546875" style="26" customWidth="1"/>
    <col min="3" max="3" width="13.42578125" style="26" bestFit="1" customWidth="1"/>
    <col min="4" max="8" width="9" style="26"/>
    <col min="9" max="9" width="10.42578125" style="26" bestFit="1" customWidth="1"/>
    <col min="10" max="13" width="11.5703125" style="26" customWidth="1"/>
    <col min="14" max="16384" width="9" style="26"/>
  </cols>
  <sheetData>
    <row r="1" spans="2:13" ht="25.5">
      <c r="B1" s="8" t="str">
        <f>SITE1!B1</f>
        <v>ITTO-620-0190 Meteor Lake PCH X4</v>
      </c>
      <c r="J1" s="7"/>
      <c r="K1" s="7">
        <v>44635</v>
      </c>
      <c r="L1" s="7"/>
    </row>
    <row r="2" spans="2:13" ht="20.25">
      <c r="B2" s="125" t="s">
        <v>6314</v>
      </c>
    </row>
    <row r="3" spans="2:13" ht="20.25">
      <c r="B3" s="13"/>
    </row>
    <row r="4" spans="2:13" ht="20.25">
      <c r="B4" s="13"/>
      <c r="J4" s="26" t="s">
        <v>6315</v>
      </c>
      <c r="L4" s="26" t="s">
        <v>6312</v>
      </c>
    </row>
    <row r="5" spans="2:13" ht="20.25">
      <c r="B5" s="13"/>
      <c r="J5" s="5" t="s">
        <v>6316</v>
      </c>
      <c r="K5" s="27">
        <f>MAX(J14:K41)</f>
        <v>222.86920000000001</v>
      </c>
      <c r="L5" s="5" t="s">
        <v>6291</v>
      </c>
      <c r="M5" s="27">
        <f>MAX(L14:M41)</f>
        <v>4.8400000000015098E-2</v>
      </c>
    </row>
    <row r="6" spans="2:13" ht="20.25">
      <c r="B6" s="13"/>
      <c r="J6" s="5" t="s">
        <v>6317</v>
      </c>
      <c r="K6" s="27">
        <f>MIN(J14:K41)</f>
        <v>222.78550000000001</v>
      </c>
    </row>
    <row r="7" spans="2:13" ht="20.25">
      <c r="B7" s="13"/>
      <c r="J7" s="5" t="s">
        <v>6318</v>
      </c>
      <c r="K7" s="27">
        <f>K5-K6</f>
        <v>8.3699999999993224E-2</v>
      </c>
    </row>
    <row r="8" spans="2:13">
      <c r="J8" s="26" t="s">
        <v>6294</v>
      </c>
      <c r="K8" s="113">
        <f>I14*2</f>
        <v>10</v>
      </c>
      <c r="L8" s="26" t="s">
        <v>6294</v>
      </c>
      <c r="M8" s="115">
        <f>G14</f>
        <v>5</v>
      </c>
    </row>
    <row r="9" spans="2:13">
      <c r="K9" s="112">
        <f>K8*0.0254</f>
        <v>0.254</v>
      </c>
      <c r="M9" s="112">
        <f>M8*0.0254</f>
        <v>0.127</v>
      </c>
    </row>
    <row r="10" spans="2:13">
      <c r="K10" s="111" t="str">
        <f>IF(K7&gt;K9,"Wrong","OK")</f>
        <v>OK</v>
      </c>
      <c r="M10" s="111" t="str">
        <f>IF(M5&gt;M9,"Wrong","OK")</f>
        <v>OK</v>
      </c>
    </row>
    <row r="12" spans="2:13">
      <c r="J12" s="116" t="s">
        <v>6319</v>
      </c>
      <c r="K12" s="121"/>
      <c r="L12" s="116" t="s">
        <v>6320</v>
      </c>
      <c r="M12" s="121"/>
    </row>
    <row r="13" spans="2:13" ht="90">
      <c r="B13" s="91" t="s">
        <v>19</v>
      </c>
      <c r="C13" s="91" t="s">
        <v>20</v>
      </c>
      <c r="D13" s="99" t="s">
        <v>29</v>
      </c>
      <c r="E13" s="100" t="s">
        <v>30</v>
      </c>
      <c r="F13" s="93" t="s">
        <v>31</v>
      </c>
      <c r="G13" s="93" t="s">
        <v>32</v>
      </c>
      <c r="H13" s="102" t="s">
        <v>34</v>
      </c>
      <c r="I13" s="103" t="s">
        <v>35</v>
      </c>
      <c r="J13" s="118" t="s">
        <v>10</v>
      </c>
      <c r="K13" s="118" t="s">
        <v>4127</v>
      </c>
      <c r="L13" s="118" t="s">
        <v>10</v>
      </c>
      <c r="M13" s="118" t="s">
        <v>4127</v>
      </c>
    </row>
    <row r="14" spans="2:13">
      <c r="B14" s="227" t="s">
        <v>140</v>
      </c>
      <c r="C14" s="216" t="s">
        <v>137</v>
      </c>
      <c r="D14" s="222"/>
      <c r="E14" s="222"/>
      <c r="F14" s="217" t="s">
        <v>53</v>
      </c>
      <c r="G14" s="217">
        <v>5</v>
      </c>
      <c r="H14" s="217" t="s">
        <v>54</v>
      </c>
      <c r="I14" s="217">
        <v>5</v>
      </c>
      <c r="J14" s="122">
        <v>222.8073</v>
      </c>
      <c r="K14" s="122">
        <v>222.8073</v>
      </c>
      <c r="L14" s="126">
        <f t="shared" ref="L14:M14" si="0">ABS(J14-J15)</f>
        <v>1.2999999999863121E-3</v>
      </c>
      <c r="M14" s="126">
        <f t="shared" si="0"/>
        <v>1.2999999999863121E-3</v>
      </c>
    </row>
    <row r="15" spans="2:13">
      <c r="B15" s="227" t="s">
        <v>6321</v>
      </c>
      <c r="C15" s="216" t="s">
        <v>43</v>
      </c>
      <c r="D15" s="222"/>
      <c r="E15" s="222"/>
      <c r="F15" s="217" t="s">
        <v>53</v>
      </c>
      <c r="G15" s="217">
        <v>5</v>
      </c>
      <c r="H15" s="217" t="s">
        <v>54</v>
      </c>
      <c r="I15" s="217">
        <v>5</v>
      </c>
      <c r="J15" s="122">
        <v>222.80600000000001</v>
      </c>
      <c r="K15" s="122">
        <v>222.80600000000001</v>
      </c>
      <c r="L15" s="127"/>
      <c r="M15" s="127"/>
    </row>
    <row r="16" spans="2:13">
      <c r="B16" s="227" t="s">
        <v>145</v>
      </c>
      <c r="C16" s="216" t="s">
        <v>142</v>
      </c>
      <c r="D16" s="222"/>
      <c r="E16" s="222"/>
      <c r="F16" s="217" t="s">
        <v>62</v>
      </c>
      <c r="G16" s="217">
        <v>5</v>
      </c>
      <c r="H16" s="217" t="s">
        <v>54</v>
      </c>
      <c r="I16" s="217">
        <v>5</v>
      </c>
      <c r="J16" s="122">
        <v>222.83279999999999</v>
      </c>
      <c r="K16" s="122">
        <v>222.83279999999999</v>
      </c>
      <c r="L16" s="126">
        <f t="shared" ref="L16:M16" si="1">ABS(J16-J17)</f>
        <v>1.8799999999998818E-2</v>
      </c>
      <c r="M16" s="126">
        <f t="shared" si="1"/>
        <v>1.8799999999998818E-2</v>
      </c>
    </row>
    <row r="17" spans="2:13">
      <c r="B17" s="227" t="s">
        <v>61</v>
      </c>
      <c r="C17" s="216" t="s">
        <v>57</v>
      </c>
      <c r="D17" s="222"/>
      <c r="E17" s="222"/>
      <c r="F17" s="217" t="s">
        <v>62</v>
      </c>
      <c r="G17" s="217">
        <v>5</v>
      </c>
      <c r="H17" s="217" t="s">
        <v>54</v>
      </c>
      <c r="I17" s="217">
        <v>5</v>
      </c>
      <c r="J17" s="122">
        <v>222.85159999999999</v>
      </c>
      <c r="K17" s="122">
        <v>222.85159999999999</v>
      </c>
      <c r="L17" s="127"/>
      <c r="M17" s="127"/>
    </row>
    <row r="18" spans="2:13">
      <c r="B18" s="227" t="s">
        <v>170</v>
      </c>
      <c r="C18" s="216" t="s">
        <v>167</v>
      </c>
      <c r="D18" s="222"/>
      <c r="E18" s="222"/>
      <c r="F18" s="217" t="s">
        <v>94</v>
      </c>
      <c r="G18" s="217">
        <v>5</v>
      </c>
      <c r="H18" s="217" t="s">
        <v>54</v>
      </c>
      <c r="I18" s="217">
        <v>5</v>
      </c>
      <c r="J18" s="122">
        <v>222.78800000000001</v>
      </c>
      <c r="K18" s="122">
        <v>222.78800000000001</v>
      </c>
      <c r="L18" s="126">
        <f t="shared" ref="L18:M18" si="2">ABS(J18-J19)</f>
        <v>4.3999999999755346E-3</v>
      </c>
      <c r="M18" s="126">
        <f t="shared" si="2"/>
        <v>4.3999999999755346E-3</v>
      </c>
    </row>
    <row r="19" spans="2:13">
      <c r="B19" s="227" t="s">
        <v>93</v>
      </c>
      <c r="C19" s="216" t="s">
        <v>90</v>
      </c>
      <c r="D19" s="222"/>
      <c r="E19" s="222"/>
      <c r="F19" s="217" t="s">
        <v>94</v>
      </c>
      <c r="G19" s="217">
        <v>5</v>
      </c>
      <c r="H19" s="217" t="s">
        <v>54</v>
      </c>
      <c r="I19" s="217">
        <v>5</v>
      </c>
      <c r="J19" s="122">
        <v>222.79239999999999</v>
      </c>
      <c r="K19" s="122">
        <v>222.79239999999999</v>
      </c>
      <c r="L19" s="127"/>
      <c r="M19" s="127"/>
    </row>
    <row r="20" spans="2:13">
      <c r="B20" s="227" t="s">
        <v>175</v>
      </c>
      <c r="C20" s="216" t="s">
        <v>172</v>
      </c>
      <c r="D20" s="222"/>
      <c r="E20" s="222"/>
      <c r="F20" s="217" t="s">
        <v>100</v>
      </c>
      <c r="G20" s="217">
        <v>5</v>
      </c>
      <c r="H20" s="217" t="s">
        <v>54</v>
      </c>
      <c r="I20" s="217">
        <v>5</v>
      </c>
      <c r="J20" s="122">
        <v>222.79640000000001</v>
      </c>
      <c r="K20" s="122">
        <v>222.79640000000001</v>
      </c>
      <c r="L20" s="126">
        <f t="shared" ref="L20:M20" si="3">ABS(J20-J21)</f>
        <v>5.7999999999935881E-3</v>
      </c>
      <c r="M20" s="126">
        <f t="shared" si="3"/>
        <v>5.7999999999935881E-3</v>
      </c>
    </row>
    <row r="21" spans="2:13">
      <c r="B21" s="227" t="s">
        <v>99</v>
      </c>
      <c r="C21" s="216" t="s">
        <v>96</v>
      </c>
      <c r="D21" s="222"/>
      <c r="E21" s="222"/>
      <c r="F21" s="217" t="s">
        <v>100</v>
      </c>
      <c r="G21" s="217">
        <v>5</v>
      </c>
      <c r="H21" s="217" t="s">
        <v>54</v>
      </c>
      <c r="I21" s="217">
        <v>5</v>
      </c>
      <c r="J21" s="122">
        <v>222.79060000000001</v>
      </c>
      <c r="K21" s="122">
        <v>222.79060000000001</v>
      </c>
      <c r="L21" s="127"/>
      <c r="M21" s="127"/>
    </row>
    <row r="22" spans="2:13">
      <c r="B22" s="227" t="s">
        <v>180</v>
      </c>
      <c r="C22" s="216" t="s">
        <v>177</v>
      </c>
      <c r="D22" s="222"/>
      <c r="E22" s="222"/>
      <c r="F22" s="217" t="s">
        <v>106</v>
      </c>
      <c r="G22" s="217">
        <v>5</v>
      </c>
      <c r="H22" s="217" t="s">
        <v>54</v>
      </c>
      <c r="I22" s="217">
        <v>5</v>
      </c>
      <c r="J22" s="122">
        <v>222.86340000000001</v>
      </c>
      <c r="K22" s="122">
        <v>222.86340000000001</v>
      </c>
      <c r="L22" s="126">
        <f t="shared" ref="L22:M22" si="4">ABS(J22-J23)</f>
        <v>5.7999999999935881E-3</v>
      </c>
      <c r="M22" s="126">
        <f t="shared" si="4"/>
        <v>5.7999999999935881E-3</v>
      </c>
    </row>
    <row r="23" spans="2:13">
      <c r="B23" s="227" t="s">
        <v>105</v>
      </c>
      <c r="C23" s="216" t="s">
        <v>102</v>
      </c>
      <c r="D23" s="222"/>
      <c r="E23" s="222"/>
      <c r="F23" s="217" t="s">
        <v>106</v>
      </c>
      <c r="G23" s="217">
        <v>5</v>
      </c>
      <c r="H23" s="217" t="s">
        <v>54</v>
      </c>
      <c r="I23" s="217">
        <v>5</v>
      </c>
      <c r="J23" s="122">
        <v>222.86920000000001</v>
      </c>
      <c r="K23" s="122">
        <v>222.86920000000001</v>
      </c>
      <c r="L23" s="127"/>
      <c r="M23" s="127"/>
    </row>
    <row r="24" spans="2:13">
      <c r="B24" s="227" t="s">
        <v>185</v>
      </c>
      <c r="C24" s="216" t="s">
        <v>182</v>
      </c>
      <c r="D24" s="222"/>
      <c r="E24" s="222"/>
      <c r="F24" s="217" t="s">
        <v>112</v>
      </c>
      <c r="G24" s="217">
        <v>5</v>
      </c>
      <c r="H24" s="217" t="s">
        <v>54</v>
      </c>
      <c r="I24" s="217">
        <v>5</v>
      </c>
      <c r="J24" s="122">
        <v>222.85149999999999</v>
      </c>
      <c r="K24" s="122">
        <v>222.85149999999999</v>
      </c>
      <c r="L24" s="126">
        <f t="shared" ref="L24:M24" si="5">ABS(J24-J25)</f>
        <v>2.5399999999990541E-2</v>
      </c>
      <c r="M24" s="126">
        <f t="shared" si="5"/>
        <v>2.5399999999990541E-2</v>
      </c>
    </row>
    <row r="25" spans="2:13">
      <c r="B25" s="227" t="s">
        <v>111</v>
      </c>
      <c r="C25" s="216" t="s">
        <v>108</v>
      </c>
      <c r="D25" s="222"/>
      <c r="E25" s="222"/>
      <c r="F25" s="217" t="s">
        <v>112</v>
      </c>
      <c r="G25" s="217">
        <v>5</v>
      </c>
      <c r="H25" s="217" t="s">
        <v>54</v>
      </c>
      <c r="I25" s="217">
        <v>5</v>
      </c>
      <c r="J25" s="122">
        <v>222.8261</v>
      </c>
      <c r="K25" s="122">
        <v>222.8261</v>
      </c>
      <c r="L25" s="127"/>
      <c r="M25" s="127"/>
    </row>
    <row r="26" spans="2:13">
      <c r="B26" s="227" t="s">
        <v>190</v>
      </c>
      <c r="C26" s="216" t="s">
        <v>187</v>
      </c>
      <c r="D26" s="222"/>
      <c r="E26" s="222"/>
      <c r="F26" s="217" t="s">
        <v>118</v>
      </c>
      <c r="G26" s="217">
        <v>5</v>
      </c>
      <c r="H26" s="217" t="s">
        <v>54</v>
      </c>
      <c r="I26" s="217">
        <v>5</v>
      </c>
      <c r="J26" s="122">
        <v>222.83279999999999</v>
      </c>
      <c r="K26" s="122">
        <v>222.83279999999999</v>
      </c>
      <c r="L26" s="126">
        <f t="shared" ref="L26:M26" si="6">ABS(J26-J27)</f>
        <v>4.7299999999978581E-2</v>
      </c>
      <c r="M26" s="126">
        <f t="shared" si="6"/>
        <v>4.7299999999978581E-2</v>
      </c>
    </row>
    <row r="27" spans="2:13">
      <c r="B27" s="227" t="s">
        <v>117</v>
      </c>
      <c r="C27" s="216" t="s">
        <v>114</v>
      </c>
      <c r="D27" s="222"/>
      <c r="E27" s="222"/>
      <c r="F27" s="217" t="s">
        <v>118</v>
      </c>
      <c r="G27" s="217">
        <v>5</v>
      </c>
      <c r="H27" s="217" t="s">
        <v>54</v>
      </c>
      <c r="I27" s="217">
        <v>5</v>
      </c>
      <c r="J27" s="122">
        <v>222.78550000000001</v>
      </c>
      <c r="K27" s="122">
        <v>222.78550000000001</v>
      </c>
      <c r="L27" s="127"/>
      <c r="M27" s="127"/>
    </row>
    <row r="28" spans="2:13">
      <c r="B28" s="227" t="s">
        <v>195</v>
      </c>
      <c r="C28" s="216" t="s">
        <v>192</v>
      </c>
      <c r="D28" s="222"/>
      <c r="E28" s="222"/>
      <c r="F28" s="217" t="s">
        <v>124</v>
      </c>
      <c r="G28" s="217">
        <v>5</v>
      </c>
      <c r="H28" s="217" t="s">
        <v>54</v>
      </c>
      <c r="I28" s="217">
        <v>5</v>
      </c>
      <c r="J28" s="122">
        <v>222.81020000000001</v>
      </c>
      <c r="K28" s="122">
        <v>222.81020000000001</v>
      </c>
      <c r="L28" s="126">
        <f t="shared" ref="L28:M28" si="7">ABS(J28-J29)</f>
        <v>3.9999999998485691E-4</v>
      </c>
      <c r="M28" s="126">
        <f t="shared" si="7"/>
        <v>3.9999999998485691E-4</v>
      </c>
    </row>
    <row r="29" spans="2:13">
      <c r="B29" s="227" t="s">
        <v>123</v>
      </c>
      <c r="C29" s="216" t="s">
        <v>120</v>
      </c>
      <c r="D29" s="222"/>
      <c r="E29" s="222"/>
      <c r="F29" s="217" t="s">
        <v>124</v>
      </c>
      <c r="G29" s="217">
        <v>5</v>
      </c>
      <c r="H29" s="217" t="s">
        <v>54</v>
      </c>
      <c r="I29" s="217">
        <v>5</v>
      </c>
      <c r="J29" s="122">
        <v>222.81059999999999</v>
      </c>
      <c r="K29" s="122">
        <v>222.81059999999999</v>
      </c>
      <c r="L29" s="127"/>
      <c r="M29" s="127"/>
    </row>
    <row r="30" spans="2:13">
      <c r="B30" s="227" t="s">
        <v>200</v>
      </c>
      <c r="C30" s="216" t="s">
        <v>197</v>
      </c>
      <c r="D30" s="222"/>
      <c r="E30" s="222"/>
      <c r="F30" s="217" t="s">
        <v>130</v>
      </c>
      <c r="G30" s="217">
        <v>5</v>
      </c>
      <c r="H30" s="217" t="s">
        <v>54</v>
      </c>
      <c r="I30" s="217">
        <v>5</v>
      </c>
      <c r="J30" s="122">
        <v>222.81</v>
      </c>
      <c r="K30" s="122">
        <v>222.81</v>
      </c>
      <c r="L30" s="126">
        <f t="shared" ref="L30:M30" si="8">ABS(J30-J31)</f>
        <v>7.2000000000116415E-3</v>
      </c>
      <c r="M30" s="126">
        <f t="shared" si="8"/>
        <v>7.2000000000116415E-3</v>
      </c>
    </row>
    <row r="31" spans="2:13">
      <c r="B31" s="227" t="s">
        <v>129</v>
      </c>
      <c r="C31" s="216" t="s">
        <v>126</v>
      </c>
      <c r="D31" s="222"/>
      <c r="E31" s="222"/>
      <c r="F31" s="217" t="s">
        <v>130</v>
      </c>
      <c r="G31" s="217">
        <v>5</v>
      </c>
      <c r="H31" s="217" t="s">
        <v>54</v>
      </c>
      <c r="I31" s="217">
        <v>5</v>
      </c>
      <c r="J31" s="122">
        <v>222.80279999999999</v>
      </c>
      <c r="K31" s="122">
        <v>222.80279999999999</v>
      </c>
      <c r="L31" s="127"/>
      <c r="M31" s="127"/>
    </row>
    <row r="32" spans="2:13">
      <c r="B32" s="227" t="s">
        <v>205</v>
      </c>
      <c r="C32" s="216" t="s">
        <v>202</v>
      </c>
      <c r="D32" s="222"/>
      <c r="E32" s="222"/>
      <c r="F32" s="217" t="s">
        <v>135</v>
      </c>
      <c r="G32" s="217">
        <v>5</v>
      </c>
      <c r="H32" s="217" t="s">
        <v>54</v>
      </c>
      <c r="I32" s="217">
        <v>5</v>
      </c>
      <c r="J32" s="122">
        <v>222.85290000000001</v>
      </c>
      <c r="K32" s="122">
        <v>222.85290000000001</v>
      </c>
      <c r="L32" s="126">
        <f t="shared" ref="L32:M32" si="9">ABS(J32-J33)</f>
        <v>4.5100000000019236E-2</v>
      </c>
      <c r="M32" s="126">
        <f t="shared" si="9"/>
        <v>4.5100000000019236E-2</v>
      </c>
    </row>
    <row r="33" spans="2:13">
      <c r="B33" s="227" t="s">
        <v>134</v>
      </c>
      <c r="C33" s="216" t="s">
        <v>131</v>
      </c>
      <c r="D33" s="222"/>
      <c r="E33" s="222"/>
      <c r="F33" s="217" t="s">
        <v>135</v>
      </c>
      <c r="G33" s="217">
        <v>5</v>
      </c>
      <c r="H33" s="217" t="s">
        <v>54</v>
      </c>
      <c r="I33" s="217">
        <v>5</v>
      </c>
      <c r="J33" s="122">
        <v>222.80779999999999</v>
      </c>
      <c r="K33" s="122">
        <v>222.80779999999999</v>
      </c>
      <c r="L33" s="127"/>
      <c r="M33" s="127"/>
    </row>
    <row r="34" spans="2:13">
      <c r="B34" s="227" t="s">
        <v>150</v>
      </c>
      <c r="C34" s="216" t="s">
        <v>147</v>
      </c>
      <c r="D34" s="222"/>
      <c r="E34" s="222"/>
      <c r="F34" s="217" t="s">
        <v>69</v>
      </c>
      <c r="G34" s="217">
        <v>5</v>
      </c>
      <c r="H34" s="217" t="s">
        <v>54</v>
      </c>
      <c r="I34" s="217">
        <v>5</v>
      </c>
      <c r="J34" s="122">
        <v>222.79900000000001</v>
      </c>
      <c r="K34" s="122">
        <v>222.79900000000001</v>
      </c>
      <c r="L34" s="126">
        <f t="shared" ref="L34:M34" si="10">ABS(J34-J35)</f>
        <v>5.0000000001659828E-4</v>
      </c>
      <c r="M34" s="126">
        <f t="shared" si="10"/>
        <v>5.0000000001659828E-4</v>
      </c>
    </row>
    <row r="35" spans="2:13">
      <c r="B35" s="227" t="s">
        <v>68</v>
      </c>
      <c r="C35" s="216" t="s">
        <v>64</v>
      </c>
      <c r="D35" s="222"/>
      <c r="E35" s="222"/>
      <c r="F35" s="217" t="s">
        <v>69</v>
      </c>
      <c r="G35" s="217">
        <v>5</v>
      </c>
      <c r="H35" s="217" t="s">
        <v>54</v>
      </c>
      <c r="I35" s="217">
        <v>5</v>
      </c>
      <c r="J35" s="122">
        <v>222.79849999999999</v>
      </c>
      <c r="K35" s="122">
        <v>222.79849999999999</v>
      </c>
      <c r="L35" s="127"/>
      <c r="M35" s="127"/>
    </row>
    <row r="36" spans="2:13">
      <c r="B36" s="227" t="s">
        <v>155</v>
      </c>
      <c r="C36" s="216" t="s">
        <v>152</v>
      </c>
      <c r="D36" s="222"/>
      <c r="E36" s="222"/>
      <c r="F36" s="217" t="s">
        <v>76</v>
      </c>
      <c r="G36" s="217">
        <v>5</v>
      </c>
      <c r="H36" s="217" t="s">
        <v>54</v>
      </c>
      <c r="I36" s="217">
        <v>5</v>
      </c>
      <c r="J36" s="122">
        <v>222.84280000000001</v>
      </c>
      <c r="K36" s="122">
        <v>222.84280000000001</v>
      </c>
      <c r="L36" s="126">
        <f t="shared" ref="L36:M36" si="11">ABS(J36-J37)</f>
        <v>3.3500000000003638E-2</v>
      </c>
      <c r="M36" s="126">
        <f t="shared" si="11"/>
        <v>3.3500000000003638E-2</v>
      </c>
    </row>
    <row r="37" spans="2:13">
      <c r="B37" s="227" t="s">
        <v>75</v>
      </c>
      <c r="C37" s="216" t="s">
        <v>71</v>
      </c>
      <c r="D37" s="222"/>
      <c r="E37" s="222"/>
      <c r="F37" s="217" t="s">
        <v>76</v>
      </c>
      <c r="G37" s="217">
        <v>5</v>
      </c>
      <c r="H37" s="217" t="s">
        <v>54</v>
      </c>
      <c r="I37" s="217">
        <v>5</v>
      </c>
      <c r="J37" s="122">
        <v>222.80930000000001</v>
      </c>
      <c r="K37" s="122">
        <v>222.80930000000001</v>
      </c>
      <c r="L37" s="127"/>
      <c r="M37" s="127"/>
    </row>
    <row r="38" spans="2:13">
      <c r="B38" s="227" t="s">
        <v>160</v>
      </c>
      <c r="C38" s="216" t="s">
        <v>157</v>
      </c>
      <c r="D38" s="222"/>
      <c r="E38" s="222"/>
      <c r="F38" s="217" t="s">
        <v>82</v>
      </c>
      <c r="G38" s="217">
        <v>5</v>
      </c>
      <c r="H38" s="217" t="s">
        <v>54</v>
      </c>
      <c r="I38" s="217">
        <v>5</v>
      </c>
      <c r="J38" s="122">
        <v>222.85740000000001</v>
      </c>
      <c r="K38" s="122">
        <v>222.85740000000001</v>
      </c>
      <c r="L38" s="126">
        <f t="shared" ref="L38:M38" si="12">ABS(J38-J39)</f>
        <v>4.8400000000015098E-2</v>
      </c>
      <c r="M38" s="126">
        <f t="shared" si="12"/>
        <v>4.8400000000015098E-2</v>
      </c>
    </row>
    <row r="39" spans="2:13">
      <c r="B39" s="227" t="s">
        <v>81</v>
      </c>
      <c r="C39" s="216" t="s">
        <v>78</v>
      </c>
      <c r="D39" s="222"/>
      <c r="E39" s="222"/>
      <c r="F39" s="217" t="s">
        <v>82</v>
      </c>
      <c r="G39" s="217">
        <v>5</v>
      </c>
      <c r="H39" s="217" t="s">
        <v>54</v>
      </c>
      <c r="I39" s="217">
        <v>5</v>
      </c>
      <c r="J39" s="122">
        <v>222.809</v>
      </c>
      <c r="K39" s="122">
        <v>222.809</v>
      </c>
      <c r="L39" s="127"/>
      <c r="M39" s="127"/>
    </row>
    <row r="40" spans="2:13">
      <c r="B40" s="227" t="s">
        <v>165</v>
      </c>
      <c r="C40" s="216" t="s">
        <v>162</v>
      </c>
      <c r="D40" s="222"/>
      <c r="E40" s="222"/>
      <c r="F40" s="217" t="s">
        <v>88</v>
      </c>
      <c r="G40" s="217">
        <v>5</v>
      </c>
      <c r="H40" s="217" t="s">
        <v>54</v>
      </c>
      <c r="I40" s="217">
        <v>5</v>
      </c>
      <c r="J40" s="122">
        <v>222.81360000000001</v>
      </c>
      <c r="K40" s="122">
        <v>222.81360000000001</v>
      </c>
      <c r="L40" s="126">
        <f t="shared" ref="L40:M40" si="13">ABS(J40-J41)</f>
        <v>6.0000000001991793E-4</v>
      </c>
      <c r="M40" s="126">
        <f t="shared" si="13"/>
        <v>6.0000000001991793E-4</v>
      </c>
    </row>
    <row r="41" spans="2:13">
      <c r="B41" s="227" t="s">
        <v>87</v>
      </c>
      <c r="C41" s="216" t="s">
        <v>84</v>
      </c>
      <c r="D41" s="222"/>
      <c r="E41" s="222"/>
      <c r="F41" s="217" t="s">
        <v>88</v>
      </c>
      <c r="G41" s="217">
        <v>5</v>
      </c>
      <c r="H41" s="217" t="s">
        <v>54</v>
      </c>
      <c r="I41" s="217">
        <v>5</v>
      </c>
      <c r="J41" s="122">
        <v>222.81299999999999</v>
      </c>
      <c r="K41" s="122">
        <v>222.81299999999999</v>
      </c>
      <c r="L41" s="128"/>
      <c r="M41" s="128"/>
    </row>
  </sheetData>
  <phoneticPr fontId="3"/>
  <dataValidations count="4">
    <dataValidation type="list" allowBlank="1" showInputMessage="1" showErrorMessage="1" sqref="E14:E41" xr:uid="{8E7F2FEC-F17F-47E8-9140-B2E652F0968A}">
      <formula1>Diff_</formula1>
    </dataValidation>
    <dataValidation type="whole" operator="greaterThan" allowBlank="1" showInputMessage="1" showErrorMessage="1" sqref="F14:F41 D14:D41 H14:H41" xr:uid="{DABA0379-F124-465C-9707-7546DF90B712}">
      <formula1>0</formula1>
    </dataValidation>
    <dataValidation type="list" allowBlank="1" showInputMessage="1" showErrorMessage="1" sqref="I14:I41" xr:uid="{16CD6B8A-ADBA-41E8-BFED-8D844AB71CAA}">
      <formula1>Loop_back</formula1>
    </dataValidation>
    <dataValidation type="list" allowBlank="1" showInputMessage="1" showErrorMessage="1" sqref="G14:G41" xr:uid="{9B14F401-C405-4338-9513-57171A468DED}">
      <formula1>Match_</formula1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D45D-5DE5-4750-9A0E-9A902F03E1AF}">
  <sheetPr codeName="Sheet31"/>
  <dimension ref="B1:O28"/>
  <sheetViews>
    <sheetView zoomScale="70" zoomScaleNormal="70" workbookViewId="0"/>
  </sheetViews>
  <sheetFormatPr defaultColWidth="9" defaultRowHeight="14.25"/>
  <cols>
    <col min="1" max="1" width="13" style="26" customWidth="1"/>
    <col min="2" max="2" width="13.85546875" style="26" bestFit="1" customWidth="1"/>
    <col min="3" max="3" width="13.42578125" style="26" customWidth="1"/>
    <col min="4" max="8" width="9" style="26"/>
    <col min="9" max="9" width="10.42578125" style="26" bestFit="1" customWidth="1"/>
    <col min="10" max="11" width="13.140625" style="26" customWidth="1"/>
    <col min="12" max="15" width="10.5703125" style="26" customWidth="1"/>
    <col min="16" max="16384" width="9" style="26"/>
  </cols>
  <sheetData>
    <row r="1" spans="2:15" ht="25.5">
      <c r="B1" s="8" t="str">
        <f>SITE1!B1</f>
        <v>ITTO-620-0190 Meteor Lake PCH X4</v>
      </c>
      <c r="J1" s="7"/>
      <c r="K1" s="7">
        <v>44635</v>
      </c>
      <c r="O1" s="110"/>
    </row>
    <row r="2" spans="2:15" ht="20.25">
      <c r="B2" s="125" t="s">
        <v>6322</v>
      </c>
    </row>
    <row r="3" spans="2:15" ht="20.25">
      <c r="B3" s="13" t="s">
        <v>6323</v>
      </c>
    </row>
    <row r="4" spans="2:15" ht="20.25">
      <c r="B4" s="13"/>
      <c r="J4" s="26" t="s">
        <v>6315</v>
      </c>
    </row>
    <row r="5" spans="2:15" ht="20.25">
      <c r="B5" s="13"/>
      <c r="J5" s="5" t="s">
        <v>6291</v>
      </c>
      <c r="K5" s="27">
        <f>MAX(J14:K15)</f>
        <v>161.4282</v>
      </c>
    </row>
    <row r="6" spans="2:15" ht="20.25">
      <c r="B6" s="13"/>
      <c r="J6" s="5" t="s">
        <v>6292</v>
      </c>
      <c r="K6" s="27">
        <f>MIN(J14:K15)</f>
        <v>161.41380000000001</v>
      </c>
    </row>
    <row r="7" spans="2:15" ht="20.25">
      <c r="B7" s="13"/>
      <c r="J7" s="5" t="s">
        <v>6293</v>
      </c>
      <c r="K7" s="27">
        <f>K5-K6</f>
        <v>1.4399999999994861E-2</v>
      </c>
    </row>
    <row r="8" spans="2:15">
      <c r="J8" s="26" t="s">
        <v>6294</v>
      </c>
      <c r="K8" s="113">
        <f>I14</f>
        <v>10</v>
      </c>
    </row>
    <row r="9" spans="2:15">
      <c r="K9" s="112">
        <f>K8*0.0254</f>
        <v>0.254</v>
      </c>
    </row>
    <row r="10" spans="2:15">
      <c r="K10" s="111" t="str">
        <f>IF(K7&gt;K9,"Wrong","OK")</f>
        <v>OK</v>
      </c>
    </row>
    <row r="12" spans="2:15">
      <c r="J12" s="116" t="s">
        <v>6319</v>
      </c>
      <c r="K12" s="121"/>
    </row>
    <row r="13" spans="2:15" ht="90">
      <c r="B13" s="91" t="s">
        <v>19</v>
      </c>
      <c r="C13" s="91" t="s">
        <v>20</v>
      </c>
      <c r="D13" s="99" t="s">
        <v>29</v>
      </c>
      <c r="E13" s="100" t="s">
        <v>30</v>
      </c>
      <c r="F13" s="93" t="s">
        <v>31</v>
      </c>
      <c r="G13" s="93" t="s">
        <v>32</v>
      </c>
      <c r="H13" s="102" t="s">
        <v>34</v>
      </c>
      <c r="I13" s="103" t="s">
        <v>35</v>
      </c>
      <c r="J13" s="118" t="s">
        <v>10</v>
      </c>
      <c r="K13" s="118" t="s">
        <v>4127</v>
      </c>
    </row>
    <row r="14" spans="2:15">
      <c r="B14" s="131" t="s">
        <v>6324</v>
      </c>
      <c r="C14" s="216" t="s">
        <v>2803</v>
      </c>
      <c r="D14" s="222"/>
      <c r="E14" s="217"/>
      <c r="F14" s="217"/>
      <c r="G14" s="217"/>
      <c r="H14" s="217" t="s">
        <v>2808</v>
      </c>
      <c r="I14" s="217">
        <v>10</v>
      </c>
      <c r="J14" s="122">
        <v>161.4282</v>
      </c>
      <c r="K14" s="122">
        <v>161.4282</v>
      </c>
    </row>
    <row r="15" spans="2:15">
      <c r="B15" s="219" t="s">
        <v>2815</v>
      </c>
      <c r="C15" s="216" t="s">
        <v>2811</v>
      </c>
      <c r="D15" s="222"/>
      <c r="E15" s="217"/>
      <c r="F15" s="217"/>
      <c r="G15" s="217"/>
      <c r="H15" s="217" t="s">
        <v>2808</v>
      </c>
      <c r="I15" s="217">
        <v>10</v>
      </c>
      <c r="J15" s="122">
        <v>161.41380000000001</v>
      </c>
      <c r="K15" s="122">
        <v>161.41380000000001</v>
      </c>
    </row>
    <row r="17" spans="2:15" ht="20.25">
      <c r="B17" s="13"/>
      <c r="N17" s="111" t="s">
        <v>6289</v>
      </c>
    </row>
    <row r="18" spans="2:15" ht="20.25">
      <c r="B18" s="13"/>
      <c r="N18" s="5" t="s">
        <v>6291</v>
      </c>
      <c r="O18" s="27">
        <f>MAX(N27:O28)</f>
        <v>169.93549999999999</v>
      </c>
    </row>
    <row r="19" spans="2:15" ht="20.25">
      <c r="B19" s="13"/>
      <c r="N19" s="5" t="s">
        <v>6292</v>
      </c>
      <c r="O19" s="27">
        <f>MIN(N27:O28)</f>
        <v>168.1808</v>
      </c>
    </row>
    <row r="20" spans="2:15" ht="20.25">
      <c r="B20" s="13"/>
      <c r="N20" s="5" t="s">
        <v>6293</v>
      </c>
      <c r="O20" s="27">
        <f>O18-O19</f>
        <v>1.7546999999999855</v>
      </c>
    </row>
    <row r="21" spans="2:15">
      <c r="N21" s="26" t="s">
        <v>6294</v>
      </c>
      <c r="O21" s="113">
        <v>200</v>
      </c>
    </row>
    <row r="22" spans="2:15">
      <c r="O22" s="112">
        <f>O21*0.0254</f>
        <v>5.08</v>
      </c>
    </row>
    <row r="23" spans="2:15">
      <c r="O23" s="111" t="str">
        <f>IF(O20&gt;O22,"Wrong","OK")</f>
        <v>OK</v>
      </c>
    </row>
    <row r="24" spans="2:15">
      <c r="M24" s="111"/>
      <c r="N24" s="114"/>
    </row>
    <row r="25" spans="2:15">
      <c r="J25" s="116" t="s">
        <v>6325</v>
      </c>
      <c r="K25" s="121"/>
      <c r="L25" s="116" t="s">
        <v>6326</v>
      </c>
      <c r="M25" s="117"/>
      <c r="N25" s="116" t="s">
        <v>6298</v>
      </c>
      <c r="O25" s="121"/>
    </row>
    <row r="26" spans="2:15" ht="90">
      <c r="B26" s="91" t="s">
        <v>19</v>
      </c>
      <c r="C26" s="91" t="s">
        <v>20</v>
      </c>
      <c r="D26" s="99" t="s">
        <v>29</v>
      </c>
      <c r="E26" s="100" t="s">
        <v>30</v>
      </c>
      <c r="F26" s="93" t="s">
        <v>31</v>
      </c>
      <c r="G26" s="93" t="s">
        <v>32</v>
      </c>
      <c r="H26" s="102" t="s">
        <v>34</v>
      </c>
      <c r="I26" s="103" t="s">
        <v>35</v>
      </c>
      <c r="J26" s="118" t="s">
        <v>10</v>
      </c>
      <c r="K26" s="118" t="s">
        <v>4127</v>
      </c>
      <c r="L26" s="118" t="s">
        <v>10</v>
      </c>
      <c r="M26" s="118" t="s">
        <v>4127</v>
      </c>
      <c r="N26" s="118" t="s">
        <v>10</v>
      </c>
      <c r="O26" s="118" t="s">
        <v>4127</v>
      </c>
    </row>
    <row r="27" spans="2:15">
      <c r="B27" s="132" t="s">
        <v>6327</v>
      </c>
      <c r="C27" s="216" t="s">
        <v>4101</v>
      </c>
      <c r="D27" s="222"/>
      <c r="E27" s="217"/>
      <c r="F27" s="217"/>
      <c r="G27" s="217"/>
      <c r="H27" s="217"/>
      <c r="I27" s="217"/>
      <c r="J27" s="122">
        <v>67.691800000000001</v>
      </c>
      <c r="K27" s="122">
        <v>67.691800000000001</v>
      </c>
      <c r="L27" s="122">
        <v>102.2437</v>
      </c>
      <c r="M27" s="122">
        <v>102.2437</v>
      </c>
      <c r="N27" s="122">
        <f>SUM(J27,L27)</f>
        <v>169.93549999999999</v>
      </c>
      <c r="O27" s="122">
        <f>SUM(K27,M27)</f>
        <v>169.93549999999999</v>
      </c>
    </row>
    <row r="28" spans="2:15">
      <c r="B28" s="226" t="s">
        <v>4114</v>
      </c>
      <c r="C28" s="216" t="s">
        <v>4111</v>
      </c>
      <c r="D28" s="222"/>
      <c r="E28" s="217"/>
      <c r="F28" s="217"/>
      <c r="G28" s="217"/>
      <c r="H28" s="217"/>
      <c r="I28" s="217"/>
      <c r="J28" s="122">
        <v>168.1808</v>
      </c>
      <c r="K28" s="122">
        <v>168.1808</v>
      </c>
      <c r="L28" s="133" t="s">
        <v>605</v>
      </c>
      <c r="M28" s="133" t="s">
        <v>605</v>
      </c>
      <c r="N28" s="122">
        <f>SUM(J28,L28)</f>
        <v>168.1808</v>
      </c>
      <c r="O28" s="122">
        <f>SUM(K28,M28)</f>
        <v>168.1808</v>
      </c>
    </row>
  </sheetData>
  <phoneticPr fontId="3"/>
  <dataValidations disablePrompts="1" count="4">
    <dataValidation type="list" allowBlank="1" showInputMessage="1" showErrorMessage="1" sqref="E14:E15 E27:E28" xr:uid="{39FD5C56-6C24-4122-B95A-A7DD671780AF}">
      <formula1>Diff_</formula1>
    </dataValidation>
    <dataValidation type="whole" operator="greaterThan" allowBlank="1" showInputMessage="1" showErrorMessage="1" sqref="D14:D15 H14:H15 F14:F15 D27:D28 H27:H28 F27:F28" xr:uid="{0DFED022-5AEE-4AB7-8001-1C39EF76FC51}">
      <formula1>0</formula1>
    </dataValidation>
    <dataValidation type="list" allowBlank="1" showInputMessage="1" showErrorMessage="1" sqref="I14:I15 I27:I28" xr:uid="{9F42E328-5776-4F92-AB02-BE61C29AD39F}">
      <formula1>Loop_back</formula1>
    </dataValidation>
    <dataValidation type="list" allowBlank="1" showInputMessage="1" showErrorMessage="1" sqref="G14:G15 G27:G28" xr:uid="{0172AB55-63FB-41FC-83A8-781CF4B873D1}">
      <formula1>Match_</formula1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1508-7C10-4F97-B601-70DD3F37C75E}">
  <sheetPr codeName="Sheet30"/>
  <dimension ref="B1:K47"/>
  <sheetViews>
    <sheetView zoomScale="70" zoomScaleNormal="70" workbookViewId="0"/>
  </sheetViews>
  <sheetFormatPr defaultColWidth="9" defaultRowHeight="14.25"/>
  <cols>
    <col min="1" max="1" width="13" style="26" customWidth="1"/>
    <col min="2" max="2" width="39.42578125" style="26" customWidth="1"/>
    <col min="3" max="3" width="13.42578125" style="26" bestFit="1" customWidth="1"/>
    <col min="4" max="8" width="9" style="26"/>
    <col min="9" max="9" width="10.42578125" style="26" bestFit="1" customWidth="1"/>
    <col min="10" max="11" width="11.5703125" style="26" customWidth="1"/>
    <col min="12" max="16384" width="9" style="26"/>
  </cols>
  <sheetData>
    <row r="1" spans="2:11" ht="25.5">
      <c r="B1" s="8" t="str">
        <f>SITE1!B1</f>
        <v>ITTO-620-0190 Meteor Lake PCH X4</v>
      </c>
      <c r="K1" s="7">
        <v>44635</v>
      </c>
    </row>
    <row r="2" spans="2:11" ht="20.25">
      <c r="B2" s="125" t="s">
        <v>6328</v>
      </c>
    </row>
    <row r="3" spans="2:11" ht="20.25">
      <c r="B3" s="13"/>
    </row>
    <row r="4" spans="2:11" ht="20.25">
      <c r="B4" s="13"/>
      <c r="J4" s="26" t="s">
        <v>6311</v>
      </c>
    </row>
    <row r="5" spans="2:11" ht="20.25">
      <c r="B5" s="13"/>
      <c r="J5" s="5" t="s">
        <v>6291</v>
      </c>
      <c r="K5" s="27">
        <f>MAX(J14:K47)</f>
        <v>194.85310000000001</v>
      </c>
    </row>
    <row r="6" spans="2:11" ht="20.25">
      <c r="B6" s="13"/>
      <c r="J6" s="5" t="s">
        <v>6292</v>
      </c>
      <c r="K6" s="27">
        <f>MIN(J14:K47)</f>
        <v>165.04329999999999</v>
      </c>
    </row>
    <row r="7" spans="2:11" ht="20.25">
      <c r="B7" s="13"/>
      <c r="J7" s="5" t="s">
        <v>6293</v>
      </c>
      <c r="K7" s="27">
        <f>K5-K6</f>
        <v>29.809800000000024</v>
      </c>
    </row>
    <row r="8" spans="2:11">
      <c r="J8" s="26" t="s">
        <v>6294</v>
      </c>
      <c r="K8" s="113">
        <f>I14*2</f>
        <v>3000</v>
      </c>
    </row>
    <row r="9" spans="2:11">
      <c r="K9" s="112">
        <f>K8*0.0254</f>
        <v>76.2</v>
      </c>
    </row>
    <row r="10" spans="2:11">
      <c r="K10" s="111" t="str">
        <f>IF(K7&gt;K9,"Wrong","OK")</f>
        <v>OK</v>
      </c>
    </row>
    <row r="12" spans="2:11">
      <c r="J12" s="116" t="s">
        <v>6313</v>
      </c>
      <c r="K12" s="121"/>
    </row>
    <row r="13" spans="2:11" ht="90">
      <c r="B13" s="91" t="s">
        <v>19</v>
      </c>
      <c r="C13" s="91" t="s">
        <v>20</v>
      </c>
      <c r="D13" s="99" t="s">
        <v>29</v>
      </c>
      <c r="E13" s="100" t="s">
        <v>30</v>
      </c>
      <c r="F13" s="93" t="s">
        <v>31</v>
      </c>
      <c r="G13" s="93" t="s">
        <v>32</v>
      </c>
      <c r="H13" s="102" t="s">
        <v>34</v>
      </c>
      <c r="I13" s="103" t="s">
        <v>35</v>
      </c>
      <c r="J13" s="118" t="s">
        <v>10</v>
      </c>
      <c r="K13" s="118" t="s">
        <v>4127</v>
      </c>
    </row>
    <row r="14" spans="2:11">
      <c r="B14" s="224" t="s">
        <v>1166</v>
      </c>
      <c r="C14" s="216" t="s">
        <v>1163</v>
      </c>
      <c r="D14" s="222"/>
      <c r="E14" s="217"/>
      <c r="F14" s="222"/>
      <c r="G14" s="217"/>
      <c r="H14" s="217" t="s">
        <v>1167</v>
      </c>
      <c r="I14" s="217">
        <v>1500</v>
      </c>
      <c r="J14" s="122">
        <v>184.41470000000001</v>
      </c>
      <c r="K14" s="122">
        <v>184.41470000000001</v>
      </c>
    </row>
    <row r="15" spans="2:11">
      <c r="B15" s="224" t="s">
        <v>1172</v>
      </c>
      <c r="C15" s="216" t="s">
        <v>1169</v>
      </c>
      <c r="D15" s="222"/>
      <c r="E15" s="217"/>
      <c r="F15" s="222"/>
      <c r="G15" s="217"/>
      <c r="H15" s="217" t="s">
        <v>1167</v>
      </c>
      <c r="I15" s="217">
        <v>1500</v>
      </c>
      <c r="J15" s="122">
        <v>173.70060000000001</v>
      </c>
      <c r="K15" s="122">
        <v>173.70060000000001</v>
      </c>
    </row>
    <row r="16" spans="2:11">
      <c r="B16" s="224" t="s">
        <v>1177</v>
      </c>
      <c r="C16" s="216" t="s">
        <v>1174</v>
      </c>
      <c r="D16" s="222"/>
      <c r="E16" s="217"/>
      <c r="F16" s="222"/>
      <c r="G16" s="217"/>
      <c r="H16" s="217" t="s">
        <v>1167</v>
      </c>
      <c r="I16" s="217">
        <v>1500</v>
      </c>
      <c r="J16" s="122">
        <v>171.94159999999999</v>
      </c>
      <c r="K16" s="122">
        <v>171.94159999999999</v>
      </c>
    </row>
    <row r="17" spans="2:11">
      <c r="B17" s="224" t="s">
        <v>1182</v>
      </c>
      <c r="C17" s="216" t="s">
        <v>1179</v>
      </c>
      <c r="D17" s="222"/>
      <c r="E17" s="217"/>
      <c r="F17" s="222"/>
      <c r="G17" s="217"/>
      <c r="H17" s="217" t="s">
        <v>1167</v>
      </c>
      <c r="I17" s="217">
        <v>1500</v>
      </c>
      <c r="J17" s="122">
        <v>175.5478</v>
      </c>
      <c r="K17" s="122">
        <v>175.5478</v>
      </c>
    </row>
    <row r="18" spans="2:11">
      <c r="B18" s="224" t="s">
        <v>1187</v>
      </c>
      <c r="C18" s="216" t="s">
        <v>1184</v>
      </c>
      <c r="D18" s="222"/>
      <c r="E18" s="217"/>
      <c r="F18" s="222"/>
      <c r="G18" s="217"/>
      <c r="H18" s="217" t="s">
        <v>1167</v>
      </c>
      <c r="I18" s="217">
        <v>1500</v>
      </c>
      <c r="J18" s="122">
        <v>165.3777</v>
      </c>
      <c r="K18" s="122">
        <v>165.3777</v>
      </c>
    </row>
    <row r="19" spans="2:11">
      <c r="B19" s="224" t="s">
        <v>1192</v>
      </c>
      <c r="C19" s="216" t="s">
        <v>1189</v>
      </c>
      <c r="D19" s="222"/>
      <c r="E19" s="217"/>
      <c r="F19" s="222"/>
      <c r="G19" s="217"/>
      <c r="H19" s="217" t="s">
        <v>1167</v>
      </c>
      <c r="I19" s="217">
        <v>1500</v>
      </c>
      <c r="J19" s="122">
        <v>172.89189999999999</v>
      </c>
      <c r="K19" s="122">
        <v>172.89189999999999</v>
      </c>
    </row>
    <row r="20" spans="2:11">
      <c r="B20" s="224" t="s">
        <v>1197</v>
      </c>
      <c r="C20" s="216" t="s">
        <v>1194</v>
      </c>
      <c r="D20" s="222"/>
      <c r="E20" s="217"/>
      <c r="F20" s="222"/>
      <c r="G20" s="217"/>
      <c r="H20" s="217" t="s">
        <v>1167</v>
      </c>
      <c r="I20" s="217">
        <v>1500</v>
      </c>
      <c r="J20" s="122">
        <v>169.0789</v>
      </c>
      <c r="K20" s="122">
        <v>169.0789</v>
      </c>
    </row>
    <row r="21" spans="2:11">
      <c r="B21" s="224" t="s">
        <v>1202</v>
      </c>
      <c r="C21" s="216" t="s">
        <v>1199</v>
      </c>
      <c r="D21" s="5"/>
      <c r="E21" s="5"/>
      <c r="F21" s="5"/>
      <c r="G21" s="5"/>
      <c r="H21" s="217" t="s">
        <v>1167</v>
      </c>
      <c r="I21" s="217">
        <v>1500</v>
      </c>
      <c r="J21" s="122">
        <v>194.85310000000001</v>
      </c>
      <c r="K21" s="122">
        <v>194.85310000000001</v>
      </c>
    </row>
    <row r="22" spans="2:11">
      <c r="B22" s="224" t="s">
        <v>1207</v>
      </c>
      <c r="C22" s="216" t="s">
        <v>1204</v>
      </c>
      <c r="D22" s="5"/>
      <c r="E22" s="5"/>
      <c r="F22" s="5"/>
      <c r="G22" s="5"/>
      <c r="H22" s="217" t="s">
        <v>1167</v>
      </c>
      <c r="I22" s="217">
        <v>1500</v>
      </c>
      <c r="J22" s="122">
        <v>181.37020000000001</v>
      </c>
      <c r="K22" s="122">
        <v>181.37020000000001</v>
      </c>
    </row>
    <row r="23" spans="2:11">
      <c r="B23" s="224" t="s">
        <v>1217</v>
      </c>
      <c r="C23" s="216" t="s">
        <v>1214</v>
      </c>
      <c r="D23" s="5"/>
      <c r="E23" s="5"/>
      <c r="F23" s="5"/>
      <c r="G23" s="5"/>
      <c r="H23" s="217" t="s">
        <v>1167</v>
      </c>
      <c r="I23" s="217">
        <v>1500</v>
      </c>
      <c r="J23" s="122">
        <v>165.04329999999999</v>
      </c>
      <c r="K23" s="122">
        <v>165.04329999999999</v>
      </c>
    </row>
    <row r="24" spans="2:11">
      <c r="B24" s="224" t="s">
        <v>1222</v>
      </c>
      <c r="C24" s="216" t="s">
        <v>1219</v>
      </c>
      <c r="D24" s="5"/>
      <c r="E24" s="5"/>
      <c r="F24" s="5"/>
      <c r="G24" s="5"/>
      <c r="H24" s="217" t="s">
        <v>1167</v>
      </c>
      <c r="I24" s="217">
        <v>1500</v>
      </c>
      <c r="J24" s="122">
        <v>176.5249</v>
      </c>
      <c r="K24" s="122">
        <v>176.5249</v>
      </c>
    </row>
    <row r="25" spans="2:11">
      <c r="B25" s="224" t="s">
        <v>1227</v>
      </c>
      <c r="C25" s="216" t="s">
        <v>1224</v>
      </c>
      <c r="D25" s="5"/>
      <c r="E25" s="5"/>
      <c r="F25" s="5"/>
      <c r="G25" s="5"/>
      <c r="H25" s="217" t="s">
        <v>1167</v>
      </c>
      <c r="I25" s="217">
        <v>1500</v>
      </c>
      <c r="J25" s="122">
        <v>171.4503</v>
      </c>
      <c r="K25" s="122">
        <v>171.4503</v>
      </c>
    </row>
    <row r="26" spans="2:11">
      <c r="B26" s="224" t="s">
        <v>1232</v>
      </c>
      <c r="C26" s="216" t="s">
        <v>1229</v>
      </c>
      <c r="D26" s="5"/>
      <c r="E26" s="5"/>
      <c r="F26" s="5"/>
      <c r="G26" s="5"/>
      <c r="H26" s="217" t="s">
        <v>1167</v>
      </c>
      <c r="I26" s="217">
        <v>1500</v>
      </c>
      <c r="J26" s="122">
        <v>165.1241</v>
      </c>
      <c r="K26" s="122">
        <v>165.1241</v>
      </c>
    </row>
    <row r="27" spans="2:11">
      <c r="B27" s="224" t="s">
        <v>1237</v>
      </c>
      <c r="C27" s="216" t="s">
        <v>1234</v>
      </c>
      <c r="D27" s="5"/>
      <c r="E27" s="5"/>
      <c r="F27" s="5"/>
      <c r="G27" s="5"/>
      <c r="H27" s="217" t="s">
        <v>1167</v>
      </c>
      <c r="I27" s="217">
        <v>1500</v>
      </c>
      <c r="J27" s="122">
        <v>166.85720000000001</v>
      </c>
      <c r="K27" s="122">
        <v>166.85720000000001</v>
      </c>
    </row>
    <row r="28" spans="2:11">
      <c r="B28" s="224" t="s">
        <v>1242</v>
      </c>
      <c r="C28" s="216" t="s">
        <v>1239</v>
      </c>
      <c r="D28" s="5"/>
      <c r="E28" s="5"/>
      <c r="F28" s="5"/>
      <c r="G28" s="5"/>
      <c r="H28" s="217" t="s">
        <v>1167</v>
      </c>
      <c r="I28" s="217">
        <v>1500</v>
      </c>
      <c r="J28" s="122">
        <v>173.452</v>
      </c>
      <c r="K28" s="122">
        <v>173.452</v>
      </c>
    </row>
    <row r="29" spans="2:11">
      <c r="B29" s="224" t="s">
        <v>1247</v>
      </c>
      <c r="C29" s="216" t="s">
        <v>1244</v>
      </c>
      <c r="D29" s="5"/>
      <c r="E29" s="5"/>
      <c r="F29" s="5"/>
      <c r="G29" s="5"/>
      <c r="H29" s="217" t="s">
        <v>1167</v>
      </c>
      <c r="I29" s="217">
        <v>1500</v>
      </c>
      <c r="J29" s="122">
        <v>172.20070000000001</v>
      </c>
      <c r="K29" s="122">
        <v>172.20070000000001</v>
      </c>
    </row>
    <row r="30" spans="2:11">
      <c r="B30" s="224" t="s">
        <v>1252</v>
      </c>
      <c r="C30" s="216" t="s">
        <v>1249</v>
      </c>
      <c r="D30" s="5"/>
      <c r="E30" s="5"/>
      <c r="F30" s="5"/>
      <c r="G30" s="5"/>
      <c r="H30" s="217" t="s">
        <v>1167</v>
      </c>
      <c r="I30" s="217">
        <v>1500</v>
      </c>
      <c r="J30" s="122">
        <v>174.15289999999999</v>
      </c>
      <c r="K30" s="122">
        <v>174.15289999999999</v>
      </c>
    </row>
    <row r="31" spans="2:11">
      <c r="B31" s="224" t="s">
        <v>1257</v>
      </c>
      <c r="C31" s="216" t="s">
        <v>1254</v>
      </c>
      <c r="D31" s="5"/>
      <c r="E31" s="5"/>
      <c r="F31" s="5"/>
      <c r="G31" s="5"/>
      <c r="H31" s="217" t="s">
        <v>1167</v>
      </c>
      <c r="I31" s="217">
        <v>1500</v>
      </c>
      <c r="J31" s="122">
        <v>169.8691</v>
      </c>
      <c r="K31" s="122">
        <v>169.8691</v>
      </c>
    </row>
    <row r="32" spans="2:11">
      <c r="B32" s="224" t="s">
        <v>1262</v>
      </c>
      <c r="C32" s="216" t="s">
        <v>1259</v>
      </c>
      <c r="D32" s="5"/>
      <c r="E32" s="5"/>
      <c r="F32" s="5"/>
      <c r="G32" s="5"/>
      <c r="H32" s="217" t="s">
        <v>1167</v>
      </c>
      <c r="I32" s="217">
        <v>1500</v>
      </c>
      <c r="J32" s="122">
        <v>166.13470000000001</v>
      </c>
      <c r="K32" s="122">
        <v>166.13470000000001</v>
      </c>
    </row>
    <row r="33" spans="2:11">
      <c r="B33" s="224" t="s">
        <v>1267</v>
      </c>
      <c r="C33" s="216" t="s">
        <v>1264</v>
      </c>
      <c r="D33" s="5"/>
      <c r="E33" s="5"/>
      <c r="F33" s="5"/>
      <c r="G33" s="5"/>
      <c r="H33" s="217" t="s">
        <v>1167</v>
      </c>
      <c r="I33" s="217">
        <v>1500</v>
      </c>
      <c r="J33" s="122">
        <v>165.53559999999999</v>
      </c>
      <c r="K33" s="122">
        <v>165.53559999999999</v>
      </c>
    </row>
    <row r="34" spans="2:11">
      <c r="B34" s="224" t="s">
        <v>1272</v>
      </c>
      <c r="C34" s="216" t="s">
        <v>1269</v>
      </c>
      <c r="D34" s="5"/>
      <c r="E34" s="5"/>
      <c r="F34" s="5"/>
      <c r="G34" s="5"/>
      <c r="H34" s="217" t="s">
        <v>1167</v>
      </c>
      <c r="I34" s="217">
        <v>1500</v>
      </c>
      <c r="J34" s="122">
        <v>180.38800000000001</v>
      </c>
      <c r="K34" s="122">
        <v>180.38800000000001</v>
      </c>
    </row>
    <row r="35" spans="2:11">
      <c r="B35" s="225" t="s">
        <v>1287</v>
      </c>
      <c r="C35" s="216" t="s">
        <v>1284</v>
      </c>
      <c r="D35" s="5"/>
      <c r="E35" s="5"/>
      <c r="F35" s="5"/>
      <c r="G35" s="5"/>
      <c r="H35" s="217" t="s">
        <v>1167</v>
      </c>
      <c r="I35" s="217">
        <v>1500</v>
      </c>
      <c r="J35" s="122">
        <v>185.45529999999999</v>
      </c>
      <c r="K35" s="122">
        <v>185.45529999999999</v>
      </c>
    </row>
    <row r="36" spans="2:11">
      <c r="B36" s="225" t="s">
        <v>1292</v>
      </c>
      <c r="C36" s="216" t="s">
        <v>1289</v>
      </c>
      <c r="D36" s="5"/>
      <c r="E36" s="5"/>
      <c r="F36" s="5"/>
      <c r="G36" s="5"/>
      <c r="H36" s="217" t="s">
        <v>1167</v>
      </c>
      <c r="I36" s="217">
        <v>1500</v>
      </c>
      <c r="J36" s="122">
        <v>172.25909999999999</v>
      </c>
      <c r="K36" s="122">
        <v>172.25909999999999</v>
      </c>
    </row>
    <row r="37" spans="2:11">
      <c r="B37" s="225" t="s">
        <v>1297</v>
      </c>
      <c r="C37" s="216" t="s">
        <v>1294</v>
      </c>
      <c r="D37" s="5"/>
      <c r="E37" s="5"/>
      <c r="F37" s="5"/>
      <c r="G37" s="5"/>
      <c r="H37" s="217" t="s">
        <v>1167</v>
      </c>
      <c r="I37" s="217">
        <v>1500</v>
      </c>
      <c r="J37" s="122">
        <v>179.08</v>
      </c>
      <c r="K37" s="122">
        <v>179.08</v>
      </c>
    </row>
    <row r="38" spans="2:11">
      <c r="B38" s="225" t="s">
        <v>1302</v>
      </c>
      <c r="C38" s="216" t="s">
        <v>1299</v>
      </c>
      <c r="D38" s="5"/>
      <c r="E38" s="5"/>
      <c r="F38" s="5"/>
      <c r="G38" s="5"/>
      <c r="H38" s="217" t="s">
        <v>1167</v>
      </c>
      <c r="I38" s="217">
        <v>1500</v>
      </c>
      <c r="J38" s="122">
        <v>185.74950000000001</v>
      </c>
      <c r="K38" s="122">
        <v>185.74950000000001</v>
      </c>
    </row>
    <row r="39" spans="2:11">
      <c r="B39" s="225" t="s">
        <v>1307</v>
      </c>
      <c r="C39" s="216" t="s">
        <v>1304</v>
      </c>
      <c r="D39" s="5"/>
      <c r="E39" s="5"/>
      <c r="F39" s="5"/>
      <c r="G39" s="5"/>
      <c r="H39" s="217" t="s">
        <v>1167</v>
      </c>
      <c r="I39" s="217">
        <v>1500</v>
      </c>
      <c r="J39" s="122">
        <v>165.75810000000001</v>
      </c>
      <c r="K39" s="122">
        <v>165.75810000000001</v>
      </c>
    </row>
    <row r="40" spans="2:11">
      <c r="B40" s="225" t="s">
        <v>1312</v>
      </c>
      <c r="C40" s="216" t="s">
        <v>1309</v>
      </c>
      <c r="D40" s="5"/>
      <c r="E40" s="5"/>
      <c r="F40" s="5"/>
      <c r="G40" s="5"/>
      <c r="H40" s="217" t="s">
        <v>1167</v>
      </c>
      <c r="I40" s="217">
        <v>1500</v>
      </c>
      <c r="J40" s="122">
        <v>170.5472</v>
      </c>
      <c r="K40" s="122">
        <v>170.5472</v>
      </c>
    </row>
    <row r="41" spans="2:11">
      <c r="B41" s="225" t="s">
        <v>1317</v>
      </c>
      <c r="C41" s="216" t="s">
        <v>1314</v>
      </c>
      <c r="D41" s="5"/>
      <c r="E41" s="5"/>
      <c r="F41" s="5"/>
      <c r="G41" s="5"/>
      <c r="H41" s="217" t="s">
        <v>1167</v>
      </c>
      <c r="I41" s="217">
        <v>1500</v>
      </c>
      <c r="J41" s="122">
        <v>182.4742</v>
      </c>
      <c r="K41" s="122">
        <v>182.4742</v>
      </c>
    </row>
    <row r="42" spans="2:11">
      <c r="B42" s="225" t="s">
        <v>1322</v>
      </c>
      <c r="C42" s="216" t="s">
        <v>1319</v>
      </c>
      <c r="D42" s="5"/>
      <c r="E42" s="5"/>
      <c r="F42" s="5"/>
      <c r="G42" s="5"/>
      <c r="H42" s="217" t="s">
        <v>1167</v>
      </c>
      <c r="I42" s="217">
        <v>1500</v>
      </c>
      <c r="J42" s="122">
        <v>184.21469999999999</v>
      </c>
      <c r="K42" s="122">
        <v>184.21469999999999</v>
      </c>
    </row>
    <row r="43" spans="2:11">
      <c r="B43" s="225" t="s">
        <v>1327</v>
      </c>
      <c r="C43" s="216" t="s">
        <v>1324</v>
      </c>
      <c r="D43" s="5"/>
      <c r="E43" s="5"/>
      <c r="F43" s="5"/>
      <c r="G43" s="5"/>
      <c r="H43" s="217" t="s">
        <v>1167</v>
      </c>
      <c r="I43" s="217">
        <v>1500</v>
      </c>
      <c r="J43" s="122">
        <v>170.77199999999999</v>
      </c>
      <c r="K43" s="122">
        <v>170.77199999999999</v>
      </c>
    </row>
    <row r="44" spans="2:11">
      <c r="B44" s="225" t="s">
        <v>1332</v>
      </c>
      <c r="C44" s="216" t="s">
        <v>1329</v>
      </c>
      <c r="D44" s="5"/>
      <c r="E44" s="5"/>
      <c r="F44" s="5"/>
      <c r="G44" s="5"/>
      <c r="H44" s="217" t="s">
        <v>1167</v>
      </c>
      <c r="I44" s="217">
        <v>1500</v>
      </c>
      <c r="J44" s="122">
        <v>179.25479999999999</v>
      </c>
      <c r="K44" s="122">
        <v>179.25479999999999</v>
      </c>
    </row>
    <row r="45" spans="2:11">
      <c r="B45" s="225" t="s">
        <v>1382</v>
      </c>
      <c r="C45" s="216" t="s">
        <v>1379</v>
      </c>
      <c r="D45" s="5"/>
      <c r="E45" s="5"/>
      <c r="F45" s="5"/>
      <c r="G45" s="5"/>
      <c r="H45" s="217" t="s">
        <v>1167</v>
      </c>
      <c r="I45" s="217">
        <v>1500</v>
      </c>
      <c r="J45" s="122">
        <v>170.01509999999999</v>
      </c>
      <c r="K45" s="122">
        <v>170.01509999999999</v>
      </c>
    </row>
    <row r="46" spans="2:11">
      <c r="B46" s="225" t="s">
        <v>1387</v>
      </c>
      <c r="C46" s="216" t="s">
        <v>1384</v>
      </c>
      <c r="D46" s="5"/>
      <c r="E46" s="5"/>
      <c r="F46" s="5"/>
      <c r="G46" s="5"/>
      <c r="H46" s="217" t="s">
        <v>1167</v>
      </c>
      <c r="I46" s="217">
        <v>1500</v>
      </c>
      <c r="J46" s="122">
        <v>175.8262</v>
      </c>
      <c r="K46" s="122">
        <v>175.8262</v>
      </c>
    </row>
    <row r="47" spans="2:11">
      <c r="B47" s="225" t="s">
        <v>1392</v>
      </c>
      <c r="C47" s="216" t="s">
        <v>1389</v>
      </c>
      <c r="D47" s="5"/>
      <c r="E47" s="5"/>
      <c r="F47" s="5"/>
      <c r="G47" s="5"/>
      <c r="H47" s="217" t="s">
        <v>1167</v>
      </c>
      <c r="I47" s="217">
        <v>1500</v>
      </c>
      <c r="J47" s="122">
        <v>173.7852</v>
      </c>
      <c r="K47" s="122">
        <v>173.7852</v>
      </c>
    </row>
  </sheetData>
  <phoneticPr fontId="3"/>
  <dataValidations count="4">
    <dataValidation type="list" allowBlank="1" showInputMessage="1" showErrorMessage="1" sqref="E14:E15" xr:uid="{B9CE5A4E-AAB2-4B7E-AE07-BA8FC6EC5288}">
      <formula1>Diff_</formula1>
    </dataValidation>
    <dataValidation type="whole" operator="greaterThan" allowBlank="1" showInputMessage="1" showErrorMessage="1" sqref="F14:F15 D14:D15 H14:H15" xr:uid="{27721209-B559-4F60-9F30-3BAC06FEA2A1}">
      <formula1>0</formula1>
    </dataValidation>
    <dataValidation type="list" allowBlank="1" showInputMessage="1" showErrorMessage="1" sqref="I14:I15" xr:uid="{ACF66B4A-4FDB-4CAB-A060-C1F6E1D1B8B9}">
      <formula1>Loop_back</formula1>
    </dataValidation>
    <dataValidation type="list" allowBlank="1" showInputMessage="1" showErrorMessage="1" sqref="G14:G15" xr:uid="{95175D14-F9C1-4068-A8E6-3E25B09E1A0D}">
      <formula1>Match_</formula1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38E7-5602-480C-8FC5-A10027DA4CD0}">
  <sheetPr codeName="Sheet36"/>
  <dimension ref="B1:K47"/>
  <sheetViews>
    <sheetView zoomScale="70" zoomScaleNormal="70" workbookViewId="0"/>
  </sheetViews>
  <sheetFormatPr defaultColWidth="9" defaultRowHeight="14.25"/>
  <cols>
    <col min="1" max="1" width="13" style="26" customWidth="1"/>
    <col min="2" max="2" width="39.42578125" style="26" customWidth="1"/>
    <col min="3" max="3" width="13.42578125" style="26" bestFit="1" customWidth="1"/>
    <col min="4" max="8" width="9" style="26"/>
    <col min="9" max="9" width="10.42578125" style="26" bestFit="1" customWidth="1"/>
    <col min="10" max="11" width="11.5703125" style="26" customWidth="1"/>
    <col min="12" max="16384" width="9" style="26"/>
  </cols>
  <sheetData>
    <row r="1" spans="2:11" ht="25.5">
      <c r="B1" s="8" t="str">
        <f>SITE1!B1</f>
        <v>ITTO-620-0190 Meteor Lake PCH X4</v>
      </c>
      <c r="K1" s="7">
        <v>44635</v>
      </c>
    </row>
    <row r="2" spans="2:11" ht="20.25">
      <c r="B2" s="125" t="s">
        <v>6329</v>
      </c>
    </row>
    <row r="3" spans="2:11" ht="20.25">
      <c r="B3" s="13"/>
    </row>
    <row r="4" spans="2:11" ht="20.25">
      <c r="B4" s="13"/>
      <c r="J4" s="26" t="s">
        <v>6311</v>
      </c>
    </row>
    <row r="5" spans="2:11" ht="20.25">
      <c r="B5" s="13"/>
      <c r="J5" s="5" t="s">
        <v>6291</v>
      </c>
      <c r="K5" s="27">
        <f>MAX(J14:K47)</f>
        <v>214.69759999999999</v>
      </c>
    </row>
    <row r="6" spans="2:11" ht="20.25">
      <c r="B6" s="13"/>
      <c r="J6" s="5" t="s">
        <v>6292</v>
      </c>
      <c r="K6" s="27">
        <f>MIN(J14:K47)</f>
        <v>185.2544</v>
      </c>
    </row>
    <row r="7" spans="2:11" ht="20.25">
      <c r="B7" s="13"/>
      <c r="J7" s="5" t="s">
        <v>6293</v>
      </c>
      <c r="K7" s="27">
        <f>K5-K6</f>
        <v>29.44319999999999</v>
      </c>
    </row>
    <row r="8" spans="2:11">
      <c r="J8" s="26" t="s">
        <v>6294</v>
      </c>
      <c r="K8" s="113">
        <f>I14*2</f>
        <v>3000</v>
      </c>
    </row>
    <row r="9" spans="2:11">
      <c r="K9" s="112">
        <f>K8*0.0254</f>
        <v>76.2</v>
      </c>
    </row>
    <row r="10" spans="2:11">
      <c r="K10" s="111" t="str">
        <f>IF(K7&gt;K9,"Wrong","OK")</f>
        <v>OK</v>
      </c>
    </row>
    <row r="12" spans="2:11">
      <c r="J12" s="116" t="s">
        <v>6313</v>
      </c>
      <c r="K12" s="121"/>
    </row>
    <row r="13" spans="2:11" ht="90">
      <c r="B13" s="91" t="s">
        <v>19</v>
      </c>
      <c r="C13" s="91" t="s">
        <v>20</v>
      </c>
      <c r="D13" s="99" t="s">
        <v>29</v>
      </c>
      <c r="E13" s="100" t="s">
        <v>30</v>
      </c>
      <c r="F13" s="93" t="s">
        <v>31</v>
      </c>
      <c r="G13" s="93" t="s">
        <v>32</v>
      </c>
      <c r="H13" s="102" t="s">
        <v>34</v>
      </c>
      <c r="I13" s="103" t="s">
        <v>35</v>
      </c>
      <c r="J13" s="118" t="s">
        <v>10</v>
      </c>
      <c r="K13" s="118" t="s">
        <v>4127</v>
      </c>
    </row>
    <row r="14" spans="2:11">
      <c r="B14" s="221" t="s">
        <v>933</v>
      </c>
      <c r="C14" s="216" t="s">
        <v>930</v>
      </c>
      <c r="D14" s="222"/>
      <c r="E14" s="217"/>
      <c r="F14" s="222"/>
      <c r="G14" s="217"/>
      <c r="H14" s="217" t="s">
        <v>935</v>
      </c>
      <c r="I14" s="217">
        <v>1500</v>
      </c>
      <c r="J14" s="122">
        <v>187.33500000000001</v>
      </c>
      <c r="K14" s="122">
        <v>187.33500000000001</v>
      </c>
    </row>
    <row r="15" spans="2:11">
      <c r="B15" s="221" t="s">
        <v>941</v>
      </c>
      <c r="C15" s="216" t="s">
        <v>938</v>
      </c>
      <c r="D15" s="222"/>
      <c r="E15" s="217"/>
      <c r="F15" s="222"/>
      <c r="G15" s="217"/>
      <c r="H15" s="217" t="s">
        <v>935</v>
      </c>
      <c r="I15" s="217">
        <v>1500</v>
      </c>
      <c r="J15" s="122">
        <v>210.3272</v>
      </c>
      <c r="K15" s="122">
        <v>210.3272</v>
      </c>
    </row>
    <row r="16" spans="2:11">
      <c r="B16" s="221" t="s">
        <v>946</v>
      </c>
      <c r="C16" s="216" t="s">
        <v>943</v>
      </c>
      <c r="D16" s="222"/>
      <c r="E16" s="217"/>
      <c r="F16" s="222"/>
      <c r="G16" s="217"/>
      <c r="H16" s="217" t="s">
        <v>935</v>
      </c>
      <c r="I16" s="217">
        <v>1500</v>
      </c>
      <c r="J16" s="122">
        <v>187.72669999999999</v>
      </c>
      <c r="K16" s="122">
        <v>187.72669999999999</v>
      </c>
    </row>
    <row r="17" spans="2:11">
      <c r="B17" s="221" t="s">
        <v>951</v>
      </c>
      <c r="C17" s="216" t="s">
        <v>948</v>
      </c>
      <c r="D17" s="222"/>
      <c r="E17" s="217"/>
      <c r="F17" s="222"/>
      <c r="G17" s="217"/>
      <c r="H17" s="217" t="s">
        <v>935</v>
      </c>
      <c r="I17" s="217">
        <v>1500</v>
      </c>
      <c r="J17" s="122">
        <v>186.24039999999999</v>
      </c>
      <c r="K17" s="122">
        <v>186.24039999999999</v>
      </c>
    </row>
    <row r="18" spans="2:11">
      <c r="B18" s="221" t="s">
        <v>956</v>
      </c>
      <c r="C18" s="216" t="s">
        <v>953</v>
      </c>
      <c r="D18" s="222"/>
      <c r="E18" s="217"/>
      <c r="F18" s="222"/>
      <c r="G18" s="217"/>
      <c r="H18" s="217" t="s">
        <v>935</v>
      </c>
      <c r="I18" s="217">
        <v>1500</v>
      </c>
      <c r="J18" s="122">
        <v>198.40029999999999</v>
      </c>
      <c r="K18" s="122">
        <v>198.40029999999999</v>
      </c>
    </row>
    <row r="19" spans="2:11">
      <c r="B19" s="221" t="s">
        <v>961</v>
      </c>
      <c r="C19" s="216" t="s">
        <v>958</v>
      </c>
      <c r="D19" s="222"/>
      <c r="E19" s="217"/>
      <c r="F19" s="222"/>
      <c r="G19" s="217"/>
      <c r="H19" s="217" t="s">
        <v>935</v>
      </c>
      <c r="I19" s="217">
        <v>1500</v>
      </c>
      <c r="J19" s="122">
        <v>198.1865</v>
      </c>
      <c r="K19" s="122">
        <v>198.1865</v>
      </c>
    </row>
    <row r="20" spans="2:11">
      <c r="B20" s="221" t="s">
        <v>966</v>
      </c>
      <c r="C20" s="216" t="s">
        <v>963</v>
      </c>
      <c r="D20" s="222"/>
      <c r="E20" s="217"/>
      <c r="F20" s="222"/>
      <c r="G20" s="217"/>
      <c r="H20" s="217" t="s">
        <v>935</v>
      </c>
      <c r="I20" s="217">
        <v>1500</v>
      </c>
      <c r="J20" s="122">
        <v>187.6825</v>
      </c>
      <c r="K20" s="122">
        <v>187.6825</v>
      </c>
    </row>
    <row r="21" spans="2:11">
      <c r="B21" s="221" t="s">
        <v>971</v>
      </c>
      <c r="C21" s="216" t="s">
        <v>968</v>
      </c>
      <c r="D21" s="5"/>
      <c r="E21" s="5"/>
      <c r="F21" s="5"/>
      <c r="G21" s="5"/>
      <c r="H21" s="217" t="s">
        <v>935</v>
      </c>
      <c r="I21" s="217">
        <v>1500</v>
      </c>
      <c r="J21" s="122">
        <v>190.95769999999999</v>
      </c>
      <c r="K21" s="122">
        <v>190.95769999999999</v>
      </c>
    </row>
    <row r="22" spans="2:11">
      <c r="B22" s="221" t="s">
        <v>976</v>
      </c>
      <c r="C22" s="216" t="s">
        <v>973</v>
      </c>
      <c r="D22" s="5"/>
      <c r="E22" s="5"/>
      <c r="F22" s="5"/>
      <c r="G22" s="5"/>
      <c r="H22" s="217" t="s">
        <v>935</v>
      </c>
      <c r="I22" s="217">
        <v>1500</v>
      </c>
      <c r="J22" s="122">
        <v>187.7056</v>
      </c>
      <c r="K22" s="122">
        <v>187.7056</v>
      </c>
    </row>
    <row r="23" spans="2:11">
      <c r="B23" s="221" t="s">
        <v>981</v>
      </c>
      <c r="C23" s="216" t="s">
        <v>978</v>
      </c>
      <c r="D23" s="5"/>
      <c r="E23" s="5"/>
      <c r="F23" s="5"/>
      <c r="G23" s="5"/>
      <c r="H23" s="217" t="s">
        <v>935</v>
      </c>
      <c r="I23" s="217">
        <v>1500</v>
      </c>
      <c r="J23" s="122">
        <v>207.92850000000001</v>
      </c>
      <c r="K23" s="122">
        <v>207.92850000000001</v>
      </c>
    </row>
    <row r="24" spans="2:11">
      <c r="B24" s="221" t="s">
        <v>991</v>
      </c>
      <c r="C24" s="216" t="s">
        <v>988</v>
      </c>
      <c r="D24" s="5"/>
      <c r="E24" s="5"/>
      <c r="F24" s="5"/>
      <c r="G24" s="5"/>
      <c r="H24" s="217" t="s">
        <v>935</v>
      </c>
      <c r="I24" s="217">
        <v>1500</v>
      </c>
      <c r="J24" s="122">
        <v>187.06460000000001</v>
      </c>
      <c r="K24" s="122">
        <v>187.06460000000001</v>
      </c>
    </row>
    <row r="25" spans="2:11">
      <c r="B25" s="221" t="s">
        <v>996</v>
      </c>
      <c r="C25" s="216" t="s">
        <v>993</v>
      </c>
      <c r="D25" s="5"/>
      <c r="E25" s="5"/>
      <c r="F25" s="5"/>
      <c r="G25" s="5"/>
      <c r="H25" s="217" t="s">
        <v>935</v>
      </c>
      <c r="I25" s="217">
        <v>1500</v>
      </c>
      <c r="J25" s="122">
        <v>186.0728</v>
      </c>
      <c r="K25" s="122">
        <v>186.0728</v>
      </c>
    </row>
    <row r="26" spans="2:11">
      <c r="B26" s="221" t="s">
        <v>1031</v>
      </c>
      <c r="C26" s="216" t="s">
        <v>1028</v>
      </c>
      <c r="D26" s="5"/>
      <c r="E26" s="5"/>
      <c r="F26" s="5"/>
      <c r="G26" s="5"/>
      <c r="H26" s="217" t="s">
        <v>935</v>
      </c>
      <c r="I26" s="217">
        <v>1500</v>
      </c>
      <c r="J26" s="122">
        <v>214.69759999999999</v>
      </c>
      <c r="K26" s="122">
        <v>214.69759999999999</v>
      </c>
    </row>
    <row r="27" spans="2:11">
      <c r="B27" s="221" t="s">
        <v>1036</v>
      </c>
      <c r="C27" s="216" t="s">
        <v>1033</v>
      </c>
      <c r="D27" s="5"/>
      <c r="E27" s="5"/>
      <c r="F27" s="5"/>
      <c r="G27" s="5"/>
      <c r="H27" s="217" t="s">
        <v>935</v>
      </c>
      <c r="I27" s="217">
        <v>1500</v>
      </c>
      <c r="J27" s="122">
        <v>205.77780000000001</v>
      </c>
      <c r="K27" s="122">
        <v>205.77780000000001</v>
      </c>
    </row>
    <row r="28" spans="2:11">
      <c r="B28" s="221" t="s">
        <v>1041</v>
      </c>
      <c r="C28" s="216" t="s">
        <v>1038</v>
      </c>
      <c r="D28" s="5"/>
      <c r="E28" s="5"/>
      <c r="F28" s="5"/>
      <c r="G28" s="5"/>
      <c r="H28" s="217" t="s">
        <v>935</v>
      </c>
      <c r="I28" s="217">
        <v>1500</v>
      </c>
      <c r="J28" s="122">
        <v>205.6583</v>
      </c>
      <c r="K28" s="122">
        <v>205.6583</v>
      </c>
    </row>
    <row r="29" spans="2:11">
      <c r="B29" s="223" t="s">
        <v>1397</v>
      </c>
      <c r="C29" s="216" t="s">
        <v>1394</v>
      </c>
      <c r="D29" s="5"/>
      <c r="E29" s="5"/>
      <c r="F29" s="5"/>
      <c r="G29" s="5"/>
      <c r="H29" s="217" t="s">
        <v>935</v>
      </c>
      <c r="I29" s="217">
        <v>1500</v>
      </c>
      <c r="J29" s="122">
        <v>186.1283</v>
      </c>
      <c r="K29" s="122">
        <v>186.1283</v>
      </c>
    </row>
    <row r="30" spans="2:11">
      <c r="B30" s="223" t="s">
        <v>1402</v>
      </c>
      <c r="C30" s="216" t="s">
        <v>1399</v>
      </c>
      <c r="D30" s="5"/>
      <c r="E30" s="5"/>
      <c r="F30" s="5"/>
      <c r="G30" s="5"/>
      <c r="H30" s="217" t="s">
        <v>935</v>
      </c>
      <c r="I30" s="217">
        <v>1500</v>
      </c>
      <c r="J30" s="122">
        <v>196.99379999999999</v>
      </c>
      <c r="K30" s="122">
        <v>196.99379999999999</v>
      </c>
    </row>
    <row r="31" spans="2:11">
      <c r="B31" s="223" t="s">
        <v>1407</v>
      </c>
      <c r="C31" s="216" t="s">
        <v>1404</v>
      </c>
      <c r="D31" s="5"/>
      <c r="E31" s="5"/>
      <c r="F31" s="5"/>
      <c r="G31" s="5"/>
      <c r="H31" s="217" t="s">
        <v>935</v>
      </c>
      <c r="I31" s="217">
        <v>1500</v>
      </c>
      <c r="J31" s="122">
        <v>200.90979999999999</v>
      </c>
      <c r="K31" s="122">
        <v>200.90979999999999</v>
      </c>
    </row>
    <row r="32" spans="2:11">
      <c r="B32" s="223" t="s">
        <v>1412</v>
      </c>
      <c r="C32" s="216" t="s">
        <v>1409</v>
      </c>
      <c r="D32" s="5"/>
      <c r="E32" s="5"/>
      <c r="F32" s="5"/>
      <c r="G32" s="5"/>
      <c r="H32" s="217" t="s">
        <v>935</v>
      </c>
      <c r="I32" s="217">
        <v>1500</v>
      </c>
      <c r="J32" s="122">
        <v>186.55269999999999</v>
      </c>
      <c r="K32" s="122">
        <v>186.55269999999999</v>
      </c>
    </row>
    <row r="33" spans="2:11">
      <c r="B33" s="223" t="s">
        <v>1417</v>
      </c>
      <c r="C33" s="216" t="s">
        <v>1414</v>
      </c>
      <c r="D33" s="5"/>
      <c r="E33" s="5"/>
      <c r="F33" s="5"/>
      <c r="G33" s="5"/>
      <c r="H33" s="217" t="s">
        <v>935</v>
      </c>
      <c r="I33" s="217">
        <v>1500</v>
      </c>
      <c r="J33" s="122">
        <v>185.98349999999999</v>
      </c>
      <c r="K33" s="122">
        <v>185.98349999999999</v>
      </c>
    </row>
    <row r="34" spans="2:11">
      <c r="B34" s="223" t="s">
        <v>1422</v>
      </c>
      <c r="C34" s="216" t="s">
        <v>1419</v>
      </c>
      <c r="D34" s="5"/>
      <c r="E34" s="5"/>
      <c r="F34" s="5"/>
      <c r="G34" s="5"/>
      <c r="H34" s="217" t="s">
        <v>935</v>
      </c>
      <c r="I34" s="217">
        <v>1500</v>
      </c>
      <c r="J34" s="122">
        <v>186.99760000000001</v>
      </c>
      <c r="K34" s="122">
        <v>186.99760000000001</v>
      </c>
    </row>
    <row r="35" spans="2:11">
      <c r="B35" s="223" t="s">
        <v>1427</v>
      </c>
      <c r="C35" s="216" t="s">
        <v>1424</v>
      </c>
      <c r="D35" s="5"/>
      <c r="E35" s="5"/>
      <c r="F35" s="5"/>
      <c r="G35" s="5"/>
      <c r="H35" s="217" t="s">
        <v>935</v>
      </c>
      <c r="I35" s="217">
        <v>1500</v>
      </c>
      <c r="J35" s="122">
        <v>189.37569999999999</v>
      </c>
      <c r="K35" s="122">
        <v>189.37569999999999</v>
      </c>
    </row>
    <row r="36" spans="2:11">
      <c r="B36" s="223" t="s">
        <v>1432</v>
      </c>
      <c r="C36" s="216" t="s">
        <v>1429</v>
      </c>
      <c r="D36" s="5"/>
      <c r="E36" s="5"/>
      <c r="F36" s="5"/>
      <c r="G36" s="5"/>
      <c r="H36" s="217" t="s">
        <v>935</v>
      </c>
      <c r="I36" s="217">
        <v>1500</v>
      </c>
      <c r="J36" s="122">
        <v>188.50479999999999</v>
      </c>
      <c r="K36" s="122">
        <v>188.50479999999999</v>
      </c>
    </row>
    <row r="37" spans="2:11">
      <c r="B37" s="223" t="s">
        <v>1437</v>
      </c>
      <c r="C37" s="216" t="s">
        <v>1434</v>
      </c>
      <c r="D37" s="5"/>
      <c r="E37" s="5"/>
      <c r="F37" s="5"/>
      <c r="G37" s="5"/>
      <c r="H37" s="217" t="s">
        <v>935</v>
      </c>
      <c r="I37" s="217">
        <v>1500</v>
      </c>
      <c r="J37" s="122">
        <v>193.7381</v>
      </c>
      <c r="K37" s="122">
        <v>193.7381</v>
      </c>
    </row>
    <row r="38" spans="2:11">
      <c r="B38" s="223" t="s">
        <v>1442</v>
      </c>
      <c r="C38" s="216" t="s">
        <v>1439</v>
      </c>
      <c r="D38" s="5"/>
      <c r="E38" s="5"/>
      <c r="F38" s="5"/>
      <c r="G38" s="5"/>
      <c r="H38" s="217" t="s">
        <v>935</v>
      </c>
      <c r="I38" s="217">
        <v>1500</v>
      </c>
      <c r="J38" s="122">
        <v>200.3733</v>
      </c>
      <c r="K38" s="122">
        <v>200.3733</v>
      </c>
    </row>
    <row r="39" spans="2:11">
      <c r="B39" s="223" t="s">
        <v>1447</v>
      </c>
      <c r="C39" s="216" t="s">
        <v>1444</v>
      </c>
      <c r="D39" s="5"/>
      <c r="E39" s="5"/>
      <c r="F39" s="5"/>
      <c r="G39" s="5"/>
      <c r="H39" s="217" t="s">
        <v>935</v>
      </c>
      <c r="I39" s="217">
        <v>1500</v>
      </c>
      <c r="J39" s="122">
        <v>189.60429999999999</v>
      </c>
      <c r="K39" s="122">
        <v>189.60429999999999</v>
      </c>
    </row>
    <row r="40" spans="2:11">
      <c r="B40" s="223" t="s">
        <v>1452</v>
      </c>
      <c r="C40" s="216" t="s">
        <v>1449</v>
      </c>
      <c r="D40" s="5"/>
      <c r="E40" s="5"/>
      <c r="F40" s="5"/>
      <c r="G40" s="5"/>
      <c r="H40" s="217" t="s">
        <v>935</v>
      </c>
      <c r="I40" s="217">
        <v>1500</v>
      </c>
      <c r="J40" s="122">
        <v>185.4349</v>
      </c>
      <c r="K40" s="122">
        <v>185.4349</v>
      </c>
    </row>
    <row r="41" spans="2:11">
      <c r="B41" s="223" t="s">
        <v>1462</v>
      </c>
      <c r="C41" s="216" t="s">
        <v>1459</v>
      </c>
      <c r="D41" s="5"/>
      <c r="E41" s="5"/>
      <c r="F41" s="5"/>
      <c r="G41" s="5"/>
      <c r="H41" s="217" t="s">
        <v>935</v>
      </c>
      <c r="I41" s="217">
        <v>1500</v>
      </c>
      <c r="J41" s="122">
        <v>187.2474</v>
      </c>
      <c r="K41" s="122">
        <v>187.2474</v>
      </c>
    </row>
    <row r="42" spans="2:11">
      <c r="B42" s="223" t="s">
        <v>1467</v>
      </c>
      <c r="C42" s="216" t="s">
        <v>1464</v>
      </c>
      <c r="D42" s="5"/>
      <c r="E42" s="5"/>
      <c r="F42" s="5"/>
      <c r="G42" s="5"/>
      <c r="H42" s="217" t="s">
        <v>935</v>
      </c>
      <c r="I42" s="217">
        <v>1500</v>
      </c>
      <c r="J42" s="122">
        <v>196.31899999999999</v>
      </c>
      <c r="K42" s="122">
        <v>196.31899999999999</v>
      </c>
    </row>
    <row r="43" spans="2:11">
      <c r="B43" s="223" t="s">
        <v>1472</v>
      </c>
      <c r="C43" s="216" t="s">
        <v>1469</v>
      </c>
      <c r="D43" s="5"/>
      <c r="E43" s="5"/>
      <c r="F43" s="5"/>
      <c r="G43" s="5"/>
      <c r="H43" s="217" t="s">
        <v>935</v>
      </c>
      <c r="I43" s="217">
        <v>1500</v>
      </c>
      <c r="J43" s="122">
        <v>187.14060000000001</v>
      </c>
      <c r="K43" s="122">
        <v>187.14060000000001</v>
      </c>
    </row>
    <row r="44" spans="2:11">
      <c r="B44" s="223" t="s">
        <v>1477</v>
      </c>
      <c r="C44" s="216" t="s">
        <v>1474</v>
      </c>
      <c r="D44" s="5"/>
      <c r="E44" s="5"/>
      <c r="F44" s="5"/>
      <c r="G44" s="5"/>
      <c r="H44" s="217" t="s">
        <v>935</v>
      </c>
      <c r="I44" s="217">
        <v>1500</v>
      </c>
      <c r="J44" s="122">
        <v>193.34950000000001</v>
      </c>
      <c r="K44" s="122">
        <v>193.34950000000001</v>
      </c>
    </row>
    <row r="45" spans="2:11">
      <c r="B45" s="223" t="s">
        <v>1482</v>
      </c>
      <c r="C45" s="216" t="s">
        <v>1479</v>
      </c>
      <c r="D45" s="5"/>
      <c r="E45" s="5"/>
      <c r="F45" s="5"/>
      <c r="G45" s="5"/>
      <c r="H45" s="217" t="s">
        <v>935</v>
      </c>
      <c r="I45" s="217">
        <v>1500</v>
      </c>
      <c r="J45" s="122">
        <v>185.2544</v>
      </c>
      <c r="K45" s="122">
        <v>185.2544</v>
      </c>
    </row>
    <row r="46" spans="2:11">
      <c r="B46" s="223" t="s">
        <v>1487</v>
      </c>
      <c r="C46" s="216" t="s">
        <v>1484</v>
      </c>
      <c r="D46" s="5"/>
      <c r="E46" s="5"/>
      <c r="F46" s="5"/>
      <c r="G46" s="5"/>
      <c r="H46" s="217" t="s">
        <v>935</v>
      </c>
      <c r="I46" s="217">
        <v>1500</v>
      </c>
      <c r="J46" s="122">
        <v>190.37370000000001</v>
      </c>
      <c r="K46" s="122">
        <v>190.37370000000001</v>
      </c>
    </row>
    <row r="47" spans="2:11">
      <c r="B47" s="223" t="s">
        <v>1492</v>
      </c>
      <c r="C47" s="216" t="s">
        <v>1489</v>
      </c>
      <c r="D47" s="5"/>
      <c r="E47" s="5"/>
      <c r="F47" s="5"/>
      <c r="G47" s="5"/>
      <c r="H47" s="217" t="s">
        <v>935</v>
      </c>
      <c r="I47" s="217">
        <v>1500</v>
      </c>
      <c r="J47" s="122">
        <v>193.6157</v>
      </c>
      <c r="K47" s="122">
        <v>193.6157</v>
      </c>
    </row>
  </sheetData>
  <phoneticPr fontId="3"/>
  <dataValidations count="4">
    <dataValidation type="list" allowBlank="1" showInputMessage="1" showErrorMessage="1" sqref="G14:G15" xr:uid="{F8EAFD4D-D371-4628-B1F9-5208B6222DDC}">
      <formula1>Match_</formula1>
    </dataValidation>
    <dataValidation type="list" allowBlank="1" showInputMessage="1" showErrorMessage="1" sqref="I14:I15" xr:uid="{34B02C08-BAD1-4807-8C9E-A4D97C462301}">
      <formula1>Loop_back</formula1>
    </dataValidation>
    <dataValidation type="whole" operator="greaterThan" allowBlank="1" showInputMessage="1" showErrorMessage="1" sqref="F14:F15 D14:D15 H14:H15" xr:uid="{FF84C4C4-5FC4-4101-8431-B0600502C1E8}">
      <formula1>0</formula1>
    </dataValidation>
    <dataValidation type="list" allowBlank="1" showInputMessage="1" showErrorMessage="1" sqref="E14:E15" xr:uid="{20E9E5DB-1917-4818-B774-4186A876F8BF}">
      <formula1>Diff_</formula1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287E-0F17-403A-9943-E74CE4B9CCAE}">
  <sheetPr codeName="Sheet37"/>
  <dimension ref="B1:M41"/>
  <sheetViews>
    <sheetView topLeftCell="A13" zoomScale="70" zoomScaleNormal="70" workbookViewId="0"/>
  </sheetViews>
  <sheetFormatPr defaultColWidth="9" defaultRowHeight="14.25"/>
  <cols>
    <col min="1" max="1" width="13" style="26" customWidth="1"/>
    <col min="2" max="2" width="39.42578125" style="26" customWidth="1"/>
    <col min="3" max="3" width="13.42578125" style="26" bestFit="1" customWidth="1"/>
    <col min="4" max="7" width="9" style="26"/>
    <col min="8" max="8" width="26.140625" style="26" bestFit="1" customWidth="1"/>
    <col min="9" max="9" width="10.42578125" style="26" bestFit="1" customWidth="1"/>
    <col min="10" max="13" width="11.5703125" style="26" customWidth="1"/>
    <col min="14" max="16384" width="9" style="26"/>
  </cols>
  <sheetData>
    <row r="1" spans="2:13" ht="25.5">
      <c r="B1" s="8" t="str">
        <f>SITE1!B1</f>
        <v>ITTO-620-0190 Meteor Lake PCH X4</v>
      </c>
      <c r="K1" s="7">
        <v>44635</v>
      </c>
      <c r="L1" s="7"/>
    </row>
    <row r="2" spans="2:13" ht="20.25">
      <c r="B2" s="125" t="s">
        <v>6330</v>
      </c>
    </row>
    <row r="3" spans="2:13" ht="20.25">
      <c r="B3" s="13"/>
    </row>
    <row r="4" spans="2:13" ht="20.25">
      <c r="B4" s="13"/>
      <c r="J4" s="26" t="s">
        <v>6311</v>
      </c>
      <c r="L4" s="26" t="s">
        <v>6312</v>
      </c>
    </row>
    <row r="5" spans="2:13" ht="20.25">
      <c r="B5" s="13"/>
      <c r="J5" s="5" t="s">
        <v>6291</v>
      </c>
      <c r="K5" s="27">
        <f>MAX(J14:K41)</f>
        <v>232.9015</v>
      </c>
      <c r="L5" s="5" t="s">
        <v>6291</v>
      </c>
      <c r="M5" s="27">
        <f>MAX(L14:M41)</f>
        <v>9.9799999999987676E-2</v>
      </c>
    </row>
    <row r="6" spans="2:13" ht="20.25">
      <c r="B6" s="13"/>
      <c r="J6" s="5" t="s">
        <v>6292</v>
      </c>
      <c r="K6" s="27">
        <f>MIN(J14:K41)</f>
        <v>232.52189999999999</v>
      </c>
    </row>
    <row r="7" spans="2:13" ht="20.25">
      <c r="B7" s="13"/>
      <c r="J7" s="5" t="s">
        <v>6293</v>
      </c>
      <c r="K7" s="27">
        <f>K5-K6</f>
        <v>0.3796000000000106</v>
      </c>
    </row>
    <row r="8" spans="2:13">
      <c r="J8" s="26" t="s">
        <v>6294</v>
      </c>
      <c r="K8" s="113">
        <f>I14*2</f>
        <v>40</v>
      </c>
      <c r="L8" s="26" t="s">
        <v>6294</v>
      </c>
      <c r="M8" s="115">
        <f>G14</f>
        <v>5</v>
      </c>
    </row>
    <row r="9" spans="2:13">
      <c r="K9" s="112">
        <f>K8*0.0254</f>
        <v>1.016</v>
      </c>
      <c r="M9" s="112">
        <f>M8*0.0254</f>
        <v>0.127</v>
      </c>
    </row>
    <row r="10" spans="2:13">
      <c r="K10" s="111" t="str">
        <f>IF(K7&gt;K9,"Wrong","OK")</f>
        <v>OK</v>
      </c>
      <c r="M10" s="111" t="str">
        <f>IF(M5&gt;M9,"Wrong","OK")</f>
        <v>OK</v>
      </c>
    </row>
    <row r="12" spans="2:13">
      <c r="J12" s="116" t="s">
        <v>6313</v>
      </c>
      <c r="K12" s="121"/>
      <c r="L12" s="116" t="s">
        <v>6320</v>
      </c>
      <c r="M12" s="121"/>
    </row>
    <row r="13" spans="2:13" ht="90">
      <c r="B13" s="91" t="s">
        <v>19</v>
      </c>
      <c r="C13" s="91" t="s">
        <v>20</v>
      </c>
      <c r="D13" s="99" t="s">
        <v>29</v>
      </c>
      <c r="E13" s="100" t="s">
        <v>30</v>
      </c>
      <c r="F13" s="93" t="s">
        <v>31</v>
      </c>
      <c r="G13" s="93" t="s">
        <v>32</v>
      </c>
      <c r="H13" s="102" t="s">
        <v>34</v>
      </c>
      <c r="I13" s="103" t="s">
        <v>35</v>
      </c>
      <c r="J13" s="118" t="s">
        <v>10</v>
      </c>
      <c r="K13" s="118" t="s">
        <v>4127</v>
      </c>
      <c r="L13" s="118" t="s">
        <v>10</v>
      </c>
      <c r="M13" s="118" t="s">
        <v>4127</v>
      </c>
    </row>
    <row r="14" spans="2:13">
      <c r="B14" s="220" t="s">
        <v>3063</v>
      </c>
      <c r="C14" s="216" t="s">
        <v>3060</v>
      </c>
      <c r="D14" s="217"/>
      <c r="E14" s="217"/>
      <c r="F14" s="217" t="s">
        <v>2978</v>
      </c>
      <c r="G14" s="217">
        <v>5</v>
      </c>
      <c r="H14" s="218" t="s">
        <v>2979</v>
      </c>
      <c r="I14" s="217">
        <v>20</v>
      </c>
      <c r="J14" s="122">
        <v>232.52189999999999</v>
      </c>
      <c r="K14" s="122">
        <v>232.52189999999999</v>
      </c>
      <c r="L14" s="126">
        <f t="shared" ref="L14:M14" si="0">ABS(J14-J15)</f>
        <v>8.1700000000012096E-2</v>
      </c>
      <c r="M14" s="126">
        <f t="shared" si="0"/>
        <v>8.1700000000012096E-2</v>
      </c>
    </row>
    <row r="15" spans="2:13">
      <c r="B15" s="220" t="s">
        <v>2977</v>
      </c>
      <c r="C15" s="216" t="s">
        <v>2974</v>
      </c>
      <c r="D15" s="217"/>
      <c r="E15" s="217"/>
      <c r="F15" s="217" t="s">
        <v>2978</v>
      </c>
      <c r="G15" s="217">
        <v>5</v>
      </c>
      <c r="H15" s="218" t="s">
        <v>2979</v>
      </c>
      <c r="I15" s="217">
        <v>20</v>
      </c>
      <c r="J15" s="122">
        <v>232.6036</v>
      </c>
      <c r="K15" s="122">
        <v>232.6036</v>
      </c>
      <c r="L15" s="127"/>
      <c r="M15" s="127"/>
    </row>
    <row r="16" spans="2:13">
      <c r="B16" s="220" t="s">
        <v>3091</v>
      </c>
      <c r="C16" s="216" t="s">
        <v>3088</v>
      </c>
      <c r="D16" s="217"/>
      <c r="E16" s="217"/>
      <c r="F16" s="217" t="s">
        <v>3016</v>
      </c>
      <c r="G16" s="217">
        <v>5</v>
      </c>
      <c r="H16" s="218" t="s">
        <v>2979</v>
      </c>
      <c r="I16" s="217">
        <v>20</v>
      </c>
      <c r="J16" s="122">
        <v>232.6422</v>
      </c>
      <c r="K16" s="122">
        <v>232.6422</v>
      </c>
      <c r="L16" s="126">
        <f t="shared" ref="L16:M16" si="1">ABS(J16-J17)</f>
        <v>8.5800000000006094E-2</v>
      </c>
      <c r="M16" s="126">
        <f t="shared" si="1"/>
        <v>8.5800000000006094E-2</v>
      </c>
    </row>
    <row r="17" spans="2:13">
      <c r="B17" s="220" t="s">
        <v>3015</v>
      </c>
      <c r="C17" s="216" t="s">
        <v>3012</v>
      </c>
      <c r="D17" s="217"/>
      <c r="E17" s="217"/>
      <c r="F17" s="217" t="s">
        <v>3016</v>
      </c>
      <c r="G17" s="217">
        <v>5</v>
      </c>
      <c r="H17" s="218" t="s">
        <v>2979</v>
      </c>
      <c r="I17" s="217">
        <v>20</v>
      </c>
      <c r="J17" s="122">
        <v>232.5564</v>
      </c>
      <c r="K17" s="122">
        <v>232.5564</v>
      </c>
      <c r="L17" s="127"/>
      <c r="M17" s="127"/>
    </row>
    <row r="18" spans="2:13">
      <c r="B18" s="220" t="s">
        <v>3096</v>
      </c>
      <c r="C18" s="216" t="s">
        <v>3093</v>
      </c>
      <c r="D18" s="217"/>
      <c r="E18" s="217"/>
      <c r="F18" s="217" t="s">
        <v>3022</v>
      </c>
      <c r="G18" s="217">
        <v>5</v>
      </c>
      <c r="H18" s="218" t="s">
        <v>2979</v>
      </c>
      <c r="I18" s="217">
        <v>20</v>
      </c>
      <c r="J18" s="122">
        <v>232.74889999999999</v>
      </c>
      <c r="K18" s="122">
        <v>232.74889999999999</v>
      </c>
      <c r="L18" s="126">
        <f t="shared" ref="L18:M18" si="2">ABS(J18-J19)</f>
        <v>7.0000000000050022E-3</v>
      </c>
      <c r="M18" s="126">
        <f t="shared" si="2"/>
        <v>7.0000000000050022E-3</v>
      </c>
    </row>
    <row r="19" spans="2:13">
      <c r="B19" s="220" t="s">
        <v>3021</v>
      </c>
      <c r="C19" s="216" t="s">
        <v>3018</v>
      </c>
      <c r="D19" s="217"/>
      <c r="E19" s="217"/>
      <c r="F19" s="217" t="s">
        <v>3022</v>
      </c>
      <c r="G19" s="217">
        <v>5</v>
      </c>
      <c r="H19" s="218" t="s">
        <v>2979</v>
      </c>
      <c r="I19" s="217">
        <v>20</v>
      </c>
      <c r="J19" s="122">
        <v>232.7559</v>
      </c>
      <c r="K19" s="122">
        <v>232.7559</v>
      </c>
      <c r="L19" s="127"/>
      <c r="M19" s="127"/>
    </row>
    <row r="20" spans="2:13">
      <c r="B20" s="220" t="s">
        <v>3101</v>
      </c>
      <c r="C20" s="216" t="s">
        <v>3098</v>
      </c>
      <c r="D20" s="217"/>
      <c r="E20" s="217"/>
      <c r="F20" s="217" t="s">
        <v>3028</v>
      </c>
      <c r="G20" s="217">
        <v>5</v>
      </c>
      <c r="H20" s="218" t="s">
        <v>2979</v>
      </c>
      <c r="I20" s="217">
        <v>20</v>
      </c>
      <c r="J20" s="122">
        <v>232.74250000000001</v>
      </c>
      <c r="K20" s="122">
        <v>232.74250000000001</v>
      </c>
      <c r="L20" s="126">
        <f t="shared" ref="L20:M20" si="3">ABS(J20-J21)</f>
        <v>2.3099999999999454E-2</v>
      </c>
      <c r="M20" s="126">
        <f t="shared" si="3"/>
        <v>2.3099999999999454E-2</v>
      </c>
    </row>
    <row r="21" spans="2:13">
      <c r="B21" s="220" t="s">
        <v>3027</v>
      </c>
      <c r="C21" s="216" t="s">
        <v>3024</v>
      </c>
      <c r="D21" s="217"/>
      <c r="E21" s="217"/>
      <c r="F21" s="217" t="s">
        <v>3028</v>
      </c>
      <c r="G21" s="217">
        <v>5</v>
      </c>
      <c r="H21" s="218" t="s">
        <v>2979</v>
      </c>
      <c r="I21" s="217">
        <v>20</v>
      </c>
      <c r="J21" s="122">
        <v>232.71940000000001</v>
      </c>
      <c r="K21" s="122">
        <v>232.71940000000001</v>
      </c>
      <c r="L21" s="127"/>
      <c r="M21" s="127"/>
    </row>
    <row r="22" spans="2:13">
      <c r="B22" s="220" t="s">
        <v>3106</v>
      </c>
      <c r="C22" s="216" t="s">
        <v>3103</v>
      </c>
      <c r="D22" s="217"/>
      <c r="E22" s="217"/>
      <c r="F22" s="217" t="s">
        <v>3034</v>
      </c>
      <c r="G22" s="217">
        <v>5</v>
      </c>
      <c r="H22" s="218" t="s">
        <v>2979</v>
      </c>
      <c r="I22" s="217">
        <v>20</v>
      </c>
      <c r="J22" s="122">
        <v>232.9015</v>
      </c>
      <c r="K22" s="122">
        <v>232.9015</v>
      </c>
      <c r="L22" s="126">
        <f t="shared" ref="L22:M22" si="4">ABS(J22-J23)</f>
        <v>2.5100000000009004E-2</v>
      </c>
      <c r="M22" s="126">
        <f t="shared" si="4"/>
        <v>2.5100000000009004E-2</v>
      </c>
    </row>
    <row r="23" spans="2:13">
      <c r="B23" s="220" t="s">
        <v>3033</v>
      </c>
      <c r="C23" s="216" t="s">
        <v>3030</v>
      </c>
      <c r="D23" s="217"/>
      <c r="E23" s="217"/>
      <c r="F23" s="217" t="s">
        <v>3034</v>
      </c>
      <c r="G23" s="217">
        <v>5</v>
      </c>
      <c r="H23" s="218" t="s">
        <v>2979</v>
      </c>
      <c r="I23" s="217">
        <v>20</v>
      </c>
      <c r="J23" s="122">
        <v>232.87639999999999</v>
      </c>
      <c r="K23" s="122">
        <v>232.87639999999999</v>
      </c>
      <c r="L23" s="127"/>
      <c r="M23" s="127"/>
    </row>
    <row r="24" spans="2:13">
      <c r="B24" s="220" t="s">
        <v>3111</v>
      </c>
      <c r="C24" s="216" t="s">
        <v>3108</v>
      </c>
      <c r="D24" s="217"/>
      <c r="E24" s="217"/>
      <c r="F24" s="217" t="s">
        <v>3040</v>
      </c>
      <c r="G24" s="217">
        <v>5</v>
      </c>
      <c r="H24" s="218" t="s">
        <v>2979</v>
      </c>
      <c r="I24" s="217">
        <v>20</v>
      </c>
      <c r="J24" s="122">
        <v>232.74850000000001</v>
      </c>
      <c r="K24" s="122">
        <v>232.74850000000001</v>
      </c>
      <c r="L24" s="126">
        <f t="shared" ref="L24:M24" si="5">ABS(J24-J25)</f>
        <v>1.8399999999985539E-2</v>
      </c>
      <c r="M24" s="126">
        <f t="shared" si="5"/>
        <v>1.8399999999985539E-2</v>
      </c>
    </row>
    <row r="25" spans="2:13">
      <c r="B25" s="220" t="s">
        <v>3039</v>
      </c>
      <c r="C25" s="216" t="s">
        <v>3036</v>
      </c>
      <c r="D25" s="217"/>
      <c r="E25" s="217"/>
      <c r="F25" s="217" t="s">
        <v>3040</v>
      </c>
      <c r="G25" s="217">
        <v>5</v>
      </c>
      <c r="H25" s="218" t="s">
        <v>2979</v>
      </c>
      <c r="I25" s="217">
        <v>20</v>
      </c>
      <c r="J25" s="122">
        <v>232.76689999999999</v>
      </c>
      <c r="K25" s="122">
        <v>232.76689999999999</v>
      </c>
      <c r="L25" s="127"/>
      <c r="M25" s="127"/>
    </row>
    <row r="26" spans="2:13">
      <c r="B26" s="220" t="s">
        <v>3116</v>
      </c>
      <c r="C26" s="216" t="s">
        <v>3113</v>
      </c>
      <c r="D26" s="217"/>
      <c r="E26" s="217"/>
      <c r="F26" s="217" t="s">
        <v>3046</v>
      </c>
      <c r="G26" s="217">
        <v>5</v>
      </c>
      <c r="H26" s="218" t="s">
        <v>2979</v>
      </c>
      <c r="I26" s="217">
        <v>20</v>
      </c>
      <c r="J26" s="122">
        <v>232.57980000000001</v>
      </c>
      <c r="K26" s="122">
        <v>232.57980000000001</v>
      </c>
      <c r="L26" s="126">
        <f t="shared" ref="L26:M26" si="6">ABS(J26-J27)</f>
        <v>1.4999999999929514E-3</v>
      </c>
      <c r="M26" s="126">
        <f t="shared" si="6"/>
        <v>1.4999999999929514E-3</v>
      </c>
    </row>
    <row r="27" spans="2:13">
      <c r="B27" s="220" t="s">
        <v>3045</v>
      </c>
      <c r="C27" s="216" t="s">
        <v>3042</v>
      </c>
      <c r="D27" s="217"/>
      <c r="E27" s="217"/>
      <c r="F27" s="217" t="s">
        <v>3046</v>
      </c>
      <c r="G27" s="217">
        <v>5</v>
      </c>
      <c r="H27" s="218" t="s">
        <v>2979</v>
      </c>
      <c r="I27" s="217">
        <v>20</v>
      </c>
      <c r="J27" s="122">
        <v>232.57830000000001</v>
      </c>
      <c r="K27" s="122">
        <v>232.57830000000001</v>
      </c>
      <c r="L27" s="127"/>
      <c r="M27" s="127"/>
    </row>
    <row r="28" spans="2:13">
      <c r="B28" s="220" t="s">
        <v>3121</v>
      </c>
      <c r="C28" s="216" t="s">
        <v>3118</v>
      </c>
      <c r="D28" s="217"/>
      <c r="E28" s="217"/>
      <c r="F28" s="217" t="s">
        <v>3052</v>
      </c>
      <c r="G28" s="217">
        <v>5</v>
      </c>
      <c r="H28" s="218" t="s">
        <v>2979</v>
      </c>
      <c r="I28" s="217">
        <v>20</v>
      </c>
      <c r="J28" s="122">
        <v>232.6754</v>
      </c>
      <c r="K28" s="122">
        <v>232.6754</v>
      </c>
      <c r="L28" s="126">
        <f t="shared" ref="L28:M28" si="7">ABS(J28-J29)</f>
        <v>9.9799999999987676E-2</v>
      </c>
      <c r="M28" s="126">
        <f t="shared" si="7"/>
        <v>9.9799999999987676E-2</v>
      </c>
    </row>
    <row r="29" spans="2:13">
      <c r="B29" s="220" t="s">
        <v>3051</v>
      </c>
      <c r="C29" s="216" t="s">
        <v>3048</v>
      </c>
      <c r="D29" s="217"/>
      <c r="E29" s="217"/>
      <c r="F29" s="217" t="s">
        <v>3052</v>
      </c>
      <c r="G29" s="217">
        <v>5</v>
      </c>
      <c r="H29" s="218" t="s">
        <v>2979</v>
      </c>
      <c r="I29" s="217">
        <v>20</v>
      </c>
      <c r="J29" s="122">
        <v>232.57560000000001</v>
      </c>
      <c r="K29" s="122">
        <v>232.57560000000001</v>
      </c>
      <c r="L29" s="127"/>
      <c r="M29" s="127"/>
    </row>
    <row r="30" spans="2:13">
      <c r="B30" s="220" t="s">
        <v>3126</v>
      </c>
      <c r="C30" s="216" t="s">
        <v>3123</v>
      </c>
      <c r="D30" s="217"/>
      <c r="E30" s="217"/>
      <c r="F30" s="217" t="s">
        <v>3058</v>
      </c>
      <c r="G30" s="217">
        <v>5</v>
      </c>
      <c r="H30" s="218" t="s">
        <v>2979</v>
      </c>
      <c r="I30" s="217">
        <v>20</v>
      </c>
      <c r="J30" s="122">
        <v>232.6978</v>
      </c>
      <c r="K30" s="122">
        <v>232.6978</v>
      </c>
      <c r="L30" s="126">
        <f t="shared" ref="L30:M30" si="8">ABS(J30-J31)</f>
        <v>1.1000000000080945E-3</v>
      </c>
      <c r="M30" s="126">
        <f t="shared" si="8"/>
        <v>1.1000000000080945E-3</v>
      </c>
    </row>
    <row r="31" spans="2:13">
      <c r="B31" s="220" t="s">
        <v>3057</v>
      </c>
      <c r="C31" s="216" t="s">
        <v>3054</v>
      </c>
      <c r="D31" s="217"/>
      <c r="E31" s="217"/>
      <c r="F31" s="217" t="s">
        <v>3058</v>
      </c>
      <c r="G31" s="217">
        <v>5</v>
      </c>
      <c r="H31" s="218" t="s">
        <v>2979</v>
      </c>
      <c r="I31" s="217">
        <v>20</v>
      </c>
      <c r="J31" s="122">
        <v>232.69890000000001</v>
      </c>
      <c r="K31" s="122">
        <v>232.69890000000001</v>
      </c>
      <c r="L31" s="127"/>
      <c r="M31" s="127"/>
    </row>
    <row r="32" spans="2:13">
      <c r="B32" s="220" t="s">
        <v>3067</v>
      </c>
      <c r="C32" s="216" t="s">
        <v>2298</v>
      </c>
      <c r="D32" s="217"/>
      <c r="E32" s="217"/>
      <c r="F32" s="217" t="s">
        <v>2986</v>
      </c>
      <c r="G32" s="217">
        <v>5</v>
      </c>
      <c r="H32" s="218" t="s">
        <v>2979</v>
      </c>
      <c r="I32" s="217">
        <v>20</v>
      </c>
      <c r="J32" s="122">
        <v>232.75739999999999</v>
      </c>
      <c r="K32" s="122">
        <v>232.75739999999999</v>
      </c>
      <c r="L32" s="126">
        <f t="shared" ref="L32:M32" si="9">ABS(J32-J33)</f>
        <v>9.2399999999997817E-2</v>
      </c>
      <c r="M32" s="126">
        <f t="shared" si="9"/>
        <v>9.2399999999997817E-2</v>
      </c>
    </row>
    <row r="33" spans="2:13">
      <c r="B33" s="220" t="s">
        <v>2985</v>
      </c>
      <c r="C33" s="216" t="s">
        <v>2982</v>
      </c>
      <c r="D33" s="217"/>
      <c r="E33" s="217"/>
      <c r="F33" s="217" t="s">
        <v>2986</v>
      </c>
      <c r="G33" s="217">
        <v>5</v>
      </c>
      <c r="H33" s="218" t="s">
        <v>2979</v>
      </c>
      <c r="I33" s="217">
        <v>20</v>
      </c>
      <c r="J33" s="122">
        <v>232.66499999999999</v>
      </c>
      <c r="K33" s="122">
        <v>232.66499999999999</v>
      </c>
      <c r="L33" s="127"/>
      <c r="M33" s="127"/>
    </row>
    <row r="34" spans="2:13">
      <c r="B34" s="220" t="s">
        <v>3072</v>
      </c>
      <c r="C34" s="216" t="s">
        <v>3069</v>
      </c>
      <c r="D34" s="217"/>
      <c r="E34" s="217"/>
      <c r="F34" s="217" t="s">
        <v>2992</v>
      </c>
      <c r="G34" s="217">
        <v>5</v>
      </c>
      <c r="H34" s="218" t="s">
        <v>2979</v>
      </c>
      <c r="I34" s="217">
        <v>20</v>
      </c>
      <c r="J34" s="122">
        <v>232.69040000000001</v>
      </c>
      <c r="K34" s="122">
        <v>232.69040000000001</v>
      </c>
      <c r="L34" s="126">
        <f t="shared" ref="L34:M34" si="10">ABS(J34-J35)</f>
        <v>4.7000000000139153E-3</v>
      </c>
      <c r="M34" s="126">
        <f t="shared" si="10"/>
        <v>4.7000000000139153E-3</v>
      </c>
    </row>
    <row r="35" spans="2:13">
      <c r="B35" s="220" t="s">
        <v>2991</v>
      </c>
      <c r="C35" s="216" t="s">
        <v>2988</v>
      </c>
      <c r="D35" s="217"/>
      <c r="E35" s="217"/>
      <c r="F35" s="217" t="s">
        <v>2992</v>
      </c>
      <c r="G35" s="217">
        <v>5</v>
      </c>
      <c r="H35" s="218" t="s">
        <v>2979</v>
      </c>
      <c r="I35" s="217">
        <v>20</v>
      </c>
      <c r="J35" s="122">
        <v>232.6857</v>
      </c>
      <c r="K35" s="122">
        <v>232.6857</v>
      </c>
      <c r="L35" s="127"/>
      <c r="M35" s="127"/>
    </row>
    <row r="36" spans="2:13">
      <c r="B36" s="220" t="s">
        <v>3077</v>
      </c>
      <c r="C36" s="216" t="s">
        <v>3074</v>
      </c>
      <c r="D36" s="217"/>
      <c r="E36" s="217"/>
      <c r="F36" s="217" t="s">
        <v>2998</v>
      </c>
      <c r="G36" s="217">
        <v>5</v>
      </c>
      <c r="H36" s="218" t="s">
        <v>2979</v>
      </c>
      <c r="I36" s="217">
        <v>20</v>
      </c>
      <c r="J36" s="122">
        <v>232.8681</v>
      </c>
      <c r="K36" s="122">
        <v>232.8681</v>
      </c>
      <c r="L36" s="126">
        <f t="shared" ref="L36:M36" si="11">ABS(J36-J37)</f>
        <v>3.9400000000000546E-2</v>
      </c>
      <c r="M36" s="126">
        <f t="shared" si="11"/>
        <v>3.9400000000000546E-2</v>
      </c>
    </row>
    <row r="37" spans="2:13">
      <c r="B37" s="220" t="s">
        <v>2997</v>
      </c>
      <c r="C37" s="216" t="s">
        <v>2994</v>
      </c>
      <c r="D37" s="217"/>
      <c r="E37" s="217"/>
      <c r="F37" s="217" t="s">
        <v>2998</v>
      </c>
      <c r="G37" s="217">
        <v>5</v>
      </c>
      <c r="H37" s="218" t="s">
        <v>2979</v>
      </c>
      <c r="I37" s="217">
        <v>20</v>
      </c>
      <c r="J37" s="122">
        <v>232.8287</v>
      </c>
      <c r="K37" s="122">
        <v>232.8287</v>
      </c>
      <c r="L37" s="127"/>
      <c r="M37" s="127"/>
    </row>
    <row r="38" spans="2:13">
      <c r="B38" s="220" t="s">
        <v>3082</v>
      </c>
      <c r="C38" s="216" t="s">
        <v>3079</v>
      </c>
      <c r="D38" s="217"/>
      <c r="E38" s="217"/>
      <c r="F38" s="217" t="s">
        <v>3004</v>
      </c>
      <c r="G38" s="217">
        <v>5</v>
      </c>
      <c r="H38" s="218" t="s">
        <v>2979</v>
      </c>
      <c r="I38" s="217">
        <v>20</v>
      </c>
      <c r="J38" s="122">
        <v>232.66050000000001</v>
      </c>
      <c r="K38" s="122">
        <v>232.66050000000001</v>
      </c>
      <c r="L38" s="126">
        <f t="shared" ref="L38:M38" si="12">ABS(J38-J39)</f>
        <v>4.8999999999921329E-3</v>
      </c>
      <c r="M38" s="126">
        <f t="shared" si="12"/>
        <v>4.8999999999921329E-3</v>
      </c>
    </row>
    <row r="39" spans="2:13">
      <c r="B39" s="220" t="s">
        <v>3003</v>
      </c>
      <c r="C39" s="216" t="s">
        <v>3000</v>
      </c>
      <c r="D39" s="217"/>
      <c r="E39" s="217"/>
      <c r="F39" s="217" t="s">
        <v>3004</v>
      </c>
      <c r="G39" s="217">
        <v>5</v>
      </c>
      <c r="H39" s="218" t="s">
        <v>2979</v>
      </c>
      <c r="I39" s="217">
        <v>20</v>
      </c>
      <c r="J39" s="122">
        <v>232.66540000000001</v>
      </c>
      <c r="K39" s="122">
        <v>232.66540000000001</v>
      </c>
      <c r="L39" s="127"/>
      <c r="M39" s="127"/>
    </row>
    <row r="40" spans="2:13">
      <c r="B40" s="220" t="s">
        <v>3086</v>
      </c>
      <c r="C40" s="216" t="s">
        <v>228</v>
      </c>
      <c r="D40" s="217"/>
      <c r="E40" s="217"/>
      <c r="F40" s="217" t="s">
        <v>3010</v>
      </c>
      <c r="G40" s="217">
        <v>5</v>
      </c>
      <c r="H40" s="218" t="s">
        <v>2979</v>
      </c>
      <c r="I40" s="217">
        <v>20</v>
      </c>
      <c r="J40" s="122">
        <v>232.64859999999999</v>
      </c>
      <c r="K40" s="122">
        <v>232.64859999999999</v>
      </c>
      <c r="L40" s="126">
        <f t="shared" ref="L40:M40" si="13">ABS(J40-J41)</f>
        <v>8.300000000019736E-3</v>
      </c>
      <c r="M40" s="126">
        <f t="shared" si="13"/>
        <v>8.300000000019736E-3</v>
      </c>
    </row>
    <row r="41" spans="2:13">
      <c r="B41" s="220" t="s">
        <v>3009</v>
      </c>
      <c r="C41" s="216" t="s">
        <v>3006</v>
      </c>
      <c r="D41" s="217"/>
      <c r="E41" s="217"/>
      <c r="F41" s="217" t="s">
        <v>3010</v>
      </c>
      <c r="G41" s="217">
        <v>5</v>
      </c>
      <c r="H41" s="218" t="s">
        <v>2979</v>
      </c>
      <c r="I41" s="217">
        <v>20</v>
      </c>
      <c r="J41" s="122">
        <v>232.65690000000001</v>
      </c>
      <c r="K41" s="122">
        <v>232.65690000000001</v>
      </c>
      <c r="L41" s="128"/>
      <c r="M41" s="128"/>
    </row>
  </sheetData>
  <phoneticPr fontId="3"/>
  <dataValidations count="4">
    <dataValidation type="list" allowBlank="1" showInputMessage="1" showErrorMessage="1" sqref="E14:E15" xr:uid="{DAD46895-8B12-4AF0-A02B-AB99F7ADCCCE}">
      <formula1>Diff_</formula1>
    </dataValidation>
    <dataValidation type="whole" operator="greaterThan" allowBlank="1" showInputMessage="1" showErrorMessage="1" sqref="F14:F15 D14:D15 H14:H15" xr:uid="{9C4DC8E8-33E2-4C92-9655-44B07FBA19AD}">
      <formula1>0</formula1>
    </dataValidation>
    <dataValidation type="list" allowBlank="1" showInputMessage="1" showErrorMessage="1" sqref="I14:I15" xr:uid="{9A91B86A-DDCA-4474-9E20-0AD3CBB9905C}">
      <formula1>Loop_back</formula1>
    </dataValidation>
    <dataValidation type="list" allowBlank="1" showInputMessage="1" showErrorMessage="1" sqref="G14:G15" xr:uid="{AA5A6A19-91B6-4292-8426-5B5DB8ACECCF}">
      <formula1>Match_</formula1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F30B-1107-4D7D-9B4F-E23D79CC7DF2}">
  <sheetPr codeName="Sheet38"/>
  <dimension ref="B1:P21"/>
  <sheetViews>
    <sheetView zoomScale="70" zoomScaleNormal="70" workbookViewId="0"/>
  </sheetViews>
  <sheetFormatPr defaultColWidth="9" defaultRowHeight="14.25"/>
  <cols>
    <col min="1" max="1" width="13" style="26" customWidth="1"/>
    <col min="2" max="2" width="39.42578125" style="26" customWidth="1"/>
    <col min="3" max="3" width="13.42578125" style="26" bestFit="1" customWidth="1"/>
    <col min="4" max="6" width="9" style="26"/>
    <col min="7" max="7" width="10.7109375" style="26" customWidth="1"/>
    <col min="8" max="8" width="10.42578125" style="26" customWidth="1"/>
    <col min="9" max="9" width="10.42578125" style="26" bestFit="1" customWidth="1"/>
    <col min="10" max="13" width="11.5703125" style="26" customWidth="1"/>
    <col min="14" max="14" width="9.140625" style="26" bestFit="1" customWidth="1"/>
    <col min="15" max="15" width="9.42578125" style="26" bestFit="1" customWidth="1"/>
    <col min="16" max="16384" width="9" style="26"/>
  </cols>
  <sheetData>
    <row r="1" spans="2:16" ht="25.5">
      <c r="B1" s="8" t="str">
        <f>SITE1!B1</f>
        <v>ITTO-620-0190 Meteor Lake PCH X4</v>
      </c>
      <c r="K1" s="7">
        <v>44635</v>
      </c>
      <c r="L1" s="7"/>
    </row>
    <row r="2" spans="2:16" ht="20.25">
      <c r="B2" s="125" t="s">
        <v>6331</v>
      </c>
    </row>
    <row r="3" spans="2:16" ht="20.25">
      <c r="B3" s="13"/>
    </row>
    <row r="4" spans="2:16" ht="20.25">
      <c r="B4" s="13"/>
      <c r="L4" s="26" t="s">
        <v>6312</v>
      </c>
      <c r="N4" s="26" t="s">
        <v>6294</v>
      </c>
    </row>
    <row r="5" spans="2:16" ht="20.25">
      <c r="B5" s="13"/>
      <c r="L5" s="5" t="s">
        <v>6291</v>
      </c>
      <c r="M5" s="27">
        <f>MAX(L14:M15)</f>
        <v>1.6300000000001091E-2</v>
      </c>
      <c r="N5" s="115">
        <f>G14</f>
        <v>2.5</v>
      </c>
      <c r="O5" s="112">
        <f>N5*0.0254</f>
        <v>6.3500000000000001E-2</v>
      </c>
      <c r="P5" s="111" t="str">
        <f>IF(M5&gt;O5,"Wrong","OK")</f>
        <v>OK</v>
      </c>
    </row>
    <row r="6" spans="2:16" ht="20.25">
      <c r="B6" s="13"/>
    </row>
    <row r="7" spans="2:16" ht="20.25">
      <c r="B7" s="13"/>
      <c r="L7" s="26" t="s">
        <v>6312</v>
      </c>
      <c r="N7" s="26" t="s">
        <v>6294</v>
      </c>
    </row>
    <row r="8" spans="2:16">
      <c r="L8" s="5" t="s">
        <v>6291</v>
      </c>
      <c r="M8" s="27">
        <f>MAX(L18:M21)</f>
        <v>5.6999999999902684E-3</v>
      </c>
      <c r="N8" s="115">
        <f>G16</f>
        <v>5</v>
      </c>
      <c r="O8" s="112">
        <f>N8*0.0254</f>
        <v>0.127</v>
      </c>
      <c r="P8" s="111" t="str">
        <f>IF(M8&gt;O8,"Wrong","OK")</f>
        <v>OK</v>
      </c>
    </row>
    <row r="12" spans="2:16">
      <c r="J12" s="116" t="s">
        <v>6313</v>
      </c>
      <c r="K12" s="121"/>
      <c r="L12" s="116" t="s">
        <v>6320</v>
      </c>
      <c r="M12" s="121"/>
    </row>
    <row r="13" spans="2:16" ht="75">
      <c r="B13" s="91" t="s">
        <v>19</v>
      </c>
      <c r="C13" s="91" t="s">
        <v>20</v>
      </c>
      <c r="D13" s="99" t="s">
        <v>29</v>
      </c>
      <c r="E13" s="100" t="s">
        <v>30</v>
      </c>
      <c r="F13" s="93" t="s">
        <v>31</v>
      </c>
      <c r="G13" s="93" t="s">
        <v>32</v>
      </c>
      <c r="H13" s="102" t="s">
        <v>34</v>
      </c>
      <c r="I13" s="103" t="s">
        <v>35</v>
      </c>
      <c r="J13" s="118" t="s">
        <v>10</v>
      </c>
      <c r="K13" s="118" t="s">
        <v>4127</v>
      </c>
      <c r="L13" s="118" t="s">
        <v>10</v>
      </c>
      <c r="M13" s="118" t="s">
        <v>4127</v>
      </c>
    </row>
    <row r="14" spans="2:16">
      <c r="B14" s="215" t="s">
        <v>613</v>
      </c>
      <c r="C14" s="216" t="s">
        <v>610</v>
      </c>
      <c r="D14" s="217"/>
      <c r="E14" s="217"/>
      <c r="F14" s="217" t="s">
        <v>614</v>
      </c>
      <c r="G14" s="217">
        <v>2.5</v>
      </c>
      <c r="H14" s="218"/>
      <c r="I14" s="217"/>
      <c r="J14" s="122">
        <v>209.2253</v>
      </c>
      <c r="K14" s="122">
        <v>209.2253</v>
      </c>
      <c r="L14" s="126">
        <f t="shared" ref="L14:M14" si="0">ABS(J14-J15)</f>
        <v>1.6300000000001091E-2</v>
      </c>
      <c r="M14" s="126">
        <f t="shared" si="0"/>
        <v>1.6300000000001091E-2</v>
      </c>
    </row>
    <row r="15" spans="2:16">
      <c r="B15" s="215" t="s">
        <v>619</v>
      </c>
      <c r="C15" s="216" t="s">
        <v>616</v>
      </c>
      <c r="D15" s="217"/>
      <c r="E15" s="217"/>
      <c r="F15" s="217" t="s">
        <v>614</v>
      </c>
      <c r="G15" s="217">
        <v>2.5</v>
      </c>
      <c r="H15" s="218"/>
      <c r="I15" s="217"/>
      <c r="J15" s="122">
        <v>209.24160000000001</v>
      </c>
      <c r="K15" s="122">
        <v>209.24160000000001</v>
      </c>
      <c r="L15" s="127"/>
      <c r="M15" s="127"/>
    </row>
    <row r="16" spans="2:16">
      <c r="B16" s="215" t="s">
        <v>651</v>
      </c>
      <c r="C16" s="216" t="s">
        <v>647</v>
      </c>
      <c r="D16" s="217"/>
      <c r="E16" s="217"/>
      <c r="F16" s="217" t="s">
        <v>652</v>
      </c>
      <c r="G16" s="217">
        <v>5</v>
      </c>
      <c r="H16" s="218"/>
      <c r="I16" s="217"/>
      <c r="J16" s="122">
        <v>209.29810000000001</v>
      </c>
      <c r="K16" s="122">
        <v>209.29810000000001</v>
      </c>
      <c r="L16" s="126">
        <f t="shared" ref="L16:M16" si="1">ABS(J16-J17)</f>
        <v>8.5499999999996135E-2</v>
      </c>
      <c r="M16" s="126">
        <f t="shared" si="1"/>
        <v>8.5499999999996135E-2</v>
      </c>
    </row>
    <row r="17" spans="2:13">
      <c r="B17" s="215" t="s">
        <v>659</v>
      </c>
      <c r="C17" s="216" t="s">
        <v>655</v>
      </c>
      <c r="D17" s="217"/>
      <c r="E17" s="217"/>
      <c r="F17" s="217" t="s">
        <v>652</v>
      </c>
      <c r="G17" s="217">
        <v>5</v>
      </c>
      <c r="H17" s="218"/>
      <c r="I17" s="217"/>
      <c r="J17" s="122">
        <v>209.21260000000001</v>
      </c>
      <c r="K17" s="122">
        <v>209.21260000000001</v>
      </c>
      <c r="L17" s="127"/>
      <c r="M17" s="127"/>
    </row>
    <row r="18" spans="2:13">
      <c r="B18" s="219" t="s">
        <v>2945</v>
      </c>
      <c r="C18" s="216" t="s">
        <v>2941</v>
      </c>
      <c r="D18" s="217"/>
      <c r="E18" s="217"/>
      <c r="F18" s="217" t="s">
        <v>2946</v>
      </c>
      <c r="G18" s="217">
        <v>5</v>
      </c>
      <c r="H18" s="218"/>
      <c r="I18" s="217"/>
      <c r="J18" s="122">
        <v>209.2877</v>
      </c>
      <c r="K18" s="122">
        <v>209.2877</v>
      </c>
      <c r="L18" s="126">
        <f t="shared" ref="L18:M18" si="2">ABS(J18-J19)</f>
        <v>4.8999999999921329E-3</v>
      </c>
      <c r="M18" s="126">
        <f t="shared" si="2"/>
        <v>4.8999999999921329E-3</v>
      </c>
    </row>
    <row r="19" spans="2:13">
      <c r="B19" s="219" t="s">
        <v>2952</v>
      </c>
      <c r="C19" s="216" t="s">
        <v>2948</v>
      </c>
      <c r="D19" s="217"/>
      <c r="E19" s="217"/>
      <c r="F19" s="217" t="s">
        <v>2946</v>
      </c>
      <c r="G19" s="217">
        <v>5</v>
      </c>
      <c r="H19" s="218"/>
      <c r="I19" s="217"/>
      <c r="J19" s="122">
        <v>209.28280000000001</v>
      </c>
      <c r="K19" s="122">
        <v>209.28280000000001</v>
      </c>
      <c r="L19" s="127"/>
      <c r="M19" s="127"/>
    </row>
    <row r="20" spans="2:13">
      <c r="B20" s="219" t="s">
        <v>4092</v>
      </c>
      <c r="C20" s="216" t="s">
        <v>4088</v>
      </c>
      <c r="D20" s="217"/>
      <c r="E20" s="217"/>
      <c r="F20" s="217" t="s">
        <v>4093</v>
      </c>
      <c r="G20" s="217">
        <v>5</v>
      </c>
      <c r="H20" s="218"/>
      <c r="I20" s="217"/>
      <c r="J20" s="122">
        <v>209.2561</v>
      </c>
      <c r="K20" s="122">
        <v>209.2561</v>
      </c>
      <c r="L20" s="126">
        <f t="shared" ref="L20:M20" si="3">ABS(J20-J21)</f>
        <v>5.6999999999902684E-3</v>
      </c>
      <c r="M20" s="126">
        <f t="shared" si="3"/>
        <v>5.6999999999902684E-3</v>
      </c>
    </row>
    <row r="21" spans="2:13">
      <c r="B21" s="219" t="s">
        <v>4099</v>
      </c>
      <c r="C21" s="216" t="s">
        <v>4095</v>
      </c>
      <c r="D21" s="217"/>
      <c r="E21" s="217"/>
      <c r="F21" s="217" t="s">
        <v>4093</v>
      </c>
      <c r="G21" s="217">
        <v>5</v>
      </c>
      <c r="H21" s="218"/>
      <c r="I21" s="217"/>
      <c r="J21" s="122">
        <v>209.25040000000001</v>
      </c>
      <c r="K21" s="122">
        <v>209.25040000000001</v>
      </c>
      <c r="L21" s="128"/>
      <c r="M21" s="128"/>
    </row>
  </sheetData>
  <phoneticPr fontId="3"/>
  <dataValidations disablePrompts="1" count="4">
    <dataValidation type="list" allowBlank="1" showInputMessage="1" showErrorMessage="1" sqref="G14:G15" xr:uid="{4AC7750F-D40F-4DCB-B68E-092395584C07}">
      <formula1>Match_</formula1>
    </dataValidation>
    <dataValidation type="list" allowBlank="1" showInputMessage="1" showErrorMessage="1" sqref="I14:I15" xr:uid="{6D85DB0B-0F5D-4DC2-8720-2CBF150FD1A3}">
      <formula1>Loop_back</formula1>
    </dataValidation>
    <dataValidation type="whole" operator="greaterThan" allowBlank="1" showInputMessage="1" showErrorMessage="1" sqref="F14:F15 D14:D15 H14:H15" xr:uid="{4799A656-1C49-4664-9301-8895755BA291}">
      <formula1>0</formula1>
    </dataValidation>
    <dataValidation type="list" allowBlank="1" showInputMessage="1" showErrorMessage="1" sqref="E14:E15" xr:uid="{B8D211A2-C0D3-46B3-B858-C82E96BEF9BD}">
      <formula1>Diff_</formula1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6"/>
  <dimension ref="A1:P32"/>
  <sheetViews>
    <sheetView zoomScale="70" zoomScaleNormal="70" workbookViewId="0"/>
  </sheetViews>
  <sheetFormatPr defaultColWidth="9" defaultRowHeight="14.25"/>
  <cols>
    <col min="1" max="1" width="9" style="26"/>
    <col min="2" max="2" width="25.28515625" style="26" customWidth="1"/>
    <col min="3" max="3" width="10.85546875" style="26" customWidth="1"/>
    <col min="4" max="4" width="9.42578125" style="26" customWidth="1"/>
    <col min="5" max="5" width="7.7109375" style="26" customWidth="1"/>
    <col min="6" max="6" width="8.42578125" style="26" customWidth="1"/>
    <col min="7" max="7" width="9.85546875" style="26" customWidth="1"/>
    <col min="8" max="8" width="9.42578125" style="26" customWidth="1"/>
    <col min="9" max="9" width="9.5703125" style="26" customWidth="1"/>
    <col min="10" max="10" width="9.42578125" style="26" customWidth="1"/>
    <col min="11" max="11" width="11.28515625" style="26" customWidth="1"/>
    <col min="12" max="12" width="10.85546875" style="26" customWidth="1"/>
    <col min="13" max="15" width="11.5703125" style="26" customWidth="1"/>
    <col min="16" max="16" width="10.28515625" style="26" customWidth="1"/>
    <col min="17" max="16384" width="9" style="26"/>
  </cols>
  <sheetData>
    <row r="1" spans="1:16" ht="25.5">
      <c r="B1" s="8" t="str">
        <f>SITE1!B1</f>
        <v>ITTO-620-0190 Meteor Lake PCH X4</v>
      </c>
      <c r="H1" s="8"/>
      <c r="K1" s="7">
        <v>44637</v>
      </c>
      <c r="M1" s="7"/>
      <c r="N1" s="7"/>
      <c r="O1" s="7"/>
    </row>
    <row r="2" spans="1:16" ht="21" customHeight="1">
      <c r="B2" s="13" t="s">
        <v>6332</v>
      </c>
      <c r="H2" s="13"/>
      <c r="I2" s="13"/>
    </row>
    <row r="3" spans="1:16" s="22" customFormat="1" ht="12.75"/>
    <row r="4" spans="1:16" s="22" customFormat="1">
      <c r="N4" s="26" t="s">
        <v>6333</v>
      </c>
      <c r="O4" s="26"/>
    </row>
    <row r="5" spans="1:16" s="22" customFormat="1">
      <c r="N5" s="5" t="s">
        <v>6291</v>
      </c>
      <c r="O5" s="27">
        <f>MAX(N14:O17)</f>
        <v>402.67101299999996</v>
      </c>
    </row>
    <row r="6" spans="1:16" s="22" customFormat="1">
      <c r="N6" s="5" t="s">
        <v>6292</v>
      </c>
      <c r="O6" s="27">
        <f>MIN(N14:O17)</f>
        <v>402.03059400000001</v>
      </c>
    </row>
    <row r="7" spans="1:16" s="22" customFormat="1">
      <c r="N7" s="5" t="s">
        <v>6293</v>
      </c>
      <c r="O7" s="27">
        <f>O5-O6</f>
        <v>0.64041899999995167</v>
      </c>
    </row>
    <row r="8" spans="1:16" s="22" customFormat="1">
      <c r="N8" s="26" t="s">
        <v>6294</v>
      </c>
      <c r="O8" s="113">
        <f>1000</f>
        <v>1000</v>
      </c>
    </row>
    <row r="9" spans="1:16" s="22" customFormat="1">
      <c r="C9" s="12"/>
      <c r="D9" s="12"/>
      <c r="E9" s="12"/>
      <c r="F9" s="12"/>
      <c r="G9" s="12"/>
      <c r="H9" s="12"/>
      <c r="I9" s="12"/>
      <c r="N9" s="26"/>
      <c r="O9" s="112">
        <f>O8*0.0254</f>
        <v>25.4</v>
      </c>
    </row>
    <row r="10" spans="1:16" s="22" customFormat="1">
      <c r="C10" s="12"/>
      <c r="D10" s="12"/>
      <c r="E10" s="12"/>
      <c r="F10" s="12"/>
      <c r="G10" s="12"/>
      <c r="H10" s="12"/>
      <c r="I10" s="12"/>
      <c r="N10" s="26"/>
      <c r="O10" s="111" t="str">
        <f>IF(O7&gt;O9,"Wrong","OK")</f>
        <v>OK</v>
      </c>
    </row>
    <row r="11" spans="1:16" s="22" customFormat="1" ht="12.75">
      <c r="C11" s="12"/>
      <c r="D11" s="12"/>
      <c r="E11" s="12"/>
      <c r="F11" s="12"/>
      <c r="G11" s="12"/>
      <c r="H11" s="12"/>
      <c r="I11" s="12"/>
    </row>
    <row r="12" spans="1:16" s="22" customFormat="1" ht="12.75">
      <c r="B12" s="12" t="s">
        <v>6333</v>
      </c>
      <c r="J12" s="134" t="s">
        <v>6334</v>
      </c>
      <c r="K12" s="135"/>
      <c r="L12" s="134" t="s">
        <v>6335</v>
      </c>
      <c r="M12" s="123"/>
      <c r="N12" s="116" t="s">
        <v>6298</v>
      </c>
      <c r="O12" s="121"/>
    </row>
    <row r="13" spans="1:16" ht="75">
      <c r="B13" s="32" t="s">
        <v>19</v>
      </c>
      <c r="C13" s="32" t="s">
        <v>20</v>
      </c>
      <c r="D13" s="99" t="s">
        <v>29</v>
      </c>
      <c r="E13" s="100" t="s">
        <v>30</v>
      </c>
      <c r="F13" s="93" t="s">
        <v>31</v>
      </c>
      <c r="G13" s="93" t="s">
        <v>32</v>
      </c>
      <c r="H13" s="102" t="s">
        <v>34</v>
      </c>
      <c r="I13" s="103" t="s">
        <v>35</v>
      </c>
      <c r="J13" s="120" t="s">
        <v>10</v>
      </c>
      <c r="K13" s="120" t="s">
        <v>4127</v>
      </c>
      <c r="L13" s="120" t="s">
        <v>10</v>
      </c>
      <c r="M13" s="120" t="s">
        <v>4127</v>
      </c>
      <c r="N13" s="142" t="s">
        <v>10</v>
      </c>
      <c r="O13" s="142" t="s">
        <v>4127</v>
      </c>
    </row>
    <row r="14" spans="1:16">
      <c r="A14" s="26" t="s">
        <v>6336</v>
      </c>
      <c r="B14" s="208" t="s">
        <v>2912</v>
      </c>
      <c r="C14" s="209" t="s">
        <v>2904</v>
      </c>
      <c r="D14" s="210"/>
      <c r="E14" s="136"/>
      <c r="F14" s="270"/>
      <c r="G14" s="270"/>
      <c r="H14" s="137"/>
      <c r="I14" s="138"/>
      <c r="J14" s="122">
        <v>29.747913</v>
      </c>
      <c r="K14" s="122">
        <v>29.747913</v>
      </c>
      <c r="L14" s="23">
        <v>372.92309999999998</v>
      </c>
      <c r="M14" s="23">
        <v>372.41329999999999</v>
      </c>
      <c r="N14" s="23">
        <f>SUM(J14,L14)</f>
        <v>402.67101299999996</v>
      </c>
      <c r="O14" s="23">
        <f t="shared" ref="O14:O17" si="0">SUM(K14,M14)</f>
        <v>402.16121299999998</v>
      </c>
      <c r="P14" s="26" t="s">
        <v>6337</v>
      </c>
    </row>
    <row r="15" spans="1:16">
      <c r="A15" s="26" t="s">
        <v>6338</v>
      </c>
      <c r="B15" s="211"/>
      <c r="C15" s="212"/>
      <c r="D15" s="212"/>
      <c r="E15" s="139"/>
      <c r="F15" s="271"/>
      <c r="G15" s="271"/>
      <c r="H15" s="140"/>
      <c r="I15" s="141"/>
      <c r="J15" s="122">
        <v>29.548293999999999</v>
      </c>
      <c r="K15" s="122">
        <v>29.548293999999999</v>
      </c>
      <c r="L15" s="23">
        <v>372.99529999999999</v>
      </c>
      <c r="M15" s="23">
        <v>372.48230000000001</v>
      </c>
      <c r="N15" s="23">
        <f t="shared" ref="N15:N17" si="1">SUM(J15,L15)</f>
        <v>402.54359399999998</v>
      </c>
      <c r="O15" s="23">
        <f t="shared" si="0"/>
        <v>402.03059400000001</v>
      </c>
      <c r="P15" s="26" t="s">
        <v>6339</v>
      </c>
    </row>
    <row r="16" spans="1:16">
      <c r="A16" s="26" t="s">
        <v>6340</v>
      </c>
      <c r="B16" s="213" t="s">
        <v>2923</v>
      </c>
      <c r="C16" s="214" t="s">
        <v>2915</v>
      </c>
      <c r="D16" s="210"/>
      <c r="E16" s="136"/>
      <c r="F16" s="270"/>
      <c r="G16" s="270"/>
      <c r="H16" s="137"/>
      <c r="I16" s="138"/>
      <c r="J16" s="122">
        <v>29.609206</v>
      </c>
      <c r="K16" s="122">
        <v>29.609206</v>
      </c>
      <c r="L16" s="23">
        <v>372.9402</v>
      </c>
      <c r="M16" s="23">
        <v>372.4314</v>
      </c>
      <c r="N16" s="23">
        <f t="shared" si="1"/>
        <v>402.54940599999998</v>
      </c>
      <c r="O16" s="23">
        <f t="shared" si="0"/>
        <v>402.04060600000003</v>
      </c>
      <c r="P16" s="26" t="s">
        <v>6341</v>
      </c>
    </row>
    <row r="17" spans="1:16">
      <c r="A17" s="26" t="s">
        <v>6342</v>
      </c>
      <c r="B17" s="211"/>
      <c r="C17" s="212"/>
      <c r="D17" s="212"/>
      <c r="E17" s="139"/>
      <c r="F17" s="271"/>
      <c r="G17" s="271"/>
      <c r="H17" s="140"/>
      <c r="I17" s="141"/>
      <c r="J17" s="122">
        <v>29.661180999999999</v>
      </c>
      <c r="K17" s="122">
        <v>29.661180999999999</v>
      </c>
      <c r="L17" s="23">
        <v>372.9153</v>
      </c>
      <c r="M17" s="23">
        <v>372.40640000000002</v>
      </c>
      <c r="N17" s="23">
        <f t="shared" si="1"/>
        <v>402.576481</v>
      </c>
      <c r="O17" s="23">
        <f t="shared" si="0"/>
        <v>402.06758100000002</v>
      </c>
      <c r="P17" s="26" t="s">
        <v>6343</v>
      </c>
    </row>
    <row r="18" spans="1:16"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1:16" s="22" customFormat="1">
      <c r="J19" s="26" t="s">
        <v>6344</v>
      </c>
      <c r="K19" s="26"/>
      <c r="L19" s="26" t="s">
        <v>6345</v>
      </c>
      <c r="M19" s="26"/>
      <c r="N19" s="26" t="s">
        <v>6311</v>
      </c>
      <c r="O19" s="26"/>
    </row>
    <row r="20" spans="1:16" s="22" customFormat="1">
      <c r="J20" s="5" t="s">
        <v>6291</v>
      </c>
      <c r="K20" s="27">
        <f>MAX(J29:K32)</f>
        <v>29.747913</v>
      </c>
      <c r="L20" s="5" t="s">
        <v>6291</v>
      </c>
      <c r="M20" s="272">
        <f>MAX(L29:M32)</f>
        <v>207.3732</v>
      </c>
      <c r="N20" s="5" t="s">
        <v>6291</v>
      </c>
      <c r="O20" s="272">
        <f>MAX(N29:O32)</f>
        <v>237.034381</v>
      </c>
    </row>
    <row r="21" spans="1:16" s="22" customFormat="1">
      <c r="J21" s="5" t="s">
        <v>6292</v>
      </c>
      <c r="K21" s="27">
        <f>MIN(J29:K32)</f>
        <v>29.548293999999999</v>
      </c>
      <c r="L21" s="5" t="s">
        <v>6292</v>
      </c>
      <c r="M21" s="272">
        <f>MIN(L29:M32)</f>
        <v>207.06800000000001</v>
      </c>
      <c r="N21" s="5" t="s">
        <v>6292</v>
      </c>
      <c r="O21" s="272">
        <f>MIN(N29:O32)</f>
        <v>236.81591300000002</v>
      </c>
    </row>
    <row r="22" spans="1:16" s="22" customFormat="1">
      <c r="J22" s="5" t="s">
        <v>6293</v>
      </c>
      <c r="K22" s="27">
        <f>K20-K21</f>
        <v>0.19961900000000199</v>
      </c>
      <c r="L22" s="5" t="s">
        <v>6293</v>
      </c>
      <c r="M22" s="272">
        <f>M20-M21</f>
        <v>0.30519999999998504</v>
      </c>
      <c r="N22" s="5" t="s">
        <v>6293</v>
      </c>
      <c r="O22" s="272">
        <f>O20-O21</f>
        <v>0.21846799999997302</v>
      </c>
    </row>
    <row r="23" spans="1:16" s="22" customFormat="1">
      <c r="J23" s="26" t="s">
        <v>6294</v>
      </c>
      <c r="K23" s="113">
        <v>100</v>
      </c>
      <c r="L23" s="26" t="s">
        <v>6294</v>
      </c>
      <c r="M23" s="113">
        <v>100</v>
      </c>
      <c r="N23" s="26" t="s">
        <v>6294</v>
      </c>
      <c r="O23" s="113">
        <f>SUM(K23,M23)</f>
        <v>200</v>
      </c>
    </row>
    <row r="24" spans="1:16" s="22" customFormat="1">
      <c r="C24" s="12"/>
      <c r="D24" s="12"/>
      <c r="E24" s="12"/>
      <c r="F24" s="12"/>
      <c r="G24" s="12"/>
      <c r="H24" s="12"/>
      <c r="I24" s="12"/>
      <c r="J24" s="26"/>
      <c r="K24" s="112">
        <f>K23*0.0254</f>
        <v>2.54</v>
      </c>
      <c r="L24" s="26"/>
      <c r="M24" s="112">
        <f>M23*0.0254</f>
        <v>2.54</v>
      </c>
      <c r="N24" s="26"/>
      <c r="O24" s="112">
        <f>O23*0.0254</f>
        <v>5.08</v>
      </c>
    </row>
    <row r="25" spans="1:16" s="22" customFormat="1">
      <c r="C25" s="12"/>
      <c r="D25" s="12"/>
      <c r="E25" s="12"/>
      <c r="F25" s="12"/>
      <c r="G25" s="12"/>
      <c r="H25" s="12"/>
      <c r="I25" s="12"/>
      <c r="J25" s="26"/>
      <c r="K25" s="111" t="str">
        <f>IF(K22&gt;K24,"Wrong","OK")</f>
        <v>OK</v>
      </c>
      <c r="L25" s="26"/>
      <c r="M25" s="111" t="str">
        <f>IF(M22&gt;M24,"Wrong","OK")</f>
        <v>OK</v>
      </c>
      <c r="N25" s="26"/>
      <c r="O25" s="111" t="str">
        <f>IF(O22&gt;O24,"Wrong","OK")</f>
        <v>OK</v>
      </c>
    </row>
    <row r="26" spans="1:16" s="22" customFormat="1" ht="12.75">
      <c r="C26" s="12"/>
      <c r="D26" s="12"/>
      <c r="E26" s="12"/>
      <c r="F26" s="12"/>
      <c r="G26" s="12"/>
      <c r="H26" s="12"/>
      <c r="I26" s="12"/>
    </row>
    <row r="27" spans="1:16" s="22" customFormat="1" ht="12.75">
      <c r="B27" s="12" t="s">
        <v>6311</v>
      </c>
      <c r="J27" s="134" t="s">
        <v>6334</v>
      </c>
      <c r="K27" s="135"/>
      <c r="L27" s="134" t="s">
        <v>6326</v>
      </c>
      <c r="M27" s="135"/>
      <c r="N27" s="134" t="s">
        <v>6298</v>
      </c>
      <c r="O27" s="135"/>
    </row>
    <row r="28" spans="1:16" ht="75">
      <c r="B28" s="32" t="s">
        <v>19</v>
      </c>
      <c r="C28" s="32" t="s">
        <v>20</v>
      </c>
      <c r="D28" s="99" t="s">
        <v>29</v>
      </c>
      <c r="E28" s="100" t="s">
        <v>30</v>
      </c>
      <c r="F28" s="93" t="s">
        <v>31</v>
      </c>
      <c r="G28" s="93" t="s">
        <v>32</v>
      </c>
      <c r="H28" s="102" t="s">
        <v>34</v>
      </c>
      <c r="I28" s="103" t="s">
        <v>35</v>
      </c>
      <c r="J28" s="120" t="s">
        <v>10</v>
      </c>
      <c r="K28" s="120" t="s">
        <v>4127</v>
      </c>
      <c r="L28" s="120" t="s">
        <v>10</v>
      </c>
      <c r="M28" s="120" t="s">
        <v>4127</v>
      </c>
      <c r="N28" s="120" t="s">
        <v>10</v>
      </c>
      <c r="O28" s="120" t="s">
        <v>4127</v>
      </c>
    </row>
    <row r="29" spans="1:16">
      <c r="A29" s="26" t="s">
        <v>6336</v>
      </c>
      <c r="B29" s="208" t="s">
        <v>2912</v>
      </c>
      <c r="C29" s="209" t="s">
        <v>2904</v>
      </c>
      <c r="D29" s="210"/>
      <c r="E29" s="136"/>
      <c r="F29" s="270"/>
      <c r="G29" s="270"/>
      <c r="H29" s="137"/>
      <c r="I29" s="138"/>
      <c r="J29" s="122">
        <v>29.747913</v>
      </c>
      <c r="K29" s="122">
        <v>29.747913</v>
      </c>
      <c r="L29" s="273">
        <v>207.06800000000001</v>
      </c>
      <c r="M29" s="273">
        <v>207.06800000000001</v>
      </c>
      <c r="N29" s="273">
        <f>SUM(J29,L29)</f>
        <v>236.81591300000002</v>
      </c>
      <c r="O29" s="273">
        <f t="shared" ref="O29:O32" si="2">SUM(K29,M29)</f>
        <v>236.81591300000002</v>
      </c>
    </row>
    <row r="30" spans="1:16">
      <c r="A30" s="26" t="s">
        <v>6338</v>
      </c>
      <c r="B30" s="211"/>
      <c r="C30" s="212"/>
      <c r="D30" s="212"/>
      <c r="E30" s="139"/>
      <c r="F30" s="271"/>
      <c r="G30" s="271"/>
      <c r="H30" s="140"/>
      <c r="I30" s="141"/>
      <c r="J30" s="122">
        <v>29.548293999999999</v>
      </c>
      <c r="K30" s="122">
        <v>29.548293999999999</v>
      </c>
      <c r="L30" s="273">
        <v>207.30520000000001</v>
      </c>
      <c r="M30" s="273">
        <v>207.30520000000001</v>
      </c>
      <c r="N30" s="273">
        <f t="shared" ref="N30:N32" si="3">SUM(J30,L30)</f>
        <v>236.85349400000001</v>
      </c>
      <c r="O30" s="273">
        <f t="shared" si="2"/>
        <v>236.85349400000001</v>
      </c>
    </row>
    <row r="31" spans="1:16">
      <c r="A31" s="26" t="s">
        <v>6340</v>
      </c>
      <c r="B31" s="213" t="s">
        <v>2923</v>
      </c>
      <c r="C31" s="214" t="s">
        <v>2915</v>
      </c>
      <c r="D31" s="210"/>
      <c r="E31" s="136"/>
      <c r="F31" s="270"/>
      <c r="G31" s="270"/>
      <c r="H31" s="137"/>
      <c r="I31" s="138"/>
      <c r="J31" s="122">
        <v>29.609206</v>
      </c>
      <c r="K31" s="122">
        <v>29.609206</v>
      </c>
      <c r="L31" s="273">
        <v>207.26769999999999</v>
      </c>
      <c r="M31" s="273">
        <v>207.26769999999999</v>
      </c>
      <c r="N31" s="273">
        <f t="shared" si="3"/>
        <v>236.87690599999999</v>
      </c>
      <c r="O31" s="273">
        <f t="shared" si="2"/>
        <v>236.87690599999999</v>
      </c>
    </row>
    <row r="32" spans="1:16">
      <c r="A32" s="26" t="s">
        <v>6342</v>
      </c>
      <c r="B32" s="211"/>
      <c r="C32" s="212"/>
      <c r="D32" s="212"/>
      <c r="E32" s="139"/>
      <c r="F32" s="271"/>
      <c r="G32" s="271"/>
      <c r="H32" s="140"/>
      <c r="I32" s="141"/>
      <c r="J32" s="122">
        <v>29.661180999999999</v>
      </c>
      <c r="K32" s="122">
        <v>29.661180999999999</v>
      </c>
      <c r="L32" s="273">
        <v>207.3732</v>
      </c>
      <c r="M32" s="273">
        <v>207.3732</v>
      </c>
      <c r="N32" s="273">
        <f t="shared" si="3"/>
        <v>237.034381</v>
      </c>
      <c r="O32" s="273">
        <f t="shared" si="2"/>
        <v>237.034381</v>
      </c>
    </row>
  </sheetData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9062-DFC1-450B-A3B0-7909ACAC48EA}">
  <sheetPr codeName="Sheet9"/>
  <dimension ref="B1:K21"/>
  <sheetViews>
    <sheetView zoomScale="85" zoomScaleNormal="85" workbookViewId="0"/>
  </sheetViews>
  <sheetFormatPr defaultColWidth="9" defaultRowHeight="14.25"/>
  <cols>
    <col min="1" max="1" width="9" style="26"/>
    <col min="2" max="2" width="25.28515625" style="26" customWidth="1"/>
    <col min="3" max="3" width="9.5703125" style="26" customWidth="1"/>
    <col min="4" max="4" width="9.42578125" style="26" customWidth="1"/>
    <col min="5" max="5" width="11.28515625" style="26" customWidth="1"/>
    <col min="6" max="6" width="9.42578125" style="26" customWidth="1"/>
    <col min="7" max="7" width="11.28515625" style="26" customWidth="1"/>
    <col min="8" max="11" width="10.28515625" style="26" customWidth="1"/>
    <col min="12" max="16384" width="9" style="26"/>
  </cols>
  <sheetData>
    <row r="1" spans="2:11" ht="25.5">
      <c r="B1" s="8" t="str">
        <f>SITE1!B1</f>
        <v>ITTO-620-0190 Meteor Lake PCH X4</v>
      </c>
      <c r="C1" s="8"/>
      <c r="K1" s="7">
        <v>44635</v>
      </c>
    </row>
    <row r="2" spans="2:11" ht="21" customHeight="1">
      <c r="B2" s="13" t="s">
        <v>6346</v>
      </c>
      <c r="C2" s="13"/>
    </row>
    <row r="3" spans="2:11" s="22" customFormat="1" ht="12.75"/>
    <row r="4" spans="2:11" s="22" customFormat="1" ht="12.75">
      <c r="H4" s="24"/>
      <c r="I4" s="24"/>
      <c r="J4" s="24"/>
      <c r="K4" s="24"/>
    </row>
    <row r="5" spans="2:11" s="22" customFormat="1" ht="12.75">
      <c r="B5" s="12"/>
      <c r="C5" s="12"/>
      <c r="D5" s="116" t="s">
        <v>6347</v>
      </c>
      <c r="E5" s="121"/>
    </row>
    <row r="6" spans="2:11" ht="30">
      <c r="B6" s="5" t="s">
        <v>6348</v>
      </c>
      <c r="C6" s="98" t="s">
        <v>28</v>
      </c>
      <c r="D6" s="120" t="s">
        <v>10</v>
      </c>
      <c r="E6" s="120" t="s">
        <v>4127</v>
      </c>
      <c r="F6" s="22"/>
      <c r="G6" s="22"/>
      <c r="H6" s="22"/>
      <c r="I6" s="22"/>
      <c r="J6" s="22"/>
      <c r="K6" s="22"/>
    </row>
    <row r="7" spans="2:11">
      <c r="B7" s="206" t="s">
        <v>1856</v>
      </c>
      <c r="C7" s="207" t="s">
        <v>52</v>
      </c>
      <c r="D7" s="122">
        <v>79.776600000000002</v>
      </c>
      <c r="E7" s="122">
        <v>79.776600000000002</v>
      </c>
      <c r="F7" s="22"/>
      <c r="G7" s="5" t="s">
        <v>6291</v>
      </c>
      <c r="H7" s="27">
        <f>MAX(D7:E8)</f>
        <v>79.776600000000002</v>
      </c>
      <c r="K7" s="22"/>
    </row>
    <row r="8" spans="2:11">
      <c r="B8" s="206" t="s">
        <v>2897</v>
      </c>
      <c r="C8" s="207" t="s">
        <v>226</v>
      </c>
      <c r="D8" s="122">
        <v>79.758499999999998</v>
      </c>
      <c r="E8" s="122">
        <v>79.758499999999998</v>
      </c>
      <c r="F8" s="22"/>
      <c r="G8" s="5" t="s">
        <v>6292</v>
      </c>
      <c r="H8" s="27">
        <f>MIN(D7:E8)</f>
        <v>79.758499999999998</v>
      </c>
      <c r="K8" s="22"/>
    </row>
    <row r="9" spans="2:11">
      <c r="B9" s="22"/>
      <c r="C9" s="22"/>
      <c r="D9" s="22"/>
      <c r="E9" s="22"/>
      <c r="F9" s="22"/>
      <c r="G9" s="5" t="s">
        <v>6293</v>
      </c>
      <c r="H9" s="27">
        <f>H7-H8</f>
        <v>1.8100000000004002E-2</v>
      </c>
      <c r="K9" s="22"/>
    </row>
    <row r="10" spans="2:11">
      <c r="F10" s="22"/>
      <c r="G10" s="26" t="s">
        <v>6294</v>
      </c>
      <c r="H10" s="113">
        <v>20</v>
      </c>
    </row>
    <row r="11" spans="2:11">
      <c r="H11" s="112">
        <f>H10*0.0254</f>
        <v>0.50800000000000001</v>
      </c>
    </row>
    <row r="12" spans="2:11">
      <c r="H12" s="111" t="str">
        <f>IF(H9&gt;H11,"Wrong","OK")</f>
        <v>OK</v>
      </c>
    </row>
    <row r="14" spans="2:11" ht="18">
      <c r="B14" s="143" t="s">
        <v>6349</v>
      </c>
    </row>
    <row r="15" spans="2:11">
      <c r="B15" s="5"/>
      <c r="C15" s="144" t="s">
        <v>10</v>
      </c>
      <c r="D15" s="144" t="s">
        <v>4127</v>
      </c>
    </row>
    <row r="16" spans="2:11">
      <c r="B16" s="5" t="s">
        <v>6350</v>
      </c>
      <c r="C16" s="122">
        <v>182.65379999999999</v>
      </c>
      <c r="D16" s="122">
        <v>182.4794</v>
      </c>
      <c r="G16" s="5" t="s">
        <v>6291</v>
      </c>
      <c r="H16" s="27">
        <f>MAX(C16:D19)</f>
        <v>182.65379999999999</v>
      </c>
    </row>
    <row r="17" spans="2:8">
      <c r="B17" s="5" t="s">
        <v>6351</v>
      </c>
      <c r="C17" s="122">
        <v>182.5831</v>
      </c>
      <c r="D17" s="122">
        <v>182.60749999999999</v>
      </c>
      <c r="G17" s="5" t="s">
        <v>6292</v>
      </c>
      <c r="H17" s="27">
        <f>MIN(C16:D19)</f>
        <v>182.19839999999999</v>
      </c>
    </row>
    <row r="18" spans="2:8">
      <c r="B18" s="5" t="s">
        <v>6352</v>
      </c>
      <c r="C18" s="122">
        <v>182.41399999999999</v>
      </c>
      <c r="D18" s="122">
        <v>182.529</v>
      </c>
      <c r="G18" s="5" t="s">
        <v>6293</v>
      </c>
      <c r="H18" s="27">
        <f>H16-H17</f>
        <v>0.45539999999999736</v>
      </c>
    </row>
    <row r="19" spans="2:8">
      <c r="B19" s="5" t="s">
        <v>6353</v>
      </c>
      <c r="C19" s="122">
        <v>182.19839999999999</v>
      </c>
      <c r="D19" s="122">
        <v>182.48560000000001</v>
      </c>
      <c r="G19" s="26" t="s">
        <v>6294</v>
      </c>
      <c r="H19" s="113">
        <v>100</v>
      </c>
    </row>
    <row r="20" spans="2:8">
      <c r="H20" s="112">
        <f>H19*0.0254</f>
        <v>2.54</v>
      </c>
    </row>
    <row r="21" spans="2:8">
      <c r="H21" s="111" t="str">
        <f>IF(H18&gt;H20,"Wrong","OK")</f>
        <v>OK</v>
      </c>
    </row>
  </sheetData>
  <phoneticPr fontId="2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9"/>
  <dimension ref="A1:K50"/>
  <sheetViews>
    <sheetView zoomScale="85" zoomScaleNormal="85" workbookViewId="0"/>
  </sheetViews>
  <sheetFormatPr defaultColWidth="9" defaultRowHeight="14.25"/>
  <cols>
    <col min="1" max="1" width="9" style="195"/>
    <col min="2" max="2" width="16" style="195" bestFit="1" customWidth="1"/>
    <col min="3" max="3" width="14.7109375" style="195" bestFit="1" customWidth="1"/>
    <col min="4" max="4" width="16" style="195" bestFit="1" customWidth="1"/>
    <col min="5" max="5" width="13.85546875" style="195" bestFit="1" customWidth="1"/>
    <col min="6" max="11" width="9" style="26"/>
    <col min="12" max="16384" width="9" style="195"/>
  </cols>
  <sheetData>
    <row r="1" spans="1:11" ht="25.5">
      <c r="A1" s="8"/>
      <c r="B1" s="8" t="s">
        <v>4126</v>
      </c>
      <c r="H1" s="195"/>
      <c r="K1" s="7">
        <v>44635</v>
      </c>
    </row>
    <row r="2" spans="1:11" ht="20.25">
      <c r="A2" s="13"/>
      <c r="B2" s="13" t="s">
        <v>6354</v>
      </c>
      <c r="F2" s="195"/>
      <c r="G2" s="195"/>
      <c r="H2" s="195"/>
      <c r="I2" s="195"/>
      <c r="J2" s="195"/>
      <c r="K2" s="195"/>
    </row>
    <row r="6" spans="1:11" ht="15" thickBot="1">
      <c r="F6" s="195"/>
      <c r="G6" s="195"/>
      <c r="H6" s="195"/>
      <c r="I6" s="195"/>
      <c r="J6" s="195"/>
      <c r="K6" s="195"/>
    </row>
    <row r="7" spans="1:11" ht="15" thickBot="1">
      <c r="B7" s="196" t="s">
        <v>6355</v>
      </c>
      <c r="C7" s="197"/>
      <c r="D7" s="196" t="s">
        <v>6356</v>
      </c>
      <c r="E7" s="197"/>
      <c r="F7" s="195"/>
      <c r="G7" s="195"/>
      <c r="H7" s="195"/>
      <c r="I7" s="195"/>
      <c r="J7" s="195"/>
      <c r="K7" s="195"/>
    </row>
    <row r="8" spans="1:11" ht="15" thickBot="1">
      <c r="B8" s="198" t="s">
        <v>6357</v>
      </c>
      <c r="C8" s="199" t="s">
        <v>6358</v>
      </c>
      <c r="D8" s="198" t="s">
        <v>6357</v>
      </c>
      <c r="E8" s="199" t="s">
        <v>6358</v>
      </c>
      <c r="F8" s="195"/>
      <c r="G8" s="195"/>
      <c r="H8" s="195"/>
      <c r="I8" s="195"/>
      <c r="J8" s="195"/>
      <c r="K8" s="195"/>
    </row>
    <row r="9" spans="1:11">
      <c r="B9" s="200" t="s">
        <v>6359</v>
      </c>
      <c r="C9" s="201" t="s">
        <v>6360</v>
      </c>
      <c r="D9" s="200" t="s">
        <v>6361</v>
      </c>
      <c r="E9" s="201" t="s">
        <v>6362</v>
      </c>
      <c r="F9" s="195"/>
      <c r="G9" s="195"/>
      <c r="H9" s="195"/>
      <c r="I9" s="195"/>
      <c r="J9" s="195"/>
      <c r="K9" s="195"/>
    </row>
    <row r="10" spans="1:11">
      <c r="B10" s="198" t="s">
        <v>46</v>
      </c>
      <c r="C10" s="202" t="s">
        <v>6363</v>
      </c>
      <c r="D10" s="198" t="s">
        <v>46</v>
      </c>
      <c r="E10" s="202" t="s">
        <v>6364</v>
      </c>
      <c r="F10" s="195"/>
      <c r="G10" s="195"/>
      <c r="H10" s="195"/>
      <c r="I10" s="195"/>
      <c r="J10" s="195"/>
      <c r="K10" s="195"/>
    </row>
    <row r="11" spans="1:11">
      <c r="B11" s="198" t="s">
        <v>46</v>
      </c>
      <c r="C11" s="203" t="s">
        <v>6365</v>
      </c>
      <c r="D11" s="198" t="s">
        <v>46</v>
      </c>
      <c r="E11" s="203" t="s">
        <v>6366</v>
      </c>
      <c r="F11" s="195"/>
      <c r="G11" s="195"/>
      <c r="H11" s="195"/>
      <c r="I11" s="195"/>
      <c r="J11" s="195"/>
      <c r="K11" s="195"/>
    </row>
    <row r="12" spans="1:11" ht="15" thickBot="1">
      <c r="B12" s="204" t="s">
        <v>46</v>
      </c>
      <c r="C12" s="205" t="s">
        <v>6367</v>
      </c>
      <c r="D12" s="204" t="s">
        <v>46</v>
      </c>
      <c r="E12" s="205" t="s">
        <v>6368</v>
      </c>
      <c r="F12" s="195"/>
      <c r="G12" s="195"/>
      <c r="H12" s="195"/>
      <c r="I12" s="195"/>
      <c r="J12" s="195"/>
      <c r="K12" s="195"/>
    </row>
    <row r="13" spans="1:11">
      <c r="B13" s="200" t="s">
        <v>6369</v>
      </c>
      <c r="C13" s="201" t="s">
        <v>6370</v>
      </c>
      <c r="D13" s="200" t="s">
        <v>6371</v>
      </c>
      <c r="E13" s="201" t="s">
        <v>6372</v>
      </c>
      <c r="F13" s="195"/>
      <c r="G13" s="195"/>
      <c r="H13" s="195"/>
      <c r="I13" s="195"/>
      <c r="J13" s="195"/>
      <c r="K13" s="195"/>
    </row>
    <row r="14" spans="1:11">
      <c r="B14" s="198" t="s">
        <v>46</v>
      </c>
      <c r="C14" s="202" t="s">
        <v>6373</v>
      </c>
      <c r="D14" s="198" t="s">
        <v>46</v>
      </c>
      <c r="E14" s="202" t="s">
        <v>6374</v>
      </c>
      <c r="F14" s="195"/>
      <c r="G14" s="195"/>
      <c r="H14" s="195"/>
      <c r="I14" s="195"/>
      <c r="J14" s="195"/>
      <c r="K14" s="195"/>
    </row>
    <row r="15" spans="1:11">
      <c r="B15" s="198" t="s">
        <v>46</v>
      </c>
      <c r="C15" s="203" t="s">
        <v>6375</v>
      </c>
      <c r="D15" s="198" t="s">
        <v>46</v>
      </c>
      <c r="E15" s="203" t="s">
        <v>6376</v>
      </c>
      <c r="F15" s="195"/>
      <c r="G15" s="195"/>
      <c r="H15" s="195"/>
      <c r="I15" s="195"/>
      <c r="J15" s="195"/>
      <c r="K15" s="195"/>
    </row>
    <row r="16" spans="1:11" ht="15" thickBot="1">
      <c r="B16" s="204" t="s">
        <v>46</v>
      </c>
      <c r="C16" s="205" t="s">
        <v>6377</v>
      </c>
      <c r="D16" s="204" t="s">
        <v>46</v>
      </c>
      <c r="E16" s="205" t="s">
        <v>6378</v>
      </c>
      <c r="F16" s="195"/>
      <c r="G16" s="195"/>
      <c r="H16" s="195"/>
      <c r="I16" s="195"/>
      <c r="J16" s="195"/>
      <c r="K16" s="195"/>
    </row>
    <row r="17" spans="2:11">
      <c r="B17" s="200" t="s">
        <v>6379</v>
      </c>
      <c r="C17" s="201" t="s">
        <v>6380</v>
      </c>
      <c r="D17" s="200" t="s">
        <v>6381</v>
      </c>
      <c r="E17" s="201" t="s">
        <v>6382</v>
      </c>
      <c r="F17" s="195"/>
      <c r="G17" s="195"/>
      <c r="H17" s="195"/>
      <c r="I17" s="195"/>
      <c r="J17" s="195"/>
      <c r="K17" s="195"/>
    </row>
    <row r="18" spans="2:11">
      <c r="B18" s="198" t="s">
        <v>46</v>
      </c>
      <c r="C18" s="202" t="s">
        <v>6383</v>
      </c>
      <c r="D18" s="198" t="s">
        <v>46</v>
      </c>
      <c r="E18" s="202" t="s">
        <v>6384</v>
      </c>
      <c r="F18" s="195"/>
      <c r="G18" s="195"/>
      <c r="H18" s="195"/>
      <c r="I18" s="195"/>
      <c r="J18" s="195"/>
      <c r="K18" s="195"/>
    </row>
    <row r="19" spans="2:11">
      <c r="B19" s="198" t="s">
        <v>46</v>
      </c>
      <c r="C19" s="203" t="s">
        <v>6385</v>
      </c>
      <c r="D19" s="198" t="s">
        <v>46</v>
      </c>
      <c r="E19" s="203" t="s">
        <v>6386</v>
      </c>
      <c r="F19" s="195"/>
      <c r="G19" s="195"/>
      <c r="H19" s="195"/>
      <c r="I19" s="195"/>
      <c r="J19" s="195"/>
      <c r="K19" s="195"/>
    </row>
    <row r="20" spans="2:11" ht="15" thickBot="1">
      <c r="B20" s="204" t="s">
        <v>46</v>
      </c>
      <c r="C20" s="205" t="s">
        <v>6387</v>
      </c>
      <c r="D20" s="204" t="s">
        <v>46</v>
      </c>
      <c r="E20" s="205" t="s">
        <v>6388</v>
      </c>
      <c r="F20" s="195"/>
      <c r="G20" s="195"/>
      <c r="H20" s="195"/>
      <c r="I20" s="195"/>
      <c r="J20" s="195"/>
      <c r="K20" s="195"/>
    </row>
    <row r="21" spans="2:11">
      <c r="B21" s="200" t="s">
        <v>6389</v>
      </c>
      <c r="C21" s="201" t="s">
        <v>6390</v>
      </c>
      <c r="D21" s="200" t="s">
        <v>6391</v>
      </c>
      <c r="E21" s="201" t="s">
        <v>6392</v>
      </c>
      <c r="F21" s="195"/>
      <c r="G21" s="195"/>
      <c r="H21" s="195"/>
      <c r="I21" s="195"/>
      <c r="J21" s="195"/>
      <c r="K21" s="195"/>
    </row>
    <row r="22" spans="2:11" ht="15" thickBot="1">
      <c r="B22" s="204" t="s">
        <v>46</v>
      </c>
      <c r="C22" s="205" t="s">
        <v>6393</v>
      </c>
      <c r="D22" s="204" t="s">
        <v>46</v>
      </c>
      <c r="E22" s="205" t="s">
        <v>6394</v>
      </c>
      <c r="F22" s="195"/>
      <c r="G22" s="195"/>
      <c r="H22" s="195"/>
      <c r="I22" s="195"/>
      <c r="J22" s="195"/>
      <c r="K22" s="195"/>
    </row>
    <row r="23" spans="2:11">
      <c r="B23" s="200" t="s">
        <v>6395</v>
      </c>
      <c r="C23" s="201" t="s">
        <v>6396</v>
      </c>
      <c r="D23" s="200" t="s">
        <v>6397</v>
      </c>
      <c r="E23" s="201" t="s">
        <v>6398</v>
      </c>
      <c r="F23" s="195"/>
      <c r="G23" s="195"/>
      <c r="H23" s="195"/>
      <c r="I23" s="195"/>
      <c r="J23" s="195"/>
      <c r="K23" s="195"/>
    </row>
    <row r="24" spans="2:11" ht="15" thickBot="1">
      <c r="B24" s="204" t="s">
        <v>46</v>
      </c>
      <c r="C24" s="205" t="s">
        <v>6399</v>
      </c>
      <c r="D24" s="204" t="s">
        <v>46</v>
      </c>
      <c r="E24" s="205" t="s">
        <v>6400</v>
      </c>
      <c r="F24" s="195"/>
      <c r="G24" s="195"/>
      <c r="H24" s="195"/>
      <c r="I24" s="195"/>
      <c r="J24" s="195"/>
      <c r="K24" s="195"/>
    </row>
    <row r="25" spans="2:11">
      <c r="B25" s="200" t="s">
        <v>6401</v>
      </c>
      <c r="C25" s="201" t="s">
        <v>6402</v>
      </c>
      <c r="D25" s="200" t="s">
        <v>6403</v>
      </c>
      <c r="E25" s="201" t="s">
        <v>6404</v>
      </c>
      <c r="F25" s="195"/>
      <c r="G25" s="195"/>
      <c r="H25" s="195"/>
      <c r="I25" s="195"/>
      <c r="J25" s="195"/>
      <c r="K25" s="195"/>
    </row>
    <row r="26" spans="2:11" ht="15" thickBot="1">
      <c r="B26" s="204" t="s">
        <v>46</v>
      </c>
      <c r="C26" s="205" t="s">
        <v>6405</v>
      </c>
      <c r="D26" s="204" t="s">
        <v>46</v>
      </c>
      <c r="E26" s="205" t="s">
        <v>6406</v>
      </c>
      <c r="F26" s="195"/>
      <c r="G26" s="195"/>
      <c r="H26" s="195"/>
      <c r="I26" s="195"/>
      <c r="J26" s="195"/>
      <c r="K26" s="195"/>
    </row>
    <row r="27" spans="2:11">
      <c r="F27" s="195"/>
      <c r="G27" s="195"/>
      <c r="H27" s="195"/>
      <c r="I27" s="195"/>
      <c r="J27" s="195"/>
      <c r="K27" s="195"/>
    </row>
    <row r="28" spans="2:11">
      <c r="F28" s="195"/>
      <c r="G28" s="195"/>
      <c r="H28" s="195"/>
      <c r="I28" s="195"/>
      <c r="J28" s="195"/>
      <c r="K28" s="195"/>
    </row>
    <row r="29" spans="2:11">
      <c r="F29" s="195"/>
      <c r="G29" s="195"/>
      <c r="H29" s="195"/>
      <c r="I29" s="195"/>
      <c r="J29" s="195"/>
      <c r="K29" s="195"/>
    </row>
    <row r="30" spans="2:11">
      <c r="F30" s="195"/>
      <c r="G30" s="195"/>
      <c r="H30" s="195"/>
      <c r="I30" s="195"/>
      <c r="J30" s="195"/>
      <c r="K30" s="195"/>
    </row>
    <row r="31" spans="2:11">
      <c r="F31" s="195"/>
      <c r="G31" s="195"/>
      <c r="H31" s="195"/>
      <c r="I31" s="195"/>
      <c r="J31" s="195"/>
      <c r="K31" s="195"/>
    </row>
    <row r="32" spans="2:11">
      <c r="F32" s="195"/>
      <c r="G32" s="195"/>
      <c r="H32" s="195"/>
      <c r="I32" s="195"/>
      <c r="J32" s="195"/>
      <c r="K32" s="195"/>
    </row>
    <row r="33" s="195" customFormat="1"/>
    <row r="34" s="195" customFormat="1"/>
    <row r="35" s="195" customFormat="1"/>
    <row r="36" s="195" customFormat="1"/>
    <row r="37" s="195" customFormat="1"/>
    <row r="38" s="195" customFormat="1"/>
    <row r="39" s="195" customFormat="1"/>
    <row r="40" s="195" customFormat="1"/>
    <row r="41" s="195" customFormat="1"/>
    <row r="42" s="195" customFormat="1"/>
    <row r="43" s="195" customFormat="1"/>
    <row r="44" s="195" customFormat="1"/>
    <row r="45" s="195" customFormat="1"/>
    <row r="46" s="195" customFormat="1"/>
    <row r="47" s="195" customFormat="1"/>
    <row r="48" s="195" customFormat="1"/>
    <row r="49" s="195" customFormat="1"/>
    <row r="50" s="195" customFormat="1"/>
  </sheetData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B1:N45"/>
  <sheetViews>
    <sheetView zoomScale="70" zoomScaleNormal="70" workbookViewId="0"/>
  </sheetViews>
  <sheetFormatPr defaultColWidth="9" defaultRowHeight="14.25"/>
  <cols>
    <col min="1" max="1" width="9" style="26"/>
    <col min="2" max="2" width="23.85546875" style="26" customWidth="1"/>
    <col min="3" max="3" width="12.140625" style="26" bestFit="1" customWidth="1"/>
    <col min="4" max="4" width="11.85546875" style="26" bestFit="1" customWidth="1"/>
    <col min="5" max="5" width="28.7109375" style="28" bestFit="1" customWidth="1"/>
    <col min="6" max="6" width="20" style="28" bestFit="1" customWidth="1"/>
    <col min="7" max="7" width="28.7109375" style="28" bestFit="1" customWidth="1"/>
    <col min="8" max="8" width="20" style="28" bestFit="1" customWidth="1"/>
    <col min="9" max="9" width="15.42578125" style="28" bestFit="1" customWidth="1"/>
    <col min="10" max="10" width="20" style="28" bestFit="1" customWidth="1"/>
    <col min="11" max="11" width="15.42578125" style="28" bestFit="1" customWidth="1"/>
    <col min="12" max="12" width="20" style="28" bestFit="1" customWidth="1"/>
    <col min="13" max="14" width="19" style="26" customWidth="1"/>
    <col min="15" max="16384" width="9" style="26"/>
  </cols>
  <sheetData>
    <row r="1" spans="2:14" ht="25.5">
      <c r="B1" s="8" t="s">
        <v>4126</v>
      </c>
      <c r="F1" s="7">
        <v>44635</v>
      </c>
      <c r="G1" s="7"/>
      <c r="H1" s="7"/>
      <c r="I1" s="7"/>
      <c r="J1" s="7"/>
      <c r="K1" s="7"/>
      <c r="L1" s="7"/>
    </row>
    <row r="2" spans="2:14" ht="15">
      <c r="B2" s="4" t="s">
        <v>6407</v>
      </c>
    </row>
    <row r="5" spans="2:14" ht="15" thickBot="1"/>
    <row r="6" spans="2:14" ht="15" customHeight="1" thickBot="1">
      <c r="C6" s="280" t="s">
        <v>6408</v>
      </c>
      <c r="D6" s="281"/>
      <c r="E6" s="152" t="s">
        <v>6409</v>
      </c>
      <c r="F6" s="149"/>
      <c r="G6" s="149"/>
      <c r="H6" s="151"/>
      <c r="I6" s="149" t="s">
        <v>6410</v>
      </c>
      <c r="J6" s="149"/>
      <c r="K6" s="149"/>
      <c r="L6" s="149"/>
      <c r="M6" s="150" t="s">
        <v>6411</v>
      </c>
      <c r="N6" s="151"/>
    </row>
    <row r="7" spans="2:14" ht="15.75" thickBot="1">
      <c r="B7" s="178" t="s">
        <v>6412</v>
      </c>
      <c r="C7" s="179" t="s">
        <v>6413</v>
      </c>
      <c r="D7" s="180" t="s">
        <v>6414</v>
      </c>
      <c r="E7" s="153" t="s">
        <v>6415</v>
      </c>
      <c r="F7" s="154" t="s">
        <v>6416</v>
      </c>
      <c r="G7" s="161" t="s">
        <v>6417</v>
      </c>
      <c r="H7" s="148" t="s">
        <v>6418</v>
      </c>
      <c r="I7" s="153" t="s">
        <v>6415</v>
      </c>
      <c r="J7" s="154" t="s">
        <v>6416</v>
      </c>
      <c r="K7" s="161" t="s">
        <v>6417</v>
      </c>
      <c r="L7" s="148" t="s">
        <v>6418</v>
      </c>
      <c r="M7" s="165" t="s">
        <v>6415</v>
      </c>
      <c r="N7" s="148" t="s">
        <v>6417</v>
      </c>
    </row>
    <row r="8" spans="2:14">
      <c r="B8" s="181" t="s">
        <v>3505</v>
      </c>
      <c r="C8" s="182">
        <v>1</v>
      </c>
      <c r="D8" s="183" t="s">
        <v>6419</v>
      </c>
      <c r="E8" s="155" t="s">
        <v>6420</v>
      </c>
      <c r="F8" s="156" t="s">
        <v>6420</v>
      </c>
      <c r="G8" s="162" t="s">
        <v>6421</v>
      </c>
      <c r="H8" s="145" t="s">
        <v>6421</v>
      </c>
      <c r="I8" s="155" t="s">
        <v>6422</v>
      </c>
      <c r="J8" s="156" t="s">
        <v>6422</v>
      </c>
      <c r="K8" s="162" t="s">
        <v>6423</v>
      </c>
      <c r="L8" s="145" t="s">
        <v>6423</v>
      </c>
      <c r="M8" s="37" t="s">
        <v>6424</v>
      </c>
      <c r="N8" s="145" t="s">
        <v>6424</v>
      </c>
    </row>
    <row r="9" spans="2:14">
      <c r="B9" s="184" t="s">
        <v>3497</v>
      </c>
      <c r="C9" s="185">
        <v>1</v>
      </c>
      <c r="D9" s="186" t="s">
        <v>6419</v>
      </c>
      <c r="E9" s="157" t="s">
        <v>6425</v>
      </c>
      <c r="F9" s="158" t="s">
        <v>6425</v>
      </c>
      <c r="G9" s="163" t="s">
        <v>6426</v>
      </c>
      <c r="H9" s="146" t="s">
        <v>6426</v>
      </c>
      <c r="I9" s="157" t="s">
        <v>6427</v>
      </c>
      <c r="J9" s="158" t="s">
        <v>6427</v>
      </c>
      <c r="K9" s="163" t="s">
        <v>6428</v>
      </c>
      <c r="L9" s="146" t="s">
        <v>6428</v>
      </c>
      <c r="M9" s="41" t="s">
        <v>6429</v>
      </c>
      <c r="N9" s="146" t="s">
        <v>6429</v>
      </c>
    </row>
    <row r="10" spans="2:14">
      <c r="B10" s="187" t="s">
        <v>3591</v>
      </c>
      <c r="C10" s="185">
        <v>1</v>
      </c>
      <c r="D10" s="186" t="s">
        <v>6419</v>
      </c>
      <c r="E10" s="157" t="s">
        <v>6430</v>
      </c>
      <c r="F10" s="158" t="s">
        <v>6430</v>
      </c>
      <c r="G10" s="163" t="s">
        <v>6431</v>
      </c>
      <c r="H10" s="146" t="s">
        <v>6431</v>
      </c>
      <c r="I10" s="157" t="s">
        <v>6432</v>
      </c>
      <c r="J10" s="158" t="s">
        <v>6432</v>
      </c>
      <c r="K10" s="163" t="s">
        <v>6433</v>
      </c>
      <c r="L10" s="146" t="s">
        <v>6433</v>
      </c>
      <c r="M10" s="41" t="s">
        <v>6424</v>
      </c>
      <c r="N10" s="146" t="s">
        <v>6424</v>
      </c>
    </row>
    <row r="11" spans="2:14">
      <c r="B11" s="187" t="s">
        <v>3657</v>
      </c>
      <c r="C11" s="185">
        <v>1</v>
      </c>
      <c r="D11" s="186" t="s">
        <v>6419</v>
      </c>
      <c r="E11" s="157" t="s">
        <v>6434</v>
      </c>
      <c r="F11" s="158" t="s">
        <v>6434</v>
      </c>
      <c r="G11" s="163" t="s">
        <v>6435</v>
      </c>
      <c r="H11" s="146" t="s">
        <v>6435</v>
      </c>
      <c r="I11" s="157" t="s">
        <v>6436</v>
      </c>
      <c r="J11" s="158" t="s">
        <v>6436</v>
      </c>
      <c r="K11" s="163" t="s">
        <v>6437</v>
      </c>
      <c r="L11" s="146" t="s">
        <v>6437</v>
      </c>
      <c r="M11" s="41" t="s">
        <v>6429</v>
      </c>
      <c r="N11" s="146" t="s">
        <v>6429</v>
      </c>
    </row>
    <row r="12" spans="2:14">
      <c r="B12" s="187" t="s">
        <v>3607</v>
      </c>
      <c r="C12" s="185">
        <v>1</v>
      </c>
      <c r="D12" s="186" t="s">
        <v>6419</v>
      </c>
      <c r="E12" s="157" t="s">
        <v>6438</v>
      </c>
      <c r="F12" s="158" t="s">
        <v>6438</v>
      </c>
      <c r="G12" s="163" t="s">
        <v>6439</v>
      </c>
      <c r="H12" s="146" t="s">
        <v>6439</v>
      </c>
      <c r="I12" s="157" t="s">
        <v>6440</v>
      </c>
      <c r="J12" s="158" t="s">
        <v>6440</v>
      </c>
      <c r="K12" s="163" t="s">
        <v>6441</v>
      </c>
      <c r="L12" s="146" t="s">
        <v>6441</v>
      </c>
      <c r="M12" s="41" t="s">
        <v>6424</v>
      </c>
      <c r="N12" s="146" t="s">
        <v>6424</v>
      </c>
    </row>
    <row r="13" spans="2:14">
      <c r="B13" s="187" t="s">
        <v>6442</v>
      </c>
      <c r="C13" s="185">
        <v>1</v>
      </c>
      <c r="D13" s="186" t="s">
        <v>6419</v>
      </c>
      <c r="E13" s="157" t="s">
        <v>6443</v>
      </c>
      <c r="F13" s="158" t="s">
        <v>6443</v>
      </c>
      <c r="G13" s="163" t="s">
        <v>6444</v>
      </c>
      <c r="H13" s="146" t="s">
        <v>6444</v>
      </c>
      <c r="I13" s="157" t="s">
        <v>6445</v>
      </c>
      <c r="J13" s="158" t="s">
        <v>6445</v>
      </c>
      <c r="K13" s="163" t="s">
        <v>6446</v>
      </c>
      <c r="L13" s="146" t="s">
        <v>6446</v>
      </c>
      <c r="M13" s="41" t="s">
        <v>6429</v>
      </c>
      <c r="N13" s="146" t="s">
        <v>6429</v>
      </c>
    </row>
    <row r="14" spans="2:14">
      <c r="B14" s="184" t="s">
        <v>3584</v>
      </c>
      <c r="C14" s="185">
        <v>1</v>
      </c>
      <c r="D14" s="186" t="s">
        <v>6419</v>
      </c>
      <c r="E14" s="157" t="s">
        <v>6447</v>
      </c>
      <c r="F14" s="158" t="s">
        <v>6447</v>
      </c>
      <c r="G14" s="163" t="s">
        <v>6448</v>
      </c>
      <c r="H14" s="146" t="s">
        <v>6448</v>
      </c>
      <c r="I14" s="157" t="s">
        <v>6449</v>
      </c>
      <c r="J14" s="158" t="s">
        <v>6449</v>
      </c>
      <c r="K14" s="163" t="s">
        <v>6450</v>
      </c>
      <c r="L14" s="146" t="s">
        <v>6450</v>
      </c>
      <c r="M14" s="41" t="s">
        <v>6429</v>
      </c>
      <c r="N14" s="146" t="s">
        <v>6429</v>
      </c>
    </row>
    <row r="15" spans="2:14" ht="28.5">
      <c r="B15" s="184" t="s">
        <v>3620</v>
      </c>
      <c r="C15" s="185">
        <v>2</v>
      </c>
      <c r="D15" s="186" t="s">
        <v>6419</v>
      </c>
      <c r="E15" s="157" t="s">
        <v>6451</v>
      </c>
      <c r="F15" s="158" t="s">
        <v>6452</v>
      </c>
      <c r="G15" s="163" t="s">
        <v>6453</v>
      </c>
      <c r="H15" s="146" t="s">
        <v>6454</v>
      </c>
      <c r="I15" s="157" t="s">
        <v>6455</v>
      </c>
      <c r="J15" s="158" t="s">
        <v>6456</v>
      </c>
      <c r="K15" s="163" t="s">
        <v>6457</v>
      </c>
      <c r="L15" s="146" t="s">
        <v>6458</v>
      </c>
      <c r="M15" s="41" t="s">
        <v>6424</v>
      </c>
      <c r="N15" s="146" t="s">
        <v>6424</v>
      </c>
    </row>
    <row r="16" spans="2:14">
      <c r="B16" s="187" t="s">
        <v>3562</v>
      </c>
      <c r="C16" s="185">
        <v>1</v>
      </c>
      <c r="D16" s="186" t="s">
        <v>6419</v>
      </c>
      <c r="E16" s="157" t="s">
        <v>6459</v>
      </c>
      <c r="F16" s="158" t="s">
        <v>6459</v>
      </c>
      <c r="G16" s="163" t="s">
        <v>6460</v>
      </c>
      <c r="H16" s="146" t="s">
        <v>6460</v>
      </c>
      <c r="I16" s="157" t="s">
        <v>6461</v>
      </c>
      <c r="J16" s="158" t="s">
        <v>6461</v>
      </c>
      <c r="K16" s="163" t="s">
        <v>6462</v>
      </c>
      <c r="L16" s="146" t="s">
        <v>6462</v>
      </c>
      <c r="M16" s="41" t="s">
        <v>6429</v>
      </c>
      <c r="N16" s="146" t="s">
        <v>6429</v>
      </c>
    </row>
    <row r="17" spans="2:14">
      <c r="B17" s="187" t="s">
        <v>3493</v>
      </c>
      <c r="C17" s="185">
        <v>1</v>
      </c>
      <c r="D17" s="186" t="s">
        <v>6419</v>
      </c>
      <c r="E17" s="157" t="s">
        <v>6463</v>
      </c>
      <c r="F17" s="158" t="s">
        <v>6463</v>
      </c>
      <c r="G17" s="163" t="s">
        <v>6464</v>
      </c>
      <c r="H17" s="146" t="s">
        <v>6464</v>
      </c>
      <c r="I17" s="157" t="s">
        <v>6465</v>
      </c>
      <c r="J17" s="158" t="s">
        <v>6465</v>
      </c>
      <c r="K17" s="163" t="s">
        <v>6466</v>
      </c>
      <c r="L17" s="146" t="s">
        <v>6466</v>
      </c>
      <c r="M17" s="41" t="s">
        <v>6429</v>
      </c>
      <c r="N17" s="146" t="s">
        <v>6429</v>
      </c>
    </row>
    <row r="18" spans="2:14">
      <c r="B18" s="187" t="s">
        <v>3611</v>
      </c>
      <c r="C18" s="185">
        <v>1</v>
      </c>
      <c r="D18" s="186" t="s">
        <v>6419</v>
      </c>
      <c r="E18" s="157" t="s">
        <v>6467</v>
      </c>
      <c r="F18" s="158" t="s">
        <v>6467</v>
      </c>
      <c r="G18" s="163" t="s">
        <v>6468</v>
      </c>
      <c r="H18" s="146" t="s">
        <v>6468</v>
      </c>
      <c r="I18" s="157" t="s">
        <v>6469</v>
      </c>
      <c r="J18" s="158" t="s">
        <v>6469</v>
      </c>
      <c r="K18" s="163" t="s">
        <v>6470</v>
      </c>
      <c r="L18" s="146" t="s">
        <v>6470</v>
      </c>
      <c r="M18" s="41" t="s">
        <v>6424</v>
      </c>
      <c r="N18" s="146" t="s">
        <v>6424</v>
      </c>
    </row>
    <row r="19" spans="2:14" ht="15" thickBot="1">
      <c r="B19" s="188" t="s">
        <v>3661</v>
      </c>
      <c r="C19" s="189">
        <v>1</v>
      </c>
      <c r="D19" s="190" t="s">
        <v>6419</v>
      </c>
      <c r="E19" s="159" t="s">
        <v>6471</v>
      </c>
      <c r="F19" s="160" t="s">
        <v>6471</v>
      </c>
      <c r="G19" s="164" t="s">
        <v>6472</v>
      </c>
      <c r="H19" s="147" t="s">
        <v>6472</v>
      </c>
      <c r="I19" s="159" t="s">
        <v>6473</v>
      </c>
      <c r="J19" s="160" t="s">
        <v>6473</v>
      </c>
      <c r="K19" s="164" t="s">
        <v>6474</v>
      </c>
      <c r="L19" s="147" t="s">
        <v>6474</v>
      </c>
      <c r="M19" s="45" t="s">
        <v>6429</v>
      </c>
      <c r="N19" s="147" t="s">
        <v>6429</v>
      </c>
    </row>
    <row r="20" spans="2:14">
      <c r="B20" s="191" t="s">
        <v>3519</v>
      </c>
      <c r="C20" s="182" t="s">
        <v>6419</v>
      </c>
      <c r="D20" s="183">
        <v>1</v>
      </c>
      <c r="E20" s="155" t="s">
        <v>6475</v>
      </c>
      <c r="F20" s="156" t="s">
        <v>6475</v>
      </c>
      <c r="G20" s="162" t="s">
        <v>6476</v>
      </c>
      <c r="H20" s="145" t="s">
        <v>6476</v>
      </c>
      <c r="I20" s="155" t="s">
        <v>6477</v>
      </c>
      <c r="J20" s="156" t="s">
        <v>6477</v>
      </c>
      <c r="K20" s="162" t="s">
        <v>6478</v>
      </c>
      <c r="L20" s="145" t="s">
        <v>6478</v>
      </c>
      <c r="M20" s="37" t="s">
        <v>6479</v>
      </c>
      <c r="N20" s="145" t="s">
        <v>6479</v>
      </c>
    </row>
    <row r="21" spans="2:14">
      <c r="B21" s="187" t="s">
        <v>3523</v>
      </c>
      <c r="C21" s="185" t="s">
        <v>6419</v>
      </c>
      <c r="D21" s="186">
        <v>1</v>
      </c>
      <c r="E21" s="157" t="s">
        <v>6480</v>
      </c>
      <c r="F21" s="158" t="s">
        <v>6480</v>
      </c>
      <c r="G21" s="163" t="s">
        <v>6481</v>
      </c>
      <c r="H21" s="146" t="s">
        <v>6481</v>
      </c>
      <c r="I21" s="157" t="s">
        <v>6482</v>
      </c>
      <c r="J21" s="158" t="s">
        <v>6482</v>
      </c>
      <c r="K21" s="163" t="s">
        <v>6483</v>
      </c>
      <c r="L21" s="146" t="s">
        <v>6483</v>
      </c>
      <c r="M21" s="41" t="s">
        <v>6484</v>
      </c>
      <c r="N21" s="146" t="s">
        <v>6484</v>
      </c>
    </row>
    <row r="22" spans="2:14">
      <c r="B22" s="187" t="s">
        <v>3501</v>
      </c>
      <c r="C22" s="185" t="s">
        <v>6419</v>
      </c>
      <c r="D22" s="186">
        <v>1</v>
      </c>
      <c r="E22" s="157" t="s">
        <v>6485</v>
      </c>
      <c r="F22" s="158" t="s">
        <v>6485</v>
      </c>
      <c r="G22" s="163" t="s">
        <v>6486</v>
      </c>
      <c r="H22" s="146" t="s">
        <v>6486</v>
      </c>
      <c r="I22" s="157" t="s">
        <v>6487</v>
      </c>
      <c r="J22" s="158" t="s">
        <v>6487</v>
      </c>
      <c r="K22" s="163" t="s">
        <v>6488</v>
      </c>
      <c r="L22" s="146" t="s">
        <v>6488</v>
      </c>
      <c r="M22" s="41" t="s">
        <v>6484</v>
      </c>
      <c r="N22" s="146" t="s">
        <v>6484</v>
      </c>
    </row>
    <row r="23" spans="2:14">
      <c r="B23" s="171" t="s">
        <v>3485</v>
      </c>
      <c r="C23" s="185" t="s">
        <v>6419</v>
      </c>
      <c r="D23" s="186">
        <v>1</v>
      </c>
      <c r="E23" s="157" t="s">
        <v>6489</v>
      </c>
      <c r="F23" s="158" t="s">
        <v>6489</v>
      </c>
      <c r="G23" s="163" t="s">
        <v>6490</v>
      </c>
      <c r="H23" s="146" t="s">
        <v>6490</v>
      </c>
      <c r="I23" s="157" t="s">
        <v>6491</v>
      </c>
      <c r="J23" s="158" t="s">
        <v>6491</v>
      </c>
      <c r="K23" s="163" t="s">
        <v>6492</v>
      </c>
      <c r="L23" s="146" t="s">
        <v>6492</v>
      </c>
      <c r="M23" s="41" t="s">
        <v>6479</v>
      </c>
      <c r="N23" s="146" t="s">
        <v>6479</v>
      </c>
    </row>
    <row r="24" spans="2:14">
      <c r="B24" s="187" t="s">
        <v>3511</v>
      </c>
      <c r="C24" s="185" t="s">
        <v>6419</v>
      </c>
      <c r="D24" s="186">
        <v>1</v>
      </c>
      <c r="E24" s="157" t="s">
        <v>6493</v>
      </c>
      <c r="F24" s="158" t="s">
        <v>6493</v>
      </c>
      <c r="G24" s="163" t="s">
        <v>6494</v>
      </c>
      <c r="H24" s="146" t="s">
        <v>6494</v>
      </c>
      <c r="I24" s="157" t="s">
        <v>6495</v>
      </c>
      <c r="J24" s="158" t="s">
        <v>6495</v>
      </c>
      <c r="K24" s="163" t="s">
        <v>6496</v>
      </c>
      <c r="L24" s="146" t="s">
        <v>6496</v>
      </c>
      <c r="M24" s="41" t="s">
        <v>6424</v>
      </c>
      <c r="N24" s="146" t="s">
        <v>6424</v>
      </c>
    </row>
    <row r="25" spans="2:14">
      <c r="B25" s="187" t="s">
        <v>3527</v>
      </c>
      <c r="C25" s="185" t="s">
        <v>6419</v>
      </c>
      <c r="D25" s="186">
        <v>1</v>
      </c>
      <c r="E25" s="157" t="s">
        <v>6497</v>
      </c>
      <c r="F25" s="158" t="s">
        <v>6497</v>
      </c>
      <c r="G25" s="163" t="s">
        <v>6498</v>
      </c>
      <c r="H25" s="146" t="s">
        <v>6498</v>
      </c>
      <c r="I25" s="157" t="s">
        <v>6499</v>
      </c>
      <c r="J25" s="158" t="s">
        <v>6499</v>
      </c>
      <c r="K25" s="163" t="s">
        <v>6500</v>
      </c>
      <c r="L25" s="146" t="s">
        <v>6500</v>
      </c>
      <c r="M25" s="41" t="s">
        <v>6484</v>
      </c>
      <c r="N25" s="146" t="s">
        <v>6484</v>
      </c>
    </row>
    <row r="26" spans="2:14">
      <c r="B26" s="187" t="s">
        <v>3550</v>
      </c>
      <c r="C26" s="185" t="s">
        <v>6419</v>
      </c>
      <c r="D26" s="186">
        <v>1</v>
      </c>
      <c r="E26" s="157" t="s">
        <v>6501</v>
      </c>
      <c r="F26" s="158" t="s">
        <v>6501</v>
      </c>
      <c r="G26" s="163" t="s">
        <v>6502</v>
      </c>
      <c r="H26" s="146" t="s">
        <v>6502</v>
      </c>
      <c r="I26" s="157" t="s">
        <v>6503</v>
      </c>
      <c r="J26" s="158" t="s">
        <v>6503</v>
      </c>
      <c r="K26" s="163" t="s">
        <v>6504</v>
      </c>
      <c r="L26" s="146" t="s">
        <v>6504</v>
      </c>
      <c r="M26" s="41" t="s">
        <v>6484</v>
      </c>
      <c r="N26" s="146" t="s">
        <v>6484</v>
      </c>
    </row>
    <row r="27" spans="2:14">
      <c r="B27" s="187" t="s">
        <v>3554</v>
      </c>
      <c r="C27" s="185" t="s">
        <v>6419</v>
      </c>
      <c r="D27" s="186">
        <v>1</v>
      </c>
      <c r="E27" s="157" t="s">
        <v>6505</v>
      </c>
      <c r="F27" s="158" t="s">
        <v>6505</v>
      </c>
      <c r="G27" s="163" t="s">
        <v>6506</v>
      </c>
      <c r="H27" s="146" t="s">
        <v>6506</v>
      </c>
      <c r="I27" s="157" t="s">
        <v>6507</v>
      </c>
      <c r="J27" s="158" t="s">
        <v>6507</v>
      </c>
      <c r="K27" s="163" t="s">
        <v>6508</v>
      </c>
      <c r="L27" s="146" t="s">
        <v>6508</v>
      </c>
      <c r="M27" s="41" t="s">
        <v>6484</v>
      </c>
      <c r="N27" s="146" t="s">
        <v>6484</v>
      </c>
    </row>
    <row r="28" spans="2:14">
      <c r="B28" s="187" t="s">
        <v>3489</v>
      </c>
      <c r="C28" s="185" t="s">
        <v>6419</v>
      </c>
      <c r="D28" s="186">
        <v>1</v>
      </c>
      <c r="E28" s="157" t="s">
        <v>6509</v>
      </c>
      <c r="F28" s="158" t="s">
        <v>6509</v>
      </c>
      <c r="G28" s="163" t="s">
        <v>6510</v>
      </c>
      <c r="H28" s="146" t="s">
        <v>6510</v>
      </c>
      <c r="I28" s="157" t="s">
        <v>6511</v>
      </c>
      <c r="J28" s="158" t="s">
        <v>6511</v>
      </c>
      <c r="K28" s="163" t="s">
        <v>6512</v>
      </c>
      <c r="L28" s="146" t="s">
        <v>6512</v>
      </c>
      <c r="M28" s="41" t="s">
        <v>6479</v>
      </c>
      <c r="N28" s="146" t="s">
        <v>6479</v>
      </c>
    </row>
    <row r="29" spans="2:14">
      <c r="B29" s="187" t="s">
        <v>3515</v>
      </c>
      <c r="C29" s="185" t="s">
        <v>6419</v>
      </c>
      <c r="D29" s="186">
        <v>1</v>
      </c>
      <c r="E29" s="157" t="s">
        <v>6513</v>
      </c>
      <c r="F29" s="158" t="s">
        <v>6513</v>
      </c>
      <c r="G29" s="163" t="s">
        <v>6514</v>
      </c>
      <c r="H29" s="146" t="s">
        <v>6514</v>
      </c>
      <c r="I29" s="157" t="s">
        <v>6515</v>
      </c>
      <c r="J29" s="158" t="s">
        <v>6515</v>
      </c>
      <c r="K29" s="163" t="s">
        <v>6516</v>
      </c>
      <c r="L29" s="146" t="s">
        <v>6516</v>
      </c>
      <c r="M29" s="41" t="s">
        <v>6479</v>
      </c>
      <c r="N29" s="146" t="s">
        <v>6479</v>
      </c>
    </row>
    <row r="30" spans="2:14">
      <c r="B30" s="187" t="s">
        <v>3531</v>
      </c>
      <c r="C30" s="185" t="s">
        <v>6419</v>
      </c>
      <c r="D30" s="186">
        <v>1</v>
      </c>
      <c r="E30" s="157" t="s">
        <v>6517</v>
      </c>
      <c r="F30" s="158" t="s">
        <v>6517</v>
      </c>
      <c r="G30" s="163" t="s">
        <v>6518</v>
      </c>
      <c r="H30" s="146" t="s">
        <v>6518</v>
      </c>
      <c r="I30" s="157" t="s">
        <v>6519</v>
      </c>
      <c r="J30" s="158" t="s">
        <v>6519</v>
      </c>
      <c r="K30" s="163" t="s">
        <v>6520</v>
      </c>
      <c r="L30" s="146" t="s">
        <v>6520</v>
      </c>
      <c r="M30" s="41" t="s">
        <v>6479</v>
      </c>
      <c r="N30" s="146" t="s">
        <v>6479</v>
      </c>
    </row>
    <row r="31" spans="2:14">
      <c r="B31" s="184" t="s">
        <v>3615</v>
      </c>
      <c r="C31" s="185" t="s">
        <v>6419</v>
      </c>
      <c r="D31" s="186">
        <v>1</v>
      </c>
      <c r="E31" s="157" t="s">
        <v>6521</v>
      </c>
      <c r="F31" s="158" t="s">
        <v>6521</v>
      </c>
      <c r="G31" s="163" t="s">
        <v>6522</v>
      </c>
      <c r="H31" s="146" t="s">
        <v>6522</v>
      </c>
      <c r="I31" s="157" t="s">
        <v>6523</v>
      </c>
      <c r="J31" s="158" t="s">
        <v>6523</v>
      </c>
      <c r="K31" s="163" t="s">
        <v>6524</v>
      </c>
      <c r="L31" s="146" t="s">
        <v>6524</v>
      </c>
      <c r="M31" s="41" t="s">
        <v>6479</v>
      </c>
      <c r="N31" s="146" t="s">
        <v>6479</v>
      </c>
    </row>
    <row r="32" spans="2:14">
      <c r="B32" s="187" t="s">
        <v>3595</v>
      </c>
      <c r="C32" s="185" t="s">
        <v>6419</v>
      </c>
      <c r="D32" s="186">
        <v>1</v>
      </c>
      <c r="E32" s="157" t="s">
        <v>6525</v>
      </c>
      <c r="F32" s="158" t="s">
        <v>6525</v>
      </c>
      <c r="G32" s="163" t="s">
        <v>6526</v>
      </c>
      <c r="H32" s="146" t="s">
        <v>6526</v>
      </c>
      <c r="I32" s="157" t="s">
        <v>6527</v>
      </c>
      <c r="J32" s="158" t="s">
        <v>6527</v>
      </c>
      <c r="K32" s="163" t="s">
        <v>6528</v>
      </c>
      <c r="L32" s="146" t="s">
        <v>6528</v>
      </c>
      <c r="M32" s="41" t="s">
        <v>6484</v>
      </c>
      <c r="N32" s="146" t="s">
        <v>6484</v>
      </c>
    </row>
    <row r="33" spans="2:14">
      <c r="B33" s="184" t="s">
        <v>3653</v>
      </c>
      <c r="C33" s="185" t="s">
        <v>6419</v>
      </c>
      <c r="D33" s="186">
        <v>1</v>
      </c>
      <c r="E33" s="157" t="s">
        <v>6529</v>
      </c>
      <c r="F33" s="158" t="s">
        <v>6529</v>
      </c>
      <c r="G33" s="163" t="s">
        <v>6530</v>
      </c>
      <c r="H33" s="146" t="s">
        <v>6530</v>
      </c>
      <c r="I33" s="157" t="s">
        <v>6531</v>
      </c>
      <c r="J33" s="158" t="s">
        <v>6531</v>
      </c>
      <c r="K33" s="163" t="s">
        <v>6532</v>
      </c>
      <c r="L33" s="146" t="s">
        <v>6532</v>
      </c>
      <c r="M33" s="41" t="s">
        <v>6484</v>
      </c>
      <c r="N33" s="146" t="s">
        <v>6484</v>
      </c>
    </row>
    <row r="34" spans="2:14">
      <c r="B34" s="187" t="s">
        <v>3599</v>
      </c>
      <c r="C34" s="185" t="s">
        <v>6419</v>
      </c>
      <c r="D34" s="186">
        <v>1</v>
      </c>
      <c r="E34" s="157" t="s">
        <v>6533</v>
      </c>
      <c r="F34" s="158" t="s">
        <v>6533</v>
      </c>
      <c r="G34" s="163" t="s">
        <v>6534</v>
      </c>
      <c r="H34" s="146" t="s">
        <v>6534</v>
      </c>
      <c r="I34" s="157" t="s">
        <v>6535</v>
      </c>
      <c r="J34" s="158" t="s">
        <v>6535</v>
      </c>
      <c r="K34" s="163" t="s">
        <v>6536</v>
      </c>
      <c r="L34" s="146" t="s">
        <v>6536</v>
      </c>
      <c r="M34" s="41" t="s">
        <v>6484</v>
      </c>
      <c r="N34" s="146" t="s">
        <v>6484</v>
      </c>
    </row>
    <row r="35" spans="2:14">
      <c r="B35" s="187" t="s">
        <v>3603</v>
      </c>
      <c r="C35" s="185" t="s">
        <v>6419</v>
      </c>
      <c r="D35" s="186">
        <v>1</v>
      </c>
      <c r="E35" s="157" t="s">
        <v>6537</v>
      </c>
      <c r="F35" s="158" t="s">
        <v>6537</v>
      </c>
      <c r="G35" s="163" t="s">
        <v>6538</v>
      </c>
      <c r="H35" s="146" t="s">
        <v>6538</v>
      </c>
      <c r="I35" s="157" t="s">
        <v>6539</v>
      </c>
      <c r="J35" s="158" t="s">
        <v>6539</v>
      </c>
      <c r="K35" s="163" t="s">
        <v>6540</v>
      </c>
      <c r="L35" s="146" t="s">
        <v>6540</v>
      </c>
      <c r="M35" s="41" t="s">
        <v>6484</v>
      </c>
      <c r="N35" s="146" t="s">
        <v>6484</v>
      </c>
    </row>
    <row r="36" spans="2:14">
      <c r="B36" s="184" t="s">
        <v>3635</v>
      </c>
      <c r="C36" s="185" t="s">
        <v>6419</v>
      </c>
      <c r="D36" s="186">
        <v>1</v>
      </c>
      <c r="E36" s="157" t="s">
        <v>6541</v>
      </c>
      <c r="F36" s="158" t="s">
        <v>6541</v>
      </c>
      <c r="G36" s="163" t="s">
        <v>6542</v>
      </c>
      <c r="H36" s="146" t="s">
        <v>6542</v>
      </c>
      <c r="I36" s="157" t="s">
        <v>6543</v>
      </c>
      <c r="J36" s="158" t="s">
        <v>6543</v>
      </c>
      <c r="K36" s="163" t="s">
        <v>6544</v>
      </c>
      <c r="L36" s="146" t="s">
        <v>6544</v>
      </c>
      <c r="M36" s="41" t="s">
        <v>6484</v>
      </c>
      <c r="N36" s="146" t="s">
        <v>6484</v>
      </c>
    </row>
    <row r="37" spans="2:14">
      <c r="B37" s="184" t="s">
        <v>3545</v>
      </c>
      <c r="C37" s="185" t="s">
        <v>6419</v>
      </c>
      <c r="D37" s="186">
        <v>1</v>
      </c>
      <c r="E37" s="157" t="s">
        <v>6545</v>
      </c>
      <c r="F37" s="158" t="s">
        <v>6545</v>
      </c>
      <c r="G37" s="163" t="s">
        <v>6546</v>
      </c>
      <c r="H37" s="146" t="s">
        <v>6546</v>
      </c>
      <c r="I37" s="157" t="s">
        <v>6547</v>
      </c>
      <c r="J37" s="158" t="s">
        <v>6547</v>
      </c>
      <c r="K37" s="163" t="s">
        <v>6548</v>
      </c>
      <c r="L37" s="146" t="s">
        <v>6548</v>
      </c>
      <c r="M37" s="41" t="s">
        <v>6479</v>
      </c>
      <c r="N37" s="146" t="s">
        <v>6479</v>
      </c>
    </row>
    <row r="38" spans="2:14">
      <c r="B38" s="187" t="s">
        <v>1879</v>
      </c>
      <c r="C38" s="185" t="s">
        <v>6419</v>
      </c>
      <c r="D38" s="186">
        <v>1</v>
      </c>
      <c r="E38" s="157" t="s">
        <v>6549</v>
      </c>
      <c r="F38" s="158" t="s">
        <v>6549</v>
      </c>
      <c r="G38" s="163" t="s">
        <v>6550</v>
      </c>
      <c r="H38" s="146" t="s">
        <v>6550</v>
      </c>
      <c r="I38" s="157" t="s">
        <v>6551</v>
      </c>
      <c r="J38" s="158" t="s">
        <v>6551</v>
      </c>
      <c r="K38" s="163" t="s">
        <v>6552</v>
      </c>
      <c r="L38" s="146" t="s">
        <v>6552</v>
      </c>
      <c r="M38" s="41" t="s">
        <v>6479</v>
      </c>
      <c r="N38" s="146" t="s">
        <v>6479</v>
      </c>
    </row>
    <row r="39" spans="2:14">
      <c r="B39" s="187" t="s">
        <v>3645</v>
      </c>
      <c r="C39" s="185" t="s">
        <v>6419</v>
      </c>
      <c r="D39" s="186">
        <v>1</v>
      </c>
      <c r="E39" s="157" t="s">
        <v>6553</v>
      </c>
      <c r="F39" s="158" t="s">
        <v>6553</v>
      </c>
      <c r="G39" s="163" t="s">
        <v>6554</v>
      </c>
      <c r="H39" s="146" t="s">
        <v>6554</v>
      </c>
      <c r="I39" s="157" t="s">
        <v>6555</v>
      </c>
      <c r="J39" s="158" t="s">
        <v>6555</v>
      </c>
      <c r="K39" s="163" t="s">
        <v>6556</v>
      </c>
      <c r="L39" s="146" t="s">
        <v>6556</v>
      </c>
      <c r="M39" s="41" t="s">
        <v>6484</v>
      </c>
      <c r="N39" s="146" t="s">
        <v>6484</v>
      </c>
    </row>
    <row r="40" spans="2:14">
      <c r="B40" s="187" t="s">
        <v>1875</v>
      </c>
      <c r="C40" s="185" t="s">
        <v>6419</v>
      </c>
      <c r="D40" s="186">
        <v>1</v>
      </c>
      <c r="E40" s="157" t="s">
        <v>6557</v>
      </c>
      <c r="F40" s="158" t="s">
        <v>6557</v>
      </c>
      <c r="G40" s="163" t="s">
        <v>6558</v>
      </c>
      <c r="H40" s="146" t="s">
        <v>6558</v>
      </c>
      <c r="I40" s="157" t="s">
        <v>6559</v>
      </c>
      <c r="J40" s="158" t="s">
        <v>6559</v>
      </c>
      <c r="K40" s="163" t="s">
        <v>6560</v>
      </c>
      <c r="L40" s="146" t="s">
        <v>6560</v>
      </c>
      <c r="M40" s="41" t="s">
        <v>6479</v>
      </c>
      <c r="N40" s="146" t="s">
        <v>6479</v>
      </c>
    </row>
    <row r="41" spans="2:14">
      <c r="B41" s="184" t="s">
        <v>3671</v>
      </c>
      <c r="C41" s="185" t="s">
        <v>6419</v>
      </c>
      <c r="D41" s="186">
        <v>1</v>
      </c>
      <c r="E41" s="157" t="s">
        <v>6561</v>
      </c>
      <c r="F41" s="158" t="s">
        <v>6561</v>
      </c>
      <c r="G41" s="163" t="s">
        <v>6562</v>
      </c>
      <c r="H41" s="146" t="s">
        <v>6562</v>
      </c>
      <c r="I41" s="157" t="s">
        <v>6563</v>
      </c>
      <c r="J41" s="158" t="s">
        <v>6563</v>
      </c>
      <c r="K41" s="163" t="s">
        <v>6564</v>
      </c>
      <c r="L41" s="146" t="s">
        <v>6564</v>
      </c>
      <c r="M41" s="41" t="s">
        <v>6429</v>
      </c>
      <c r="N41" s="146" t="s">
        <v>6429</v>
      </c>
    </row>
    <row r="42" spans="2:14">
      <c r="B42" s="184" t="s">
        <v>3675</v>
      </c>
      <c r="C42" s="185" t="s">
        <v>6419</v>
      </c>
      <c r="D42" s="186">
        <v>1</v>
      </c>
      <c r="E42" s="157" t="s">
        <v>6565</v>
      </c>
      <c r="F42" s="158" t="s">
        <v>6565</v>
      </c>
      <c r="G42" s="163" t="s">
        <v>6566</v>
      </c>
      <c r="H42" s="146" t="s">
        <v>6566</v>
      </c>
      <c r="I42" s="157" t="s">
        <v>6567</v>
      </c>
      <c r="J42" s="158" t="s">
        <v>6567</v>
      </c>
      <c r="K42" s="163" t="s">
        <v>6568</v>
      </c>
      <c r="L42" s="146" t="s">
        <v>6568</v>
      </c>
      <c r="M42" s="41" t="s">
        <v>6484</v>
      </c>
      <c r="N42" s="146" t="s">
        <v>6484</v>
      </c>
    </row>
    <row r="43" spans="2:14">
      <c r="B43" s="184" t="s">
        <v>3679</v>
      </c>
      <c r="C43" s="185" t="s">
        <v>6419</v>
      </c>
      <c r="D43" s="186">
        <v>1</v>
      </c>
      <c r="E43" s="157" t="s">
        <v>6569</v>
      </c>
      <c r="F43" s="158" t="s">
        <v>6569</v>
      </c>
      <c r="G43" s="163" t="s">
        <v>6570</v>
      </c>
      <c r="H43" s="146" t="s">
        <v>6570</v>
      </c>
      <c r="I43" s="157" t="s">
        <v>6571</v>
      </c>
      <c r="J43" s="158" t="s">
        <v>6571</v>
      </c>
      <c r="K43" s="163" t="s">
        <v>6572</v>
      </c>
      <c r="L43" s="146" t="s">
        <v>6572</v>
      </c>
      <c r="M43" s="41" t="s">
        <v>6479</v>
      </c>
      <c r="N43" s="146" t="s">
        <v>6479</v>
      </c>
    </row>
    <row r="44" spans="2:14">
      <c r="B44" s="184" t="s">
        <v>3683</v>
      </c>
      <c r="C44" s="185" t="s">
        <v>6419</v>
      </c>
      <c r="D44" s="186">
        <v>1</v>
      </c>
      <c r="E44" s="157" t="s">
        <v>6573</v>
      </c>
      <c r="F44" s="158" t="s">
        <v>6573</v>
      </c>
      <c r="G44" s="163" t="s">
        <v>6574</v>
      </c>
      <c r="H44" s="146" t="s">
        <v>6574</v>
      </c>
      <c r="I44" s="157" t="s">
        <v>6575</v>
      </c>
      <c r="J44" s="158" t="s">
        <v>6575</v>
      </c>
      <c r="K44" s="163" t="s">
        <v>6576</v>
      </c>
      <c r="L44" s="146" t="s">
        <v>6576</v>
      </c>
      <c r="M44" s="41" t="s">
        <v>6479</v>
      </c>
      <c r="N44" s="146" t="s">
        <v>6479</v>
      </c>
    </row>
    <row r="45" spans="2:14" ht="15" thickBot="1">
      <c r="B45" s="192" t="s">
        <v>6577</v>
      </c>
      <c r="C45" s="193" t="s">
        <v>6419</v>
      </c>
      <c r="D45" s="194">
        <v>1</v>
      </c>
      <c r="E45" s="166" t="s">
        <v>6578</v>
      </c>
      <c r="F45" s="167" t="s">
        <v>6578</v>
      </c>
      <c r="G45" s="168" t="s">
        <v>6579</v>
      </c>
      <c r="H45" s="169" t="s">
        <v>6579</v>
      </c>
      <c r="I45" s="166" t="s">
        <v>6580</v>
      </c>
      <c r="J45" s="167" t="s">
        <v>6580</v>
      </c>
      <c r="K45" s="168" t="s">
        <v>6581</v>
      </c>
      <c r="L45" s="169" t="s">
        <v>6581</v>
      </c>
      <c r="M45" s="170" t="s">
        <v>6424</v>
      </c>
      <c r="N45" s="169" t="s">
        <v>6424</v>
      </c>
    </row>
  </sheetData>
  <autoFilter ref="B7:N29" xr:uid="{00000000-0009-0000-0000-00000D000000}"/>
  <mergeCells count="1">
    <mergeCell ref="C6:D6"/>
  </mergeCells>
  <phoneticPr fontId="4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>
    <tabColor rgb="FF92D050"/>
  </sheetPr>
  <dimension ref="A1:BI135"/>
  <sheetViews>
    <sheetView zoomScale="70" zoomScaleNormal="70" workbookViewId="0"/>
  </sheetViews>
  <sheetFormatPr defaultColWidth="9" defaultRowHeight="14.25"/>
  <cols>
    <col min="1" max="1" width="5.7109375" style="26" bestFit="1" customWidth="1"/>
    <col min="2" max="2" width="6.140625" style="26" customWidth="1"/>
    <col min="3" max="3" width="4.42578125" style="26" bestFit="1" customWidth="1"/>
    <col min="4" max="4" width="30.5703125" style="26" customWidth="1"/>
    <col min="5" max="5" width="6.28515625" style="26" bestFit="1" customWidth="1"/>
    <col min="6" max="6" width="1.42578125" style="26" customWidth="1"/>
    <col min="7" max="7" width="6.140625" style="26" customWidth="1"/>
    <col min="8" max="8" width="4.42578125" style="26" bestFit="1" customWidth="1"/>
    <col min="9" max="9" width="30.5703125" style="26" customWidth="1"/>
    <col min="10" max="10" width="6.28515625" style="26" bestFit="1" customWidth="1"/>
    <col min="11" max="11" width="1.42578125" style="26" customWidth="1"/>
    <col min="12" max="12" width="5.7109375" style="26" bestFit="1" customWidth="1"/>
    <col min="13" max="13" width="4.42578125" style="26" bestFit="1" customWidth="1"/>
    <col min="14" max="14" width="30.5703125" style="26" customWidth="1"/>
    <col min="15" max="15" width="6.28515625" style="26" bestFit="1" customWidth="1"/>
    <col min="16" max="16" width="1.42578125" style="26" customWidth="1"/>
    <col min="17" max="17" width="6.140625" style="26" customWidth="1"/>
    <col min="18" max="18" width="4.42578125" style="26" bestFit="1" customWidth="1"/>
    <col min="19" max="19" width="30.5703125" style="26" customWidth="1"/>
    <col min="20" max="20" width="6.28515625" style="26" bestFit="1" customWidth="1"/>
    <col min="21" max="21" width="1.42578125" style="26" customWidth="1"/>
    <col min="22" max="22" width="6.140625" style="26" customWidth="1"/>
    <col min="23" max="23" width="4.42578125" style="26" bestFit="1" customWidth="1"/>
    <col min="24" max="24" width="30.5703125" style="26" customWidth="1"/>
    <col min="25" max="25" width="6.28515625" style="26" bestFit="1" customWidth="1"/>
    <col min="26" max="26" width="1.42578125" style="26" customWidth="1"/>
    <col min="27" max="27" width="6.140625" style="26" customWidth="1"/>
    <col min="28" max="28" width="4.42578125" style="26" bestFit="1" customWidth="1"/>
    <col min="29" max="29" width="30.5703125" style="26" customWidth="1"/>
    <col min="30" max="30" width="6.28515625" style="26" bestFit="1" customWidth="1"/>
    <col min="31" max="31" width="1.42578125" style="26" customWidth="1"/>
    <col min="32" max="32" width="6.140625" style="26" customWidth="1"/>
    <col min="33" max="33" width="4.42578125" style="26" bestFit="1" customWidth="1"/>
    <col min="34" max="34" width="30.5703125" style="26" customWidth="1"/>
    <col min="35" max="35" width="6.28515625" style="26" bestFit="1" customWidth="1"/>
    <col min="36" max="36" width="1.42578125" style="26" customWidth="1"/>
    <col min="37" max="37" width="6.140625" style="26" customWidth="1"/>
    <col min="38" max="38" width="4.42578125" style="26" bestFit="1" customWidth="1"/>
    <col min="39" max="39" width="30.5703125" style="26" customWidth="1"/>
    <col min="40" max="40" width="6.28515625" style="26" bestFit="1" customWidth="1"/>
    <col min="41" max="41" width="1.42578125" style="26" customWidth="1"/>
    <col min="42" max="42" width="6.140625" style="26" customWidth="1"/>
    <col min="43" max="43" width="4.42578125" style="26" bestFit="1" customWidth="1"/>
    <col min="44" max="44" width="30.5703125" style="26" customWidth="1"/>
    <col min="45" max="45" width="6.28515625" style="26" bestFit="1" customWidth="1"/>
    <col min="46" max="46" width="1.42578125" style="26" customWidth="1"/>
    <col min="47" max="47" width="6.140625" style="26" customWidth="1"/>
    <col min="48" max="48" width="4.42578125" style="26" bestFit="1" customWidth="1"/>
    <col min="49" max="49" width="30.5703125" style="26" customWidth="1"/>
    <col min="50" max="50" width="6.28515625" style="26" bestFit="1" customWidth="1"/>
    <col min="51" max="51" width="1.42578125" style="26" customWidth="1"/>
    <col min="52" max="52" width="6.140625" style="26" customWidth="1"/>
    <col min="53" max="53" width="4.42578125" style="26" bestFit="1" customWidth="1"/>
    <col min="54" max="54" width="30.5703125" style="26" customWidth="1"/>
    <col min="55" max="55" width="6.28515625" style="26" bestFit="1" customWidth="1"/>
    <col min="56" max="56" width="1.42578125" style="26" customWidth="1"/>
    <col min="57" max="57" width="6.140625" style="26" customWidth="1"/>
    <col min="58" max="58" width="4.42578125" style="26" bestFit="1" customWidth="1"/>
    <col min="59" max="59" width="30.5703125" style="26" customWidth="1"/>
    <col min="60" max="60" width="6.28515625" style="26" bestFit="1" customWidth="1"/>
    <col min="61" max="16384" width="9" style="1"/>
  </cols>
  <sheetData>
    <row r="1" spans="1:61" ht="25.5">
      <c r="A1" s="1"/>
      <c r="B1" s="8" t="s">
        <v>4126</v>
      </c>
      <c r="I1" s="7">
        <v>44635</v>
      </c>
    </row>
    <row r="2" spans="1:61" ht="15">
      <c r="A2" s="1"/>
      <c r="B2" s="2" t="s">
        <v>6582</v>
      </c>
      <c r="G2" s="2"/>
      <c r="Q2" s="2"/>
      <c r="V2" s="2"/>
      <c r="AA2" s="2"/>
      <c r="AF2" s="2"/>
      <c r="AK2" s="2"/>
      <c r="AP2" s="2"/>
      <c r="AU2" s="2"/>
      <c r="AZ2" s="2"/>
      <c r="BE2" s="2"/>
    </row>
    <row r="3" spans="1:61">
      <c r="A3" s="1"/>
      <c r="C3" s="3"/>
    </row>
    <row r="4" spans="1:61">
      <c r="A4" s="1"/>
    </row>
    <row r="5" spans="1:61">
      <c r="A5" s="1"/>
    </row>
    <row r="6" spans="1:61" ht="15.75" thickBot="1">
      <c r="A6" s="1"/>
      <c r="B6" s="4" t="s">
        <v>4127</v>
      </c>
      <c r="G6" s="4" t="s">
        <v>4127</v>
      </c>
      <c r="L6" s="4" t="s">
        <v>4127</v>
      </c>
      <c r="Q6" s="4" t="s">
        <v>10</v>
      </c>
      <c r="V6" s="4" t="s">
        <v>10</v>
      </c>
      <c r="AA6" s="4" t="s">
        <v>10</v>
      </c>
      <c r="AF6" s="4" t="s">
        <v>10</v>
      </c>
      <c r="AK6" s="4" t="s">
        <v>10</v>
      </c>
      <c r="AP6" s="4" t="s">
        <v>10</v>
      </c>
      <c r="AU6" s="4" t="s">
        <v>4127</v>
      </c>
      <c r="AZ6" s="4" t="s">
        <v>4127</v>
      </c>
      <c r="BE6" s="4" t="s">
        <v>4127</v>
      </c>
      <c r="BI6" s="26"/>
    </row>
    <row r="7" spans="1:61" ht="15" thickBot="1">
      <c r="A7" s="1"/>
      <c r="B7" s="60" t="s">
        <v>6583</v>
      </c>
      <c r="C7" s="61" t="s">
        <v>6584</v>
      </c>
      <c r="D7" s="61" t="s">
        <v>6585</v>
      </c>
      <c r="E7" s="62" t="s">
        <v>6586</v>
      </c>
      <c r="G7" s="60" t="s">
        <v>6583</v>
      </c>
      <c r="H7" s="61" t="s">
        <v>6584</v>
      </c>
      <c r="I7" s="61" t="s">
        <v>6585</v>
      </c>
      <c r="J7" s="62" t="s">
        <v>6586</v>
      </c>
      <c r="L7" s="60" t="s">
        <v>6583</v>
      </c>
      <c r="M7" s="61" t="s">
        <v>6584</v>
      </c>
      <c r="N7" s="61" t="s">
        <v>6585</v>
      </c>
      <c r="O7" s="62" t="s">
        <v>6586</v>
      </c>
      <c r="Q7" s="34" t="s">
        <v>6583</v>
      </c>
      <c r="R7" s="35" t="s">
        <v>6584</v>
      </c>
      <c r="S7" s="35" t="s">
        <v>6585</v>
      </c>
      <c r="T7" s="36" t="s">
        <v>6586</v>
      </c>
      <c r="V7" s="34" t="s">
        <v>6583</v>
      </c>
      <c r="W7" s="35" t="s">
        <v>6584</v>
      </c>
      <c r="X7" s="35" t="s">
        <v>6585</v>
      </c>
      <c r="Y7" s="36" t="s">
        <v>6586</v>
      </c>
      <c r="AA7" s="34" t="s">
        <v>6583</v>
      </c>
      <c r="AB7" s="35" t="s">
        <v>6584</v>
      </c>
      <c r="AC7" s="35" t="s">
        <v>6585</v>
      </c>
      <c r="AD7" s="36" t="s">
        <v>6586</v>
      </c>
      <c r="AF7" s="34" t="s">
        <v>6583</v>
      </c>
      <c r="AG7" s="35" t="s">
        <v>6584</v>
      </c>
      <c r="AH7" s="35" t="s">
        <v>6585</v>
      </c>
      <c r="AI7" s="36" t="s">
        <v>6586</v>
      </c>
      <c r="AK7" s="34" t="s">
        <v>6583</v>
      </c>
      <c r="AL7" s="35" t="s">
        <v>6584</v>
      </c>
      <c r="AM7" s="35" t="s">
        <v>6585</v>
      </c>
      <c r="AN7" s="36" t="s">
        <v>6586</v>
      </c>
      <c r="AP7" s="34" t="s">
        <v>6583</v>
      </c>
      <c r="AQ7" s="35" t="s">
        <v>6584</v>
      </c>
      <c r="AR7" s="35" t="s">
        <v>6585</v>
      </c>
      <c r="AS7" s="36" t="s">
        <v>6586</v>
      </c>
      <c r="AU7" s="60" t="s">
        <v>6583</v>
      </c>
      <c r="AV7" s="61" t="s">
        <v>6584</v>
      </c>
      <c r="AW7" s="61" t="s">
        <v>6585</v>
      </c>
      <c r="AX7" s="62" t="s">
        <v>6586</v>
      </c>
      <c r="AZ7" s="60" t="s">
        <v>6583</v>
      </c>
      <c r="BA7" s="61" t="s">
        <v>6584</v>
      </c>
      <c r="BB7" s="61" t="s">
        <v>6585</v>
      </c>
      <c r="BC7" s="62" t="s">
        <v>6586</v>
      </c>
      <c r="BE7" s="60" t="s">
        <v>6583</v>
      </c>
      <c r="BF7" s="61" t="s">
        <v>6584</v>
      </c>
      <c r="BG7" s="61" t="s">
        <v>6585</v>
      </c>
      <c r="BH7" s="62" t="s">
        <v>6586</v>
      </c>
    </row>
    <row r="8" spans="1:61">
      <c r="A8" s="1"/>
      <c r="B8" s="63">
        <v>1503</v>
      </c>
      <c r="C8" s="64">
        <v>1</v>
      </c>
      <c r="D8" s="65" t="s">
        <v>46</v>
      </c>
      <c r="E8" s="66" t="s">
        <v>46</v>
      </c>
      <c r="G8" s="63">
        <v>1506</v>
      </c>
      <c r="H8" s="64">
        <v>1</v>
      </c>
      <c r="I8" s="65" t="s">
        <v>46</v>
      </c>
      <c r="J8" s="66" t="s">
        <v>46</v>
      </c>
      <c r="L8" s="63">
        <v>1509</v>
      </c>
      <c r="M8" s="64">
        <v>1</v>
      </c>
      <c r="N8" s="65" t="s">
        <v>46</v>
      </c>
      <c r="O8" s="66" t="s">
        <v>46</v>
      </c>
      <c r="Q8" s="37">
        <v>1601</v>
      </c>
      <c r="R8" s="38">
        <v>1</v>
      </c>
      <c r="S8" s="39" t="s">
        <v>46</v>
      </c>
      <c r="T8" s="40" t="s">
        <v>46</v>
      </c>
      <c r="V8" s="37">
        <v>1604</v>
      </c>
      <c r="W8" s="56">
        <v>1</v>
      </c>
      <c r="X8" s="39" t="s">
        <v>46</v>
      </c>
      <c r="Y8" s="40" t="s">
        <v>46</v>
      </c>
      <c r="AA8" s="37">
        <v>1607</v>
      </c>
      <c r="AB8" s="56">
        <v>1</v>
      </c>
      <c r="AC8" s="39" t="s">
        <v>46</v>
      </c>
      <c r="AD8" s="40" t="s">
        <v>46</v>
      </c>
      <c r="AF8" s="37">
        <v>1703</v>
      </c>
      <c r="AG8" s="56">
        <v>1</v>
      </c>
      <c r="AH8" s="39" t="s">
        <v>46</v>
      </c>
      <c r="AI8" s="40" t="s">
        <v>46</v>
      </c>
      <c r="AK8" s="37">
        <v>1706</v>
      </c>
      <c r="AL8" s="56">
        <v>1</v>
      </c>
      <c r="AM8" s="39" t="s">
        <v>46</v>
      </c>
      <c r="AN8" s="40" t="s">
        <v>46</v>
      </c>
      <c r="AP8" s="37">
        <v>1709</v>
      </c>
      <c r="AQ8" s="56">
        <v>1</v>
      </c>
      <c r="AR8" s="39" t="s">
        <v>46</v>
      </c>
      <c r="AS8" s="40" t="s">
        <v>46</v>
      </c>
      <c r="AU8" s="63">
        <v>1801</v>
      </c>
      <c r="AV8" s="64">
        <v>1</v>
      </c>
      <c r="AW8" s="65" t="s">
        <v>46</v>
      </c>
      <c r="AX8" s="66" t="s">
        <v>46</v>
      </c>
      <c r="AZ8" s="63">
        <v>1804</v>
      </c>
      <c r="BA8" s="82">
        <v>1</v>
      </c>
      <c r="BB8" s="65" t="s">
        <v>46</v>
      </c>
      <c r="BC8" s="66" t="s">
        <v>46</v>
      </c>
      <c r="BE8" s="63">
        <v>1807</v>
      </c>
      <c r="BF8" s="82">
        <v>1</v>
      </c>
      <c r="BG8" s="65" t="s">
        <v>46</v>
      </c>
      <c r="BH8" s="66" t="s">
        <v>46</v>
      </c>
    </row>
    <row r="9" spans="1:61">
      <c r="A9" s="1"/>
      <c r="B9" s="67">
        <v>1503</v>
      </c>
      <c r="C9" s="68">
        <v>2</v>
      </c>
      <c r="D9" s="69" t="s">
        <v>46</v>
      </c>
      <c r="E9" s="70" t="s">
        <v>46</v>
      </c>
      <c r="G9" s="67">
        <v>1506</v>
      </c>
      <c r="H9" s="68">
        <v>2</v>
      </c>
      <c r="I9" s="69" t="s">
        <v>46</v>
      </c>
      <c r="J9" s="70" t="s">
        <v>46</v>
      </c>
      <c r="L9" s="67">
        <v>1509</v>
      </c>
      <c r="M9" s="68">
        <v>2</v>
      </c>
      <c r="N9" s="69" t="s">
        <v>46</v>
      </c>
      <c r="O9" s="70" t="s">
        <v>46</v>
      </c>
      <c r="Q9" s="41">
        <v>1601</v>
      </c>
      <c r="R9" s="42">
        <v>2</v>
      </c>
      <c r="S9" s="43" t="s">
        <v>46</v>
      </c>
      <c r="T9" s="44" t="s">
        <v>46</v>
      </c>
      <c r="V9" s="41">
        <v>1604</v>
      </c>
      <c r="W9" s="33">
        <v>2</v>
      </c>
      <c r="X9" s="43" t="s">
        <v>46</v>
      </c>
      <c r="Y9" s="44" t="s">
        <v>46</v>
      </c>
      <c r="AA9" s="41">
        <v>1607</v>
      </c>
      <c r="AB9" s="33">
        <v>2</v>
      </c>
      <c r="AC9" s="43" t="s">
        <v>46</v>
      </c>
      <c r="AD9" s="44" t="s">
        <v>46</v>
      </c>
      <c r="AF9" s="41">
        <v>1703</v>
      </c>
      <c r="AG9" s="33">
        <v>2</v>
      </c>
      <c r="AH9" s="43" t="s">
        <v>46</v>
      </c>
      <c r="AI9" s="44" t="s">
        <v>46</v>
      </c>
      <c r="AK9" s="41">
        <v>1706</v>
      </c>
      <c r="AL9" s="33">
        <v>2</v>
      </c>
      <c r="AM9" s="43" t="s">
        <v>46</v>
      </c>
      <c r="AN9" s="44" t="s">
        <v>46</v>
      </c>
      <c r="AP9" s="41">
        <v>1709</v>
      </c>
      <c r="AQ9" s="33">
        <v>2</v>
      </c>
      <c r="AR9" s="43" t="s">
        <v>46</v>
      </c>
      <c r="AS9" s="44" t="s">
        <v>46</v>
      </c>
      <c r="AU9" s="67">
        <v>1801</v>
      </c>
      <c r="AV9" s="68">
        <v>2</v>
      </c>
      <c r="AW9" s="69" t="s">
        <v>46</v>
      </c>
      <c r="AX9" s="70" t="s">
        <v>46</v>
      </c>
      <c r="AZ9" s="67">
        <v>1804</v>
      </c>
      <c r="BA9" s="83">
        <v>2</v>
      </c>
      <c r="BB9" s="69" t="s">
        <v>46</v>
      </c>
      <c r="BC9" s="70" t="s">
        <v>46</v>
      </c>
      <c r="BE9" s="67">
        <v>1807</v>
      </c>
      <c r="BF9" s="83">
        <v>2</v>
      </c>
      <c r="BG9" s="69" t="s">
        <v>46</v>
      </c>
      <c r="BH9" s="70" t="s">
        <v>46</v>
      </c>
    </row>
    <row r="10" spans="1:61">
      <c r="A10" s="1"/>
      <c r="B10" s="67">
        <v>1503</v>
      </c>
      <c r="C10" s="68">
        <v>3</v>
      </c>
      <c r="D10" s="69" t="s">
        <v>46</v>
      </c>
      <c r="E10" s="70" t="s">
        <v>46</v>
      </c>
      <c r="G10" s="67">
        <v>1506</v>
      </c>
      <c r="H10" s="68">
        <v>3</v>
      </c>
      <c r="I10" s="69" t="s">
        <v>46</v>
      </c>
      <c r="J10" s="70" t="s">
        <v>46</v>
      </c>
      <c r="L10" s="67">
        <v>1509</v>
      </c>
      <c r="M10" s="68">
        <v>3</v>
      </c>
      <c r="N10" s="69" t="s">
        <v>46</v>
      </c>
      <c r="O10" s="70" t="s">
        <v>46</v>
      </c>
      <c r="Q10" s="41">
        <v>1601</v>
      </c>
      <c r="R10" s="42">
        <v>3</v>
      </c>
      <c r="S10" s="43" t="s">
        <v>46</v>
      </c>
      <c r="T10" s="44" t="s">
        <v>46</v>
      </c>
      <c r="V10" s="41">
        <v>1604</v>
      </c>
      <c r="W10" s="33">
        <v>3</v>
      </c>
      <c r="X10" s="43" t="s">
        <v>46</v>
      </c>
      <c r="Y10" s="44" t="s">
        <v>46</v>
      </c>
      <c r="AA10" s="41">
        <v>1607</v>
      </c>
      <c r="AB10" s="33">
        <v>3</v>
      </c>
      <c r="AC10" s="43" t="s">
        <v>46</v>
      </c>
      <c r="AD10" s="44" t="s">
        <v>46</v>
      </c>
      <c r="AF10" s="41">
        <v>1703</v>
      </c>
      <c r="AG10" s="33">
        <v>3</v>
      </c>
      <c r="AH10" s="43" t="s">
        <v>46</v>
      </c>
      <c r="AI10" s="44" t="s">
        <v>46</v>
      </c>
      <c r="AK10" s="41">
        <v>1706</v>
      </c>
      <c r="AL10" s="33">
        <v>3</v>
      </c>
      <c r="AM10" s="43" t="s">
        <v>46</v>
      </c>
      <c r="AN10" s="44" t="s">
        <v>46</v>
      </c>
      <c r="AP10" s="41">
        <v>1709</v>
      </c>
      <c r="AQ10" s="33">
        <v>3</v>
      </c>
      <c r="AR10" s="43" t="s">
        <v>46</v>
      </c>
      <c r="AS10" s="44" t="s">
        <v>46</v>
      </c>
      <c r="AU10" s="67">
        <v>1801</v>
      </c>
      <c r="AV10" s="68">
        <v>3</v>
      </c>
      <c r="AW10" s="69" t="s">
        <v>46</v>
      </c>
      <c r="AX10" s="70" t="s">
        <v>46</v>
      </c>
      <c r="AZ10" s="67">
        <v>1804</v>
      </c>
      <c r="BA10" s="83">
        <v>3</v>
      </c>
      <c r="BB10" s="69" t="s">
        <v>46</v>
      </c>
      <c r="BC10" s="70" t="s">
        <v>46</v>
      </c>
      <c r="BE10" s="67">
        <v>1807</v>
      </c>
      <c r="BF10" s="83">
        <v>3</v>
      </c>
      <c r="BG10" s="69" t="s">
        <v>46</v>
      </c>
      <c r="BH10" s="70" t="s">
        <v>46</v>
      </c>
    </row>
    <row r="11" spans="1:61">
      <c r="A11" s="1"/>
      <c r="B11" s="67">
        <v>1503</v>
      </c>
      <c r="C11" s="68">
        <v>4</v>
      </c>
      <c r="D11" s="69" t="s">
        <v>46</v>
      </c>
      <c r="E11" s="70" t="s">
        <v>46</v>
      </c>
      <c r="G11" s="67">
        <v>1506</v>
      </c>
      <c r="H11" s="68">
        <v>4</v>
      </c>
      <c r="I11" s="69" t="s">
        <v>46</v>
      </c>
      <c r="J11" s="70" t="s">
        <v>46</v>
      </c>
      <c r="L11" s="67">
        <v>1509</v>
      </c>
      <c r="M11" s="68">
        <v>4</v>
      </c>
      <c r="N11" s="69" t="s">
        <v>46</v>
      </c>
      <c r="O11" s="70" t="s">
        <v>46</v>
      </c>
      <c r="Q11" s="41">
        <v>1601</v>
      </c>
      <c r="R11" s="42">
        <v>4</v>
      </c>
      <c r="S11" s="43" t="s">
        <v>46</v>
      </c>
      <c r="T11" s="44" t="s">
        <v>46</v>
      </c>
      <c r="V11" s="41">
        <v>1604</v>
      </c>
      <c r="W11" s="33">
        <v>4</v>
      </c>
      <c r="X11" s="43" t="s">
        <v>46</v>
      </c>
      <c r="Y11" s="44" t="s">
        <v>46</v>
      </c>
      <c r="AA11" s="41">
        <v>1607</v>
      </c>
      <c r="AB11" s="33">
        <v>4</v>
      </c>
      <c r="AC11" s="43" t="s">
        <v>46</v>
      </c>
      <c r="AD11" s="44" t="s">
        <v>46</v>
      </c>
      <c r="AF11" s="41">
        <v>1703</v>
      </c>
      <c r="AG11" s="33">
        <v>4</v>
      </c>
      <c r="AH11" s="43" t="s">
        <v>46</v>
      </c>
      <c r="AI11" s="44" t="s">
        <v>46</v>
      </c>
      <c r="AK11" s="41">
        <v>1706</v>
      </c>
      <c r="AL11" s="33">
        <v>4</v>
      </c>
      <c r="AM11" s="43" t="s">
        <v>46</v>
      </c>
      <c r="AN11" s="44" t="s">
        <v>46</v>
      </c>
      <c r="AP11" s="41">
        <v>1709</v>
      </c>
      <c r="AQ11" s="33">
        <v>4</v>
      </c>
      <c r="AR11" s="43" t="s">
        <v>46</v>
      </c>
      <c r="AS11" s="44" t="s">
        <v>46</v>
      </c>
      <c r="AU11" s="67">
        <v>1801</v>
      </c>
      <c r="AV11" s="68">
        <v>4</v>
      </c>
      <c r="AW11" s="69" t="s">
        <v>46</v>
      </c>
      <c r="AX11" s="70" t="s">
        <v>46</v>
      </c>
      <c r="AZ11" s="67">
        <v>1804</v>
      </c>
      <c r="BA11" s="83">
        <v>4</v>
      </c>
      <c r="BB11" s="69" t="s">
        <v>46</v>
      </c>
      <c r="BC11" s="70" t="s">
        <v>46</v>
      </c>
      <c r="BE11" s="67">
        <v>1807</v>
      </c>
      <c r="BF11" s="83">
        <v>4</v>
      </c>
      <c r="BG11" s="69" t="s">
        <v>46</v>
      </c>
      <c r="BH11" s="70" t="s">
        <v>46</v>
      </c>
    </row>
    <row r="12" spans="1:61">
      <c r="A12" s="1"/>
      <c r="B12" s="67">
        <v>1503</v>
      </c>
      <c r="C12" s="68">
        <v>5</v>
      </c>
      <c r="D12" s="69" t="s">
        <v>46</v>
      </c>
      <c r="E12" s="70" t="s">
        <v>46</v>
      </c>
      <c r="G12" s="67">
        <v>1506</v>
      </c>
      <c r="H12" s="68">
        <v>5</v>
      </c>
      <c r="I12" s="69" t="s">
        <v>6587</v>
      </c>
      <c r="J12" s="70" t="s">
        <v>1329</v>
      </c>
      <c r="L12" s="67">
        <v>1509</v>
      </c>
      <c r="M12" s="68">
        <v>5</v>
      </c>
      <c r="N12" s="69" t="s">
        <v>46</v>
      </c>
      <c r="O12" s="70" t="s">
        <v>46</v>
      </c>
      <c r="Q12" s="41">
        <v>1601</v>
      </c>
      <c r="R12" s="42">
        <v>5</v>
      </c>
      <c r="S12" s="43" t="s">
        <v>6588</v>
      </c>
      <c r="T12" s="44" t="s">
        <v>1244</v>
      </c>
      <c r="V12" s="41">
        <v>1604</v>
      </c>
      <c r="W12" s="33">
        <v>5</v>
      </c>
      <c r="X12" s="43" t="s">
        <v>46</v>
      </c>
      <c r="Y12" s="44" t="s">
        <v>46</v>
      </c>
      <c r="AA12" s="41">
        <v>1607</v>
      </c>
      <c r="AB12" s="33">
        <v>5</v>
      </c>
      <c r="AC12" s="43" t="s">
        <v>46</v>
      </c>
      <c r="AD12" s="44" t="s">
        <v>46</v>
      </c>
      <c r="AF12" s="41">
        <v>1703</v>
      </c>
      <c r="AG12" s="33">
        <v>5</v>
      </c>
      <c r="AH12" s="43" t="s">
        <v>46</v>
      </c>
      <c r="AI12" s="44" t="s">
        <v>46</v>
      </c>
      <c r="AK12" s="41">
        <v>1706</v>
      </c>
      <c r="AL12" s="33">
        <v>5</v>
      </c>
      <c r="AM12" s="43" t="s">
        <v>6587</v>
      </c>
      <c r="AN12" s="44" t="s">
        <v>1329</v>
      </c>
      <c r="AP12" s="41">
        <v>1709</v>
      </c>
      <c r="AQ12" s="33">
        <v>5</v>
      </c>
      <c r="AR12" s="43" t="s">
        <v>46</v>
      </c>
      <c r="AS12" s="44" t="s">
        <v>46</v>
      </c>
      <c r="AU12" s="67">
        <v>1801</v>
      </c>
      <c r="AV12" s="68">
        <v>5</v>
      </c>
      <c r="AW12" s="69" t="s">
        <v>6588</v>
      </c>
      <c r="AX12" s="70" t="s">
        <v>1244</v>
      </c>
      <c r="AZ12" s="67">
        <v>1804</v>
      </c>
      <c r="BA12" s="83">
        <v>5</v>
      </c>
      <c r="BB12" s="69" t="s">
        <v>46</v>
      </c>
      <c r="BC12" s="70" t="s">
        <v>46</v>
      </c>
      <c r="BE12" s="67">
        <v>1807</v>
      </c>
      <c r="BF12" s="83">
        <v>5</v>
      </c>
      <c r="BG12" s="69" t="s">
        <v>46</v>
      </c>
      <c r="BH12" s="70" t="s">
        <v>46</v>
      </c>
    </row>
    <row r="13" spans="1:61">
      <c r="A13" s="1"/>
      <c r="B13" s="67">
        <v>1503</v>
      </c>
      <c r="C13" s="68">
        <v>6</v>
      </c>
      <c r="D13" s="69" t="s">
        <v>46</v>
      </c>
      <c r="E13" s="70" t="s">
        <v>46</v>
      </c>
      <c r="G13" s="67">
        <v>1506</v>
      </c>
      <c r="H13" s="68">
        <v>6</v>
      </c>
      <c r="I13" s="69" t="s">
        <v>6589</v>
      </c>
      <c r="J13" s="70" t="s">
        <v>930</v>
      </c>
      <c r="L13" s="67">
        <v>1509</v>
      </c>
      <c r="M13" s="68">
        <v>6</v>
      </c>
      <c r="N13" s="69" t="s">
        <v>46</v>
      </c>
      <c r="O13" s="70" t="s">
        <v>46</v>
      </c>
      <c r="Q13" s="41">
        <v>1601</v>
      </c>
      <c r="R13" s="42">
        <v>6</v>
      </c>
      <c r="S13" s="43" t="s">
        <v>46</v>
      </c>
      <c r="T13" s="44" t="s">
        <v>46</v>
      </c>
      <c r="V13" s="41">
        <v>1604</v>
      </c>
      <c r="W13" s="33">
        <v>6</v>
      </c>
      <c r="X13" s="43" t="s">
        <v>46</v>
      </c>
      <c r="Y13" s="44" t="s">
        <v>46</v>
      </c>
      <c r="AA13" s="41">
        <v>1607</v>
      </c>
      <c r="AB13" s="33">
        <v>6</v>
      </c>
      <c r="AC13" s="43" t="s">
        <v>46</v>
      </c>
      <c r="AD13" s="44" t="s">
        <v>46</v>
      </c>
      <c r="AF13" s="41">
        <v>1703</v>
      </c>
      <c r="AG13" s="33">
        <v>6</v>
      </c>
      <c r="AH13" s="43" t="s">
        <v>46</v>
      </c>
      <c r="AI13" s="44" t="s">
        <v>46</v>
      </c>
      <c r="AK13" s="41">
        <v>1706</v>
      </c>
      <c r="AL13" s="33">
        <v>6</v>
      </c>
      <c r="AM13" s="43" t="s">
        <v>6589</v>
      </c>
      <c r="AN13" s="44" t="s">
        <v>930</v>
      </c>
      <c r="AP13" s="41">
        <v>1709</v>
      </c>
      <c r="AQ13" s="33">
        <v>6</v>
      </c>
      <c r="AR13" s="43" t="s">
        <v>46</v>
      </c>
      <c r="AS13" s="44" t="s">
        <v>46</v>
      </c>
      <c r="AU13" s="67">
        <v>1801</v>
      </c>
      <c r="AV13" s="68">
        <v>6</v>
      </c>
      <c r="AW13" s="69" t="s">
        <v>46</v>
      </c>
      <c r="AX13" s="70" t="s">
        <v>46</v>
      </c>
      <c r="AZ13" s="67">
        <v>1804</v>
      </c>
      <c r="BA13" s="83">
        <v>6</v>
      </c>
      <c r="BB13" s="69" t="s">
        <v>46</v>
      </c>
      <c r="BC13" s="70" t="s">
        <v>46</v>
      </c>
      <c r="BE13" s="67">
        <v>1807</v>
      </c>
      <c r="BF13" s="83">
        <v>6</v>
      </c>
      <c r="BG13" s="69" t="s">
        <v>46</v>
      </c>
      <c r="BH13" s="70" t="s">
        <v>46</v>
      </c>
    </row>
    <row r="14" spans="1:61">
      <c r="A14" s="1"/>
      <c r="B14" s="67">
        <v>1503</v>
      </c>
      <c r="C14" s="68">
        <v>7</v>
      </c>
      <c r="D14" s="69" t="s">
        <v>6590</v>
      </c>
      <c r="E14" s="70" t="s">
        <v>1309</v>
      </c>
      <c r="G14" s="67">
        <v>1506</v>
      </c>
      <c r="H14" s="68">
        <v>7</v>
      </c>
      <c r="I14" s="69" t="s">
        <v>6591</v>
      </c>
      <c r="J14" s="70" t="s">
        <v>1339</v>
      </c>
      <c r="L14" s="67">
        <v>1509</v>
      </c>
      <c r="M14" s="68">
        <v>7</v>
      </c>
      <c r="N14" s="69" t="s">
        <v>46</v>
      </c>
      <c r="O14" s="70" t="s">
        <v>46</v>
      </c>
      <c r="Q14" s="41">
        <v>1601</v>
      </c>
      <c r="R14" s="42">
        <v>7</v>
      </c>
      <c r="S14" s="43" t="s">
        <v>46</v>
      </c>
      <c r="T14" s="44" t="s">
        <v>46</v>
      </c>
      <c r="V14" s="41">
        <v>1604</v>
      </c>
      <c r="W14" s="33">
        <v>7</v>
      </c>
      <c r="X14" s="43" t="s">
        <v>46</v>
      </c>
      <c r="Y14" s="44" t="s">
        <v>46</v>
      </c>
      <c r="AA14" s="41">
        <v>1607</v>
      </c>
      <c r="AB14" s="33">
        <v>7</v>
      </c>
      <c r="AC14" s="43" t="s">
        <v>46</v>
      </c>
      <c r="AD14" s="44" t="s">
        <v>46</v>
      </c>
      <c r="AF14" s="41">
        <v>1703</v>
      </c>
      <c r="AG14" s="33">
        <v>7</v>
      </c>
      <c r="AH14" s="43" t="s">
        <v>6590</v>
      </c>
      <c r="AI14" s="44" t="s">
        <v>1309</v>
      </c>
      <c r="AK14" s="41">
        <v>1706</v>
      </c>
      <c r="AL14" s="33">
        <v>7</v>
      </c>
      <c r="AM14" s="43" t="s">
        <v>6591</v>
      </c>
      <c r="AN14" s="44" t="s">
        <v>1339</v>
      </c>
      <c r="AP14" s="41">
        <v>1709</v>
      </c>
      <c r="AQ14" s="33">
        <v>7</v>
      </c>
      <c r="AR14" s="43" t="s">
        <v>46</v>
      </c>
      <c r="AS14" s="44" t="s">
        <v>46</v>
      </c>
      <c r="AU14" s="67">
        <v>1801</v>
      </c>
      <c r="AV14" s="68">
        <v>7</v>
      </c>
      <c r="AW14" s="69" t="s">
        <v>46</v>
      </c>
      <c r="AX14" s="70" t="s">
        <v>46</v>
      </c>
      <c r="AZ14" s="67">
        <v>1804</v>
      </c>
      <c r="BA14" s="83">
        <v>7</v>
      </c>
      <c r="BB14" s="69" t="s">
        <v>46</v>
      </c>
      <c r="BC14" s="70" t="s">
        <v>46</v>
      </c>
      <c r="BE14" s="67">
        <v>1807</v>
      </c>
      <c r="BF14" s="83">
        <v>7</v>
      </c>
      <c r="BG14" s="69" t="s">
        <v>46</v>
      </c>
      <c r="BH14" s="70" t="s">
        <v>46</v>
      </c>
    </row>
    <row r="15" spans="1:61">
      <c r="A15" s="1"/>
      <c r="B15" s="67">
        <v>1503</v>
      </c>
      <c r="C15" s="68">
        <v>8</v>
      </c>
      <c r="D15" s="69" t="s">
        <v>46</v>
      </c>
      <c r="E15" s="70" t="s">
        <v>46</v>
      </c>
      <c r="G15" s="67">
        <v>1506</v>
      </c>
      <c r="H15" s="68">
        <v>8</v>
      </c>
      <c r="I15" s="69" t="s">
        <v>46</v>
      </c>
      <c r="J15" s="70" t="s">
        <v>46</v>
      </c>
      <c r="L15" s="67">
        <v>1509</v>
      </c>
      <c r="M15" s="68">
        <v>8</v>
      </c>
      <c r="N15" s="69" t="s">
        <v>46</v>
      </c>
      <c r="O15" s="70" t="s">
        <v>46</v>
      </c>
      <c r="Q15" s="41">
        <v>1601</v>
      </c>
      <c r="R15" s="42">
        <v>8</v>
      </c>
      <c r="S15" s="43" t="s">
        <v>46</v>
      </c>
      <c r="T15" s="44" t="s">
        <v>46</v>
      </c>
      <c r="V15" s="41">
        <v>1604</v>
      </c>
      <c r="W15" s="33">
        <v>8</v>
      </c>
      <c r="X15" s="43" t="s">
        <v>46</v>
      </c>
      <c r="Y15" s="44" t="s">
        <v>46</v>
      </c>
      <c r="AA15" s="41">
        <v>1607</v>
      </c>
      <c r="AB15" s="33">
        <v>8</v>
      </c>
      <c r="AC15" s="43" t="s">
        <v>46</v>
      </c>
      <c r="AD15" s="44" t="s">
        <v>46</v>
      </c>
      <c r="AF15" s="41">
        <v>1703</v>
      </c>
      <c r="AG15" s="33">
        <v>8</v>
      </c>
      <c r="AH15" s="43" t="s">
        <v>46</v>
      </c>
      <c r="AI15" s="44" t="s">
        <v>46</v>
      </c>
      <c r="AK15" s="41">
        <v>1706</v>
      </c>
      <c r="AL15" s="33">
        <v>8</v>
      </c>
      <c r="AM15" s="43" t="s">
        <v>46</v>
      </c>
      <c r="AN15" s="44" t="s">
        <v>46</v>
      </c>
      <c r="AP15" s="41">
        <v>1709</v>
      </c>
      <c r="AQ15" s="33">
        <v>8</v>
      </c>
      <c r="AR15" s="43" t="s">
        <v>46</v>
      </c>
      <c r="AS15" s="44" t="s">
        <v>46</v>
      </c>
      <c r="AU15" s="67">
        <v>1801</v>
      </c>
      <c r="AV15" s="68">
        <v>8</v>
      </c>
      <c r="AW15" s="69" t="s">
        <v>46</v>
      </c>
      <c r="AX15" s="70" t="s">
        <v>46</v>
      </c>
      <c r="AZ15" s="67">
        <v>1804</v>
      </c>
      <c r="BA15" s="83">
        <v>8</v>
      </c>
      <c r="BB15" s="69" t="s">
        <v>46</v>
      </c>
      <c r="BC15" s="70" t="s">
        <v>46</v>
      </c>
      <c r="BE15" s="67">
        <v>1807</v>
      </c>
      <c r="BF15" s="83">
        <v>8</v>
      </c>
      <c r="BG15" s="69" t="s">
        <v>46</v>
      </c>
      <c r="BH15" s="70" t="s">
        <v>46</v>
      </c>
    </row>
    <row r="16" spans="1:61">
      <c r="A16" s="1"/>
      <c r="B16" s="67">
        <v>1503</v>
      </c>
      <c r="C16" s="68">
        <v>9</v>
      </c>
      <c r="D16" s="69" t="s">
        <v>6592</v>
      </c>
      <c r="E16" s="70" t="s">
        <v>1284</v>
      </c>
      <c r="G16" s="67">
        <v>1506</v>
      </c>
      <c r="H16" s="68">
        <v>9</v>
      </c>
      <c r="I16" s="69" t="s">
        <v>46</v>
      </c>
      <c r="J16" s="70" t="s">
        <v>46</v>
      </c>
      <c r="L16" s="67">
        <v>1509</v>
      </c>
      <c r="M16" s="68">
        <v>9</v>
      </c>
      <c r="N16" s="69" t="s">
        <v>46</v>
      </c>
      <c r="O16" s="70" t="s">
        <v>46</v>
      </c>
      <c r="Q16" s="41">
        <v>1601</v>
      </c>
      <c r="R16" s="42">
        <v>9</v>
      </c>
      <c r="S16" s="43" t="s">
        <v>46</v>
      </c>
      <c r="T16" s="44" t="s">
        <v>46</v>
      </c>
      <c r="V16" s="41">
        <v>1604</v>
      </c>
      <c r="W16" s="33">
        <v>9</v>
      </c>
      <c r="X16" s="43" t="s">
        <v>46</v>
      </c>
      <c r="Y16" s="44" t="s">
        <v>46</v>
      </c>
      <c r="AA16" s="41">
        <v>1607</v>
      </c>
      <c r="AB16" s="33">
        <v>9</v>
      </c>
      <c r="AC16" s="43" t="s">
        <v>46</v>
      </c>
      <c r="AD16" s="44" t="s">
        <v>46</v>
      </c>
      <c r="AF16" s="41">
        <v>1703</v>
      </c>
      <c r="AG16" s="33">
        <v>9</v>
      </c>
      <c r="AH16" s="43" t="s">
        <v>6592</v>
      </c>
      <c r="AI16" s="44" t="s">
        <v>1284</v>
      </c>
      <c r="AK16" s="41">
        <v>1706</v>
      </c>
      <c r="AL16" s="33">
        <v>9</v>
      </c>
      <c r="AM16" s="43" t="s">
        <v>46</v>
      </c>
      <c r="AN16" s="44" t="s">
        <v>46</v>
      </c>
      <c r="AP16" s="41">
        <v>1709</v>
      </c>
      <c r="AQ16" s="33">
        <v>9</v>
      </c>
      <c r="AR16" s="43" t="s">
        <v>46</v>
      </c>
      <c r="AS16" s="44" t="s">
        <v>46</v>
      </c>
      <c r="AU16" s="67">
        <v>1801</v>
      </c>
      <c r="AV16" s="68">
        <v>9</v>
      </c>
      <c r="AW16" s="69" t="s">
        <v>46</v>
      </c>
      <c r="AX16" s="70" t="s">
        <v>46</v>
      </c>
      <c r="AZ16" s="67">
        <v>1804</v>
      </c>
      <c r="BA16" s="83">
        <v>9</v>
      </c>
      <c r="BB16" s="69" t="s">
        <v>46</v>
      </c>
      <c r="BC16" s="70" t="s">
        <v>46</v>
      </c>
      <c r="BE16" s="67">
        <v>1807</v>
      </c>
      <c r="BF16" s="83">
        <v>9</v>
      </c>
      <c r="BG16" s="69" t="s">
        <v>46</v>
      </c>
      <c r="BH16" s="70" t="s">
        <v>46</v>
      </c>
    </row>
    <row r="17" spans="1:60">
      <c r="A17" s="1"/>
      <c r="B17" s="67">
        <v>1503</v>
      </c>
      <c r="C17" s="68">
        <v>10</v>
      </c>
      <c r="D17" s="69" t="s">
        <v>46</v>
      </c>
      <c r="E17" s="70" t="s">
        <v>46</v>
      </c>
      <c r="G17" s="67">
        <v>1506</v>
      </c>
      <c r="H17" s="68">
        <v>10</v>
      </c>
      <c r="I17" s="69" t="s">
        <v>46</v>
      </c>
      <c r="J17" s="70" t="s">
        <v>46</v>
      </c>
      <c r="L17" s="67">
        <v>1509</v>
      </c>
      <c r="M17" s="68">
        <v>10</v>
      </c>
      <c r="N17" s="69" t="s">
        <v>46</v>
      </c>
      <c r="O17" s="70" t="s">
        <v>46</v>
      </c>
      <c r="Q17" s="41">
        <v>1601</v>
      </c>
      <c r="R17" s="42">
        <v>10</v>
      </c>
      <c r="S17" s="43" t="s">
        <v>6593</v>
      </c>
      <c r="T17" s="44" t="s">
        <v>1399</v>
      </c>
      <c r="V17" s="41">
        <v>1604</v>
      </c>
      <c r="W17" s="33">
        <v>10</v>
      </c>
      <c r="X17" s="43" t="s">
        <v>46</v>
      </c>
      <c r="Y17" s="44" t="s">
        <v>46</v>
      </c>
      <c r="AA17" s="41">
        <v>1607</v>
      </c>
      <c r="AB17" s="33">
        <v>10</v>
      </c>
      <c r="AC17" s="43" t="s">
        <v>46</v>
      </c>
      <c r="AD17" s="44" t="s">
        <v>46</v>
      </c>
      <c r="AF17" s="41">
        <v>1703</v>
      </c>
      <c r="AG17" s="33">
        <v>10</v>
      </c>
      <c r="AH17" s="43" t="s">
        <v>46</v>
      </c>
      <c r="AI17" s="44" t="s">
        <v>46</v>
      </c>
      <c r="AK17" s="41">
        <v>1706</v>
      </c>
      <c r="AL17" s="33">
        <v>10</v>
      </c>
      <c r="AM17" s="43" t="s">
        <v>46</v>
      </c>
      <c r="AN17" s="44" t="s">
        <v>46</v>
      </c>
      <c r="AP17" s="41">
        <v>1709</v>
      </c>
      <c r="AQ17" s="33">
        <v>10</v>
      </c>
      <c r="AR17" s="43" t="s">
        <v>46</v>
      </c>
      <c r="AS17" s="44" t="s">
        <v>46</v>
      </c>
      <c r="AU17" s="67">
        <v>1801</v>
      </c>
      <c r="AV17" s="68">
        <v>10</v>
      </c>
      <c r="AW17" s="69" t="s">
        <v>6593</v>
      </c>
      <c r="AX17" s="70" t="s">
        <v>1399</v>
      </c>
      <c r="AZ17" s="67">
        <v>1804</v>
      </c>
      <c r="BA17" s="83">
        <v>10</v>
      </c>
      <c r="BB17" s="69" t="s">
        <v>46</v>
      </c>
      <c r="BC17" s="70" t="s">
        <v>46</v>
      </c>
      <c r="BE17" s="67">
        <v>1807</v>
      </c>
      <c r="BF17" s="83">
        <v>10</v>
      </c>
      <c r="BG17" s="69" t="s">
        <v>46</v>
      </c>
      <c r="BH17" s="70" t="s">
        <v>46</v>
      </c>
    </row>
    <row r="18" spans="1:60">
      <c r="A18" s="1"/>
      <c r="B18" s="67">
        <v>1503</v>
      </c>
      <c r="C18" s="68">
        <v>11</v>
      </c>
      <c r="D18" s="69" t="s">
        <v>46</v>
      </c>
      <c r="E18" s="70" t="s">
        <v>46</v>
      </c>
      <c r="G18" s="67">
        <v>1506</v>
      </c>
      <c r="H18" s="68">
        <v>11</v>
      </c>
      <c r="I18" s="69" t="s">
        <v>46</v>
      </c>
      <c r="J18" s="70" t="s">
        <v>46</v>
      </c>
      <c r="L18" s="67">
        <v>1509</v>
      </c>
      <c r="M18" s="68">
        <v>11</v>
      </c>
      <c r="N18" s="69" t="s">
        <v>46</v>
      </c>
      <c r="O18" s="70" t="s">
        <v>46</v>
      </c>
      <c r="Q18" s="41">
        <v>1601</v>
      </c>
      <c r="R18" s="42">
        <v>11</v>
      </c>
      <c r="S18" s="43" t="s">
        <v>46</v>
      </c>
      <c r="T18" s="44" t="s">
        <v>46</v>
      </c>
      <c r="V18" s="41">
        <v>1604</v>
      </c>
      <c r="W18" s="33">
        <v>11</v>
      </c>
      <c r="X18" s="43" t="s">
        <v>46</v>
      </c>
      <c r="Y18" s="44" t="s">
        <v>46</v>
      </c>
      <c r="AA18" s="41">
        <v>1607</v>
      </c>
      <c r="AB18" s="33">
        <v>11</v>
      </c>
      <c r="AC18" s="43" t="s">
        <v>46</v>
      </c>
      <c r="AD18" s="44" t="s">
        <v>46</v>
      </c>
      <c r="AF18" s="41">
        <v>1703</v>
      </c>
      <c r="AG18" s="33">
        <v>11</v>
      </c>
      <c r="AH18" s="43" t="s">
        <v>46</v>
      </c>
      <c r="AI18" s="44" t="s">
        <v>46</v>
      </c>
      <c r="AK18" s="41">
        <v>1706</v>
      </c>
      <c r="AL18" s="33">
        <v>11</v>
      </c>
      <c r="AM18" s="43" t="s">
        <v>46</v>
      </c>
      <c r="AN18" s="44" t="s">
        <v>46</v>
      </c>
      <c r="AP18" s="41">
        <v>1709</v>
      </c>
      <c r="AQ18" s="33">
        <v>11</v>
      </c>
      <c r="AR18" s="43" t="s">
        <v>46</v>
      </c>
      <c r="AS18" s="44" t="s">
        <v>46</v>
      </c>
      <c r="AU18" s="67">
        <v>1801</v>
      </c>
      <c r="AV18" s="68">
        <v>11</v>
      </c>
      <c r="AW18" s="69" t="s">
        <v>46</v>
      </c>
      <c r="AX18" s="70" t="s">
        <v>46</v>
      </c>
      <c r="AZ18" s="67">
        <v>1804</v>
      </c>
      <c r="BA18" s="83">
        <v>11</v>
      </c>
      <c r="BB18" s="69" t="s">
        <v>46</v>
      </c>
      <c r="BC18" s="70" t="s">
        <v>46</v>
      </c>
      <c r="BE18" s="67">
        <v>1807</v>
      </c>
      <c r="BF18" s="83">
        <v>11</v>
      </c>
      <c r="BG18" s="69" t="s">
        <v>46</v>
      </c>
      <c r="BH18" s="70" t="s">
        <v>46</v>
      </c>
    </row>
    <row r="19" spans="1:60">
      <c r="A19" s="1"/>
      <c r="B19" s="67">
        <v>1503</v>
      </c>
      <c r="C19" s="68">
        <v>12</v>
      </c>
      <c r="D19" s="69" t="s">
        <v>46</v>
      </c>
      <c r="E19" s="70" t="s">
        <v>46</v>
      </c>
      <c r="G19" s="67">
        <v>1506</v>
      </c>
      <c r="H19" s="68">
        <v>12</v>
      </c>
      <c r="I19" s="69" t="s">
        <v>46</v>
      </c>
      <c r="J19" s="70" t="s">
        <v>46</v>
      </c>
      <c r="L19" s="67">
        <v>1509</v>
      </c>
      <c r="M19" s="68">
        <v>12</v>
      </c>
      <c r="N19" s="69" t="s">
        <v>46</v>
      </c>
      <c r="O19" s="70" t="s">
        <v>46</v>
      </c>
      <c r="Q19" s="41">
        <v>1601</v>
      </c>
      <c r="R19" s="42">
        <v>12</v>
      </c>
      <c r="S19" s="43" t="s">
        <v>46</v>
      </c>
      <c r="T19" s="44" t="s">
        <v>46</v>
      </c>
      <c r="V19" s="41">
        <v>1604</v>
      </c>
      <c r="W19" s="33">
        <v>12</v>
      </c>
      <c r="X19" s="43" t="s">
        <v>46</v>
      </c>
      <c r="Y19" s="44" t="s">
        <v>46</v>
      </c>
      <c r="AA19" s="41">
        <v>1607</v>
      </c>
      <c r="AB19" s="33">
        <v>12</v>
      </c>
      <c r="AC19" s="43" t="s">
        <v>46</v>
      </c>
      <c r="AD19" s="44" t="s">
        <v>46</v>
      </c>
      <c r="AF19" s="41">
        <v>1703</v>
      </c>
      <c r="AG19" s="33">
        <v>12</v>
      </c>
      <c r="AH19" s="43" t="s">
        <v>46</v>
      </c>
      <c r="AI19" s="44" t="s">
        <v>46</v>
      </c>
      <c r="AK19" s="41">
        <v>1706</v>
      </c>
      <c r="AL19" s="33">
        <v>12</v>
      </c>
      <c r="AM19" s="43" t="s">
        <v>46</v>
      </c>
      <c r="AN19" s="44" t="s">
        <v>46</v>
      </c>
      <c r="AP19" s="41">
        <v>1709</v>
      </c>
      <c r="AQ19" s="33">
        <v>12</v>
      </c>
      <c r="AR19" s="43" t="s">
        <v>46</v>
      </c>
      <c r="AS19" s="44" t="s">
        <v>46</v>
      </c>
      <c r="AU19" s="67">
        <v>1801</v>
      </c>
      <c r="AV19" s="68">
        <v>12</v>
      </c>
      <c r="AW19" s="69" t="s">
        <v>46</v>
      </c>
      <c r="AX19" s="70" t="s">
        <v>46</v>
      </c>
      <c r="AZ19" s="67">
        <v>1804</v>
      </c>
      <c r="BA19" s="83">
        <v>12</v>
      </c>
      <c r="BB19" s="69" t="s">
        <v>46</v>
      </c>
      <c r="BC19" s="70" t="s">
        <v>46</v>
      </c>
      <c r="BE19" s="67">
        <v>1807</v>
      </c>
      <c r="BF19" s="83">
        <v>12</v>
      </c>
      <c r="BG19" s="69" t="s">
        <v>46</v>
      </c>
      <c r="BH19" s="70" t="s">
        <v>46</v>
      </c>
    </row>
    <row r="20" spans="1:60">
      <c r="A20" s="1"/>
      <c r="B20" s="67">
        <v>1503</v>
      </c>
      <c r="C20" s="68">
        <v>13</v>
      </c>
      <c r="D20" s="69" t="s">
        <v>46</v>
      </c>
      <c r="E20" s="70" t="s">
        <v>46</v>
      </c>
      <c r="G20" s="67">
        <v>1506</v>
      </c>
      <c r="H20" s="68">
        <v>13</v>
      </c>
      <c r="I20" s="69" t="s">
        <v>46</v>
      </c>
      <c r="J20" s="70" t="s">
        <v>46</v>
      </c>
      <c r="L20" s="67">
        <v>1509</v>
      </c>
      <c r="M20" s="68">
        <v>13</v>
      </c>
      <c r="N20" s="69" t="s">
        <v>46</v>
      </c>
      <c r="O20" s="70" t="s">
        <v>46</v>
      </c>
      <c r="Q20" s="41">
        <v>1601</v>
      </c>
      <c r="R20" s="42">
        <v>13</v>
      </c>
      <c r="S20" s="43" t="s">
        <v>46</v>
      </c>
      <c r="T20" s="44" t="s">
        <v>46</v>
      </c>
      <c r="V20" s="41">
        <v>1604</v>
      </c>
      <c r="W20" s="33">
        <v>13</v>
      </c>
      <c r="X20" s="43" t="s">
        <v>46</v>
      </c>
      <c r="Y20" s="44" t="s">
        <v>46</v>
      </c>
      <c r="AA20" s="41">
        <v>1607</v>
      </c>
      <c r="AB20" s="33">
        <v>13</v>
      </c>
      <c r="AC20" s="43" t="s">
        <v>46</v>
      </c>
      <c r="AD20" s="44" t="s">
        <v>46</v>
      </c>
      <c r="AF20" s="41">
        <v>1703</v>
      </c>
      <c r="AG20" s="33">
        <v>13</v>
      </c>
      <c r="AH20" s="43" t="s">
        <v>46</v>
      </c>
      <c r="AI20" s="44" t="s">
        <v>46</v>
      </c>
      <c r="AK20" s="41">
        <v>1706</v>
      </c>
      <c r="AL20" s="33">
        <v>13</v>
      </c>
      <c r="AM20" s="43" t="s">
        <v>46</v>
      </c>
      <c r="AN20" s="44" t="s">
        <v>46</v>
      </c>
      <c r="AP20" s="41">
        <v>1709</v>
      </c>
      <c r="AQ20" s="33">
        <v>13</v>
      </c>
      <c r="AR20" s="43" t="s">
        <v>46</v>
      </c>
      <c r="AS20" s="44" t="s">
        <v>46</v>
      </c>
      <c r="AU20" s="67">
        <v>1801</v>
      </c>
      <c r="AV20" s="68">
        <v>13</v>
      </c>
      <c r="AW20" s="69" t="s">
        <v>46</v>
      </c>
      <c r="AX20" s="70" t="s">
        <v>46</v>
      </c>
      <c r="AZ20" s="67">
        <v>1804</v>
      </c>
      <c r="BA20" s="83">
        <v>13</v>
      </c>
      <c r="BB20" s="69" t="s">
        <v>46</v>
      </c>
      <c r="BC20" s="70" t="s">
        <v>46</v>
      </c>
      <c r="BE20" s="67">
        <v>1807</v>
      </c>
      <c r="BF20" s="83">
        <v>13</v>
      </c>
      <c r="BG20" s="69" t="s">
        <v>46</v>
      </c>
      <c r="BH20" s="70" t="s">
        <v>46</v>
      </c>
    </row>
    <row r="21" spans="1:60">
      <c r="A21" s="1"/>
      <c r="B21" s="67">
        <v>1503</v>
      </c>
      <c r="C21" s="68">
        <v>14</v>
      </c>
      <c r="D21" s="69" t="s">
        <v>46</v>
      </c>
      <c r="E21" s="70" t="s">
        <v>46</v>
      </c>
      <c r="G21" s="67">
        <v>1506</v>
      </c>
      <c r="H21" s="68">
        <v>14</v>
      </c>
      <c r="I21" s="69" t="s">
        <v>46</v>
      </c>
      <c r="J21" s="70" t="s">
        <v>46</v>
      </c>
      <c r="L21" s="67">
        <v>1509</v>
      </c>
      <c r="M21" s="68">
        <v>14</v>
      </c>
      <c r="N21" s="69" t="s">
        <v>46</v>
      </c>
      <c r="O21" s="70" t="s">
        <v>46</v>
      </c>
      <c r="Q21" s="41">
        <v>1601</v>
      </c>
      <c r="R21" s="42">
        <v>14</v>
      </c>
      <c r="S21" s="43" t="s">
        <v>46</v>
      </c>
      <c r="T21" s="44" t="s">
        <v>46</v>
      </c>
      <c r="V21" s="41">
        <v>1604</v>
      </c>
      <c r="W21" s="33">
        <v>14</v>
      </c>
      <c r="X21" s="43" t="s">
        <v>46</v>
      </c>
      <c r="Y21" s="44" t="s">
        <v>46</v>
      </c>
      <c r="AA21" s="41">
        <v>1607</v>
      </c>
      <c r="AB21" s="33">
        <v>14</v>
      </c>
      <c r="AC21" s="43" t="s">
        <v>46</v>
      </c>
      <c r="AD21" s="44" t="s">
        <v>46</v>
      </c>
      <c r="AF21" s="41">
        <v>1703</v>
      </c>
      <c r="AG21" s="33">
        <v>14</v>
      </c>
      <c r="AH21" s="43" t="s">
        <v>46</v>
      </c>
      <c r="AI21" s="44" t="s">
        <v>46</v>
      </c>
      <c r="AK21" s="41">
        <v>1706</v>
      </c>
      <c r="AL21" s="33">
        <v>14</v>
      </c>
      <c r="AM21" s="43" t="s">
        <v>46</v>
      </c>
      <c r="AN21" s="44" t="s">
        <v>46</v>
      </c>
      <c r="AP21" s="41">
        <v>1709</v>
      </c>
      <c r="AQ21" s="33">
        <v>14</v>
      </c>
      <c r="AR21" s="43" t="s">
        <v>46</v>
      </c>
      <c r="AS21" s="44" t="s">
        <v>46</v>
      </c>
      <c r="AU21" s="67">
        <v>1801</v>
      </c>
      <c r="AV21" s="68">
        <v>14</v>
      </c>
      <c r="AW21" s="69" t="s">
        <v>46</v>
      </c>
      <c r="AX21" s="70" t="s">
        <v>46</v>
      </c>
      <c r="AZ21" s="67">
        <v>1804</v>
      </c>
      <c r="BA21" s="83">
        <v>14</v>
      </c>
      <c r="BB21" s="69" t="s">
        <v>46</v>
      </c>
      <c r="BC21" s="70" t="s">
        <v>46</v>
      </c>
      <c r="BE21" s="67">
        <v>1807</v>
      </c>
      <c r="BF21" s="83">
        <v>14</v>
      </c>
      <c r="BG21" s="69" t="s">
        <v>46</v>
      </c>
      <c r="BH21" s="70" t="s">
        <v>46</v>
      </c>
    </row>
    <row r="22" spans="1:60">
      <c r="A22" s="1"/>
      <c r="B22" s="67">
        <v>1503</v>
      </c>
      <c r="C22" s="68">
        <v>15</v>
      </c>
      <c r="D22" s="69" t="s">
        <v>46</v>
      </c>
      <c r="E22" s="70" t="s">
        <v>46</v>
      </c>
      <c r="G22" s="67">
        <v>1506</v>
      </c>
      <c r="H22" s="68">
        <v>15</v>
      </c>
      <c r="I22" s="69" t="s">
        <v>46</v>
      </c>
      <c r="J22" s="70" t="s">
        <v>46</v>
      </c>
      <c r="L22" s="67">
        <v>1509</v>
      </c>
      <c r="M22" s="68">
        <v>15</v>
      </c>
      <c r="N22" s="69" t="s">
        <v>46</v>
      </c>
      <c r="O22" s="70" t="s">
        <v>46</v>
      </c>
      <c r="Q22" s="41">
        <v>1601</v>
      </c>
      <c r="R22" s="42">
        <v>15</v>
      </c>
      <c r="S22" s="43" t="s">
        <v>6594</v>
      </c>
      <c r="T22" s="44" t="s">
        <v>1289</v>
      </c>
      <c r="V22" s="41">
        <v>1604</v>
      </c>
      <c r="W22" s="33">
        <v>15</v>
      </c>
      <c r="X22" s="43" t="s">
        <v>46</v>
      </c>
      <c r="Y22" s="44" t="s">
        <v>46</v>
      </c>
      <c r="AA22" s="41">
        <v>1607</v>
      </c>
      <c r="AB22" s="33">
        <v>15</v>
      </c>
      <c r="AC22" s="43" t="s">
        <v>46</v>
      </c>
      <c r="AD22" s="44" t="s">
        <v>46</v>
      </c>
      <c r="AF22" s="41">
        <v>1703</v>
      </c>
      <c r="AG22" s="33">
        <v>15</v>
      </c>
      <c r="AH22" s="43" t="s">
        <v>46</v>
      </c>
      <c r="AI22" s="44" t="s">
        <v>46</v>
      </c>
      <c r="AK22" s="41">
        <v>1706</v>
      </c>
      <c r="AL22" s="33">
        <v>15</v>
      </c>
      <c r="AM22" s="43" t="s">
        <v>46</v>
      </c>
      <c r="AN22" s="44" t="s">
        <v>46</v>
      </c>
      <c r="AP22" s="41">
        <v>1709</v>
      </c>
      <c r="AQ22" s="33">
        <v>15</v>
      </c>
      <c r="AR22" s="43" t="s">
        <v>46</v>
      </c>
      <c r="AS22" s="44" t="s">
        <v>46</v>
      </c>
      <c r="AU22" s="67">
        <v>1801</v>
      </c>
      <c r="AV22" s="68">
        <v>15</v>
      </c>
      <c r="AW22" s="69" t="s">
        <v>6594</v>
      </c>
      <c r="AX22" s="70" t="s">
        <v>1289</v>
      </c>
      <c r="AZ22" s="67">
        <v>1804</v>
      </c>
      <c r="BA22" s="83">
        <v>15</v>
      </c>
      <c r="BB22" s="69" t="s">
        <v>46</v>
      </c>
      <c r="BC22" s="70" t="s">
        <v>46</v>
      </c>
      <c r="BE22" s="67">
        <v>1807</v>
      </c>
      <c r="BF22" s="83">
        <v>15</v>
      </c>
      <c r="BG22" s="69" t="s">
        <v>46</v>
      </c>
      <c r="BH22" s="70" t="s">
        <v>46</v>
      </c>
    </row>
    <row r="23" spans="1:60" ht="15" thickBot="1">
      <c r="A23" s="1"/>
      <c r="B23" s="71">
        <v>1503</v>
      </c>
      <c r="C23" s="72">
        <v>16</v>
      </c>
      <c r="D23" s="73" t="s">
        <v>46</v>
      </c>
      <c r="E23" s="74" t="s">
        <v>46</v>
      </c>
      <c r="G23" s="71">
        <v>1506</v>
      </c>
      <c r="H23" s="72">
        <v>16</v>
      </c>
      <c r="I23" s="73" t="s">
        <v>46</v>
      </c>
      <c r="J23" s="74" t="s">
        <v>46</v>
      </c>
      <c r="L23" s="71">
        <v>1509</v>
      </c>
      <c r="M23" s="72">
        <v>16</v>
      </c>
      <c r="N23" s="73" t="s">
        <v>46</v>
      </c>
      <c r="O23" s="74" t="s">
        <v>46</v>
      </c>
      <c r="Q23" s="45">
        <v>1601</v>
      </c>
      <c r="R23" s="46">
        <v>16</v>
      </c>
      <c r="S23" s="47" t="s">
        <v>6595</v>
      </c>
      <c r="T23" s="48" t="s">
        <v>1304</v>
      </c>
      <c r="V23" s="45">
        <v>1604</v>
      </c>
      <c r="W23" s="57">
        <v>16</v>
      </c>
      <c r="X23" s="47" t="s">
        <v>46</v>
      </c>
      <c r="Y23" s="48" t="s">
        <v>46</v>
      </c>
      <c r="AA23" s="45">
        <v>1607</v>
      </c>
      <c r="AB23" s="57">
        <v>16</v>
      </c>
      <c r="AC23" s="47" t="s">
        <v>46</v>
      </c>
      <c r="AD23" s="48" t="s">
        <v>46</v>
      </c>
      <c r="AF23" s="45">
        <v>1703</v>
      </c>
      <c r="AG23" s="57">
        <v>16</v>
      </c>
      <c r="AH23" s="47" t="s">
        <v>46</v>
      </c>
      <c r="AI23" s="48" t="s">
        <v>46</v>
      </c>
      <c r="AK23" s="45">
        <v>1706</v>
      </c>
      <c r="AL23" s="57">
        <v>16</v>
      </c>
      <c r="AM23" s="47" t="s">
        <v>46</v>
      </c>
      <c r="AN23" s="48" t="s">
        <v>46</v>
      </c>
      <c r="AP23" s="45">
        <v>1709</v>
      </c>
      <c r="AQ23" s="57">
        <v>16</v>
      </c>
      <c r="AR23" s="47" t="s">
        <v>46</v>
      </c>
      <c r="AS23" s="48" t="s">
        <v>46</v>
      </c>
      <c r="AU23" s="71">
        <v>1801</v>
      </c>
      <c r="AV23" s="72">
        <v>16</v>
      </c>
      <c r="AW23" s="73" t="s">
        <v>6595</v>
      </c>
      <c r="AX23" s="74" t="s">
        <v>1304</v>
      </c>
      <c r="AZ23" s="71">
        <v>1804</v>
      </c>
      <c r="BA23" s="84">
        <v>16</v>
      </c>
      <c r="BB23" s="73" t="s">
        <v>46</v>
      </c>
      <c r="BC23" s="74" t="s">
        <v>46</v>
      </c>
      <c r="BE23" s="71">
        <v>1807</v>
      </c>
      <c r="BF23" s="84">
        <v>16</v>
      </c>
      <c r="BG23" s="73" t="s">
        <v>46</v>
      </c>
      <c r="BH23" s="74" t="s">
        <v>46</v>
      </c>
    </row>
    <row r="24" spans="1:60">
      <c r="A24" s="1"/>
      <c r="B24" s="75">
        <v>1503</v>
      </c>
      <c r="C24" s="76">
        <v>17</v>
      </c>
      <c r="D24" s="77" t="s">
        <v>46</v>
      </c>
      <c r="E24" s="66" t="s">
        <v>46</v>
      </c>
      <c r="G24" s="75">
        <v>1506</v>
      </c>
      <c r="H24" s="76">
        <v>17</v>
      </c>
      <c r="I24" s="77" t="s">
        <v>46</v>
      </c>
      <c r="J24" s="66" t="s">
        <v>46</v>
      </c>
      <c r="L24" s="75">
        <v>1509</v>
      </c>
      <c r="M24" s="76">
        <v>17</v>
      </c>
      <c r="N24" s="77" t="s">
        <v>46</v>
      </c>
      <c r="O24" s="66" t="s">
        <v>46</v>
      </c>
      <c r="Q24" s="49">
        <v>1601</v>
      </c>
      <c r="R24" s="50">
        <v>17</v>
      </c>
      <c r="S24" s="51" t="s">
        <v>46</v>
      </c>
      <c r="T24" s="40" t="s">
        <v>46</v>
      </c>
      <c r="V24" s="49">
        <v>1604</v>
      </c>
      <c r="W24" s="58">
        <v>17</v>
      </c>
      <c r="X24" s="51" t="s">
        <v>46</v>
      </c>
      <c r="Y24" s="40" t="s">
        <v>46</v>
      </c>
      <c r="AA24" s="49">
        <v>1607</v>
      </c>
      <c r="AB24" s="58">
        <v>17</v>
      </c>
      <c r="AC24" s="51" t="s">
        <v>46</v>
      </c>
      <c r="AD24" s="40" t="s">
        <v>46</v>
      </c>
      <c r="AF24" s="49">
        <v>1703</v>
      </c>
      <c r="AG24" s="58">
        <v>17</v>
      </c>
      <c r="AH24" s="51" t="s">
        <v>46</v>
      </c>
      <c r="AI24" s="40" t="s">
        <v>46</v>
      </c>
      <c r="AK24" s="49">
        <v>1706</v>
      </c>
      <c r="AL24" s="58">
        <v>17</v>
      </c>
      <c r="AM24" s="51" t="s">
        <v>46</v>
      </c>
      <c r="AN24" s="40" t="s">
        <v>46</v>
      </c>
      <c r="AP24" s="49">
        <v>1709</v>
      </c>
      <c r="AQ24" s="58">
        <v>17</v>
      </c>
      <c r="AR24" s="51" t="s">
        <v>46</v>
      </c>
      <c r="AS24" s="40" t="s">
        <v>46</v>
      </c>
      <c r="AU24" s="75">
        <v>1801</v>
      </c>
      <c r="AV24" s="76">
        <v>17</v>
      </c>
      <c r="AW24" s="77" t="s">
        <v>46</v>
      </c>
      <c r="AX24" s="66" t="s">
        <v>46</v>
      </c>
      <c r="AZ24" s="75">
        <v>1804</v>
      </c>
      <c r="BA24" s="85">
        <v>17</v>
      </c>
      <c r="BB24" s="77" t="s">
        <v>46</v>
      </c>
      <c r="BC24" s="66" t="s">
        <v>46</v>
      </c>
      <c r="BE24" s="75">
        <v>1807</v>
      </c>
      <c r="BF24" s="85">
        <v>17</v>
      </c>
      <c r="BG24" s="77" t="s">
        <v>46</v>
      </c>
      <c r="BH24" s="66" t="s">
        <v>46</v>
      </c>
    </row>
    <row r="25" spans="1:60">
      <c r="A25" s="1"/>
      <c r="B25" s="67">
        <v>1503</v>
      </c>
      <c r="C25" s="68">
        <v>18</v>
      </c>
      <c r="D25" s="69" t="s">
        <v>46</v>
      </c>
      <c r="E25" s="70" t="s">
        <v>46</v>
      </c>
      <c r="G25" s="67">
        <v>1506</v>
      </c>
      <c r="H25" s="68">
        <v>18</v>
      </c>
      <c r="I25" s="69" t="s">
        <v>46</v>
      </c>
      <c r="J25" s="70" t="s">
        <v>46</v>
      </c>
      <c r="L25" s="67">
        <v>1509</v>
      </c>
      <c r="M25" s="68">
        <v>18</v>
      </c>
      <c r="N25" s="69" t="s">
        <v>46</v>
      </c>
      <c r="O25" s="70" t="s">
        <v>46</v>
      </c>
      <c r="Q25" s="41">
        <v>1601</v>
      </c>
      <c r="R25" s="42">
        <v>18</v>
      </c>
      <c r="S25" s="43" t="s">
        <v>46</v>
      </c>
      <c r="T25" s="44" t="s">
        <v>46</v>
      </c>
      <c r="V25" s="41">
        <v>1604</v>
      </c>
      <c r="W25" s="33">
        <v>18</v>
      </c>
      <c r="X25" s="43" t="s">
        <v>46</v>
      </c>
      <c r="Y25" s="44" t="s">
        <v>46</v>
      </c>
      <c r="AA25" s="41">
        <v>1607</v>
      </c>
      <c r="AB25" s="33">
        <v>18</v>
      </c>
      <c r="AC25" s="43" t="s">
        <v>46</v>
      </c>
      <c r="AD25" s="44" t="s">
        <v>46</v>
      </c>
      <c r="AF25" s="41">
        <v>1703</v>
      </c>
      <c r="AG25" s="33">
        <v>18</v>
      </c>
      <c r="AH25" s="43" t="s">
        <v>46</v>
      </c>
      <c r="AI25" s="44" t="s">
        <v>46</v>
      </c>
      <c r="AK25" s="41">
        <v>1706</v>
      </c>
      <c r="AL25" s="33">
        <v>18</v>
      </c>
      <c r="AM25" s="43" t="s">
        <v>46</v>
      </c>
      <c r="AN25" s="44" t="s">
        <v>46</v>
      </c>
      <c r="AP25" s="41">
        <v>1709</v>
      </c>
      <c r="AQ25" s="33">
        <v>18</v>
      </c>
      <c r="AR25" s="43" t="s">
        <v>46</v>
      </c>
      <c r="AS25" s="44" t="s">
        <v>46</v>
      </c>
      <c r="AU25" s="67">
        <v>1801</v>
      </c>
      <c r="AV25" s="68">
        <v>18</v>
      </c>
      <c r="AW25" s="69" t="s">
        <v>46</v>
      </c>
      <c r="AX25" s="70" t="s">
        <v>46</v>
      </c>
      <c r="AZ25" s="67">
        <v>1804</v>
      </c>
      <c r="BA25" s="83">
        <v>18</v>
      </c>
      <c r="BB25" s="69" t="s">
        <v>46</v>
      </c>
      <c r="BC25" s="70" t="s">
        <v>46</v>
      </c>
      <c r="BE25" s="67">
        <v>1807</v>
      </c>
      <c r="BF25" s="83">
        <v>18</v>
      </c>
      <c r="BG25" s="69" t="s">
        <v>46</v>
      </c>
      <c r="BH25" s="70" t="s">
        <v>46</v>
      </c>
    </row>
    <row r="26" spans="1:60">
      <c r="A26" s="1"/>
      <c r="B26" s="67">
        <v>1503</v>
      </c>
      <c r="C26" s="68">
        <v>19</v>
      </c>
      <c r="D26" s="69" t="s">
        <v>46</v>
      </c>
      <c r="E26" s="70" t="s">
        <v>46</v>
      </c>
      <c r="G26" s="67">
        <v>1506</v>
      </c>
      <c r="H26" s="68">
        <v>19</v>
      </c>
      <c r="I26" s="69" t="s">
        <v>46</v>
      </c>
      <c r="J26" s="70" t="s">
        <v>46</v>
      </c>
      <c r="L26" s="67">
        <v>1509</v>
      </c>
      <c r="M26" s="68">
        <v>19</v>
      </c>
      <c r="N26" s="69" t="s">
        <v>46</v>
      </c>
      <c r="O26" s="70" t="s">
        <v>46</v>
      </c>
      <c r="Q26" s="41">
        <v>1601</v>
      </c>
      <c r="R26" s="42">
        <v>19</v>
      </c>
      <c r="S26" s="43" t="s">
        <v>46</v>
      </c>
      <c r="T26" s="44" t="s">
        <v>46</v>
      </c>
      <c r="V26" s="41">
        <v>1604</v>
      </c>
      <c r="W26" s="33">
        <v>19</v>
      </c>
      <c r="X26" s="43" t="s">
        <v>46</v>
      </c>
      <c r="Y26" s="44" t="s">
        <v>46</v>
      </c>
      <c r="AA26" s="41">
        <v>1607</v>
      </c>
      <c r="AB26" s="33">
        <v>19</v>
      </c>
      <c r="AC26" s="43" t="s">
        <v>46</v>
      </c>
      <c r="AD26" s="44" t="s">
        <v>46</v>
      </c>
      <c r="AF26" s="41">
        <v>1703</v>
      </c>
      <c r="AG26" s="33">
        <v>19</v>
      </c>
      <c r="AH26" s="43" t="s">
        <v>46</v>
      </c>
      <c r="AI26" s="44" t="s">
        <v>46</v>
      </c>
      <c r="AK26" s="41">
        <v>1706</v>
      </c>
      <c r="AL26" s="33">
        <v>19</v>
      </c>
      <c r="AM26" s="43" t="s">
        <v>46</v>
      </c>
      <c r="AN26" s="44" t="s">
        <v>46</v>
      </c>
      <c r="AP26" s="41">
        <v>1709</v>
      </c>
      <c r="AQ26" s="33">
        <v>19</v>
      </c>
      <c r="AR26" s="43" t="s">
        <v>46</v>
      </c>
      <c r="AS26" s="44" t="s">
        <v>46</v>
      </c>
      <c r="AU26" s="67">
        <v>1801</v>
      </c>
      <c r="AV26" s="68">
        <v>19</v>
      </c>
      <c r="AW26" s="69" t="s">
        <v>46</v>
      </c>
      <c r="AX26" s="70" t="s">
        <v>46</v>
      </c>
      <c r="AZ26" s="67">
        <v>1804</v>
      </c>
      <c r="BA26" s="83">
        <v>19</v>
      </c>
      <c r="BB26" s="69" t="s">
        <v>46</v>
      </c>
      <c r="BC26" s="70" t="s">
        <v>46</v>
      </c>
      <c r="BE26" s="67">
        <v>1807</v>
      </c>
      <c r="BF26" s="83">
        <v>19</v>
      </c>
      <c r="BG26" s="69" t="s">
        <v>46</v>
      </c>
      <c r="BH26" s="70" t="s">
        <v>46</v>
      </c>
    </row>
    <row r="27" spans="1:60">
      <c r="A27" s="1"/>
      <c r="B27" s="67">
        <v>1503</v>
      </c>
      <c r="C27" s="68">
        <v>20</v>
      </c>
      <c r="D27" s="69" t="s">
        <v>46</v>
      </c>
      <c r="E27" s="70" t="s">
        <v>46</v>
      </c>
      <c r="G27" s="67">
        <v>1506</v>
      </c>
      <c r="H27" s="68">
        <v>20</v>
      </c>
      <c r="I27" s="69" t="s">
        <v>46</v>
      </c>
      <c r="J27" s="70" t="s">
        <v>46</v>
      </c>
      <c r="L27" s="67">
        <v>1509</v>
      </c>
      <c r="M27" s="68">
        <v>20</v>
      </c>
      <c r="N27" s="69" t="s">
        <v>46</v>
      </c>
      <c r="O27" s="70" t="s">
        <v>46</v>
      </c>
      <c r="Q27" s="41">
        <v>1601</v>
      </c>
      <c r="R27" s="42">
        <v>20</v>
      </c>
      <c r="S27" s="43" t="s">
        <v>46</v>
      </c>
      <c r="T27" s="44" t="s">
        <v>46</v>
      </c>
      <c r="V27" s="41">
        <v>1604</v>
      </c>
      <c r="W27" s="33">
        <v>20</v>
      </c>
      <c r="X27" s="43" t="s">
        <v>46</v>
      </c>
      <c r="Y27" s="44" t="s">
        <v>46</v>
      </c>
      <c r="AA27" s="41">
        <v>1607</v>
      </c>
      <c r="AB27" s="33">
        <v>20</v>
      </c>
      <c r="AC27" s="43" t="s">
        <v>46</v>
      </c>
      <c r="AD27" s="44" t="s">
        <v>46</v>
      </c>
      <c r="AF27" s="41">
        <v>1703</v>
      </c>
      <c r="AG27" s="33">
        <v>20</v>
      </c>
      <c r="AH27" s="43" t="s">
        <v>46</v>
      </c>
      <c r="AI27" s="44" t="s">
        <v>46</v>
      </c>
      <c r="AK27" s="41">
        <v>1706</v>
      </c>
      <c r="AL27" s="33">
        <v>20</v>
      </c>
      <c r="AM27" s="43" t="s">
        <v>46</v>
      </c>
      <c r="AN27" s="44" t="s">
        <v>46</v>
      </c>
      <c r="AP27" s="41">
        <v>1709</v>
      </c>
      <c r="AQ27" s="33">
        <v>20</v>
      </c>
      <c r="AR27" s="43" t="s">
        <v>46</v>
      </c>
      <c r="AS27" s="44" t="s">
        <v>46</v>
      </c>
      <c r="AU27" s="67">
        <v>1801</v>
      </c>
      <c r="AV27" s="68">
        <v>20</v>
      </c>
      <c r="AW27" s="69" t="s">
        <v>46</v>
      </c>
      <c r="AX27" s="70" t="s">
        <v>46</v>
      </c>
      <c r="AZ27" s="67">
        <v>1804</v>
      </c>
      <c r="BA27" s="83">
        <v>20</v>
      </c>
      <c r="BB27" s="69" t="s">
        <v>46</v>
      </c>
      <c r="BC27" s="70" t="s">
        <v>46</v>
      </c>
      <c r="BE27" s="67">
        <v>1807</v>
      </c>
      <c r="BF27" s="83">
        <v>20</v>
      </c>
      <c r="BG27" s="69" t="s">
        <v>46</v>
      </c>
      <c r="BH27" s="70" t="s">
        <v>46</v>
      </c>
    </row>
    <row r="28" spans="1:60">
      <c r="A28" s="1"/>
      <c r="B28" s="67">
        <v>1503</v>
      </c>
      <c r="C28" s="68">
        <v>21</v>
      </c>
      <c r="D28" s="69" t="s">
        <v>6596</v>
      </c>
      <c r="E28" s="70" t="s">
        <v>968</v>
      </c>
      <c r="G28" s="67">
        <v>1506</v>
      </c>
      <c r="H28" s="68">
        <v>21</v>
      </c>
      <c r="I28" s="69" t="s">
        <v>46</v>
      </c>
      <c r="J28" s="70" t="s">
        <v>46</v>
      </c>
      <c r="L28" s="67">
        <v>1509</v>
      </c>
      <c r="M28" s="68">
        <v>21</v>
      </c>
      <c r="N28" s="69" t="s">
        <v>46</v>
      </c>
      <c r="O28" s="70" t="s">
        <v>46</v>
      </c>
      <c r="Q28" s="41">
        <v>1601</v>
      </c>
      <c r="R28" s="42">
        <v>21</v>
      </c>
      <c r="S28" s="43" t="s">
        <v>46</v>
      </c>
      <c r="T28" s="44" t="s">
        <v>46</v>
      </c>
      <c r="V28" s="41">
        <v>1604</v>
      </c>
      <c r="W28" s="33">
        <v>21</v>
      </c>
      <c r="X28" s="43" t="s">
        <v>46</v>
      </c>
      <c r="Y28" s="44" t="s">
        <v>46</v>
      </c>
      <c r="AA28" s="41">
        <v>1607</v>
      </c>
      <c r="AB28" s="33">
        <v>21</v>
      </c>
      <c r="AC28" s="43" t="s">
        <v>46</v>
      </c>
      <c r="AD28" s="44" t="s">
        <v>46</v>
      </c>
      <c r="AF28" s="41">
        <v>1703</v>
      </c>
      <c r="AG28" s="33">
        <v>21</v>
      </c>
      <c r="AH28" s="43" t="s">
        <v>6596</v>
      </c>
      <c r="AI28" s="44" t="s">
        <v>968</v>
      </c>
      <c r="AK28" s="41">
        <v>1706</v>
      </c>
      <c r="AL28" s="33">
        <v>21</v>
      </c>
      <c r="AM28" s="43" t="s">
        <v>46</v>
      </c>
      <c r="AN28" s="44" t="s">
        <v>46</v>
      </c>
      <c r="AP28" s="41">
        <v>1709</v>
      </c>
      <c r="AQ28" s="33">
        <v>21</v>
      </c>
      <c r="AR28" s="43" t="s">
        <v>46</v>
      </c>
      <c r="AS28" s="44" t="s">
        <v>46</v>
      </c>
      <c r="AU28" s="67">
        <v>1801</v>
      </c>
      <c r="AV28" s="68">
        <v>21</v>
      </c>
      <c r="AW28" s="69" t="s">
        <v>46</v>
      </c>
      <c r="AX28" s="70" t="s">
        <v>46</v>
      </c>
      <c r="AZ28" s="67">
        <v>1804</v>
      </c>
      <c r="BA28" s="83">
        <v>21</v>
      </c>
      <c r="BB28" s="69" t="s">
        <v>46</v>
      </c>
      <c r="BC28" s="70" t="s">
        <v>46</v>
      </c>
      <c r="BE28" s="67">
        <v>1807</v>
      </c>
      <c r="BF28" s="83">
        <v>21</v>
      </c>
      <c r="BG28" s="69" t="s">
        <v>46</v>
      </c>
      <c r="BH28" s="70" t="s">
        <v>46</v>
      </c>
    </row>
    <row r="29" spans="1:60">
      <c r="A29" s="1"/>
      <c r="B29" s="67">
        <v>1503</v>
      </c>
      <c r="C29" s="68">
        <v>22</v>
      </c>
      <c r="D29" s="69" t="s">
        <v>46</v>
      </c>
      <c r="E29" s="70" t="s">
        <v>46</v>
      </c>
      <c r="G29" s="67">
        <v>1506</v>
      </c>
      <c r="H29" s="68">
        <v>22</v>
      </c>
      <c r="I29" s="69" t="s">
        <v>46</v>
      </c>
      <c r="J29" s="70" t="s">
        <v>46</v>
      </c>
      <c r="L29" s="67">
        <v>1509</v>
      </c>
      <c r="M29" s="68">
        <v>22</v>
      </c>
      <c r="N29" s="69" t="s">
        <v>46</v>
      </c>
      <c r="O29" s="70" t="s">
        <v>46</v>
      </c>
      <c r="Q29" s="41">
        <v>1601</v>
      </c>
      <c r="R29" s="42">
        <v>22</v>
      </c>
      <c r="S29" s="43" t="s">
        <v>46</v>
      </c>
      <c r="T29" s="44" t="s">
        <v>46</v>
      </c>
      <c r="V29" s="41">
        <v>1604</v>
      </c>
      <c r="W29" s="33">
        <v>22</v>
      </c>
      <c r="X29" s="43" t="s">
        <v>46</v>
      </c>
      <c r="Y29" s="44" t="s">
        <v>46</v>
      </c>
      <c r="AA29" s="41">
        <v>1607</v>
      </c>
      <c r="AB29" s="33">
        <v>22</v>
      </c>
      <c r="AC29" s="43" t="s">
        <v>46</v>
      </c>
      <c r="AD29" s="44" t="s">
        <v>46</v>
      </c>
      <c r="AF29" s="41">
        <v>1703</v>
      </c>
      <c r="AG29" s="33">
        <v>22</v>
      </c>
      <c r="AH29" s="43" t="s">
        <v>46</v>
      </c>
      <c r="AI29" s="44" t="s">
        <v>46</v>
      </c>
      <c r="AK29" s="41">
        <v>1706</v>
      </c>
      <c r="AL29" s="33">
        <v>22</v>
      </c>
      <c r="AM29" s="43" t="s">
        <v>46</v>
      </c>
      <c r="AN29" s="44" t="s">
        <v>46</v>
      </c>
      <c r="AP29" s="41">
        <v>1709</v>
      </c>
      <c r="AQ29" s="33">
        <v>22</v>
      </c>
      <c r="AR29" s="43" t="s">
        <v>46</v>
      </c>
      <c r="AS29" s="44" t="s">
        <v>46</v>
      </c>
      <c r="AU29" s="67">
        <v>1801</v>
      </c>
      <c r="AV29" s="68">
        <v>22</v>
      </c>
      <c r="AW29" s="69" t="s">
        <v>46</v>
      </c>
      <c r="AX29" s="70" t="s">
        <v>46</v>
      </c>
      <c r="AZ29" s="67">
        <v>1804</v>
      </c>
      <c r="BA29" s="83">
        <v>22</v>
      </c>
      <c r="BB29" s="69" t="s">
        <v>46</v>
      </c>
      <c r="BC29" s="70" t="s">
        <v>46</v>
      </c>
      <c r="BE29" s="67">
        <v>1807</v>
      </c>
      <c r="BF29" s="83">
        <v>22</v>
      </c>
      <c r="BG29" s="69" t="s">
        <v>46</v>
      </c>
      <c r="BH29" s="70" t="s">
        <v>46</v>
      </c>
    </row>
    <row r="30" spans="1:60">
      <c r="A30" s="1"/>
      <c r="B30" s="67">
        <v>1503</v>
      </c>
      <c r="C30" s="68">
        <v>23</v>
      </c>
      <c r="D30" s="69" t="s">
        <v>46</v>
      </c>
      <c r="E30" s="70" t="s">
        <v>46</v>
      </c>
      <c r="G30" s="67">
        <v>1506</v>
      </c>
      <c r="H30" s="68">
        <v>23</v>
      </c>
      <c r="I30" s="69" t="s">
        <v>46</v>
      </c>
      <c r="J30" s="70" t="s">
        <v>46</v>
      </c>
      <c r="L30" s="67">
        <v>1509</v>
      </c>
      <c r="M30" s="68">
        <v>23</v>
      </c>
      <c r="N30" s="69" t="s">
        <v>46</v>
      </c>
      <c r="O30" s="70" t="s">
        <v>46</v>
      </c>
      <c r="Q30" s="41">
        <v>1601</v>
      </c>
      <c r="R30" s="42">
        <v>23</v>
      </c>
      <c r="S30" s="43" t="s">
        <v>46</v>
      </c>
      <c r="T30" s="44" t="s">
        <v>46</v>
      </c>
      <c r="V30" s="41">
        <v>1604</v>
      </c>
      <c r="W30" s="33">
        <v>23</v>
      </c>
      <c r="X30" s="43" t="s">
        <v>46</v>
      </c>
      <c r="Y30" s="44" t="s">
        <v>46</v>
      </c>
      <c r="AA30" s="41">
        <v>1607</v>
      </c>
      <c r="AB30" s="33">
        <v>23</v>
      </c>
      <c r="AC30" s="43" t="s">
        <v>46</v>
      </c>
      <c r="AD30" s="44" t="s">
        <v>46</v>
      </c>
      <c r="AF30" s="41">
        <v>1703</v>
      </c>
      <c r="AG30" s="33">
        <v>23</v>
      </c>
      <c r="AH30" s="43" t="s">
        <v>46</v>
      </c>
      <c r="AI30" s="44" t="s">
        <v>46</v>
      </c>
      <c r="AK30" s="41">
        <v>1706</v>
      </c>
      <c r="AL30" s="33">
        <v>23</v>
      </c>
      <c r="AM30" s="43" t="s">
        <v>46</v>
      </c>
      <c r="AN30" s="44" t="s">
        <v>46</v>
      </c>
      <c r="AP30" s="41">
        <v>1709</v>
      </c>
      <c r="AQ30" s="33">
        <v>23</v>
      </c>
      <c r="AR30" s="43" t="s">
        <v>46</v>
      </c>
      <c r="AS30" s="44" t="s">
        <v>46</v>
      </c>
      <c r="AU30" s="67">
        <v>1801</v>
      </c>
      <c r="AV30" s="68">
        <v>23</v>
      </c>
      <c r="AW30" s="69" t="s">
        <v>46</v>
      </c>
      <c r="AX30" s="70" t="s">
        <v>46</v>
      </c>
      <c r="AZ30" s="67">
        <v>1804</v>
      </c>
      <c r="BA30" s="83">
        <v>23</v>
      </c>
      <c r="BB30" s="69" t="s">
        <v>46</v>
      </c>
      <c r="BC30" s="70" t="s">
        <v>46</v>
      </c>
      <c r="BE30" s="67">
        <v>1807</v>
      </c>
      <c r="BF30" s="83">
        <v>23</v>
      </c>
      <c r="BG30" s="69" t="s">
        <v>46</v>
      </c>
      <c r="BH30" s="70" t="s">
        <v>46</v>
      </c>
    </row>
    <row r="31" spans="1:60">
      <c r="A31" s="1"/>
      <c r="B31" s="67">
        <v>1503</v>
      </c>
      <c r="C31" s="68">
        <v>24</v>
      </c>
      <c r="D31" s="69" t="s">
        <v>6597</v>
      </c>
      <c r="E31" s="70" t="s">
        <v>1439</v>
      </c>
      <c r="G31" s="67">
        <v>1506</v>
      </c>
      <c r="H31" s="68">
        <v>24</v>
      </c>
      <c r="I31" s="69" t="s">
        <v>6598</v>
      </c>
      <c r="J31" s="70" t="s">
        <v>1469</v>
      </c>
      <c r="L31" s="67">
        <v>1509</v>
      </c>
      <c r="M31" s="68">
        <v>24</v>
      </c>
      <c r="N31" s="69" t="s">
        <v>46</v>
      </c>
      <c r="O31" s="70" t="s">
        <v>46</v>
      </c>
      <c r="Q31" s="41">
        <v>1601</v>
      </c>
      <c r="R31" s="42">
        <v>24</v>
      </c>
      <c r="S31" s="43" t="s">
        <v>6599</v>
      </c>
      <c r="T31" s="44" t="s">
        <v>1319</v>
      </c>
      <c r="V31" s="41">
        <v>1604</v>
      </c>
      <c r="W31" s="33">
        <v>24</v>
      </c>
      <c r="X31" s="43" t="s">
        <v>46</v>
      </c>
      <c r="Y31" s="44" t="s">
        <v>46</v>
      </c>
      <c r="AA31" s="41">
        <v>1607</v>
      </c>
      <c r="AB31" s="33">
        <v>24</v>
      </c>
      <c r="AC31" s="43" t="s">
        <v>46</v>
      </c>
      <c r="AD31" s="44" t="s">
        <v>46</v>
      </c>
      <c r="AF31" s="41">
        <v>1703</v>
      </c>
      <c r="AG31" s="33">
        <v>24</v>
      </c>
      <c r="AH31" s="43" t="s">
        <v>6597</v>
      </c>
      <c r="AI31" s="44" t="s">
        <v>1439</v>
      </c>
      <c r="AK31" s="41">
        <v>1706</v>
      </c>
      <c r="AL31" s="33">
        <v>24</v>
      </c>
      <c r="AM31" s="43" t="s">
        <v>6598</v>
      </c>
      <c r="AN31" s="44" t="s">
        <v>1469</v>
      </c>
      <c r="AP31" s="41">
        <v>1709</v>
      </c>
      <c r="AQ31" s="33">
        <v>24</v>
      </c>
      <c r="AR31" s="43" t="s">
        <v>46</v>
      </c>
      <c r="AS31" s="44" t="s">
        <v>46</v>
      </c>
      <c r="AU31" s="67">
        <v>1801</v>
      </c>
      <c r="AV31" s="68">
        <v>24</v>
      </c>
      <c r="AW31" s="69" t="s">
        <v>6599</v>
      </c>
      <c r="AX31" s="70" t="s">
        <v>1319</v>
      </c>
      <c r="AZ31" s="67">
        <v>1804</v>
      </c>
      <c r="BA31" s="83">
        <v>24</v>
      </c>
      <c r="BB31" s="69" t="s">
        <v>46</v>
      </c>
      <c r="BC31" s="70" t="s">
        <v>46</v>
      </c>
      <c r="BE31" s="67">
        <v>1807</v>
      </c>
      <c r="BF31" s="83">
        <v>24</v>
      </c>
      <c r="BG31" s="69" t="s">
        <v>46</v>
      </c>
      <c r="BH31" s="70" t="s">
        <v>46</v>
      </c>
    </row>
    <row r="32" spans="1:60">
      <c r="A32" s="1"/>
      <c r="B32" s="67">
        <v>1503</v>
      </c>
      <c r="C32" s="68">
        <v>25</v>
      </c>
      <c r="D32" s="69" t="s">
        <v>46</v>
      </c>
      <c r="E32" s="70" t="s">
        <v>46</v>
      </c>
      <c r="G32" s="67">
        <v>1506</v>
      </c>
      <c r="H32" s="68">
        <v>25</v>
      </c>
      <c r="I32" s="69" t="s">
        <v>46</v>
      </c>
      <c r="J32" s="70" t="s">
        <v>46</v>
      </c>
      <c r="L32" s="67">
        <v>1509</v>
      </c>
      <c r="M32" s="68">
        <v>25</v>
      </c>
      <c r="N32" s="69" t="s">
        <v>46</v>
      </c>
      <c r="O32" s="70" t="s">
        <v>46</v>
      </c>
      <c r="Q32" s="41">
        <v>1601</v>
      </c>
      <c r="R32" s="42">
        <v>25</v>
      </c>
      <c r="S32" s="43" t="s">
        <v>46</v>
      </c>
      <c r="T32" s="44" t="s">
        <v>46</v>
      </c>
      <c r="V32" s="41">
        <v>1604</v>
      </c>
      <c r="W32" s="33">
        <v>25</v>
      </c>
      <c r="X32" s="43" t="s">
        <v>46</v>
      </c>
      <c r="Y32" s="44" t="s">
        <v>46</v>
      </c>
      <c r="AA32" s="41">
        <v>1607</v>
      </c>
      <c r="AB32" s="33">
        <v>25</v>
      </c>
      <c r="AC32" s="43" t="s">
        <v>46</v>
      </c>
      <c r="AD32" s="44" t="s">
        <v>46</v>
      </c>
      <c r="AF32" s="41">
        <v>1703</v>
      </c>
      <c r="AG32" s="33">
        <v>25</v>
      </c>
      <c r="AH32" s="43" t="s">
        <v>46</v>
      </c>
      <c r="AI32" s="44" t="s">
        <v>46</v>
      </c>
      <c r="AK32" s="41">
        <v>1706</v>
      </c>
      <c r="AL32" s="33">
        <v>25</v>
      </c>
      <c r="AM32" s="43" t="s">
        <v>46</v>
      </c>
      <c r="AN32" s="44" t="s">
        <v>46</v>
      </c>
      <c r="AP32" s="41">
        <v>1709</v>
      </c>
      <c r="AQ32" s="33">
        <v>25</v>
      </c>
      <c r="AR32" s="43" t="s">
        <v>46</v>
      </c>
      <c r="AS32" s="44" t="s">
        <v>46</v>
      </c>
      <c r="AU32" s="67">
        <v>1801</v>
      </c>
      <c r="AV32" s="68">
        <v>25</v>
      </c>
      <c r="AW32" s="69" t="s">
        <v>46</v>
      </c>
      <c r="AX32" s="70" t="s">
        <v>46</v>
      </c>
      <c r="AZ32" s="67">
        <v>1804</v>
      </c>
      <c r="BA32" s="83">
        <v>25</v>
      </c>
      <c r="BB32" s="69" t="s">
        <v>46</v>
      </c>
      <c r="BC32" s="70" t="s">
        <v>46</v>
      </c>
      <c r="BE32" s="67">
        <v>1807</v>
      </c>
      <c r="BF32" s="83">
        <v>25</v>
      </c>
      <c r="BG32" s="69" t="s">
        <v>46</v>
      </c>
      <c r="BH32" s="70" t="s">
        <v>46</v>
      </c>
    </row>
    <row r="33" spans="1:60">
      <c r="A33" s="1"/>
      <c r="B33" s="67">
        <v>1503</v>
      </c>
      <c r="C33" s="68">
        <v>26</v>
      </c>
      <c r="D33" s="69" t="s">
        <v>46</v>
      </c>
      <c r="E33" s="70" t="s">
        <v>46</v>
      </c>
      <c r="G33" s="67">
        <v>1506</v>
      </c>
      <c r="H33" s="68">
        <v>26</v>
      </c>
      <c r="I33" s="69" t="s">
        <v>46</v>
      </c>
      <c r="J33" s="70" t="s">
        <v>46</v>
      </c>
      <c r="L33" s="67">
        <v>1509</v>
      </c>
      <c r="M33" s="68">
        <v>26</v>
      </c>
      <c r="N33" s="69" t="s">
        <v>46</v>
      </c>
      <c r="O33" s="70" t="s">
        <v>46</v>
      </c>
      <c r="Q33" s="41">
        <v>1601</v>
      </c>
      <c r="R33" s="42">
        <v>26</v>
      </c>
      <c r="S33" s="43" t="s">
        <v>6600</v>
      </c>
      <c r="T33" s="44" t="s">
        <v>1484</v>
      </c>
      <c r="V33" s="41">
        <v>1604</v>
      </c>
      <c r="W33" s="33">
        <v>26</v>
      </c>
      <c r="X33" s="43" t="s">
        <v>46</v>
      </c>
      <c r="Y33" s="44" t="s">
        <v>46</v>
      </c>
      <c r="AA33" s="41">
        <v>1607</v>
      </c>
      <c r="AB33" s="33">
        <v>26</v>
      </c>
      <c r="AC33" s="43" t="s">
        <v>46</v>
      </c>
      <c r="AD33" s="44" t="s">
        <v>46</v>
      </c>
      <c r="AF33" s="41">
        <v>1703</v>
      </c>
      <c r="AG33" s="33">
        <v>26</v>
      </c>
      <c r="AH33" s="43" t="s">
        <v>46</v>
      </c>
      <c r="AI33" s="44" t="s">
        <v>46</v>
      </c>
      <c r="AK33" s="41">
        <v>1706</v>
      </c>
      <c r="AL33" s="33">
        <v>26</v>
      </c>
      <c r="AM33" s="43" t="s">
        <v>46</v>
      </c>
      <c r="AN33" s="44" t="s">
        <v>46</v>
      </c>
      <c r="AP33" s="41">
        <v>1709</v>
      </c>
      <c r="AQ33" s="33">
        <v>26</v>
      </c>
      <c r="AR33" s="43" t="s">
        <v>46</v>
      </c>
      <c r="AS33" s="44" t="s">
        <v>46</v>
      </c>
      <c r="AU33" s="67">
        <v>1801</v>
      </c>
      <c r="AV33" s="68">
        <v>26</v>
      </c>
      <c r="AW33" s="69" t="s">
        <v>6600</v>
      </c>
      <c r="AX33" s="70" t="s">
        <v>1484</v>
      </c>
      <c r="AZ33" s="67">
        <v>1804</v>
      </c>
      <c r="BA33" s="83">
        <v>26</v>
      </c>
      <c r="BB33" s="69" t="s">
        <v>46</v>
      </c>
      <c r="BC33" s="70" t="s">
        <v>46</v>
      </c>
      <c r="BE33" s="67">
        <v>1807</v>
      </c>
      <c r="BF33" s="83">
        <v>26</v>
      </c>
      <c r="BG33" s="69" t="s">
        <v>46</v>
      </c>
      <c r="BH33" s="70" t="s">
        <v>46</v>
      </c>
    </row>
    <row r="34" spans="1:60">
      <c r="A34" s="1"/>
      <c r="B34" s="67">
        <v>1503</v>
      </c>
      <c r="C34" s="68">
        <v>27</v>
      </c>
      <c r="D34" s="69" t="s">
        <v>46</v>
      </c>
      <c r="E34" s="70" t="s">
        <v>46</v>
      </c>
      <c r="G34" s="67">
        <v>1506</v>
      </c>
      <c r="H34" s="68">
        <v>27</v>
      </c>
      <c r="I34" s="69" t="s">
        <v>46</v>
      </c>
      <c r="J34" s="70" t="s">
        <v>46</v>
      </c>
      <c r="L34" s="67">
        <v>1509</v>
      </c>
      <c r="M34" s="68">
        <v>27</v>
      </c>
      <c r="N34" s="69" t="s">
        <v>46</v>
      </c>
      <c r="O34" s="70" t="s">
        <v>46</v>
      </c>
      <c r="Q34" s="41">
        <v>1601</v>
      </c>
      <c r="R34" s="42">
        <v>27</v>
      </c>
      <c r="S34" s="43" t="s">
        <v>46</v>
      </c>
      <c r="T34" s="44" t="s">
        <v>46</v>
      </c>
      <c r="V34" s="41">
        <v>1604</v>
      </c>
      <c r="W34" s="33">
        <v>27</v>
      </c>
      <c r="X34" s="43" t="s">
        <v>46</v>
      </c>
      <c r="Y34" s="44" t="s">
        <v>46</v>
      </c>
      <c r="AA34" s="41">
        <v>1607</v>
      </c>
      <c r="AB34" s="33">
        <v>27</v>
      </c>
      <c r="AC34" s="43" t="s">
        <v>46</v>
      </c>
      <c r="AD34" s="44" t="s">
        <v>46</v>
      </c>
      <c r="AF34" s="41">
        <v>1703</v>
      </c>
      <c r="AG34" s="33">
        <v>27</v>
      </c>
      <c r="AH34" s="43" t="s">
        <v>46</v>
      </c>
      <c r="AI34" s="44" t="s">
        <v>46</v>
      </c>
      <c r="AK34" s="41">
        <v>1706</v>
      </c>
      <c r="AL34" s="33">
        <v>27</v>
      </c>
      <c r="AM34" s="43" t="s">
        <v>46</v>
      </c>
      <c r="AN34" s="44" t="s">
        <v>46</v>
      </c>
      <c r="AP34" s="41">
        <v>1709</v>
      </c>
      <c r="AQ34" s="33">
        <v>27</v>
      </c>
      <c r="AR34" s="43" t="s">
        <v>46</v>
      </c>
      <c r="AS34" s="44" t="s">
        <v>46</v>
      </c>
      <c r="AU34" s="67">
        <v>1801</v>
      </c>
      <c r="AV34" s="68">
        <v>27</v>
      </c>
      <c r="AW34" s="69" t="s">
        <v>46</v>
      </c>
      <c r="AX34" s="70" t="s">
        <v>46</v>
      </c>
      <c r="AZ34" s="67">
        <v>1804</v>
      </c>
      <c r="BA34" s="83">
        <v>27</v>
      </c>
      <c r="BB34" s="69" t="s">
        <v>46</v>
      </c>
      <c r="BC34" s="70" t="s">
        <v>46</v>
      </c>
      <c r="BE34" s="67">
        <v>1807</v>
      </c>
      <c r="BF34" s="83">
        <v>27</v>
      </c>
      <c r="BG34" s="69" t="s">
        <v>46</v>
      </c>
      <c r="BH34" s="70" t="s">
        <v>46</v>
      </c>
    </row>
    <row r="35" spans="1:60">
      <c r="A35" s="1"/>
      <c r="B35" s="67">
        <v>1503</v>
      </c>
      <c r="C35" s="68">
        <v>28</v>
      </c>
      <c r="D35" s="69" t="s">
        <v>46</v>
      </c>
      <c r="E35" s="70" t="s">
        <v>46</v>
      </c>
      <c r="G35" s="67">
        <v>1506</v>
      </c>
      <c r="H35" s="68">
        <v>28</v>
      </c>
      <c r="I35" s="69" t="s">
        <v>6601</v>
      </c>
      <c r="J35" s="70" t="s">
        <v>1264</v>
      </c>
      <c r="L35" s="67">
        <v>1509</v>
      </c>
      <c r="M35" s="68">
        <v>28</v>
      </c>
      <c r="N35" s="69" t="s">
        <v>46</v>
      </c>
      <c r="O35" s="70" t="s">
        <v>46</v>
      </c>
      <c r="Q35" s="41">
        <v>1601</v>
      </c>
      <c r="R35" s="42">
        <v>28</v>
      </c>
      <c r="S35" s="43" t="s">
        <v>46</v>
      </c>
      <c r="T35" s="44" t="s">
        <v>46</v>
      </c>
      <c r="V35" s="41">
        <v>1604</v>
      </c>
      <c r="W35" s="33">
        <v>28</v>
      </c>
      <c r="X35" s="43" t="s">
        <v>46</v>
      </c>
      <c r="Y35" s="44" t="s">
        <v>46</v>
      </c>
      <c r="AA35" s="41">
        <v>1607</v>
      </c>
      <c r="AB35" s="33">
        <v>28</v>
      </c>
      <c r="AC35" s="43" t="s">
        <v>46</v>
      </c>
      <c r="AD35" s="44" t="s">
        <v>46</v>
      </c>
      <c r="AF35" s="41">
        <v>1703</v>
      </c>
      <c r="AG35" s="33">
        <v>28</v>
      </c>
      <c r="AH35" s="43" t="s">
        <v>46</v>
      </c>
      <c r="AI35" s="44" t="s">
        <v>46</v>
      </c>
      <c r="AK35" s="41">
        <v>1706</v>
      </c>
      <c r="AL35" s="33">
        <v>28</v>
      </c>
      <c r="AM35" s="43" t="s">
        <v>6601</v>
      </c>
      <c r="AN35" s="44" t="s">
        <v>1264</v>
      </c>
      <c r="AP35" s="41">
        <v>1709</v>
      </c>
      <c r="AQ35" s="33">
        <v>28</v>
      </c>
      <c r="AR35" s="43" t="s">
        <v>46</v>
      </c>
      <c r="AS35" s="44" t="s">
        <v>46</v>
      </c>
      <c r="AU35" s="67">
        <v>1801</v>
      </c>
      <c r="AV35" s="68">
        <v>28</v>
      </c>
      <c r="AW35" s="69" t="s">
        <v>46</v>
      </c>
      <c r="AX35" s="70" t="s">
        <v>46</v>
      </c>
      <c r="AZ35" s="67">
        <v>1804</v>
      </c>
      <c r="BA35" s="83">
        <v>28</v>
      </c>
      <c r="BB35" s="69" t="s">
        <v>46</v>
      </c>
      <c r="BC35" s="70" t="s">
        <v>46</v>
      </c>
      <c r="BE35" s="67">
        <v>1807</v>
      </c>
      <c r="BF35" s="83">
        <v>28</v>
      </c>
      <c r="BG35" s="69" t="s">
        <v>46</v>
      </c>
      <c r="BH35" s="70" t="s">
        <v>46</v>
      </c>
    </row>
    <row r="36" spans="1:60">
      <c r="A36" s="1"/>
      <c r="B36" s="67">
        <v>1503</v>
      </c>
      <c r="C36" s="68">
        <v>29</v>
      </c>
      <c r="D36" s="69" t="s">
        <v>46</v>
      </c>
      <c r="E36" s="70" t="s">
        <v>46</v>
      </c>
      <c r="G36" s="67">
        <v>1506</v>
      </c>
      <c r="H36" s="68">
        <v>29</v>
      </c>
      <c r="I36" s="69" t="s">
        <v>46</v>
      </c>
      <c r="J36" s="70" t="s">
        <v>46</v>
      </c>
      <c r="L36" s="67">
        <v>1509</v>
      </c>
      <c r="M36" s="68">
        <v>29</v>
      </c>
      <c r="N36" s="69" t="s">
        <v>46</v>
      </c>
      <c r="O36" s="70" t="s">
        <v>46</v>
      </c>
      <c r="Q36" s="41">
        <v>1601</v>
      </c>
      <c r="R36" s="42">
        <v>29</v>
      </c>
      <c r="S36" s="43" t="s">
        <v>46</v>
      </c>
      <c r="T36" s="44" t="s">
        <v>46</v>
      </c>
      <c r="V36" s="41">
        <v>1604</v>
      </c>
      <c r="W36" s="33">
        <v>29</v>
      </c>
      <c r="X36" s="43" t="s">
        <v>46</v>
      </c>
      <c r="Y36" s="44" t="s">
        <v>46</v>
      </c>
      <c r="AA36" s="41">
        <v>1607</v>
      </c>
      <c r="AB36" s="33">
        <v>29</v>
      </c>
      <c r="AC36" s="43" t="s">
        <v>46</v>
      </c>
      <c r="AD36" s="44" t="s">
        <v>46</v>
      </c>
      <c r="AF36" s="41">
        <v>1703</v>
      </c>
      <c r="AG36" s="33">
        <v>29</v>
      </c>
      <c r="AH36" s="43" t="s">
        <v>46</v>
      </c>
      <c r="AI36" s="44" t="s">
        <v>46</v>
      </c>
      <c r="AK36" s="41">
        <v>1706</v>
      </c>
      <c r="AL36" s="33">
        <v>29</v>
      </c>
      <c r="AM36" s="43" t="s">
        <v>46</v>
      </c>
      <c r="AN36" s="44" t="s">
        <v>46</v>
      </c>
      <c r="AP36" s="41">
        <v>1709</v>
      </c>
      <c r="AQ36" s="33">
        <v>29</v>
      </c>
      <c r="AR36" s="43" t="s">
        <v>46</v>
      </c>
      <c r="AS36" s="44" t="s">
        <v>46</v>
      </c>
      <c r="AU36" s="67">
        <v>1801</v>
      </c>
      <c r="AV36" s="68">
        <v>29</v>
      </c>
      <c r="AW36" s="69" t="s">
        <v>46</v>
      </c>
      <c r="AX36" s="70" t="s">
        <v>46</v>
      </c>
      <c r="AZ36" s="67">
        <v>1804</v>
      </c>
      <c r="BA36" s="83">
        <v>29</v>
      </c>
      <c r="BB36" s="69" t="s">
        <v>46</v>
      </c>
      <c r="BC36" s="70" t="s">
        <v>46</v>
      </c>
      <c r="BE36" s="67">
        <v>1807</v>
      </c>
      <c r="BF36" s="83">
        <v>29</v>
      </c>
      <c r="BG36" s="69" t="s">
        <v>46</v>
      </c>
      <c r="BH36" s="70" t="s">
        <v>46</v>
      </c>
    </row>
    <row r="37" spans="1:60">
      <c r="A37" s="1"/>
      <c r="B37" s="67">
        <v>1503</v>
      </c>
      <c r="C37" s="68">
        <v>30</v>
      </c>
      <c r="D37" s="69" t="s">
        <v>46</v>
      </c>
      <c r="E37" s="70" t="s">
        <v>46</v>
      </c>
      <c r="G37" s="67">
        <v>1506</v>
      </c>
      <c r="H37" s="68">
        <v>30</v>
      </c>
      <c r="I37" s="69" t="s">
        <v>6602</v>
      </c>
      <c r="J37" s="70" t="s">
        <v>1209</v>
      </c>
      <c r="L37" s="67">
        <v>1509</v>
      </c>
      <c r="M37" s="68">
        <v>30</v>
      </c>
      <c r="N37" s="69" t="s">
        <v>46</v>
      </c>
      <c r="O37" s="70" t="s">
        <v>46</v>
      </c>
      <c r="Q37" s="41">
        <v>1601</v>
      </c>
      <c r="R37" s="42">
        <v>30</v>
      </c>
      <c r="S37" s="43" t="s">
        <v>46</v>
      </c>
      <c r="T37" s="44" t="s">
        <v>46</v>
      </c>
      <c r="V37" s="41">
        <v>1604</v>
      </c>
      <c r="W37" s="33">
        <v>30</v>
      </c>
      <c r="X37" s="43" t="s">
        <v>46</v>
      </c>
      <c r="Y37" s="44" t="s">
        <v>46</v>
      </c>
      <c r="AA37" s="41">
        <v>1607</v>
      </c>
      <c r="AB37" s="33">
        <v>30</v>
      </c>
      <c r="AC37" s="43" t="s">
        <v>46</v>
      </c>
      <c r="AD37" s="44" t="s">
        <v>46</v>
      </c>
      <c r="AF37" s="41">
        <v>1703</v>
      </c>
      <c r="AG37" s="33">
        <v>30</v>
      </c>
      <c r="AH37" s="43" t="s">
        <v>46</v>
      </c>
      <c r="AI37" s="44" t="s">
        <v>46</v>
      </c>
      <c r="AK37" s="41">
        <v>1706</v>
      </c>
      <c r="AL37" s="33">
        <v>30</v>
      </c>
      <c r="AM37" s="43" t="s">
        <v>6602</v>
      </c>
      <c r="AN37" s="44" t="s">
        <v>1209</v>
      </c>
      <c r="AP37" s="41">
        <v>1709</v>
      </c>
      <c r="AQ37" s="33">
        <v>30</v>
      </c>
      <c r="AR37" s="43" t="s">
        <v>46</v>
      </c>
      <c r="AS37" s="44" t="s">
        <v>46</v>
      </c>
      <c r="AU37" s="67">
        <v>1801</v>
      </c>
      <c r="AV37" s="68">
        <v>30</v>
      </c>
      <c r="AW37" s="69" t="s">
        <v>46</v>
      </c>
      <c r="AX37" s="70" t="s">
        <v>46</v>
      </c>
      <c r="AZ37" s="67">
        <v>1804</v>
      </c>
      <c r="BA37" s="83">
        <v>30</v>
      </c>
      <c r="BB37" s="69" t="s">
        <v>46</v>
      </c>
      <c r="BC37" s="70" t="s">
        <v>46</v>
      </c>
      <c r="BE37" s="67">
        <v>1807</v>
      </c>
      <c r="BF37" s="83">
        <v>30</v>
      </c>
      <c r="BG37" s="69" t="s">
        <v>46</v>
      </c>
      <c r="BH37" s="70" t="s">
        <v>46</v>
      </c>
    </row>
    <row r="38" spans="1:60">
      <c r="A38" s="1"/>
      <c r="B38" s="67">
        <v>1503</v>
      </c>
      <c r="C38" s="68">
        <v>31</v>
      </c>
      <c r="D38" s="69" t="s">
        <v>6603</v>
      </c>
      <c r="E38" s="70" t="s">
        <v>1394</v>
      </c>
      <c r="G38" s="67">
        <v>1506</v>
      </c>
      <c r="H38" s="68">
        <v>31</v>
      </c>
      <c r="I38" s="69" t="s">
        <v>46</v>
      </c>
      <c r="J38" s="70" t="s">
        <v>46</v>
      </c>
      <c r="L38" s="67">
        <v>1509</v>
      </c>
      <c r="M38" s="68">
        <v>31</v>
      </c>
      <c r="N38" s="69" t="s">
        <v>46</v>
      </c>
      <c r="O38" s="70" t="s">
        <v>46</v>
      </c>
      <c r="Q38" s="41">
        <v>1601</v>
      </c>
      <c r="R38" s="42">
        <v>31</v>
      </c>
      <c r="S38" s="43" t="s">
        <v>6604</v>
      </c>
      <c r="T38" s="44" t="s">
        <v>1174</v>
      </c>
      <c r="V38" s="41">
        <v>1604</v>
      </c>
      <c r="W38" s="33">
        <v>31</v>
      </c>
      <c r="X38" s="43" t="s">
        <v>46</v>
      </c>
      <c r="Y38" s="44" t="s">
        <v>46</v>
      </c>
      <c r="AA38" s="41">
        <v>1607</v>
      </c>
      <c r="AB38" s="33">
        <v>31</v>
      </c>
      <c r="AC38" s="43" t="s">
        <v>46</v>
      </c>
      <c r="AD38" s="44" t="s">
        <v>46</v>
      </c>
      <c r="AF38" s="41">
        <v>1703</v>
      </c>
      <c r="AG38" s="33">
        <v>31</v>
      </c>
      <c r="AH38" s="43" t="s">
        <v>6603</v>
      </c>
      <c r="AI38" s="44" t="s">
        <v>1394</v>
      </c>
      <c r="AK38" s="41">
        <v>1706</v>
      </c>
      <c r="AL38" s="33">
        <v>31</v>
      </c>
      <c r="AM38" s="43" t="s">
        <v>46</v>
      </c>
      <c r="AN38" s="44" t="s">
        <v>46</v>
      </c>
      <c r="AP38" s="41">
        <v>1709</v>
      </c>
      <c r="AQ38" s="33">
        <v>31</v>
      </c>
      <c r="AR38" s="43" t="s">
        <v>46</v>
      </c>
      <c r="AS38" s="44" t="s">
        <v>46</v>
      </c>
      <c r="AU38" s="67">
        <v>1801</v>
      </c>
      <c r="AV38" s="68">
        <v>31</v>
      </c>
      <c r="AW38" s="69" t="s">
        <v>6604</v>
      </c>
      <c r="AX38" s="70" t="s">
        <v>1174</v>
      </c>
      <c r="AZ38" s="67">
        <v>1804</v>
      </c>
      <c r="BA38" s="83">
        <v>31</v>
      </c>
      <c r="BB38" s="69" t="s">
        <v>46</v>
      </c>
      <c r="BC38" s="70" t="s">
        <v>46</v>
      </c>
      <c r="BE38" s="67">
        <v>1807</v>
      </c>
      <c r="BF38" s="83">
        <v>31</v>
      </c>
      <c r="BG38" s="69" t="s">
        <v>46</v>
      </c>
      <c r="BH38" s="70" t="s">
        <v>46</v>
      </c>
    </row>
    <row r="39" spans="1:60" ht="15" thickBot="1">
      <c r="A39" s="1"/>
      <c r="B39" s="78">
        <v>1503</v>
      </c>
      <c r="C39" s="79">
        <v>32</v>
      </c>
      <c r="D39" s="80" t="s">
        <v>6605</v>
      </c>
      <c r="E39" s="74" t="s">
        <v>1479</v>
      </c>
      <c r="G39" s="78">
        <v>1506</v>
      </c>
      <c r="H39" s="79">
        <v>32</v>
      </c>
      <c r="I39" s="80" t="s">
        <v>46</v>
      </c>
      <c r="J39" s="74" t="s">
        <v>46</v>
      </c>
      <c r="L39" s="78">
        <v>1509</v>
      </c>
      <c r="M39" s="79">
        <v>32</v>
      </c>
      <c r="N39" s="80" t="s">
        <v>46</v>
      </c>
      <c r="O39" s="74" t="s">
        <v>46</v>
      </c>
      <c r="Q39" s="52">
        <v>1601</v>
      </c>
      <c r="R39" s="53">
        <v>32</v>
      </c>
      <c r="S39" s="54" t="s">
        <v>46</v>
      </c>
      <c r="T39" s="48" t="s">
        <v>46</v>
      </c>
      <c r="V39" s="52">
        <v>1604</v>
      </c>
      <c r="W39" s="59">
        <v>32</v>
      </c>
      <c r="X39" s="54" t="s">
        <v>46</v>
      </c>
      <c r="Y39" s="48" t="s">
        <v>46</v>
      </c>
      <c r="AA39" s="52">
        <v>1607</v>
      </c>
      <c r="AB39" s="59">
        <v>32</v>
      </c>
      <c r="AC39" s="54" t="s">
        <v>46</v>
      </c>
      <c r="AD39" s="48" t="s">
        <v>46</v>
      </c>
      <c r="AF39" s="52">
        <v>1703</v>
      </c>
      <c r="AG39" s="59">
        <v>32</v>
      </c>
      <c r="AH39" s="54" t="s">
        <v>6605</v>
      </c>
      <c r="AI39" s="48" t="s">
        <v>1479</v>
      </c>
      <c r="AK39" s="52">
        <v>1706</v>
      </c>
      <c r="AL39" s="59">
        <v>32</v>
      </c>
      <c r="AM39" s="54" t="s">
        <v>46</v>
      </c>
      <c r="AN39" s="48" t="s">
        <v>46</v>
      </c>
      <c r="AP39" s="52">
        <v>1709</v>
      </c>
      <c r="AQ39" s="59">
        <v>32</v>
      </c>
      <c r="AR39" s="54" t="s">
        <v>46</v>
      </c>
      <c r="AS39" s="48" t="s">
        <v>46</v>
      </c>
      <c r="AU39" s="78">
        <v>1801</v>
      </c>
      <c r="AV39" s="79">
        <v>32</v>
      </c>
      <c r="AW39" s="80" t="s">
        <v>46</v>
      </c>
      <c r="AX39" s="74" t="s">
        <v>46</v>
      </c>
      <c r="AZ39" s="78">
        <v>1804</v>
      </c>
      <c r="BA39" s="86">
        <v>32</v>
      </c>
      <c r="BB39" s="80" t="s">
        <v>46</v>
      </c>
      <c r="BC39" s="74" t="s">
        <v>46</v>
      </c>
      <c r="BE39" s="78">
        <v>1807</v>
      </c>
      <c r="BF39" s="86">
        <v>32</v>
      </c>
      <c r="BG39" s="80" t="s">
        <v>46</v>
      </c>
      <c r="BH39" s="74" t="s">
        <v>46</v>
      </c>
    </row>
    <row r="40" spans="1:60">
      <c r="A40" s="1"/>
      <c r="B40" s="63">
        <v>1503</v>
      </c>
      <c r="C40" s="64">
        <v>33</v>
      </c>
      <c r="D40" s="81" t="s">
        <v>46</v>
      </c>
      <c r="E40" s="66" t="s">
        <v>46</v>
      </c>
      <c r="G40" s="63">
        <v>1506</v>
      </c>
      <c r="H40" s="64">
        <v>33</v>
      </c>
      <c r="I40" s="81" t="s">
        <v>46</v>
      </c>
      <c r="J40" s="66" t="s">
        <v>46</v>
      </c>
      <c r="L40" s="63">
        <v>1509</v>
      </c>
      <c r="M40" s="64">
        <v>33</v>
      </c>
      <c r="N40" s="81" t="s">
        <v>46</v>
      </c>
      <c r="O40" s="66" t="s">
        <v>46</v>
      </c>
      <c r="Q40" s="37">
        <v>1601</v>
      </c>
      <c r="R40" s="38">
        <v>33</v>
      </c>
      <c r="S40" s="55" t="s">
        <v>6606</v>
      </c>
      <c r="T40" s="40" t="s">
        <v>1219</v>
      </c>
      <c r="V40" s="37">
        <v>1604</v>
      </c>
      <c r="W40" s="56">
        <v>33</v>
      </c>
      <c r="X40" s="55" t="s">
        <v>46</v>
      </c>
      <c r="Y40" s="40" t="s">
        <v>46</v>
      </c>
      <c r="AA40" s="37">
        <v>1607</v>
      </c>
      <c r="AB40" s="56">
        <v>33</v>
      </c>
      <c r="AC40" s="55" t="s">
        <v>46</v>
      </c>
      <c r="AD40" s="40" t="s">
        <v>46</v>
      </c>
      <c r="AF40" s="37">
        <v>1703</v>
      </c>
      <c r="AG40" s="56">
        <v>33</v>
      </c>
      <c r="AH40" s="55" t="s">
        <v>46</v>
      </c>
      <c r="AI40" s="40" t="s">
        <v>46</v>
      </c>
      <c r="AK40" s="37">
        <v>1706</v>
      </c>
      <c r="AL40" s="56">
        <v>33</v>
      </c>
      <c r="AM40" s="55" t="s">
        <v>46</v>
      </c>
      <c r="AN40" s="40" t="s">
        <v>46</v>
      </c>
      <c r="AP40" s="37">
        <v>1709</v>
      </c>
      <c r="AQ40" s="56">
        <v>33</v>
      </c>
      <c r="AR40" s="55" t="s">
        <v>46</v>
      </c>
      <c r="AS40" s="40" t="s">
        <v>46</v>
      </c>
      <c r="AU40" s="63">
        <v>1801</v>
      </c>
      <c r="AV40" s="64">
        <v>33</v>
      </c>
      <c r="AW40" s="81" t="s">
        <v>6606</v>
      </c>
      <c r="AX40" s="66" t="s">
        <v>1219</v>
      </c>
      <c r="AZ40" s="63">
        <v>1804</v>
      </c>
      <c r="BA40" s="82">
        <v>33</v>
      </c>
      <c r="BB40" s="81" t="s">
        <v>46</v>
      </c>
      <c r="BC40" s="66" t="s">
        <v>46</v>
      </c>
      <c r="BE40" s="63">
        <v>1807</v>
      </c>
      <c r="BF40" s="82">
        <v>33</v>
      </c>
      <c r="BG40" s="81" t="s">
        <v>46</v>
      </c>
      <c r="BH40" s="66" t="s">
        <v>46</v>
      </c>
    </row>
    <row r="41" spans="1:60">
      <c r="A41" s="1"/>
      <c r="B41" s="67">
        <v>1503</v>
      </c>
      <c r="C41" s="68">
        <v>34</v>
      </c>
      <c r="D41" s="69" t="s">
        <v>46</v>
      </c>
      <c r="E41" s="70" t="s">
        <v>46</v>
      </c>
      <c r="G41" s="67">
        <v>1506</v>
      </c>
      <c r="H41" s="68">
        <v>34</v>
      </c>
      <c r="I41" s="69" t="s">
        <v>46</v>
      </c>
      <c r="J41" s="70" t="s">
        <v>46</v>
      </c>
      <c r="L41" s="67">
        <v>1509</v>
      </c>
      <c r="M41" s="68">
        <v>34</v>
      </c>
      <c r="N41" s="69" t="s">
        <v>46</v>
      </c>
      <c r="O41" s="70" t="s">
        <v>46</v>
      </c>
      <c r="Q41" s="41">
        <v>1601</v>
      </c>
      <c r="R41" s="42">
        <v>34</v>
      </c>
      <c r="S41" s="43" t="s">
        <v>6607</v>
      </c>
      <c r="T41" s="44" t="s">
        <v>1414</v>
      </c>
      <c r="V41" s="41">
        <v>1604</v>
      </c>
      <c r="W41" s="33">
        <v>34</v>
      </c>
      <c r="X41" s="43" t="s">
        <v>46</v>
      </c>
      <c r="Y41" s="44" t="s">
        <v>46</v>
      </c>
      <c r="AA41" s="41">
        <v>1607</v>
      </c>
      <c r="AB41" s="33">
        <v>34</v>
      </c>
      <c r="AC41" s="43" t="s">
        <v>46</v>
      </c>
      <c r="AD41" s="44" t="s">
        <v>46</v>
      </c>
      <c r="AF41" s="41">
        <v>1703</v>
      </c>
      <c r="AG41" s="33">
        <v>34</v>
      </c>
      <c r="AH41" s="43" t="s">
        <v>46</v>
      </c>
      <c r="AI41" s="44" t="s">
        <v>46</v>
      </c>
      <c r="AK41" s="41">
        <v>1706</v>
      </c>
      <c r="AL41" s="33">
        <v>34</v>
      </c>
      <c r="AM41" s="43" t="s">
        <v>46</v>
      </c>
      <c r="AN41" s="44" t="s">
        <v>46</v>
      </c>
      <c r="AP41" s="41">
        <v>1709</v>
      </c>
      <c r="AQ41" s="33">
        <v>34</v>
      </c>
      <c r="AR41" s="43" t="s">
        <v>46</v>
      </c>
      <c r="AS41" s="44" t="s">
        <v>46</v>
      </c>
      <c r="AU41" s="67">
        <v>1801</v>
      </c>
      <c r="AV41" s="68">
        <v>34</v>
      </c>
      <c r="AW41" s="69" t="s">
        <v>6607</v>
      </c>
      <c r="AX41" s="70" t="s">
        <v>1414</v>
      </c>
      <c r="AZ41" s="67">
        <v>1804</v>
      </c>
      <c r="BA41" s="83">
        <v>34</v>
      </c>
      <c r="BB41" s="69" t="s">
        <v>46</v>
      </c>
      <c r="BC41" s="70" t="s">
        <v>46</v>
      </c>
      <c r="BE41" s="67">
        <v>1807</v>
      </c>
      <c r="BF41" s="83">
        <v>34</v>
      </c>
      <c r="BG41" s="69" t="s">
        <v>46</v>
      </c>
      <c r="BH41" s="70" t="s">
        <v>46</v>
      </c>
    </row>
    <row r="42" spans="1:60">
      <c r="A42" s="1"/>
      <c r="B42" s="67">
        <v>1503</v>
      </c>
      <c r="C42" s="68">
        <v>35</v>
      </c>
      <c r="D42" s="69" t="s">
        <v>6608</v>
      </c>
      <c r="E42" s="70" t="s">
        <v>1404</v>
      </c>
      <c r="G42" s="67">
        <v>1506</v>
      </c>
      <c r="H42" s="68">
        <v>35</v>
      </c>
      <c r="I42" s="69" t="s">
        <v>6609</v>
      </c>
      <c r="J42" s="70" t="s">
        <v>1384</v>
      </c>
      <c r="L42" s="67">
        <v>1509</v>
      </c>
      <c r="M42" s="68">
        <v>35</v>
      </c>
      <c r="N42" s="69" t="s">
        <v>46</v>
      </c>
      <c r="O42" s="70" t="s">
        <v>46</v>
      </c>
      <c r="Q42" s="41">
        <v>1601</v>
      </c>
      <c r="R42" s="42">
        <v>35</v>
      </c>
      <c r="S42" s="43" t="s">
        <v>6610</v>
      </c>
      <c r="T42" s="44" t="s">
        <v>1189</v>
      </c>
      <c r="V42" s="41">
        <v>1604</v>
      </c>
      <c r="W42" s="33">
        <v>35</v>
      </c>
      <c r="X42" s="43" t="s">
        <v>46</v>
      </c>
      <c r="Y42" s="44" t="s">
        <v>46</v>
      </c>
      <c r="AA42" s="41">
        <v>1607</v>
      </c>
      <c r="AB42" s="33">
        <v>35</v>
      </c>
      <c r="AC42" s="43" t="s">
        <v>46</v>
      </c>
      <c r="AD42" s="44" t="s">
        <v>46</v>
      </c>
      <c r="AF42" s="41">
        <v>1703</v>
      </c>
      <c r="AG42" s="33">
        <v>35</v>
      </c>
      <c r="AH42" s="43" t="s">
        <v>6608</v>
      </c>
      <c r="AI42" s="44" t="s">
        <v>1404</v>
      </c>
      <c r="AK42" s="41">
        <v>1706</v>
      </c>
      <c r="AL42" s="33">
        <v>35</v>
      </c>
      <c r="AM42" s="43" t="s">
        <v>6609</v>
      </c>
      <c r="AN42" s="44" t="s">
        <v>1384</v>
      </c>
      <c r="AP42" s="41">
        <v>1709</v>
      </c>
      <c r="AQ42" s="33">
        <v>35</v>
      </c>
      <c r="AR42" s="43" t="s">
        <v>46</v>
      </c>
      <c r="AS42" s="44" t="s">
        <v>46</v>
      </c>
      <c r="AU42" s="67">
        <v>1801</v>
      </c>
      <c r="AV42" s="68">
        <v>35</v>
      </c>
      <c r="AW42" s="69" t="s">
        <v>6610</v>
      </c>
      <c r="AX42" s="70" t="s">
        <v>1189</v>
      </c>
      <c r="AZ42" s="67">
        <v>1804</v>
      </c>
      <c r="BA42" s="83">
        <v>35</v>
      </c>
      <c r="BB42" s="69" t="s">
        <v>46</v>
      </c>
      <c r="BC42" s="70" t="s">
        <v>46</v>
      </c>
      <c r="BE42" s="67">
        <v>1807</v>
      </c>
      <c r="BF42" s="83">
        <v>35</v>
      </c>
      <c r="BG42" s="69" t="s">
        <v>46</v>
      </c>
      <c r="BH42" s="70" t="s">
        <v>46</v>
      </c>
    </row>
    <row r="43" spans="1:60">
      <c r="A43" s="1"/>
      <c r="B43" s="67">
        <v>1503</v>
      </c>
      <c r="C43" s="68">
        <v>36</v>
      </c>
      <c r="D43" s="69" t="s">
        <v>46</v>
      </c>
      <c r="E43" s="70" t="s">
        <v>46</v>
      </c>
      <c r="G43" s="67">
        <v>1506</v>
      </c>
      <c r="H43" s="68">
        <v>36</v>
      </c>
      <c r="I43" s="69" t="s">
        <v>46</v>
      </c>
      <c r="J43" s="70" t="s">
        <v>46</v>
      </c>
      <c r="L43" s="67">
        <v>1509</v>
      </c>
      <c r="M43" s="68">
        <v>36</v>
      </c>
      <c r="N43" s="69" t="s">
        <v>46</v>
      </c>
      <c r="O43" s="70" t="s">
        <v>46</v>
      </c>
      <c r="Q43" s="41">
        <v>1601</v>
      </c>
      <c r="R43" s="42">
        <v>36</v>
      </c>
      <c r="S43" s="43" t="s">
        <v>46</v>
      </c>
      <c r="T43" s="44" t="s">
        <v>46</v>
      </c>
      <c r="V43" s="41">
        <v>1604</v>
      </c>
      <c r="W43" s="33">
        <v>36</v>
      </c>
      <c r="X43" s="43" t="s">
        <v>46</v>
      </c>
      <c r="Y43" s="44" t="s">
        <v>46</v>
      </c>
      <c r="AA43" s="41">
        <v>1607</v>
      </c>
      <c r="AB43" s="33">
        <v>36</v>
      </c>
      <c r="AC43" s="43" t="s">
        <v>46</v>
      </c>
      <c r="AD43" s="44" t="s">
        <v>46</v>
      </c>
      <c r="AF43" s="41">
        <v>1703</v>
      </c>
      <c r="AG43" s="33">
        <v>36</v>
      </c>
      <c r="AH43" s="43" t="s">
        <v>46</v>
      </c>
      <c r="AI43" s="44" t="s">
        <v>46</v>
      </c>
      <c r="AK43" s="41">
        <v>1706</v>
      </c>
      <c r="AL43" s="33">
        <v>36</v>
      </c>
      <c r="AM43" s="43" t="s">
        <v>46</v>
      </c>
      <c r="AN43" s="44" t="s">
        <v>46</v>
      </c>
      <c r="AP43" s="41">
        <v>1709</v>
      </c>
      <c r="AQ43" s="33">
        <v>36</v>
      </c>
      <c r="AR43" s="43" t="s">
        <v>46</v>
      </c>
      <c r="AS43" s="44" t="s">
        <v>46</v>
      </c>
      <c r="AU43" s="67">
        <v>1801</v>
      </c>
      <c r="AV43" s="68">
        <v>36</v>
      </c>
      <c r="AW43" s="69" t="s">
        <v>46</v>
      </c>
      <c r="AX43" s="70" t="s">
        <v>46</v>
      </c>
      <c r="AZ43" s="67">
        <v>1804</v>
      </c>
      <c r="BA43" s="83">
        <v>36</v>
      </c>
      <c r="BB43" s="69" t="s">
        <v>46</v>
      </c>
      <c r="BC43" s="70" t="s">
        <v>46</v>
      </c>
      <c r="BE43" s="67">
        <v>1807</v>
      </c>
      <c r="BF43" s="83">
        <v>36</v>
      </c>
      <c r="BG43" s="69" t="s">
        <v>46</v>
      </c>
      <c r="BH43" s="70" t="s">
        <v>46</v>
      </c>
    </row>
    <row r="44" spans="1:60">
      <c r="A44" s="1"/>
      <c r="B44" s="67">
        <v>1503</v>
      </c>
      <c r="C44" s="68">
        <v>37</v>
      </c>
      <c r="D44" s="69" t="s">
        <v>6611</v>
      </c>
      <c r="E44" s="70" t="s">
        <v>1314</v>
      </c>
      <c r="G44" s="67">
        <v>1506</v>
      </c>
      <c r="H44" s="68">
        <v>37</v>
      </c>
      <c r="I44" s="69" t="s">
        <v>46</v>
      </c>
      <c r="J44" s="70" t="s">
        <v>46</v>
      </c>
      <c r="L44" s="67">
        <v>1509</v>
      </c>
      <c r="M44" s="68">
        <v>37</v>
      </c>
      <c r="N44" s="69" t="s">
        <v>46</v>
      </c>
      <c r="O44" s="70" t="s">
        <v>46</v>
      </c>
      <c r="Q44" s="41">
        <v>1601</v>
      </c>
      <c r="R44" s="42">
        <v>37</v>
      </c>
      <c r="S44" s="43" t="s">
        <v>46</v>
      </c>
      <c r="T44" s="44" t="s">
        <v>46</v>
      </c>
      <c r="V44" s="41">
        <v>1604</v>
      </c>
      <c r="W44" s="33">
        <v>37</v>
      </c>
      <c r="X44" s="43" t="s">
        <v>46</v>
      </c>
      <c r="Y44" s="44" t="s">
        <v>46</v>
      </c>
      <c r="AA44" s="41">
        <v>1607</v>
      </c>
      <c r="AB44" s="33">
        <v>37</v>
      </c>
      <c r="AC44" s="43" t="s">
        <v>46</v>
      </c>
      <c r="AD44" s="44" t="s">
        <v>46</v>
      </c>
      <c r="AF44" s="41">
        <v>1703</v>
      </c>
      <c r="AG44" s="33">
        <v>37</v>
      </c>
      <c r="AH44" s="43" t="s">
        <v>6611</v>
      </c>
      <c r="AI44" s="44" t="s">
        <v>1314</v>
      </c>
      <c r="AK44" s="41">
        <v>1706</v>
      </c>
      <c r="AL44" s="33">
        <v>37</v>
      </c>
      <c r="AM44" s="43" t="s">
        <v>46</v>
      </c>
      <c r="AN44" s="44" t="s">
        <v>46</v>
      </c>
      <c r="AP44" s="41">
        <v>1709</v>
      </c>
      <c r="AQ44" s="33">
        <v>37</v>
      </c>
      <c r="AR44" s="43" t="s">
        <v>46</v>
      </c>
      <c r="AS44" s="44" t="s">
        <v>46</v>
      </c>
      <c r="AU44" s="67">
        <v>1801</v>
      </c>
      <c r="AV44" s="68">
        <v>37</v>
      </c>
      <c r="AW44" s="69" t="s">
        <v>46</v>
      </c>
      <c r="AX44" s="70" t="s">
        <v>46</v>
      </c>
      <c r="AZ44" s="67">
        <v>1804</v>
      </c>
      <c r="BA44" s="83">
        <v>37</v>
      </c>
      <c r="BB44" s="69" t="s">
        <v>46</v>
      </c>
      <c r="BC44" s="70" t="s">
        <v>46</v>
      </c>
      <c r="BE44" s="67">
        <v>1807</v>
      </c>
      <c r="BF44" s="83">
        <v>37</v>
      </c>
      <c r="BG44" s="69" t="s">
        <v>46</v>
      </c>
      <c r="BH44" s="70" t="s">
        <v>46</v>
      </c>
    </row>
    <row r="45" spans="1:60">
      <c r="A45" s="1"/>
      <c r="B45" s="67">
        <v>1503</v>
      </c>
      <c r="C45" s="68">
        <v>38</v>
      </c>
      <c r="D45" s="69" t="s">
        <v>46</v>
      </c>
      <c r="E45" s="70" t="s">
        <v>46</v>
      </c>
      <c r="G45" s="67">
        <v>1506</v>
      </c>
      <c r="H45" s="68">
        <v>38</v>
      </c>
      <c r="I45" s="69" t="s">
        <v>46</v>
      </c>
      <c r="J45" s="70" t="s">
        <v>46</v>
      </c>
      <c r="L45" s="67">
        <v>1509</v>
      </c>
      <c r="M45" s="68">
        <v>38</v>
      </c>
      <c r="N45" s="69" t="s">
        <v>46</v>
      </c>
      <c r="O45" s="70" t="s">
        <v>46</v>
      </c>
      <c r="Q45" s="41">
        <v>1601</v>
      </c>
      <c r="R45" s="42">
        <v>38</v>
      </c>
      <c r="S45" s="43" t="s">
        <v>46</v>
      </c>
      <c r="T45" s="44" t="s">
        <v>46</v>
      </c>
      <c r="V45" s="41">
        <v>1604</v>
      </c>
      <c r="W45" s="33">
        <v>38</v>
      </c>
      <c r="X45" s="43" t="s">
        <v>46</v>
      </c>
      <c r="Y45" s="44" t="s">
        <v>46</v>
      </c>
      <c r="AA45" s="41">
        <v>1607</v>
      </c>
      <c r="AB45" s="33">
        <v>38</v>
      </c>
      <c r="AC45" s="43" t="s">
        <v>46</v>
      </c>
      <c r="AD45" s="44" t="s">
        <v>46</v>
      </c>
      <c r="AF45" s="41">
        <v>1703</v>
      </c>
      <c r="AG45" s="33">
        <v>38</v>
      </c>
      <c r="AH45" s="43" t="s">
        <v>46</v>
      </c>
      <c r="AI45" s="44" t="s">
        <v>46</v>
      </c>
      <c r="AK45" s="41">
        <v>1706</v>
      </c>
      <c r="AL45" s="33">
        <v>38</v>
      </c>
      <c r="AM45" s="43" t="s">
        <v>46</v>
      </c>
      <c r="AN45" s="44" t="s">
        <v>46</v>
      </c>
      <c r="AP45" s="41">
        <v>1709</v>
      </c>
      <c r="AQ45" s="33">
        <v>38</v>
      </c>
      <c r="AR45" s="43" t="s">
        <v>46</v>
      </c>
      <c r="AS45" s="44" t="s">
        <v>46</v>
      </c>
      <c r="AU45" s="67">
        <v>1801</v>
      </c>
      <c r="AV45" s="68">
        <v>38</v>
      </c>
      <c r="AW45" s="69" t="s">
        <v>46</v>
      </c>
      <c r="AX45" s="70" t="s">
        <v>46</v>
      </c>
      <c r="AZ45" s="67">
        <v>1804</v>
      </c>
      <c r="BA45" s="83">
        <v>38</v>
      </c>
      <c r="BB45" s="69" t="s">
        <v>46</v>
      </c>
      <c r="BC45" s="70" t="s">
        <v>46</v>
      </c>
      <c r="BE45" s="67">
        <v>1807</v>
      </c>
      <c r="BF45" s="83">
        <v>38</v>
      </c>
      <c r="BG45" s="69" t="s">
        <v>46</v>
      </c>
      <c r="BH45" s="70" t="s">
        <v>46</v>
      </c>
    </row>
    <row r="46" spans="1:60">
      <c r="A46" s="1"/>
      <c r="B46" s="67">
        <v>1503</v>
      </c>
      <c r="C46" s="68">
        <v>39</v>
      </c>
      <c r="D46" s="69" t="s">
        <v>46</v>
      </c>
      <c r="E46" s="70" t="s">
        <v>46</v>
      </c>
      <c r="G46" s="67">
        <v>1506</v>
      </c>
      <c r="H46" s="68">
        <v>39</v>
      </c>
      <c r="I46" s="69" t="s">
        <v>46</v>
      </c>
      <c r="J46" s="70" t="s">
        <v>46</v>
      </c>
      <c r="L46" s="67">
        <v>1509</v>
      </c>
      <c r="M46" s="68">
        <v>39</v>
      </c>
      <c r="N46" s="69" t="s">
        <v>46</v>
      </c>
      <c r="O46" s="70" t="s">
        <v>46</v>
      </c>
      <c r="Q46" s="41">
        <v>1601</v>
      </c>
      <c r="R46" s="42">
        <v>39</v>
      </c>
      <c r="S46" s="43" t="s">
        <v>46</v>
      </c>
      <c r="T46" s="44" t="s">
        <v>46</v>
      </c>
      <c r="V46" s="41">
        <v>1604</v>
      </c>
      <c r="W46" s="33">
        <v>39</v>
      </c>
      <c r="X46" s="43" t="s">
        <v>46</v>
      </c>
      <c r="Y46" s="44" t="s">
        <v>46</v>
      </c>
      <c r="AA46" s="41">
        <v>1607</v>
      </c>
      <c r="AB46" s="33">
        <v>39</v>
      </c>
      <c r="AC46" s="43" t="s">
        <v>46</v>
      </c>
      <c r="AD46" s="44" t="s">
        <v>46</v>
      </c>
      <c r="AF46" s="41">
        <v>1703</v>
      </c>
      <c r="AG46" s="33">
        <v>39</v>
      </c>
      <c r="AH46" s="43" t="s">
        <v>46</v>
      </c>
      <c r="AI46" s="44" t="s">
        <v>46</v>
      </c>
      <c r="AK46" s="41">
        <v>1706</v>
      </c>
      <c r="AL46" s="33">
        <v>39</v>
      </c>
      <c r="AM46" s="43" t="s">
        <v>46</v>
      </c>
      <c r="AN46" s="44" t="s">
        <v>46</v>
      </c>
      <c r="AP46" s="41">
        <v>1709</v>
      </c>
      <c r="AQ46" s="33">
        <v>39</v>
      </c>
      <c r="AR46" s="43" t="s">
        <v>46</v>
      </c>
      <c r="AS46" s="44" t="s">
        <v>46</v>
      </c>
      <c r="AU46" s="67">
        <v>1801</v>
      </c>
      <c r="AV46" s="68">
        <v>39</v>
      </c>
      <c r="AW46" s="69" t="s">
        <v>46</v>
      </c>
      <c r="AX46" s="70" t="s">
        <v>46</v>
      </c>
      <c r="AZ46" s="67">
        <v>1804</v>
      </c>
      <c r="BA46" s="83">
        <v>39</v>
      </c>
      <c r="BB46" s="69" t="s">
        <v>46</v>
      </c>
      <c r="BC46" s="70" t="s">
        <v>46</v>
      </c>
      <c r="BE46" s="67">
        <v>1807</v>
      </c>
      <c r="BF46" s="83">
        <v>39</v>
      </c>
      <c r="BG46" s="69" t="s">
        <v>46</v>
      </c>
      <c r="BH46" s="70" t="s">
        <v>46</v>
      </c>
    </row>
    <row r="47" spans="1:60">
      <c r="A47" s="1"/>
      <c r="B47" s="67">
        <v>1503</v>
      </c>
      <c r="C47" s="68">
        <v>40</v>
      </c>
      <c r="D47" s="69" t="s">
        <v>46</v>
      </c>
      <c r="E47" s="70" t="s">
        <v>46</v>
      </c>
      <c r="G47" s="67">
        <v>1506</v>
      </c>
      <c r="H47" s="68">
        <v>40</v>
      </c>
      <c r="I47" s="69" t="s">
        <v>46</v>
      </c>
      <c r="J47" s="70" t="s">
        <v>46</v>
      </c>
      <c r="L47" s="67">
        <v>1509</v>
      </c>
      <c r="M47" s="68">
        <v>40</v>
      </c>
      <c r="N47" s="69" t="s">
        <v>46</v>
      </c>
      <c r="O47" s="70" t="s">
        <v>46</v>
      </c>
      <c r="Q47" s="41">
        <v>1601</v>
      </c>
      <c r="R47" s="42">
        <v>40</v>
      </c>
      <c r="S47" s="43" t="s">
        <v>46</v>
      </c>
      <c r="T47" s="44" t="s">
        <v>46</v>
      </c>
      <c r="V47" s="41">
        <v>1604</v>
      </c>
      <c r="W47" s="33">
        <v>40</v>
      </c>
      <c r="X47" s="43" t="s">
        <v>46</v>
      </c>
      <c r="Y47" s="44" t="s">
        <v>46</v>
      </c>
      <c r="AA47" s="41">
        <v>1607</v>
      </c>
      <c r="AB47" s="33">
        <v>40</v>
      </c>
      <c r="AC47" s="43" t="s">
        <v>46</v>
      </c>
      <c r="AD47" s="44" t="s">
        <v>46</v>
      </c>
      <c r="AF47" s="41">
        <v>1703</v>
      </c>
      <c r="AG47" s="33">
        <v>40</v>
      </c>
      <c r="AH47" s="43" t="s">
        <v>46</v>
      </c>
      <c r="AI47" s="44" t="s">
        <v>46</v>
      </c>
      <c r="AK47" s="41">
        <v>1706</v>
      </c>
      <c r="AL47" s="33">
        <v>40</v>
      </c>
      <c r="AM47" s="43" t="s">
        <v>46</v>
      </c>
      <c r="AN47" s="44" t="s">
        <v>46</v>
      </c>
      <c r="AP47" s="41">
        <v>1709</v>
      </c>
      <c r="AQ47" s="33">
        <v>40</v>
      </c>
      <c r="AR47" s="43" t="s">
        <v>46</v>
      </c>
      <c r="AS47" s="44" t="s">
        <v>46</v>
      </c>
      <c r="AU47" s="67">
        <v>1801</v>
      </c>
      <c r="AV47" s="68">
        <v>40</v>
      </c>
      <c r="AW47" s="69" t="s">
        <v>46</v>
      </c>
      <c r="AX47" s="70" t="s">
        <v>46</v>
      </c>
      <c r="AZ47" s="67">
        <v>1804</v>
      </c>
      <c r="BA47" s="83">
        <v>40</v>
      </c>
      <c r="BB47" s="69" t="s">
        <v>46</v>
      </c>
      <c r="BC47" s="70" t="s">
        <v>46</v>
      </c>
      <c r="BE47" s="67">
        <v>1807</v>
      </c>
      <c r="BF47" s="83">
        <v>40</v>
      </c>
      <c r="BG47" s="69" t="s">
        <v>46</v>
      </c>
      <c r="BH47" s="70" t="s">
        <v>46</v>
      </c>
    </row>
    <row r="48" spans="1:60">
      <c r="A48" s="1"/>
      <c r="B48" s="67">
        <v>1502</v>
      </c>
      <c r="C48" s="68">
        <v>41</v>
      </c>
      <c r="D48" s="69" t="s">
        <v>46</v>
      </c>
      <c r="E48" s="70" t="s">
        <v>46</v>
      </c>
      <c r="G48" s="67">
        <v>1505</v>
      </c>
      <c r="H48" s="68">
        <v>41</v>
      </c>
      <c r="I48" s="69" t="s">
        <v>46</v>
      </c>
      <c r="J48" s="70" t="s">
        <v>46</v>
      </c>
      <c r="L48" s="67">
        <v>1508</v>
      </c>
      <c r="M48" s="68">
        <v>41</v>
      </c>
      <c r="N48" s="69" t="s">
        <v>46</v>
      </c>
      <c r="O48" s="70" t="s">
        <v>46</v>
      </c>
      <c r="Q48" s="41">
        <v>1602</v>
      </c>
      <c r="R48" s="42">
        <v>41</v>
      </c>
      <c r="S48" s="43" t="s">
        <v>46</v>
      </c>
      <c r="T48" s="44" t="s">
        <v>46</v>
      </c>
      <c r="V48" s="41">
        <v>1605</v>
      </c>
      <c r="W48" s="33">
        <v>41</v>
      </c>
      <c r="X48" s="43" t="s">
        <v>46</v>
      </c>
      <c r="Y48" s="44" t="s">
        <v>46</v>
      </c>
      <c r="AA48" s="41">
        <v>1608</v>
      </c>
      <c r="AB48" s="33">
        <v>41</v>
      </c>
      <c r="AC48" s="43" t="s">
        <v>46</v>
      </c>
      <c r="AD48" s="44" t="s">
        <v>46</v>
      </c>
      <c r="AF48" s="41">
        <v>1702</v>
      </c>
      <c r="AG48" s="33">
        <v>41</v>
      </c>
      <c r="AH48" s="43" t="s">
        <v>46</v>
      </c>
      <c r="AI48" s="44" t="s">
        <v>46</v>
      </c>
      <c r="AK48" s="41">
        <v>1705</v>
      </c>
      <c r="AL48" s="33">
        <v>41</v>
      </c>
      <c r="AM48" s="43" t="s">
        <v>46</v>
      </c>
      <c r="AN48" s="44" t="s">
        <v>46</v>
      </c>
      <c r="AP48" s="41">
        <v>1708</v>
      </c>
      <c r="AQ48" s="33">
        <v>41</v>
      </c>
      <c r="AR48" s="43" t="s">
        <v>46</v>
      </c>
      <c r="AS48" s="44" t="s">
        <v>46</v>
      </c>
      <c r="AU48" s="67">
        <v>1802</v>
      </c>
      <c r="AV48" s="68">
        <v>41</v>
      </c>
      <c r="AW48" s="69" t="s">
        <v>46</v>
      </c>
      <c r="AX48" s="70" t="s">
        <v>46</v>
      </c>
      <c r="AZ48" s="67">
        <v>1805</v>
      </c>
      <c r="BA48" s="83">
        <v>41</v>
      </c>
      <c r="BB48" s="69" t="s">
        <v>46</v>
      </c>
      <c r="BC48" s="70" t="s">
        <v>46</v>
      </c>
      <c r="BE48" s="67">
        <v>1808</v>
      </c>
      <c r="BF48" s="83">
        <v>41</v>
      </c>
      <c r="BG48" s="69" t="s">
        <v>46</v>
      </c>
      <c r="BH48" s="70" t="s">
        <v>46</v>
      </c>
    </row>
    <row r="49" spans="1:60">
      <c r="A49" s="1"/>
      <c r="B49" s="67">
        <v>1502</v>
      </c>
      <c r="C49" s="68">
        <v>42</v>
      </c>
      <c r="D49" s="69" t="s">
        <v>46</v>
      </c>
      <c r="E49" s="70" t="s">
        <v>46</v>
      </c>
      <c r="G49" s="67">
        <v>1505</v>
      </c>
      <c r="H49" s="68">
        <v>42</v>
      </c>
      <c r="I49" s="69" t="s">
        <v>46</v>
      </c>
      <c r="J49" s="70" t="s">
        <v>46</v>
      </c>
      <c r="L49" s="67">
        <v>1508</v>
      </c>
      <c r="M49" s="68">
        <v>42</v>
      </c>
      <c r="N49" s="69" t="s">
        <v>46</v>
      </c>
      <c r="O49" s="70" t="s">
        <v>46</v>
      </c>
      <c r="Q49" s="41">
        <v>1602</v>
      </c>
      <c r="R49" s="42">
        <v>42</v>
      </c>
      <c r="S49" s="43" t="s">
        <v>6612</v>
      </c>
      <c r="T49" s="44" t="s">
        <v>1464</v>
      </c>
      <c r="V49" s="41">
        <v>1605</v>
      </c>
      <c r="W49" s="33">
        <v>42</v>
      </c>
      <c r="X49" s="43" t="s">
        <v>46</v>
      </c>
      <c r="Y49" s="44" t="s">
        <v>46</v>
      </c>
      <c r="AA49" s="41">
        <v>1608</v>
      </c>
      <c r="AB49" s="33">
        <v>42</v>
      </c>
      <c r="AC49" s="43" t="s">
        <v>46</v>
      </c>
      <c r="AD49" s="44" t="s">
        <v>46</v>
      </c>
      <c r="AF49" s="41">
        <v>1702</v>
      </c>
      <c r="AG49" s="33">
        <v>42</v>
      </c>
      <c r="AH49" s="43" t="s">
        <v>46</v>
      </c>
      <c r="AI49" s="44" t="s">
        <v>46</v>
      </c>
      <c r="AK49" s="41">
        <v>1705</v>
      </c>
      <c r="AL49" s="33">
        <v>42</v>
      </c>
      <c r="AM49" s="43" t="s">
        <v>46</v>
      </c>
      <c r="AN49" s="44" t="s">
        <v>46</v>
      </c>
      <c r="AP49" s="41">
        <v>1708</v>
      </c>
      <c r="AQ49" s="33">
        <v>42</v>
      </c>
      <c r="AR49" s="43" t="s">
        <v>46</v>
      </c>
      <c r="AS49" s="44" t="s">
        <v>46</v>
      </c>
      <c r="AU49" s="67">
        <v>1802</v>
      </c>
      <c r="AV49" s="68">
        <v>42</v>
      </c>
      <c r="AW49" s="69" t="s">
        <v>6612</v>
      </c>
      <c r="AX49" s="70" t="s">
        <v>1464</v>
      </c>
      <c r="AZ49" s="67">
        <v>1805</v>
      </c>
      <c r="BA49" s="83">
        <v>42</v>
      </c>
      <c r="BB49" s="69" t="s">
        <v>46</v>
      </c>
      <c r="BC49" s="70" t="s">
        <v>46</v>
      </c>
      <c r="BE49" s="67">
        <v>1808</v>
      </c>
      <c r="BF49" s="83">
        <v>42</v>
      </c>
      <c r="BG49" s="69" t="s">
        <v>46</v>
      </c>
      <c r="BH49" s="70" t="s">
        <v>46</v>
      </c>
    </row>
    <row r="50" spans="1:60">
      <c r="A50" s="1"/>
      <c r="B50" s="67">
        <v>1502</v>
      </c>
      <c r="C50" s="68">
        <v>43</v>
      </c>
      <c r="D50" s="69" t="s">
        <v>46</v>
      </c>
      <c r="E50" s="70" t="s">
        <v>46</v>
      </c>
      <c r="G50" s="67">
        <v>1505</v>
      </c>
      <c r="H50" s="68">
        <v>43</v>
      </c>
      <c r="I50" s="69" t="s">
        <v>46</v>
      </c>
      <c r="J50" s="70" t="s">
        <v>46</v>
      </c>
      <c r="L50" s="67">
        <v>1508</v>
      </c>
      <c r="M50" s="68">
        <v>43</v>
      </c>
      <c r="N50" s="69" t="s">
        <v>46</v>
      </c>
      <c r="O50" s="70" t="s">
        <v>46</v>
      </c>
      <c r="Q50" s="41">
        <v>1602</v>
      </c>
      <c r="R50" s="42">
        <v>43</v>
      </c>
      <c r="S50" s="43" t="s">
        <v>46</v>
      </c>
      <c r="T50" s="44" t="s">
        <v>46</v>
      </c>
      <c r="V50" s="41">
        <v>1605</v>
      </c>
      <c r="W50" s="33">
        <v>43</v>
      </c>
      <c r="X50" s="43" t="s">
        <v>46</v>
      </c>
      <c r="Y50" s="44" t="s">
        <v>46</v>
      </c>
      <c r="AA50" s="41">
        <v>1608</v>
      </c>
      <c r="AB50" s="33">
        <v>43</v>
      </c>
      <c r="AC50" s="43" t="s">
        <v>46</v>
      </c>
      <c r="AD50" s="44" t="s">
        <v>46</v>
      </c>
      <c r="AF50" s="41">
        <v>1702</v>
      </c>
      <c r="AG50" s="33">
        <v>43</v>
      </c>
      <c r="AH50" s="43" t="s">
        <v>46</v>
      </c>
      <c r="AI50" s="44" t="s">
        <v>46</v>
      </c>
      <c r="AK50" s="41">
        <v>1705</v>
      </c>
      <c r="AL50" s="33">
        <v>43</v>
      </c>
      <c r="AM50" s="43" t="s">
        <v>46</v>
      </c>
      <c r="AN50" s="44" t="s">
        <v>46</v>
      </c>
      <c r="AP50" s="41">
        <v>1708</v>
      </c>
      <c r="AQ50" s="33">
        <v>43</v>
      </c>
      <c r="AR50" s="43" t="s">
        <v>46</v>
      </c>
      <c r="AS50" s="44" t="s">
        <v>46</v>
      </c>
      <c r="AU50" s="67">
        <v>1802</v>
      </c>
      <c r="AV50" s="68">
        <v>43</v>
      </c>
      <c r="AW50" s="69" t="s">
        <v>46</v>
      </c>
      <c r="AX50" s="70" t="s">
        <v>46</v>
      </c>
      <c r="AZ50" s="67">
        <v>1805</v>
      </c>
      <c r="BA50" s="83">
        <v>43</v>
      </c>
      <c r="BB50" s="69" t="s">
        <v>46</v>
      </c>
      <c r="BC50" s="70" t="s">
        <v>46</v>
      </c>
      <c r="BE50" s="67">
        <v>1808</v>
      </c>
      <c r="BF50" s="83">
        <v>43</v>
      </c>
      <c r="BG50" s="69" t="s">
        <v>46</v>
      </c>
      <c r="BH50" s="70" t="s">
        <v>46</v>
      </c>
    </row>
    <row r="51" spans="1:60">
      <c r="A51" s="1"/>
      <c r="B51" s="67">
        <v>1502</v>
      </c>
      <c r="C51" s="68">
        <v>44</v>
      </c>
      <c r="D51" s="69" t="s">
        <v>46</v>
      </c>
      <c r="E51" s="70" t="s">
        <v>46</v>
      </c>
      <c r="G51" s="67">
        <v>1505</v>
      </c>
      <c r="H51" s="68">
        <v>44</v>
      </c>
      <c r="I51" s="69" t="s">
        <v>46</v>
      </c>
      <c r="J51" s="70" t="s">
        <v>46</v>
      </c>
      <c r="L51" s="67">
        <v>1508</v>
      </c>
      <c r="M51" s="68">
        <v>44</v>
      </c>
      <c r="N51" s="69" t="s">
        <v>46</v>
      </c>
      <c r="O51" s="70" t="s">
        <v>46</v>
      </c>
      <c r="Q51" s="41">
        <v>1602</v>
      </c>
      <c r="R51" s="42">
        <v>44</v>
      </c>
      <c r="S51" s="43" t="s">
        <v>46</v>
      </c>
      <c r="T51" s="44" t="s">
        <v>46</v>
      </c>
      <c r="V51" s="41">
        <v>1605</v>
      </c>
      <c r="W51" s="33">
        <v>44</v>
      </c>
      <c r="X51" s="43" t="s">
        <v>46</v>
      </c>
      <c r="Y51" s="44" t="s">
        <v>46</v>
      </c>
      <c r="AA51" s="41">
        <v>1608</v>
      </c>
      <c r="AB51" s="33">
        <v>44</v>
      </c>
      <c r="AC51" s="43" t="s">
        <v>46</v>
      </c>
      <c r="AD51" s="44" t="s">
        <v>46</v>
      </c>
      <c r="AF51" s="41">
        <v>1702</v>
      </c>
      <c r="AG51" s="33">
        <v>44</v>
      </c>
      <c r="AH51" s="43" t="s">
        <v>46</v>
      </c>
      <c r="AI51" s="44" t="s">
        <v>46</v>
      </c>
      <c r="AK51" s="41">
        <v>1705</v>
      </c>
      <c r="AL51" s="33">
        <v>44</v>
      </c>
      <c r="AM51" s="43" t="s">
        <v>46</v>
      </c>
      <c r="AN51" s="44" t="s">
        <v>46</v>
      </c>
      <c r="AP51" s="41">
        <v>1708</v>
      </c>
      <c r="AQ51" s="33">
        <v>44</v>
      </c>
      <c r="AR51" s="43" t="s">
        <v>46</v>
      </c>
      <c r="AS51" s="44" t="s">
        <v>46</v>
      </c>
      <c r="AU51" s="67">
        <v>1802</v>
      </c>
      <c r="AV51" s="68">
        <v>44</v>
      </c>
      <c r="AW51" s="69" t="s">
        <v>46</v>
      </c>
      <c r="AX51" s="70" t="s">
        <v>46</v>
      </c>
      <c r="AZ51" s="67">
        <v>1805</v>
      </c>
      <c r="BA51" s="83">
        <v>44</v>
      </c>
      <c r="BB51" s="69" t="s">
        <v>46</v>
      </c>
      <c r="BC51" s="70" t="s">
        <v>46</v>
      </c>
      <c r="BE51" s="67">
        <v>1808</v>
      </c>
      <c r="BF51" s="83">
        <v>44</v>
      </c>
      <c r="BG51" s="69" t="s">
        <v>46</v>
      </c>
      <c r="BH51" s="70" t="s">
        <v>46</v>
      </c>
    </row>
    <row r="52" spans="1:60">
      <c r="A52" s="1"/>
      <c r="B52" s="67">
        <v>1502</v>
      </c>
      <c r="C52" s="68">
        <v>45</v>
      </c>
      <c r="D52" s="69" t="s">
        <v>46</v>
      </c>
      <c r="E52" s="70" t="s">
        <v>46</v>
      </c>
      <c r="G52" s="67">
        <v>1505</v>
      </c>
      <c r="H52" s="68">
        <v>45</v>
      </c>
      <c r="I52" s="69" t="s">
        <v>46</v>
      </c>
      <c r="J52" s="70" t="s">
        <v>46</v>
      </c>
      <c r="L52" s="67">
        <v>1508</v>
      </c>
      <c r="M52" s="68">
        <v>45</v>
      </c>
      <c r="N52" s="69" t="s">
        <v>46</v>
      </c>
      <c r="O52" s="70" t="s">
        <v>46</v>
      </c>
      <c r="Q52" s="41">
        <v>1602</v>
      </c>
      <c r="R52" s="42">
        <v>45</v>
      </c>
      <c r="S52" s="43" t="s">
        <v>46</v>
      </c>
      <c r="T52" s="44" t="s">
        <v>46</v>
      </c>
      <c r="V52" s="41">
        <v>1605</v>
      </c>
      <c r="W52" s="33">
        <v>45</v>
      </c>
      <c r="X52" s="43" t="s">
        <v>46</v>
      </c>
      <c r="Y52" s="44" t="s">
        <v>46</v>
      </c>
      <c r="AA52" s="41">
        <v>1608</v>
      </c>
      <c r="AB52" s="33">
        <v>45</v>
      </c>
      <c r="AC52" s="43" t="s">
        <v>46</v>
      </c>
      <c r="AD52" s="44" t="s">
        <v>46</v>
      </c>
      <c r="AF52" s="41">
        <v>1702</v>
      </c>
      <c r="AG52" s="33">
        <v>45</v>
      </c>
      <c r="AH52" s="43" t="s">
        <v>46</v>
      </c>
      <c r="AI52" s="44" t="s">
        <v>46</v>
      </c>
      <c r="AK52" s="41">
        <v>1705</v>
      </c>
      <c r="AL52" s="33">
        <v>45</v>
      </c>
      <c r="AM52" s="43" t="s">
        <v>46</v>
      </c>
      <c r="AN52" s="44" t="s">
        <v>46</v>
      </c>
      <c r="AP52" s="41">
        <v>1708</v>
      </c>
      <c r="AQ52" s="33">
        <v>45</v>
      </c>
      <c r="AR52" s="43" t="s">
        <v>46</v>
      </c>
      <c r="AS52" s="44" t="s">
        <v>46</v>
      </c>
      <c r="AU52" s="67">
        <v>1802</v>
      </c>
      <c r="AV52" s="68">
        <v>45</v>
      </c>
      <c r="AW52" s="69" t="s">
        <v>46</v>
      </c>
      <c r="AX52" s="70" t="s">
        <v>46</v>
      </c>
      <c r="AZ52" s="67">
        <v>1805</v>
      </c>
      <c r="BA52" s="83">
        <v>45</v>
      </c>
      <c r="BB52" s="69" t="s">
        <v>46</v>
      </c>
      <c r="BC52" s="70" t="s">
        <v>46</v>
      </c>
      <c r="BE52" s="67">
        <v>1808</v>
      </c>
      <c r="BF52" s="83">
        <v>45</v>
      </c>
      <c r="BG52" s="69" t="s">
        <v>46</v>
      </c>
      <c r="BH52" s="70" t="s">
        <v>46</v>
      </c>
    </row>
    <row r="53" spans="1:60">
      <c r="A53" s="1"/>
      <c r="B53" s="67">
        <v>1502</v>
      </c>
      <c r="C53" s="68">
        <v>46</v>
      </c>
      <c r="D53" s="69" t="s">
        <v>46</v>
      </c>
      <c r="E53" s="70" t="s">
        <v>46</v>
      </c>
      <c r="G53" s="67">
        <v>1505</v>
      </c>
      <c r="H53" s="68">
        <v>46</v>
      </c>
      <c r="I53" s="69" t="s">
        <v>6613</v>
      </c>
      <c r="J53" s="70" t="s">
        <v>978</v>
      </c>
      <c r="L53" s="67">
        <v>1508</v>
      </c>
      <c r="M53" s="68">
        <v>46</v>
      </c>
      <c r="N53" s="69" t="s">
        <v>46</v>
      </c>
      <c r="O53" s="70" t="s">
        <v>46</v>
      </c>
      <c r="Q53" s="41">
        <v>1602</v>
      </c>
      <c r="R53" s="42">
        <v>46</v>
      </c>
      <c r="S53" s="43" t="s">
        <v>46</v>
      </c>
      <c r="T53" s="44" t="s">
        <v>46</v>
      </c>
      <c r="V53" s="41">
        <v>1605</v>
      </c>
      <c r="W53" s="33">
        <v>46</v>
      </c>
      <c r="X53" s="43" t="s">
        <v>46</v>
      </c>
      <c r="Y53" s="44" t="s">
        <v>46</v>
      </c>
      <c r="AA53" s="41">
        <v>1608</v>
      </c>
      <c r="AB53" s="33">
        <v>46</v>
      </c>
      <c r="AC53" s="43" t="s">
        <v>46</v>
      </c>
      <c r="AD53" s="44" t="s">
        <v>46</v>
      </c>
      <c r="AF53" s="41">
        <v>1702</v>
      </c>
      <c r="AG53" s="33">
        <v>46</v>
      </c>
      <c r="AH53" s="43" t="s">
        <v>46</v>
      </c>
      <c r="AI53" s="44" t="s">
        <v>46</v>
      </c>
      <c r="AK53" s="41">
        <v>1705</v>
      </c>
      <c r="AL53" s="33">
        <v>46</v>
      </c>
      <c r="AM53" s="43" t="s">
        <v>6613</v>
      </c>
      <c r="AN53" s="44" t="s">
        <v>978</v>
      </c>
      <c r="AP53" s="41">
        <v>1708</v>
      </c>
      <c r="AQ53" s="33">
        <v>46</v>
      </c>
      <c r="AR53" s="43" t="s">
        <v>46</v>
      </c>
      <c r="AS53" s="44" t="s">
        <v>46</v>
      </c>
      <c r="AU53" s="67">
        <v>1802</v>
      </c>
      <c r="AV53" s="68">
        <v>46</v>
      </c>
      <c r="AW53" s="69" t="s">
        <v>46</v>
      </c>
      <c r="AX53" s="70" t="s">
        <v>46</v>
      </c>
      <c r="AZ53" s="67">
        <v>1805</v>
      </c>
      <c r="BA53" s="83">
        <v>46</v>
      </c>
      <c r="BB53" s="69" t="s">
        <v>46</v>
      </c>
      <c r="BC53" s="70" t="s">
        <v>46</v>
      </c>
      <c r="BE53" s="67">
        <v>1808</v>
      </c>
      <c r="BF53" s="83">
        <v>46</v>
      </c>
      <c r="BG53" s="69" t="s">
        <v>46</v>
      </c>
      <c r="BH53" s="70" t="s">
        <v>46</v>
      </c>
    </row>
    <row r="54" spans="1:60">
      <c r="A54" s="1"/>
      <c r="B54" s="67">
        <v>1502</v>
      </c>
      <c r="C54" s="68">
        <v>47</v>
      </c>
      <c r="D54" s="69" t="s">
        <v>6614</v>
      </c>
      <c r="E54" s="70" t="s">
        <v>1234</v>
      </c>
      <c r="G54" s="67">
        <v>1505</v>
      </c>
      <c r="H54" s="68">
        <v>47</v>
      </c>
      <c r="I54" s="69" t="s">
        <v>46</v>
      </c>
      <c r="J54" s="70" t="s">
        <v>46</v>
      </c>
      <c r="L54" s="67">
        <v>1508</v>
      </c>
      <c r="M54" s="68">
        <v>47</v>
      </c>
      <c r="N54" s="69" t="s">
        <v>46</v>
      </c>
      <c r="O54" s="70" t="s">
        <v>46</v>
      </c>
      <c r="Q54" s="41">
        <v>1602</v>
      </c>
      <c r="R54" s="42">
        <v>47</v>
      </c>
      <c r="S54" s="43" t="s">
        <v>46</v>
      </c>
      <c r="T54" s="44" t="s">
        <v>46</v>
      </c>
      <c r="V54" s="41">
        <v>1605</v>
      </c>
      <c r="W54" s="33">
        <v>47</v>
      </c>
      <c r="X54" s="43" t="s">
        <v>46</v>
      </c>
      <c r="Y54" s="44" t="s">
        <v>46</v>
      </c>
      <c r="AA54" s="41">
        <v>1608</v>
      </c>
      <c r="AB54" s="33">
        <v>47</v>
      </c>
      <c r="AC54" s="43" t="s">
        <v>46</v>
      </c>
      <c r="AD54" s="44" t="s">
        <v>46</v>
      </c>
      <c r="AF54" s="41">
        <v>1702</v>
      </c>
      <c r="AG54" s="33">
        <v>47</v>
      </c>
      <c r="AH54" s="43" t="s">
        <v>6614</v>
      </c>
      <c r="AI54" s="44" t="s">
        <v>1234</v>
      </c>
      <c r="AK54" s="41">
        <v>1705</v>
      </c>
      <c r="AL54" s="33">
        <v>47</v>
      </c>
      <c r="AM54" s="43" t="s">
        <v>46</v>
      </c>
      <c r="AN54" s="44" t="s">
        <v>46</v>
      </c>
      <c r="AP54" s="41">
        <v>1708</v>
      </c>
      <c r="AQ54" s="33">
        <v>47</v>
      </c>
      <c r="AR54" s="43" t="s">
        <v>46</v>
      </c>
      <c r="AS54" s="44" t="s">
        <v>46</v>
      </c>
      <c r="AU54" s="67">
        <v>1802</v>
      </c>
      <c r="AV54" s="68">
        <v>47</v>
      </c>
      <c r="AW54" s="69" t="s">
        <v>46</v>
      </c>
      <c r="AX54" s="70" t="s">
        <v>46</v>
      </c>
      <c r="AZ54" s="67">
        <v>1805</v>
      </c>
      <c r="BA54" s="83">
        <v>47</v>
      </c>
      <c r="BB54" s="69" t="s">
        <v>46</v>
      </c>
      <c r="BC54" s="70" t="s">
        <v>46</v>
      </c>
      <c r="BE54" s="67">
        <v>1808</v>
      </c>
      <c r="BF54" s="83">
        <v>47</v>
      </c>
      <c r="BG54" s="69" t="s">
        <v>46</v>
      </c>
      <c r="BH54" s="70" t="s">
        <v>46</v>
      </c>
    </row>
    <row r="55" spans="1:60" ht="15" thickBot="1">
      <c r="A55" s="1"/>
      <c r="B55" s="71">
        <v>1502</v>
      </c>
      <c r="C55" s="72">
        <v>48</v>
      </c>
      <c r="D55" s="73" t="s">
        <v>46</v>
      </c>
      <c r="E55" s="74" t="s">
        <v>46</v>
      </c>
      <c r="G55" s="71">
        <v>1505</v>
      </c>
      <c r="H55" s="72">
        <v>48</v>
      </c>
      <c r="I55" s="73" t="s">
        <v>6615</v>
      </c>
      <c r="J55" s="74" t="s">
        <v>938</v>
      </c>
      <c r="L55" s="71">
        <v>1508</v>
      </c>
      <c r="M55" s="72">
        <v>48</v>
      </c>
      <c r="N55" s="73" t="s">
        <v>46</v>
      </c>
      <c r="O55" s="74" t="s">
        <v>46</v>
      </c>
      <c r="Q55" s="45">
        <v>1602</v>
      </c>
      <c r="R55" s="46">
        <v>48</v>
      </c>
      <c r="S55" s="47" t="s">
        <v>46</v>
      </c>
      <c r="T55" s="48" t="s">
        <v>46</v>
      </c>
      <c r="V55" s="45">
        <v>1605</v>
      </c>
      <c r="W55" s="57">
        <v>48</v>
      </c>
      <c r="X55" s="47" t="s">
        <v>46</v>
      </c>
      <c r="Y55" s="48" t="s">
        <v>46</v>
      </c>
      <c r="AA55" s="45">
        <v>1608</v>
      </c>
      <c r="AB55" s="57">
        <v>48</v>
      </c>
      <c r="AC55" s="47" t="s">
        <v>46</v>
      </c>
      <c r="AD55" s="48" t="s">
        <v>46</v>
      </c>
      <c r="AF55" s="45">
        <v>1702</v>
      </c>
      <c r="AG55" s="57">
        <v>48</v>
      </c>
      <c r="AH55" s="47" t="s">
        <v>46</v>
      </c>
      <c r="AI55" s="48" t="s">
        <v>46</v>
      </c>
      <c r="AK55" s="45">
        <v>1705</v>
      </c>
      <c r="AL55" s="57">
        <v>48</v>
      </c>
      <c r="AM55" s="47" t="s">
        <v>6615</v>
      </c>
      <c r="AN55" s="48" t="s">
        <v>938</v>
      </c>
      <c r="AP55" s="45">
        <v>1708</v>
      </c>
      <c r="AQ55" s="57">
        <v>48</v>
      </c>
      <c r="AR55" s="47" t="s">
        <v>46</v>
      </c>
      <c r="AS55" s="48" t="s">
        <v>46</v>
      </c>
      <c r="AU55" s="71">
        <v>1802</v>
      </c>
      <c r="AV55" s="72">
        <v>48</v>
      </c>
      <c r="AW55" s="73" t="s">
        <v>46</v>
      </c>
      <c r="AX55" s="74" t="s">
        <v>46</v>
      </c>
      <c r="AZ55" s="71">
        <v>1805</v>
      </c>
      <c r="BA55" s="84">
        <v>48</v>
      </c>
      <c r="BB55" s="73" t="s">
        <v>46</v>
      </c>
      <c r="BC55" s="74" t="s">
        <v>46</v>
      </c>
      <c r="BE55" s="71">
        <v>1808</v>
      </c>
      <c r="BF55" s="84">
        <v>48</v>
      </c>
      <c r="BG55" s="73" t="s">
        <v>46</v>
      </c>
      <c r="BH55" s="74" t="s">
        <v>46</v>
      </c>
    </row>
    <row r="56" spans="1:60">
      <c r="A56" s="1"/>
      <c r="B56" s="75">
        <v>1502</v>
      </c>
      <c r="C56" s="76">
        <v>49</v>
      </c>
      <c r="D56" s="77" t="s">
        <v>6616</v>
      </c>
      <c r="E56" s="66" t="s">
        <v>1489</v>
      </c>
      <c r="G56" s="75">
        <v>1505</v>
      </c>
      <c r="H56" s="76">
        <v>49</v>
      </c>
      <c r="I56" s="77" t="s">
        <v>46</v>
      </c>
      <c r="J56" s="66" t="s">
        <v>46</v>
      </c>
      <c r="L56" s="75">
        <v>1508</v>
      </c>
      <c r="M56" s="76">
        <v>49</v>
      </c>
      <c r="N56" s="77" t="s">
        <v>46</v>
      </c>
      <c r="O56" s="66" t="s">
        <v>46</v>
      </c>
      <c r="Q56" s="49">
        <v>1602</v>
      </c>
      <c r="R56" s="50">
        <v>49</v>
      </c>
      <c r="S56" s="51" t="s">
        <v>46</v>
      </c>
      <c r="T56" s="40" t="s">
        <v>46</v>
      </c>
      <c r="V56" s="49">
        <v>1605</v>
      </c>
      <c r="W56" s="58">
        <v>49</v>
      </c>
      <c r="X56" s="51" t="s">
        <v>46</v>
      </c>
      <c r="Y56" s="40" t="s">
        <v>46</v>
      </c>
      <c r="AA56" s="49">
        <v>1608</v>
      </c>
      <c r="AB56" s="58">
        <v>49</v>
      </c>
      <c r="AC56" s="51" t="s">
        <v>46</v>
      </c>
      <c r="AD56" s="40" t="s">
        <v>46</v>
      </c>
      <c r="AF56" s="49">
        <v>1702</v>
      </c>
      <c r="AG56" s="58">
        <v>49</v>
      </c>
      <c r="AH56" s="51" t="s">
        <v>6616</v>
      </c>
      <c r="AI56" s="40" t="s">
        <v>1489</v>
      </c>
      <c r="AK56" s="49">
        <v>1705</v>
      </c>
      <c r="AL56" s="58">
        <v>49</v>
      </c>
      <c r="AM56" s="51" t="s">
        <v>46</v>
      </c>
      <c r="AN56" s="40" t="s">
        <v>46</v>
      </c>
      <c r="AP56" s="49">
        <v>1708</v>
      </c>
      <c r="AQ56" s="58">
        <v>49</v>
      </c>
      <c r="AR56" s="51" t="s">
        <v>46</v>
      </c>
      <c r="AS56" s="40" t="s">
        <v>46</v>
      </c>
      <c r="AU56" s="75">
        <v>1802</v>
      </c>
      <c r="AV56" s="76">
        <v>49</v>
      </c>
      <c r="AW56" s="77" t="s">
        <v>46</v>
      </c>
      <c r="AX56" s="66" t="s">
        <v>46</v>
      </c>
      <c r="AZ56" s="75">
        <v>1805</v>
      </c>
      <c r="BA56" s="85">
        <v>49</v>
      </c>
      <c r="BB56" s="77" t="s">
        <v>46</v>
      </c>
      <c r="BC56" s="66" t="s">
        <v>46</v>
      </c>
      <c r="BE56" s="75">
        <v>1808</v>
      </c>
      <c r="BF56" s="85">
        <v>49</v>
      </c>
      <c r="BG56" s="77" t="s">
        <v>46</v>
      </c>
      <c r="BH56" s="66" t="s">
        <v>46</v>
      </c>
    </row>
    <row r="57" spans="1:60">
      <c r="A57" s="1"/>
      <c r="B57" s="67">
        <v>1502</v>
      </c>
      <c r="C57" s="68">
        <v>50</v>
      </c>
      <c r="D57" s="69" t="s">
        <v>46</v>
      </c>
      <c r="E57" s="70" t="s">
        <v>46</v>
      </c>
      <c r="G57" s="67">
        <v>1505</v>
      </c>
      <c r="H57" s="68">
        <v>50</v>
      </c>
      <c r="I57" s="69" t="s">
        <v>46</v>
      </c>
      <c r="J57" s="70" t="s">
        <v>46</v>
      </c>
      <c r="L57" s="67">
        <v>1508</v>
      </c>
      <c r="M57" s="68">
        <v>50</v>
      </c>
      <c r="N57" s="69" t="s">
        <v>46</v>
      </c>
      <c r="O57" s="70" t="s">
        <v>46</v>
      </c>
      <c r="Q57" s="41">
        <v>1602</v>
      </c>
      <c r="R57" s="42">
        <v>50</v>
      </c>
      <c r="S57" s="43" t="s">
        <v>46</v>
      </c>
      <c r="T57" s="44" t="s">
        <v>46</v>
      </c>
      <c r="V57" s="41">
        <v>1605</v>
      </c>
      <c r="W57" s="33">
        <v>50</v>
      </c>
      <c r="X57" s="43" t="s">
        <v>46</v>
      </c>
      <c r="Y57" s="44" t="s">
        <v>46</v>
      </c>
      <c r="AA57" s="41">
        <v>1608</v>
      </c>
      <c r="AB57" s="33">
        <v>50</v>
      </c>
      <c r="AC57" s="43" t="s">
        <v>46</v>
      </c>
      <c r="AD57" s="44" t="s">
        <v>46</v>
      </c>
      <c r="AF57" s="41">
        <v>1702</v>
      </c>
      <c r="AG57" s="33">
        <v>50</v>
      </c>
      <c r="AH57" s="43" t="s">
        <v>46</v>
      </c>
      <c r="AI57" s="44" t="s">
        <v>46</v>
      </c>
      <c r="AK57" s="41">
        <v>1705</v>
      </c>
      <c r="AL57" s="33">
        <v>50</v>
      </c>
      <c r="AM57" s="43" t="s">
        <v>46</v>
      </c>
      <c r="AN57" s="44" t="s">
        <v>46</v>
      </c>
      <c r="AP57" s="41">
        <v>1708</v>
      </c>
      <c r="AQ57" s="33">
        <v>50</v>
      </c>
      <c r="AR57" s="43" t="s">
        <v>46</v>
      </c>
      <c r="AS57" s="44" t="s">
        <v>46</v>
      </c>
      <c r="AU57" s="67">
        <v>1802</v>
      </c>
      <c r="AV57" s="68">
        <v>50</v>
      </c>
      <c r="AW57" s="69" t="s">
        <v>46</v>
      </c>
      <c r="AX57" s="70" t="s">
        <v>46</v>
      </c>
      <c r="AZ57" s="67">
        <v>1805</v>
      </c>
      <c r="BA57" s="83">
        <v>50</v>
      </c>
      <c r="BB57" s="69" t="s">
        <v>46</v>
      </c>
      <c r="BC57" s="70" t="s">
        <v>46</v>
      </c>
      <c r="BE57" s="67">
        <v>1808</v>
      </c>
      <c r="BF57" s="83">
        <v>50</v>
      </c>
      <c r="BG57" s="69" t="s">
        <v>46</v>
      </c>
      <c r="BH57" s="70" t="s">
        <v>46</v>
      </c>
    </row>
    <row r="58" spans="1:60">
      <c r="A58" s="1"/>
      <c r="B58" s="67">
        <v>1502</v>
      </c>
      <c r="C58" s="68">
        <v>51</v>
      </c>
      <c r="D58" s="69" t="s">
        <v>46</v>
      </c>
      <c r="E58" s="70" t="s">
        <v>46</v>
      </c>
      <c r="G58" s="67">
        <v>1505</v>
      </c>
      <c r="H58" s="68">
        <v>51</v>
      </c>
      <c r="I58" s="69" t="s">
        <v>46</v>
      </c>
      <c r="J58" s="70" t="s">
        <v>46</v>
      </c>
      <c r="L58" s="67">
        <v>1508</v>
      </c>
      <c r="M58" s="68">
        <v>51</v>
      </c>
      <c r="N58" s="69" t="s">
        <v>46</v>
      </c>
      <c r="O58" s="70" t="s">
        <v>46</v>
      </c>
      <c r="Q58" s="41">
        <v>1602</v>
      </c>
      <c r="R58" s="42">
        <v>51</v>
      </c>
      <c r="S58" s="43" t="s">
        <v>46</v>
      </c>
      <c r="T58" s="44" t="s">
        <v>46</v>
      </c>
      <c r="V58" s="41">
        <v>1605</v>
      </c>
      <c r="W58" s="33">
        <v>51</v>
      </c>
      <c r="X58" s="43" t="s">
        <v>46</v>
      </c>
      <c r="Y58" s="44" t="s">
        <v>46</v>
      </c>
      <c r="AA58" s="41">
        <v>1608</v>
      </c>
      <c r="AB58" s="33">
        <v>51</v>
      </c>
      <c r="AC58" s="43" t="s">
        <v>46</v>
      </c>
      <c r="AD58" s="44" t="s">
        <v>46</v>
      </c>
      <c r="AF58" s="41">
        <v>1702</v>
      </c>
      <c r="AG58" s="33">
        <v>51</v>
      </c>
      <c r="AH58" s="43" t="s">
        <v>46</v>
      </c>
      <c r="AI58" s="44" t="s">
        <v>46</v>
      </c>
      <c r="AK58" s="41">
        <v>1705</v>
      </c>
      <c r="AL58" s="33">
        <v>51</v>
      </c>
      <c r="AM58" s="43" t="s">
        <v>46</v>
      </c>
      <c r="AN58" s="44" t="s">
        <v>46</v>
      </c>
      <c r="AP58" s="41">
        <v>1708</v>
      </c>
      <c r="AQ58" s="33">
        <v>51</v>
      </c>
      <c r="AR58" s="43" t="s">
        <v>46</v>
      </c>
      <c r="AS58" s="44" t="s">
        <v>46</v>
      </c>
      <c r="AU58" s="67">
        <v>1802</v>
      </c>
      <c r="AV58" s="68">
        <v>51</v>
      </c>
      <c r="AW58" s="69" t="s">
        <v>46</v>
      </c>
      <c r="AX58" s="70" t="s">
        <v>46</v>
      </c>
      <c r="AZ58" s="67">
        <v>1805</v>
      </c>
      <c r="BA58" s="83">
        <v>51</v>
      </c>
      <c r="BB58" s="69" t="s">
        <v>46</v>
      </c>
      <c r="BC58" s="70" t="s">
        <v>46</v>
      </c>
      <c r="BE58" s="67">
        <v>1808</v>
      </c>
      <c r="BF58" s="83">
        <v>51</v>
      </c>
      <c r="BG58" s="69" t="s">
        <v>46</v>
      </c>
      <c r="BH58" s="70" t="s">
        <v>46</v>
      </c>
    </row>
    <row r="59" spans="1:60">
      <c r="A59" s="1"/>
      <c r="B59" s="67">
        <v>1502</v>
      </c>
      <c r="C59" s="68">
        <v>52</v>
      </c>
      <c r="D59" s="69" t="s">
        <v>46</v>
      </c>
      <c r="E59" s="70" t="s">
        <v>46</v>
      </c>
      <c r="G59" s="67">
        <v>1505</v>
      </c>
      <c r="H59" s="68">
        <v>52</v>
      </c>
      <c r="I59" s="69" t="s">
        <v>46</v>
      </c>
      <c r="J59" s="70" t="s">
        <v>46</v>
      </c>
      <c r="L59" s="67">
        <v>1508</v>
      </c>
      <c r="M59" s="68">
        <v>52</v>
      </c>
      <c r="N59" s="69" t="s">
        <v>46</v>
      </c>
      <c r="O59" s="70" t="s">
        <v>46</v>
      </c>
      <c r="Q59" s="41">
        <v>1602</v>
      </c>
      <c r="R59" s="42">
        <v>52</v>
      </c>
      <c r="S59" s="43" t="s">
        <v>46</v>
      </c>
      <c r="T59" s="44" t="s">
        <v>46</v>
      </c>
      <c r="V59" s="41">
        <v>1605</v>
      </c>
      <c r="W59" s="33">
        <v>52</v>
      </c>
      <c r="X59" s="43" t="s">
        <v>46</v>
      </c>
      <c r="Y59" s="44" t="s">
        <v>46</v>
      </c>
      <c r="AA59" s="41">
        <v>1608</v>
      </c>
      <c r="AB59" s="33">
        <v>52</v>
      </c>
      <c r="AC59" s="43" t="s">
        <v>46</v>
      </c>
      <c r="AD59" s="44" t="s">
        <v>46</v>
      </c>
      <c r="AF59" s="41">
        <v>1702</v>
      </c>
      <c r="AG59" s="33">
        <v>52</v>
      </c>
      <c r="AH59" s="43" t="s">
        <v>46</v>
      </c>
      <c r="AI59" s="44" t="s">
        <v>46</v>
      </c>
      <c r="AK59" s="41">
        <v>1705</v>
      </c>
      <c r="AL59" s="33">
        <v>52</v>
      </c>
      <c r="AM59" s="43" t="s">
        <v>46</v>
      </c>
      <c r="AN59" s="44" t="s">
        <v>46</v>
      </c>
      <c r="AP59" s="41">
        <v>1708</v>
      </c>
      <c r="AQ59" s="33">
        <v>52</v>
      </c>
      <c r="AR59" s="43" t="s">
        <v>46</v>
      </c>
      <c r="AS59" s="44" t="s">
        <v>46</v>
      </c>
      <c r="AU59" s="67">
        <v>1802</v>
      </c>
      <c r="AV59" s="68">
        <v>52</v>
      </c>
      <c r="AW59" s="69" t="s">
        <v>46</v>
      </c>
      <c r="AX59" s="70" t="s">
        <v>46</v>
      </c>
      <c r="AZ59" s="67">
        <v>1805</v>
      </c>
      <c r="BA59" s="83">
        <v>52</v>
      </c>
      <c r="BB59" s="69" t="s">
        <v>46</v>
      </c>
      <c r="BC59" s="70" t="s">
        <v>46</v>
      </c>
      <c r="BE59" s="67">
        <v>1808</v>
      </c>
      <c r="BF59" s="83">
        <v>52</v>
      </c>
      <c r="BG59" s="69" t="s">
        <v>46</v>
      </c>
      <c r="BH59" s="70" t="s">
        <v>46</v>
      </c>
    </row>
    <row r="60" spans="1:60">
      <c r="A60" s="1"/>
      <c r="B60" s="67">
        <v>1502</v>
      </c>
      <c r="C60" s="68">
        <v>53</v>
      </c>
      <c r="D60" s="69" t="s">
        <v>46</v>
      </c>
      <c r="E60" s="70" t="s">
        <v>46</v>
      </c>
      <c r="G60" s="67">
        <v>1505</v>
      </c>
      <c r="H60" s="68">
        <v>53</v>
      </c>
      <c r="I60" s="69" t="s">
        <v>6617</v>
      </c>
      <c r="J60" s="70" t="s">
        <v>1239</v>
      </c>
      <c r="L60" s="67">
        <v>1508</v>
      </c>
      <c r="M60" s="68">
        <v>53</v>
      </c>
      <c r="N60" s="69" t="s">
        <v>46</v>
      </c>
      <c r="O60" s="70" t="s">
        <v>46</v>
      </c>
      <c r="Q60" s="41">
        <v>1602</v>
      </c>
      <c r="R60" s="42">
        <v>53</v>
      </c>
      <c r="S60" s="43" t="s">
        <v>46</v>
      </c>
      <c r="T60" s="44" t="s">
        <v>46</v>
      </c>
      <c r="V60" s="41">
        <v>1605</v>
      </c>
      <c r="W60" s="33">
        <v>53</v>
      </c>
      <c r="X60" s="43" t="s">
        <v>46</v>
      </c>
      <c r="Y60" s="44" t="s">
        <v>46</v>
      </c>
      <c r="AA60" s="41">
        <v>1608</v>
      </c>
      <c r="AB60" s="33">
        <v>53</v>
      </c>
      <c r="AC60" s="43" t="s">
        <v>46</v>
      </c>
      <c r="AD60" s="44" t="s">
        <v>46</v>
      </c>
      <c r="AF60" s="41">
        <v>1702</v>
      </c>
      <c r="AG60" s="33">
        <v>53</v>
      </c>
      <c r="AH60" s="43" t="s">
        <v>46</v>
      </c>
      <c r="AI60" s="44" t="s">
        <v>46</v>
      </c>
      <c r="AK60" s="41">
        <v>1705</v>
      </c>
      <c r="AL60" s="33">
        <v>53</v>
      </c>
      <c r="AM60" s="43" t="s">
        <v>6617</v>
      </c>
      <c r="AN60" s="44" t="s">
        <v>1239</v>
      </c>
      <c r="AP60" s="41">
        <v>1708</v>
      </c>
      <c r="AQ60" s="33">
        <v>53</v>
      </c>
      <c r="AR60" s="43" t="s">
        <v>46</v>
      </c>
      <c r="AS60" s="44" t="s">
        <v>46</v>
      </c>
      <c r="AU60" s="67">
        <v>1802</v>
      </c>
      <c r="AV60" s="68">
        <v>53</v>
      </c>
      <c r="AW60" s="69" t="s">
        <v>46</v>
      </c>
      <c r="AX60" s="70" t="s">
        <v>46</v>
      </c>
      <c r="AZ60" s="67">
        <v>1805</v>
      </c>
      <c r="BA60" s="83">
        <v>53</v>
      </c>
      <c r="BB60" s="69" t="s">
        <v>46</v>
      </c>
      <c r="BC60" s="70" t="s">
        <v>46</v>
      </c>
      <c r="BE60" s="67">
        <v>1808</v>
      </c>
      <c r="BF60" s="83">
        <v>53</v>
      </c>
      <c r="BG60" s="69" t="s">
        <v>46</v>
      </c>
      <c r="BH60" s="70" t="s">
        <v>46</v>
      </c>
    </row>
    <row r="61" spans="1:60">
      <c r="A61" s="1"/>
      <c r="B61" s="67">
        <v>1502</v>
      </c>
      <c r="C61" s="68">
        <v>54</v>
      </c>
      <c r="D61" s="69" t="s">
        <v>46</v>
      </c>
      <c r="E61" s="70" t="s">
        <v>46</v>
      </c>
      <c r="G61" s="67">
        <v>1505</v>
      </c>
      <c r="H61" s="68">
        <v>54</v>
      </c>
      <c r="I61" s="69" t="s">
        <v>46</v>
      </c>
      <c r="J61" s="70" t="s">
        <v>46</v>
      </c>
      <c r="L61" s="67">
        <v>1508</v>
      </c>
      <c r="M61" s="68">
        <v>54</v>
      </c>
      <c r="N61" s="69" t="s">
        <v>46</v>
      </c>
      <c r="O61" s="70" t="s">
        <v>46</v>
      </c>
      <c r="Q61" s="41">
        <v>1602</v>
      </c>
      <c r="R61" s="42">
        <v>54</v>
      </c>
      <c r="S61" s="43" t="s">
        <v>46</v>
      </c>
      <c r="T61" s="44" t="s">
        <v>46</v>
      </c>
      <c r="V61" s="41">
        <v>1605</v>
      </c>
      <c r="W61" s="33">
        <v>54</v>
      </c>
      <c r="X61" s="43" t="s">
        <v>46</v>
      </c>
      <c r="Y61" s="44" t="s">
        <v>46</v>
      </c>
      <c r="AA61" s="41">
        <v>1608</v>
      </c>
      <c r="AB61" s="33">
        <v>54</v>
      </c>
      <c r="AC61" s="43" t="s">
        <v>46</v>
      </c>
      <c r="AD61" s="44" t="s">
        <v>46</v>
      </c>
      <c r="AF61" s="41">
        <v>1702</v>
      </c>
      <c r="AG61" s="33">
        <v>54</v>
      </c>
      <c r="AH61" s="43" t="s">
        <v>46</v>
      </c>
      <c r="AI61" s="44" t="s">
        <v>46</v>
      </c>
      <c r="AK61" s="41">
        <v>1705</v>
      </c>
      <c r="AL61" s="33">
        <v>54</v>
      </c>
      <c r="AM61" s="43" t="s">
        <v>46</v>
      </c>
      <c r="AN61" s="44" t="s">
        <v>46</v>
      </c>
      <c r="AP61" s="41">
        <v>1708</v>
      </c>
      <c r="AQ61" s="33">
        <v>54</v>
      </c>
      <c r="AR61" s="43" t="s">
        <v>46</v>
      </c>
      <c r="AS61" s="44" t="s">
        <v>46</v>
      </c>
      <c r="AU61" s="67">
        <v>1802</v>
      </c>
      <c r="AV61" s="68">
        <v>54</v>
      </c>
      <c r="AW61" s="69" t="s">
        <v>46</v>
      </c>
      <c r="AX61" s="70" t="s">
        <v>46</v>
      </c>
      <c r="AZ61" s="67">
        <v>1805</v>
      </c>
      <c r="BA61" s="83">
        <v>54</v>
      </c>
      <c r="BB61" s="69" t="s">
        <v>46</v>
      </c>
      <c r="BC61" s="70" t="s">
        <v>46</v>
      </c>
      <c r="BE61" s="67">
        <v>1808</v>
      </c>
      <c r="BF61" s="83">
        <v>54</v>
      </c>
      <c r="BG61" s="69" t="s">
        <v>46</v>
      </c>
      <c r="BH61" s="70" t="s">
        <v>46</v>
      </c>
    </row>
    <row r="62" spans="1:60">
      <c r="A62" s="1"/>
      <c r="B62" s="67">
        <v>1502</v>
      </c>
      <c r="C62" s="68">
        <v>55</v>
      </c>
      <c r="D62" s="69" t="s">
        <v>46</v>
      </c>
      <c r="E62" s="70" t="s">
        <v>46</v>
      </c>
      <c r="G62" s="67">
        <v>1505</v>
      </c>
      <c r="H62" s="68">
        <v>55</v>
      </c>
      <c r="I62" s="69" t="s">
        <v>6618</v>
      </c>
      <c r="J62" s="70" t="s">
        <v>1028</v>
      </c>
      <c r="L62" s="67">
        <v>1508</v>
      </c>
      <c r="M62" s="68">
        <v>55</v>
      </c>
      <c r="N62" s="69" t="s">
        <v>46</v>
      </c>
      <c r="O62" s="70" t="s">
        <v>46</v>
      </c>
      <c r="Q62" s="41">
        <v>1602</v>
      </c>
      <c r="R62" s="42">
        <v>55</v>
      </c>
      <c r="S62" s="43" t="s">
        <v>46</v>
      </c>
      <c r="T62" s="44" t="s">
        <v>46</v>
      </c>
      <c r="V62" s="41">
        <v>1605</v>
      </c>
      <c r="W62" s="33">
        <v>55</v>
      </c>
      <c r="X62" s="43" t="s">
        <v>46</v>
      </c>
      <c r="Y62" s="44" t="s">
        <v>46</v>
      </c>
      <c r="AA62" s="41">
        <v>1608</v>
      </c>
      <c r="AB62" s="33">
        <v>55</v>
      </c>
      <c r="AC62" s="43" t="s">
        <v>46</v>
      </c>
      <c r="AD62" s="44" t="s">
        <v>46</v>
      </c>
      <c r="AF62" s="41">
        <v>1702</v>
      </c>
      <c r="AG62" s="33">
        <v>55</v>
      </c>
      <c r="AH62" s="43" t="s">
        <v>46</v>
      </c>
      <c r="AI62" s="44" t="s">
        <v>46</v>
      </c>
      <c r="AK62" s="41">
        <v>1705</v>
      </c>
      <c r="AL62" s="33">
        <v>55</v>
      </c>
      <c r="AM62" s="43" t="s">
        <v>6618</v>
      </c>
      <c r="AN62" s="44" t="s">
        <v>1028</v>
      </c>
      <c r="AP62" s="41">
        <v>1708</v>
      </c>
      <c r="AQ62" s="33">
        <v>55</v>
      </c>
      <c r="AR62" s="43" t="s">
        <v>46</v>
      </c>
      <c r="AS62" s="44" t="s">
        <v>46</v>
      </c>
      <c r="AU62" s="67">
        <v>1802</v>
      </c>
      <c r="AV62" s="68">
        <v>55</v>
      </c>
      <c r="AW62" s="69" t="s">
        <v>46</v>
      </c>
      <c r="AX62" s="70" t="s">
        <v>46</v>
      </c>
      <c r="AZ62" s="67">
        <v>1805</v>
      </c>
      <c r="BA62" s="83">
        <v>55</v>
      </c>
      <c r="BB62" s="69" t="s">
        <v>46</v>
      </c>
      <c r="BC62" s="70" t="s">
        <v>46</v>
      </c>
      <c r="BE62" s="67">
        <v>1808</v>
      </c>
      <c r="BF62" s="83">
        <v>55</v>
      </c>
      <c r="BG62" s="69" t="s">
        <v>46</v>
      </c>
      <c r="BH62" s="70" t="s">
        <v>46</v>
      </c>
    </row>
    <row r="63" spans="1:60">
      <c r="A63" s="1"/>
      <c r="B63" s="67">
        <v>1502</v>
      </c>
      <c r="C63" s="68">
        <v>56</v>
      </c>
      <c r="D63" s="69" t="s">
        <v>6619</v>
      </c>
      <c r="E63" s="70" t="s">
        <v>1379</v>
      </c>
      <c r="G63" s="67">
        <v>1505</v>
      </c>
      <c r="H63" s="68">
        <v>56</v>
      </c>
      <c r="I63" s="69" t="s">
        <v>46</v>
      </c>
      <c r="J63" s="70" t="s">
        <v>46</v>
      </c>
      <c r="L63" s="67">
        <v>1508</v>
      </c>
      <c r="M63" s="68">
        <v>56</v>
      </c>
      <c r="N63" s="69" t="s">
        <v>46</v>
      </c>
      <c r="O63" s="70" t="s">
        <v>46</v>
      </c>
      <c r="Q63" s="41">
        <v>1602</v>
      </c>
      <c r="R63" s="42">
        <v>56</v>
      </c>
      <c r="S63" s="43" t="s">
        <v>46</v>
      </c>
      <c r="T63" s="44" t="s">
        <v>46</v>
      </c>
      <c r="V63" s="41">
        <v>1605</v>
      </c>
      <c r="W63" s="33">
        <v>56</v>
      </c>
      <c r="X63" s="43" t="s">
        <v>46</v>
      </c>
      <c r="Y63" s="44" t="s">
        <v>46</v>
      </c>
      <c r="AA63" s="41">
        <v>1608</v>
      </c>
      <c r="AB63" s="33">
        <v>56</v>
      </c>
      <c r="AC63" s="43" t="s">
        <v>46</v>
      </c>
      <c r="AD63" s="44" t="s">
        <v>46</v>
      </c>
      <c r="AF63" s="41">
        <v>1702</v>
      </c>
      <c r="AG63" s="33">
        <v>56</v>
      </c>
      <c r="AH63" s="43" t="s">
        <v>6619</v>
      </c>
      <c r="AI63" s="44" t="s">
        <v>1379</v>
      </c>
      <c r="AK63" s="41">
        <v>1705</v>
      </c>
      <c r="AL63" s="33">
        <v>56</v>
      </c>
      <c r="AM63" s="43" t="s">
        <v>46</v>
      </c>
      <c r="AN63" s="44" t="s">
        <v>46</v>
      </c>
      <c r="AP63" s="41">
        <v>1708</v>
      </c>
      <c r="AQ63" s="33">
        <v>56</v>
      </c>
      <c r="AR63" s="43" t="s">
        <v>46</v>
      </c>
      <c r="AS63" s="44" t="s">
        <v>46</v>
      </c>
      <c r="AU63" s="67">
        <v>1802</v>
      </c>
      <c r="AV63" s="68">
        <v>56</v>
      </c>
      <c r="AW63" s="69" t="s">
        <v>46</v>
      </c>
      <c r="AX63" s="70" t="s">
        <v>46</v>
      </c>
      <c r="AZ63" s="67">
        <v>1805</v>
      </c>
      <c r="BA63" s="83">
        <v>56</v>
      </c>
      <c r="BB63" s="69" t="s">
        <v>46</v>
      </c>
      <c r="BC63" s="70" t="s">
        <v>46</v>
      </c>
      <c r="BE63" s="67">
        <v>1808</v>
      </c>
      <c r="BF63" s="83">
        <v>56</v>
      </c>
      <c r="BG63" s="69" t="s">
        <v>46</v>
      </c>
      <c r="BH63" s="70" t="s">
        <v>46</v>
      </c>
    </row>
    <row r="64" spans="1:60">
      <c r="A64" s="1"/>
      <c r="B64" s="67">
        <v>1502</v>
      </c>
      <c r="C64" s="68">
        <v>57</v>
      </c>
      <c r="D64" s="69" t="s">
        <v>46</v>
      </c>
      <c r="E64" s="70" t="s">
        <v>46</v>
      </c>
      <c r="G64" s="67">
        <v>1505</v>
      </c>
      <c r="H64" s="68">
        <v>57</v>
      </c>
      <c r="I64" s="69" t="s">
        <v>6620</v>
      </c>
      <c r="J64" s="70" t="s">
        <v>1038</v>
      </c>
      <c r="L64" s="67">
        <v>1508</v>
      </c>
      <c r="M64" s="68">
        <v>57</v>
      </c>
      <c r="N64" s="69" t="s">
        <v>46</v>
      </c>
      <c r="O64" s="70" t="s">
        <v>46</v>
      </c>
      <c r="Q64" s="41">
        <v>1602</v>
      </c>
      <c r="R64" s="42">
        <v>57</v>
      </c>
      <c r="S64" s="43" t="s">
        <v>46</v>
      </c>
      <c r="T64" s="44" t="s">
        <v>46</v>
      </c>
      <c r="V64" s="41">
        <v>1605</v>
      </c>
      <c r="W64" s="33">
        <v>57</v>
      </c>
      <c r="X64" s="43" t="s">
        <v>46</v>
      </c>
      <c r="Y64" s="44" t="s">
        <v>46</v>
      </c>
      <c r="AA64" s="41">
        <v>1608</v>
      </c>
      <c r="AB64" s="33">
        <v>57</v>
      </c>
      <c r="AC64" s="43" t="s">
        <v>46</v>
      </c>
      <c r="AD64" s="44" t="s">
        <v>46</v>
      </c>
      <c r="AF64" s="41">
        <v>1702</v>
      </c>
      <c r="AG64" s="33">
        <v>57</v>
      </c>
      <c r="AH64" s="43" t="s">
        <v>46</v>
      </c>
      <c r="AI64" s="44" t="s">
        <v>46</v>
      </c>
      <c r="AK64" s="41">
        <v>1705</v>
      </c>
      <c r="AL64" s="33">
        <v>57</v>
      </c>
      <c r="AM64" s="43" t="s">
        <v>6620</v>
      </c>
      <c r="AN64" s="44" t="s">
        <v>1038</v>
      </c>
      <c r="AP64" s="41">
        <v>1708</v>
      </c>
      <c r="AQ64" s="33">
        <v>57</v>
      </c>
      <c r="AR64" s="43" t="s">
        <v>46</v>
      </c>
      <c r="AS64" s="44" t="s">
        <v>46</v>
      </c>
      <c r="AU64" s="67">
        <v>1802</v>
      </c>
      <c r="AV64" s="68">
        <v>57</v>
      </c>
      <c r="AW64" s="69" t="s">
        <v>46</v>
      </c>
      <c r="AX64" s="70" t="s">
        <v>46</v>
      </c>
      <c r="AZ64" s="67">
        <v>1805</v>
      </c>
      <c r="BA64" s="83">
        <v>57</v>
      </c>
      <c r="BB64" s="69" t="s">
        <v>46</v>
      </c>
      <c r="BC64" s="70" t="s">
        <v>46</v>
      </c>
      <c r="BE64" s="67">
        <v>1808</v>
      </c>
      <c r="BF64" s="83">
        <v>57</v>
      </c>
      <c r="BG64" s="69" t="s">
        <v>46</v>
      </c>
      <c r="BH64" s="70" t="s">
        <v>46</v>
      </c>
    </row>
    <row r="65" spans="1:60">
      <c r="A65" s="1"/>
      <c r="B65" s="67">
        <v>1502</v>
      </c>
      <c r="C65" s="68">
        <v>58</v>
      </c>
      <c r="D65" s="69" t="s">
        <v>6621</v>
      </c>
      <c r="E65" s="70" t="s">
        <v>1474</v>
      </c>
      <c r="G65" s="67">
        <v>1505</v>
      </c>
      <c r="H65" s="68">
        <v>58</v>
      </c>
      <c r="I65" s="69" t="s">
        <v>46</v>
      </c>
      <c r="J65" s="70" t="s">
        <v>46</v>
      </c>
      <c r="L65" s="67">
        <v>1508</v>
      </c>
      <c r="M65" s="68">
        <v>58</v>
      </c>
      <c r="N65" s="69" t="s">
        <v>46</v>
      </c>
      <c r="O65" s="70" t="s">
        <v>46</v>
      </c>
      <c r="Q65" s="41">
        <v>1602</v>
      </c>
      <c r="R65" s="42">
        <v>58</v>
      </c>
      <c r="S65" s="43" t="s">
        <v>46</v>
      </c>
      <c r="T65" s="44" t="s">
        <v>46</v>
      </c>
      <c r="V65" s="41">
        <v>1605</v>
      </c>
      <c r="W65" s="33">
        <v>58</v>
      </c>
      <c r="X65" s="43" t="s">
        <v>46</v>
      </c>
      <c r="Y65" s="44" t="s">
        <v>46</v>
      </c>
      <c r="AA65" s="41">
        <v>1608</v>
      </c>
      <c r="AB65" s="33">
        <v>58</v>
      </c>
      <c r="AC65" s="43" t="s">
        <v>46</v>
      </c>
      <c r="AD65" s="44" t="s">
        <v>46</v>
      </c>
      <c r="AF65" s="41">
        <v>1702</v>
      </c>
      <c r="AG65" s="33">
        <v>58</v>
      </c>
      <c r="AH65" s="43" t="s">
        <v>6621</v>
      </c>
      <c r="AI65" s="44" t="s">
        <v>1474</v>
      </c>
      <c r="AK65" s="41">
        <v>1705</v>
      </c>
      <c r="AL65" s="33">
        <v>58</v>
      </c>
      <c r="AM65" s="43" t="s">
        <v>46</v>
      </c>
      <c r="AN65" s="44" t="s">
        <v>46</v>
      </c>
      <c r="AP65" s="41">
        <v>1708</v>
      </c>
      <c r="AQ65" s="33">
        <v>58</v>
      </c>
      <c r="AR65" s="43" t="s">
        <v>46</v>
      </c>
      <c r="AS65" s="44" t="s">
        <v>46</v>
      </c>
      <c r="AU65" s="67">
        <v>1802</v>
      </c>
      <c r="AV65" s="68">
        <v>58</v>
      </c>
      <c r="AW65" s="69" t="s">
        <v>46</v>
      </c>
      <c r="AX65" s="70" t="s">
        <v>46</v>
      </c>
      <c r="AZ65" s="67">
        <v>1805</v>
      </c>
      <c r="BA65" s="83">
        <v>58</v>
      </c>
      <c r="BB65" s="69" t="s">
        <v>46</v>
      </c>
      <c r="BC65" s="70" t="s">
        <v>46</v>
      </c>
      <c r="BE65" s="67">
        <v>1808</v>
      </c>
      <c r="BF65" s="83">
        <v>58</v>
      </c>
      <c r="BG65" s="69" t="s">
        <v>46</v>
      </c>
      <c r="BH65" s="70" t="s">
        <v>46</v>
      </c>
    </row>
    <row r="66" spans="1:60">
      <c r="A66" s="1"/>
      <c r="B66" s="67">
        <v>1502</v>
      </c>
      <c r="C66" s="68">
        <v>59</v>
      </c>
      <c r="D66" s="69" t="s">
        <v>46</v>
      </c>
      <c r="E66" s="70" t="s">
        <v>46</v>
      </c>
      <c r="G66" s="67">
        <v>1505</v>
      </c>
      <c r="H66" s="68">
        <v>59</v>
      </c>
      <c r="I66" s="69" t="s">
        <v>46</v>
      </c>
      <c r="J66" s="70" t="s">
        <v>46</v>
      </c>
      <c r="L66" s="67">
        <v>1508</v>
      </c>
      <c r="M66" s="68">
        <v>59</v>
      </c>
      <c r="N66" s="69" t="s">
        <v>46</v>
      </c>
      <c r="O66" s="70" t="s">
        <v>46</v>
      </c>
      <c r="Q66" s="41">
        <v>1602</v>
      </c>
      <c r="R66" s="42">
        <v>59</v>
      </c>
      <c r="S66" s="43" t="s">
        <v>46</v>
      </c>
      <c r="T66" s="44" t="s">
        <v>46</v>
      </c>
      <c r="V66" s="41">
        <v>1605</v>
      </c>
      <c r="W66" s="33">
        <v>59</v>
      </c>
      <c r="X66" s="43" t="s">
        <v>46</v>
      </c>
      <c r="Y66" s="44" t="s">
        <v>46</v>
      </c>
      <c r="AA66" s="41">
        <v>1608</v>
      </c>
      <c r="AB66" s="33">
        <v>59</v>
      </c>
      <c r="AC66" s="43" t="s">
        <v>46</v>
      </c>
      <c r="AD66" s="44" t="s">
        <v>46</v>
      </c>
      <c r="AF66" s="41">
        <v>1702</v>
      </c>
      <c r="AG66" s="33">
        <v>59</v>
      </c>
      <c r="AH66" s="43" t="s">
        <v>46</v>
      </c>
      <c r="AI66" s="44" t="s">
        <v>46</v>
      </c>
      <c r="AK66" s="41">
        <v>1705</v>
      </c>
      <c r="AL66" s="33">
        <v>59</v>
      </c>
      <c r="AM66" s="43" t="s">
        <v>46</v>
      </c>
      <c r="AN66" s="44" t="s">
        <v>46</v>
      </c>
      <c r="AP66" s="41">
        <v>1708</v>
      </c>
      <c r="AQ66" s="33">
        <v>59</v>
      </c>
      <c r="AR66" s="43" t="s">
        <v>46</v>
      </c>
      <c r="AS66" s="44" t="s">
        <v>46</v>
      </c>
      <c r="AU66" s="67">
        <v>1802</v>
      </c>
      <c r="AV66" s="68">
        <v>59</v>
      </c>
      <c r="AW66" s="69" t="s">
        <v>46</v>
      </c>
      <c r="AX66" s="70" t="s">
        <v>46</v>
      </c>
      <c r="AZ66" s="67">
        <v>1805</v>
      </c>
      <c r="BA66" s="83">
        <v>59</v>
      </c>
      <c r="BB66" s="69" t="s">
        <v>46</v>
      </c>
      <c r="BC66" s="70" t="s">
        <v>46</v>
      </c>
      <c r="BE66" s="67">
        <v>1808</v>
      </c>
      <c r="BF66" s="83">
        <v>59</v>
      </c>
      <c r="BG66" s="69" t="s">
        <v>46</v>
      </c>
      <c r="BH66" s="70" t="s">
        <v>46</v>
      </c>
    </row>
    <row r="67" spans="1:60">
      <c r="A67" s="1"/>
      <c r="B67" s="67">
        <v>1502</v>
      </c>
      <c r="C67" s="68">
        <v>60</v>
      </c>
      <c r="D67" s="69" t="s">
        <v>46</v>
      </c>
      <c r="E67" s="70" t="s">
        <v>46</v>
      </c>
      <c r="G67" s="67">
        <v>1505</v>
      </c>
      <c r="H67" s="68">
        <v>60</v>
      </c>
      <c r="I67" s="69" t="s">
        <v>46</v>
      </c>
      <c r="J67" s="70" t="s">
        <v>46</v>
      </c>
      <c r="L67" s="67">
        <v>1508</v>
      </c>
      <c r="M67" s="68">
        <v>60</v>
      </c>
      <c r="N67" s="69" t="s">
        <v>46</v>
      </c>
      <c r="O67" s="70" t="s">
        <v>46</v>
      </c>
      <c r="Q67" s="41">
        <v>1602</v>
      </c>
      <c r="R67" s="42">
        <v>60</v>
      </c>
      <c r="S67" s="43" t="s">
        <v>46</v>
      </c>
      <c r="T67" s="44" t="s">
        <v>46</v>
      </c>
      <c r="V67" s="41">
        <v>1605</v>
      </c>
      <c r="W67" s="33">
        <v>60</v>
      </c>
      <c r="X67" s="43" t="s">
        <v>46</v>
      </c>
      <c r="Y67" s="44" t="s">
        <v>46</v>
      </c>
      <c r="AA67" s="41">
        <v>1608</v>
      </c>
      <c r="AB67" s="33">
        <v>60</v>
      </c>
      <c r="AC67" s="43" t="s">
        <v>46</v>
      </c>
      <c r="AD67" s="44" t="s">
        <v>46</v>
      </c>
      <c r="AF67" s="41">
        <v>1702</v>
      </c>
      <c r="AG67" s="33">
        <v>60</v>
      </c>
      <c r="AH67" s="43" t="s">
        <v>46</v>
      </c>
      <c r="AI67" s="44" t="s">
        <v>46</v>
      </c>
      <c r="AK67" s="41">
        <v>1705</v>
      </c>
      <c r="AL67" s="33">
        <v>60</v>
      </c>
      <c r="AM67" s="43" t="s">
        <v>46</v>
      </c>
      <c r="AN67" s="44" t="s">
        <v>46</v>
      </c>
      <c r="AP67" s="41">
        <v>1708</v>
      </c>
      <c r="AQ67" s="33">
        <v>60</v>
      </c>
      <c r="AR67" s="43" t="s">
        <v>46</v>
      </c>
      <c r="AS67" s="44" t="s">
        <v>46</v>
      </c>
      <c r="AU67" s="67">
        <v>1802</v>
      </c>
      <c r="AV67" s="68">
        <v>60</v>
      </c>
      <c r="AW67" s="69" t="s">
        <v>46</v>
      </c>
      <c r="AX67" s="70" t="s">
        <v>46</v>
      </c>
      <c r="AZ67" s="67">
        <v>1805</v>
      </c>
      <c r="BA67" s="83">
        <v>60</v>
      </c>
      <c r="BB67" s="69" t="s">
        <v>46</v>
      </c>
      <c r="BC67" s="70" t="s">
        <v>46</v>
      </c>
      <c r="BE67" s="67">
        <v>1808</v>
      </c>
      <c r="BF67" s="83">
        <v>60</v>
      </c>
      <c r="BG67" s="69" t="s">
        <v>46</v>
      </c>
      <c r="BH67" s="70" t="s">
        <v>46</v>
      </c>
    </row>
    <row r="68" spans="1:60">
      <c r="A68" s="1"/>
      <c r="B68" s="67">
        <v>1502</v>
      </c>
      <c r="C68" s="68">
        <v>61</v>
      </c>
      <c r="D68" s="69" t="s">
        <v>46</v>
      </c>
      <c r="E68" s="70" t="s">
        <v>46</v>
      </c>
      <c r="G68" s="67">
        <v>1505</v>
      </c>
      <c r="H68" s="68">
        <v>61</v>
      </c>
      <c r="I68" s="69" t="s">
        <v>46</v>
      </c>
      <c r="J68" s="70" t="s">
        <v>46</v>
      </c>
      <c r="L68" s="67">
        <v>1508</v>
      </c>
      <c r="M68" s="68">
        <v>61</v>
      </c>
      <c r="N68" s="69" t="s">
        <v>46</v>
      </c>
      <c r="O68" s="70" t="s">
        <v>46</v>
      </c>
      <c r="Q68" s="41">
        <v>1602</v>
      </c>
      <c r="R68" s="42">
        <v>61</v>
      </c>
      <c r="S68" s="43" t="s">
        <v>46</v>
      </c>
      <c r="T68" s="44" t="s">
        <v>46</v>
      </c>
      <c r="V68" s="41">
        <v>1605</v>
      </c>
      <c r="W68" s="33">
        <v>61</v>
      </c>
      <c r="X68" s="43" t="s">
        <v>46</v>
      </c>
      <c r="Y68" s="44" t="s">
        <v>46</v>
      </c>
      <c r="AA68" s="41">
        <v>1608</v>
      </c>
      <c r="AB68" s="33">
        <v>61</v>
      </c>
      <c r="AC68" s="43" t="s">
        <v>46</v>
      </c>
      <c r="AD68" s="44" t="s">
        <v>46</v>
      </c>
      <c r="AF68" s="41">
        <v>1702</v>
      </c>
      <c r="AG68" s="33">
        <v>61</v>
      </c>
      <c r="AH68" s="43" t="s">
        <v>46</v>
      </c>
      <c r="AI68" s="44" t="s">
        <v>46</v>
      </c>
      <c r="AK68" s="41">
        <v>1705</v>
      </c>
      <c r="AL68" s="33">
        <v>61</v>
      </c>
      <c r="AM68" s="43" t="s">
        <v>46</v>
      </c>
      <c r="AN68" s="44" t="s">
        <v>46</v>
      </c>
      <c r="AP68" s="41">
        <v>1708</v>
      </c>
      <c r="AQ68" s="33">
        <v>61</v>
      </c>
      <c r="AR68" s="43" t="s">
        <v>46</v>
      </c>
      <c r="AS68" s="44" t="s">
        <v>46</v>
      </c>
      <c r="AU68" s="67">
        <v>1802</v>
      </c>
      <c r="AV68" s="68">
        <v>61</v>
      </c>
      <c r="AW68" s="69" t="s">
        <v>46</v>
      </c>
      <c r="AX68" s="70" t="s">
        <v>46</v>
      </c>
      <c r="AZ68" s="67">
        <v>1805</v>
      </c>
      <c r="BA68" s="83">
        <v>61</v>
      </c>
      <c r="BB68" s="69" t="s">
        <v>46</v>
      </c>
      <c r="BC68" s="70" t="s">
        <v>46</v>
      </c>
      <c r="BE68" s="67">
        <v>1808</v>
      </c>
      <c r="BF68" s="83">
        <v>61</v>
      </c>
      <c r="BG68" s="69" t="s">
        <v>46</v>
      </c>
      <c r="BH68" s="70" t="s">
        <v>46</v>
      </c>
    </row>
    <row r="69" spans="1:60">
      <c r="A69" s="1"/>
      <c r="B69" s="67">
        <v>1502</v>
      </c>
      <c r="C69" s="68">
        <v>62</v>
      </c>
      <c r="D69" s="69" t="s">
        <v>46</v>
      </c>
      <c r="E69" s="70" t="s">
        <v>46</v>
      </c>
      <c r="G69" s="67">
        <v>1505</v>
      </c>
      <c r="H69" s="68">
        <v>62</v>
      </c>
      <c r="I69" s="69" t="s">
        <v>46</v>
      </c>
      <c r="J69" s="70" t="s">
        <v>46</v>
      </c>
      <c r="L69" s="67">
        <v>1508</v>
      </c>
      <c r="M69" s="68">
        <v>62</v>
      </c>
      <c r="N69" s="69" t="s">
        <v>46</v>
      </c>
      <c r="O69" s="70" t="s">
        <v>46</v>
      </c>
      <c r="Q69" s="41">
        <v>1602</v>
      </c>
      <c r="R69" s="42">
        <v>62</v>
      </c>
      <c r="S69" s="43" t="s">
        <v>6622</v>
      </c>
      <c r="T69" s="44" t="s">
        <v>1229</v>
      </c>
      <c r="V69" s="41">
        <v>1605</v>
      </c>
      <c r="W69" s="33">
        <v>62</v>
      </c>
      <c r="X69" s="43" t="s">
        <v>46</v>
      </c>
      <c r="Y69" s="44" t="s">
        <v>46</v>
      </c>
      <c r="AA69" s="41">
        <v>1608</v>
      </c>
      <c r="AB69" s="33">
        <v>62</v>
      </c>
      <c r="AC69" s="43" t="s">
        <v>46</v>
      </c>
      <c r="AD69" s="44" t="s">
        <v>46</v>
      </c>
      <c r="AF69" s="41">
        <v>1702</v>
      </c>
      <c r="AG69" s="33">
        <v>62</v>
      </c>
      <c r="AH69" s="43" t="s">
        <v>46</v>
      </c>
      <c r="AI69" s="44" t="s">
        <v>46</v>
      </c>
      <c r="AK69" s="41">
        <v>1705</v>
      </c>
      <c r="AL69" s="33">
        <v>62</v>
      </c>
      <c r="AM69" s="43" t="s">
        <v>46</v>
      </c>
      <c r="AN69" s="44" t="s">
        <v>46</v>
      </c>
      <c r="AP69" s="41">
        <v>1708</v>
      </c>
      <c r="AQ69" s="33">
        <v>62</v>
      </c>
      <c r="AR69" s="43" t="s">
        <v>46</v>
      </c>
      <c r="AS69" s="44" t="s">
        <v>46</v>
      </c>
      <c r="AU69" s="67">
        <v>1802</v>
      </c>
      <c r="AV69" s="68">
        <v>62</v>
      </c>
      <c r="AW69" s="69" t="s">
        <v>6622</v>
      </c>
      <c r="AX69" s="70" t="s">
        <v>1229</v>
      </c>
      <c r="AZ69" s="67">
        <v>1805</v>
      </c>
      <c r="BA69" s="83">
        <v>62</v>
      </c>
      <c r="BB69" s="69" t="s">
        <v>46</v>
      </c>
      <c r="BC69" s="70" t="s">
        <v>46</v>
      </c>
      <c r="BE69" s="67">
        <v>1808</v>
      </c>
      <c r="BF69" s="83">
        <v>62</v>
      </c>
      <c r="BG69" s="69" t="s">
        <v>46</v>
      </c>
      <c r="BH69" s="70" t="s">
        <v>46</v>
      </c>
    </row>
    <row r="70" spans="1:60">
      <c r="A70" s="1"/>
      <c r="B70" s="67">
        <v>1502</v>
      </c>
      <c r="C70" s="68">
        <v>63</v>
      </c>
      <c r="D70" s="69" t="s">
        <v>46</v>
      </c>
      <c r="E70" s="70" t="s">
        <v>46</v>
      </c>
      <c r="G70" s="67">
        <v>1505</v>
      </c>
      <c r="H70" s="68">
        <v>63</v>
      </c>
      <c r="I70" s="69" t="s">
        <v>46</v>
      </c>
      <c r="J70" s="70" t="s">
        <v>46</v>
      </c>
      <c r="L70" s="67">
        <v>1508</v>
      </c>
      <c r="M70" s="68">
        <v>63</v>
      </c>
      <c r="N70" s="69" t="s">
        <v>46</v>
      </c>
      <c r="O70" s="70" t="s">
        <v>46</v>
      </c>
      <c r="Q70" s="41">
        <v>1602</v>
      </c>
      <c r="R70" s="42">
        <v>63</v>
      </c>
      <c r="S70" s="43" t="s">
        <v>46</v>
      </c>
      <c r="T70" s="44" t="s">
        <v>46</v>
      </c>
      <c r="V70" s="41">
        <v>1605</v>
      </c>
      <c r="W70" s="33">
        <v>63</v>
      </c>
      <c r="X70" s="43" t="s">
        <v>46</v>
      </c>
      <c r="Y70" s="44" t="s">
        <v>46</v>
      </c>
      <c r="AA70" s="41">
        <v>1608</v>
      </c>
      <c r="AB70" s="33">
        <v>63</v>
      </c>
      <c r="AC70" s="43" t="s">
        <v>46</v>
      </c>
      <c r="AD70" s="44" t="s">
        <v>46</v>
      </c>
      <c r="AF70" s="41">
        <v>1702</v>
      </c>
      <c r="AG70" s="33">
        <v>63</v>
      </c>
      <c r="AH70" s="43" t="s">
        <v>46</v>
      </c>
      <c r="AI70" s="44" t="s">
        <v>46</v>
      </c>
      <c r="AK70" s="41">
        <v>1705</v>
      </c>
      <c r="AL70" s="33">
        <v>63</v>
      </c>
      <c r="AM70" s="43" t="s">
        <v>46</v>
      </c>
      <c r="AN70" s="44" t="s">
        <v>46</v>
      </c>
      <c r="AP70" s="41">
        <v>1708</v>
      </c>
      <c r="AQ70" s="33">
        <v>63</v>
      </c>
      <c r="AR70" s="43" t="s">
        <v>46</v>
      </c>
      <c r="AS70" s="44" t="s">
        <v>46</v>
      </c>
      <c r="AU70" s="67">
        <v>1802</v>
      </c>
      <c r="AV70" s="68">
        <v>63</v>
      </c>
      <c r="AW70" s="69" t="s">
        <v>46</v>
      </c>
      <c r="AX70" s="70" t="s">
        <v>46</v>
      </c>
      <c r="AZ70" s="67">
        <v>1805</v>
      </c>
      <c r="BA70" s="83">
        <v>63</v>
      </c>
      <c r="BB70" s="69" t="s">
        <v>46</v>
      </c>
      <c r="BC70" s="70" t="s">
        <v>46</v>
      </c>
      <c r="BE70" s="67">
        <v>1808</v>
      </c>
      <c r="BF70" s="83">
        <v>63</v>
      </c>
      <c r="BG70" s="69" t="s">
        <v>46</v>
      </c>
      <c r="BH70" s="70" t="s">
        <v>46</v>
      </c>
    </row>
    <row r="71" spans="1:60" ht="15" thickBot="1">
      <c r="A71" s="1"/>
      <c r="B71" s="78">
        <v>1502</v>
      </c>
      <c r="C71" s="79">
        <v>64</v>
      </c>
      <c r="D71" s="80" t="s">
        <v>46</v>
      </c>
      <c r="E71" s="74" t="s">
        <v>46</v>
      </c>
      <c r="G71" s="78">
        <v>1505</v>
      </c>
      <c r="H71" s="79">
        <v>64</v>
      </c>
      <c r="I71" s="80" t="s">
        <v>46</v>
      </c>
      <c r="J71" s="74" t="s">
        <v>46</v>
      </c>
      <c r="L71" s="78">
        <v>1508</v>
      </c>
      <c r="M71" s="79">
        <v>64</v>
      </c>
      <c r="N71" s="80" t="s">
        <v>46</v>
      </c>
      <c r="O71" s="74" t="s">
        <v>46</v>
      </c>
      <c r="Q71" s="52">
        <v>1602</v>
      </c>
      <c r="R71" s="53">
        <v>64</v>
      </c>
      <c r="S71" s="54" t="s">
        <v>6623</v>
      </c>
      <c r="T71" s="48" t="s">
        <v>1184</v>
      </c>
      <c r="V71" s="52">
        <v>1605</v>
      </c>
      <c r="W71" s="59">
        <v>64</v>
      </c>
      <c r="X71" s="54" t="s">
        <v>46</v>
      </c>
      <c r="Y71" s="48" t="s">
        <v>46</v>
      </c>
      <c r="AA71" s="52">
        <v>1608</v>
      </c>
      <c r="AB71" s="59">
        <v>64</v>
      </c>
      <c r="AC71" s="54" t="s">
        <v>46</v>
      </c>
      <c r="AD71" s="48" t="s">
        <v>46</v>
      </c>
      <c r="AF71" s="52">
        <v>1702</v>
      </c>
      <c r="AG71" s="59">
        <v>64</v>
      </c>
      <c r="AH71" s="54" t="s">
        <v>46</v>
      </c>
      <c r="AI71" s="48" t="s">
        <v>46</v>
      </c>
      <c r="AK71" s="52">
        <v>1705</v>
      </c>
      <c r="AL71" s="59">
        <v>64</v>
      </c>
      <c r="AM71" s="54" t="s">
        <v>46</v>
      </c>
      <c r="AN71" s="48" t="s">
        <v>46</v>
      </c>
      <c r="AP71" s="52">
        <v>1708</v>
      </c>
      <c r="AQ71" s="59">
        <v>64</v>
      </c>
      <c r="AR71" s="54" t="s">
        <v>46</v>
      </c>
      <c r="AS71" s="48" t="s">
        <v>46</v>
      </c>
      <c r="AU71" s="78">
        <v>1802</v>
      </c>
      <c r="AV71" s="79">
        <v>64</v>
      </c>
      <c r="AW71" s="80" t="s">
        <v>6623</v>
      </c>
      <c r="AX71" s="74" t="s">
        <v>1184</v>
      </c>
      <c r="AZ71" s="78">
        <v>1805</v>
      </c>
      <c r="BA71" s="86">
        <v>64</v>
      </c>
      <c r="BB71" s="80" t="s">
        <v>46</v>
      </c>
      <c r="BC71" s="74" t="s">
        <v>46</v>
      </c>
      <c r="BE71" s="78">
        <v>1808</v>
      </c>
      <c r="BF71" s="86">
        <v>64</v>
      </c>
      <c r="BG71" s="80" t="s">
        <v>46</v>
      </c>
      <c r="BH71" s="74" t="s">
        <v>46</v>
      </c>
    </row>
    <row r="72" spans="1:60">
      <c r="A72" s="1"/>
      <c r="B72" s="63">
        <v>1502</v>
      </c>
      <c r="C72" s="64">
        <v>65</v>
      </c>
      <c r="D72" s="81" t="s">
        <v>46</v>
      </c>
      <c r="E72" s="66" t="s">
        <v>46</v>
      </c>
      <c r="G72" s="63">
        <v>1505</v>
      </c>
      <c r="H72" s="64">
        <v>65</v>
      </c>
      <c r="I72" s="81" t="s">
        <v>6624</v>
      </c>
      <c r="J72" s="66" t="s">
        <v>1179</v>
      </c>
      <c r="L72" s="63">
        <v>1508</v>
      </c>
      <c r="M72" s="64">
        <v>65</v>
      </c>
      <c r="N72" s="81" t="s">
        <v>46</v>
      </c>
      <c r="O72" s="66" t="s">
        <v>46</v>
      </c>
      <c r="Q72" s="37">
        <v>1602</v>
      </c>
      <c r="R72" s="38">
        <v>65</v>
      </c>
      <c r="S72" s="55" t="s">
        <v>46</v>
      </c>
      <c r="T72" s="40" t="s">
        <v>46</v>
      </c>
      <c r="V72" s="37">
        <v>1605</v>
      </c>
      <c r="W72" s="56">
        <v>65</v>
      </c>
      <c r="X72" s="55" t="s">
        <v>46</v>
      </c>
      <c r="Y72" s="40" t="s">
        <v>46</v>
      </c>
      <c r="AA72" s="37">
        <v>1608</v>
      </c>
      <c r="AB72" s="56">
        <v>65</v>
      </c>
      <c r="AC72" s="55" t="s">
        <v>46</v>
      </c>
      <c r="AD72" s="40" t="s">
        <v>46</v>
      </c>
      <c r="AF72" s="37">
        <v>1702</v>
      </c>
      <c r="AG72" s="56">
        <v>65</v>
      </c>
      <c r="AH72" s="55" t="s">
        <v>46</v>
      </c>
      <c r="AI72" s="40" t="s">
        <v>46</v>
      </c>
      <c r="AK72" s="37">
        <v>1705</v>
      </c>
      <c r="AL72" s="56">
        <v>65</v>
      </c>
      <c r="AM72" s="55" t="s">
        <v>6624</v>
      </c>
      <c r="AN72" s="40" t="s">
        <v>1179</v>
      </c>
      <c r="AP72" s="37">
        <v>1708</v>
      </c>
      <c r="AQ72" s="56">
        <v>65</v>
      </c>
      <c r="AR72" s="55" t="s">
        <v>46</v>
      </c>
      <c r="AS72" s="40" t="s">
        <v>46</v>
      </c>
      <c r="AU72" s="63">
        <v>1802</v>
      </c>
      <c r="AV72" s="64">
        <v>65</v>
      </c>
      <c r="AW72" s="81" t="s">
        <v>46</v>
      </c>
      <c r="AX72" s="66" t="s">
        <v>46</v>
      </c>
      <c r="AZ72" s="63">
        <v>1805</v>
      </c>
      <c r="BA72" s="82">
        <v>65</v>
      </c>
      <c r="BB72" s="81" t="s">
        <v>46</v>
      </c>
      <c r="BC72" s="66" t="s">
        <v>46</v>
      </c>
      <c r="BE72" s="63">
        <v>1808</v>
      </c>
      <c r="BF72" s="82">
        <v>65</v>
      </c>
      <c r="BG72" s="81" t="s">
        <v>46</v>
      </c>
      <c r="BH72" s="66" t="s">
        <v>46</v>
      </c>
    </row>
    <row r="73" spans="1:60">
      <c r="A73" s="1"/>
      <c r="B73" s="67">
        <v>1502</v>
      </c>
      <c r="C73" s="68">
        <v>66</v>
      </c>
      <c r="D73" s="69" t="s">
        <v>46</v>
      </c>
      <c r="E73" s="70" t="s">
        <v>46</v>
      </c>
      <c r="G73" s="67">
        <v>1505</v>
      </c>
      <c r="H73" s="68">
        <v>66</v>
      </c>
      <c r="I73" s="69" t="s">
        <v>46</v>
      </c>
      <c r="J73" s="70" t="s">
        <v>46</v>
      </c>
      <c r="L73" s="67">
        <v>1508</v>
      </c>
      <c r="M73" s="68">
        <v>66</v>
      </c>
      <c r="N73" s="69" t="s">
        <v>46</v>
      </c>
      <c r="O73" s="70" t="s">
        <v>46</v>
      </c>
      <c r="Q73" s="41">
        <v>1602</v>
      </c>
      <c r="R73" s="42">
        <v>66</v>
      </c>
      <c r="S73" s="43" t="s">
        <v>46</v>
      </c>
      <c r="T73" s="44" t="s">
        <v>46</v>
      </c>
      <c r="V73" s="41">
        <v>1605</v>
      </c>
      <c r="W73" s="33">
        <v>66</v>
      </c>
      <c r="X73" s="43" t="s">
        <v>46</v>
      </c>
      <c r="Y73" s="44" t="s">
        <v>46</v>
      </c>
      <c r="AA73" s="41">
        <v>1608</v>
      </c>
      <c r="AB73" s="33">
        <v>66</v>
      </c>
      <c r="AC73" s="43" t="s">
        <v>46</v>
      </c>
      <c r="AD73" s="44" t="s">
        <v>46</v>
      </c>
      <c r="AF73" s="41">
        <v>1702</v>
      </c>
      <c r="AG73" s="33">
        <v>66</v>
      </c>
      <c r="AH73" s="43" t="s">
        <v>46</v>
      </c>
      <c r="AI73" s="44" t="s">
        <v>46</v>
      </c>
      <c r="AK73" s="41">
        <v>1705</v>
      </c>
      <c r="AL73" s="33">
        <v>66</v>
      </c>
      <c r="AM73" s="43" t="s">
        <v>46</v>
      </c>
      <c r="AN73" s="44" t="s">
        <v>46</v>
      </c>
      <c r="AP73" s="41">
        <v>1708</v>
      </c>
      <c r="AQ73" s="33">
        <v>66</v>
      </c>
      <c r="AR73" s="43" t="s">
        <v>46</v>
      </c>
      <c r="AS73" s="44" t="s">
        <v>46</v>
      </c>
      <c r="AU73" s="67">
        <v>1802</v>
      </c>
      <c r="AV73" s="68">
        <v>66</v>
      </c>
      <c r="AW73" s="69" t="s">
        <v>46</v>
      </c>
      <c r="AX73" s="70" t="s">
        <v>46</v>
      </c>
      <c r="AZ73" s="67">
        <v>1805</v>
      </c>
      <c r="BA73" s="83">
        <v>66</v>
      </c>
      <c r="BB73" s="69" t="s">
        <v>46</v>
      </c>
      <c r="BC73" s="70" t="s">
        <v>46</v>
      </c>
      <c r="BE73" s="67">
        <v>1808</v>
      </c>
      <c r="BF73" s="83">
        <v>66</v>
      </c>
      <c r="BG73" s="69" t="s">
        <v>46</v>
      </c>
      <c r="BH73" s="70" t="s">
        <v>46</v>
      </c>
    </row>
    <row r="74" spans="1:60">
      <c r="A74" s="1"/>
      <c r="B74" s="67">
        <v>1502</v>
      </c>
      <c r="C74" s="68">
        <v>67</v>
      </c>
      <c r="D74" s="69" t="s">
        <v>46</v>
      </c>
      <c r="E74" s="70" t="s">
        <v>46</v>
      </c>
      <c r="G74" s="67">
        <v>1505</v>
      </c>
      <c r="H74" s="68">
        <v>67</v>
      </c>
      <c r="I74" s="69" t="s">
        <v>46</v>
      </c>
      <c r="J74" s="70" t="s">
        <v>46</v>
      </c>
      <c r="L74" s="67">
        <v>1508</v>
      </c>
      <c r="M74" s="68">
        <v>67</v>
      </c>
      <c r="N74" s="69" t="s">
        <v>46</v>
      </c>
      <c r="O74" s="70" t="s">
        <v>46</v>
      </c>
      <c r="Q74" s="41">
        <v>1602</v>
      </c>
      <c r="R74" s="42">
        <v>67</v>
      </c>
      <c r="S74" s="43" t="s">
        <v>46</v>
      </c>
      <c r="T74" s="44" t="s">
        <v>46</v>
      </c>
      <c r="V74" s="41">
        <v>1605</v>
      </c>
      <c r="W74" s="33">
        <v>67</v>
      </c>
      <c r="X74" s="43" t="s">
        <v>46</v>
      </c>
      <c r="Y74" s="44" t="s">
        <v>46</v>
      </c>
      <c r="AA74" s="41">
        <v>1608</v>
      </c>
      <c r="AB74" s="33">
        <v>67</v>
      </c>
      <c r="AC74" s="43" t="s">
        <v>46</v>
      </c>
      <c r="AD74" s="44" t="s">
        <v>46</v>
      </c>
      <c r="AF74" s="41">
        <v>1702</v>
      </c>
      <c r="AG74" s="33">
        <v>67</v>
      </c>
      <c r="AH74" s="43" t="s">
        <v>46</v>
      </c>
      <c r="AI74" s="44" t="s">
        <v>46</v>
      </c>
      <c r="AK74" s="41">
        <v>1705</v>
      </c>
      <c r="AL74" s="33">
        <v>67</v>
      </c>
      <c r="AM74" s="43" t="s">
        <v>46</v>
      </c>
      <c r="AN74" s="44" t="s">
        <v>46</v>
      </c>
      <c r="AP74" s="41">
        <v>1708</v>
      </c>
      <c r="AQ74" s="33">
        <v>67</v>
      </c>
      <c r="AR74" s="43" t="s">
        <v>46</v>
      </c>
      <c r="AS74" s="44" t="s">
        <v>46</v>
      </c>
      <c r="AU74" s="67">
        <v>1802</v>
      </c>
      <c r="AV74" s="68">
        <v>67</v>
      </c>
      <c r="AW74" s="69" t="s">
        <v>46</v>
      </c>
      <c r="AX74" s="70" t="s">
        <v>46</v>
      </c>
      <c r="AZ74" s="67">
        <v>1805</v>
      </c>
      <c r="BA74" s="83">
        <v>67</v>
      </c>
      <c r="BB74" s="69" t="s">
        <v>46</v>
      </c>
      <c r="BC74" s="70" t="s">
        <v>46</v>
      </c>
      <c r="BE74" s="67">
        <v>1808</v>
      </c>
      <c r="BF74" s="83">
        <v>67</v>
      </c>
      <c r="BG74" s="69" t="s">
        <v>46</v>
      </c>
      <c r="BH74" s="70" t="s">
        <v>46</v>
      </c>
    </row>
    <row r="75" spans="1:60">
      <c r="A75" s="1"/>
      <c r="B75" s="67">
        <v>1502</v>
      </c>
      <c r="C75" s="68">
        <v>68</v>
      </c>
      <c r="D75" s="69" t="s">
        <v>46</v>
      </c>
      <c r="E75" s="70" t="s">
        <v>46</v>
      </c>
      <c r="G75" s="67">
        <v>1505</v>
      </c>
      <c r="H75" s="68">
        <v>68</v>
      </c>
      <c r="I75" s="69" t="s">
        <v>6625</v>
      </c>
      <c r="J75" s="70" t="s">
        <v>1194</v>
      </c>
      <c r="L75" s="67">
        <v>1508</v>
      </c>
      <c r="M75" s="68">
        <v>68</v>
      </c>
      <c r="N75" s="69" t="s">
        <v>46</v>
      </c>
      <c r="O75" s="70" t="s">
        <v>46</v>
      </c>
      <c r="Q75" s="41">
        <v>1602</v>
      </c>
      <c r="R75" s="42">
        <v>68</v>
      </c>
      <c r="S75" s="43" t="s">
        <v>6626</v>
      </c>
      <c r="T75" s="44" t="s">
        <v>1259</v>
      </c>
      <c r="V75" s="41">
        <v>1605</v>
      </c>
      <c r="W75" s="33">
        <v>68</v>
      </c>
      <c r="X75" s="43" t="s">
        <v>46</v>
      </c>
      <c r="Y75" s="44" t="s">
        <v>46</v>
      </c>
      <c r="AA75" s="41">
        <v>1608</v>
      </c>
      <c r="AB75" s="33">
        <v>68</v>
      </c>
      <c r="AC75" s="43" t="s">
        <v>46</v>
      </c>
      <c r="AD75" s="44" t="s">
        <v>46</v>
      </c>
      <c r="AF75" s="41">
        <v>1702</v>
      </c>
      <c r="AG75" s="33">
        <v>68</v>
      </c>
      <c r="AH75" s="43" t="s">
        <v>46</v>
      </c>
      <c r="AI75" s="44" t="s">
        <v>46</v>
      </c>
      <c r="AK75" s="41">
        <v>1705</v>
      </c>
      <c r="AL75" s="33">
        <v>68</v>
      </c>
      <c r="AM75" s="43" t="s">
        <v>6625</v>
      </c>
      <c r="AN75" s="44" t="s">
        <v>1194</v>
      </c>
      <c r="AP75" s="41">
        <v>1708</v>
      </c>
      <c r="AQ75" s="33">
        <v>68</v>
      </c>
      <c r="AR75" s="43" t="s">
        <v>46</v>
      </c>
      <c r="AS75" s="44" t="s">
        <v>46</v>
      </c>
      <c r="AU75" s="67">
        <v>1802</v>
      </c>
      <c r="AV75" s="68">
        <v>68</v>
      </c>
      <c r="AW75" s="69" t="s">
        <v>6626</v>
      </c>
      <c r="AX75" s="70" t="s">
        <v>1259</v>
      </c>
      <c r="AZ75" s="67">
        <v>1805</v>
      </c>
      <c r="BA75" s="83">
        <v>68</v>
      </c>
      <c r="BB75" s="69" t="s">
        <v>46</v>
      </c>
      <c r="BC75" s="70" t="s">
        <v>46</v>
      </c>
      <c r="BE75" s="67">
        <v>1808</v>
      </c>
      <c r="BF75" s="83">
        <v>68</v>
      </c>
      <c r="BG75" s="69" t="s">
        <v>46</v>
      </c>
      <c r="BH75" s="70" t="s">
        <v>46</v>
      </c>
    </row>
    <row r="76" spans="1:60">
      <c r="A76" s="1"/>
      <c r="B76" s="67">
        <v>1502</v>
      </c>
      <c r="C76" s="68">
        <v>69</v>
      </c>
      <c r="D76" s="69" t="s">
        <v>6627</v>
      </c>
      <c r="E76" s="70" t="s">
        <v>1324</v>
      </c>
      <c r="G76" s="67">
        <v>1505</v>
      </c>
      <c r="H76" s="68">
        <v>69</v>
      </c>
      <c r="I76" s="69" t="s">
        <v>46</v>
      </c>
      <c r="J76" s="70" t="s">
        <v>46</v>
      </c>
      <c r="L76" s="67">
        <v>1508</v>
      </c>
      <c r="M76" s="68">
        <v>69</v>
      </c>
      <c r="N76" s="69" t="s">
        <v>46</v>
      </c>
      <c r="O76" s="70" t="s">
        <v>46</v>
      </c>
      <c r="Q76" s="41">
        <v>1602</v>
      </c>
      <c r="R76" s="42">
        <v>69</v>
      </c>
      <c r="S76" s="43" t="s">
        <v>46</v>
      </c>
      <c r="T76" s="44" t="s">
        <v>46</v>
      </c>
      <c r="V76" s="41">
        <v>1605</v>
      </c>
      <c r="W76" s="33">
        <v>69</v>
      </c>
      <c r="X76" s="43" t="s">
        <v>46</v>
      </c>
      <c r="Y76" s="44" t="s">
        <v>46</v>
      </c>
      <c r="AA76" s="41">
        <v>1608</v>
      </c>
      <c r="AB76" s="33">
        <v>69</v>
      </c>
      <c r="AC76" s="43" t="s">
        <v>46</v>
      </c>
      <c r="AD76" s="44" t="s">
        <v>46</v>
      </c>
      <c r="AF76" s="41">
        <v>1702</v>
      </c>
      <c r="AG76" s="33">
        <v>69</v>
      </c>
      <c r="AH76" s="43" t="s">
        <v>6627</v>
      </c>
      <c r="AI76" s="44" t="s">
        <v>1324</v>
      </c>
      <c r="AK76" s="41">
        <v>1705</v>
      </c>
      <c r="AL76" s="33">
        <v>69</v>
      </c>
      <c r="AM76" s="43" t="s">
        <v>46</v>
      </c>
      <c r="AN76" s="44" t="s">
        <v>46</v>
      </c>
      <c r="AP76" s="41">
        <v>1708</v>
      </c>
      <c r="AQ76" s="33">
        <v>69</v>
      </c>
      <c r="AR76" s="43" t="s">
        <v>46</v>
      </c>
      <c r="AS76" s="44" t="s">
        <v>46</v>
      </c>
      <c r="AU76" s="67">
        <v>1802</v>
      </c>
      <c r="AV76" s="68">
        <v>69</v>
      </c>
      <c r="AW76" s="69" t="s">
        <v>46</v>
      </c>
      <c r="AX76" s="70" t="s">
        <v>46</v>
      </c>
      <c r="AZ76" s="67">
        <v>1805</v>
      </c>
      <c r="BA76" s="83">
        <v>69</v>
      </c>
      <c r="BB76" s="69" t="s">
        <v>46</v>
      </c>
      <c r="BC76" s="70" t="s">
        <v>46</v>
      </c>
      <c r="BE76" s="67">
        <v>1808</v>
      </c>
      <c r="BF76" s="83">
        <v>69</v>
      </c>
      <c r="BG76" s="69" t="s">
        <v>46</v>
      </c>
      <c r="BH76" s="70" t="s">
        <v>46</v>
      </c>
    </row>
    <row r="77" spans="1:60">
      <c r="A77" s="1"/>
      <c r="B77" s="67">
        <v>1502</v>
      </c>
      <c r="C77" s="68">
        <v>70</v>
      </c>
      <c r="D77" s="69" t="s">
        <v>46</v>
      </c>
      <c r="E77" s="70" t="s">
        <v>46</v>
      </c>
      <c r="G77" s="67">
        <v>1505</v>
      </c>
      <c r="H77" s="68">
        <v>70</v>
      </c>
      <c r="I77" s="69" t="s">
        <v>46</v>
      </c>
      <c r="J77" s="70" t="s">
        <v>46</v>
      </c>
      <c r="L77" s="67">
        <v>1508</v>
      </c>
      <c r="M77" s="68">
        <v>70</v>
      </c>
      <c r="N77" s="69" t="s">
        <v>46</v>
      </c>
      <c r="O77" s="70" t="s">
        <v>46</v>
      </c>
      <c r="Q77" s="41">
        <v>1602</v>
      </c>
      <c r="R77" s="42">
        <v>70</v>
      </c>
      <c r="S77" s="43" t="s">
        <v>6628</v>
      </c>
      <c r="T77" s="44" t="s">
        <v>1254</v>
      </c>
      <c r="V77" s="41">
        <v>1605</v>
      </c>
      <c r="W77" s="33">
        <v>70</v>
      </c>
      <c r="X77" s="43" t="s">
        <v>46</v>
      </c>
      <c r="Y77" s="44" t="s">
        <v>46</v>
      </c>
      <c r="AA77" s="41">
        <v>1608</v>
      </c>
      <c r="AB77" s="33">
        <v>70</v>
      </c>
      <c r="AC77" s="43" t="s">
        <v>46</v>
      </c>
      <c r="AD77" s="44" t="s">
        <v>46</v>
      </c>
      <c r="AF77" s="41">
        <v>1702</v>
      </c>
      <c r="AG77" s="33">
        <v>70</v>
      </c>
      <c r="AH77" s="43" t="s">
        <v>46</v>
      </c>
      <c r="AI77" s="44" t="s">
        <v>46</v>
      </c>
      <c r="AK77" s="41">
        <v>1705</v>
      </c>
      <c r="AL77" s="33">
        <v>70</v>
      </c>
      <c r="AM77" s="43" t="s">
        <v>46</v>
      </c>
      <c r="AN77" s="44" t="s">
        <v>46</v>
      </c>
      <c r="AP77" s="41">
        <v>1708</v>
      </c>
      <c r="AQ77" s="33">
        <v>70</v>
      </c>
      <c r="AR77" s="43" t="s">
        <v>46</v>
      </c>
      <c r="AS77" s="44" t="s">
        <v>46</v>
      </c>
      <c r="AU77" s="67">
        <v>1802</v>
      </c>
      <c r="AV77" s="68">
        <v>70</v>
      </c>
      <c r="AW77" s="69" t="s">
        <v>6628</v>
      </c>
      <c r="AX77" s="70" t="s">
        <v>1254</v>
      </c>
      <c r="AZ77" s="67">
        <v>1805</v>
      </c>
      <c r="BA77" s="83">
        <v>70</v>
      </c>
      <c r="BB77" s="69" t="s">
        <v>46</v>
      </c>
      <c r="BC77" s="70" t="s">
        <v>46</v>
      </c>
      <c r="BE77" s="67">
        <v>1808</v>
      </c>
      <c r="BF77" s="83">
        <v>70</v>
      </c>
      <c r="BG77" s="69" t="s">
        <v>46</v>
      </c>
      <c r="BH77" s="70" t="s">
        <v>46</v>
      </c>
    </row>
    <row r="78" spans="1:60">
      <c r="A78" s="1"/>
      <c r="B78" s="67">
        <v>1502</v>
      </c>
      <c r="C78" s="68">
        <v>71</v>
      </c>
      <c r="D78" s="69" t="s">
        <v>46</v>
      </c>
      <c r="E78" s="70" t="s">
        <v>46</v>
      </c>
      <c r="G78" s="67">
        <v>1505</v>
      </c>
      <c r="H78" s="68">
        <v>71</v>
      </c>
      <c r="I78" s="69" t="s">
        <v>46</v>
      </c>
      <c r="J78" s="70" t="s">
        <v>46</v>
      </c>
      <c r="L78" s="67">
        <v>1508</v>
      </c>
      <c r="M78" s="68">
        <v>71</v>
      </c>
      <c r="N78" s="69" t="s">
        <v>46</v>
      </c>
      <c r="O78" s="70" t="s">
        <v>46</v>
      </c>
      <c r="Q78" s="41">
        <v>1602</v>
      </c>
      <c r="R78" s="42">
        <v>71</v>
      </c>
      <c r="S78" s="43" t="s">
        <v>46</v>
      </c>
      <c r="T78" s="44" t="s">
        <v>46</v>
      </c>
      <c r="V78" s="41">
        <v>1605</v>
      </c>
      <c r="W78" s="33">
        <v>71</v>
      </c>
      <c r="X78" s="43" t="s">
        <v>46</v>
      </c>
      <c r="Y78" s="44" t="s">
        <v>46</v>
      </c>
      <c r="AA78" s="41">
        <v>1608</v>
      </c>
      <c r="AB78" s="33">
        <v>71</v>
      </c>
      <c r="AC78" s="43" t="s">
        <v>46</v>
      </c>
      <c r="AD78" s="44" t="s">
        <v>46</v>
      </c>
      <c r="AF78" s="41">
        <v>1702</v>
      </c>
      <c r="AG78" s="33">
        <v>71</v>
      </c>
      <c r="AH78" s="43" t="s">
        <v>46</v>
      </c>
      <c r="AI78" s="44" t="s">
        <v>46</v>
      </c>
      <c r="AK78" s="41">
        <v>1705</v>
      </c>
      <c r="AL78" s="33">
        <v>71</v>
      </c>
      <c r="AM78" s="43" t="s">
        <v>46</v>
      </c>
      <c r="AN78" s="44" t="s">
        <v>46</v>
      </c>
      <c r="AP78" s="41">
        <v>1708</v>
      </c>
      <c r="AQ78" s="33">
        <v>71</v>
      </c>
      <c r="AR78" s="43" t="s">
        <v>46</v>
      </c>
      <c r="AS78" s="44" t="s">
        <v>46</v>
      </c>
      <c r="AU78" s="67">
        <v>1802</v>
      </c>
      <c r="AV78" s="68">
        <v>71</v>
      </c>
      <c r="AW78" s="69" t="s">
        <v>46</v>
      </c>
      <c r="AX78" s="70" t="s">
        <v>46</v>
      </c>
      <c r="AZ78" s="67">
        <v>1805</v>
      </c>
      <c r="BA78" s="83">
        <v>71</v>
      </c>
      <c r="BB78" s="69" t="s">
        <v>46</v>
      </c>
      <c r="BC78" s="70" t="s">
        <v>46</v>
      </c>
      <c r="BE78" s="67">
        <v>1808</v>
      </c>
      <c r="BF78" s="83">
        <v>71</v>
      </c>
      <c r="BG78" s="69" t="s">
        <v>46</v>
      </c>
      <c r="BH78" s="70" t="s">
        <v>46</v>
      </c>
    </row>
    <row r="79" spans="1:60">
      <c r="A79" s="1"/>
      <c r="B79" s="67">
        <v>1502</v>
      </c>
      <c r="C79" s="68">
        <v>72</v>
      </c>
      <c r="D79" s="69" t="s">
        <v>46</v>
      </c>
      <c r="E79" s="70" t="s">
        <v>46</v>
      </c>
      <c r="G79" s="67">
        <v>1505</v>
      </c>
      <c r="H79" s="68">
        <v>72</v>
      </c>
      <c r="I79" s="69" t="s">
        <v>46</v>
      </c>
      <c r="J79" s="70" t="s">
        <v>46</v>
      </c>
      <c r="L79" s="67">
        <v>1508</v>
      </c>
      <c r="M79" s="68">
        <v>72</v>
      </c>
      <c r="N79" s="69" t="s">
        <v>46</v>
      </c>
      <c r="O79" s="70" t="s">
        <v>46</v>
      </c>
      <c r="Q79" s="41">
        <v>1602</v>
      </c>
      <c r="R79" s="42">
        <v>72</v>
      </c>
      <c r="S79" s="43" t="s">
        <v>46</v>
      </c>
      <c r="T79" s="44" t="s">
        <v>46</v>
      </c>
      <c r="V79" s="41">
        <v>1605</v>
      </c>
      <c r="W79" s="33">
        <v>72</v>
      </c>
      <c r="X79" s="43" t="s">
        <v>46</v>
      </c>
      <c r="Y79" s="44" t="s">
        <v>46</v>
      </c>
      <c r="AA79" s="41">
        <v>1608</v>
      </c>
      <c r="AB79" s="33">
        <v>72</v>
      </c>
      <c r="AC79" s="43" t="s">
        <v>46</v>
      </c>
      <c r="AD79" s="44" t="s">
        <v>46</v>
      </c>
      <c r="AF79" s="41">
        <v>1702</v>
      </c>
      <c r="AG79" s="33">
        <v>72</v>
      </c>
      <c r="AH79" s="43" t="s">
        <v>46</v>
      </c>
      <c r="AI79" s="44" t="s">
        <v>46</v>
      </c>
      <c r="AK79" s="41">
        <v>1705</v>
      </c>
      <c r="AL79" s="33">
        <v>72</v>
      </c>
      <c r="AM79" s="43" t="s">
        <v>46</v>
      </c>
      <c r="AN79" s="44" t="s">
        <v>46</v>
      </c>
      <c r="AP79" s="41">
        <v>1708</v>
      </c>
      <c r="AQ79" s="33">
        <v>72</v>
      </c>
      <c r="AR79" s="43" t="s">
        <v>46</v>
      </c>
      <c r="AS79" s="44" t="s">
        <v>46</v>
      </c>
      <c r="AU79" s="67">
        <v>1802</v>
      </c>
      <c r="AV79" s="68">
        <v>72</v>
      </c>
      <c r="AW79" s="69" t="s">
        <v>46</v>
      </c>
      <c r="AX79" s="70" t="s">
        <v>46</v>
      </c>
      <c r="AZ79" s="67">
        <v>1805</v>
      </c>
      <c r="BA79" s="83">
        <v>72</v>
      </c>
      <c r="BB79" s="69" t="s">
        <v>46</v>
      </c>
      <c r="BC79" s="70" t="s">
        <v>46</v>
      </c>
      <c r="BE79" s="67">
        <v>1808</v>
      </c>
      <c r="BF79" s="83">
        <v>72</v>
      </c>
      <c r="BG79" s="69" t="s">
        <v>46</v>
      </c>
      <c r="BH79" s="70" t="s">
        <v>46</v>
      </c>
    </row>
    <row r="80" spans="1:60">
      <c r="A80" s="1"/>
      <c r="B80" s="67">
        <v>1502</v>
      </c>
      <c r="C80" s="68">
        <v>73</v>
      </c>
      <c r="D80" s="69" t="s">
        <v>46</v>
      </c>
      <c r="E80" s="70" t="s">
        <v>46</v>
      </c>
      <c r="G80" s="67">
        <v>1505</v>
      </c>
      <c r="H80" s="68">
        <v>73</v>
      </c>
      <c r="I80" s="69" t="s">
        <v>46</v>
      </c>
      <c r="J80" s="70" t="s">
        <v>46</v>
      </c>
      <c r="L80" s="67">
        <v>1508</v>
      </c>
      <c r="M80" s="68">
        <v>73</v>
      </c>
      <c r="N80" s="69" t="s">
        <v>46</v>
      </c>
      <c r="O80" s="70" t="s">
        <v>46</v>
      </c>
      <c r="Q80" s="41">
        <v>1602</v>
      </c>
      <c r="R80" s="42">
        <v>73</v>
      </c>
      <c r="S80" s="43" t="s">
        <v>46</v>
      </c>
      <c r="T80" s="44" t="s">
        <v>46</v>
      </c>
      <c r="V80" s="41">
        <v>1605</v>
      </c>
      <c r="W80" s="33">
        <v>73</v>
      </c>
      <c r="X80" s="43" t="s">
        <v>46</v>
      </c>
      <c r="Y80" s="44" t="s">
        <v>46</v>
      </c>
      <c r="AA80" s="41">
        <v>1608</v>
      </c>
      <c r="AB80" s="33">
        <v>73</v>
      </c>
      <c r="AC80" s="43" t="s">
        <v>46</v>
      </c>
      <c r="AD80" s="44" t="s">
        <v>46</v>
      </c>
      <c r="AF80" s="41">
        <v>1702</v>
      </c>
      <c r="AG80" s="33">
        <v>73</v>
      </c>
      <c r="AH80" s="43" t="s">
        <v>46</v>
      </c>
      <c r="AI80" s="44" t="s">
        <v>46</v>
      </c>
      <c r="AK80" s="41">
        <v>1705</v>
      </c>
      <c r="AL80" s="33">
        <v>73</v>
      </c>
      <c r="AM80" s="43" t="s">
        <v>46</v>
      </c>
      <c r="AN80" s="44" t="s">
        <v>46</v>
      </c>
      <c r="AP80" s="41">
        <v>1708</v>
      </c>
      <c r="AQ80" s="33">
        <v>73</v>
      </c>
      <c r="AR80" s="43" t="s">
        <v>46</v>
      </c>
      <c r="AS80" s="44" t="s">
        <v>46</v>
      </c>
      <c r="AU80" s="67">
        <v>1802</v>
      </c>
      <c r="AV80" s="68">
        <v>73</v>
      </c>
      <c r="AW80" s="69" t="s">
        <v>46</v>
      </c>
      <c r="AX80" s="70" t="s">
        <v>46</v>
      </c>
      <c r="AZ80" s="67">
        <v>1805</v>
      </c>
      <c r="BA80" s="83">
        <v>73</v>
      </c>
      <c r="BB80" s="69" t="s">
        <v>46</v>
      </c>
      <c r="BC80" s="70" t="s">
        <v>46</v>
      </c>
      <c r="BE80" s="67">
        <v>1808</v>
      </c>
      <c r="BF80" s="83">
        <v>73</v>
      </c>
      <c r="BG80" s="69" t="s">
        <v>46</v>
      </c>
      <c r="BH80" s="70" t="s">
        <v>46</v>
      </c>
    </row>
    <row r="81" spans="1:60">
      <c r="A81" s="1"/>
      <c r="B81" s="67">
        <v>1502</v>
      </c>
      <c r="C81" s="68">
        <v>74</v>
      </c>
      <c r="D81" s="69" t="s">
        <v>46</v>
      </c>
      <c r="E81" s="70" t="s">
        <v>46</v>
      </c>
      <c r="G81" s="67">
        <v>1505</v>
      </c>
      <c r="H81" s="68">
        <v>74</v>
      </c>
      <c r="I81" s="69" t="s">
        <v>46</v>
      </c>
      <c r="J81" s="70" t="s">
        <v>46</v>
      </c>
      <c r="L81" s="67">
        <v>1508</v>
      </c>
      <c r="M81" s="68">
        <v>74</v>
      </c>
      <c r="N81" s="69" t="s">
        <v>46</v>
      </c>
      <c r="O81" s="70" t="s">
        <v>46</v>
      </c>
      <c r="Q81" s="41">
        <v>1602</v>
      </c>
      <c r="R81" s="42">
        <v>74</v>
      </c>
      <c r="S81" s="43" t="s">
        <v>46</v>
      </c>
      <c r="T81" s="44" t="s">
        <v>46</v>
      </c>
      <c r="V81" s="41">
        <v>1605</v>
      </c>
      <c r="W81" s="33">
        <v>74</v>
      </c>
      <c r="X81" s="43" t="s">
        <v>46</v>
      </c>
      <c r="Y81" s="44" t="s">
        <v>46</v>
      </c>
      <c r="AA81" s="41">
        <v>1608</v>
      </c>
      <c r="AB81" s="33">
        <v>74</v>
      </c>
      <c r="AC81" s="43" t="s">
        <v>46</v>
      </c>
      <c r="AD81" s="44" t="s">
        <v>46</v>
      </c>
      <c r="AF81" s="41">
        <v>1702</v>
      </c>
      <c r="AG81" s="33">
        <v>74</v>
      </c>
      <c r="AH81" s="43" t="s">
        <v>46</v>
      </c>
      <c r="AI81" s="44" t="s">
        <v>46</v>
      </c>
      <c r="AK81" s="41">
        <v>1705</v>
      </c>
      <c r="AL81" s="33">
        <v>74</v>
      </c>
      <c r="AM81" s="43" t="s">
        <v>46</v>
      </c>
      <c r="AN81" s="44" t="s">
        <v>46</v>
      </c>
      <c r="AP81" s="41">
        <v>1708</v>
      </c>
      <c r="AQ81" s="33">
        <v>74</v>
      </c>
      <c r="AR81" s="43" t="s">
        <v>46</v>
      </c>
      <c r="AS81" s="44" t="s">
        <v>46</v>
      </c>
      <c r="AU81" s="67">
        <v>1802</v>
      </c>
      <c r="AV81" s="68">
        <v>74</v>
      </c>
      <c r="AW81" s="69" t="s">
        <v>46</v>
      </c>
      <c r="AX81" s="70" t="s">
        <v>46</v>
      </c>
      <c r="AZ81" s="67">
        <v>1805</v>
      </c>
      <c r="BA81" s="83">
        <v>74</v>
      </c>
      <c r="BB81" s="69" t="s">
        <v>46</v>
      </c>
      <c r="BC81" s="70" t="s">
        <v>46</v>
      </c>
      <c r="BE81" s="67">
        <v>1808</v>
      </c>
      <c r="BF81" s="83">
        <v>74</v>
      </c>
      <c r="BG81" s="69" t="s">
        <v>46</v>
      </c>
      <c r="BH81" s="70" t="s">
        <v>46</v>
      </c>
    </row>
    <row r="82" spans="1:60">
      <c r="A82" s="1"/>
      <c r="B82" s="67">
        <v>1502</v>
      </c>
      <c r="C82" s="68">
        <v>75</v>
      </c>
      <c r="D82" s="69" t="s">
        <v>46</v>
      </c>
      <c r="E82" s="70" t="s">
        <v>46</v>
      </c>
      <c r="G82" s="67">
        <v>1505</v>
      </c>
      <c r="H82" s="68">
        <v>75</v>
      </c>
      <c r="I82" s="69" t="s">
        <v>46</v>
      </c>
      <c r="J82" s="70" t="s">
        <v>46</v>
      </c>
      <c r="L82" s="67">
        <v>1508</v>
      </c>
      <c r="M82" s="68">
        <v>75</v>
      </c>
      <c r="N82" s="69" t="s">
        <v>46</v>
      </c>
      <c r="O82" s="70" t="s">
        <v>46</v>
      </c>
      <c r="Q82" s="41">
        <v>1602</v>
      </c>
      <c r="R82" s="42">
        <v>75</v>
      </c>
      <c r="S82" s="43" t="s">
        <v>46</v>
      </c>
      <c r="T82" s="44" t="s">
        <v>46</v>
      </c>
      <c r="V82" s="41">
        <v>1605</v>
      </c>
      <c r="W82" s="33">
        <v>75</v>
      </c>
      <c r="X82" s="43" t="s">
        <v>46</v>
      </c>
      <c r="Y82" s="44" t="s">
        <v>46</v>
      </c>
      <c r="AA82" s="41">
        <v>1608</v>
      </c>
      <c r="AB82" s="33">
        <v>75</v>
      </c>
      <c r="AC82" s="43" t="s">
        <v>46</v>
      </c>
      <c r="AD82" s="44" t="s">
        <v>46</v>
      </c>
      <c r="AF82" s="41">
        <v>1702</v>
      </c>
      <c r="AG82" s="33">
        <v>75</v>
      </c>
      <c r="AH82" s="43" t="s">
        <v>46</v>
      </c>
      <c r="AI82" s="44" t="s">
        <v>46</v>
      </c>
      <c r="AK82" s="41">
        <v>1705</v>
      </c>
      <c r="AL82" s="33">
        <v>75</v>
      </c>
      <c r="AM82" s="43" t="s">
        <v>46</v>
      </c>
      <c r="AN82" s="44" t="s">
        <v>46</v>
      </c>
      <c r="AP82" s="41">
        <v>1708</v>
      </c>
      <c r="AQ82" s="33">
        <v>75</v>
      </c>
      <c r="AR82" s="43" t="s">
        <v>46</v>
      </c>
      <c r="AS82" s="44" t="s">
        <v>46</v>
      </c>
      <c r="AU82" s="67">
        <v>1802</v>
      </c>
      <c r="AV82" s="68">
        <v>75</v>
      </c>
      <c r="AW82" s="69" t="s">
        <v>46</v>
      </c>
      <c r="AX82" s="70" t="s">
        <v>46</v>
      </c>
      <c r="AZ82" s="67">
        <v>1805</v>
      </c>
      <c r="BA82" s="83">
        <v>75</v>
      </c>
      <c r="BB82" s="69" t="s">
        <v>46</v>
      </c>
      <c r="BC82" s="70" t="s">
        <v>46</v>
      </c>
      <c r="BE82" s="67">
        <v>1808</v>
      </c>
      <c r="BF82" s="83">
        <v>75</v>
      </c>
      <c r="BG82" s="69" t="s">
        <v>46</v>
      </c>
      <c r="BH82" s="70" t="s">
        <v>46</v>
      </c>
    </row>
    <row r="83" spans="1:60">
      <c r="A83" s="1"/>
      <c r="B83" s="67">
        <v>1502</v>
      </c>
      <c r="C83" s="68">
        <v>76</v>
      </c>
      <c r="D83" s="69" t="s">
        <v>46</v>
      </c>
      <c r="E83" s="70" t="s">
        <v>46</v>
      </c>
      <c r="G83" s="67">
        <v>1505</v>
      </c>
      <c r="H83" s="68">
        <v>76</v>
      </c>
      <c r="I83" s="69" t="s">
        <v>46</v>
      </c>
      <c r="J83" s="70" t="s">
        <v>46</v>
      </c>
      <c r="L83" s="67">
        <v>1508</v>
      </c>
      <c r="M83" s="68">
        <v>76</v>
      </c>
      <c r="N83" s="69" t="s">
        <v>46</v>
      </c>
      <c r="O83" s="70" t="s">
        <v>46</v>
      </c>
      <c r="Q83" s="41">
        <v>1602</v>
      </c>
      <c r="R83" s="42">
        <v>76</v>
      </c>
      <c r="S83" s="43" t="s">
        <v>46</v>
      </c>
      <c r="T83" s="44" t="s">
        <v>46</v>
      </c>
      <c r="V83" s="41">
        <v>1605</v>
      </c>
      <c r="W83" s="33">
        <v>76</v>
      </c>
      <c r="X83" s="43" t="s">
        <v>46</v>
      </c>
      <c r="Y83" s="44" t="s">
        <v>46</v>
      </c>
      <c r="AA83" s="41">
        <v>1608</v>
      </c>
      <c r="AB83" s="33">
        <v>76</v>
      </c>
      <c r="AC83" s="43" t="s">
        <v>46</v>
      </c>
      <c r="AD83" s="44" t="s">
        <v>46</v>
      </c>
      <c r="AF83" s="41">
        <v>1702</v>
      </c>
      <c r="AG83" s="33">
        <v>76</v>
      </c>
      <c r="AH83" s="43" t="s">
        <v>46</v>
      </c>
      <c r="AI83" s="44" t="s">
        <v>46</v>
      </c>
      <c r="AK83" s="41">
        <v>1705</v>
      </c>
      <c r="AL83" s="33">
        <v>76</v>
      </c>
      <c r="AM83" s="43" t="s">
        <v>46</v>
      </c>
      <c r="AN83" s="44" t="s">
        <v>46</v>
      </c>
      <c r="AP83" s="41">
        <v>1708</v>
      </c>
      <c r="AQ83" s="33">
        <v>76</v>
      </c>
      <c r="AR83" s="43" t="s">
        <v>46</v>
      </c>
      <c r="AS83" s="44" t="s">
        <v>46</v>
      </c>
      <c r="AU83" s="67">
        <v>1802</v>
      </c>
      <c r="AV83" s="68">
        <v>76</v>
      </c>
      <c r="AW83" s="69" t="s">
        <v>46</v>
      </c>
      <c r="AX83" s="70" t="s">
        <v>46</v>
      </c>
      <c r="AZ83" s="67">
        <v>1805</v>
      </c>
      <c r="BA83" s="83">
        <v>76</v>
      </c>
      <c r="BB83" s="69" t="s">
        <v>46</v>
      </c>
      <c r="BC83" s="70" t="s">
        <v>46</v>
      </c>
      <c r="BE83" s="67">
        <v>1808</v>
      </c>
      <c r="BF83" s="83">
        <v>76</v>
      </c>
      <c r="BG83" s="69" t="s">
        <v>46</v>
      </c>
      <c r="BH83" s="70" t="s">
        <v>46</v>
      </c>
    </row>
    <row r="84" spans="1:60">
      <c r="A84" s="1"/>
      <c r="B84" s="67">
        <v>1502</v>
      </c>
      <c r="C84" s="68">
        <v>77</v>
      </c>
      <c r="D84" s="69" t="s">
        <v>6629</v>
      </c>
      <c r="E84" s="70" t="s">
        <v>1434</v>
      </c>
      <c r="G84" s="67">
        <v>1505</v>
      </c>
      <c r="H84" s="68">
        <v>77</v>
      </c>
      <c r="I84" s="69" t="s">
        <v>6630</v>
      </c>
      <c r="J84" s="70" t="s">
        <v>958</v>
      </c>
      <c r="L84" s="67">
        <v>1508</v>
      </c>
      <c r="M84" s="68">
        <v>77</v>
      </c>
      <c r="N84" s="69" t="s">
        <v>46</v>
      </c>
      <c r="O84" s="70" t="s">
        <v>46</v>
      </c>
      <c r="Q84" s="41">
        <v>1602</v>
      </c>
      <c r="R84" s="42">
        <v>77</v>
      </c>
      <c r="S84" s="43" t="s">
        <v>46</v>
      </c>
      <c r="T84" s="44" t="s">
        <v>46</v>
      </c>
      <c r="V84" s="41">
        <v>1605</v>
      </c>
      <c r="W84" s="33">
        <v>77</v>
      </c>
      <c r="X84" s="43" t="s">
        <v>46</v>
      </c>
      <c r="Y84" s="44" t="s">
        <v>46</v>
      </c>
      <c r="AA84" s="41">
        <v>1608</v>
      </c>
      <c r="AB84" s="33">
        <v>77</v>
      </c>
      <c r="AC84" s="43" t="s">
        <v>46</v>
      </c>
      <c r="AD84" s="44" t="s">
        <v>46</v>
      </c>
      <c r="AF84" s="41">
        <v>1702</v>
      </c>
      <c r="AG84" s="33">
        <v>77</v>
      </c>
      <c r="AH84" s="43" t="s">
        <v>6629</v>
      </c>
      <c r="AI84" s="44" t="s">
        <v>1434</v>
      </c>
      <c r="AK84" s="41">
        <v>1705</v>
      </c>
      <c r="AL84" s="33">
        <v>77</v>
      </c>
      <c r="AM84" s="43" t="s">
        <v>6630</v>
      </c>
      <c r="AN84" s="44" t="s">
        <v>958</v>
      </c>
      <c r="AP84" s="41">
        <v>1708</v>
      </c>
      <c r="AQ84" s="33">
        <v>77</v>
      </c>
      <c r="AR84" s="43" t="s">
        <v>46</v>
      </c>
      <c r="AS84" s="44" t="s">
        <v>46</v>
      </c>
      <c r="AU84" s="67">
        <v>1802</v>
      </c>
      <c r="AV84" s="68">
        <v>77</v>
      </c>
      <c r="AW84" s="69" t="s">
        <v>46</v>
      </c>
      <c r="AX84" s="70" t="s">
        <v>46</v>
      </c>
      <c r="AZ84" s="67">
        <v>1805</v>
      </c>
      <c r="BA84" s="83">
        <v>77</v>
      </c>
      <c r="BB84" s="69" t="s">
        <v>46</v>
      </c>
      <c r="BC84" s="70" t="s">
        <v>46</v>
      </c>
      <c r="BE84" s="67">
        <v>1808</v>
      </c>
      <c r="BF84" s="83">
        <v>77</v>
      </c>
      <c r="BG84" s="69" t="s">
        <v>46</v>
      </c>
      <c r="BH84" s="70" t="s">
        <v>46</v>
      </c>
    </row>
    <row r="85" spans="1:60">
      <c r="A85" s="1"/>
      <c r="B85" s="67">
        <v>1502</v>
      </c>
      <c r="C85" s="68">
        <v>78</v>
      </c>
      <c r="D85" s="69" t="s">
        <v>46</v>
      </c>
      <c r="E85" s="70" t="s">
        <v>46</v>
      </c>
      <c r="G85" s="67">
        <v>1505</v>
      </c>
      <c r="H85" s="68">
        <v>78</v>
      </c>
      <c r="I85" s="69" t="s">
        <v>46</v>
      </c>
      <c r="J85" s="70" t="s">
        <v>46</v>
      </c>
      <c r="L85" s="67">
        <v>1508</v>
      </c>
      <c r="M85" s="68">
        <v>78</v>
      </c>
      <c r="N85" s="69" t="s">
        <v>46</v>
      </c>
      <c r="O85" s="70" t="s">
        <v>46</v>
      </c>
      <c r="Q85" s="41">
        <v>1602</v>
      </c>
      <c r="R85" s="42">
        <v>78</v>
      </c>
      <c r="S85" s="43" t="s">
        <v>46</v>
      </c>
      <c r="T85" s="44" t="s">
        <v>46</v>
      </c>
      <c r="V85" s="41">
        <v>1605</v>
      </c>
      <c r="W85" s="33">
        <v>78</v>
      </c>
      <c r="X85" s="43" t="s">
        <v>46</v>
      </c>
      <c r="Y85" s="44" t="s">
        <v>46</v>
      </c>
      <c r="AA85" s="41">
        <v>1608</v>
      </c>
      <c r="AB85" s="33">
        <v>78</v>
      </c>
      <c r="AC85" s="43" t="s">
        <v>46</v>
      </c>
      <c r="AD85" s="44" t="s">
        <v>46</v>
      </c>
      <c r="AF85" s="41">
        <v>1702</v>
      </c>
      <c r="AG85" s="33">
        <v>78</v>
      </c>
      <c r="AH85" s="43" t="s">
        <v>46</v>
      </c>
      <c r="AI85" s="44" t="s">
        <v>46</v>
      </c>
      <c r="AK85" s="41">
        <v>1705</v>
      </c>
      <c r="AL85" s="33">
        <v>78</v>
      </c>
      <c r="AM85" s="43" t="s">
        <v>46</v>
      </c>
      <c r="AN85" s="44" t="s">
        <v>46</v>
      </c>
      <c r="AP85" s="41">
        <v>1708</v>
      </c>
      <c r="AQ85" s="33">
        <v>78</v>
      </c>
      <c r="AR85" s="43" t="s">
        <v>46</v>
      </c>
      <c r="AS85" s="44" t="s">
        <v>46</v>
      </c>
      <c r="AU85" s="67">
        <v>1802</v>
      </c>
      <c r="AV85" s="68">
        <v>78</v>
      </c>
      <c r="AW85" s="69" t="s">
        <v>46</v>
      </c>
      <c r="AX85" s="70" t="s">
        <v>46</v>
      </c>
      <c r="AZ85" s="67">
        <v>1805</v>
      </c>
      <c r="BA85" s="83">
        <v>78</v>
      </c>
      <c r="BB85" s="69" t="s">
        <v>46</v>
      </c>
      <c r="BC85" s="70" t="s">
        <v>46</v>
      </c>
      <c r="BE85" s="67">
        <v>1808</v>
      </c>
      <c r="BF85" s="83">
        <v>78</v>
      </c>
      <c r="BG85" s="69" t="s">
        <v>46</v>
      </c>
      <c r="BH85" s="70" t="s">
        <v>46</v>
      </c>
    </row>
    <row r="86" spans="1:60">
      <c r="A86" s="1"/>
      <c r="B86" s="67">
        <v>1502</v>
      </c>
      <c r="C86" s="68">
        <v>79</v>
      </c>
      <c r="D86" s="69" t="s">
        <v>6631</v>
      </c>
      <c r="E86" s="70" t="s">
        <v>1299</v>
      </c>
      <c r="G86" s="67">
        <v>1505</v>
      </c>
      <c r="H86" s="68">
        <v>79</v>
      </c>
      <c r="I86" s="69" t="s">
        <v>6632</v>
      </c>
      <c r="J86" s="70" t="s">
        <v>1033</v>
      </c>
      <c r="L86" s="67">
        <v>1508</v>
      </c>
      <c r="M86" s="68">
        <v>79</v>
      </c>
      <c r="N86" s="69" t="s">
        <v>46</v>
      </c>
      <c r="O86" s="70" t="s">
        <v>46</v>
      </c>
      <c r="Q86" s="41">
        <v>1602</v>
      </c>
      <c r="R86" s="42">
        <v>79</v>
      </c>
      <c r="S86" s="43" t="s">
        <v>46</v>
      </c>
      <c r="T86" s="44" t="s">
        <v>46</v>
      </c>
      <c r="V86" s="41">
        <v>1605</v>
      </c>
      <c r="W86" s="33">
        <v>79</v>
      </c>
      <c r="X86" s="43" t="s">
        <v>46</v>
      </c>
      <c r="Y86" s="44" t="s">
        <v>46</v>
      </c>
      <c r="AA86" s="41">
        <v>1608</v>
      </c>
      <c r="AB86" s="33">
        <v>79</v>
      </c>
      <c r="AC86" s="43" t="s">
        <v>46</v>
      </c>
      <c r="AD86" s="44" t="s">
        <v>46</v>
      </c>
      <c r="AF86" s="41">
        <v>1702</v>
      </c>
      <c r="AG86" s="33">
        <v>79</v>
      </c>
      <c r="AH86" s="43" t="s">
        <v>6631</v>
      </c>
      <c r="AI86" s="44" t="s">
        <v>1299</v>
      </c>
      <c r="AK86" s="41">
        <v>1705</v>
      </c>
      <c r="AL86" s="33">
        <v>79</v>
      </c>
      <c r="AM86" s="43" t="s">
        <v>6632</v>
      </c>
      <c r="AN86" s="44" t="s">
        <v>1033</v>
      </c>
      <c r="AP86" s="41">
        <v>1708</v>
      </c>
      <c r="AQ86" s="33">
        <v>79</v>
      </c>
      <c r="AR86" s="43" t="s">
        <v>46</v>
      </c>
      <c r="AS86" s="44" t="s">
        <v>46</v>
      </c>
      <c r="AU86" s="67">
        <v>1802</v>
      </c>
      <c r="AV86" s="68">
        <v>79</v>
      </c>
      <c r="AW86" s="69" t="s">
        <v>46</v>
      </c>
      <c r="AX86" s="70" t="s">
        <v>46</v>
      </c>
      <c r="AZ86" s="67">
        <v>1805</v>
      </c>
      <c r="BA86" s="83">
        <v>79</v>
      </c>
      <c r="BB86" s="69" t="s">
        <v>46</v>
      </c>
      <c r="BC86" s="70" t="s">
        <v>46</v>
      </c>
      <c r="BE86" s="67">
        <v>1808</v>
      </c>
      <c r="BF86" s="83">
        <v>79</v>
      </c>
      <c r="BG86" s="69" t="s">
        <v>46</v>
      </c>
      <c r="BH86" s="70" t="s">
        <v>46</v>
      </c>
    </row>
    <row r="87" spans="1:60" ht="15" thickBot="1">
      <c r="A87" s="1"/>
      <c r="B87" s="71">
        <v>1502</v>
      </c>
      <c r="C87" s="72">
        <v>80</v>
      </c>
      <c r="D87" s="73" t="s">
        <v>6633</v>
      </c>
      <c r="E87" s="74" t="s">
        <v>1214</v>
      </c>
      <c r="G87" s="71">
        <v>1505</v>
      </c>
      <c r="H87" s="72">
        <v>80</v>
      </c>
      <c r="I87" s="73" t="s">
        <v>46</v>
      </c>
      <c r="J87" s="74" t="s">
        <v>46</v>
      </c>
      <c r="L87" s="71">
        <v>1508</v>
      </c>
      <c r="M87" s="72">
        <v>80</v>
      </c>
      <c r="N87" s="73" t="s">
        <v>46</v>
      </c>
      <c r="O87" s="74" t="s">
        <v>46</v>
      </c>
      <c r="Q87" s="45">
        <v>1602</v>
      </c>
      <c r="R87" s="46">
        <v>80</v>
      </c>
      <c r="S87" s="47" t="s">
        <v>46</v>
      </c>
      <c r="T87" s="48" t="s">
        <v>46</v>
      </c>
      <c r="V87" s="45">
        <v>1605</v>
      </c>
      <c r="W87" s="57">
        <v>80</v>
      </c>
      <c r="X87" s="47" t="s">
        <v>46</v>
      </c>
      <c r="Y87" s="48" t="s">
        <v>46</v>
      </c>
      <c r="AA87" s="45">
        <v>1608</v>
      </c>
      <c r="AB87" s="57">
        <v>80</v>
      </c>
      <c r="AC87" s="47" t="s">
        <v>46</v>
      </c>
      <c r="AD87" s="48" t="s">
        <v>46</v>
      </c>
      <c r="AF87" s="45">
        <v>1702</v>
      </c>
      <c r="AG87" s="57">
        <v>80</v>
      </c>
      <c r="AH87" s="47" t="s">
        <v>6633</v>
      </c>
      <c r="AI87" s="48" t="s">
        <v>1214</v>
      </c>
      <c r="AK87" s="45">
        <v>1705</v>
      </c>
      <c r="AL87" s="57">
        <v>80</v>
      </c>
      <c r="AM87" s="47" t="s">
        <v>46</v>
      </c>
      <c r="AN87" s="48" t="s">
        <v>46</v>
      </c>
      <c r="AP87" s="45">
        <v>1708</v>
      </c>
      <c r="AQ87" s="57">
        <v>80</v>
      </c>
      <c r="AR87" s="47" t="s">
        <v>46</v>
      </c>
      <c r="AS87" s="48" t="s">
        <v>46</v>
      </c>
      <c r="AU87" s="71">
        <v>1802</v>
      </c>
      <c r="AV87" s="72">
        <v>80</v>
      </c>
      <c r="AW87" s="73" t="s">
        <v>46</v>
      </c>
      <c r="AX87" s="74" t="s">
        <v>46</v>
      </c>
      <c r="AZ87" s="71">
        <v>1805</v>
      </c>
      <c r="BA87" s="84">
        <v>80</v>
      </c>
      <c r="BB87" s="73" t="s">
        <v>46</v>
      </c>
      <c r="BC87" s="74" t="s">
        <v>46</v>
      </c>
      <c r="BE87" s="71">
        <v>1808</v>
      </c>
      <c r="BF87" s="84">
        <v>80</v>
      </c>
      <c r="BG87" s="73" t="s">
        <v>46</v>
      </c>
      <c r="BH87" s="74" t="s">
        <v>46</v>
      </c>
    </row>
    <row r="88" spans="1:60">
      <c r="A88" s="1"/>
      <c r="B88" s="63">
        <v>1502</v>
      </c>
      <c r="C88" s="64">
        <v>81</v>
      </c>
      <c r="D88" s="77" t="s">
        <v>6634</v>
      </c>
      <c r="E88" s="66" t="s">
        <v>1294</v>
      </c>
      <c r="G88" s="63">
        <v>1505</v>
      </c>
      <c r="H88" s="64">
        <v>81</v>
      </c>
      <c r="I88" s="77" t="s">
        <v>6635</v>
      </c>
      <c r="J88" s="66" t="s">
        <v>1169</v>
      </c>
      <c r="L88" s="63">
        <v>1508</v>
      </c>
      <c r="M88" s="64">
        <v>81</v>
      </c>
      <c r="N88" s="77" t="s">
        <v>46</v>
      </c>
      <c r="O88" s="66" t="s">
        <v>46</v>
      </c>
      <c r="Q88" s="37">
        <v>1602</v>
      </c>
      <c r="R88" s="38">
        <v>81</v>
      </c>
      <c r="S88" s="51" t="s">
        <v>46</v>
      </c>
      <c r="T88" s="40" t="s">
        <v>46</v>
      </c>
      <c r="V88" s="37">
        <v>1605</v>
      </c>
      <c r="W88" s="56">
        <v>81</v>
      </c>
      <c r="X88" s="51" t="s">
        <v>46</v>
      </c>
      <c r="Y88" s="40" t="s">
        <v>46</v>
      </c>
      <c r="AA88" s="37">
        <v>1608</v>
      </c>
      <c r="AB88" s="56">
        <v>81</v>
      </c>
      <c r="AC88" s="51" t="s">
        <v>46</v>
      </c>
      <c r="AD88" s="40" t="s">
        <v>46</v>
      </c>
      <c r="AF88" s="37">
        <v>1702</v>
      </c>
      <c r="AG88" s="56">
        <v>81</v>
      </c>
      <c r="AH88" s="51" t="s">
        <v>6634</v>
      </c>
      <c r="AI88" s="40" t="s">
        <v>1294</v>
      </c>
      <c r="AK88" s="37">
        <v>1705</v>
      </c>
      <c r="AL88" s="56">
        <v>81</v>
      </c>
      <c r="AM88" s="51" t="s">
        <v>6635</v>
      </c>
      <c r="AN88" s="40" t="s">
        <v>1169</v>
      </c>
      <c r="AP88" s="37">
        <v>1708</v>
      </c>
      <c r="AQ88" s="56">
        <v>81</v>
      </c>
      <c r="AR88" s="51" t="s">
        <v>46</v>
      </c>
      <c r="AS88" s="40" t="s">
        <v>46</v>
      </c>
      <c r="AU88" s="63">
        <v>1802</v>
      </c>
      <c r="AV88" s="64">
        <v>81</v>
      </c>
      <c r="AW88" s="77" t="s">
        <v>46</v>
      </c>
      <c r="AX88" s="66" t="s">
        <v>46</v>
      </c>
      <c r="AZ88" s="63">
        <v>1805</v>
      </c>
      <c r="BA88" s="82">
        <v>81</v>
      </c>
      <c r="BB88" s="77" t="s">
        <v>46</v>
      </c>
      <c r="BC88" s="66" t="s">
        <v>46</v>
      </c>
      <c r="BE88" s="63">
        <v>1808</v>
      </c>
      <c r="BF88" s="82">
        <v>81</v>
      </c>
      <c r="BG88" s="77" t="s">
        <v>46</v>
      </c>
      <c r="BH88" s="66" t="s">
        <v>46</v>
      </c>
    </row>
    <row r="89" spans="1:60">
      <c r="A89" s="1"/>
      <c r="B89" s="67">
        <v>1502</v>
      </c>
      <c r="C89" s="68">
        <v>82</v>
      </c>
      <c r="D89" s="69" t="s">
        <v>46</v>
      </c>
      <c r="E89" s="70" t="s">
        <v>46</v>
      </c>
      <c r="G89" s="67">
        <v>1505</v>
      </c>
      <c r="H89" s="68">
        <v>82</v>
      </c>
      <c r="I89" s="69" t="s">
        <v>46</v>
      </c>
      <c r="J89" s="70" t="s">
        <v>46</v>
      </c>
      <c r="L89" s="67">
        <v>1508</v>
      </c>
      <c r="M89" s="68">
        <v>82</v>
      </c>
      <c r="N89" s="69" t="s">
        <v>46</v>
      </c>
      <c r="O89" s="70" t="s">
        <v>46</v>
      </c>
      <c r="Q89" s="41">
        <v>1602</v>
      </c>
      <c r="R89" s="42">
        <v>82</v>
      </c>
      <c r="S89" s="43" t="s">
        <v>46</v>
      </c>
      <c r="T89" s="44" t="s">
        <v>46</v>
      </c>
      <c r="V89" s="41">
        <v>1605</v>
      </c>
      <c r="W89" s="33">
        <v>82</v>
      </c>
      <c r="X89" s="43" t="s">
        <v>46</v>
      </c>
      <c r="Y89" s="44" t="s">
        <v>46</v>
      </c>
      <c r="AA89" s="41">
        <v>1608</v>
      </c>
      <c r="AB89" s="33">
        <v>82</v>
      </c>
      <c r="AC89" s="43" t="s">
        <v>46</v>
      </c>
      <c r="AD89" s="44" t="s">
        <v>46</v>
      </c>
      <c r="AF89" s="41">
        <v>1702</v>
      </c>
      <c r="AG89" s="33">
        <v>82</v>
      </c>
      <c r="AH89" s="43" t="s">
        <v>46</v>
      </c>
      <c r="AI89" s="44" t="s">
        <v>46</v>
      </c>
      <c r="AK89" s="41">
        <v>1705</v>
      </c>
      <c r="AL89" s="33">
        <v>82</v>
      </c>
      <c r="AM89" s="43" t="s">
        <v>46</v>
      </c>
      <c r="AN89" s="44" t="s">
        <v>46</v>
      </c>
      <c r="AP89" s="41">
        <v>1708</v>
      </c>
      <c r="AQ89" s="33">
        <v>82</v>
      </c>
      <c r="AR89" s="43" t="s">
        <v>46</v>
      </c>
      <c r="AS89" s="44" t="s">
        <v>46</v>
      </c>
      <c r="AU89" s="67">
        <v>1802</v>
      </c>
      <c r="AV89" s="68">
        <v>82</v>
      </c>
      <c r="AW89" s="69" t="s">
        <v>46</v>
      </c>
      <c r="AX89" s="70" t="s">
        <v>46</v>
      </c>
      <c r="AZ89" s="67">
        <v>1805</v>
      </c>
      <c r="BA89" s="83">
        <v>82</v>
      </c>
      <c r="BB89" s="69" t="s">
        <v>46</v>
      </c>
      <c r="BC89" s="70" t="s">
        <v>46</v>
      </c>
      <c r="BE89" s="67">
        <v>1808</v>
      </c>
      <c r="BF89" s="83">
        <v>82</v>
      </c>
      <c r="BG89" s="69" t="s">
        <v>46</v>
      </c>
      <c r="BH89" s="70" t="s">
        <v>46</v>
      </c>
    </row>
    <row r="90" spans="1:60">
      <c r="A90" s="1"/>
      <c r="B90" s="67">
        <v>1502</v>
      </c>
      <c r="C90" s="68">
        <v>83</v>
      </c>
      <c r="D90" s="69" t="s">
        <v>46</v>
      </c>
      <c r="E90" s="70" t="s">
        <v>46</v>
      </c>
      <c r="G90" s="67">
        <v>1505</v>
      </c>
      <c r="H90" s="68">
        <v>83</v>
      </c>
      <c r="I90" s="69" t="s">
        <v>46</v>
      </c>
      <c r="J90" s="70" t="s">
        <v>46</v>
      </c>
      <c r="L90" s="67">
        <v>1508</v>
      </c>
      <c r="M90" s="68">
        <v>83</v>
      </c>
      <c r="N90" s="69" t="s">
        <v>46</v>
      </c>
      <c r="O90" s="70" t="s">
        <v>46</v>
      </c>
      <c r="Q90" s="41">
        <v>1602</v>
      </c>
      <c r="R90" s="42">
        <v>83</v>
      </c>
      <c r="S90" s="43" t="s">
        <v>6636</v>
      </c>
      <c r="T90" s="44" t="s">
        <v>1224</v>
      </c>
      <c r="V90" s="41">
        <v>1605</v>
      </c>
      <c r="W90" s="33">
        <v>83</v>
      </c>
      <c r="X90" s="43" t="s">
        <v>46</v>
      </c>
      <c r="Y90" s="44" t="s">
        <v>46</v>
      </c>
      <c r="AA90" s="41">
        <v>1608</v>
      </c>
      <c r="AB90" s="33">
        <v>83</v>
      </c>
      <c r="AC90" s="43" t="s">
        <v>46</v>
      </c>
      <c r="AD90" s="44" t="s">
        <v>46</v>
      </c>
      <c r="AF90" s="41">
        <v>1702</v>
      </c>
      <c r="AG90" s="33">
        <v>83</v>
      </c>
      <c r="AH90" s="43" t="s">
        <v>46</v>
      </c>
      <c r="AI90" s="44" t="s">
        <v>46</v>
      </c>
      <c r="AK90" s="41">
        <v>1705</v>
      </c>
      <c r="AL90" s="33">
        <v>83</v>
      </c>
      <c r="AM90" s="43" t="s">
        <v>46</v>
      </c>
      <c r="AN90" s="44" t="s">
        <v>46</v>
      </c>
      <c r="AP90" s="41">
        <v>1708</v>
      </c>
      <c r="AQ90" s="33">
        <v>83</v>
      </c>
      <c r="AR90" s="43" t="s">
        <v>46</v>
      </c>
      <c r="AS90" s="44" t="s">
        <v>46</v>
      </c>
      <c r="AU90" s="67">
        <v>1802</v>
      </c>
      <c r="AV90" s="68">
        <v>83</v>
      </c>
      <c r="AW90" s="69" t="s">
        <v>6636</v>
      </c>
      <c r="AX90" s="70" t="s">
        <v>1224</v>
      </c>
      <c r="AZ90" s="67">
        <v>1805</v>
      </c>
      <c r="BA90" s="83">
        <v>83</v>
      </c>
      <c r="BB90" s="69" t="s">
        <v>46</v>
      </c>
      <c r="BC90" s="70" t="s">
        <v>46</v>
      </c>
      <c r="BE90" s="67">
        <v>1808</v>
      </c>
      <c r="BF90" s="83">
        <v>83</v>
      </c>
      <c r="BG90" s="69" t="s">
        <v>46</v>
      </c>
      <c r="BH90" s="70" t="s">
        <v>46</v>
      </c>
    </row>
    <row r="91" spans="1:60">
      <c r="A91" s="1"/>
      <c r="B91" s="67">
        <v>1502</v>
      </c>
      <c r="C91" s="68">
        <v>84</v>
      </c>
      <c r="D91" s="69" t="s">
        <v>46</v>
      </c>
      <c r="E91" s="70" t="s">
        <v>46</v>
      </c>
      <c r="G91" s="67">
        <v>1505</v>
      </c>
      <c r="H91" s="68">
        <v>84</v>
      </c>
      <c r="I91" s="69" t="s">
        <v>46</v>
      </c>
      <c r="J91" s="70" t="s">
        <v>46</v>
      </c>
      <c r="L91" s="67">
        <v>1508</v>
      </c>
      <c r="M91" s="68">
        <v>84</v>
      </c>
      <c r="N91" s="69" t="s">
        <v>46</v>
      </c>
      <c r="O91" s="70" t="s">
        <v>46</v>
      </c>
      <c r="Q91" s="41">
        <v>1602</v>
      </c>
      <c r="R91" s="42">
        <v>84</v>
      </c>
      <c r="S91" s="43" t="s">
        <v>6637</v>
      </c>
      <c r="T91" s="44" t="s">
        <v>1249</v>
      </c>
      <c r="V91" s="41">
        <v>1605</v>
      </c>
      <c r="W91" s="33">
        <v>84</v>
      </c>
      <c r="X91" s="43" t="s">
        <v>46</v>
      </c>
      <c r="Y91" s="44" t="s">
        <v>46</v>
      </c>
      <c r="AA91" s="41">
        <v>1608</v>
      </c>
      <c r="AB91" s="33">
        <v>84</v>
      </c>
      <c r="AC91" s="43" t="s">
        <v>46</v>
      </c>
      <c r="AD91" s="44" t="s">
        <v>46</v>
      </c>
      <c r="AF91" s="41">
        <v>1702</v>
      </c>
      <c r="AG91" s="33">
        <v>84</v>
      </c>
      <c r="AH91" s="43" t="s">
        <v>46</v>
      </c>
      <c r="AI91" s="44" t="s">
        <v>46</v>
      </c>
      <c r="AK91" s="41">
        <v>1705</v>
      </c>
      <c r="AL91" s="33">
        <v>84</v>
      </c>
      <c r="AM91" s="43" t="s">
        <v>46</v>
      </c>
      <c r="AN91" s="44" t="s">
        <v>46</v>
      </c>
      <c r="AP91" s="41">
        <v>1708</v>
      </c>
      <c r="AQ91" s="33">
        <v>84</v>
      </c>
      <c r="AR91" s="43" t="s">
        <v>46</v>
      </c>
      <c r="AS91" s="44" t="s">
        <v>46</v>
      </c>
      <c r="AU91" s="67">
        <v>1802</v>
      </c>
      <c r="AV91" s="68">
        <v>84</v>
      </c>
      <c r="AW91" s="69" t="s">
        <v>6637</v>
      </c>
      <c r="AX91" s="70" t="s">
        <v>1249</v>
      </c>
      <c r="AZ91" s="67">
        <v>1805</v>
      </c>
      <c r="BA91" s="83">
        <v>84</v>
      </c>
      <c r="BB91" s="69" t="s">
        <v>46</v>
      </c>
      <c r="BC91" s="70" t="s">
        <v>46</v>
      </c>
      <c r="BE91" s="67">
        <v>1808</v>
      </c>
      <c r="BF91" s="83">
        <v>84</v>
      </c>
      <c r="BG91" s="69" t="s">
        <v>46</v>
      </c>
      <c r="BH91" s="70" t="s">
        <v>46</v>
      </c>
    </row>
    <row r="92" spans="1:60">
      <c r="A92" s="1"/>
      <c r="B92" s="67">
        <v>1501</v>
      </c>
      <c r="C92" s="68">
        <v>85</v>
      </c>
      <c r="D92" s="69" t="s">
        <v>46</v>
      </c>
      <c r="E92" s="70" t="s">
        <v>46</v>
      </c>
      <c r="G92" s="67">
        <v>1504</v>
      </c>
      <c r="H92" s="68">
        <v>85</v>
      </c>
      <c r="I92" s="69" t="s">
        <v>46</v>
      </c>
      <c r="J92" s="70" t="s">
        <v>46</v>
      </c>
      <c r="L92" s="67">
        <v>1507</v>
      </c>
      <c r="M92" s="68">
        <v>85</v>
      </c>
      <c r="N92" s="69" t="s">
        <v>46</v>
      </c>
      <c r="O92" s="70" t="s">
        <v>46</v>
      </c>
      <c r="Q92" s="41">
        <v>1603</v>
      </c>
      <c r="R92" s="42">
        <v>85</v>
      </c>
      <c r="S92" s="43" t="s">
        <v>46</v>
      </c>
      <c r="T92" s="44" t="s">
        <v>46</v>
      </c>
      <c r="V92" s="41">
        <v>1606</v>
      </c>
      <c r="W92" s="33">
        <v>85</v>
      </c>
      <c r="X92" s="43" t="s">
        <v>46</v>
      </c>
      <c r="Y92" s="44" t="s">
        <v>46</v>
      </c>
      <c r="AA92" s="41">
        <v>1609</v>
      </c>
      <c r="AB92" s="33">
        <v>85</v>
      </c>
      <c r="AC92" s="43" t="s">
        <v>46</v>
      </c>
      <c r="AD92" s="44" t="s">
        <v>46</v>
      </c>
      <c r="AF92" s="41">
        <v>1701</v>
      </c>
      <c r="AG92" s="33">
        <v>85</v>
      </c>
      <c r="AH92" s="43" t="s">
        <v>46</v>
      </c>
      <c r="AI92" s="44" t="s">
        <v>46</v>
      </c>
      <c r="AK92" s="41">
        <v>1704</v>
      </c>
      <c r="AL92" s="33">
        <v>85</v>
      </c>
      <c r="AM92" s="43" t="s">
        <v>46</v>
      </c>
      <c r="AN92" s="44" t="s">
        <v>46</v>
      </c>
      <c r="AP92" s="41">
        <v>1707</v>
      </c>
      <c r="AQ92" s="33">
        <v>85</v>
      </c>
      <c r="AR92" s="43" t="s">
        <v>46</v>
      </c>
      <c r="AS92" s="44" t="s">
        <v>46</v>
      </c>
      <c r="AU92" s="67">
        <v>1803</v>
      </c>
      <c r="AV92" s="68">
        <v>85</v>
      </c>
      <c r="AW92" s="69" t="s">
        <v>46</v>
      </c>
      <c r="AX92" s="70" t="s">
        <v>46</v>
      </c>
      <c r="AZ92" s="67">
        <v>1806</v>
      </c>
      <c r="BA92" s="83">
        <v>85</v>
      </c>
      <c r="BB92" s="69" t="s">
        <v>46</v>
      </c>
      <c r="BC92" s="70" t="s">
        <v>46</v>
      </c>
      <c r="BE92" s="67">
        <v>1809</v>
      </c>
      <c r="BF92" s="83">
        <v>85</v>
      </c>
      <c r="BG92" s="69" t="s">
        <v>46</v>
      </c>
      <c r="BH92" s="70" t="s">
        <v>46</v>
      </c>
    </row>
    <row r="93" spans="1:60">
      <c r="A93" s="1"/>
      <c r="B93" s="67">
        <v>1501</v>
      </c>
      <c r="C93" s="68">
        <v>86</v>
      </c>
      <c r="D93" s="69" t="s">
        <v>46</v>
      </c>
      <c r="E93" s="70" t="s">
        <v>46</v>
      </c>
      <c r="G93" s="67">
        <v>1504</v>
      </c>
      <c r="H93" s="68">
        <v>86</v>
      </c>
      <c r="I93" s="69" t="s">
        <v>46</v>
      </c>
      <c r="J93" s="70" t="s">
        <v>46</v>
      </c>
      <c r="L93" s="67">
        <v>1507</v>
      </c>
      <c r="M93" s="68">
        <v>86</v>
      </c>
      <c r="N93" s="69" t="s">
        <v>46</v>
      </c>
      <c r="O93" s="70" t="s">
        <v>46</v>
      </c>
      <c r="Q93" s="41">
        <v>1603</v>
      </c>
      <c r="R93" s="42">
        <v>86</v>
      </c>
      <c r="S93" s="43" t="s">
        <v>46</v>
      </c>
      <c r="T93" s="44" t="s">
        <v>46</v>
      </c>
      <c r="V93" s="41">
        <v>1606</v>
      </c>
      <c r="W93" s="33">
        <v>86</v>
      </c>
      <c r="X93" s="43" t="s">
        <v>46</v>
      </c>
      <c r="Y93" s="44" t="s">
        <v>46</v>
      </c>
      <c r="AA93" s="41">
        <v>1609</v>
      </c>
      <c r="AB93" s="33">
        <v>86</v>
      </c>
      <c r="AC93" s="43" t="s">
        <v>46</v>
      </c>
      <c r="AD93" s="44" t="s">
        <v>46</v>
      </c>
      <c r="AF93" s="41">
        <v>1701</v>
      </c>
      <c r="AG93" s="33">
        <v>86</v>
      </c>
      <c r="AH93" s="43" t="s">
        <v>46</v>
      </c>
      <c r="AI93" s="44" t="s">
        <v>46</v>
      </c>
      <c r="AK93" s="41">
        <v>1704</v>
      </c>
      <c r="AL93" s="33">
        <v>86</v>
      </c>
      <c r="AM93" s="43" t="s">
        <v>46</v>
      </c>
      <c r="AN93" s="44" t="s">
        <v>46</v>
      </c>
      <c r="AP93" s="41">
        <v>1707</v>
      </c>
      <c r="AQ93" s="33">
        <v>86</v>
      </c>
      <c r="AR93" s="43" t="s">
        <v>46</v>
      </c>
      <c r="AS93" s="44" t="s">
        <v>46</v>
      </c>
      <c r="AU93" s="67">
        <v>1803</v>
      </c>
      <c r="AV93" s="68">
        <v>86</v>
      </c>
      <c r="AW93" s="69" t="s">
        <v>46</v>
      </c>
      <c r="AX93" s="70" t="s">
        <v>46</v>
      </c>
      <c r="AZ93" s="67">
        <v>1806</v>
      </c>
      <c r="BA93" s="83">
        <v>86</v>
      </c>
      <c r="BB93" s="69" t="s">
        <v>46</v>
      </c>
      <c r="BC93" s="70" t="s">
        <v>46</v>
      </c>
      <c r="BE93" s="67">
        <v>1809</v>
      </c>
      <c r="BF93" s="83">
        <v>86</v>
      </c>
      <c r="BG93" s="69" t="s">
        <v>46</v>
      </c>
      <c r="BH93" s="70" t="s">
        <v>46</v>
      </c>
    </row>
    <row r="94" spans="1:60">
      <c r="A94" s="1"/>
      <c r="B94" s="67">
        <v>1501</v>
      </c>
      <c r="C94" s="68">
        <v>87</v>
      </c>
      <c r="D94" s="69" t="s">
        <v>46</v>
      </c>
      <c r="E94" s="70" t="s">
        <v>46</v>
      </c>
      <c r="G94" s="67">
        <v>1504</v>
      </c>
      <c r="H94" s="68">
        <v>87</v>
      </c>
      <c r="I94" s="69" t="s">
        <v>46</v>
      </c>
      <c r="J94" s="70" t="s">
        <v>46</v>
      </c>
      <c r="L94" s="67">
        <v>1507</v>
      </c>
      <c r="M94" s="68">
        <v>87</v>
      </c>
      <c r="N94" s="69" t="s">
        <v>46</v>
      </c>
      <c r="O94" s="70" t="s">
        <v>46</v>
      </c>
      <c r="Q94" s="41">
        <v>1603</v>
      </c>
      <c r="R94" s="42">
        <v>87</v>
      </c>
      <c r="S94" s="43" t="s">
        <v>46</v>
      </c>
      <c r="T94" s="44" t="s">
        <v>46</v>
      </c>
      <c r="V94" s="41">
        <v>1606</v>
      </c>
      <c r="W94" s="33">
        <v>87</v>
      </c>
      <c r="X94" s="43" t="s">
        <v>46</v>
      </c>
      <c r="Y94" s="44" t="s">
        <v>46</v>
      </c>
      <c r="AA94" s="41">
        <v>1609</v>
      </c>
      <c r="AB94" s="33">
        <v>87</v>
      </c>
      <c r="AC94" s="43" t="s">
        <v>46</v>
      </c>
      <c r="AD94" s="44" t="s">
        <v>46</v>
      </c>
      <c r="AF94" s="41">
        <v>1701</v>
      </c>
      <c r="AG94" s="33">
        <v>87</v>
      </c>
      <c r="AH94" s="43" t="s">
        <v>46</v>
      </c>
      <c r="AI94" s="44" t="s">
        <v>46</v>
      </c>
      <c r="AK94" s="41">
        <v>1704</v>
      </c>
      <c r="AL94" s="33">
        <v>87</v>
      </c>
      <c r="AM94" s="43" t="s">
        <v>46</v>
      </c>
      <c r="AN94" s="44" t="s">
        <v>46</v>
      </c>
      <c r="AP94" s="41">
        <v>1707</v>
      </c>
      <c r="AQ94" s="33">
        <v>87</v>
      </c>
      <c r="AR94" s="43" t="s">
        <v>46</v>
      </c>
      <c r="AS94" s="44" t="s">
        <v>46</v>
      </c>
      <c r="AU94" s="67">
        <v>1803</v>
      </c>
      <c r="AV94" s="68">
        <v>87</v>
      </c>
      <c r="AW94" s="69" t="s">
        <v>46</v>
      </c>
      <c r="AX94" s="70" t="s">
        <v>46</v>
      </c>
      <c r="AZ94" s="67">
        <v>1806</v>
      </c>
      <c r="BA94" s="83">
        <v>87</v>
      </c>
      <c r="BB94" s="69" t="s">
        <v>46</v>
      </c>
      <c r="BC94" s="70" t="s">
        <v>46</v>
      </c>
      <c r="BE94" s="67">
        <v>1809</v>
      </c>
      <c r="BF94" s="83">
        <v>87</v>
      </c>
      <c r="BG94" s="69" t="s">
        <v>46</v>
      </c>
      <c r="BH94" s="70" t="s">
        <v>46</v>
      </c>
    </row>
    <row r="95" spans="1:60">
      <c r="A95" s="1"/>
      <c r="B95" s="67">
        <v>1501</v>
      </c>
      <c r="C95" s="68">
        <v>88</v>
      </c>
      <c r="D95" s="69" t="s">
        <v>46</v>
      </c>
      <c r="E95" s="70" t="s">
        <v>46</v>
      </c>
      <c r="G95" s="67">
        <v>1504</v>
      </c>
      <c r="H95" s="68">
        <v>88</v>
      </c>
      <c r="I95" s="69" t="s">
        <v>46</v>
      </c>
      <c r="J95" s="70" t="s">
        <v>46</v>
      </c>
      <c r="L95" s="67">
        <v>1507</v>
      </c>
      <c r="M95" s="68">
        <v>88</v>
      </c>
      <c r="N95" s="69" t="s">
        <v>6638</v>
      </c>
      <c r="O95" s="70" t="s">
        <v>1199</v>
      </c>
      <c r="Q95" s="41">
        <v>1603</v>
      </c>
      <c r="R95" s="42">
        <v>88</v>
      </c>
      <c r="S95" s="43" t="s">
        <v>46</v>
      </c>
      <c r="T95" s="44" t="s">
        <v>46</v>
      </c>
      <c r="V95" s="41">
        <v>1606</v>
      </c>
      <c r="W95" s="33">
        <v>88</v>
      </c>
      <c r="X95" s="43" t="s">
        <v>46</v>
      </c>
      <c r="Y95" s="44" t="s">
        <v>46</v>
      </c>
      <c r="AA95" s="41">
        <v>1609</v>
      </c>
      <c r="AB95" s="33">
        <v>88</v>
      </c>
      <c r="AC95" s="43" t="s">
        <v>46</v>
      </c>
      <c r="AD95" s="44" t="s">
        <v>46</v>
      </c>
      <c r="AF95" s="41">
        <v>1701</v>
      </c>
      <c r="AG95" s="33">
        <v>88</v>
      </c>
      <c r="AH95" s="43" t="s">
        <v>46</v>
      </c>
      <c r="AI95" s="44" t="s">
        <v>46</v>
      </c>
      <c r="AK95" s="41">
        <v>1704</v>
      </c>
      <c r="AL95" s="33">
        <v>88</v>
      </c>
      <c r="AM95" s="43" t="s">
        <v>46</v>
      </c>
      <c r="AN95" s="44" t="s">
        <v>46</v>
      </c>
      <c r="AP95" s="41">
        <v>1707</v>
      </c>
      <c r="AQ95" s="33">
        <v>88</v>
      </c>
      <c r="AR95" s="43" t="s">
        <v>6638</v>
      </c>
      <c r="AS95" s="44" t="s">
        <v>1199</v>
      </c>
      <c r="AU95" s="67">
        <v>1803</v>
      </c>
      <c r="AV95" s="68">
        <v>88</v>
      </c>
      <c r="AW95" s="69" t="s">
        <v>46</v>
      </c>
      <c r="AX95" s="70" t="s">
        <v>46</v>
      </c>
      <c r="AZ95" s="67">
        <v>1806</v>
      </c>
      <c r="BA95" s="83">
        <v>88</v>
      </c>
      <c r="BB95" s="69" t="s">
        <v>46</v>
      </c>
      <c r="BC95" s="70" t="s">
        <v>46</v>
      </c>
      <c r="BE95" s="67">
        <v>1809</v>
      </c>
      <c r="BF95" s="83">
        <v>88</v>
      </c>
      <c r="BG95" s="69" t="s">
        <v>46</v>
      </c>
      <c r="BH95" s="70" t="s">
        <v>46</v>
      </c>
    </row>
    <row r="96" spans="1:60">
      <c r="A96" s="1"/>
      <c r="B96" s="67">
        <v>1501</v>
      </c>
      <c r="C96" s="68">
        <v>89</v>
      </c>
      <c r="D96" s="69" t="s">
        <v>46</v>
      </c>
      <c r="E96" s="70" t="s">
        <v>46</v>
      </c>
      <c r="G96" s="67">
        <v>1504</v>
      </c>
      <c r="H96" s="68">
        <v>89</v>
      </c>
      <c r="I96" s="69" t="s">
        <v>46</v>
      </c>
      <c r="J96" s="70" t="s">
        <v>46</v>
      </c>
      <c r="L96" s="67">
        <v>1507</v>
      </c>
      <c r="M96" s="68">
        <v>89</v>
      </c>
      <c r="N96" s="69" t="s">
        <v>46</v>
      </c>
      <c r="O96" s="70" t="s">
        <v>46</v>
      </c>
      <c r="Q96" s="41">
        <v>1603</v>
      </c>
      <c r="R96" s="42">
        <v>89</v>
      </c>
      <c r="S96" s="43" t="s">
        <v>46</v>
      </c>
      <c r="T96" s="44" t="s">
        <v>46</v>
      </c>
      <c r="V96" s="41">
        <v>1606</v>
      </c>
      <c r="W96" s="33">
        <v>89</v>
      </c>
      <c r="X96" s="43" t="s">
        <v>46</v>
      </c>
      <c r="Y96" s="44" t="s">
        <v>46</v>
      </c>
      <c r="AA96" s="41">
        <v>1609</v>
      </c>
      <c r="AB96" s="33">
        <v>89</v>
      </c>
      <c r="AC96" s="43" t="s">
        <v>46</v>
      </c>
      <c r="AD96" s="44" t="s">
        <v>46</v>
      </c>
      <c r="AF96" s="41">
        <v>1701</v>
      </c>
      <c r="AG96" s="33">
        <v>89</v>
      </c>
      <c r="AH96" s="43" t="s">
        <v>46</v>
      </c>
      <c r="AI96" s="44" t="s">
        <v>46</v>
      </c>
      <c r="AK96" s="41">
        <v>1704</v>
      </c>
      <c r="AL96" s="33">
        <v>89</v>
      </c>
      <c r="AM96" s="43" t="s">
        <v>46</v>
      </c>
      <c r="AN96" s="44" t="s">
        <v>46</v>
      </c>
      <c r="AP96" s="41">
        <v>1707</v>
      </c>
      <c r="AQ96" s="33">
        <v>89</v>
      </c>
      <c r="AR96" s="43" t="s">
        <v>46</v>
      </c>
      <c r="AS96" s="44" t="s">
        <v>46</v>
      </c>
      <c r="AU96" s="67">
        <v>1803</v>
      </c>
      <c r="AV96" s="68">
        <v>89</v>
      </c>
      <c r="AW96" s="69" t="s">
        <v>46</v>
      </c>
      <c r="AX96" s="70" t="s">
        <v>46</v>
      </c>
      <c r="AZ96" s="67">
        <v>1806</v>
      </c>
      <c r="BA96" s="83">
        <v>89</v>
      </c>
      <c r="BB96" s="69" t="s">
        <v>46</v>
      </c>
      <c r="BC96" s="70" t="s">
        <v>46</v>
      </c>
      <c r="BE96" s="67">
        <v>1809</v>
      </c>
      <c r="BF96" s="83">
        <v>89</v>
      </c>
      <c r="BG96" s="69" t="s">
        <v>46</v>
      </c>
      <c r="BH96" s="70" t="s">
        <v>46</v>
      </c>
    </row>
    <row r="97" spans="1:60">
      <c r="A97" s="1"/>
      <c r="B97" s="67">
        <v>1501</v>
      </c>
      <c r="C97" s="68">
        <v>90</v>
      </c>
      <c r="D97" s="69" t="s">
        <v>46</v>
      </c>
      <c r="E97" s="70" t="s">
        <v>46</v>
      </c>
      <c r="G97" s="67">
        <v>1504</v>
      </c>
      <c r="H97" s="68">
        <v>90</v>
      </c>
      <c r="I97" s="69" t="s">
        <v>6639</v>
      </c>
      <c r="J97" s="70" t="s">
        <v>1419</v>
      </c>
      <c r="L97" s="67">
        <v>1507</v>
      </c>
      <c r="M97" s="68">
        <v>90</v>
      </c>
      <c r="N97" s="69" t="s">
        <v>46</v>
      </c>
      <c r="O97" s="70" t="s">
        <v>46</v>
      </c>
      <c r="Q97" s="41">
        <v>1603</v>
      </c>
      <c r="R97" s="42">
        <v>90</v>
      </c>
      <c r="S97" s="43" t="s">
        <v>46</v>
      </c>
      <c r="T97" s="44" t="s">
        <v>46</v>
      </c>
      <c r="V97" s="41">
        <v>1606</v>
      </c>
      <c r="W97" s="33">
        <v>90</v>
      </c>
      <c r="X97" s="43" t="s">
        <v>46</v>
      </c>
      <c r="Y97" s="44" t="s">
        <v>46</v>
      </c>
      <c r="AA97" s="41">
        <v>1609</v>
      </c>
      <c r="AB97" s="33">
        <v>90</v>
      </c>
      <c r="AC97" s="43" t="s">
        <v>46</v>
      </c>
      <c r="AD97" s="44" t="s">
        <v>46</v>
      </c>
      <c r="AF97" s="41">
        <v>1701</v>
      </c>
      <c r="AG97" s="33">
        <v>90</v>
      </c>
      <c r="AH97" s="43" t="s">
        <v>46</v>
      </c>
      <c r="AI97" s="44" t="s">
        <v>46</v>
      </c>
      <c r="AK97" s="41">
        <v>1704</v>
      </c>
      <c r="AL97" s="33">
        <v>90</v>
      </c>
      <c r="AM97" s="43" t="s">
        <v>6639</v>
      </c>
      <c r="AN97" s="44" t="s">
        <v>1419</v>
      </c>
      <c r="AP97" s="41">
        <v>1707</v>
      </c>
      <c r="AQ97" s="33">
        <v>90</v>
      </c>
      <c r="AR97" s="43" t="s">
        <v>46</v>
      </c>
      <c r="AS97" s="44" t="s">
        <v>46</v>
      </c>
      <c r="AU97" s="67">
        <v>1803</v>
      </c>
      <c r="AV97" s="68">
        <v>90</v>
      </c>
      <c r="AW97" s="69" t="s">
        <v>46</v>
      </c>
      <c r="AX97" s="70" t="s">
        <v>46</v>
      </c>
      <c r="AZ97" s="67">
        <v>1806</v>
      </c>
      <c r="BA97" s="83">
        <v>90</v>
      </c>
      <c r="BB97" s="69" t="s">
        <v>46</v>
      </c>
      <c r="BC97" s="70" t="s">
        <v>46</v>
      </c>
      <c r="BE97" s="67">
        <v>1809</v>
      </c>
      <c r="BF97" s="83">
        <v>90</v>
      </c>
      <c r="BG97" s="69" t="s">
        <v>46</v>
      </c>
      <c r="BH97" s="70" t="s">
        <v>46</v>
      </c>
    </row>
    <row r="98" spans="1:60">
      <c r="A98" s="1"/>
      <c r="B98" s="67">
        <v>1501</v>
      </c>
      <c r="C98" s="68">
        <v>91</v>
      </c>
      <c r="D98" s="69" t="s">
        <v>6640</v>
      </c>
      <c r="E98" s="70" t="s">
        <v>1429</v>
      </c>
      <c r="G98" s="67">
        <v>1504</v>
      </c>
      <c r="H98" s="68">
        <v>91</v>
      </c>
      <c r="I98" s="69" t="s">
        <v>46</v>
      </c>
      <c r="J98" s="70" t="s">
        <v>46</v>
      </c>
      <c r="L98" s="67">
        <v>1507</v>
      </c>
      <c r="M98" s="68">
        <v>91</v>
      </c>
      <c r="N98" s="69" t="s">
        <v>46</v>
      </c>
      <c r="O98" s="70" t="s">
        <v>46</v>
      </c>
      <c r="Q98" s="41">
        <v>1603</v>
      </c>
      <c r="R98" s="42">
        <v>91</v>
      </c>
      <c r="S98" s="43" t="s">
        <v>46</v>
      </c>
      <c r="T98" s="44" t="s">
        <v>46</v>
      </c>
      <c r="V98" s="41">
        <v>1606</v>
      </c>
      <c r="W98" s="33">
        <v>91</v>
      </c>
      <c r="X98" s="43" t="s">
        <v>46</v>
      </c>
      <c r="Y98" s="44" t="s">
        <v>46</v>
      </c>
      <c r="AA98" s="41">
        <v>1609</v>
      </c>
      <c r="AB98" s="33">
        <v>91</v>
      </c>
      <c r="AC98" s="43" t="s">
        <v>46</v>
      </c>
      <c r="AD98" s="44" t="s">
        <v>46</v>
      </c>
      <c r="AF98" s="41">
        <v>1701</v>
      </c>
      <c r="AG98" s="33">
        <v>91</v>
      </c>
      <c r="AH98" s="43" t="s">
        <v>6640</v>
      </c>
      <c r="AI98" s="44" t="s">
        <v>1429</v>
      </c>
      <c r="AK98" s="41">
        <v>1704</v>
      </c>
      <c r="AL98" s="33">
        <v>91</v>
      </c>
      <c r="AM98" s="43" t="s">
        <v>46</v>
      </c>
      <c r="AN98" s="44" t="s">
        <v>46</v>
      </c>
      <c r="AP98" s="41">
        <v>1707</v>
      </c>
      <c r="AQ98" s="33">
        <v>91</v>
      </c>
      <c r="AR98" s="43" t="s">
        <v>46</v>
      </c>
      <c r="AS98" s="44" t="s">
        <v>46</v>
      </c>
      <c r="AU98" s="67">
        <v>1803</v>
      </c>
      <c r="AV98" s="68">
        <v>91</v>
      </c>
      <c r="AW98" s="69" t="s">
        <v>46</v>
      </c>
      <c r="AX98" s="70" t="s">
        <v>46</v>
      </c>
      <c r="AZ98" s="67">
        <v>1806</v>
      </c>
      <c r="BA98" s="83">
        <v>91</v>
      </c>
      <c r="BB98" s="69" t="s">
        <v>46</v>
      </c>
      <c r="BC98" s="70" t="s">
        <v>46</v>
      </c>
      <c r="BE98" s="67">
        <v>1809</v>
      </c>
      <c r="BF98" s="83">
        <v>91</v>
      </c>
      <c r="BG98" s="69" t="s">
        <v>46</v>
      </c>
      <c r="BH98" s="70" t="s">
        <v>46</v>
      </c>
    </row>
    <row r="99" spans="1:60">
      <c r="A99" s="1"/>
      <c r="B99" s="67">
        <v>1501</v>
      </c>
      <c r="C99" s="68">
        <v>92</v>
      </c>
      <c r="D99" s="69" t="s">
        <v>46</v>
      </c>
      <c r="E99" s="70" t="s">
        <v>46</v>
      </c>
      <c r="G99" s="67">
        <v>1504</v>
      </c>
      <c r="H99" s="68">
        <v>92</v>
      </c>
      <c r="I99" s="69" t="s">
        <v>46</v>
      </c>
      <c r="J99" s="70" t="s">
        <v>46</v>
      </c>
      <c r="L99" s="67">
        <v>1507</v>
      </c>
      <c r="M99" s="68">
        <v>92</v>
      </c>
      <c r="N99" s="69" t="s">
        <v>46</v>
      </c>
      <c r="O99" s="70" t="s">
        <v>46</v>
      </c>
      <c r="Q99" s="41">
        <v>1603</v>
      </c>
      <c r="R99" s="42">
        <v>92</v>
      </c>
      <c r="S99" s="43" t="s">
        <v>46</v>
      </c>
      <c r="T99" s="44" t="s">
        <v>46</v>
      </c>
      <c r="V99" s="41">
        <v>1606</v>
      </c>
      <c r="W99" s="33">
        <v>92</v>
      </c>
      <c r="X99" s="43" t="s">
        <v>46</v>
      </c>
      <c r="Y99" s="44" t="s">
        <v>46</v>
      </c>
      <c r="AA99" s="41">
        <v>1609</v>
      </c>
      <c r="AB99" s="33">
        <v>92</v>
      </c>
      <c r="AC99" s="43" t="s">
        <v>46</v>
      </c>
      <c r="AD99" s="44" t="s">
        <v>46</v>
      </c>
      <c r="AF99" s="41">
        <v>1701</v>
      </c>
      <c r="AG99" s="33">
        <v>92</v>
      </c>
      <c r="AH99" s="43" t="s">
        <v>46</v>
      </c>
      <c r="AI99" s="44" t="s">
        <v>46</v>
      </c>
      <c r="AK99" s="41">
        <v>1704</v>
      </c>
      <c r="AL99" s="33">
        <v>92</v>
      </c>
      <c r="AM99" s="43" t="s">
        <v>46</v>
      </c>
      <c r="AN99" s="44" t="s">
        <v>46</v>
      </c>
      <c r="AP99" s="41">
        <v>1707</v>
      </c>
      <c r="AQ99" s="33">
        <v>92</v>
      </c>
      <c r="AR99" s="43" t="s">
        <v>46</v>
      </c>
      <c r="AS99" s="44" t="s">
        <v>46</v>
      </c>
      <c r="AU99" s="67">
        <v>1803</v>
      </c>
      <c r="AV99" s="68">
        <v>92</v>
      </c>
      <c r="AW99" s="69" t="s">
        <v>46</v>
      </c>
      <c r="AX99" s="70" t="s">
        <v>46</v>
      </c>
      <c r="AZ99" s="67">
        <v>1806</v>
      </c>
      <c r="BA99" s="83">
        <v>92</v>
      </c>
      <c r="BB99" s="69" t="s">
        <v>46</v>
      </c>
      <c r="BC99" s="70" t="s">
        <v>46</v>
      </c>
      <c r="BE99" s="67">
        <v>1809</v>
      </c>
      <c r="BF99" s="83">
        <v>92</v>
      </c>
      <c r="BG99" s="69" t="s">
        <v>46</v>
      </c>
      <c r="BH99" s="70" t="s">
        <v>46</v>
      </c>
    </row>
    <row r="100" spans="1:60">
      <c r="A100" s="1"/>
      <c r="B100" s="67">
        <v>1501</v>
      </c>
      <c r="C100" s="68">
        <v>93</v>
      </c>
      <c r="D100" s="69" t="s">
        <v>6641</v>
      </c>
      <c r="E100" s="70" t="s">
        <v>1444</v>
      </c>
      <c r="G100" s="67">
        <v>1504</v>
      </c>
      <c r="H100" s="68">
        <v>93</v>
      </c>
      <c r="I100" s="69" t="s">
        <v>46</v>
      </c>
      <c r="J100" s="70" t="s">
        <v>46</v>
      </c>
      <c r="L100" s="67">
        <v>1507</v>
      </c>
      <c r="M100" s="68">
        <v>93</v>
      </c>
      <c r="N100" s="69" t="s">
        <v>46</v>
      </c>
      <c r="O100" s="70" t="s">
        <v>46</v>
      </c>
      <c r="Q100" s="41">
        <v>1603</v>
      </c>
      <c r="R100" s="42">
        <v>93</v>
      </c>
      <c r="S100" s="43" t="s">
        <v>46</v>
      </c>
      <c r="T100" s="44" t="s">
        <v>46</v>
      </c>
      <c r="V100" s="41">
        <v>1606</v>
      </c>
      <c r="W100" s="33">
        <v>93</v>
      </c>
      <c r="X100" s="43" t="s">
        <v>46</v>
      </c>
      <c r="Y100" s="44" t="s">
        <v>46</v>
      </c>
      <c r="AA100" s="41">
        <v>1609</v>
      </c>
      <c r="AB100" s="33">
        <v>93</v>
      </c>
      <c r="AC100" s="43" t="s">
        <v>46</v>
      </c>
      <c r="AD100" s="44" t="s">
        <v>46</v>
      </c>
      <c r="AF100" s="41">
        <v>1701</v>
      </c>
      <c r="AG100" s="33">
        <v>93</v>
      </c>
      <c r="AH100" s="43" t="s">
        <v>6641</v>
      </c>
      <c r="AI100" s="44" t="s">
        <v>1444</v>
      </c>
      <c r="AK100" s="41">
        <v>1704</v>
      </c>
      <c r="AL100" s="33">
        <v>93</v>
      </c>
      <c r="AM100" s="43" t="s">
        <v>46</v>
      </c>
      <c r="AN100" s="44" t="s">
        <v>46</v>
      </c>
      <c r="AP100" s="41">
        <v>1707</v>
      </c>
      <c r="AQ100" s="33">
        <v>93</v>
      </c>
      <c r="AR100" s="43" t="s">
        <v>46</v>
      </c>
      <c r="AS100" s="44" t="s">
        <v>46</v>
      </c>
      <c r="AU100" s="67">
        <v>1803</v>
      </c>
      <c r="AV100" s="68">
        <v>93</v>
      </c>
      <c r="AW100" s="69" t="s">
        <v>46</v>
      </c>
      <c r="AX100" s="70" t="s">
        <v>46</v>
      </c>
      <c r="AZ100" s="67">
        <v>1806</v>
      </c>
      <c r="BA100" s="83">
        <v>93</v>
      </c>
      <c r="BB100" s="69" t="s">
        <v>46</v>
      </c>
      <c r="BC100" s="70" t="s">
        <v>46</v>
      </c>
      <c r="BE100" s="67">
        <v>1809</v>
      </c>
      <c r="BF100" s="83">
        <v>93</v>
      </c>
      <c r="BG100" s="69" t="s">
        <v>46</v>
      </c>
      <c r="BH100" s="70" t="s">
        <v>46</v>
      </c>
    </row>
    <row r="101" spans="1:60">
      <c r="A101" s="1"/>
      <c r="B101" s="67">
        <v>1501</v>
      </c>
      <c r="C101" s="68">
        <v>94</v>
      </c>
      <c r="D101" s="69" t="s">
        <v>46</v>
      </c>
      <c r="E101" s="70" t="s">
        <v>46</v>
      </c>
      <c r="G101" s="67">
        <v>1504</v>
      </c>
      <c r="H101" s="68">
        <v>94</v>
      </c>
      <c r="I101" s="69" t="s">
        <v>46</v>
      </c>
      <c r="J101" s="70" t="s">
        <v>46</v>
      </c>
      <c r="L101" s="67">
        <v>1507</v>
      </c>
      <c r="M101" s="68">
        <v>94</v>
      </c>
      <c r="N101" s="69" t="s">
        <v>46</v>
      </c>
      <c r="O101" s="70" t="s">
        <v>46</v>
      </c>
      <c r="Q101" s="41">
        <v>1603</v>
      </c>
      <c r="R101" s="42">
        <v>94</v>
      </c>
      <c r="S101" s="43" t="s">
        <v>46</v>
      </c>
      <c r="T101" s="44" t="s">
        <v>46</v>
      </c>
      <c r="V101" s="41">
        <v>1606</v>
      </c>
      <c r="W101" s="33">
        <v>94</v>
      </c>
      <c r="X101" s="43" t="s">
        <v>46</v>
      </c>
      <c r="Y101" s="44" t="s">
        <v>46</v>
      </c>
      <c r="AA101" s="41">
        <v>1609</v>
      </c>
      <c r="AB101" s="33">
        <v>94</v>
      </c>
      <c r="AC101" s="43" t="s">
        <v>46</v>
      </c>
      <c r="AD101" s="44" t="s">
        <v>46</v>
      </c>
      <c r="AF101" s="41">
        <v>1701</v>
      </c>
      <c r="AG101" s="33">
        <v>94</v>
      </c>
      <c r="AH101" s="43" t="s">
        <v>46</v>
      </c>
      <c r="AI101" s="44" t="s">
        <v>46</v>
      </c>
      <c r="AK101" s="41">
        <v>1704</v>
      </c>
      <c r="AL101" s="33">
        <v>94</v>
      </c>
      <c r="AM101" s="43" t="s">
        <v>46</v>
      </c>
      <c r="AN101" s="44" t="s">
        <v>46</v>
      </c>
      <c r="AP101" s="41">
        <v>1707</v>
      </c>
      <c r="AQ101" s="33">
        <v>94</v>
      </c>
      <c r="AR101" s="43" t="s">
        <v>46</v>
      </c>
      <c r="AS101" s="44" t="s">
        <v>46</v>
      </c>
      <c r="AU101" s="67">
        <v>1803</v>
      </c>
      <c r="AV101" s="68">
        <v>94</v>
      </c>
      <c r="AW101" s="69" t="s">
        <v>46</v>
      </c>
      <c r="AX101" s="70" t="s">
        <v>46</v>
      </c>
      <c r="AZ101" s="67">
        <v>1806</v>
      </c>
      <c r="BA101" s="83">
        <v>94</v>
      </c>
      <c r="BB101" s="69" t="s">
        <v>46</v>
      </c>
      <c r="BC101" s="70" t="s">
        <v>46</v>
      </c>
      <c r="BE101" s="67">
        <v>1809</v>
      </c>
      <c r="BF101" s="83">
        <v>94</v>
      </c>
      <c r="BG101" s="69" t="s">
        <v>46</v>
      </c>
      <c r="BH101" s="70" t="s">
        <v>46</v>
      </c>
    </row>
    <row r="102" spans="1:60">
      <c r="A102" s="1"/>
      <c r="B102" s="67">
        <v>1501</v>
      </c>
      <c r="C102" s="68">
        <v>95</v>
      </c>
      <c r="D102" s="69" t="s">
        <v>6642</v>
      </c>
      <c r="E102" s="70" t="s">
        <v>1459</v>
      </c>
      <c r="G102" s="67">
        <v>1504</v>
      </c>
      <c r="H102" s="68">
        <v>95</v>
      </c>
      <c r="I102" s="69" t="s">
        <v>46</v>
      </c>
      <c r="J102" s="70" t="s">
        <v>46</v>
      </c>
      <c r="L102" s="67">
        <v>1507</v>
      </c>
      <c r="M102" s="68">
        <v>95</v>
      </c>
      <c r="N102" s="69" t="s">
        <v>46</v>
      </c>
      <c r="O102" s="70" t="s">
        <v>46</v>
      </c>
      <c r="Q102" s="41">
        <v>1603</v>
      </c>
      <c r="R102" s="42">
        <v>95</v>
      </c>
      <c r="S102" s="43" t="s">
        <v>46</v>
      </c>
      <c r="T102" s="44" t="s">
        <v>46</v>
      </c>
      <c r="V102" s="41">
        <v>1606</v>
      </c>
      <c r="W102" s="33">
        <v>95</v>
      </c>
      <c r="X102" s="43" t="s">
        <v>46</v>
      </c>
      <c r="Y102" s="44" t="s">
        <v>46</v>
      </c>
      <c r="AA102" s="41">
        <v>1609</v>
      </c>
      <c r="AB102" s="33">
        <v>95</v>
      </c>
      <c r="AC102" s="43" t="s">
        <v>46</v>
      </c>
      <c r="AD102" s="44" t="s">
        <v>46</v>
      </c>
      <c r="AF102" s="41">
        <v>1701</v>
      </c>
      <c r="AG102" s="33">
        <v>95</v>
      </c>
      <c r="AH102" s="43" t="s">
        <v>6642</v>
      </c>
      <c r="AI102" s="44" t="s">
        <v>1459</v>
      </c>
      <c r="AK102" s="41">
        <v>1704</v>
      </c>
      <c r="AL102" s="33">
        <v>95</v>
      </c>
      <c r="AM102" s="43" t="s">
        <v>46</v>
      </c>
      <c r="AN102" s="44" t="s">
        <v>46</v>
      </c>
      <c r="AP102" s="41">
        <v>1707</v>
      </c>
      <c r="AQ102" s="33">
        <v>95</v>
      </c>
      <c r="AR102" s="43" t="s">
        <v>46</v>
      </c>
      <c r="AS102" s="44" t="s">
        <v>46</v>
      </c>
      <c r="AU102" s="67">
        <v>1803</v>
      </c>
      <c r="AV102" s="68">
        <v>95</v>
      </c>
      <c r="AW102" s="69" t="s">
        <v>46</v>
      </c>
      <c r="AX102" s="70" t="s">
        <v>46</v>
      </c>
      <c r="AZ102" s="67">
        <v>1806</v>
      </c>
      <c r="BA102" s="83">
        <v>95</v>
      </c>
      <c r="BB102" s="69" t="s">
        <v>46</v>
      </c>
      <c r="BC102" s="70" t="s">
        <v>46</v>
      </c>
      <c r="BE102" s="67">
        <v>1809</v>
      </c>
      <c r="BF102" s="83">
        <v>95</v>
      </c>
      <c r="BG102" s="69" t="s">
        <v>46</v>
      </c>
      <c r="BH102" s="70" t="s">
        <v>46</v>
      </c>
    </row>
    <row r="103" spans="1:60" ht="15" thickBot="1">
      <c r="A103" s="1"/>
      <c r="B103" s="71">
        <v>1501</v>
      </c>
      <c r="C103" s="72">
        <v>96</v>
      </c>
      <c r="D103" s="80" t="s">
        <v>46</v>
      </c>
      <c r="E103" s="74" t="s">
        <v>46</v>
      </c>
      <c r="G103" s="71">
        <v>1504</v>
      </c>
      <c r="H103" s="72">
        <v>96</v>
      </c>
      <c r="I103" s="80" t="s">
        <v>46</v>
      </c>
      <c r="J103" s="74" t="s">
        <v>46</v>
      </c>
      <c r="L103" s="71">
        <v>1507</v>
      </c>
      <c r="M103" s="72">
        <v>96</v>
      </c>
      <c r="N103" s="80" t="s">
        <v>46</v>
      </c>
      <c r="O103" s="74" t="s">
        <v>46</v>
      </c>
      <c r="Q103" s="45">
        <v>1603</v>
      </c>
      <c r="R103" s="46">
        <v>96</v>
      </c>
      <c r="S103" s="54" t="s">
        <v>46</v>
      </c>
      <c r="T103" s="48" t="s">
        <v>46</v>
      </c>
      <c r="V103" s="45">
        <v>1606</v>
      </c>
      <c r="W103" s="57">
        <v>96</v>
      </c>
      <c r="X103" s="54" t="s">
        <v>46</v>
      </c>
      <c r="Y103" s="48" t="s">
        <v>46</v>
      </c>
      <c r="AA103" s="45">
        <v>1609</v>
      </c>
      <c r="AB103" s="57">
        <v>96</v>
      </c>
      <c r="AC103" s="54" t="s">
        <v>46</v>
      </c>
      <c r="AD103" s="48" t="s">
        <v>46</v>
      </c>
      <c r="AF103" s="45">
        <v>1701</v>
      </c>
      <c r="AG103" s="57">
        <v>96</v>
      </c>
      <c r="AH103" s="54" t="s">
        <v>46</v>
      </c>
      <c r="AI103" s="48" t="s">
        <v>46</v>
      </c>
      <c r="AK103" s="45">
        <v>1704</v>
      </c>
      <c r="AL103" s="57">
        <v>96</v>
      </c>
      <c r="AM103" s="54" t="s">
        <v>46</v>
      </c>
      <c r="AN103" s="48" t="s">
        <v>46</v>
      </c>
      <c r="AP103" s="45">
        <v>1707</v>
      </c>
      <c r="AQ103" s="57">
        <v>96</v>
      </c>
      <c r="AR103" s="54" t="s">
        <v>46</v>
      </c>
      <c r="AS103" s="48" t="s">
        <v>46</v>
      </c>
      <c r="AU103" s="71">
        <v>1803</v>
      </c>
      <c r="AV103" s="72">
        <v>96</v>
      </c>
      <c r="AW103" s="80" t="s">
        <v>46</v>
      </c>
      <c r="AX103" s="74" t="s">
        <v>46</v>
      </c>
      <c r="AZ103" s="71">
        <v>1806</v>
      </c>
      <c r="BA103" s="84">
        <v>96</v>
      </c>
      <c r="BB103" s="80" t="s">
        <v>46</v>
      </c>
      <c r="BC103" s="74" t="s">
        <v>46</v>
      </c>
      <c r="BE103" s="71">
        <v>1809</v>
      </c>
      <c r="BF103" s="84">
        <v>96</v>
      </c>
      <c r="BG103" s="80" t="s">
        <v>46</v>
      </c>
      <c r="BH103" s="74" t="s">
        <v>46</v>
      </c>
    </row>
    <row r="104" spans="1:60">
      <c r="A104" s="1"/>
      <c r="B104" s="63">
        <v>1501</v>
      </c>
      <c r="C104" s="64">
        <v>97</v>
      </c>
      <c r="D104" s="81" t="s">
        <v>6643</v>
      </c>
      <c r="E104" s="66" t="s">
        <v>1424</v>
      </c>
      <c r="G104" s="63">
        <v>1504</v>
      </c>
      <c r="H104" s="64">
        <v>97</v>
      </c>
      <c r="I104" s="81" t="s">
        <v>46</v>
      </c>
      <c r="J104" s="66" t="s">
        <v>46</v>
      </c>
      <c r="L104" s="63">
        <v>1507</v>
      </c>
      <c r="M104" s="64">
        <v>97</v>
      </c>
      <c r="N104" s="81" t="s">
        <v>6644</v>
      </c>
      <c r="O104" s="66" t="s">
        <v>1163</v>
      </c>
      <c r="Q104" s="37">
        <v>1603</v>
      </c>
      <c r="R104" s="38">
        <v>97</v>
      </c>
      <c r="S104" s="55" t="s">
        <v>46</v>
      </c>
      <c r="T104" s="40" t="s">
        <v>46</v>
      </c>
      <c r="V104" s="37">
        <v>1606</v>
      </c>
      <c r="W104" s="56">
        <v>97</v>
      </c>
      <c r="X104" s="55" t="s">
        <v>46</v>
      </c>
      <c r="Y104" s="40" t="s">
        <v>46</v>
      </c>
      <c r="AA104" s="37">
        <v>1609</v>
      </c>
      <c r="AB104" s="56">
        <v>97</v>
      </c>
      <c r="AC104" s="55" t="s">
        <v>46</v>
      </c>
      <c r="AD104" s="40" t="s">
        <v>46</v>
      </c>
      <c r="AF104" s="37">
        <v>1701</v>
      </c>
      <c r="AG104" s="56">
        <v>97</v>
      </c>
      <c r="AH104" s="55" t="s">
        <v>6643</v>
      </c>
      <c r="AI104" s="40" t="s">
        <v>1424</v>
      </c>
      <c r="AK104" s="37">
        <v>1704</v>
      </c>
      <c r="AL104" s="56">
        <v>97</v>
      </c>
      <c r="AM104" s="55" t="s">
        <v>46</v>
      </c>
      <c r="AN104" s="40" t="s">
        <v>46</v>
      </c>
      <c r="AP104" s="37">
        <v>1707</v>
      </c>
      <c r="AQ104" s="56">
        <v>97</v>
      </c>
      <c r="AR104" s="55" t="s">
        <v>6644</v>
      </c>
      <c r="AS104" s="40" t="s">
        <v>1163</v>
      </c>
      <c r="AU104" s="63">
        <v>1803</v>
      </c>
      <c r="AV104" s="64">
        <v>97</v>
      </c>
      <c r="AW104" s="81" t="s">
        <v>46</v>
      </c>
      <c r="AX104" s="66" t="s">
        <v>46</v>
      </c>
      <c r="AZ104" s="63">
        <v>1806</v>
      </c>
      <c r="BA104" s="82">
        <v>97</v>
      </c>
      <c r="BB104" s="81" t="s">
        <v>46</v>
      </c>
      <c r="BC104" s="66" t="s">
        <v>46</v>
      </c>
      <c r="BE104" s="63">
        <v>1809</v>
      </c>
      <c r="BF104" s="82">
        <v>97</v>
      </c>
      <c r="BG104" s="81" t="s">
        <v>46</v>
      </c>
      <c r="BH104" s="66" t="s">
        <v>46</v>
      </c>
    </row>
    <row r="105" spans="1:60">
      <c r="A105" s="1"/>
      <c r="B105" s="67">
        <v>1501</v>
      </c>
      <c r="C105" s="68">
        <v>98</v>
      </c>
      <c r="D105" s="69" t="s">
        <v>46</v>
      </c>
      <c r="E105" s="70" t="s">
        <v>46</v>
      </c>
      <c r="G105" s="67">
        <v>1504</v>
      </c>
      <c r="H105" s="68">
        <v>98</v>
      </c>
      <c r="I105" s="69" t="s">
        <v>46</v>
      </c>
      <c r="J105" s="70" t="s">
        <v>46</v>
      </c>
      <c r="L105" s="67">
        <v>1507</v>
      </c>
      <c r="M105" s="68">
        <v>98</v>
      </c>
      <c r="N105" s="69" t="s">
        <v>6645</v>
      </c>
      <c r="O105" s="70" t="s">
        <v>1204</v>
      </c>
      <c r="Q105" s="41">
        <v>1603</v>
      </c>
      <c r="R105" s="42">
        <v>98</v>
      </c>
      <c r="S105" s="43" t="s">
        <v>46</v>
      </c>
      <c r="T105" s="44" t="s">
        <v>46</v>
      </c>
      <c r="V105" s="41">
        <v>1606</v>
      </c>
      <c r="W105" s="33">
        <v>98</v>
      </c>
      <c r="X105" s="43" t="s">
        <v>46</v>
      </c>
      <c r="Y105" s="44" t="s">
        <v>46</v>
      </c>
      <c r="AA105" s="41">
        <v>1609</v>
      </c>
      <c r="AB105" s="33">
        <v>98</v>
      </c>
      <c r="AC105" s="43" t="s">
        <v>46</v>
      </c>
      <c r="AD105" s="44" t="s">
        <v>46</v>
      </c>
      <c r="AF105" s="41">
        <v>1701</v>
      </c>
      <c r="AG105" s="33">
        <v>98</v>
      </c>
      <c r="AH105" s="43" t="s">
        <v>46</v>
      </c>
      <c r="AI105" s="44" t="s">
        <v>46</v>
      </c>
      <c r="AK105" s="41">
        <v>1704</v>
      </c>
      <c r="AL105" s="33">
        <v>98</v>
      </c>
      <c r="AM105" s="43" t="s">
        <v>46</v>
      </c>
      <c r="AN105" s="44" t="s">
        <v>46</v>
      </c>
      <c r="AP105" s="41">
        <v>1707</v>
      </c>
      <c r="AQ105" s="33">
        <v>98</v>
      </c>
      <c r="AR105" s="43" t="s">
        <v>6645</v>
      </c>
      <c r="AS105" s="44" t="s">
        <v>1204</v>
      </c>
      <c r="AU105" s="67">
        <v>1803</v>
      </c>
      <c r="AV105" s="68">
        <v>98</v>
      </c>
      <c r="AW105" s="69" t="s">
        <v>46</v>
      </c>
      <c r="AX105" s="70" t="s">
        <v>46</v>
      </c>
      <c r="AZ105" s="67">
        <v>1806</v>
      </c>
      <c r="BA105" s="83">
        <v>98</v>
      </c>
      <c r="BB105" s="69" t="s">
        <v>46</v>
      </c>
      <c r="BC105" s="70" t="s">
        <v>46</v>
      </c>
      <c r="BE105" s="67">
        <v>1809</v>
      </c>
      <c r="BF105" s="83">
        <v>98</v>
      </c>
      <c r="BG105" s="69" t="s">
        <v>46</v>
      </c>
      <c r="BH105" s="70" t="s">
        <v>46</v>
      </c>
    </row>
    <row r="106" spans="1:60">
      <c r="A106" s="1"/>
      <c r="B106" s="67">
        <v>1501</v>
      </c>
      <c r="C106" s="68">
        <v>99</v>
      </c>
      <c r="D106" s="69" t="s">
        <v>46</v>
      </c>
      <c r="E106" s="70" t="s">
        <v>46</v>
      </c>
      <c r="G106" s="67">
        <v>1504</v>
      </c>
      <c r="H106" s="68">
        <v>99</v>
      </c>
      <c r="I106" s="69" t="s">
        <v>46</v>
      </c>
      <c r="J106" s="70" t="s">
        <v>46</v>
      </c>
      <c r="L106" s="67">
        <v>1507</v>
      </c>
      <c r="M106" s="68">
        <v>99</v>
      </c>
      <c r="N106" s="69" t="s">
        <v>46</v>
      </c>
      <c r="O106" s="70" t="s">
        <v>46</v>
      </c>
      <c r="Q106" s="41">
        <v>1603</v>
      </c>
      <c r="R106" s="42">
        <v>99</v>
      </c>
      <c r="S106" s="43" t="s">
        <v>46</v>
      </c>
      <c r="T106" s="44" t="s">
        <v>46</v>
      </c>
      <c r="V106" s="41">
        <v>1606</v>
      </c>
      <c r="W106" s="33">
        <v>99</v>
      </c>
      <c r="X106" s="43" t="s">
        <v>46</v>
      </c>
      <c r="Y106" s="44" t="s">
        <v>46</v>
      </c>
      <c r="AA106" s="41">
        <v>1609</v>
      </c>
      <c r="AB106" s="33">
        <v>99</v>
      </c>
      <c r="AC106" s="43" t="s">
        <v>46</v>
      </c>
      <c r="AD106" s="44" t="s">
        <v>46</v>
      </c>
      <c r="AF106" s="41">
        <v>1701</v>
      </c>
      <c r="AG106" s="33">
        <v>99</v>
      </c>
      <c r="AH106" s="43" t="s">
        <v>46</v>
      </c>
      <c r="AI106" s="44" t="s">
        <v>46</v>
      </c>
      <c r="AK106" s="41">
        <v>1704</v>
      </c>
      <c r="AL106" s="33">
        <v>99</v>
      </c>
      <c r="AM106" s="43" t="s">
        <v>46</v>
      </c>
      <c r="AN106" s="44" t="s">
        <v>46</v>
      </c>
      <c r="AP106" s="41">
        <v>1707</v>
      </c>
      <c r="AQ106" s="33">
        <v>99</v>
      </c>
      <c r="AR106" s="43" t="s">
        <v>46</v>
      </c>
      <c r="AS106" s="44" t="s">
        <v>46</v>
      </c>
      <c r="AU106" s="67">
        <v>1803</v>
      </c>
      <c r="AV106" s="68">
        <v>99</v>
      </c>
      <c r="AW106" s="69" t="s">
        <v>46</v>
      </c>
      <c r="AX106" s="70" t="s">
        <v>46</v>
      </c>
      <c r="AZ106" s="67">
        <v>1806</v>
      </c>
      <c r="BA106" s="83">
        <v>99</v>
      </c>
      <c r="BB106" s="69" t="s">
        <v>46</v>
      </c>
      <c r="BC106" s="70" t="s">
        <v>46</v>
      </c>
      <c r="BE106" s="67">
        <v>1809</v>
      </c>
      <c r="BF106" s="83">
        <v>99</v>
      </c>
      <c r="BG106" s="69" t="s">
        <v>46</v>
      </c>
      <c r="BH106" s="70" t="s">
        <v>46</v>
      </c>
    </row>
    <row r="107" spans="1:60">
      <c r="A107" s="1"/>
      <c r="B107" s="67">
        <v>1501</v>
      </c>
      <c r="C107" s="68">
        <v>100</v>
      </c>
      <c r="D107" s="69" t="s">
        <v>46</v>
      </c>
      <c r="E107" s="70" t="s">
        <v>46</v>
      </c>
      <c r="G107" s="67">
        <v>1504</v>
      </c>
      <c r="H107" s="68">
        <v>100</v>
      </c>
      <c r="I107" s="69" t="s">
        <v>6646</v>
      </c>
      <c r="J107" s="70" t="s">
        <v>1454</v>
      </c>
      <c r="L107" s="67">
        <v>1507</v>
      </c>
      <c r="M107" s="68">
        <v>100</v>
      </c>
      <c r="N107" s="69" t="s">
        <v>46</v>
      </c>
      <c r="O107" s="70" t="s">
        <v>46</v>
      </c>
      <c r="Q107" s="41">
        <v>1603</v>
      </c>
      <c r="R107" s="42">
        <v>100</v>
      </c>
      <c r="S107" s="43" t="s">
        <v>46</v>
      </c>
      <c r="T107" s="44" t="s">
        <v>46</v>
      </c>
      <c r="V107" s="41">
        <v>1606</v>
      </c>
      <c r="W107" s="33">
        <v>100</v>
      </c>
      <c r="X107" s="43" t="s">
        <v>46</v>
      </c>
      <c r="Y107" s="44" t="s">
        <v>46</v>
      </c>
      <c r="AA107" s="41">
        <v>1609</v>
      </c>
      <c r="AB107" s="33">
        <v>100</v>
      </c>
      <c r="AC107" s="43" t="s">
        <v>46</v>
      </c>
      <c r="AD107" s="44" t="s">
        <v>46</v>
      </c>
      <c r="AF107" s="41">
        <v>1701</v>
      </c>
      <c r="AG107" s="33">
        <v>100</v>
      </c>
      <c r="AH107" s="43" t="s">
        <v>46</v>
      </c>
      <c r="AI107" s="44" t="s">
        <v>46</v>
      </c>
      <c r="AK107" s="41">
        <v>1704</v>
      </c>
      <c r="AL107" s="33">
        <v>100</v>
      </c>
      <c r="AM107" s="43" t="s">
        <v>6646</v>
      </c>
      <c r="AN107" s="44" t="s">
        <v>1454</v>
      </c>
      <c r="AP107" s="41">
        <v>1707</v>
      </c>
      <c r="AQ107" s="33">
        <v>100</v>
      </c>
      <c r="AR107" s="43" t="s">
        <v>46</v>
      </c>
      <c r="AS107" s="44" t="s">
        <v>46</v>
      </c>
      <c r="AU107" s="67">
        <v>1803</v>
      </c>
      <c r="AV107" s="68">
        <v>100</v>
      </c>
      <c r="AW107" s="69" t="s">
        <v>46</v>
      </c>
      <c r="AX107" s="70" t="s">
        <v>46</v>
      </c>
      <c r="AZ107" s="67">
        <v>1806</v>
      </c>
      <c r="BA107" s="83">
        <v>100</v>
      </c>
      <c r="BB107" s="69" t="s">
        <v>46</v>
      </c>
      <c r="BC107" s="70" t="s">
        <v>46</v>
      </c>
      <c r="BE107" s="67">
        <v>1809</v>
      </c>
      <c r="BF107" s="83">
        <v>100</v>
      </c>
      <c r="BG107" s="69" t="s">
        <v>46</v>
      </c>
      <c r="BH107" s="70" t="s">
        <v>46</v>
      </c>
    </row>
    <row r="108" spans="1:60">
      <c r="A108" s="1"/>
      <c r="B108" s="67">
        <v>1501</v>
      </c>
      <c r="C108" s="68">
        <v>101</v>
      </c>
      <c r="D108" s="69" t="s">
        <v>46</v>
      </c>
      <c r="E108" s="70" t="s">
        <v>46</v>
      </c>
      <c r="G108" s="67">
        <v>1504</v>
      </c>
      <c r="H108" s="68">
        <v>101</v>
      </c>
      <c r="I108" s="69" t="s">
        <v>6647</v>
      </c>
      <c r="J108" s="70" t="s">
        <v>1269</v>
      </c>
      <c r="L108" s="67">
        <v>1507</v>
      </c>
      <c r="M108" s="68">
        <v>101</v>
      </c>
      <c r="N108" s="69" t="s">
        <v>46</v>
      </c>
      <c r="O108" s="70" t="s">
        <v>46</v>
      </c>
      <c r="Q108" s="41">
        <v>1603</v>
      </c>
      <c r="R108" s="42">
        <v>101</v>
      </c>
      <c r="S108" s="43" t="s">
        <v>46</v>
      </c>
      <c r="T108" s="44" t="s">
        <v>46</v>
      </c>
      <c r="V108" s="41">
        <v>1606</v>
      </c>
      <c r="W108" s="33">
        <v>101</v>
      </c>
      <c r="X108" s="43" t="s">
        <v>46</v>
      </c>
      <c r="Y108" s="44" t="s">
        <v>46</v>
      </c>
      <c r="AA108" s="41">
        <v>1609</v>
      </c>
      <c r="AB108" s="33">
        <v>101</v>
      </c>
      <c r="AC108" s="43" t="s">
        <v>46</v>
      </c>
      <c r="AD108" s="44" t="s">
        <v>46</v>
      </c>
      <c r="AF108" s="41">
        <v>1701</v>
      </c>
      <c r="AG108" s="33">
        <v>101</v>
      </c>
      <c r="AH108" s="43" t="s">
        <v>46</v>
      </c>
      <c r="AI108" s="44" t="s">
        <v>46</v>
      </c>
      <c r="AK108" s="41">
        <v>1704</v>
      </c>
      <c r="AL108" s="33">
        <v>101</v>
      </c>
      <c r="AM108" s="43" t="s">
        <v>6647</v>
      </c>
      <c r="AN108" s="44" t="s">
        <v>1269</v>
      </c>
      <c r="AP108" s="41">
        <v>1707</v>
      </c>
      <c r="AQ108" s="33">
        <v>101</v>
      </c>
      <c r="AR108" s="43" t="s">
        <v>46</v>
      </c>
      <c r="AS108" s="44" t="s">
        <v>46</v>
      </c>
      <c r="AU108" s="67">
        <v>1803</v>
      </c>
      <c r="AV108" s="68">
        <v>101</v>
      </c>
      <c r="AW108" s="69" t="s">
        <v>46</v>
      </c>
      <c r="AX108" s="70" t="s">
        <v>46</v>
      </c>
      <c r="AZ108" s="67">
        <v>1806</v>
      </c>
      <c r="BA108" s="83">
        <v>101</v>
      </c>
      <c r="BB108" s="69" t="s">
        <v>46</v>
      </c>
      <c r="BC108" s="70" t="s">
        <v>46</v>
      </c>
      <c r="BE108" s="67">
        <v>1809</v>
      </c>
      <c r="BF108" s="83">
        <v>101</v>
      </c>
      <c r="BG108" s="69" t="s">
        <v>46</v>
      </c>
      <c r="BH108" s="70" t="s">
        <v>46</v>
      </c>
    </row>
    <row r="109" spans="1:60">
      <c r="A109" s="1"/>
      <c r="B109" s="67">
        <v>1501</v>
      </c>
      <c r="C109" s="68">
        <v>102</v>
      </c>
      <c r="D109" s="69" t="s">
        <v>46</v>
      </c>
      <c r="E109" s="70" t="s">
        <v>46</v>
      </c>
      <c r="G109" s="67">
        <v>1504</v>
      </c>
      <c r="H109" s="68">
        <v>102</v>
      </c>
      <c r="I109" s="69" t="s">
        <v>6648</v>
      </c>
      <c r="J109" s="70" t="s">
        <v>988</v>
      </c>
      <c r="L109" s="67">
        <v>1507</v>
      </c>
      <c r="M109" s="68">
        <v>102</v>
      </c>
      <c r="N109" s="69" t="s">
        <v>46</v>
      </c>
      <c r="O109" s="70" t="s">
        <v>46</v>
      </c>
      <c r="Q109" s="41">
        <v>1603</v>
      </c>
      <c r="R109" s="42">
        <v>102</v>
      </c>
      <c r="S109" s="43" t="s">
        <v>46</v>
      </c>
      <c r="T109" s="44" t="s">
        <v>46</v>
      </c>
      <c r="V109" s="41">
        <v>1606</v>
      </c>
      <c r="W109" s="33">
        <v>102</v>
      </c>
      <c r="X109" s="43" t="s">
        <v>46</v>
      </c>
      <c r="Y109" s="44" t="s">
        <v>46</v>
      </c>
      <c r="AA109" s="41">
        <v>1609</v>
      </c>
      <c r="AB109" s="33">
        <v>102</v>
      </c>
      <c r="AC109" s="43" t="s">
        <v>46</v>
      </c>
      <c r="AD109" s="44" t="s">
        <v>46</v>
      </c>
      <c r="AF109" s="41">
        <v>1701</v>
      </c>
      <c r="AG109" s="33">
        <v>102</v>
      </c>
      <c r="AH109" s="43" t="s">
        <v>46</v>
      </c>
      <c r="AI109" s="44" t="s">
        <v>46</v>
      </c>
      <c r="AK109" s="41">
        <v>1704</v>
      </c>
      <c r="AL109" s="33">
        <v>102</v>
      </c>
      <c r="AM109" s="43" t="s">
        <v>6648</v>
      </c>
      <c r="AN109" s="44" t="s">
        <v>988</v>
      </c>
      <c r="AP109" s="41">
        <v>1707</v>
      </c>
      <c r="AQ109" s="33">
        <v>102</v>
      </c>
      <c r="AR109" s="43" t="s">
        <v>46</v>
      </c>
      <c r="AS109" s="44" t="s">
        <v>46</v>
      </c>
      <c r="AU109" s="67">
        <v>1803</v>
      </c>
      <c r="AV109" s="68">
        <v>102</v>
      </c>
      <c r="AW109" s="69" t="s">
        <v>46</v>
      </c>
      <c r="AX109" s="70" t="s">
        <v>46</v>
      </c>
      <c r="AZ109" s="67">
        <v>1806</v>
      </c>
      <c r="BA109" s="83">
        <v>102</v>
      </c>
      <c r="BB109" s="69" t="s">
        <v>46</v>
      </c>
      <c r="BC109" s="70" t="s">
        <v>46</v>
      </c>
      <c r="BE109" s="67">
        <v>1809</v>
      </c>
      <c r="BF109" s="83">
        <v>102</v>
      </c>
      <c r="BG109" s="69" t="s">
        <v>46</v>
      </c>
      <c r="BH109" s="70" t="s">
        <v>46</v>
      </c>
    </row>
    <row r="110" spans="1:60">
      <c r="A110" s="1"/>
      <c r="B110" s="67">
        <v>1501</v>
      </c>
      <c r="C110" s="68">
        <v>103</v>
      </c>
      <c r="D110" s="69" t="s">
        <v>46</v>
      </c>
      <c r="E110" s="70" t="s">
        <v>46</v>
      </c>
      <c r="G110" s="67">
        <v>1504</v>
      </c>
      <c r="H110" s="68">
        <v>103</v>
      </c>
      <c r="I110" s="69" t="s">
        <v>46</v>
      </c>
      <c r="J110" s="70" t="s">
        <v>46</v>
      </c>
      <c r="L110" s="67">
        <v>1507</v>
      </c>
      <c r="M110" s="68">
        <v>103</v>
      </c>
      <c r="N110" s="69" t="s">
        <v>46</v>
      </c>
      <c r="O110" s="70" t="s">
        <v>46</v>
      </c>
      <c r="Q110" s="41">
        <v>1603</v>
      </c>
      <c r="R110" s="42">
        <v>103</v>
      </c>
      <c r="S110" s="43" t="s">
        <v>46</v>
      </c>
      <c r="T110" s="44" t="s">
        <v>46</v>
      </c>
      <c r="V110" s="41">
        <v>1606</v>
      </c>
      <c r="W110" s="33">
        <v>103</v>
      </c>
      <c r="X110" s="43" t="s">
        <v>46</v>
      </c>
      <c r="Y110" s="44" t="s">
        <v>46</v>
      </c>
      <c r="AA110" s="41">
        <v>1609</v>
      </c>
      <c r="AB110" s="33">
        <v>103</v>
      </c>
      <c r="AC110" s="43" t="s">
        <v>46</v>
      </c>
      <c r="AD110" s="44" t="s">
        <v>46</v>
      </c>
      <c r="AF110" s="41">
        <v>1701</v>
      </c>
      <c r="AG110" s="33">
        <v>103</v>
      </c>
      <c r="AH110" s="43" t="s">
        <v>46</v>
      </c>
      <c r="AI110" s="44" t="s">
        <v>46</v>
      </c>
      <c r="AK110" s="41">
        <v>1704</v>
      </c>
      <c r="AL110" s="33">
        <v>103</v>
      </c>
      <c r="AM110" s="43" t="s">
        <v>46</v>
      </c>
      <c r="AN110" s="44" t="s">
        <v>46</v>
      </c>
      <c r="AP110" s="41">
        <v>1707</v>
      </c>
      <c r="AQ110" s="33">
        <v>103</v>
      </c>
      <c r="AR110" s="43" t="s">
        <v>46</v>
      </c>
      <c r="AS110" s="44" t="s">
        <v>46</v>
      </c>
      <c r="AU110" s="67">
        <v>1803</v>
      </c>
      <c r="AV110" s="68">
        <v>103</v>
      </c>
      <c r="AW110" s="69" t="s">
        <v>46</v>
      </c>
      <c r="AX110" s="70" t="s">
        <v>46</v>
      </c>
      <c r="AZ110" s="67">
        <v>1806</v>
      </c>
      <c r="BA110" s="83">
        <v>103</v>
      </c>
      <c r="BB110" s="69" t="s">
        <v>46</v>
      </c>
      <c r="BC110" s="70" t="s">
        <v>46</v>
      </c>
      <c r="BE110" s="67">
        <v>1809</v>
      </c>
      <c r="BF110" s="83">
        <v>103</v>
      </c>
      <c r="BG110" s="69" t="s">
        <v>46</v>
      </c>
      <c r="BH110" s="70" t="s">
        <v>46</v>
      </c>
    </row>
    <row r="111" spans="1:60">
      <c r="A111" s="1"/>
      <c r="B111" s="67">
        <v>1501</v>
      </c>
      <c r="C111" s="68">
        <v>104</v>
      </c>
      <c r="D111" s="69" t="s">
        <v>46</v>
      </c>
      <c r="E111" s="70" t="s">
        <v>46</v>
      </c>
      <c r="G111" s="67">
        <v>1504</v>
      </c>
      <c r="H111" s="68">
        <v>104</v>
      </c>
      <c r="I111" s="69" t="s">
        <v>46</v>
      </c>
      <c r="J111" s="70" t="s">
        <v>46</v>
      </c>
      <c r="L111" s="67">
        <v>1507</v>
      </c>
      <c r="M111" s="68">
        <v>104</v>
      </c>
      <c r="N111" s="69" t="s">
        <v>46</v>
      </c>
      <c r="O111" s="70" t="s">
        <v>46</v>
      </c>
      <c r="Q111" s="41">
        <v>1603</v>
      </c>
      <c r="R111" s="42">
        <v>104</v>
      </c>
      <c r="S111" s="43" t="s">
        <v>46</v>
      </c>
      <c r="T111" s="44" t="s">
        <v>46</v>
      </c>
      <c r="V111" s="41">
        <v>1606</v>
      </c>
      <c r="W111" s="33">
        <v>104</v>
      </c>
      <c r="X111" s="43" t="s">
        <v>46</v>
      </c>
      <c r="Y111" s="44" t="s">
        <v>46</v>
      </c>
      <c r="AA111" s="41">
        <v>1609</v>
      </c>
      <c r="AB111" s="33">
        <v>104</v>
      </c>
      <c r="AC111" s="43" t="s">
        <v>46</v>
      </c>
      <c r="AD111" s="44" t="s">
        <v>46</v>
      </c>
      <c r="AF111" s="41">
        <v>1701</v>
      </c>
      <c r="AG111" s="33">
        <v>104</v>
      </c>
      <c r="AH111" s="43" t="s">
        <v>46</v>
      </c>
      <c r="AI111" s="44" t="s">
        <v>46</v>
      </c>
      <c r="AK111" s="41">
        <v>1704</v>
      </c>
      <c r="AL111" s="33">
        <v>104</v>
      </c>
      <c r="AM111" s="43" t="s">
        <v>46</v>
      </c>
      <c r="AN111" s="44" t="s">
        <v>46</v>
      </c>
      <c r="AP111" s="41">
        <v>1707</v>
      </c>
      <c r="AQ111" s="33">
        <v>104</v>
      </c>
      <c r="AR111" s="43" t="s">
        <v>46</v>
      </c>
      <c r="AS111" s="44" t="s">
        <v>46</v>
      </c>
      <c r="AU111" s="67">
        <v>1803</v>
      </c>
      <c r="AV111" s="68">
        <v>104</v>
      </c>
      <c r="AW111" s="69" t="s">
        <v>46</v>
      </c>
      <c r="AX111" s="70" t="s">
        <v>46</v>
      </c>
      <c r="AZ111" s="67">
        <v>1806</v>
      </c>
      <c r="BA111" s="83">
        <v>104</v>
      </c>
      <c r="BB111" s="69" t="s">
        <v>46</v>
      </c>
      <c r="BC111" s="70" t="s">
        <v>46</v>
      </c>
      <c r="BE111" s="67">
        <v>1809</v>
      </c>
      <c r="BF111" s="83">
        <v>104</v>
      </c>
      <c r="BG111" s="69" t="s">
        <v>46</v>
      </c>
      <c r="BH111" s="70" t="s">
        <v>46</v>
      </c>
    </row>
    <row r="112" spans="1:60">
      <c r="A112" s="1"/>
      <c r="B112" s="67">
        <v>1501</v>
      </c>
      <c r="C112" s="68">
        <v>105</v>
      </c>
      <c r="D112" s="69" t="s">
        <v>46</v>
      </c>
      <c r="E112" s="70" t="s">
        <v>46</v>
      </c>
      <c r="G112" s="67">
        <v>1504</v>
      </c>
      <c r="H112" s="68">
        <v>105</v>
      </c>
      <c r="I112" s="69" t="s">
        <v>46</v>
      </c>
      <c r="J112" s="70" t="s">
        <v>46</v>
      </c>
      <c r="L112" s="67">
        <v>1507</v>
      </c>
      <c r="M112" s="68">
        <v>105</v>
      </c>
      <c r="N112" s="69" t="s">
        <v>46</v>
      </c>
      <c r="O112" s="70" t="s">
        <v>46</v>
      </c>
      <c r="Q112" s="41">
        <v>1603</v>
      </c>
      <c r="R112" s="42">
        <v>105</v>
      </c>
      <c r="S112" s="43" t="s">
        <v>46</v>
      </c>
      <c r="T112" s="44" t="s">
        <v>46</v>
      </c>
      <c r="V112" s="41">
        <v>1606</v>
      </c>
      <c r="W112" s="33">
        <v>105</v>
      </c>
      <c r="X112" s="43" t="s">
        <v>46</v>
      </c>
      <c r="Y112" s="44" t="s">
        <v>46</v>
      </c>
      <c r="AA112" s="41">
        <v>1609</v>
      </c>
      <c r="AB112" s="33">
        <v>105</v>
      </c>
      <c r="AC112" s="43" t="s">
        <v>46</v>
      </c>
      <c r="AD112" s="44" t="s">
        <v>46</v>
      </c>
      <c r="AF112" s="41">
        <v>1701</v>
      </c>
      <c r="AG112" s="33">
        <v>105</v>
      </c>
      <c r="AH112" s="43" t="s">
        <v>46</v>
      </c>
      <c r="AI112" s="44" t="s">
        <v>46</v>
      </c>
      <c r="AK112" s="41">
        <v>1704</v>
      </c>
      <c r="AL112" s="33">
        <v>105</v>
      </c>
      <c r="AM112" s="43" t="s">
        <v>46</v>
      </c>
      <c r="AN112" s="44" t="s">
        <v>46</v>
      </c>
      <c r="AP112" s="41">
        <v>1707</v>
      </c>
      <c r="AQ112" s="33">
        <v>105</v>
      </c>
      <c r="AR112" s="43" t="s">
        <v>46</v>
      </c>
      <c r="AS112" s="44" t="s">
        <v>46</v>
      </c>
      <c r="AU112" s="67">
        <v>1803</v>
      </c>
      <c r="AV112" s="68">
        <v>105</v>
      </c>
      <c r="AW112" s="69" t="s">
        <v>46</v>
      </c>
      <c r="AX112" s="70" t="s">
        <v>46</v>
      </c>
      <c r="AZ112" s="67">
        <v>1806</v>
      </c>
      <c r="BA112" s="83">
        <v>105</v>
      </c>
      <c r="BB112" s="69" t="s">
        <v>46</v>
      </c>
      <c r="BC112" s="70" t="s">
        <v>46</v>
      </c>
      <c r="BE112" s="67">
        <v>1809</v>
      </c>
      <c r="BF112" s="83">
        <v>105</v>
      </c>
      <c r="BG112" s="69" t="s">
        <v>46</v>
      </c>
      <c r="BH112" s="70" t="s">
        <v>46</v>
      </c>
    </row>
    <row r="113" spans="1:60">
      <c r="A113" s="1"/>
      <c r="B113" s="67">
        <v>1501</v>
      </c>
      <c r="C113" s="68">
        <v>106</v>
      </c>
      <c r="D113" s="69" t="s">
        <v>46</v>
      </c>
      <c r="E113" s="70" t="s">
        <v>46</v>
      </c>
      <c r="G113" s="67">
        <v>1504</v>
      </c>
      <c r="H113" s="68">
        <v>106</v>
      </c>
      <c r="I113" s="69" t="s">
        <v>46</v>
      </c>
      <c r="J113" s="70" t="s">
        <v>46</v>
      </c>
      <c r="L113" s="67">
        <v>1507</v>
      </c>
      <c r="M113" s="68">
        <v>106</v>
      </c>
      <c r="N113" s="69" t="s">
        <v>46</v>
      </c>
      <c r="O113" s="70" t="s">
        <v>46</v>
      </c>
      <c r="Q113" s="41">
        <v>1603</v>
      </c>
      <c r="R113" s="42">
        <v>106</v>
      </c>
      <c r="S113" s="43" t="s">
        <v>46</v>
      </c>
      <c r="T113" s="44" t="s">
        <v>46</v>
      </c>
      <c r="V113" s="41">
        <v>1606</v>
      </c>
      <c r="W113" s="33">
        <v>106</v>
      </c>
      <c r="X113" s="43" t="s">
        <v>46</v>
      </c>
      <c r="Y113" s="44" t="s">
        <v>46</v>
      </c>
      <c r="AA113" s="41">
        <v>1609</v>
      </c>
      <c r="AB113" s="33">
        <v>106</v>
      </c>
      <c r="AC113" s="43" t="s">
        <v>46</v>
      </c>
      <c r="AD113" s="44" t="s">
        <v>46</v>
      </c>
      <c r="AF113" s="41">
        <v>1701</v>
      </c>
      <c r="AG113" s="33">
        <v>106</v>
      </c>
      <c r="AH113" s="43" t="s">
        <v>46</v>
      </c>
      <c r="AI113" s="44" t="s">
        <v>46</v>
      </c>
      <c r="AK113" s="41">
        <v>1704</v>
      </c>
      <c r="AL113" s="33">
        <v>106</v>
      </c>
      <c r="AM113" s="43" t="s">
        <v>46</v>
      </c>
      <c r="AN113" s="44" t="s">
        <v>46</v>
      </c>
      <c r="AP113" s="41">
        <v>1707</v>
      </c>
      <c r="AQ113" s="33">
        <v>106</v>
      </c>
      <c r="AR113" s="43" t="s">
        <v>46</v>
      </c>
      <c r="AS113" s="44" t="s">
        <v>46</v>
      </c>
      <c r="AU113" s="67">
        <v>1803</v>
      </c>
      <c r="AV113" s="68">
        <v>106</v>
      </c>
      <c r="AW113" s="69" t="s">
        <v>46</v>
      </c>
      <c r="AX113" s="70" t="s">
        <v>46</v>
      </c>
      <c r="AZ113" s="67">
        <v>1806</v>
      </c>
      <c r="BA113" s="83">
        <v>106</v>
      </c>
      <c r="BB113" s="69" t="s">
        <v>46</v>
      </c>
      <c r="BC113" s="70" t="s">
        <v>46</v>
      </c>
      <c r="BE113" s="67">
        <v>1809</v>
      </c>
      <c r="BF113" s="83">
        <v>106</v>
      </c>
      <c r="BG113" s="69" t="s">
        <v>46</v>
      </c>
      <c r="BH113" s="70" t="s">
        <v>46</v>
      </c>
    </row>
    <row r="114" spans="1:60">
      <c r="A114" s="1"/>
      <c r="B114" s="67">
        <v>1501</v>
      </c>
      <c r="C114" s="68">
        <v>107</v>
      </c>
      <c r="D114" s="69" t="s">
        <v>6649</v>
      </c>
      <c r="E114" s="70" t="s">
        <v>1409</v>
      </c>
      <c r="G114" s="67">
        <v>1504</v>
      </c>
      <c r="H114" s="68">
        <v>107</v>
      </c>
      <c r="I114" s="69" t="s">
        <v>46</v>
      </c>
      <c r="J114" s="70" t="s">
        <v>46</v>
      </c>
      <c r="L114" s="67">
        <v>1507</v>
      </c>
      <c r="M114" s="68">
        <v>107</v>
      </c>
      <c r="N114" s="69" t="s">
        <v>46</v>
      </c>
      <c r="O114" s="70" t="s">
        <v>46</v>
      </c>
      <c r="Q114" s="41">
        <v>1603</v>
      </c>
      <c r="R114" s="42">
        <v>107</v>
      </c>
      <c r="S114" s="43" t="s">
        <v>46</v>
      </c>
      <c r="T114" s="44" t="s">
        <v>46</v>
      </c>
      <c r="V114" s="41">
        <v>1606</v>
      </c>
      <c r="W114" s="33">
        <v>107</v>
      </c>
      <c r="X114" s="43" t="s">
        <v>46</v>
      </c>
      <c r="Y114" s="44" t="s">
        <v>46</v>
      </c>
      <c r="AA114" s="41">
        <v>1609</v>
      </c>
      <c r="AB114" s="33">
        <v>107</v>
      </c>
      <c r="AC114" s="43" t="s">
        <v>46</v>
      </c>
      <c r="AD114" s="44" t="s">
        <v>46</v>
      </c>
      <c r="AF114" s="41">
        <v>1701</v>
      </c>
      <c r="AG114" s="33">
        <v>107</v>
      </c>
      <c r="AH114" s="43" t="s">
        <v>6649</v>
      </c>
      <c r="AI114" s="44" t="s">
        <v>1409</v>
      </c>
      <c r="AK114" s="41">
        <v>1704</v>
      </c>
      <c r="AL114" s="33">
        <v>107</v>
      </c>
      <c r="AM114" s="43" t="s">
        <v>46</v>
      </c>
      <c r="AN114" s="44" t="s">
        <v>46</v>
      </c>
      <c r="AP114" s="41">
        <v>1707</v>
      </c>
      <c r="AQ114" s="33">
        <v>107</v>
      </c>
      <c r="AR114" s="43" t="s">
        <v>46</v>
      </c>
      <c r="AS114" s="44" t="s">
        <v>46</v>
      </c>
      <c r="AU114" s="67">
        <v>1803</v>
      </c>
      <c r="AV114" s="68">
        <v>107</v>
      </c>
      <c r="AW114" s="69" t="s">
        <v>46</v>
      </c>
      <c r="AX114" s="70" t="s">
        <v>46</v>
      </c>
      <c r="AZ114" s="67">
        <v>1806</v>
      </c>
      <c r="BA114" s="83">
        <v>107</v>
      </c>
      <c r="BB114" s="69" t="s">
        <v>46</v>
      </c>
      <c r="BC114" s="70" t="s">
        <v>46</v>
      </c>
      <c r="BE114" s="67">
        <v>1809</v>
      </c>
      <c r="BF114" s="83">
        <v>107</v>
      </c>
      <c r="BG114" s="69" t="s">
        <v>46</v>
      </c>
      <c r="BH114" s="70" t="s">
        <v>46</v>
      </c>
    </row>
    <row r="115" spans="1:60">
      <c r="A115" s="1"/>
      <c r="B115" s="67">
        <v>1501</v>
      </c>
      <c r="C115" s="68">
        <v>108</v>
      </c>
      <c r="D115" s="69" t="s">
        <v>6650</v>
      </c>
      <c r="E115" s="70" t="s">
        <v>1449</v>
      </c>
      <c r="G115" s="67">
        <v>1504</v>
      </c>
      <c r="H115" s="68">
        <v>108</v>
      </c>
      <c r="I115" s="69" t="s">
        <v>46</v>
      </c>
      <c r="J115" s="70" t="s">
        <v>46</v>
      </c>
      <c r="L115" s="67">
        <v>1507</v>
      </c>
      <c r="M115" s="68">
        <v>108</v>
      </c>
      <c r="N115" s="69" t="s">
        <v>46</v>
      </c>
      <c r="O115" s="70" t="s">
        <v>46</v>
      </c>
      <c r="Q115" s="41">
        <v>1603</v>
      </c>
      <c r="R115" s="42">
        <v>108</v>
      </c>
      <c r="S115" s="43" t="s">
        <v>46</v>
      </c>
      <c r="T115" s="44" t="s">
        <v>46</v>
      </c>
      <c r="V115" s="41">
        <v>1606</v>
      </c>
      <c r="W115" s="33">
        <v>108</v>
      </c>
      <c r="X115" s="43" t="s">
        <v>46</v>
      </c>
      <c r="Y115" s="44" t="s">
        <v>46</v>
      </c>
      <c r="AA115" s="41">
        <v>1609</v>
      </c>
      <c r="AB115" s="33">
        <v>108</v>
      </c>
      <c r="AC115" s="43" t="s">
        <v>46</v>
      </c>
      <c r="AD115" s="44" t="s">
        <v>46</v>
      </c>
      <c r="AF115" s="41">
        <v>1701</v>
      </c>
      <c r="AG115" s="33">
        <v>108</v>
      </c>
      <c r="AH115" s="43" t="s">
        <v>6650</v>
      </c>
      <c r="AI115" s="44" t="s">
        <v>1449</v>
      </c>
      <c r="AK115" s="41">
        <v>1704</v>
      </c>
      <c r="AL115" s="33">
        <v>108</v>
      </c>
      <c r="AM115" s="43" t="s">
        <v>46</v>
      </c>
      <c r="AN115" s="44" t="s">
        <v>46</v>
      </c>
      <c r="AP115" s="41">
        <v>1707</v>
      </c>
      <c r="AQ115" s="33">
        <v>108</v>
      </c>
      <c r="AR115" s="43" t="s">
        <v>46</v>
      </c>
      <c r="AS115" s="44" t="s">
        <v>46</v>
      </c>
      <c r="AU115" s="67">
        <v>1803</v>
      </c>
      <c r="AV115" s="68">
        <v>108</v>
      </c>
      <c r="AW115" s="69" t="s">
        <v>46</v>
      </c>
      <c r="AX115" s="70" t="s">
        <v>46</v>
      </c>
      <c r="AZ115" s="67">
        <v>1806</v>
      </c>
      <c r="BA115" s="83">
        <v>108</v>
      </c>
      <c r="BB115" s="69" t="s">
        <v>46</v>
      </c>
      <c r="BC115" s="70" t="s">
        <v>46</v>
      </c>
      <c r="BE115" s="67">
        <v>1809</v>
      </c>
      <c r="BF115" s="83">
        <v>108</v>
      </c>
      <c r="BG115" s="69" t="s">
        <v>46</v>
      </c>
      <c r="BH115" s="70" t="s">
        <v>46</v>
      </c>
    </row>
    <row r="116" spans="1:60">
      <c r="A116" s="1"/>
      <c r="B116" s="67">
        <v>1501</v>
      </c>
      <c r="C116" s="68">
        <v>109</v>
      </c>
      <c r="D116" s="69" t="s">
        <v>46</v>
      </c>
      <c r="E116" s="70" t="s">
        <v>46</v>
      </c>
      <c r="G116" s="67">
        <v>1504</v>
      </c>
      <c r="H116" s="68">
        <v>109</v>
      </c>
      <c r="I116" s="69" t="s">
        <v>46</v>
      </c>
      <c r="J116" s="70" t="s">
        <v>46</v>
      </c>
      <c r="L116" s="67">
        <v>1507</v>
      </c>
      <c r="M116" s="68">
        <v>109</v>
      </c>
      <c r="N116" s="69" t="s">
        <v>46</v>
      </c>
      <c r="O116" s="70" t="s">
        <v>46</v>
      </c>
      <c r="Q116" s="41">
        <v>1603</v>
      </c>
      <c r="R116" s="42">
        <v>109</v>
      </c>
      <c r="S116" s="43" t="s">
        <v>46</v>
      </c>
      <c r="T116" s="44" t="s">
        <v>46</v>
      </c>
      <c r="V116" s="41">
        <v>1606</v>
      </c>
      <c r="W116" s="33">
        <v>109</v>
      </c>
      <c r="X116" s="43" t="s">
        <v>46</v>
      </c>
      <c r="Y116" s="44" t="s">
        <v>46</v>
      </c>
      <c r="AA116" s="41">
        <v>1609</v>
      </c>
      <c r="AB116" s="33">
        <v>109</v>
      </c>
      <c r="AC116" s="43" t="s">
        <v>46</v>
      </c>
      <c r="AD116" s="44" t="s">
        <v>46</v>
      </c>
      <c r="AF116" s="41">
        <v>1701</v>
      </c>
      <c r="AG116" s="33">
        <v>109</v>
      </c>
      <c r="AH116" s="43" t="s">
        <v>46</v>
      </c>
      <c r="AI116" s="44" t="s">
        <v>46</v>
      </c>
      <c r="AK116" s="41">
        <v>1704</v>
      </c>
      <c r="AL116" s="33">
        <v>109</v>
      </c>
      <c r="AM116" s="43" t="s">
        <v>46</v>
      </c>
      <c r="AN116" s="44" t="s">
        <v>46</v>
      </c>
      <c r="AP116" s="41">
        <v>1707</v>
      </c>
      <c r="AQ116" s="33">
        <v>109</v>
      </c>
      <c r="AR116" s="43" t="s">
        <v>46</v>
      </c>
      <c r="AS116" s="44" t="s">
        <v>46</v>
      </c>
      <c r="AU116" s="67">
        <v>1803</v>
      </c>
      <c r="AV116" s="68">
        <v>109</v>
      </c>
      <c r="AW116" s="69" t="s">
        <v>46</v>
      </c>
      <c r="AX116" s="70" t="s">
        <v>46</v>
      </c>
      <c r="AZ116" s="67">
        <v>1806</v>
      </c>
      <c r="BA116" s="83">
        <v>109</v>
      </c>
      <c r="BB116" s="69" t="s">
        <v>46</v>
      </c>
      <c r="BC116" s="70" t="s">
        <v>46</v>
      </c>
      <c r="BE116" s="67">
        <v>1809</v>
      </c>
      <c r="BF116" s="83">
        <v>109</v>
      </c>
      <c r="BG116" s="69" t="s">
        <v>46</v>
      </c>
      <c r="BH116" s="70" t="s">
        <v>46</v>
      </c>
    </row>
    <row r="117" spans="1:60">
      <c r="A117" s="1"/>
      <c r="B117" s="67">
        <v>1501</v>
      </c>
      <c r="C117" s="68">
        <v>110</v>
      </c>
      <c r="D117" s="69" t="s">
        <v>6651</v>
      </c>
      <c r="E117" s="70" t="s">
        <v>948</v>
      </c>
      <c r="G117" s="67">
        <v>1504</v>
      </c>
      <c r="H117" s="68">
        <v>110</v>
      </c>
      <c r="I117" s="69" t="s">
        <v>46</v>
      </c>
      <c r="J117" s="70" t="s">
        <v>46</v>
      </c>
      <c r="L117" s="67">
        <v>1507</v>
      </c>
      <c r="M117" s="68">
        <v>110</v>
      </c>
      <c r="N117" s="69" t="s">
        <v>46</v>
      </c>
      <c r="O117" s="70" t="s">
        <v>46</v>
      </c>
      <c r="Q117" s="41">
        <v>1603</v>
      </c>
      <c r="R117" s="42">
        <v>110</v>
      </c>
      <c r="S117" s="43" t="s">
        <v>46</v>
      </c>
      <c r="T117" s="44" t="s">
        <v>46</v>
      </c>
      <c r="V117" s="41">
        <v>1606</v>
      </c>
      <c r="W117" s="33">
        <v>110</v>
      </c>
      <c r="X117" s="43" t="s">
        <v>46</v>
      </c>
      <c r="Y117" s="44" t="s">
        <v>46</v>
      </c>
      <c r="AA117" s="41">
        <v>1609</v>
      </c>
      <c r="AB117" s="33">
        <v>110</v>
      </c>
      <c r="AC117" s="43" t="s">
        <v>46</v>
      </c>
      <c r="AD117" s="44" t="s">
        <v>46</v>
      </c>
      <c r="AF117" s="41">
        <v>1701</v>
      </c>
      <c r="AG117" s="33">
        <v>110</v>
      </c>
      <c r="AH117" s="43" t="s">
        <v>6651</v>
      </c>
      <c r="AI117" s="44" t="s">
        <v>948</v>
      </c>
      <c r="AK117" s="41">
        <v>1704</v>
      </c>
      <c r="AL117" s="33">
        <v>110</v>
      </c>
      <c r="AM117" s="43" t="s">
        <v>46</v>
      </c>
      <c r="AN117" s="44" t="s">
        <v>46</v>
      </c>
      <c r="AP117" s="41">
        <v>1707</v>
      </c>
      <c r="AQ117" s="33">
        <v>110</v>
      </c>
      <c r="AR117" s="43" t="s">
        <v>46</v>
      </c>
      <c r="AS117" s="44" t="s">
        <v>46</v>
      </c>
      <c r="AU117" s="67">
        <v>1803</v>
      </c>
      <c r="AV117" s="68">
        <v>110</v>
      </c>
      <c r="AW117" s="69" t="s">
        <v>46</v>
      </c>
      <c r="AX117" s="70" t="s">
        <v>46</v>
      </c>
      <c r="AZ117" s="67">
        <v>1806</v>
      </c>
      <c r="BA117" s="83">
        <v>110</v>
      </c>
      <c r="BB117" s="69" t="s">
        <v>46</v>
      </c>
      <c r="BC117" s="70" t="s">
        <v>46</v>
      </c>
      <c r="BE117" s="67">
        <v>1809</v>
      </c>
      <c r="BF117" s="83">
        <v>110</v>
      </c>
      <c r="BG117" s="69" t="s">
        <v>46</v>
      </c>
      <c r="BH117" s="70" t="s">
        <v>46</v>
      </c>
    </row>
    <row r="118" spans="1:60">
      <c r="A118" s="1"/>
      <c r="B118" s="67">
        <v>1501</v>
      </c>
      <c r="C118" s="68">
        <v>111</v>
      </c>
      <c r="D118" s="69" t="s">
        <v>46</v>
      </c>
      <c r="E118" s="70" t="s">
        <v>46</v>
      </c>
      <c r="G118" s="67">
        <v>1504</v>
      </c>
      <c r="H118" s="68">
        <v>111</v>
      </c>
      <c r="I118" s="69" t="s">
        <v>46</v>
      </c>
      <c r="J118" s="70" t="s">
        <v>46</v>
      </c>
      <c r="L118" s="67">
        <v>1507</v>
      </c>
      <c r="M118" s="68">
        <v>111</v>
      </c>
      <c r="N118" s="69" t="s">
        <v>46</v>
      </c>
      <c r="O118" s="70" t="s">
        <v>46</v>
      </c>
      <c r="Q118" s="41">
        <v>1603</v>
      </c>
      <c r="R118" s="42">
        <v>111</v>
      </c>
      <c r="S118" s="43" t="s">
        <v>46</v>
      </c>
      <c r="T118" s="44" t="s">
        <v>46</v>
      </c>
      <c r="V118" s="41">
        <v>1606</v>
      </c>
      <c r="W118" s="33">
        <v>111</v>
      </c>
      <c r="X118" s="43" t="s">
        <v>46</v>
      </c>
      <c r="Y118" s="44" t="s">
        <v>46</v>
      </c>
      <c r="AA118" s="41">
        <v>1609</v>
      </c>
      <c r="AB118" s="33">
        <v>111</v>
      </c>
      <c r="AC118" s="43" t="s">
        <v>46</v>
      </c>
      <c r="AD118" s="44" t="s">
        <v>46</v>
      </c>
      <c r="AF118" s="41">
        <v>1701</v>
      </c>
      <c r="AG118" s="33">
        <v>111</v>
      </c>
      <c r="AH118" s="43" t="s">
        <v>46</v>
      </c>
      <c r="AI118" s="44" t="s">
        <v>46</v>
      </c>
      <c r="AK118" s="41">
        <v>1704</v>
      </c>
      <c r="AL118" s="33">
        <v>111</v>
      </c>
      <c r="AM118" s="43" t="s">
        <v>46</v>
      </c>
      <c r="AN118" s="44" t="s">
        <v>46</v>
      </c>
      <c r="AP118" s="41">
        <v>1707</v>
      </c>
      <c r="AQ118" s="33">
        <v>111</v>
      </c>
      <c r="AR118" s="43" t="s">
        <v>46</v>
      </c>
      <c r="AS118" s="44" t="s">
        <v>46</v>
      </c>
      <c r="AU118" s="67">
        <v>1803</v>
      </c>
      <c r="AV118" s="68">
        <v>111</v>
      </c>
      <c r="AW118" s="69" t="s">
        <v>46</v>
      </c>
      <c r="AX118" s="70" t="s">
        <v>46</v>
      </c>
      <c r="AZ118" s="67">
        <v>1806</v>
      </c>
      <c r="BA118" s="83">
        <v>111</v>
      </c>
      <c r="BB118" s="69" t="s">
        <v>46</v>
      </c>
      <c r="BC118" s="70" t="s">
        <v>46</v>
      </c>
      <c r="BE118" s="67">
        <v>1809</v>
      </c>
      <c r="BF118" s="83">
        <v>111</v>
      </c>
      <c r="BG118" s="69" t="s">
        <v>46</v>
      </c>
      <c r="BH118" s="70" t="s">
        <v>46</v>
      </c>
    </row>
    <row r="119" spans="1:60" ht="15" thickBot="1">
      <c r="A119" s="1"/>
      <c r="B119" s="71">
        <v>1501</v>
      </c>
      <c r="C119" s="72">
        <v>112</v>
      </c>
      <c r="D119" s="73" t="s">
        <v>46</v>
      </c>
      <c r="E119" s="74" t="s">
        <v>46</v>
      </c>
      <c r="G119" s="71">
        <v>1504</v>
      </c>
      <c r="H119" s="72">
        <v>112</v>
      </c>
      <c r="I119" s="73" t="s">
        <v>46</v>
      </c>
      <c r="J119" s="74" t="s">
        <v>46</v>
      </c>
      <c r="L119" s="71">
        <v>1507</v>
      </c>
      <c r="M119" s="72">
        <v>112</v>
      </c>
      <c r="N119" s="73" t="s">
        <v>46</v>
      </c>
      <c r="O119" s="74" t="s">
        <v>46</v>
      </c>
      <c r="Q119" s="45">
        <v>1603</v>
      </c>
      <c r="R119" s="46">
        <v>112</v>
      </c>
      <c r="S119" s="47" t="s">
        <v>46</v>
      </c>
      <c r="T119" s="48" t="s">
        <v>46</v>
      </c>
      <c r="V119" s="45">
        <v>1606</v>
      </c>
      <c r="W119" s="57">
        <v>112</v>
      </c>
      <c r="X119" s="47" t="s">
        <v>46</v>
      </c>
      <c r="Y119" s="48" t="s">
        <v>46</v>
      </c>
      <c r="AA119" s="45">
        <v>1609</v>
      </c>
      <c r="AB119" s="57">
        <v>112</v>
      </c>
      <c r="AC119" s="47" t="s">
        <v>46</v>
      </c>
      <c r="AD119" s="48" t="s">
        <v>46</v>
      </c>
      <c r="AF119" s="45">
        <v>1701</v>
      </c>
      <c r="AG119" s="57">
        <v>112</v>
      </c>
      <c r="AH119" s="47" t="s">
        <v>46</v>
      </c>
      <c r="AI119" s="48" t="s">
        <v>46</v>
      </c>
      <c r="AK119" s="45">
        <v>1704</v>
      </c>
      <c r="AL119" s="57">
        <v>112</v>
      </c>
      <c r="AM119" s="47" t="s">
        <v>46</v>
      </c>
      <c r="AN119" s="48" t="s">
        <v>46</v>
      </c>
      <c r="AP119" s="45">
        <v>1707</v>
      </c>
      <c r="AQ119" s="57">
        <v>112</v>
      </c>
      <c r="AR119" s="47" t="s">
        <v>46</v>
      </c>
      <c r="AS119" s="48" t="s">
        <v>46</v>
      </c>
      <c r="AU119" s="71">
        <v>1803</v>
      </c>
      <c r="AV119" s="72">
        <v>112</v>
      </c>
      <c r="AW119" s="73" t="s">
        <v>46</v>
      </c>
      <c r="AX119" s="74" t="s">
        <v>46</v>
      </c>
      <c r="AZ119" s="71">
        <v>1806</v>
      </c>
      <c r="BA119" s="84">
        <v>112</v>
      </c>
      <c r="BB119" s="73" t="s">
        <v>46</v>
      </c>
      <c r="BC119" s="74" t="s">
        <v>46</v>
      </c>
      <c r="BE119" s="71">
        <v>1809</v>
      </c>
      <c r="BF119" s="84">
        <v>112</v>
      </c>
      <c r="BG119" s="73" t="s">
        <v>46</v>
      </c>
      <c r="BH119" s="74" t="s">
        <v>46</v>
      </c>
    </row>
    <row r="120" spans="1:60">
      <c r="A120" s="1"/>
      <c r="B120" s="63">
        <v>1501</v>
      </c>
      <c r="C120" s="64">
        <v>113</v>
      </c>
      <c r="D120" s="77" t="s">
        <v>6652</v>
      </c>
      <c r="E120" s="66" t="s">
        <v>963</v>
      </c>
      <c r="G120" s="63">
        <v>1504</v>
      </c>
      <c r="H120" s="64">
        <v>113</v>
      </c>
      <c r="I120" s="77" t="s">
        <v>46</v>
      </c>
      <c r="J120" s="66" t="s">
        <v>46</v>
      </c>
      <c r="L120" s="63">
        <v>1507</v>
      </c>
      <c r="M120" s="64">
        <v>113</v>
      </c>
      <c r="N120" s="77" t="s">
        <v>46</v>
      </c>
      <c r="O120" s="66" t="s">
        <v>46</v>
      </c>
      <c r="Q120" s="37">
        <v>1603</v>
      </c>
      <c r="R120" s="38">
        <v>113</v>
      </c>
      <c r="S120" s="51" t="s">
        <v>46</v>
      </c>
      <c r="T120" s="40" t="s">
        <v>46</v>
      </c>
      <c r="V120" s="37">
        <v>1606</v>
      </c>
      <c r="W120" s="56">
        <v>113</v>
      </c>
      <c r="X120" s="51" t="s">
        <v>46</v>
      </c>
      <c r="Y120" s="40" t="s">
        <v>46</v>
      </c>
      <c r="AA120" s="37">
        <v>1609</v>
      </c>
      <c r="AB120" s="56">
        <v>113</v>
      </c>
      <c r="AC120" s="51" t="s">
        <v>46</v>
      </c>
      <c r="AD120" s="40" t="s">
        <v>46</v>
      </c>
      <c r="AF120" s="37">
        <v>1701</v>
      </c>
      <c r="AG120" s="56">
        <v>113</v>
      </c>
      <c r="AH120" s="51" t="s">
        <v>6652</v>
      </c>
      <c r="AI120" s="40" t="s">
        <v>963</v>
      </c>
      <c r="AK120" s="37">
        <v>1704</v>
      </c>
      <c r="AL120" s="56">
        <v>113</v>
      </c>
      <c r="AM120" s="51" t="s">
        <v>46</v>
      </c>
      <c r="AN120" s="40" t="s">
        <v>46</v>
      </c>
      <c r="AP120" s="37">
        <v>1707</v>
      </c>
      <c r="AQ120" s="56">
        <v>113</v>
      </c>
      <c r="AR120" s="51" t="s">
        <v>46</v>
      </c>
      <c r="AS120" s="40" t="s">
        <v>46</v>
      </c>
      <c r="AU120" s="63">
        <v>1803</v>
      </c>
      <c r="AV120" s="64">
        <v>113</v>
      </c>
      <c r="AW120" s="77" t="s">
        <v>46</v>
      </c>
      <c r="AX120" s="66" t="s">
        <v>46</v>
      </c>
      <c r="AZ120" s="63">
        <v>1806</v>
      </c>
      <c r="BA120" s="82">
        <v>113</v>
      </c>
      <c r="BB120" s="77" t="s">
        <v>46</v>
      </c>
      <c r="BC120" s="66" t="s">
        <v>46</v>
      </c>
      <c r="BE120" s="63">
        <v>1809</v>
      </c>
      <c r="BF120" s="82">
        <v>113</v>
      </c>
      <c r="BG120" s="77" t="s">
        <v>46</v>
      </c>
      <c r="BH120" s="66" t="s">
        <v>46</v>
      </c>
    </row>
    <row r="121" spans="1:60">
      <c r="A121" s="1"/>
      <c r="B121" s="67">
        <v>1501</v>
      </c>
      <c r="C121" s="68">
        <v>114</v>
      </c>
      <c r="D121" s="69" t="s">
        <v>46</v>
      </c>
      <c r="E121" s="70" t="s">
        <v>46</v>
      </c>
      <c r="G121" s="67">
        <v>1504</v>
      </c>
      <c r="H121" s="68">
        <v>114</v>
      </c>
      <c r="I121" s="69" t="s">
        <v>46</v>
      </c>
      <c r="J121" s="70" t="s">
        <v>46</v>
      </c>
      <c r="L121" s="67">
        <v>1507</v>
      </c>
      <c r="M121" s="68">
        <v>114</v>
      </c>
      <c r="N121" s="69" t="s">
        <v>46</v>
      </c>
      <c r="O121" s="70" t="s">
        <v>46</v>
      </c>
      <c r="Q121" s="41">
        <v>1603</v>
      </c>
      <c r="R121" s="42">
        <v>114</v>
      </c>
      <c r="S121" s="43" t="s">
        <v>46</v>
      </c>
      <c r="T121" s="44" t="s">
        <v>46</v>
      </c>
      <c r="V121" s="41">
        <v>1606</v>
      </c>
      <c r="W121" s="33">
        <v>114</v>
      </c>
      <c r="X121" s="43" t="s">
        <v>46</v>
      </c>
      <c r="Y121" s="44" t="s">
        <v>46</v>
      </c>
      <c r="AA121" s="41">
        <v>1609</v>
      </c>
      <c r="AB121" s="33">
        <v>114</v>
      </c>
      <c r="AC121" s="43" t="s">
        <v>46</v>
      </c>
      <c r="AD121" s="44" t="s">
        <v>46</v>
      </c>
      <c r="AF121" s="41">
        <v>1701</v>
      </c>
      <c r="AG121" s="33">
        <v>114</v>
      </c>
      <c r="AH121" s="43" t="s">
        <v>46</v>
      </c>
      <c r="AI121" s="44" t="s">
        <v>46</v>
      </c>
      <c r="AK121" s="41">
        <v>1704</v>
      </c>
      <c r="AL121" s="33">
        <v>114</v>
      </c>
      <c r="AM121" s="43" t="s">
        <v>46</v>
      </c>
      <c r="AN121" s="44" t="s">
        <v>46</v>
      </c>
      <c r="AP121" s="41">
        <v>1707</v>
      </c>
      <c r="AQ121" s="33">
        <v>114</v>
      </c>
      <c r="AR121" s="43" t="s">
        <v>46</v>
      </c>
      <c r="AS121" s="44" t="s">
        <v>46</v>
      </c>
      <c r="AU121" s="67">
        <v>1803</v>
      </c>
      <c r="AV121" s="68">
        <v>114</v>
      </c>
      <c r="AW121" s="69" t="s">
        <v>46</v>
      </c>
      <c r="AX121" s="70" t="s">
        <v>46</v>
      </c>
      <c r="AZ121" s="67">
        <v>1806</v>
      </c>
      <c r="BA121" s="83">
        <v>114</v>
      </c>
      <c r="BB121" s="69" t="s">
        <v>46</v>
      </c>
      <c r="BC121" s="70" t="s">
        <v>46</v>
      </c>
      <c r="BE121" s="67">
        <v>1809</v>
      </c>
      <c r="BF121" s="83">
        <v>114</v>
      </c>
      <c r="BG121" s="69" t="s">
        <v>46</v>
      </c>
      <c r="BH121" s="70" t="s">
        <v>46</v>
      </c>
    </row>
    <row r="122" spans="1:60">
      <c r="A122" s="1"/>
      <c r="B122" s="67">
        <v>1501</v>
      </c>
      <c r="C122" s="68">
        <v>115</v>
      </c>
      <c r="D122" s="69" t="s">
        <v>46</v>
      </c>
      <c r="E122" s="70" t="s">
        <v>46</v>
      </c>
      <c r="G122" s="67">
        <v>1504</v>
      </c>
      <c r="H122" s="68">
        <v>115</v>
      </c>
      <c r="I122" s="69" t="s">
        <v>46</v>
      </c>
      <c r="J122" s="70" t="s">
        <v>46</v>
      </c>
      <c r="L122" s="67">
        <v>1507</v>
      </c>
      <c r="M122" s="68">
        <v>115</v>
      </c>
      <c r="N122" s="69" t="s">
        <v>46</v>
      </c>
      <c r="O122" s="70" t="s">
        <v>46</v>
      </c>
      <c r="Q122" s="41">
        <v>1603</v>
      </c>
      <c r="R122" s="42">
        <v>115</v>
      </c>
      <c r="S122" s="43" t="s">
        <v>46</v>
      </c>
      <c r="T122" s="44" t="s">
        <v>46</v>
      </c>
      <c r="V122" s="41">
        <v>1606</v>
      </c>
      <c r="W122" s="33">
        <v>115</v>
      </c>
      <c r="X122" s="43" t="s">
        <v>46</v>
      </c>
      <c r="Y122" s="44" t="s">
        <v>46</v>
      </c>
      <c r="AA122" s="41">
        <v>1609</v>
      </c>
      <c r="AB122" s="33">
        <v>115</v>
      </c>
      <c r="AC122" s="43" t="s">
        <v>46</v>
      </c>
      <c r="AD122" s="44" t="s">
        <v>46</v>
      </c>
      <c r="AF122" s="41">
        <v>1701</v>
      </c>
      <c r="AG122" s="33">
        <v>115</v>
      </c>
      <c r="AH122" s="43" t="s">
        <v>46</v>
      </c>
      <c r="AI122" s="44" t="s">
        <v>46</v>
      </c>
      <c r="AK122" s="41">
        <v>1704</v>
      </c>
      <c r="AL122" s="33">
        <v>115</v>
      </c>
      <c r="AM122" s="43" t="s">
        <v>46</v>
      </c>
      <c r="AN122" s="44" t="s">
        <v>46</v>
      </c>
      <c r="AP122" s="41">
        <v>1707</v>
      </c>
      <c r="AQ122" s="33">
        <v>115</v>
      </c>
      <c r="AR122" s="43" t="s">
        <v>46</v>
      </c>
      <c r="AS122" s="44" t="s">
        <v>46</v>
      </c>
      <c r="AU122" s="67">
        <v>1803</v>
      </c>
      <c r="AV122" s="68">
        <v>115</v>
      </c>
      <c r="AW122" s="69" t="s">
        <v>46</v>
      </c>
      <c r="AX122" s="70" t="s">
        <v>46</v>
      </c>
      <c r="AZ122" s="67">
        <v>1806</v>
      </c>
      <c r="BA122" s="83">
        <v>115</v>
      </c>
      <c r="BB122" s="69" t="s">
        <v>46</v>
      </c>
      <c r="BC122" s="70" t="s">
        <v>46</v>
      </c>
      <c r="BE122" s="67">
        <v>1809</v>
      </c>
      <c r="BF122" s="83">
        <v>115</v>
      </c>
      <c r="BG122" s="69" t="s">
        <v>46</v>
      </c>
      <c r="BH122" s="70" t="s">
        <v>46</v>
      </c>
    </row>
    <row r="123" spans="1:60">
      <c r="A123" s="1"/>
      <c r="B123" s="67">
        <v>1501</v>
      </c>
      <c r="C123" s="68">
        <v>116</v>
      </c>
      <c r="D123" s="69" t="s">
        <v>6653</v>
      </c>
      <c r="E123" s="70" t="s">
        <v>1389</v>
      </c>
      <c r="G123" s="67">
        <v>1504</v>
      </c>
      <c r="H123" s="68">
        <v>116</v>
      </c>
      <c r="I123" s="69" t="s">
        <v>46</v>
      </c>
      <c r="J123" s="70" t="s">
        <v>46</v>
      </c>
      <c r="L123" s="67">
        <v>1507</v>
      </c>
      <c r="M123" s="68">
        <v>116</v>
      </c>
      <c r="N123" s="69" t="s">
        <v>46</v>
      </c>
      <c r="O123" s="70" t="s">
        <v>46</v>
      </c>
      <c r="Q123" s="41">
        <v>1603</v>
      </c>
      <c r="R123" s="42">
        <v>116</v>
      </c>
      <c r="S123" s="43" t="s">
        <v>46</v>
      </c>
      <c r="T123" s="44" t="s">
        <v>46</v>
      </c>
      <c r="V123" s="41">
        <v>1606</v>
      </c>
      <c r="W123" s="33">
        <v>116</v>
      </c>
      <c r="X123" s="43" t="s">
        <v>46</v>
      </c>
      <c r="Y123" s="44" t="s">
        <v>46</v>
      </c>
      <c r="AA123" s="41">
        <v>1609</v>
      </c>
      <c r="AB123" s="33">
        <v>116</v>
      </c>
      <c r="AC123" s="43" t="s">
        <v>46</v>
      </c>
      <c r="AD123" s="44" t="s">
        <v>46</v>
      </c>
      <c r="AF123" s="41">
        <v>1701</v>
      </c>
      <c r="AG123" s="33">
        <v>116</v>
      </c>
      <c r="AH123" s="43" t="s">
        <v>6653</v>
      </c>
      <c r="AI123" s="44" t="s">
        <v>1389</v>
      </c>
      <c r="AK123" s="41">
        <v>1704</v>
      </c>
      <c r="AL123" s="33">
        <v>116</v>
      </c>
      <c r="AM123" s="43" t="s">
        <v>46</v>
      </c>
      <c r="AN123" s="44" t="s">
        <v>46</v>
      </c>
      <c r="AP123" s="41">
        <v>1707</v>
      </c>
      <c r="AQ123" s="33">
        <v>116</v>
      </c>
      <c r="AR123" s="43" t="s">
        <v>46</v>
      </c>
      <c r="AS123" s="44" t="s">
        <v>46</v>
      </c>
      <c r="AU123" s="67">
        <v>1803</v>
      </c>
      <c r="AV123" s="68">
        <v>116</v>
      </c>
      <c r="AW123" s="69" t="s">
        <v>46</v>
      </c>
      <c r="AX123" s="70" t="s">
        <v>46</v>
      </c>
      <c r="AZ123" s="67">
        <v>1806</v>
      </c>
      <c r="BA123" s="83">
        <v>116</v>
      </c>
      <c r="BB123" s="69" t="s">
        <v>46</v>
      </c>
      <c r="BC123" s="70" t="s">
        <v>46</v>
      </c>
      <c r="BE123" s="67">
        <v>1809</v>
      </c>
      <c r="BF123" s="83">
        <v>116</v>
      </c>
      <c r="BG123" s="69" t="s">
        <v>46</v>
      </c>
      <c r="BH123" s="70" t="s">
        <v>46</v>
      </c>
    </row>
    <row r="124" spans="1:60">
      <c r="A124" s="1"/>
      <c r="B124" s="67">
        <v>1501</v>
      </c>
      <c r="C124" s="68">
        <v>117</v>
      </c>
      <c r="D124" s="69" t="s">
        <v>46</v>
      </c>
      <c r="E124" s="70" t="s">
        <v>46</v>
      </c>
      <c r="G124" s="67">
        <v>1504</v>
      </c>
      <c r="H124" s="68">
        <v>117</v>
      </c>
      <c r="I124" s="69" t="s">
        <v>46</v>
      </c>
      <c r="J124" s="70" t="s">
        <v>46</v>
      </c>
      <c r="L124" s="67">
        <v>1507</v>
      </c>
      <c r="M124" s="68">
        <v>117</v>
      </c>
      <c r="N124" s="69" t="s">
        <v>46</v>
      </c>
      <c r="O124" s="70" t="s">
        <v>46</v>
      </c>
      <c r="Q124" s="41">
        <v>1603</v>
      </c>
      <c r="R124" s="42">
        <v>117</v>
      </c>
      <c r="S124" s="43" t="s">
        <v>46</v>
      </c>
      <c r="T124" s="44" t="s">
        <v>46</v>
      </c>
      <c r="V124" s="41">
        <v>1606</v>
      </c>
      <c r="W124" s="33">
        <v>117</v>
      </c>
      <c r="X124" s="43" t="s">
        <v>46</v>
      </c>
      <c r="Y124" s="44" t="s">
        <v>46</v>
      </c>
      <c r="AA124" s="41">
        <v>1609</v>
      </c>
      <c r="AB124" s="33">
        <v>117</v>
      </c>
      <c r="AC124" s="43" t="s">
        <v>46</v>
      </c>
      <c r="AD124" s="44" t="s">
        <v>46</v>
      </c>
      <c r="AF124" s="41">
        <v>1701</v>
      </c>
      <c r="AG124" s="33">
        <v>117</v>
      </c>
      <c r="AH124" s="43" t="s">
        <v>46</v>
      </c>
      <c r="AI124" s="44" t="s">
        <v>46</v>
      </c>
      <c r="AK124" s="41">
        <v>1704</v>
      </c>
      <c r="AL124" s="33">
        <v>117</v>
      </c>
      <c r="AM124" s="43" t="s">
        <v>46</v>
      </c>
      <c r="AN124" s="44" t="s">
        <v>46</v>
      </c>
      <c r="AP124" s="41">
        <v>1707</v>
      </c>
      <c r="AQ124" s="33">
        <v>117</v>
      </c>
      <c r="AR124" s="43" t="s">
        <v>46</v>
      </c>
      <c r="AS124" s="44" t="s">
        <v>46</v>
      </c>
      <c r="AU124" s="67">
        <v>1803</v>
      </c>
      <c r="AV124" s="68">
        <v>117</v>
      </c>
      <c r="AW124" s="69" t="s">
        <v>46</v>
      </c>
      <c r="AX124" s="70" t="s">
        <v>46</v>
      </c>
      <c r="AZ124" s="67">
        <v>1806</v>
      </c>
      <c r="BA124" s="83">
        <v>117</v>
      </c>
      <c r="BB124" s="69" t="s">
        <v>46</v>
      </c>
      <c r="BC124" s="70" t="s">
        <v>46</v>
      </c>
      <c r="BE124" s="67">
        <v>1809</v>
      </c>
      <c r="BF124" s="83">
        <v>117</v>
      </c>
      <c r="BG124" s="69" t="s">
        <v>46</v>
      </c>
      <c r="BH124" s="70" t="s">
        <v>46</v>
      </c>
    </row>
    <row r="125" spans="1:60">
      <c r="A125" s="1"/>
      <c r="B125" s="67">
        <v>1501</v>
      </c>
      <c r="C125" s="68">
        <v>118</v>
      </c>
      <c r="D125" s="69" t="s">
        <v>6654</v>
      </c>
      <c r="E125" s="70" t="s">
        <v>953</v>
      </c>
      <c r="G125" s="67">
        <v>1504</v>
      </c>
      <c r="H125" s="68">
        <v>118</v>
      </c>
      <c r="I125" s="69" t="s">
        <v>46</v>
      </c>
      <c r="J125" s="70" t="s">
        <v>46</v>
      </c>
      <c r="L125" s="67">
        <v>1507</v>
      </c>
      <c r="M125" s="68">
        <v>118</v>
      </c>
      <c r="N125" s="69" t="s">
        <v>46</v>
      </c>
      <c r="O125" s="70" t="s">
        <v>46</v>
      </c>
      <c r="Q125" s="41">
        <v>1603</v>
      </c>
      <c r="R125" s="42">
        <v>118</v>
      </c>
      <c r="S125" s="43" t="s">
        <v>46</v>
      </c>
      <c r="T125" s="44" t="s">
        <v>46</v>
      </c>
      <c r="V125" s="41">
        <v>1606</v>
      </c>
      <c r="W125" s="33">
        <v>118</v>
      </c>
      <c r="X125" s="43" t="s">
        <v>46</v>
      </c>
      <c r="Y125" s="44" t="s">
        <v>46</v>
      </c>
      <c r="AA125" s="41">
        <v>1609</v>
      </c>
      <c r="AB125" s="33">
        <v>118</v>
      </c>
      <c r="AC125" s="43" t="s">
        <v>46</v>
      </c>
      <c r="AD125" s="44" t="s">
        <v>46</v>
      </c>
      <c r="AF125" s="41">
        <v>1701</v>
      </c>
      <c r="AG125" s="33">
        <v>118</v>
      </c>
      <c r="AH125" s="43" t="s">
        <v>6654</v>
      </c>
      <c r="AI125" s="44" t="s">
        <v>953</v>
      </c>
      <c r="AK125" s="41">
        <v>1704</v>
      </c>
      <c r="AL125" s="33">
        <v>118</v>
      </c>
      <c r="AM125" s="43" t="s">
        <v>46</v>
      </c>
      <c r="AN125" s="44" t="s">
        <v>46</v>
      </c>
      <c r="AP125" s="41">
        <v>1707</v>
      </c>
      <c r="AQ125" s="33">
        <v>118</v>
      </c>
      <c r="AR125" s="43" t="s">
        <v>46</v>
      </c>
      <c r="AS125" s="44" t="s">
        <v>46</v>
      </c>
      <c r="AU125" s="67">
        <v>1803</v>
      </c>
      <c r="AV125" s="68">
        <v>118</v>
      </c>
      <c r="AW125" s="69" t="s">
        <v>46</v>
      </c>
      <c r="AX125" s="70" t="s">
        <v>46</v>
      </c>
      <c r="AZ125" s="67">
        <v>1806</v>
      </c>
      <c r="BA125" s="83">
        <v>118</v>
      </c>
      <c r="BB125" s="69" t="s">
        <v>46</v>
      </c>
      <c r="BC125" s="70" t="s">
        <v>46</v>
      </c>
      <c r="BE125" s="67">
        <v>1809</v>
      </c>
      <c r="BF125" s="83">
        <v>118</v>
      </c>
      <c r="BG125" s="69" t="s">
        <v>46</v>
      </c>
      <c r="BH125" s="70" t="s">
        <v>46</v>
      </c>
    </row>
    <row r="126" spans="1:60">
      <c r="A126" s="1"/>
      <c r="B126" s="67">
        <v>1501</v>
      </c>
      <c r="C126" s="68">
        <v>119</v>
      </c>
      <c r="D126" s="69" t="s">
        <v>46</v>
      </c>
      <c r="E126" s="70" t="s">
        <v>46</v>
      </c>
      <c r="G126" s="67">
        <v>1504</v>
      </c>
      <c r="H126" s="68">
        <v>119</v>
      </c>
      <c r="I126" s="69" t="s">
        <v>46</v>
      </c>
      <c r="J126" s="70" t="s">
        <v>46</v>
      </c>
      <c r="L126" s="67">
        <v>1507</v>
      </c>
      <c r="M126" s="68">
        <v>119</v>
      </c>
      <c r="N126" s="69" t="s">
        <v>46</v>
      </c>
      <c r="O126" s="70" t="s">
        <v>46</v>
      </c>
      <c r="Q126" s="41">
        <v>1603</v>
      </c>
      <c r="R126" s="42">
        <v>119</v>
      </c>
      <c r="S126" s="43" t="s">
        <v>46</v>
      </c>
      <c r="T126" s="44" t="s">
        <v>46</v>
      </c>
      <c r="V126" s="41">
        <v>1606</v>
      </c>
      <c r="W126" s="33">
        <v>119</v>
      </c>
      <c r="X126" s="43" t="s">
        <v>46</v>
      </c>
      <c r="Y126" s="44" t="s">
        <v>46</v>
      </c>
      <c r="AA126" s="41">
        <v>1609</v>
      </c>
      <c r="AB126" s="33">
        <v>119</v>
      </c>
      <c r="AC126" s="43" t="s">
        <v>46</v>
      </c>
      <c r="AD126" s="44" t="s">
        <v>46</v>
      </c>
      <c r="AF126" s="41">
        <v>1701</v>
      </c>
      <c r="AG126" s="33">
        <v>119</v>
      </c>
      <c r="AH126" s="43" t="s">
        <v>46</v>
      </c>
      <c r="AI126" s="44" t="s">
        <v>46</v>
      </c>
      <c r="AK126" s="41">
        <v>1704</v>
      </c>
      <c r="AL126" s="33">
        <v>119</v>
      </c>
      <c r="AM126" s="43" t="s">
        <v>46</v>
      </c>
      <c r="AN126" s="44" t="s">
        <v>46</v>
      </c>
      <c r="AP126" s="41">
        <v>1707</v>
      </c>
      <c r="AQ126" s="33">
        <v>119</v>
      </c>
      <c r="AR126" s="43" t="s">
        <v>46</v>
      </c>
      <c r="AS126" s="44" t="s">
        <v>46</v>
      </c>
      <c r="AU126" s="67">
        <v>1803</v>
      </c>
      <c r="AV126" s="68">
        <v>119</v>
      </c>
      <c r="AW126" s="69" t="s">
        <v>46</v>
      </c>
      <c r="AX126" s="70" t="s">
        <v>46</v>
      </c>
      <c r="AZ126" s="67">
        <v>1806</v>
      </c>
      <c r="BA126" s="83">
        <v>119</v>
      </c>
      <c r="BB126" s="69" t="s">
        <v>46</v>
      </c>
      <c r="BC126" s="70" t="s">
        <v>46</v>
      </c>
      <c r="BE126" s="67">
        <v>1809</v>
      </c>
      <c r="BF126" s="83">
        <v>119</v>
      </c>
      <c r="BG126" s="69" t="s">
        <v>46</v>
      </c>
      <c r="BH126" s="70" t="s">
        <v>46</v>
      </c>
    </row>
    <row r="127" spans="1:60">
      <c r="A127" s="1"/>
      <c r="B127" s="67">
        <v>1501</v>
      </c>
      <c r="C127" s="68">
        <v>120</v>
      </c>
      <c r="D127" s="69" t="s">
        <v>46</v>
      </c>
      <c r="E127" s="70" t="s">
        <v>46</v>
      </c>
      <c r="G127" s="67">
        <v>1504</v>
      </c>
      <c r="H127" s="68">
        <v>120</v>
      </c>
      <c r="I127" s="69" t="s">
        <v>6655</v>
      </c>
      <c r="J127" s="70" t="s">
        <v>973</v>
      </c>
      <c r="L127" s="67">
        <v>1507</v>
      </c>
      <c r="M127" s="68">
        <v>120</v>
      </c>
      <c r="N127" s="69" t="s">
        <v>46</v>
      </c>
      <c r="O127" s="70" t="s">
        <v>46</v>
      </c>
      <c r="Q127" s="41">
        <v>1603</v>
      </c>
      <c r="R127" s="42">
        <v>120</v>
      </c>
      <c r="S127" s="43" t="s">
        <v>46</v>
      </c>
      <c r="T127" s="44" t="s">
        <v>46</v>
      </c>
      <c r="V127" s="41">
        <v>1606</v>
      </c>
      <c r="W127" s="33">
        <v>120</v>
      </c>
      <c r="X127" s="43" t="s">
        <v>46</v>
      </c>
      <c r="Y127" s="44" t="s">
        <v>46</v>
      </c>
      <c r="AA127" s="41">
        <v>1609</v>
      </c>
      <c r="AB127" s="33">
        <v>120</v>
      </c>
      <c r="AC127" s="43" t="s">
        <v>46</v>
      </c>
      <c r="AD127" s="44" t="s">
        <v>46</v>
      </c>
      <c r="AF127" s="41">
        <v>1701</v>
      </c>
      <c r="AG127" s="33">
        <v>120</v>
      </c>
      <c r="AH127" s="43" t="s">
        <v>46</v>
      </c>
      <c r="AI127" s="44" t="s">
        <v>46</v>
      </c>
      <c r="AK127" s="41">
        <v>1704</v>
      </c>
      <c r="AL127" s="33">
        <v>120</v>
      </c>
      <c r="AM127" s="43" t="s">
        <v>6655</v>
      </c>
      <c r="AN127" s="44" t="s">
        <v>973</v>
      </c>
      <c r="AP127" s="41">
        <v>1707</v>
      </c>
      <c r="AQ127" s="33">
        <v>120</v>
      </c>
      <c r="AR127" s="43" t="s">
        <v>46</v>
      </c>
      <c r="AS127" s="44" t="s">
        <v>46</v>
      </c>
      <c r="AU127" s="67">
        <v>1803</v>
      </c>
      <c r="AV127" s="68">
        <v>120</v>
      </c>
      <c r="AW127" s="69" t="s">
        <v>46</v>
      </c>
      <c r="AX127" s="70" t="s">
        <v>46</v>
      </c>
      <c r="AZ127" s="67">
        <v>1806</v>
      </c>
      <c r="BA127" s="83">
        <v>120</v>
      </c>
      <c r="BB127" s="69" t="s">
        <v>46</v>
      </c>
      <c r="BC127" s="70" t="s">
        <v>46</v>
      </c>
      <c r="BE127" s="67">
        <v>1809</v>
      </c>
      <c r="BF127" s="83">
        <v>120</v>
      </c>
      <c r="BG127" s="69" t="s">
        <v>46</v>
      </c>
      <c r="BH127" s="70" t="s">
        <v>46</v>
      </c>
    </row>
    <row r="128" spans="1:60">
      <c r="A128" s="1"/>
      <c r="B128" s="67">
        <v>1501</v>
      </c>
      <c r="C128" s="68">
        <v>121</v>
      </c>
      <c r="D128" s="69" t="s">
        <v>46</v>
      </c>
      <c r="E128" s="70" t="s">
        <v>46</v>
      </c>
      <c r="G128" s="67">
        <v>1504</v>
      </c>
      <c r="H128" s="68">
        <v>121</v>
      </c>
      <c r="I128" s="69" t="s">
        <v>46</v>
      </c>
      <c r="J128" s="70" t="s">
        <v>46</v>
      </c>
      <c r="L128" s="67">
        <v>1507</v>
      </c>
      <c r="M128" s="68">
        <v>121</v>
      </c>
      <c r="N128" s="69" t="s">
        <v>46</v>
      </c>
      <c r="O128" s="70" t="s">
        <v>46</v>
      </c>
      <c r="Q128" s="41">
        <v>1603</v>
      </c>
      <c r="R128" s="42">
        <v>121</v>
      </c>
      <c r="S128" s="43" t="s">
        <v>46</v>
      </c>
      <c r="T128" s="44" t="s">
        <v>46</v>
      </c>
      <c r="V128" s="41">
        <v>1606</v>
      </c>
      <c r="W128" s="33">
        <v>121</v>
      </c>
      <c r="X128" s="43" t="s">
        <v>46</v>
      </c>
      <c r="Y128" s="44" t="s">
        <v>46</v>
      </c>
      <c r="AA128" s="41">
        <v>1609</v>
      </c>
      <c r="AB128" s="33">
        <v>121</v>
      </c>
      <c r="AC128" s="43" t="s">
        <v>46</v>
      </c>
      <c r="AD128" s="44" t="s">
        <v>46</v>
      </c>
      <c r="AF128" s="41">
        <v>1701</v>
      </c>
      <c r="AG128" s="33">
        <v>121</v>
      </c>
      <c r="AH128" s="43" t="s">
        <v>46</v>
      </c>
      <c r="AI128" s="44" t="s">
        <v>46</v>
      </c>
      <c r="AK128" s="41">
        <v>1704</v>
      </c>
      <c r="AL128" s="33">
        <v>121</v>
      </c>
      <c r="AM128" s="43" t="s">
        <v>46</v>
      </c>
      <c r="AN128" s="44" t="s">
        <v>46</v>
      </c>
      <c r="AP128" s="41">
        <v>1707</v>
      </c>
      <c r="AQ128" s="33">
        <v>121</v>
      </c>
      <c r="AR128" s="43" t="s">
        <v>46</v>
      </c>
      <c r="AS128" s="44" t="s">
        <v>46</v>
      </c>
      <c r="AU128" s="67">
        <v>1803</v>
      </c>
      <c r="AV128" s="68">
        <v>121</v>
      </c>
      <c r="AW128" s="69" t="s">
        <v>46</v>
      </c>
      <c r="AX128" s="70" t="s">
        <v>46</v>
      </c>
      <c r="AZ128" s="67">
        <v>1806</v>
      </c>
      <c r="BA128" s="83">
        <v>121</v>
      </c>
      <c r="BB128" s="69" t="s">
        <v>46</v>
      </c>
      <c r="BC128" s="70" t="s">
        <v>46</v>
      </c>
      <c r="BE128" s="67">
        <v>1809</v>
      </c>
      <c r="BF128" s="83">
        <v>121</v>
      </c>
      <c r="BG128" s="69" t="s">
        <v>46</v>
      </c>
      <c r="BH128" s="70" t="s">
        <v>46</v>
      </c>
    </row>
    <row r="129" spans="2:60">
      <c r="B129" s="67">
        <v>1501</v>
      </c>
      <c r="C129" s="68">
        <v>122</v>
      </c>
      <c r="D129" s="69" t="s">
        <v>46</v>
      </c>
      <c r="E129" s="70" t="s">
        <v>46</v>
      </c>
      <c r="G129" s="67">
        <v>1504</v>
      </c>
      <c r="H129" s="68">
        <v>122</v>
      </c>
      <c r="I129" s="69" t="s">
        <v>46</v>
      </c>
      <c r="J129" s="70" t="s">
        <v>46</v>
      </c>
      <c r="L129" s="67">
        <v>1507</v>
      </c>
      <c r="M129" s="68">
        <v>122</v>
      </c>
      <c r="N129" s="69" t="s">
        <v>46</v>
      </c>
      <c r="O129" s="70" t="s">
        <v>46</v>
      </c>
      <c r="Q129" s="41">
        <v>1603</v>
      </c>
      <c r="R129" s="42">
        <v>122</v>
      </c>
      <c r="S129" s="43" t="s">
        <v>46</v>
      </c>
      <c r="T129" s="44" t="s">
        <v>46</v>
      </c>
      <c r="V129" s="41">
        <v>1606</v>
      </c>
      <c r="W129" s="33">
        <v>122</v>
      </c>
      <c r="X129" s="43" t="s">
        <v>46</v>
      </c>
      <c r="Y129" s="44" t="s">
        <v>46</v>
      </c>
      <c r="AA129" s="41">
        <v>1609</v>
      </c>
      <c r="AB129" s="33">
        <v>122</v>
      </c>
      <c r="AC129" s="43" t="s">
        <v>46</v>
      </c>
      <c r="AD129" s="44" t="s">
        <v>46</v>
      </c>
      <c r="AF129" s="41">
        <v>1701</v>
      </c>
      <c r="AG129" s="33">
        <v>122</v>
      </c>
      <c r="AH129" s="43" t="s">
        <v>46</v>
      </c>
      <c r="AI129" s="44" t="s">
        <v>46</v>
      </c>
      <c r="AK129" s="41">
        <v>1704</v>
      </c>
      <c r="AL129" s="33">
        <v>122</v>
      </c>
      <c r="AM129" s="43" t="s">
        <v>46</v>
      </c>
      <c r="AN129" s="44" t="s">
        <v>46</v>
      </c>
      <c r="AP129" s="41">
        <v>1707</v>
      </c>
      <c r="AQ129" s="33">
        <v>122</v>
      </c>
      <c r="AR129" s="43" t="s">
        <v>46</v>
      </c>
      <c r="AS129" s="44" t="s">
        <v>46</v>
      </c>
      <c r="AU129" s="67">
        <v>1803</v>
      </c>
      <c r="AV129" s="68">
        <v>122</v>
      </c>
      <c r="AW129" s="69" t="s">
        <v>46</v>
      </c>
      <c r="AX129" s="70" t="s">
        <v>46</v>
      </c>
      <c r="AZ129" s="67">
        <v>1806</v>
      </c>
      <c r="BA129" s="83">
        <v>122</v>
      </c>
      <c r="BB129" s="69" t="s">
        <v>46</v>
      </c>
      <c r="BC129" s="70" t="s">
        <v>46</v>
      </c>
      <c r="BE129" s="67">
        <v>1809</v>
      </c>
      <c r="BF129" s="83">
        <v>122</v>
      </c>
      <c r="BG129" s="69" t="s">
        <v>46</v>
      </c>
      <c r="BH129" s="70" t="s">
        <v>46</v>
      </c>
    </row>
    <row r="130" spans="2:60">
      <c r="B130" s="67">
        <v>1501</v>
      </c>
      <c r="C130" s="68">
        <v>123</v>
      </c>
      <c r="D130" s="69" t="s">
        <v>46</v>
      </c>
      <c r="E130" s="70" t="s">
        <v>46</v>
      </c>
      <c r="G130" s="67">
        <v>1504</v>
      </c>
      <c r="H130" s="68">
        <v>123</v>
      </c>
      <c r="I130" s="69" t="s">
        <v>46</v>
      </c>
      <c r="J130" s="70" t="s">
        <v>46</v>
      </c>
      <c r="L130" s="67">
        <v>1507</v>
      </c>
      <c r="M130" s="68">
        <v>123</v>
      </c>
      <c r="N130" s="69" t="s">
        <v>46</v>
      </c>
      <c r="O130" s="70" t="s">
        <v>46</v>
      </c>
      <c r="Q130" s="41">
        <v>1603</v>
      </c>
      <c r="R130" s="42">
        <v>123</v>
      </c>
      <c r="S130" s="43" t="s">
        <v>46</v>
      </c>
      <c r="T130" s="44" t="s">
        <v>46</v>
      </c>
      <c r="V130" s="41">
        <v>1606</v>
      </c>
      <c r="W130" s="33">
        <v>123</v>
      </c>
      <c r="X130" s="43" t="s">
        <v>46</v>
      </c>
      <c r="Y130" s="44" t="s">
        <v>46</v>
      </c>
      <c r="AA130" s="41">
        <v>1609</v>
      </c>
      <c r="AB130" s="33">
        <v>123</v>
      </c>
      <c r="AC130" s="43" t="s">
        <v>46</v>
      </c>
      <c r="AD130" s="44" t="s">
        <v>46</v>
      </c>
      <c r="AF130" s="41">
        <v>1701</v>
      </c>
      <c r="AG130" s="33">
        <v>123</v>
      </c>
      <c r="AH130" s="43" t="s">
        <v>46</v>
      </c>
      <c r="AI130" s="44" t="s">
        <v>46</v>
      </c>
      <c r="AK130" s="41">
        <v>1704</v>
      </c>
      <c r="AL130" s="33">
        <v>123</v>
      </c>
      <c r="AM130" s="43" t="s">
        <v>46</v>
      </c>
      <c r="AN130" s="44" t="s">
        <v>46</v>
      </c>
      <c r="AP130" s="41">
        <v>1707</v>
      </c>
      <c r="AQ130" s="33">
        <v>123</v>
      </c>
      <c r="AR130" s="43" t="s">
        <v>46</v>
      </c>
      <c r="AS130" s="44" t="s">
        <v>46</v>
      </c>
      <c r="AU130" s="67">
        <v>1803</v>
      </c>
      <c r="AV130" s="68">
        <v>123</v>
      </c>
      <c r="AW130" s="69" t="s">
        <v>46</v>
      </c>
      <c r="AX130" s="70" t="s">
        <v>46</v>
      </c>
      <c r="AZ130" s="67">
        <v>1806</v>
      </c>
      <c r="BA130" s="83">
        <v>123</v>
      </c>
      <c r="BB130" s="69" t="s">
        <v>46</v>
      </c>
      <c r="BC130" s="70" t="s">
        <v>46</v>
      </c>
      <c r="BE130" s="67">
        <v>1809</v>
      </c>
      <c r="BF130" s="83">
        <v>123</v>
      </c>
      <c r="BG130" s="69" t="s">
        <v>46</v>
      </c>
      <c r="BH130" s="70" t="s">
        <v>46</v>
      </c>
    </row>
    <row r="131" spans="2:60">
      <c r="B131" s="67">
        <v>1501</v>
      </c>
      <c r="C131" s="68">
        <v>124</v>
      </c>
      <c r="D131" s="69" t="s">
        <v>46</v>
      </c>
      <c r="E131" s="70" t="s">
        <v>46</v>
      </c>
      <c r="G131" s="67">
        <v>1504</v>
      </c>
      <c r="H131" s="68">
        <v>124</v>
      </c>
      <c r="I131" s="69" t="s">
        <v>46</v>
      </c>
      <c r="J131" s="70" t="s">
        <v>46</v>
      </c>
      <c r="L131" s="67">
        <v>1507</v>
      </c>
      <c r="M131" s="68">
        <v>124</v>
      </c>
      <c r="N131" s="69" t="s">
        <v>46</v>
      </c>
      <c r="O131" s="70" t="s">
        <v>46</v>
      </c>
      <c r="Q131" s="41">
        <v>1603</v>
      </c>
      <c r="R131" s="42">
        <v>124</v>
      </c>
      <c r="S131" s="43" t="s">
        <v>46</v>
      </c>
      <c r="T131" s="44" t="s">
        <v>46</v>
      </c>
      <c r="V131" s="41">
        <v>1606</v>
      </c>
      <c r="W131" s="33">
        <v>124</v>
      </c>
      <c r="X131" s="43" t="s">
        <v>46</v>
      </c>
      <c r="Y131" s="44" t="s">
        <v>46</v>
      </c>
      <c r="AA131" s="41">
        <v>1609</v>
      </c>
      <c r="AB131" s="33">
        <v>124</v>
      </c>
      <c r="AC131" s="43" t="s">
        <v>46</v>
      </c>
      <c r="AD131" s="44" t="s">
        <v>46</v>
      </c>
      <c r="AF131" s="41">
        <v>1701</v>
      </c>
      <c r="AG131" s="33">
        <v>124</v>
      </c>
      <c r="AH131" s="43" t="s">
        <v>46</v>
      </c>
      <c r="AI131" s="44" t="s">
        <v>46</v>
      </c>
      <c r="AK131" s="41">
        <v>1704</v>
      </c>
      <c r="AL131" s="33">
        <v>124</v>
      </c>
      <c r="AM131" s="43" t="s">
        <v>46</v>
      </c>
      <c r="AN131" s="44" t="s">
        <v>46</v>
      </c>
      <c r="AP131" s="41">
        <v>1707</v>
      </c>
      <c r="AQ131" s="33">
        <v>124</v>
      </c>
      <c r="AR131" s="43" t="s">
        <v>46</v>
      </c>
      <c r="AS131" s="44" t="s">
        <v>46</v>
      </c>
      <c r="AU131" s="67">
        <v>1803</v>
      </c>
      <c r="AV131" s="68">
        <v>124</v>
      </c>
      <c r="AW131" s="69" t="s">
        <v>46</v>
      </c>
      <c r="AX131" s="70" t="s">
        <v>46</v>
      </c>
      <c r="AZ131" s="67">
        <v>1806</v>
      </c>
      <c r="BA131" s="83">
        <v>124</v>
      </c>
      <c r="BB131" s="69" t="s">
        <v>46</v>
      </c>
      <c r="BC131" s="70" t="s">
        <v>46</v>
      </c>
      <c r="BE131" s="67">
        <v>1809</v>
      </c>
      <c r="BF131" s="83">
        <v>124</v>
      </c>
      <c r="BG131" s="69" t="s">
        <v>46</v>
      </c>
      <c r="BH131" s="70" t="s">
        <v>46</v>
      </c>
    </row>
    <row r="132" spans="2:60">
      <c r="B132" s="67">
        <v>1501</v>
      </c>
      <c r="C132" s="68">
        <v>125</v>
      </c>
      <c r="D132" s="69" t="s">
        <v>6656</v>
      </c>
      <c r="E132" s="70" t="s">
        <v>993</v>
      </c>
      <c r="G132" s="67">
        <v>1504</v>
      </c>
      <c r="H132" s="68">
        <v>125</v>
      </c>
      <c r="I132" s="69" t="s">
        <v>6657</v>
      </c>
      <c r="J132" s="70" t="s">
        <v>943</v>
      </c>
      <c r="L132" s="67">
        <v>1507</v>
      </c>
      <c r="M132" s="68">
        <v>125</v>
      </c>
      <c r="N132" s="69" t="s">
        <v>46</v>
      </c>
      <c r="O132" s="70" t="s">
        <v>46</v>
      </c>
      <c r="Q132" s="41">
        <v>1603</v>
      </c>
      <c r="R132" s="42">
        <v>125</v>
      </c>
      <c r="S132" s="43" t="s">
        <v>46</v>
      </c>
      <c r="T132" s="44" t="s">
        <v>46</v>
      </c>
      <c r="V132" s="41">
        <v>1606</v>
      </c>
      <c r="W132" s="33">
        <v>125</v>
      </c>
      <c r="X132" s="43" t="s">
        <v>46</v>
      </c>
      <c r="Y132" s="44" t="s">
        <v>46</v>
      </c>
      <c r="AA132" s="41">
        <v>1609</v>
      </c>
      <c r="AB132" s="33">
        <v>125</v>
      </c>
      <c r="AC132" s="43" t="s">
        <v>46</v>
      </c>
      <c r="AD132" s="44" t="s">
        <v>46</v>
      </c>
      <c r="AF132" s="41">
        <v>1701</v>
      </c>
      <c r="AG132" s="33">
        <v>125</v>
      </c>
      <c r="AH132" s="43" t="s">
        <v>6656</v>
      </c>
      <c r="AI132" s="44" t="s">
        <v>993</v>
      </c>
      <c r="AK132" s="41">
        <v>1704</v>
      </c>
      <c r="AL132" s="33">
        <v>125</v>
      </c>
      <c r="AM132" s="43" t="s">
        <v>6657</v>
      </c>
      <c r="AN132" s="44" t="s">
        <v>943</v>
      </c>
      <c r="AP132" s="41">
        <v>1707</v>
      </c>
      <c r="AQ132" s="33">
        <v>125</v>
      </c>
      <c r="AR132" s="43" t="s">
        <v>46</v>
      </c>
      <c r="AS132" s="44" t="s">
        <v>46</v>
      </c>
      <c r="AU132" s="67">
        <v>1803</v>
      </c>
      <c r="AV132" s="68">
        <v>125</v>
      </c>
      <c r="AW132" s="69" t="s">
        <v>46</v>
      </c>
      <c r="AX132" s="70" t="s">
        <v>46</v>
      </c>
      <c r="AZ132" s="67">
        <v>1806</v>
      </c>
      <c r="BA132" s="83">
        <v>125</v>
      </c>
      <c r="BB132" s="69" t="s">
        <v>46</v>
      </c>
      <c r="BC132" s="70" t="s">
        <v>46</v>
      </c>
      <c r="BE132" s="67">
        <v>1809</v>
      </c>
      <c r="BF132" s="83">
        <v>125</v>
      </c>
      <c r="BG132" s="69" t="s">
        <v>46</v>
      </c>
      <c r="BH132" s="70" t="s">
        <v>46</v>
      </c>
    </row>
    <row r="133" spans="2:60">
      <c r="B133" s="67">
        <v>1501</v>
      </c>
      <c r="C133" s="68">
        <v>126</v>
      </c>
      <c r="D133" s="69" t="s">
        <v>46</v>
      </c>
      <c r="E133" s="70" t="s">
        <v>46</v>
      </c>
      <c r="G133" s="67">
        <v>1504</v>
      </c>
      <c r="H133" s="68">
        <v>126</v>
      </c>
      <c r="I133" s="69" t="s">
        <v>46</v>
      </c>
      <c r="J133" s="70" t="s">
        <v>46</v>
      </c>
      <c r="L133" s="67">
        <v>1507</v>
      </c>
      <c r="M133" s="68">
        <v>126</v>
      </c>
      <c r="N133" s="69" t="s">
        <v>46</v>
      </c>
      <c r="O133" s="70" t="s">
        <v>46</v>
      </c>
      <c r="Q133" s="41">
        <v>1603</v>
      </c>
      <c r="R133" s="42">
        <v>126</v>
      </c>
      <c r="S133" s="43" t="s">
        <v>46</v>
      </c>
      <c r="T133" s="44" t="s">
        <v>46</v>
      </c>
      <c r="V133" s="41">
        <v>1606</v>
      </c>
      <c r="W133" s="33">
        <v>126</v>
      </c>
      <c r="X133" s="43" t="s">
        <v>46</v>
      </c>
      <c r="Y133" s="44" t="s">
        <v>46</v>
      </c>
      <c r="AA133" s="41">
        <v>1609</v>
      </c>
      <c r="AB133" s="33">
        <v>126</v>
      </c>
      <c r="AC133" s="43" t="s">
        <v>46</v>
      </c>
      <c r="AD133" s="44" t="s">
        <v>46</v>
      </c>
      <c r="AF133" s="41">
        <v>1701</v>
      </c>
      <c r="AG133" s="33">
        <v>126</v>
      </c>
      <c r="AH133" s="43" t="s">
        <v>46</v>
      </c>
      <c r="AI133" s="44" t="s">
        <v>46</v>
      </c>
      <c r="AK133" s="41">
        <v>1704</v>
      </c>
      <c r="AL133" s="33">
        <v>126</v>
      </c>
      <c r="AM133" s="43" t="s">
        <v>46</v>
      </c>
      <c r="AN133" s="44" t="s">
        <v>46</v>
      </c>
      <c r="AP133" s="41">
        <v>1707</v>
      </c>
      <c r="AQ133" s="33">
        <v>126</v>
      </c>
      <c r="AR133" s="43" t="s">
        <v>46</v>
      </c>
      <c r="AS133" s="44" t="s">
        <v>46</v>
      </c>
      <c r="AU133" s="67">
        <v>1803</v>
      </c>
      <c r="AV133" s="68">
        <v>126</v>
      </c>
      <c r="AW133" s="69" t="s">
        <v>46</v>
      </c>
      <c r="AX133" s="70" t="s">
        <v>46</v>
      </c>
      <c r="AZ133" s="67">
        <v>1806</v>
      </c>
      <c r="BA133" s="83">
        <v>126</v>
      </c>
      <c r="BB133" s="69" t="s">
        <v>46</v>
      </c>
      <c r="BC133" s="70" t="s">
        <v>46</v>
      </c>
      <c r="BE133" s="67">
        <v>1809</v>
      </c>
      <c r="BF133" s="83">
        <v>126</v>
      </c>
      <c r="BG133" s="69" t="s">
        <v>46</v>
      </c>
      <c r="BH133" s="70" t="s">
        <v>46</v>
      </c>
    </row>
    <row r="134" spans="2:60">
      <c r="B134" s="67">
        <v>1501</v>
      </c>
      <c r="C134" s="68">
        <v>127</v>
      </c>
      <c r="D134" s="69" t="s">
        <v>46</v>
      </c>
      <c r="E134" s="70" t="s">
        <v>46</v>
      </c>
      <c r="G134" s="67">
        <v>1504</v>
      </c>
      <c r="H134" s="68">
        <v>127</v>
      </c>
      <c r="I134" s="69" t="s">
        <v>46</v>
      </c>
      <c r="J134" s="70" t="s">
        <v>46</v>
      </c>
      <c r="L134" s="67">
        <v>1507</v>
      </c>
      <c r="M134" s="68">
        <v>127</v>
      </c>
      <c r="N134" s="69" t="s">
        <v>46</v>
      </c>
      <c r="O134" s="70" t="s">
        <v>46</v>
      </c>
      <c r="Q134" s="41">
        <v>1603</v>
      </c>
      <c r="R134" s="42">
        <v>127</v>
      </c>
      <c r="S134" s="43" t="s">
        <v>46</v>
      </c>
      <c r="T134" s="44" t="s">
        <v>46</v>
      </c>
      <c r="V134" s="41">
        <v>1606</v>
      </c>
      <c r="W134" s="33">
        <v>127</v>
      </c>
      <c r="X134" s="43" t="s">
        <v>46</v>
      </c>
      <c r="Y134" s="44" t="s">
        <v>46</v>
      </c>
      <c r="AA134" s="41">
        <v>1609</v>
      </c>
      <c r="AB134" s="33">
        <v>127</v>
      </c>
      <c r="AC134" s="43" t="s">
        <v>46</v>
      </c>
      <c r="AD134" s="44" t="s">
        <v>46</v>
      </c>
      <c r="AF134" s="41">
        <v>1701</v>
      </c>
      <c r="AG134" s="33">
        <v>127</v>
      </c>
      <c r="AH134" s="43" t="s">
        <v>46</v>
      </c>
      <c r="AI134" s="44" t="s">
        <v>46</v>
      </c>
      <c r="AK134" s="41">
        <v>1704</v>
      </c>
      <c r="AL134" s="33">
        <v>127</v>
      </c>
      <c r="AM134" s="43" t="s">
        <v>46</v>
      </c>
      <c r="AN134" s="44" t="s">
        <v>46</v>
      </c>
      <c r="AP134" s="41">
        <v>1707</v>
      </c>
      <c r="AQ134" s="33">
        <v>127</v>
      </c>
      <c r="AR134" s="43" t="s">
        <v>46</v>
      </c>
      <c r="AS134" s="44" t="s">
        <v>46</v>
      </c>
      <c r="AU134" s="67">
        <v>1803</v>
      </c>
      <c r="AV134" s="68">
        <v>127</v>
      </c>
      <c r="AW134" s="69" t="s">
        <v>46</v>
      </c>
      <c r="AX134" s="70" t="s">
        <v>46</v>
      </c>
      <c r="AZ134" s="67">
        <v>1806</v>
      </c>
      <c r="BA134" s="83">
        <v>127</v>
      </c>
      <c r="BB134" s="69" t="s">
        <v>46</v>
      </c>
      <c r="BC134" s="70" t="s">
        <v>46</v>
      </c>
      <c r="BE134" s="67">
        <v>1809</v>
      </c>
      <c r="BF134" s="83">
        <v>127</v>
      </c>
      <c r="BG134" s="69" t="s">
        <v>46</v>
      </c>
      <c r="BH134" s="70" t="s">
        <v>46</v>
      </c>
    </row>
    <row r="135" spans="2:60" ht="15" thickBot="1">
      <c r="B135" s="71">
        <v>1501</v>
      </c>
      <c r="C135" s="72">
        <v>128</v>
      </c>
      <c r="D135" s="80" t="s">
        <v>46</v>
      </c>
      <c r="E135" s="74" t="s">
        <v>46</v>
      </c>
      <c r="G135" s="71">
        <v>1504</v>
      </c>
      <c r="H135" s="72">
        <v>128</v>
      </c>
      <c r="I135" s="80" t="s">
        <v>46</v>
      </c>
      <c r="J135" s="74" t="s">
        <v>46</v>
      </c>
      <c r="L135" s="71">
        <v>1507</v>
      </c>
      <c r="M135" s="72">
        <v>128</v>
      </c>
      <c r="N135" s="80" t="s">
        <v>46</v>
      </c>
      <c r="O135" s="74" t="s">
        <v>46</v>
      </c>
      <c r="Q135" s="45">
        <v>1603</v>
      </c>
      <c r="R135" s="46">
        <v>128</v>
      </c>
      <c r="S135" s="54" t="s">
        <v>46</v>
      </c>
      <c r="T135" s="48" t="s">
        <v>46</v>
      </c>
      <c r="V135" s="45">
        <v>1606</v>
      </c>
      <c r="W135" s="57">
        <v>128</v>
      </c>
      <c r="X135" s="54" t="s">
        <v>46</v>
      </c>
      <c r="Y135" s="48" t="s">
        <v>46</v>
      </c>
      <c r="AA135" s="45">
        <v>1609</v>
      </c>
      <c r="AB135" s="57">
        <v>128</v>
      </c>
      <c r="AC135" s="54" t="s">
        <v>46</v>
      </c>
      <c r="AD135" s="48" t="s">
        <v>46</v>
      </c>
      <c r="AF135" s="45">
        <v>1701</v>
      </c>
      <c r="AG135" s="57">
        <v>128</v>
      </c>
      <c r="AH135" s="54" t="s">
        <v>46</v>
      </c>
      <c r="AI135" s="48" t="s">
        <v>46</v>
      </c>
      <c r="AK135" s="45">
        <v>1704</v>
      </c>
      <c r="AL135" s="57">
        <v>128</v>
      </c>
      <c r="AM135" s="54" t="s">
        <v>46</v>
      </c>
      <c r="AN135" s="48" t="s">
        <v>46</v>
      </c>
      <c r="AP135" s="45">
        <v>1707</v>
      </c>
      <c r="AQ135" s="57">
        <v>128</v>
      </c>
      <c r="AR135" s="54" t="s">
        <v>46</v>
      </c>
      <c r="AS135" s="48" t="s">
        <v>46</v>
      </c>
      <c r="AU135" s="71">
        <v>1803</v>
      </c>
      <c r="AV135" s="72">
        <v>128</v>
      </c>
      <c r="AW135" s="80" t="s">
        <v>46</v>
      </c>
      <c r="AX135" s="74" t="s">
        <v>46</v>
      </c>
      <c r="AZ135" s="71">
        <v>1806</v>
      </c>
      <c r="BA135" s="84">
        <v>128</v>
      </c>
      <c r="BB135" s="80" t="s">
        <v>46</v>
      </c>
      <c r="BC135" s="74" t="s">
        <v>46</v>
      </c>
      <c r="BE135" s="71">
        <v>1809</v>
      </c>
      <c r="BF135" s="84">
        <v>128</v>
      </c>
      <c r="BG135" s="80" t="s">
        <v>46</v>
      </c>
      <c r="BH135" s="74" t="s">
        <v>46</v>
      </c>
    </row>
  </sheetData>
  <phoneticPr fontId="3"/>
  <conditionalFormatting sqref="D139:D210">
    <cfRule type="cellIs" dxfId="411" priority="9" operator="lessThan">
      <formula>$B139</formula>
    </cfRule>
    <cfRule type="cellIs" dxfId="410" priority="10" operator="greaterThan">
      <formula>$B139</formula>
    </cfRule>
  </conditionalFormatting>
  <conditionalFormatting sqref="I139:I210">
    <cfRule type="cellIs" dxfId="409" priority="5" operator="lessThan">
      <formula>$B139</formula>
    </cfRule>
    <cfRule type="cellIs" dxfId="408" priority="6" operator="greaterThan">
      <formula>$B139</formula>
    </cfRule>
  </conditionalFormatting>
  <conditionalFormatting sqref="N139:N210">
    <cfRule type="cellIs" dxfId="407" priority="1" operator="lessThan">
      <formula>$B139</formula>
    </cfRule>
    <cfRule type="cellIs" dxfId="406" priority="2" operator="greaterThan">
      <formula>$B139</formula>
    </cfRule>
  </conditionalFormatting>
  <conditionalFormatting sqref="S139:S210">
    <cfRule type="cellIs" dxfId="405" priority="77" operator="lessThan">
      <formula>$B139</formula>
    </cfRule>
    <cfRule type="cellIs" dxfId="404" priority="78" operator="greaterThan">
      <formula>$B139</formula>
    </cfRule>
  </conditionalFormatting>
  <conditionalFormatting sqref="X139:X210">
    <cfRule type="cellIs" dxfId="403" priority="73" operator="lessThan">
      <formula>$B139</formula>
    </cfRule>
    <cfRule type="cellIs" dxfId="402" priority="74" operator="greaterThan">
      <formula>$B139</formula>
    </cfRule>
  </conditionalFormatting>
  <conditionalFormatting sqref="AC139:AC210 AH139:AH210 AM139:AM210">
    <cfRule type="cellIs" dxfId="401" priority="17" operator="lessThan">
      <formula>$B139</formula>
    </cfRule>
    <cfRule type="cellIs" dxfId="400" priority="18" operator="greaterThan">
      <formula>$B139</formula>
    </cfRule>
  </conditionalFormatting>
  <conditionalFormatting sqref="AR139:AR210">
    <cfRule type="cellIs" dxfId="399" priority="13" operator="lessThan">
      <formula>$B139</formula>
    </cfRule>
    <cfRule type="cellIs" dxfId="398" priority="14" operator="greaterThan">
      <formula>$B139</formula>
    </cfRule>
  </conditionalFormatting>
  <conditionalFormatting sqref="AW139:AW210">
    <cfRule type="cellIs" dxfId="397" priority="53" operator="lessThan">
      <formula>$B139</formula>
    </cfRule>
    <cfRule type="cellIs" dxfId="396" priority="54" operator="greaterThan">
      <formula>$B139</formula>
    </cfRule>
  </conditionalFormatting>
  <conditionalFormatting sqref="BB139:BB210">
    <cfRule type="cellIs" dxfId="395" priority="41" operator="lessThan">
      <formula>$B139</formula>
    </cfRule>
    <cfRule type="cellIs" dxfId="394" priority="42" operator="greaterThan">
      <formula>$B139</formula>
    </cfRule>
  </conditionalFormatting>
  <conditionalFormatting sqref="BG139:BG210">
    <cfRule type="cellIs" dxfId="393" priority="33" operator="lessThan">
      <formula>$B139</formula>
    </cfRule>
    <cfRule type="cellIs" dxfId="392" priority="34" operator="greaterThan">
      <formula>$B139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2">
    <tabColor rgb="FF92D050"/>
  </sheetPr>
  <dimension ref="A1:BH135"/>
  <sheetViews>
    <sheetView zoomScale="55" zoomScaleNormal="55" workbookViewId="0"/>
  </sheetViews>
  <sheetFormatPr defaultColWidth="9" defaultRowHeight="14.25"/>
  <cols>
    <col min="1" max="1" width="5.7109375" style="26" bestFit="1" customWidth="1"/>
    <col min="2" max="2" width="6.140625" style="26" customWidth="1"/>
    <col min="3" max="3" width="4.42578125" style="26" bestFit="1" customWidth="1"/>
    <col min="4" max="4" width="30.5703125" style="26" customWidth="1"/>
    <col min="5" max="5" width="6.28515625" style="26" bestFit="1" customWidth="1"/>
    <col min="6" max="6" width="1.42578125" style="26" customWidth="1"/>
    <col min="7" max="7" width="5.7109375" style="26" bestFit="1" customWidth="1"/>
    <col min="8" max="8" width="4.42578125" style="26" bestFit="1" customWidth="1"/>
    <col min="9" max="9" width="30.5703125" style="26" customWidth="1"/>
    <col min="10" max="10" width="6.28515625" style="26" bestFit="1" customWidth="1"/>
    <col min="11" max="11" width="1.42578125" style="26" customWidth="1"/>
    <col min="12" max="12" width="5.7109375" style="26" bestFit="1" customWidth="1"/>
    <col min="13" max="13" width="4.42578125" style="26" bestFit="1" customWidth="1"/>
    <col min="14" max="14" width="30.5703125" style="26" customWidth="1"/>
    <col min="15" max="15" width="6.28515625" style="26" bestFit="1" customWidth="1"/>
    <col min="16" max="16" width="1.42578125" style="26" customWidth="1"/>
    <col min="17" max="17" width="6.140625" style="26" customWidth="1"/>
    <col min="18" max="18" width="4.42578125" style="26" bestFit="1" customWidth="1"/>
    <col min="19" max="19" width="30.5703125" style="26" customWidth="1"/>
    <col min="20" max="20" width="6.28515625" style="26" bestFit="1" customWidth="1"/>
    <col min="21" max="21" width="1.42578125" style="26" customWidth="1"/>
    <col min="22" max="22" width="6.140625" style="26" customWidth="1"/>
    <col min="23" max="23" width="4.42578125" style="26" bestFit="1" customWidth="1"/>
    <col min="24" max="24" width="30.5703125" style="26" customWidth="1"/>
    <col min="25" max="25" width="6.28515625" style="26" bestFit="1" customWidth="1"/>
    <col min="26" max="26" width="1.42578125" style="26" customWidth="1"/>
    <col min="27" max="27" width="6.140625" style="26" customWidth="1"/>
    <col min="28" max="28" width="4.42578125" style="26" bestFit="1" customWidth="1"/>
    <col min="29" max="29" width="30.5703125" style="26" customWidth="1"/>
    <col min="30" max="30" width="6.28515625" style="26" bestFit="1" customWidth="1"/>
    <col min="31" max="31" width="1.42578125" style="26" customWidth="1"/>
    <col min="32" max="32" width="6.140625" style="26" customWidth="1"/>
    <col min="33" max="33" width="4.42578125" style="26" bestFit="1" customWidth="1"/>
    <col min="34" max="34" width="30.5703125" style="26" customWidth="1"/>
    <col min="35" max="35" width="6.28515625" style="26" bestFit="1" customWidth="1"/>
    <col min="36" max="36" width="1.42578125" style="26" customWidth="1"/>
    <col min="37" max="37" width="6.140625" style="26" customWidth="1"/>
    <col min="38" max="38" width="4.42578125" style="26" bestFit="1" customWidth="1"/>
    <col min="39" max="39" width="30.5703125" style="26" customWidth="1"/>
    <col min="40" max="40" width="6.28515625" style="26" bestFit="1" customWidth="1"/>
    <col min="41" max="41" width="1.42578125" style="26" customWidth="1"/>
    <col min="42" max="42" width="6.140625" style="26" customWidth="1"/>
    <col min="43" max="43" width="4.42578125" style="26" bestFit="1" customWidth="1"/>
    <col min="44" max="44" width="30.5703125" style="26" customWidth="1"/>
    <col min="45" max="45" width="6.28515625" style="26" bestFit="1" customWidth="1"/>
    <col min="46" max="46" width="1.42578125" style="26" customWidth="1"/>
    <col min="47" max="47" width="6.140625" style="26" customWidth="1"/>
    <col min="48" max="48" width="4.42578125" style="26" bestFit="1" customWidth="1"/>
    <col min="49" max="49" width="30.5703125" style="26" customWidth="1"/>
    <col min="50" max="50" width="6.28515625" style="26" bestFit="1" customWidth="1"/>
    <col min="51" max="51" width="1.42578125" style="26" customWidth="1"/>
    <col min="52" max="52" width="6.140625" style="26" customWidth="1"/>
    <col min="53" max="53" width="4.42578125" style="26" bestFit="1" customWidth="1"/>
    <col min="54" max="54" width="30.5703125" style="26" customWidth="1"/>
    <col min="55" max="55" width="6.28515625" style="26" bestFit="1" customWidth="1"/>
    <col min="56" max="56" width="1.42578125" style="26" customWidth="1"/>
    <col min="57" max="57" width="6.140625" style="26" customWidth="1"/>
    <col min="58" max="58" width="4.42578125" style="26" bestFit="1" customWidth="1"/>
    <col min="59" max="59" width="30.5703125" style="26" customWidth="1"/>
    <col min="60" max="60" width="6.28515625" style="26" bestFit="1" customWidth="1"/>
    <col min="61" max="16384" width="9" style="1"/>
  </cols>
  <sheetData>
    <row r="1" spans="1:60" ht="25.5">
      <c r="A1" s="1"/>
      <c r="B1" s="8" t="s">
        <v>4126</v>
      </c>
      <c r="I1" s="7">
        <v>44637</v>
      </c>
    </row>
    <row r="2" spans="1:60" ht="15">
      <c r="A2" s="1"/>
      <c r="B2" s="2" t="s">
        <v>6658</v>
      </c>
      <c r="I2" s="262"/>
      <c r="Q2" s="2"/>
      <c r="V2" s="2"/>
      <c r="AA2" s="2"/>
      <c r="AF2" s="2"/>
      <c r="AK2" s="2"/>
      <c r="AP2" s="2"/>
      <c r="AU2" s="2"/>
      <c r="AZ2" s="2"/>
      <c r="BE2" s="2"/>
    </row>
    <row r="3" spans="1:60">
      <c r="A3" s="1"/>
      <c r="C3" s="3"/>
    </row>
    <row r="4" spans="1:60">
      <c r="A4" s="1"/>
    </row>
    <row r="5" spans="1:60">
      <c r="A5" s="1"/>
    </row>
    <row r="6" spans="1:60" ht="15.75" thickBot="1">
      <c r="A6" s="1"/>
      <c r="B6" s="4" t="s">
        <v>4127</v>
      </c>
      <c r="G6" s="4" t="s">
        <v>4127</v>
      </c>
      <c r="L6" s="4" t="s">
        <v>4127</v>
      </c>
      <c r="Q6" s="4" t="s">
        <v>10</v>
      </c>
      <c r="V6" s="4" t="s">
        <v>10</v>
      </c>
      <c r="AA6" s="4" t="s">
        <v>10</v>
      </c>
      <c r="AF6" s="4" t="s">
        <v>10</v>
      </c>
      <c r="AK6" s="4" t="s">
        <v>10</v>
      </c>
      <c r="AP6" s="4" t="s">
        <v>10</v>
      </c>
      <c r="AU6" s="4" t="s">
        <v>4127</v>
      </c>
      <c r="AZ6" s="4" t="s">
        <v>4127</v>
      </c>
      <c r="BE6" s="4" t="s">
        <v>4127</v>
      </c>
    </row>
    <row r="7" spans="1:60" ht="15" thickBot="1">
      <c r="A7" s="1"/>
      <c r="B7" s="60" t="s">
        <v>6583</v>
      </c>
      <c r="C7" s="61" t="s">
        <v>6584</v>
      </c>
      <c r="D7" s="61" t="s">
        <v>6585</v>
      </c>
      <c r="E7" s="62" t="s">
        <v>6586</v>
      </c>
      <c r="G7" s="60" t="s">
        <v>6583</v>
      </c>
      <c r="H7" s="61" t="s">
        <v>6584</v>
      </c>
      <c r="I7" s="61" t="s">
        <v>6585</v>
      </c>
      <c r="J7" s="62" t="s">
        <v>6586</v>
      </c>
      <c r="L7" s="60" t="s">
        <v>6583</v>
      </c>
      <c r="M7" s="61" t="s">
        <v>6584</v>
      </c>
      <c r="N7" s="61" t="s">
        <v>6585</v>
      </c>
      <c r="O7" s="62" t="s">
        <v>6586</v>
      </c>
      <c r="Q7" s="34" t="s">
        <v>6583</v>
      </c>
      <c r="R7" s="35" t="s">
        <v>6584</v>
      </c>
      <c r="S7" s="35" t="s">
        <v>6585</v>
      </c>
      <c r="T7" s="36" t="s">
        <v>6586</v>
      </c>
      <c r="V7" s="34" t="s">
        <v>6583</v>
      </c>
      <c r="W7" s="35" t="s">
        <v>6584</v>
      </c>
      <c r="X7" s="35" t="s">
        <v>6585</v>
      </c>
      <c r="Y7" s="36" t="s">
        <v>6586</v>
      </c>
      <c r="AA7" s="34" t="s">
        <v>6583</v>
      </c>
      <c r="AB7" s="35" t="s">
        <v>6584</v>
      </c>
      <c r="AC7" s="35" t="s">
        <v>6585</v>
      </c>
      <c r="AD7" s="36" t="s">
        <v>6586</v>
      </c>
      <c r="AF7" s="34" t="s">
        <v>6583</v>
      </c>
      <c r="AG7" s="35" t="s">
        <v>6584</v>
      </c>
      <c r="AH7" s="35" t="s">
        <v>6585</v>
      </c>
      <c r="AI7" s="36" t="s">
        <v>6586</v>
      </c>
      <c r="AK7" s="34" t="s">
        <v>6583</v>
      </c>
      <c r="AL7" s="35" t="s">
        <v>6584</v>
      </c>
      <c r="AM7" s="35" t="s">
        <v>6585</v>
      </c>
      <c r="AN7" s="36" t="s">
        <v>6586</v>
      </c>
      <c r="AP7" s="34" t="s">
        <v>6583</v>
      </c>
      <c r="AQ7" s="35" t="s">
        <v>6584</v>
      </c>
      <c r="AR7" s="35" t="s">
        <v>6585</v>
      </c>
      <c r="AS7" s="36" t="s">
        <v>6586</v>
      </c>
      <c r="AU7" s="60" t="s">
        <v>6583</v>
      </c>
      <c r="AV7" s="61" t="s">
        <v>6584</v>
      </c>
      <c r="AW7" s="61" t="s">
        <v>6585</v>
      </c>
      <c r="AX7" s="62" t="s">
        <v>6586</v>
      </c>
      <c r="AZ7" s="60" t="s">
        <v>6583</v>
      </c>
      <c r="BA7" s="61" t="s">
        <v>6584</v>
      </c>
      <c r="BB7" s="61" t="s">
        <v>6585</v>
      </c>
      <c r="BC7" s="62" t="s">
        <v>6586</v>
      </c>
      <c r="BE7" s="60" t="s">
        <v>6583</v>
      </c>
      <c r="BF7" s="61" t="s">
        <v>6584</v>
      </c>
      <c r="BG7" s="61" t="s">
        <v>6585</v>
      </c>
      <c r="BH7" s="62" t="s">
        <v>6586</v>
      </c>
    </row>
    <row r="8" spans="1:60">
      <c r="A8" s="1"/>
      <c r="B8" s="63">
        <v>1503</v>
      </c>
      <c r="C8" s="82">
        <v>1</v>
      </c>
      <c r="D8" s="65" t="s">
        <v>46</v>
      </c>
      <c r="E8" s="66" t="s">
        <v>46</v>
      </c>
      <c r="G8" s="63">
        <v>1506</v>
      </c>
      <c r="H8" s="82">
        <v>1</v>
      </c>
      <c r="I8" s="65" t="s">
        <v>6659</v>
      </c>
      <c r="J8" s="66" t="s">
        <v>1794</v>
      </c>
      <c r="L8" s="63">
        <v>1509</v>
      </c>
      <c r="M8" s="82">
        <v>1</v>
      </c>
      <c r="N8" s="65" t="s">
        <v>46</v>
      </c>
      <c r="O8" s="66" t="s">
        <v>46</v>
      </c>
      <c r="Q8" s="37">
        <v>1601</v>
      </c>
      <c r="R8" s="38">
        <v>1</v>
      </c>
      <c r="S8" s="39" t="s">
        <v>6660</v>
      </c>
      <c r="T8" s="40" t="s">
        <v>2166</v>
      </c>
      <c r="V8" s="37">
        <v>1604</v>
      </c>
      <c r="W8" s="56">
        <v>1</v>
      </c>
      <c r="X8" s="39" t="s">
        <v>6661</v>
      </c>
      <c r="Y8" s="40" t="s">
        <v>2554</v>
      </c>
      <c r="AA8" s="37">
        <v>1607</v>
      </c>
      <c r="AB8" s="56">
        <v>1</v>
      </c>
      <c r="AC8" s="39" t="s">
        <v>46</v>
      </c>
      <c r="AD8" s="40" t="s">
        <v>46</v>
      </c>
      <c r="AF8" s="37">
        <v>1703</v>
      </c>
      <c r="AG8" s="56">
        <v>1</v>
      </c>
      <c r="AH8" s="39" t="s">
        <v>46</v>
      </c>
      <c r="AI8" s="40" t="s">
        <v>46</v>
      </c>
      <c r="AK8" s="37">
        <v>1706</v>
      </c>
      <c r="AL8" s="56">
        <v>1</v>
      </c>
      <c r="AM8" s="39" t="s">
        <v>6659</v>
      </c>
      <c r="AN8" s="40" t="s">
        <v>1794</v>
      </c>
      <c r="AP8" s="37">
        <v>1709</v>
      </c>
      <c r="AQ8" s="56">
        <v>1</v>
      </c>
      <c r="AR8" s="39" t="s">
        <v>46</v>
      </c>
      <c r="AS8" s="40" t="s">
        <v>46</v>
      </c>
      <c r="AU8" s="63">
        <v>1801</v>
      </c>
      <c r="AV8" s="64">
        <v>1</v>
      </c>
      <c r="AW8" s="65" t="s">
        <v>6660</v>
      </c>
      <c r="AX8" s="66" t="s">
        <v>2166</v>
      </c>
      <c r="AZ8" s="63">
        <v>1804</v>
      </c>
      <c r="BA8" s="82">
        <v>1</v>
      </c>
      <c r="BB8" s="65" t="s">
        <v>6661</v>
      </c>
      <c r="BC8" s="66" t="s">
        <v>2554</v>
      </c>
      <c r="BE8" s="63">
        <v>1807</v>
      </c>
      <c r="BF8" s="82">
        <v>1</v>
      </c>
      <c r="BG8" s="65" t="s">
        <v>46</v>
      </c>
      <c r="BH8" s="66" t="s">
        <v>46</v>
      </c>
    </row>
    <row r="9" spans="1:60">
      <c r="A9" s="1"/>
      <c r="B9" s="67">
        <v>1503</v>
      </c>
      <c r="C9" s="83">
        <v>2</v>
      </c>
      <c r="D9" s="69" t="s">
        <v>46</v>
      </c>
      <c r="E9" s="70" t="s">
        <v>46</v>
      </c>
      <c r="G9" s="67">
        <v>1506</v>
      </c>
      <c r="H9" s="83">
        <v>2</v>
      </c>
      <c r="I9" s="69" t="s">
        <v>6662</v>
      </c>
      <c r="J9" s="70" t="s">
        <v>2456</v>
      </c>
      <c r="L9" s="67">
        <v>1509</v>
      </c>
      <c r="M9" s="83">
        <v>2</v>
      </c>
      <c r="N9" s="69" t="s">
        <v>46</v>
      </c>
      <c r="O9" s="70" t="s">
        <v>46</v>
      </c>
      <c r="Q9" s="41">
        <v>1601</v>
      </c>
      <c r="R9" s="42">
        <v>2</v>
      </c>
      <c r="S9" s="43" t="s">
        <v>6663</v>
      </c>
      <c r="T9" s="44" t="s">
        <v>2158</v>
      </c>
      <c r="V9" s="41">
        <v>1604</v>
      </c>
      <c r="W9" s="33">
        <v>2</v>
      </c>
      <c r="X9" s="43" t="s">
        <v>6664</v>
      </c>
      <c r="Y9" s="44" t="s">
        <v>2546</v>
      </c>
      <c r="AA9" s="41">
        <v>1607</v>
      </c>
      <c r="AB9" s="33">
        <v>2</v>
      </c>
      <c r="AC9" s="43" t="s">
        <v>46</v>
      </c>
      <c r="AD9" s="44" t="s">
        <v>46</v>
      </c>
      <c r="AF9" s="41">
        <v>1703</v>
      </c>
      <c r="AG9" s="33">
        <v>2</v>
      </c>
      <c r="AH9" s="43" t="s">
        <v>46</v>
      </c>
      <c r="AI9" s="44" t="s">
        <v>46</v>
      </c>
      <c r="AK9" s="41">
        <v>1706</v>
      </c>
      <c r="AL9" s="33">
        <v>2</v>
      </c>
      <c r="AM9" s="43" t="s">
        <v>6662</v>
      </c>
      <c r="AN9" s="44" t="s">
        <v>2456</v>
      </c>
      <c r="AP9" s="41">
        <v>1709</v>
      </c>
      <c r="AQ9" s="33">
        <v>2</v>
      </c>
      <c r="AR9" s="43" t="s">
        <v>46</v>
      </c>
      <c r="AS9" s="44" t="s">
        <v>46</v>
      </c>
      <c r="AU9" s="67">
        <v>1801</v>
      </c>
      <c r="AV9" s="68">
        <v>2</v>
      </c>
      <c r="AW9" s="69" t="s">
        <v>6663</v>
      </c>
      <c r="AX9" s="70" t="s">
        <v>2158</v>
      </c>
      <c r="AZ9" s="67">
        <v>1804</v>
      </c>
      <c r="BA9" s="83">
        <v>2</v>
      </c>
      <c r="BB9" s="69" t="s">
        <v>6664</v>
      </c>
      <c r="BC9" s="70" t="s">
        <v>2546</v>
      </c>
      <c r="BE9" s="67">
        <v>1807</v>
      </c>
      <c r="BF9" s="83">
        <v>2</v>
      </c>
      <c r="BG9" s="69" t="s">
        <v>46</v>
      </c>
      <c r="BH9" s="70" t="s">
        <v>46</v>
      </c>
    </row>
    <row r="10" spans="1:60">
      <c r="A10" s="1"/>
      <c r="B10" s="67">
        <v>1503</v>
      </c>
      <c r="C10" s="83">
        <v>3</v>
      </c>
      <c r="D10" s="69" t="s">
        <v>46</v>
      </c>
      <c r="E10" s="70" t="s">
        <v>46</v>
      </c>
      <c r="G10" s="67">
        <v>1506</v>
      </c>
      <c r="H10" s="83">
        <v>3</v>
      </c>
      <c r="I10" s="69" t="s">
        <v>46</v>
      </c>
      <c r="J10" s="70" t="s">
        <v>46</v>
      </c>
      <c r="L10" s="67">
        <v>1509</v>
      </c>
      <c r="M10" s="83">
        <v>3</v>
      </c>
      <c r="N10" s="69" t="s">
        <v>46</v>
      </c>
      <c r="O10" s="70" t="s">
        <v>46</v>
      </c>
      <c r="Q10" s="41">
        <v>1601</v>
      </c>
      <c r="R10" s="42">
        <v>3</v>
      </c>
      <c r="S10" s="43" t="s">
        <v>46</v>
      </c>
      <c r="T10" s="44" t="s">
        <v>46</v>
      </c>
      <c r="V10" s="41">
        <v>1604</v>
      </c>
      <c r="W10" s="33">
        <v>3</v>
      </c>
      <c r="X10" s="43" t="s">
        <v>46</v>
      </c>
      <c r="Y10" s="44" t="s">
        <v>46</v>
      </c>
      <c r="AA10" s="41">
        <v>1607</v>
      </c>
      <c r="AB10" s="33">
        <v>3</v>
      </c>
      <c r="AC10" s="43" t="s">
        <v>46</v>
      </c>
      <c r="AD10" s="44" t="s">
        <v>46</v>
      </c>
      <c r="AF10" s="41">
        <v>1703</v>
      </c>
      <c r="AG10" s="33">
        <v>3</v>
      </c>
      <c r="AH10" s="43" t="s">
        <v>46</v>
      </c>
      <c r="AI10" s="44" t="s">
        <v>46</v>
      </c>
      <c r="AK10" s="41">
        <v>1706</v>
      </c>
      <c r="AL10" s="33">
        <v>3</v>
      </c>
      <c r="AM10" s="43" t="s">
        <v>46</v>
      </c>
      <c r="AN10" s="44" t="s">
        <v>46</v>
      </c>
      <c r="AP10" s="41">
        <v>1709</v>
      </c>
      <c r="AQ10" s="33">
        <v>3</v>
      </c>
      <c r="AR10" s="43" t="s">
        <v>46</v>
      </c>
      <c r="AS10" s="44" t="s">
        <v>46</v>
      </c>
      <c r="AU10" s="67">
        <v>1801</v>
      </c>
      <c r="AV10" s="68">
        <v>3</v>
      </c>
      <c r="AW10" s="69" t="s">
        <v>46</v>
      </c>
      <c r="AX10" s="70" t="s">
        <v>46</v>
      </c>
      <c r="AZ10" s="67">
        <v>1804</v>
      </c>
      <c r="BA10" s="83">
        <v>3</v>
      </c>
      <c r="BB10" s="69" t="s">
        <v>46</v>
      </c>
      <c r="BC10" s="70" t="s">
        <v>46</v>
      </c>
      <c r="BE10" s="67">
        <v>1807</v>
      </c>
      <c r="BF10" s="83">
        <v>3</v>
      </c>
      <c r="BG10" s="69" t="s">
        <v>46</v>
      </c>
      <c r="BH10" s="70" t="s">
        <v>46</v>
      </c>
    </row>
    <row r="11" spans="1:60">
      <c r="A11" s="1"/>
      <c r="B11" s="67">
        <v>1503</v>
      </c>
      <c r="C11" s="83">
        <v>4</v>
      </c>
      <c r="D11" s="69" t="s">
        <v>46</v>
      </c>
      <c r="E11" s="70" t="s">
        <v>46</v>
      </c>
      <c r="G11" s="67">
        <v>1506</v>
      </c>
      <c r="H11" s="83">
        <v>4</v>
      </c>
      <c r="I11" s="69" t="s">
        <v>6665</v>
      </c>
      <c r="J11" s="70" t="s">
        <v>2467</v>
      </c>
      <c r="L11" s="67">
        <v>1509</v>
      </c>
      <c r="M11" s="83">
        <v>4</v>
      </c>
      <c r="N11" s="69" t="s">
        <v>46</v>
      </c>
      <c r="O11" s="70" t="s">
        <v>46</v>
      </c>
      <c r="Q11" s="41">
        <v>1601</v>
      </c>
      <c r="R11" s="42">
        <v>4</v>
      </c>
      <c r="S11" s="43" t="s">
        <v>46</v>
      </c>
      <c r="T11" s="44" t="s">
        <v>46</v>
      </c>
      <c r="V11" s="41">
        <v>1604</v>
      </c>
      <c r="W11" s="33">
        <v>4</v>
      </c>
      <c r="X11" s="43" t="s">
        <v>6666</v>
      </c>
      <c r="Y11" s="44" t="s">
        <v>1564</v>
      </c>
      <c r="AA11" s="41">
        <v>1607</v>
      </c>
      <c r="AB11" s="33">
        <v>4</v>
      </c>
      <c r="AC11" s="43" t="s">
        <v>46</v>
      </c>
      <c r="AD11" s="44" t="s">
        <v>46</v>
      </c>
      <c r="AF11" s="41">
        <v>1703</v>
      </c>
      <c r="AG11" s="33">
        <v>4</v>
      </c>
      <c r="AH11" s="43" t="s">
        <v>46</v>
      </c>
      <c r="AI11" s="44" t="s">
        <v>46</v>
      </c>
      <c r="AK11" s="41">
        <v>1706</v>
      </c>
      <c r="AL11" s="33">
        <v>4</v>
      </c>
      <c r="AM11" s="43" t="s">
        <v>6665</v>
      </c>
      <c r="AN11" s="44" t="s">
        <v>2467</v>
      </c>
      <c r="AP11" s="41">
        <v>1709</v>
      </c>
      <c r="AQ11" s="33">
        <v>4</v>
      </c>
      <c r="AR11" s="43" t="s">
        <v>46</v>
      </c>
      <c r="AS11" s="44" t="s">
        <v>46</v>
      </c>
      <c r="AU11" s="67">
        <v>1801</v>
      </c>
      <c r="AV11" s="68">
        <v>4</v>
      </c>
      <c r="AW11" s="69" t="s">
        <v>46</v>
      </c>
      <c r="AX11" s="70" t="s">
        <v>46</v>
      </c>
      <c r="AZ11" s="67">
        <v>1804</v>
      </c>
      <c r="BA11" s="83">
        <v>4</v>
      </c>
      <c r="BB11" s="69" t="s">
        <v>6666</v>
      </c>
      <c r="BC11" s="70" t="s">
        <v>1564</v>
      </c>
      <c r="BE11" s="67">
        <v>1807</v>
      </c>
      <c r="BF11" s="83">
        <v>4</v>
      </c>
      <c r="BG11" s="69" t="s">
        <v>46</v>
      </c>
      <c r="BH11" s="70" t="s">
        <v>46</v>
      </c>
    </row>
    <row r="12" spans="1:60">
      <c r="A12" s="1"/>
      <c r="B12" s="67">
        <v>1503</v>
      </c>
      <c r="C12" s="83">
        <v>5</v>
      </c>
      <c r="D12" s="69" t="s">
        <v>6667</v>
      </c>
      <c r="E12" s="70" t="s">
        <v>925</v>
      </c>
      <c r="G12" s="67">
        <v>1506</v>
      </c>
      <c r="H12" s="83">
        <v>5</v>
      </c>
      <c r="I12" s="69" t="s">
        <v>6668</v>
      </c>
      <c r="J12" s="70" t="s">
        <v>1329</v>
      </c>
      <c r="L12" s="67">
        <v>1509</v>
      </c>
      <c r="M12" s="83">
        <v>5</v>
      </c>
      <c r="N12" s="69" t="s">
        <v>6669</v>
      </c>
      <c r="O12" s="70" t="s">
        <v>594</v>
      </c>
      <c r="Q12" s="41">
        <v>1601</v>
      </c>
      <c r="R12" s="42">
        <v>5</v>
      </c>
      <c r="S12" s="43" t="s">
        <v>6670</v>
      </c>
      <c r="T12" s="44" t="s">
        <v>1244</v>
      </c>
      <c r="V12" s="41">
        <v>1604</v>
      </c>
      <c r="W12" s="33">
        <v>5</v>
      </c>
      <c r="X12" s="43" t="s">
        <v>6671</v>
      </c>
      <c r="Y12" s="44" t="s">
        <v>2660</v>
      </c>
      <c r="AA12" s="41">
        <v>1607</v>
      </c>
      <c r="AB12" s="33">
        <v>5</v>
      </c>
      <c r="AC12" s="43" t="s">
        <v>46</v>
      </c>
      <c r="AD12" s="44" t="s">
        <v>46</v>
      </c>
      <c r="AF12" s="41">
        <v>1703</v>
      </c>
      <c r="AG12" s="33">
        <v>5</v>
      </c>
      <c r="AH12" s="43" t="s">
        <v>6667</v>
      </c>
      <c r="AI12" s="44" t="s">
        <v>925</v>
      </c>
      <c r="AK12" s="41">
        <v>1706</v>
      </c>
      <c r="AL12" s="33">
        <v>5</v>
      </c>
      <c r="AM12" s="43" t="s">
        <v>6668</v>
      </c>
      <c r="AN12" s="44" t="s">
        <v>1329</v>
      </c>
      <c r="AP12" s="41">
        <v>1709</v>
      </c>
      <c r="AQ12" s="33">
        <v>5</v>
      </c>
      <c r="AR12" s="43" t="s">
        <v>6669</v>
      </c>
      <c r="AS12" s="44" t="s">
        <v>594</v>
      </c>
      <c r="AU12" s="67">
        <v>1801</v>
      </c>
      <c r="AV12" s="68">
        <v>5</v>
      </c>
      <c r="AW12" s="69" t="s">
        <v>6670</v>
      </c>
      <c r="AX12" s="70" t="s">
        <v>1244</v>
      </c>
      <c r="AZ12" s="67">
        <v>1804</v>
      </c>
      <c r="BA12" s="83">
        <v>5</v>
      </c>
      <c r="BB12" s="69" t="s">
        <v>6671</v>
      </c>
      <c r="BC12" s="70" t="s">
        <v>2660</v>
      </c>
      <c r="BE12" s="67">
        <v>1807</v>
      </c>
      <c r="BF12" s="83">
        <v>5</v>
      </c>
      <c r="BG12" s="69" t="s">
        <v>46</v>
      </c>
      <c r="BH12" s="70" t="s">
        <v>46</v>
      </c>
    </row>
    <row r="13" spans="1:60">
      <c r="A13" s="1"/>
      <c r="B13" s="67">
        <v>1503</v>
      </c>
      <c r="C13" s="83">
        <v>6</v>
      </c>
      <c r="D13" s="69" t="s">
        <v>6672</v>
      </c>
      <c r="E13" s="70" t="s">
        <v>920</v>
      </c>
      <c r="G13" s="67">
        <v>1506</v>
      </c>
      <c r="H13" s="83">
        <v>6</v>
      </c>
      <c r="I13" s="69" t="s">
        <v>6673</v>
      </c>
      <c r="J13" s="70" t="s">
        <v>930</v>
      </c>
      <c r="L13" s="67">
        <v>1509</v>
      </c>
      <c r="M13" s="83">
        <v>6</v>
      </c>
      <c r="N13" s="69" t="s">
        <v>46</v>
      </c>
      <c r="O13" s="70" t="s">
        <v>46</v>
      </c>
      <c r="Q13" s="41">
        <v>1601</v>
      </c>
      <c r="R13" s="42">
        <v>6</v>
      </c>
      <c r="S13" s="43" t="s">
        <v>6674</v>
      </c>
      <c r="T13" s="44" t="s">
        <v>1981</v>
      </c>
      <c r="V13" s="41">
        <v>1604</v>
      </c>
      <c r="W13" s="33">
        <v>6</v>
      </c>
      <c r="X13" s="43" t="s">
        <v>46</v>
      </c>
      <c r="Y13" s="44" t="s">
        <v>46</v>
      </c>
      <c r="AA13" s="41">
        <v>1607</v>
      </c>
      <c r="AB13" s="33">
        <v>6</v>
      </c>
      <c r="AC13" s="43" t="s">
        <v>46</v>
      </c>
      <c r="AD13" s="44" t="s">
        <v>46</v>
      </c>
      <c r="AF13" s="41">
        <v>1703</v>
      </c>
      <c r="AG13" s="33">
        <v>6</v>
      </c>
      <c r="AH13" s="43" t="s">
        <v>6672</v>
      </c>
      <c r="AI13" s="44" t="s">
        <v>920</v>
      </c>
      <c r="AK13" s="41">
        <v>1706</v>
      </c>
      <c r="AL13" s="33">
        <v>6</v>
      </c>
      <c r="AM13" s="43" t="s">
        <v>6673</v>
      </c>
      <c r="AN13" s="44" t="s">
        <v>930</v>
      </c>
      <c r="AP13" s="41">
        <v>1709</v>
      </c>
      <c r="AQ13" s="33">
        <v>6</v>
      </c>
      <c r="AR13" s="43" t="s">
        <v>46</v>
      </c>
      <c r="AS13" s="44" t="s">
        <v>46</v>
      </c>
      <c r="AU13" s="67">
        <v>1801</v>
      </c>
      <c r="AV13" s="68">
        <v>6</v>
      </c>
      <c r="AW13" s="69" t="s">
        <v>6674</v>
      </c>
      <c r="AX13" s="70" t="s">
        <v>1981</v>
      </c>
      <c r="AZ13" s="67">
        <v>1804</v>
      </c>
      <c r="BA13" s="83">
        <v>6</v>
      </c>
      <c r="BB13" s="69" t="s">
        <v>46</v>
      </c>
      <c r="BC13" s="70" t="s">
        <v>46</v>
      </c>
      <c r="BE13" s="67">
        <v>1807</v>
      </c>
      <c r="BF13" s="83">
        <v>6</v>
      </c>
      <c r="BG13" s="69" t="s">
        <v>46</v>
      </c>
      <c r="BH13" s="70" t="s">
        <v>46</v>
      </c>
    </row>
    <row r="14" spans="1:60">
      <c r="A14" s="1"/>
      <c r="B14" s="67">
        <v>1503</v>
      </c>
      <c r="C14" s="83">
        <v>7</v>
      </c>
      <c r="D14" s="69" t="s">
        <v>6675</v>
      </c>
      <c r="E14" s="70" t="s">
        <v>1309</v>
      </c>
      <c r="G14" s="67">
        <v>1506</v>
      </c>
      <c r="H14" s="83">
        <v>7</v>
      </c>
      <c r="I14" s="69" t="s">
        <v>6676</v>
      </c>
      <c r="J14" s="70" t="s">
        <v>1339</v>
      </c>
      <c r="L14" s="67">
        <v>1509</v>
      </c>
      <c r="M14" s="83">
        <v>7</v>
      </c>
      <c r="N14" s="69" t="s">
        <v>46</v>
      </c>
      <c r="O14" s="70" t="s">
        <v>46</v>
      </c>
      <c r="Q14" s="41">
        <v>1601</v>
      </c>
      <c r="R14" s="42">
        <v>7</v>
      </c>
      <c r="S14" s="43" t="s">
        <v>6677</v>
      </c>
      <c r="T14" s="44" t="s">
        <v>1704</v>
      </c>
      <c r="V14" s="41">
        <v>1604</v>
      </c>
      <c r="W14" s="33">
        <v>7</v>
      </c>
      <c r="X14" s="43" t="s">
        <v>6678</v>
      </c>
      <c r="Y14" s="44" t="s">
        <v>2652</v>
      </c>
      <c r="AA14" s="41">
        <v>1607</v>
      </c>
      <c r="AB14" s="33">
        <v>7</v>
      </c>
      <c r="AC14" s="43" t="s">
        <v>46</v>
      </c>
      <c r="AD14" s="44" t="s">
        <v>46</v>
      </c>
      <c r="AF14" s="41">
        <v>1703</v>
      </c>
      <c r="AG14" s="33">
        <v>7</v>
      </c>
      <c r="AH14" s="43" t="s">
        <v>6675</v>
      </c>
      <c r="AI14" s="44" t="s">
        <v>1309</v>
      </c>
      <c r="AK14" s="41">
        <v>1706</v>
      </c>
      <c r="AL14" s="33">
        <v>7</v>
      </c>
      <c r="AM14" s="43" t="s">
        <v>6676</v>
      </c>
      <c r="AN14" s="44" t="s">
        <v>1339</v>
      </c>
      <c r="AP14" s="41">
        <v>1709</v>
      </c>
      <c r="AQ14" s="33">
        <v>7</v>
      </c>
      <c r="AR14" s="43" t="s">
        <v>46</v>
      </c>
      <c r="AS14" s="44" t="s">
        <v>46</v>
      </c>
      <c r="AU14" s="67">
        <v>1801</v>
      </c>
      <c r="AV14" s="68">
        <v>7</v>
      </c>
      <c r="AW14" s="69" t="s">
        <v>6677</v>
      </c>
      <c r="AX14" s="70" t="s">
        <v>1704</v>
      </c>
      <c r="AZ14" s="67">
        <v>1804</v>
      </c>
      <c r="BA14" s="83">
        <v>7</v>
      </c>
      <c r="BB14" s="69" t="s">
        <v>6678</v>
      </c>
      <c r="BC14" s="70" t="s">
        <v>2652</v>
      </c>
      <c r="BE14" s="67">
        <v>1807</v>
      </c>
      <c r="BF14" s="83">
        <v>7</v>
      </c>
      <c r="BG14" s="69" t="s">
        <v>46</v>
      </c>
      <c r="BH14" s="70" t="s">
        <v>46</v>
      </c>
    </row>
    <row r="15" spans="1:60">
      <c r="A15" s="1"/>
      <c r="B15" s="67">
        <v>1503</v>
      </c>
      <c r="C15" s="83">
        <v>8</v>
      </c>
      <c r="D15" s="69" t="s">
        <v>46</v>
      </c>
      <c r="E15" s="70" t="s">
        <v>46</v>
      </c>
      <c r="G15" s="67">
        <v>1506</v>
      </c>
      <c r="H15" s="83">
        <v>8</v>
      </c>
      <c r="I15" s="69" t="s">
        <v>6679</v>
      </c>
      <c r="J15" s="70" t="s">
        <v>2017</v>
      </c>
      <c r="L15" s="67">
        <v>1509</v>
      </c>
      <c r="M15" s="83">
        <v>8</v>
      </c>
      <c r="N15" s="69" t="s">
        <v>6680</v>
      </c>
      <c r="O15" s="70" t="s">
        <v>3466</v>
      </c>
      <c r="Q15" s="41">
        <v>1601</v>
      </c>
      <c r="R15" s="42">
        <v>8</v>
      </c>
      <c r="S15" s="43" t="s">
        <v>6681</v>
      </c>
      <c r="T15" s="44" t="s">
        <v>1989</v>
      </c>
      <c r="V15" s="41">
        <v>1604</v>
      </c>
      <c r="W15" s="33">
        <v>8</v>
      </c>
      <c r="X15" s="43" t="s">
        <v>46</v>
      </c>
      <c r="Y15" s="44" t="s">
        <v>46</v>
      </c>
      <c r="AA15" s="41">
        <v>1607</v>
      </c>
      <c r="AB15" s="33">
        <v>8</v>
      </c>
      <c r="AC15" s="43" t="s">
        <v>46</v>
      </c>
      <c r="AD15" s="44" t="s">
        <v>46</v>
      </c>
      <c r="AF15" s="41">
        <v>1703</v>
      </c>
      <c r="AG15" s="33">
        <v>8</v>
      </c>
      <c r="AH15" s="43" t="s">
        <v>46</v>
      </c>
      <c r="AI15" s="44" t="s">
        <v>46</v>
      </c>
      <c r="AK15" s="41">
        <v>1706</v>
      </c>
      <c r="AL15" s="33">
        <v>8</v>
      </c>
      <c r="AM15" s="43" t="s">
        <v>6679</v>
      </c>
      <c r="AN15" s="44" t="s">
        <v>2017</v>
      </c>
      <c r="AP15" s="41">
        <v>1709</v>
      </c>
      <c r="AQ15" s="33">
        <v>8</v>
      </c>
      <c r="AR15" s="43" t="s">
        <v>6680</v>
      </c>
      <c r="AS15" s="44" t="s">
        <v>3466</v>
      </c>
      <c r="AU15" s="67">
        <v>1801</v>
      </c>
      <c r="AV15" s="68">
        <v>8</v>
      </c>
      <c r="AW15" s="69" t="s">
        <v>6681</v>
      </c>
      <c r="AX15" s="70" t="s">
        <v>1989</v>
      </c>
      <c r="AZ15" s="67">
        <v>1804</v>
      </c>
      <c r="BA15" s="83">
        <v>8</v>
      </c>
      <c r="BB15" s="69" t="s">
        <v>46</v>
      </c>
      <c r="BC15" s="70" t="s">
        <v>46</v>
      </c>
      <c r="BE15" s="67">
        <v>1807</v>
      </c>
      <c r="BF15" s="83">
        <v>8</v>
      </c>
      <c r="BG15" s="69" t="s">
        <v>46</v>
      </c>
      <c r="BH15" s="70" t="s">
        <v>46</v>
      </c>
    </row>
    <row r="16" spans="1:60">
      <c r="A16" s="1"/>
      <c r="B16" s="67">
        <v>1503</v>
      </c>
      <c r="C16" s="83">
        <v>9</v>
      </c>
      <c r="D16" s="69" t="s">
        <v>6682</v>
      </c>
      <c r="E16" s="70" t="s">
        <v>1284</v>
      </c>
      <c r="G16" s="67">
        <v>1506</v>
      </c>
      <c r="H16" s="83">
        <v>9</v>
      </c>
      <c r="I16" s="69" t="s">
        <v>6683</v>
      </c>
      <c r="J16" s="70" t="s">
        <v>900</v>
      </c>
      <c r="L16" s="67">
        <v>1509</v>
      </c>
      <c r="M16" s="83">
        <v>9</v>
      </c>
      <c r="N16" s="69" t="s">
        <v>46</v>
      </c>
      <c r="O16" s="70" t="s">
        <v>46</v>
      </c>
      <c r="Q16" s="41">
        <v>1601</v>
      </c>
      <c r="R16" s="42">
        <v>9</v>
      </c>
      <c r="S16" s="43" t="s">
        <v>46</v>
      </c>
      <c r="T16" s="44" t="s">
        <v>46</v>
      </c>
      <c r="V16" s="41">
        <v>1604</v>
      </c>
      <c r="W16" s="33">
        <v>9</v>
      </c>
      <c r="X16" s="43" t="s">
        <v>6684</v>
      </c>
      <c r="Y16" s="44" t="s">
        <v>1574</v>
      </c>
      <c r="AA16" s="41">
        <v>1607</v>
      </c>
      <c r="AB16" s="33">
        <v>9</v>
      </c>
      <c r="AC16" s="43" t="s">
        <v>46</v>
      </c>
      <c r="AD16" s="44" t="s">
        <v>46</v>
      </c>
      <c r="AF16" s="41">
        <v>1703</v>
      </c>
      <c r="AG16" s="33">
        <v>9</v>
      </c>
      <c r="AH16" s="43" t="s">
        <v>6682</v>
      </c>
      <c r="AI16" s="44" t="s">
        <v>1284</v>
      </c>
      <c r="AK16" s="41">
        <v>1706</v>
      </c>
      <c r="AL16" s="33">
        <v>9</v>
      </c>
      <c r="AM16" s="43" t="s">
        <v>6683</v>
      </c>
      <c r="AN16" s="44" t="s">
        <v>900</v>
      </c>
      <c r="AP16" s="41">
        <v>1709</v>
      </c>
      <c r="AQ16" s="33">
        <v>9</v>
      </c>
      <c r="AR16" s="43" t="s">
        <v>46</v>
      </c>
      <c r="AS16" s="44" t="s">
        <v>46</v>
      </c>
      <c r="AU16" s="67">
        <v>1801</v>
      </c>
      <c r="AV16" s="68">
        <v>9</v>
      </c>
      <c r="AW16" s="69" t="s">
        <v>46</v>
      </c>
      <c r="AX16" s="70" t="s">
        <v>46</v>
      </c>
      <c r="AZ16" s="67">
        <v>1804</v>
      </c>
      <c r="BA16" s="83">
        <v>9</v>
      </c>
      <c r="BB16" s="69" t="s">
        <v>6684</v>
      </c>
      <c r="BC16" s="70" t="s">
        <v>1574</v>
      </c>
      <c r="BE16" s="67">
        <v>1807</v>
      </c>
      <c r="BF16" s="83">
        <v>9</v>
      </c>
      <c r="BG16" s="69" t="s">
        <v>46</v>
      </c>
      <c r="BH16" s="70" t="s">
        <v>46</v>
      </c>
    </row>
    <row r="17" spans="1:60">
      <c r="A17" s="1"/>
      <c r="B17" s="67">
        <v>1503</v>
      </c>
      <c r="C17" s="83">
        <v>10</v>
      </c>
      <c r="D17" s="69" t="s">
        <v>46</v>
      </c>
      <c r="E17" s="70" t="s">
        <v>46</v>
      </c>
      <c r="G17" s="67">
        <v>1506</v>
      </c>
      <c r="H17" s="83">
        <v>10</v>
      </c>
      <c r="I17" s="69" t="s">
        <v>6685</v>
      </c>
      <c r="J17" s="70" t="s">
        <v>2025</v>
      </c>
      <c r="L17" s="67">
        <v>1509</v>
      </c>
      <c r="M17" s="83">
        <v>10</v>
      </c>
      <c r="N17" s="69" t="s">
        <v>6686</v>
      </c>
      <c r="O17" s="70" t="s">
        <v>436</v>
      </c>
      <c r="Q17" s="41">
        <v>1601</v>
      </c>
      <c r="R17" s="42">
        <v>10</v>
      </c>
      <c r="S17" s="43" t="s">
        <v>6687</v>
      </c>
      <c r="T17" s="44" t="s">
        <v>1399</v>
      </c>
      <c r="V17" s="41">
        <v>1604</v>
      </c>
      <c r="W17" s="33">
        <v>10</v>
      </c>
      <c r="X17" s="43" t="s">
        <v>6688</v>
      </c>
      <c r="Y17" s="44" t="s">
        <v>1749</v>
      </c>
      <c r="AA17" s="41">
        <v>1607</v>
      </c>
      <c r="AB17" s="33">
        <v>10</v>
      </c>
      <c r="AC17" s="43" t="s">
        <v>6689</v>
      </c>
      <c r="AD17" s="44" t="s">
        <v>1859</v>
      </c>
      <c r="AF17" s="41">
        <v>1703</v>
      </c>
      <c r="AG17" s="33">
        <v>10</v>
      </c>
      <c r="AH17" s="43" t="s">
        <v>46</v>
      </c>
      <c r="AI17" s="44" t="s">
        <v>46</v>
      </c>
      <c r="AK17" s="41">
        <v>1706</v>
      </c>
      <c r="AL17" s="33">
        <v>10</v>
      </c>
      <c r="AM17" s="43" t="s">
        <v>6685</v>
      </c>
      <c r="AN17" s="44" t="s">
        <v>2025</v>
      </c>
      <c r="AP17" s="41">
        <v>1709</v>
      </c>
      <c r="AQ17" s="33">
        <v>10</v>
      </c>
      <c r="AR17" s="43" t="s">
        <v>6686</v>
      </c>
      <c r="AS17" s="44" t="s">
        <v>436</v>
      </c>
      <c r="AU17" s="67">
        <v>1801</v>
      </c>
      <c r="AV17" s="68">
        <v>10</v>
      </c>
      <c r="AW17" s="69" t="s">
        <v>6687</v>
      </c>
      <c r="AX17" s="70" t="s">
        <v>1399</v>
      </c>
      <c r="AZ17" s="67">
        <v>1804</v>
      </c>
      <c r="BA17" s="83">
        <v>10</v>
      </c>
      <c r="BB17" s="69" t="s">
        <v>6688</v>
      </c>
      <c r="BC17" s="70" t="s">
        <v>1749</v>
      </c>
      <c r="BE17" s="67">
        <v>1807</v>
      </c>
      <c r="BF17" s="83">
        <v>10</v>
      </c>
      <c r="BG17" s="69" t="s">
        <v>6689</v>
      </c>
      <c r="BH17" s="70" t="s">
        <v>1859</v>
      </c>
    </row>
    <row r="18" spans="1:60">
      <c r="A18" s="1"/>
      <c r="B18" s="67">
        <v>1503</v>
      </c>
      <c r="C18" s="83">
        <v>11</v>
      </c>
      <c r="D18" s="69" t="s">
        <v>6690</v>
      </c>
      <c r="E18" s="70" t="s">
        <v>719</v>
      </c>
      <c r="G18" s="67">
        <v>1506</v>
      </c>
      <c r="H18" s="83">
        <v>11</v>
      </c>
      <c r="I18" s="69" t="s">
        <v>6691</v>
      </c>
      <c r="J18" s="70" t="s">
        <v>885</v>
      </c>
      <c r="L18" s="67">
        <v>1509</v>
      </c>
      <c r="M18" s="83">
        <v>11</v>
      </c>
      <c r="N18" s="69" t="s">
        <v>6692</v>
      </c>
      <c r="O18" s="70" t="s">
        <v>815</v>
      </c>
      <c r="Q18" s="41">
        <v>1601</v>
      </c>
      <c r="R18" s="42">
        <v>11</v>
      </c>
      <c r="S18" s="43" t="s">
        <v>6693</v>
      </c>
      <c r="T18" s="44" t="s">
        <v>1153</v>
      </c>
      <c r="V18" s="41">
        <v>1604</v>
      </c>
      <c r="W18" s="33">
        <v>11</v>
      </c>
      <c r="X18" s="43" t="s">
        <v>6694</v>
      </c>
      <c r="Y18" s="44" t="s">
        <v>1569</v>
      </c>
      <c r="AA18" s="41">
        <v>1607</v>
      </c>
      <c r="AB18" s="33">
        <v>11</v>
      </c>
      <c r="AC18" s="43" t="s">
        <v>46</v>
      </c>
      <c r="AD18" s="44" t="s">
        <v>46</v>
      </c>
      <c r="AF18" s="41">
        <v>1703</v>
      </c>
      <c r="AG18" s="33">
        <v>11</v>
      </c>
      <c r="AH18" s="43" t="s">
        <v>6690</v>
      </c>
      <c r="AI18" s="44" t="s">
        <v>719</v>
      </c>
      <c r="AK18" s="41">
        <v>1706</v>
      </c>
      <c r="AL18" s="33">
        <v>11</v>
      </c>
      <c r="AM18" s="43" t="s">
        <v>6691</v>
      </c>
      <c r="AN18" s="44" t="s">
        <v>885</v>
      </c>
      <c r="AP18" s="41">
        <v>1709</v>
      </c>
      <c r="AQ18" s="33">
        <v>11</v>
      </c>
      <c r="AR18" s="43" t="s">
        <v>6692</v>
      </c>
      <c r="AS18" s="44" t="s">
        <v>815</v>
      </c>
      <c r="AU18" s="67">
        <v>1801</v>
      </c>
      <c r="AV18" s="68">
        <v>11</v>
      </c>
      <c r="AW18" s="69" t="s">
        <v>6693</v>
      </c>
      <c r="AX18" s="70" t="s">
        <v>1153</v>
      </c>
      <c r="AZ18" s="67">
        <v>1804</v>
      </c>
      <c r="BA18" s="83">
        <v>11</v>
      </c>
      <c r="BB18" s="69" t="s">
        <v>6694</v>
      </c>
      <c r="BC18" s="70" t="s">
        <v>1569</v>
      </c>
      <c r="BE18" s="67">
        <v>1807</v>
      </c>
      <c r="BF18" s="83">
        <v>11</v>
      </c>
      <c r="BG18" s="69" t="s">
        <v>46</v>
      </c>
      <c r="BH18" s="70" t="s">
        <v>46</v>
      </c>
    </row>
    <row r="19" spans="1:60">
      <c r="A19" s="1"/>
      <c r="B19" s="67">
        <v>1503</v>
      </c>
      <c r="C19" s="83">
        <v>12</v>
      </c>
      <c r="D19" s="69" t="s">
        <v>6695</v>
      </c>
      <c r="E19" s="70" t="s">
        <v>2841</v>
      </c>
      <c r="G19" s="67">
        <v>1506</v>
      </c>
      <c r="H19" s="83">
        <v>12</v>
      </c>
      <c r="I19" s="69" t="s">
        <v>6696</v>
      </c>
      <c r="J19" s="70" t="s">
        <v>3664</v>
      </c>
      <c r="L19" s="67">
        <v>1509</v>
      </c>
      <c r="M19" s="83">
        <v>12</v>
      </c>
      <c r="N19" s="69" t="s">
        <v>6697</v>
      </c>
      <c r="O19" s="70" t="s">
        <v>352</v>
      </c>
      <c r="Q19" s="41">
        <v>1601</v>
      </c>
      <c r="R19" s="42">
        <v>12</v>
      </c>
      <c r="S19" s="43" t="s">
        <v>6698</v>
      </c>
      <c r="T19" s="44" t="s">
        <v>269</v>
      </c>
      <c r="V19" s="41">
        <v>1604</v>
      </c>
      <c r="W19" s="33">
        <v>12</v>
      </c>
      <c r="X19" s="43" t="s">
        <v>6699</v>
      </c>
      <c r="Y19" s="44" t="s">
        <v>2994</v>
      </c>
      <c r="AA19" s="41">
        <v>1607</v>
      </c>
      <c r="AB19" s="33">
        <v>12</v>
      </c>
      <c r="AC19" s="43" t="s">
        <v>6700</v>
      </c>
      <c r="AD19" s="44" t="s">
        <v>108</v>
      </c>
      <c r="AF19" s="41">
        <v>1703</v>
      </c>
      <c r="AG19" s="33">
        <v>12</v>
      </c>
      <c r="AH19" s="43" t="s">
        <v>6695</v>
      </c>
      <c r="AI19" s="44" t="s">
        <v>2841</v>
      </c>
      <c r="AK19" s="41">
        <v>1706</v>
      </c>
      <c r="AL19" s="33">
        <v>12</v>
      </c>
      <c r="AM19" s="43" t="s">
        <v>6696</v>
      </c>
      <c r="AN19" s="44" t="s">
        <v>3664</v>
      </c>
      <c r="AP19" s="41">
        <v>1709</v>
      </c>
      <c r="AQ19" s="33">
        <v>12</v>
      </c>
      <c r="AR19" s="43" t="s">
        <v>6697</v>
      </c>
      <c r="AS19" s="44" t="s">
        <v>352</v>
      </c>
      <c r="AU19" s="67">
        <v>1801</v>
      </c>
      <c r="AV19" s="68">
        <v>12</v>
      </c>
      <c r="AW19" s="69" t="s">
        <v>6698</v>
      </c>
      <c r="AX19" s="70" t="s">
        <v>269</v>
      </c>
      <c r="AZ19" s="67">
        <v>1804</v>
      </c>
      <c r="BA19" s="83">
        <v>12</v>
      </c>
      <c r="BB19" s="69" t="s">
        <v>6699</v>
      </c>
      <c r="BC19" s="70" t="s">
        <v>2994</v>
      </c>
      <c r="BE19" s="67">
        <v>1807</v>
      </c>
      <c r="BF19" s="83">
        <v>12</v>
      </c>
      <c r="BG19" s="69" t="s">
        <v>6700</v>
      </c>
      <c r="BH19" s="70" t="s">
        <v>108</v>
      </c>
    </row>
    <row r="20" spans="1:60">
      <c r="A20" s="1"/>
      <c r="B20" s="67">
        <v>1503</v>
      </c>
      <c r="C20" s="83">
        <v>13</v>
      </c>
      <c r="D20" s="69" t="s">
        <v>6701</v>
      </c>
      <c r="E20" s="70" t="s">
        <v>682</v>
      </c>
      <c r="G20" s="67">
        <v>1506</v>
      </c>
      <c r="H20" s="83">
        <v>13</v>
      </c>
      <c r="I20" s="69" t="s">
        <v>46</v>
      </c>
      <c r="J20" s="70" t="s">
        <v>46</v>
      </c>
      <c r="L20" s="67">
        <v>1509</v>
      </c>
      <c r="M20" s="83">
        <v>13</v>
      </c>
      <c r="N20" s="69" t="s">
        <v>6702</v>
      </c>
      <c r="O20" s="70" t="s">
        <v>372</v>
      </c>
      <c r="Q20" s="41">
        <v>1601</v>
      </c>
      <c r="R20" s="42">
        <v>13</v>
      </c>
      <c r="S20" s="43" t="s">
        <v>6703</v>
      </c>
      <c r="T20" s="44" t="s">
        <v>1093</v>
      </c>
      <c r="V20" s="41">
        <v>1604</v>
      </c>
      <c r="W20" s="33">
        <v>13</v>
      </c>
      <c r="X20" s="43" t="s">
        <v>6704</v>
      </c>
      <c r="Y20" s="44" t="s">
        <v>2817</v>
      </c>
      <c r="AA20" s="41">
        <v>1607</v>
      </c>
      <c r="AB20" s="33">
        <v>13</v>
      </c>
      <c r="AC20" s="43" t="s">
        <v>46</v>
      </c>
      <c r="AD20" s="44" t="s">
        <v>46</v>
      </c>
      <c r="AF20" s="41">
        <v>1703</v>
      </c>
      <c r="AG20" s="33">
        <v>13</v>
      </c>
      <c r="AH20" s="43" t="s">
        <v>6701</v>
      </c>
      <c r="AI20" s="44" t="s">
        <v>682</v>
      </c>
      <c r="AK20" s="41">
        <v>1706</v>
      </c>
      <c r="AL20" s="33">
        <v>13</v>
      </c>
      <c r="AM20" s="43" t="s">
        <v>46</v>
      </c>
      <c r="AN20" s="44" t="s">
        <v>46</v>
      </c>
      <c r="AP20" s="41">
        <v>1709</v>
      </c>
      <c r="AQ20" s="33">
        <v>13</v>
      </c>
      <c r="AR20" s="43" t="s">
        <v>6702</v>
      </c>
      <c r="AS20" s="44" t="s">
        <v>372</v>
      </c>
      <c r="AU20" s="67">
        <v>1801</v>
      </c>
      <c r="AV20" s="68">
        <v>13</v>
      </c>
      <c r="AW20" s="69" t="s">
        <v>6703</v>
      </c>
      <c r="AX20" s="70" t="s">
        <v>1093</v>
      </c>
      <c r="AZ20" s="67">
        <v>1804</v>
      </c>
      <c r="BA20" s="83">
        <v>13</v>
      </c>
      <c r="BB20" s="69" t="s">
        <v>6704</v>
      </c>
      <c r="BC20" s="70" t="s">
        <v>2817</v>
      </c>
      <c r="BE20" s="67">
        <v>1807</v>
      </c>
      <c r="BF20" s="83">
        <v>13</v>
      </c>
      <c r="BG20" s="69" t="s">
        <v>46</v>
      </c>
      <c r="BH20" s="70" t="s">
        <v>46</v>
      </c>
    </row>
    <row r="21" spans="1:60">
      <c r="A21" s="1"/>
      <c r="B21" s="67">
        <v>1503</v>
      </c>
      <c r="C21" s="83">
        <v>14</v>
      </c>
      <c r="D21" s="69" t="s">
        <v>6705</v>
      </c>
      <c r="E21" s="70" t="s">
        <v>698</v>
      </c>
      <c r="G21" s="67">
        <v>1506</v>
      </c>
      <c r="H21" s="83">
        <v>14</v>
      </c>
      <c r="I21" s="69" t="s">
        <v>46</v>
      </c>
      <c r="J21" s="70" t="s">
        <v>46</v>
      </c>
      <c r="L21" s="67">
        <v>1509</v>
      </c>
      <c r="M21" s="83">
        <v>14</v>
      </c>
      <c r="N21" s="69" t="s">
        <v>6706</v>
      </c>
      <c r="O21" s="70" t="s">
        <v>382</v>
      </c>
      <c r="Q21" s="41">
        <v>1601</v>
      </c>
      <c r="R21" s="42">
        <v>14</v>
      </c>
      <c r="S21" s="43" t="s">
        <v>6707</v>
      </c>
      <c r="T21" s="44" t="s">
        <v>259</v>
      </c>
      <c r="V21" s="41">
        <v>1604</v>
      </c>
      <c r="W21" s="33">
        <v>14</v>
      </c>
      <c r="X21" s="43" t="s">
        <v>6708</v>
      </c>
      <c r="Y21" s="44" t="s">
        <v>3074</v>
      </c>
      <c r="AA21" s="41">
        <v>1607</v>
      </c>
      <c r="AB21" s="33">
        <v>14</v>
      </c>
      <c r="AC21" s="43" t="s">
        <v>6709</v>
      </c>
      <c r="AD21" s="44" t="s">
        <v>182</v>
      </c>
      <c r="AF21" s="41">
        <v>1703</v>
      </c>
      <c r="AG21" s="33">
        <v>14</v>
      </c>
      <c r="AH21" s="43" t="s">
        <v>6705</v>
      </c>
      <c r="AI21" s="44" t="s">
        <v>698</v>
      </c>
      <c r="AK21" s="41">
        <v>1706</v>
      </c>
      <c r="AL21" s="33">
        <v>14</v>
      </c>
      <c r="AM21" s="43" t="s">
        <v>46</v>
      </c>
      <c r="AN21" s="44" t="s">
        <v>46</v>
      </c>
      <c r="AP21" s="41">
        <v>1709</v>
      </c>
      <c r="AQ21" s="33">
        <v>14</v>
      </c>
      <c r="AR21" s="43" t="s">
        <v>6706</v>
      </c>
      <c r="AS21" s="44" t="s">
        <v>382</v>
      </c>
      <c r="AU21" s="67">
        <v>1801</v>
      </c>
      <c r="AV21" s="68">
        <v>14</v>
      </c>
      <c r="AW21" s="69" t="s">
        <v>6707</v>
      </c>
      <c r="AX21" s="70" t="s">
        <v>259</v>
      </c>
      <c r="AZ21" s="67">
        <v>1804</v>
      </c>
      <c r="BA21" s="83">
        <v>14</v>
      </c>
      <c r="BB21" s="69" t="s">
        <v>6708</v>
      </c>
      <c r="BC21" s="70" t="s">
        <v>3074</v>
      </c>
      <c r="BE21" s="67">
        <v>1807</v>
      </c>
      <c r="BF21" s="83">
        <v>14</v>
      </c>
      <c r="BG21" s="69" t="s">
        <v>6709</v>
      </c>
      <c r="BH21" s="70" t="s">
        <v>182</v>
      </c>
    </row>
    <row r="22" spans="1:60">
      <c r="A22" s="1"/>
      <c r="B22" s="67">
        <v>1503</v>
      </c>
      <c r="C22" s="83">
        <v>15</v>
      </c>
      <c r="D22" s="69" t="s">
        <v>6710</v>
      </c>
      <c r="E22" s="70" t="s">
        <v>688</v>
      </c>
      <c r="G22" s="67">
        <v>1506</v>
      </c>
      <c r="H22" s="83">
        <v>15</v>
      </c>
      <c r="I22" s="69" t="s">
        <v>6711</v>
      </c>
      <c r="J22" s="70" t="s">
        <v>3303</v>
      </c>
      <c r="L22" s="67">
        <v>1509</v>
      </c>
      <c r="M22" s="83">
        <v>15</v>
      </c>
      <c r="N22" s="69" t="s">
        <v>46</v>
      </c>
      <c r="O22" s="70" t="s">
        <v>46</v>
      </c>
      <c r="Q22" s="41">
        <v>1601</v>
      </c>
      <c r="R22" s="42">
        <v>15</v>
      </c>
      <c r="S22" s="43" t="s">
        <v>6712</v>
      </c>
      <c r="T22" s="44" t="s">
        <v>1289</v>
      </c>
      <c r="V22" s="41">
        <v>1604</v>
      </c>
      <c r="W22" s="33">
        <v>15</v>
      </c>
      <c r="X22" s="43" t="s">
        <v>6713</v>
      </c>
      <c r="Y22" s="44" t="s">
        <v>1083</v>
      </c>
      <c r="AA22" s="41">
        <v>1607</v>
      </c>
      <c r="AB22" s="33">
        <v>15</v>
      </c>
      <c r="AC22" s="43" t="s">
        <v>6714</v>
      </c>
      <c r="AD22" s="44" t="s">
        <v>120</v>
      </c>
      <c r="AF22" s="41">
        <v>1703</v>
      </c>
      <c r="AG22" s="33">
        <v>15</v>
      </c>
      <c r="AH22" s="43" t="s">
        <v>6710</v>
      </c>
      <c r="AI22" s="44" t="s">
        <v>688</v>
      </c>
      <c r="AK22" s="41">
        <v>1706</v>
      </c>
      <c r="AL22" s="33">
        <v>15</v>
      </c>
      <c r="AM22" s="43" t="s">
        <v>6711</v>
      </c>
      <c r="AN22" s="44" t="s">
        <v>3303</v>
      </c>
      <c r="AP22" s="41">
        <v>1709</v>
      </c>
      <c r="AQ22" s="33">
        <v>15</v>
      </c>
      <c r="AR22" s="43" t="s">
        <v>46</v>
      </c>
      <c r="AS22" s="44" t="s">
        <v>46</v>
      </c>
      <c r="AU22" s="67">
        <v>1801</v>
      </c>
      <c r="AV22" s="68">
        <v>15</v>
      </c>
      <c r="AW22" s="69" t="s">
        <v>6712</v>
      </c>
      <c r="AX22" s="70" t="s">
        <v>1289</v>
      </c>
      <c r="AZ22" s="67">
        <v>1804</v>
      </c>
      <c r="BA22" s="83">
        <v>15</v>
      </c>
      <c r="BB22" s="69" t="s">
        <v>6713</v>
      </c>
      <c r="BC22" s="70" t="s">
        <v>1083</v>
      </c>
      <c r="BE22" s="67">
        <v>1807</v>
      </c>
      <c r="BF22" s="83">
        <v>15</v>
      </c>
      <c r="BG22" s="69" t="s">
        <v>6714</v>
      </c>
      <c r="BH22" s="70" t="s">
        <v>120</v>
      </c>
    </row>
    <row r="23" spans="1:60" ht="15" thickBot="1">
      <c r="A23" s="1"/>
      <c r="B23" s="71">
        <v>1503</v>
      </c>
      <c r="C23" s="84">
        <v>16</v>
      </c>
      <c r="D23" s="73" t="s">
        <v>6715</v>
      </c>
      <c r="E23" s="74" t="s">
        <v>1945</v>
      </c>
      <c r="G23" s="71">
        <v>1506</v>
      </c>
      <c r="H23" s="84">
        <v>16</v>
      </c>
      <c r="I23" s="73" t="s">
        <v>6716</v>
      </c>
      <c r="J23" s="74" t="s">
        <v>750</v>
      </c>
      <c r="L23" s="71">
        <v>1509</v>
      </c>
      <c r="M23" s="84">
        <v>16</v>
      </c>
      <c r="N23" s="73" t="s">
        <v>46</v>
      </c>
      <c r="O23" s="74" t="s">
        <v>46</v>
      </c>
      <c r="Q23" s="45">
        <v>1601</v>
      </c>
      <c r="R23" s="46">
        <v>16</v>
      </c>
      <c r="S23" s="47" t="s">
        <v>6717</v>
      </c>
      <c r="T23" s="48" t="s">
        <v>1304</v>
      </c>
      <c r="V23" s="45">
        <v>1604</v>
      </c>
      <c r="W23" s="57">
        <v>16</v>
      </c>
      <c r="X23" s="47" t="s">
        <v>6718</v>
      </c>
      <c r="Y23" s="48" t="s">
        <v>4095</v>
      </c>
      <c r="AA23" s="45">
        <v>1607</v>
      </c>
      <c r="AB23" s="57">
        <v>16</v>
      </c>
      <c r="AC23" s="47" t="s">
        <v>6719</v>
      </c>
      <c r="AD23" s="48" t="s">
        <v>126</v>
      </c>
      <c r="AF23" s="45">
        <v>1703</v>
      </c>
      <c r="AG23" s="57">
        <v>16</v>
      </c>
      <c r="AH23" s="47" t="s">
        <v>6715</v>
      </c>
      <c r="AI23" s="48" t="s">
        <v>1945</v>
      </c>
      <c r="AK23" s="45">
        <v>1706</v>
      </c>
      <c r="AL23" s="57">
        <v>16</v>
      </c>
      <c r="AM23" s="47" t="s">
        <v>6716</v>
      </c>
      <c r="AN23" s="48" t="s">
        <v>750</v>
      </c>
      <c r="AP23" s="45">
        <v>1709</v>
      </c>
      <c r="AQ23" s="57">
        <v>16</v>
      </c>
      <c r="AR23" s="47" t="s">
        <v>46</v>
      </c>
      <c r="AS23" s="48" t="s">
        <v>46</v>
      </c>
      <c r="AU23" s="71">
        <v>1801</v>
      </c>
      <c r="AV23" s="72">
        <v>16</v>
      </c>
      <c r="AW23" s="73" t="s">
        <v>6717</v>
      </c>
      <c r="AX23" s="74" t="s">
        <v>1304</v>
      </c>
      <c r="AZ23" s="71">
        <v>1804</v>
      </c>
      <c r="BA23" s="84">
        <v>16</v>
      </c>
      <c r="BB23" s="73" t="s">
        <v>6718</v>
      </c>
      <c r="BC23" s="74" t="s">
        <v>4095</v>
      </c>
      <c r="BE23" s="71">
        <v>1807</v>
      </c>
      <c r="BF23" s="84">
        <v>16</v>
      </c>
      <c r="BG23" s="73" t="s">
        <v>6719</v>
      </c>
      <c r="BH23" s="74" t="s">
        <v>126</v>
      </c>
    </row>
    <row r="24" spans="1:60">
      <c r="A24" s="1"/>
      <c r="B24" s="75">
        <v>1503</v>
      </c>
      <c r="C24" s="85">
        <v>17</v>
      </c>
      <c r="D24" s="77" t="s">
        <v>6720</v>
      </c>
      <c r="E24" s="66" t="s">
        <v>1925</v>
      </c>
      <c r="G24" s="75">
        <v>1506</v>
      </c>
      <c r="H24" s="85">
        <v>17</v>
      </c>
      <c r="I24" s="77" t="s">
        <v>6721</v>
      </c>
      <c r="J24" s="66" t="s">
        <v>3311</v>
      </c>
      <c r="L24" s="75">
        <v>1509</v>
      </c>
      <c r="M24" s="85">
        <v>17</v>
      </c>
      <c r="N24" s="77" t="s">
        <v>46</v>
      </c>
      <c r="O24" s="66" t="s">
        <v>46</v>
      </c>
      <c r="Q24" s="49">
        <v>1601</v>
      </c>
      <c r="R24" s="50">
        <v>17</v>
      </c>
      <c r="S24" s="51" t="s">
        <v>6722</v>
      </c>
      <c r="T24" s="40" t="s">
        <v>1614</v>
      </c>
      <c r="V24" s="49">
        <v>1604</v>
      </c>
      <c r="W24" s="58">
        <v>17</v>
      </c>
      <c r="X24" s="51" t="s">
        <v>6723</v>
      </c>
      <c r="Y24" s="40" t="s">
        <v>1554</v>
      </c>
      <c r="AA24" s="49">
        <v>1607</v>
      </c>
      <c r="AB24" s="58">
        <v>17</v>
      </c>
      <c r="AC24" s="51" t="s">
        <v>6724</v>
      </c>
      <c r="AD24" s="40" t="s">
        <v>192</v>
      </c>
      <c r="AF24" s="49">
        <v>1703</v>
      </c>
      <c r="AG24" s="58">
        <v>17</v>
      </c>
      <c r="AH24" s="51" t="s">
        <v>6720</v>
      </c>
      <c r="AI24" s="40" t="s">
        <v>1925</v>
      </c>
      <c r="AK24" s="49">
        <v>1706</v>
      </c>
      <c r="AL24" s="58">
        <v>17</v>
      </c>
      <c r="AM24" s="51" t="s">
        <v>6721</v>
      </c>
      <c r="AN24" s="40" t="s">
        <v>3311</v>
      </c>
      <c r="AP24" s="49">
        <v>1709</v>
      </c>
      <c r="AQ24" s="58">
        <v>17</v>
      </c>
      <c r="AR24" s="51" t="s">
        <v>46</v>
      </c>
      <c r="AS24" s="40" t="s">
        <v>46</v>
      </c>
      <c r="AU24" s="75">
        <v>1801</v>
      </c>
      <c r="AV24" s="76">
        <v>17</v>
      </c>
      <c r="AW24" s="77" t="s">
        <v>6722</v>
      </c>
      <c r="AX24" s="66" t="s">
        <v>1614</v>
      </c>
      <c r="AZ24" s="75">
        <v>1804</v>
      </c>
      <c r="BA24" s="85">
        <v>17</v>
      </c>
      <c r="BB24" s="77" t="s">
        <v>6723</v>
      </c>
      <c r="BC24" s="66" t="s">
        <v>1554</v>
      </c>
      <c r="BE24" s="75">
        <v>1807</v>
      </c>
      <c r="BF24" s="85">
        <v>17</v>
      </c>
      <c r="BG24" s="77" t="s">
        <v>6724</v>
      </c>
      <c r="BH24" s="66" t="s">
        <v>192</v>
      </c>
    </row>
    <row r="25" spans="1:60">
      <c r="A25" s="1"/>
      <c r="B25" s="67">
        <v>1503</v>
      </c>
      <c r="C25" s="83">
        <v>18</v>
      </c>
      <c r="D25" s="69" t="s">
        <v>6725</v>
      </c>
      <c r="E25" s="70" t="s">
        <v>1953</v>
      </c>
      <c r="G25" s="67">
        <v>1506</v>
      </c>
      <c r="H25" s="83">
        <v>18</v>
      </c>
      <c r="I25" s="69" t="s">
        <v>6726</v>
      </c>
      <c r="J25" s="70" t="s">
        <v>470</v>
      </c>
      <c r="L25" s="67">
        <v>1509</v>
      </c>
      <c r="M25" s="83">
        <v>18</v>
      </c>
      <c r="N25" s="69" t="s">
        <v>6727</v>
      </c>
      <c r="O25" s="70" t="s">
        <v>905</v>
      </c>
      <c r="Q25" s="41">
        <v>1601</v>
      </c>
      <c r="R25" s="42">
        <v>18</v>
      </c>
      <c r="S25" s="43" t="s">
        <v>6728</v>
      </c>
      <c r="T25" s="44" t="s">
        <v>1078</v>
      </c>
      <c r="V25" s="41">
        <v>1604</v>
      </c>
      <c r="W25" s="33">
        <v>18</v>
      </c>
      <c r="X25" s="43" t="s">
        <v>6729</v>
      </c>
      <c r="Y25" s="44" t="s">
        <v>4088</v>
      </c>
      <c r="AA25" s="41">
        <v>1607</v>
      </c>
      <c r="AB25" s="33">
        <v>18</v>
      </c>
      <c r="AC25" s="43" t="s">
        <v>6730</v>
      </c>
      <c r="AD25" s="44" t="s">
        <v>197</v>
      </c>
      <c r="AF25" s="41">
        <v>1703</v>
      </c>
      <c r="AG25" s="33">
        <v>18</v>
      </c>
      <c r="AH25" s="43" t="s">
        <v>6725</v>
      </c>
      <c r="AI25" s="44" t="s">
        <v>1953</v>
      </c>
      <c r="AK25" s="41">
        <v>1706</v>
      </c>
      <c r="AL25" s="33">
        <v>18</v>
      </c>
      <c r="AM25" s="43" t="s">
        <v>6726</v>
      </c>
      <c r="AN25" s="44" t="s">
        <v>470</v>
      </c>
      <c r="AP25" s="41">
        <v>1709</v>
      </c>
      <c r="AQ25" s="33">
        <v>18</v>
      </c>
      <c r="AR25" s="43" t="s">
        <v>6727</v>
      </c>
      <c r="AS25" s="44" t="s">
        <v>905</v>
      </c>
      <c r="AU25" s="67">
        <v>1801</v>
      </c>
      <c r="AV25" s="68">
        <v>18</v>
      </c>
      <c r="AW25" s="69" t="s">
        <v>6728</v>
      </c>
      <c r="AX25" s="70" t="s">
        <v>1078</v>
      </c>
      <c r="AZ25" s="67">
        <v>1804</v>
      </c>
      <c r="BA25" s="83">
        <v>18</v>
      </c>
      <c r="BB25" s="69" t="s">
        <v>6729</v>
      </c>
      <c r="BC25" s="70" t="s">
        <v>4088</v>
      </c>
      <c r="BE25" s="67">
        <v>1807</v>
      </c>
      <c r="BF25" s="83">
        <v>18</v>
      </c>
      <c r="BG25" s="69" t="s">
        <v>6730</v>
      </c>
      <c r="BH25" s="70" t="s">
        <v>197</v>
      </c>
    </row>
    <row r="26" spans="1:60">
      <c r="A26" s="1"/>
      <c r="B26" s="67">
        <v>1503</v>
      </c>
      <c r="C26" s="83">
        <v>19</v>
      </c>
      <c r="D26" s="69" t="s">
        <v>6731</v>
      </c>
      <c r="E26" s="70" t="s">
        <v>1936</v>
      </c>
      <c r="G26" s="67">
        <v>1506</v>
      </c>
      <c r="H26" s="83">
        <v>19</v>
      </c>
      <c r="I26" s="69" t="s">
        <v>6732</v>
      </c>
      <c r="J26" s="70" t="s">
        <v>1997</v>
      </c>
      <c r="L26" s="67">
        <v>1509</v>
      </c>
      <c r="M26" s="83">
        <v>19</v>
      </c>
      <c r="N26" s="69" t="s">
        <v>46</v>
      </c>
      <c r="O26" s="70" t="s">
        <v>46</v>
      </c>
      <c r="Q26" s="41">
        <v>1601</v>
      </c>
      <c r="R26" s="42">
        <v>19</v>
      </c>
      <c r="S26" s="43" t="s">
        <v>46</v>
      </c>
      <c r="T26" s="44" t="s">
        <v>46</v>
      </c>
      <c r="V26" s="41">
        <v>1604</v>
      </c>
      <c r="W26" s="33">
        <v>19</v>
      </c>
      <c r="X26" s="43" t="s">
        <v>46</v>
      </c>
      <c r="Y26" s="44" t="s">
        <v>46</v>
      </c>
      <c r="AA26" s="41">
        <v>1607</v>
      </c>
      <c r="AB26" s="33">
        <v>19</v>
      </c>
      <c r="AC26" s="43" t="s">
        <v>46</v>
      </c>
      <c r="AD26" s="44" t="s">
        <v>46</v>
      </c>
      <c r="AF26" s="41">
        <v>1703</v>
      </c>
      <c r="AG26" s="33">
        <v>19</v>
      </c>
      <c r="AH26" s="43" t="s">
        <v>6731</v>
      </c>
      <c r="AI26" s="44" t="s">
        <v>1936</v>
      </c>
      <c r="AK26" s="41">
        <v>1706</v>
      </c>
      <c r="AL26" s="33">
        <v>19</v>
      </c>
      <c r="AM26" s="43" t="s">
        <v>6732</v>
      </c>
      <c r="AN26" s="44" t="s">
        <v>1997</v>
      </c>
      <c r="AP26" s="41">
        <v>1709</v>
      </c>
      <c r="AQ26" s="33">
        <v>19</v>
      </c>
      <c r="AR26" s="43" t="s">
        <v>46</v>
      </c>
      <c r="AS26" s="44" t="s">
        <v>46</v>
      </c>
      <c r="AU26" s="67">
        <v>1801</v>
      </c>
      <c r="AV26" s="68">
        <v>19</v>
      </c>
      <c r="AW26" s="69" t="s">
        <v>46</v>
      </c>
      <c r="AX26" s="70" t="s">
        <v>46</v>
      </c>
      <c r="AZ26" s="67">
        <v>1804</v>
      </c>
      <c r="BA26" s="83">
        <v>19</v>
      </c>
      <c r="BB26" s="69" t="s">
        <v>46</v>
      </c>
      <c r="BC26" s="70" t="s">
        <v>46</v>
      </c>
      <c r="BE26" s="67">
        <v>1807</v>
      </c>
      <c r="BF26" s="83">
        <v>19</v>
      </c>
      <c r="BG26" s="69" t="s">
        <v>46</v>
      </c>
      <c r="BH26" s="70" t="s">
        <v>46</v>
      </c>
    </row>
    <row r="27" spans="1:60">
      <c r="A27" s="1"/>
      <c r="B27" s="67">
        <v>1503</v>
      </c>
      <c r="C27" s="83">
        <v>20</v>
      </c>
      <c r="D27" s="69" t="s">
        <v>6733</v>
      </c>
      <c r="E27" s="70" t="s">
        <v>1882</v>
      </c>
      <c r="G27" s="67">
        <v>1506</v>
      </c>
      <c r="H27" s="83">
        <v>20</v>
      </c>
      <c r="I27" s="69" t="s">
        <v>6734</v>
      </c>
      <c r="J27" s="70" t="s">
        <v>460</v>
      </c>
      <c r="L27" s="67">
        <v>1509</v>
      </c>
      <c r="M27" s="83">
        <v>20</v>
      </c>
      <c r="N27" s="69" t="s">
        <v>6735</v>
      </c>
      <c r="O27" s="70" t="s">
        <v>3197</v>
      </c>
      <c r="Q27" s="41">
        <v>1601</v>
      </c>
      <c r="R27" s="42">
        <v>20</v>
      </c>
      <c r="S27" s="43" t="s">
        <v>46</v>
      </c>
      <c r="T27" s="44" t="s">
        <v>46</v>
      </c>
      <c r="V27" s="41">
        <v>1604</v>
      </c>
      <c r="W27" s="33">
        <v>20</v>
      </c>
      <c r="X27" s="43" t="s">
        <v>46</v>
      </c>
      <c r="Y27" s="44" t="s">
        <v>46</v>
      </c>
      <c r="AA27" s="41">
        <v>1607</v>
      </c>
      <c r="AB27" s="33">
        <v>20</v>
      </c>
      <c r="AC27" s="43" t="s">
        <v>6736</v>
      </c>
      <c r="AD27" s="44" t="s">
        <v>96</v>
      </c>
      <c r="AF27" s="41">
        <v>1703</v>
      </c>
      <c r="AG27" s="33">
        <v>20</v>
      </c>
      <c r="AH27" s="43" t="s">
        <v>6733</v>
      </c>
      <c r="AI27" s="44" t="s">
        <v>1882</v>
      </c>
      <c r="AK27" s="41">
        <v>1706</v>
      </c>
      <c r="AL27" s="33">
        <v>20</v>
      </c>
      <c r="AM27" s="43" t="s">
        <v>6734</v>
      </c>
      <c r="AN27" s="44" t="s">
        <v>460</v>
      </c>
      <c r="AP27" s="41">
        <v>1709</v>
      </c>
      <c r="AQ27" s="33">
        <v>20</v>
      </c>
      <c r="AR27" s="43" t="s">
        <v>6735</v>
      </c>
      <c r="AS27" s="44" t="s">
        <v>3197</v>
      </c>
      <c r="AU27" s="67">
        <v>1801</v>
      </c>
      <c r="AV27" s="68">
        <v>20</v>
      </c>
      <c r="AW27" s="69" t="s">
        <v>46</v>
      </c>
      <c r="AX27" s="70" t="s">
        <v>46</v>
      </c>
      <c r="AZ27" s="67">
        <v>1804</v>
      </c>
      <c r="BA27" s="83">
        <v>20</v>
      </c>
      <c r="BB27" s="69" t="s">
        <v>46</v>
      </c>
      <c r="BC27" s="70" t="s">
        <v>46</v>
      </c>
      <c r="BE27" s="67">
        <v>1807</v>
      </c>
      <c r="BF27" s="83">
        <v>20</v>
      </c>
      <c r="BG27" s="69" t="s">
        <v>6736</v>
      </c>
      <c r="BH27" s="70" t="s">
        <v>96</v>
      </c>
    </row>
    <row r="28" spans="1:60">
      <c r="A28" s="1"/>
      <c r="B28" s="67">
        <v>1503</v>
      </c>
      <c r="C28" s="83">
        <v>21</v>
      </c>
      <c r="D28" s="69" t="s">
        <v>6737</v>
      </c>
      <c r="E28" s="70" t="s">
        <v>968</v>
      </c>
      <c r="G28" s="67">
        <v>1506</v>
      </c>
      <c r="H28" s="83">
        <v>21</v>
      </c>
      <c r="I28" s="69" t="s">
        <v>6738</v>
      </c>
      <c r="J28" s="70" t="s">
        <v>2008</v>
      </c>
      <c r="L28" s="67">
        <v>1509</v>
      </c>
      <c r="M28" s="83">
        <v>21</v>
      </c>
      <c r="N28" s="69" t="s">
        <v>46</v>
      </c>
      <c r="O28" s="70" t="s">
        <v>46</v>
      </c>
      <c r="Q28" s="41">
        <v>1601</v>
      </c>
      <c r="R28" s="42">
        <v>21</v>
      </c>
      <c r="S28" s="43" t="s">
        <v>6739</v>
      </c>
      <c r="T28" s="44" t="s">
        <v>2959</v>
      </c>
      <c r="V28" s="41">
        <v>1604</v>
      </c>
      <c r="W28" s="33">
        <v>21</v>
      </c>
      <c r="X28" s="43" t="s">
        <v>46</v>
      </c>
      <c r="Y28" s="44" t="s">
        <v>46</v>
      </c>
      <c r="AA28" s="41">
        <v>1607</v>
      </c>
      <c r="AB28" s="33">
        <v>21</v>
      </c>
      <c r="AC28" s="43" t="s">
        <v>46</v>
      </c>
      <c r="AD28" s="44" t="s">
        <v>46</v>
      </c>
      <c r="AF28" s="41">
        <v>1703</v>
      </c>
      <c r="AG28" s="33">
        <v>21</v>
      </c>
      <c r="AH28" s="43" t="s">
        <v>6737</v>
      </c>
      <c r="AI28" s="44" t="s">
        <v>968</v>
      </c>
      <c r="AK28" s="41">
        <v>1706</v>
      </c>
      <c r="AL28" s="33">
        <v>21</v>
      </c>
      <c r="AM28" s="43" t="s">
        <v>6738</v>
      </c>
      <c r="AN28" s="44" t="s">
        <v>2008</v>
      </c>
      <c r="AP28" s="41">
        <v>1709</v>
      </c>
      <c r="AQ28" s="33">
        <v>21</v>
      </c>
      <c r="AR28" s="43" t="s">
        <v>46</v>
      </c>
      <c r="AS28" s="44" t="s">
        <v>46</v>
      </c>
      <c r="AU28" s="67">
        <v>1801</v>
      </c>
      <c r="AV28" s="68">
        <v>21</v>
      </c>
      <c r="AW28" s="69" t="s">
        <v>6739</v>
      </c>
      <c r="AX28" s="70" t="s">
        <v>2959</v>
      </c>
      <c r="AZ28" s="67">
        <v>1804</v>
      </c>
      <c r="BA28" s="83">
        <v>21</v>
      </c>
      <c r="BB28" s="69" t="s">
        <v>46</v>
      </c>
      <c r="BC28" s="70" t="s">
        <v>46</v>
      </c>
      <c r="BE28" s="67">
        <v>1807</v>
      </c>
      <c r="BF28" s="83">
        <v>21</v>
      </c>
      <c r="BG28" s="69" t="s">
        <v>46</v>
      </c>
      <c r="BH28" s="70" t="s">
        <v>46</v>
      </c>
    </row>
    <row r="29" spans="1:60">
      <c r="A29" s="1"/>
      <c r="B29" s="67">
        <v>1503</v>
      </c>
      <c r="C29" s="83">
        <v>22</v>
      </c>
      <c r="D29" s="69" t="s">
        <v>6740</v>
      </c>
      <c r="E29" s="70" t="s">
        <v>357</v>
      </c>
      <c r="G29" s="67">
        <v>1506</v>
      </c>
      <c r="H29" s="83">
        <v>22</v>
      </c>
      <c r="I29" s="69" t="s">
        <v>6741</v>
      </c>
      <c r="J29" s="70" t="s">
        <v>377</v>
      </c>
      <c r="L29" s="67">
        <v>1509</v>
      </c>
      <c r="M29" s="83">
        <v>22</v>
      </c>
      <c r="N29" s="69" t="s">
        <v>6742</v>
      </c>
      <c r="O29" s="70" t="s">
        <v>3476</v>
      </c>
      <c r="Q29" s="41">
        <v>1601</v>
      </c>
      <c r="R29" s="42">
        <v>22</v>
      </c>
      <c r="S29" s="43" t="s">
        <v>6743</v>
      </c>
      <c r="T29" s="44" t="s">
        <v>2954</v>
      </c>
      <c r="V29" s="41">
        <v>1604</v>
      </c>
      <c r="W29" s="33">
        <v>22</v>
      </c>
      <c r="X29" s="43" t="s">
        <v>46</v>
      </c>
      <c r="Y29" s="44" t="s">
        <v>46</v>
      </c>
      <c r="AA29" s="41">
        <v>1607</v>
      </c>
      <c r="AB29" s="33">
        <v>22</v>
      </c>
      <c r="AC29" s="43" t="s">
        <v>6744</v>
      </c>
      <c r="AD29" s="44" t="s">
        <v>172</v>
      </c>
      <c r="AF29" s="41">
        <v>1703</v>
      </c>
      <c r="AG29" s="33">
        <v>22</v>
      </c>
      <c r="AH29" s="43" t="s">
        <v>6740</v>
      </c>
      <c r="AI29" s="44" t="s">
        <v>357</v>
      </c>
      <c r="AK29" s="41">
        <v>1706</v>
      </c>
      <c r="AL29" s="33">
        <v>22</v>
      </c>
      <c r="AM29" s="43" t="s">
        <v>6741</v>
      </c>
      <c r="AN29" s="44" t="s">
        <v>377</v>
      </c>
      <c r="AP29" s="41">
        <v>1709</v>
      </c>
      <c r="AQ29" s="33">
        <v>22</v>
      </c>
      <c r="AR29" s="43" t="s">
        <v>6742</v>
      </c>
      <c r="AS29" s="44" t="s">
        <v>3476</v>
      </c>
      <c r="AU29" s="67">
        <v>1801</v>
      </c>
      <c r="AV29" s="68">
        <v>22</v>
      </c>
      <c r="AW29" s="69" t="s">
        <v>6743</v>
      </c>
      <c r="AX29" s="70" t="s">
        <v>2954</v>
      </c>
      <c r="AZ29" s="67">
        <v>1804</v>
      </c>
      <c r="BA29" s="83">
        <v>22</v>
      </c>
      <c r="BB29" s="69" t="s">
        <v>46</v>
      </c>
      <c r="BC29" s="70" t="s">
        <v>46</v>
      </c>
      <c r="BE29" s="67">
        <v>1807</v>
      </c>
      <c r="BF29" s="83">
        <v>22</v>
      </c>
      <c r="BG29" s="69" t="s">
        <v>6744</v>
      </c>
      <c r="BH29" s="70" t="s">
        <v>172</v>
      </c>
    </row>
    <row r="30" spans="1:60">
      <c r="A30" s="1"/>
      <c r="B30" s="67">
        <v>1503</v>
      </c>
      <c r="C30" s="83">
        <v>23</v>
      </c>
      <c r="D30" s="69" t="s">
        <v>6745</v>
      </c>
      <c r="E30" s="70" t="s">
        <v>2870</v>
      </c>
      <c r="G30" s="67">
        <v>1506</v>
      </c>
      <c r="H30" s="83">
        <v>23</v>
      </c>
      <c r="I30" s="69" t="s">
        <v>6746</v>
      </c>
      <c r="J30" s="70" t="s">
        <v>2352</v>
      </c>
      <c r="L30" s="67">
        <v>1509</v>
      </c>
      <c r="M30" s="83">
        <v>23</v>
      </c>
      <c r="N30" s="69" t="s">
        <v>6747</v>
      </c>
      <c r="O30" s="70" t="s">
        <v>362</v>
      </c>
      <c r="Q30" s="41">
        <v>1601</v>
      </c>
      <c r="R30" s="42">
        <v>23</v>
      </c>
      <c r="S30" s="43" t="s">
        <v>46</v>
      </c>
      <c r="T30" s="44" t="s">
        <v>46</v>
      </c>
      <c r="V30" s="41">
        <v>1604</v>
      </c>
      <c r="W30" s="33">
        <v>23</v>
      </c>
      <c r="X30" s="43" t="s">
        <v>6748</v>
      </c>
      <c r="Y30" s="44" t="s">
        <v>2798</v>
      </c>
      <c r="AA30" s="41">
        <v>1607</v>
      </c>
      <c r="AB30" s="33">
        <v>23</v>
      </c>
      <c r="AC30" s="43" t="s">
        <v>6749</v>
      </c>
      <c r="AD30" s="44" t="s">
        <v>1864</v>
      </c>
      <c r="AF30" s="41">
        <v>1703</v>
      </c>
      <c r="AG30" s="33">
        <v>23</v>
      </c>
      <c r="AH30" s="43" t="s">
        <v>6745</v>
      </c>
      <c r="AI30" s="44" t="s">
        <v>2870</v>
      </c>
      <c r="AK30" s="41">
        <v>1706</v>
      </c>
      <c r="AL30" s="33">
        <v>23</v>
      </c>
      <c r="AM30" s="43" t="s">
        <v>6746</v>
      </c>
      <c r="AN30" s="44" t="s">
        <v>2352</v>
      </c>
      <c r="AP30" s="41">
        <v>1709</v>
      </c>
      <c r="AQ30" s="33">
        <v>23</v>
      </c>
      <c r="AR30" s="43" t="s">
        <v>6747</v>
      </c>
      <c r="AS30" s="44" t="s">
        <v>362</v>
      </c>
      <c r="AU30" s="67">
        <v>1801</v>
      </c>
      <c r="AV30" s="68">
        <v>23</v>
      </c>
      <c r="AW30" s="69" t="s">
        <v>46</v>
      </c>
      <c r="AX30" s="70" t="s">
        <v>46</v>
      </c>
      <c r="AZ30" s="67">
        <v>1804</v>
      </c>
      <c r="BA30" s="83">
        <v>23</v>
      </c>
      <c r="BB30" s="69" t="s">
        <v>6748</v>
      </c>
      <c r="BC30" s="70" t="s">
        <v>2798</v>
      </c>
      <c r="BE30" s="67">
        <v>1807</v>
      </c>
      <c r="BF30" s="83">
        <v>23</v>
      </c>
      <c r="BG30" s="69" t="s">
        <v>6749</v>
      </c>
      <c r="BH30" s="70" t="s">
        <v>1864</v>
      </c>
    </row>
    <row r="31" spans="1:60">
      <c r="A31" s="1"/>
      <c r="B31" s="67">
        <v>1503</v>
      </c>
      <c r="C31" s="83">
        <v>24</v>
      </c>
      <c r="D31" s="69" t="s">
        <v>6750</v>
      </c>
      <c r="E31" s="70" t="s">
        <v>1439</v>
      </c>
      <c r="G31" s="67">
        <v>1506</v>
      </c>
      <c r="H31" s="83">
        <v>24</v>
      </c>
      <c r="I31" s="69" t="s">
        <v>6751</v>
      </c>
      <c r="J31" s="70" t="s">
        <v>1469</v>
      </c>
      <c r="L31" s="67">
        <v>1509</v>
      </c>
      <c r="M31" s="83">
        <v>24</v>
      </c>
      <c r="N31" s="69" t="s">
        <v>46</v>
      </c>
      <c r="O31" s="70" t="s">
        <v>46</v>
      </c>
      <c r="Q31" s="41">
        <v>1601</v>
      </c>
      <c r="R31" s="42">
        <v>24</v>
      </c>
      <c r="S31" s="43" t="s">
        <v>6752</v>
      </c>
      <c r="T31" s="44" t="s">
        <v>1319</v>
      </c>
      <c r="V31" s="41">
        <v>1604</v>
      </c>
      <c r="W31" s="33">
        <v>24</v>
      </c>
      <c r="X31" s="43" t="s">
        <v>6753</v>
      </c>
      <c r="Y31" s="44" t="s">
        <v>703</v>
      </c>
      <c r="AA31" s="41">
        <v>1607</v>
      </c>
      <c r="AB31" s="33">
        <v>24</v>
      </c>
      <c r="AC31" s="43" t="s">
        <v>46</v>
      </c>
      <c r="AD31" s="44" t="s">
        <v>46</v>
      </c>
      <c r="AF31" s="41">
        <v>1703</v>
      </c>
      <c r="AG31" s="33">
        <v>24</v>
      </c>
      <c r="AH31" s="43" t="s">
        <v>6750</v>
      </c>
      <c r="AI31" s="44" t="s">
        <v>1439</v>
      </c>
      <c r="AK31" s="41">
        <v>1706</v>
      </c>
      <c r="AL31" s="33">
        <v>24</v>
      </c>
      <c r="AM31" s="43" t="s">
        <v>6751</v>
      </c>
      <c r="AN31" s="44" t="s">
        <v>1469</v>
      </c>
      <c r="AP31" s="41">
        <v>1709</v>
      </c>
      <c r="AQ31" s="33">
        <v>24</v>
      </c>
      <c r="AR31" s="43" t="s">
        <v>46</v>
      </c>
      <c r="AS31" s="44" t="s">
        <v>46</v>
      </c>
      <c r="AU31" s="67">
        <v>1801</v>
      </c>
      <c r="AV31" s="68">
        <v>24</v>
      </c>
      <c r="AW31" s="69" t="s">
        <v>6752</v>
      </c>
      <c r="AX31" s="70" t="s">
        <v>1319</v>
      </c>
      <c r="AZ31" s="67">
        <v>1804</v>
      </c>
      <c r="BA31" s="83">
        <v>24</v>
      </c>
      <c r="BB31" s="69" t="s">
        <v>6753</v>
      </c>
      <c r="BC31" s="70" t="s">
        <v>703</v>
      </c>
      <c r="BE31" s="67">
        <v>1807</v>
      </c>
      <c r="BF31" s="83">
        <v>24</v>
      </c>
      <c r="BG31" s="69" t="s">
        <v>46</v>
      </c>
      <c r="BH31" s="70" t="s">
        <v>46</v>
      </c>
    </row>
    <row r="32" spans="1:60">
      <c r="A32" s="1"/>
      <c r="B32" s="67">
        <v>1503</v>
      </c>
      <c r="C32" s="83">
        <v>25</v>
      </c>
      <c r="D32" s="69" t="s">
        <v>46</v>
      </c>
      <c r="E32" s="70" t="s">
        <v>46</v>
      </c>
      <c r="G32" s="67">
        <v>1506</v>
      </c>
      <c r="H32" s="83">
        <v>25</v>
      </c>
      <c r="I32" s="69" t="s">
        <v>6754</v>
      </c>
      <c r="J32" s="70" t="s">
        <v>2362</v>
      </c>
      <c r="L32" s="67">
        <v>1509</v>
      </c>
      <c r="M32" s="83">
        <v>25</v>
      </c>
      <c r="N32" s="69" t="s">
        <v>6755</v>
      </c>
      <c r="O32" s="70" t="s">
        <v>367</v>
      </c>
      <c r="Q32" s="41">
        <v>1601</v>
      </c>
      <c r="R32" s="42">
        <v>25</v>
      </c>
      <c r="S32" s="43" t="s">
        <v>46</v>
      </c>
      <c r="T32" s="44" t="s">
        <v>46</v>
      </c>
      <c r="V32" s="41">
        <v>1604</v>
      </c>
      <c r="W32" s="33">
        <v>25</v>
      </c>
      <c r="X32" s="43" t="s">
        <v>6756</v>
      </c>
      <c r="Y32" s="44" t="s">
        <v>1103</v>
      </c>
      <c r="AA32" s="41">
        <v>1607</v>
      </c>
      <c r="AB32" s="33">
        <v>25</v>
      </c>
      <c r="AC32" s="43" t="s">
        <v>6757</v>
      </c>
      <c r="AD32" s="44" t="s">
        <v>4111</v>
      </c>
      <c r="AF32" s="41">
        <v>1703</v>
      </c>
      <c r="AG32" s="33">
        <v>25</v>
      </c>
      <c r="AH32" s="43" t="s">
        <v>46</v>
      </c>
      <c r="AI32" s="44" t="s">
        <v>46</v>
      </c>
      <c r="AK32" s="41">
        <v>1706</v>
      </c>
      <c r="AL32" s="33">
        <v>25</v>
      </c>
      <c r="AM32" s="43" t="s">
        <v>6754</v>
      </c>
      <c r="AN32" s="44" t="s">
        <v>2362</v>
      </c>
      <c r="AP32" s="41">
        <v>1709</v>
      </c>
      <c r="AQ32" s="33">
        <v>25</v>
      </c>
      <c r="AR32" s="43" t="s">
        <v>6755</v>
      </c>
      <c r="AS32" s="44" t="s">
        <v>367</v>
      </c>
      <c r="AU32" s="67">
        <v>1801</v>
      </c>
      <c r="AV32" s="68">
        <v>25</v>
      </c>
      <c r="AW32" s="69" t="s">
        <v>46</v>
      </c>
      <c r="AX32" s="70" t="s">
        <v>46</v>
      </c>
      <c r="AZ32" s="67">
        <v>1804</v>
      </c>
      <c r="BA32" s="83">
        <v>25</v>
      </c>
      <c r="BB32" s="69" t="s">
        <v>6756</v>
      </c>
      <c r="BC32" s="70" t="s">
        <v>1103</v>
      </c>
      <c r="BE32" s="67">
        <v>1807</v>
      </c>
      <c r="BF32" s="83">
        <v>25</v>
      </c>
      <c r="BG32" s="69" t="s">
        <v>6757</v>
      </c>
      <c r="BH32" s="70" t="s">
        <v>4111</v>
      </c>
    </row>
    <row r="33" spans="1:60">
      <c r="A33" s="1"/>
      <c r="B33" s="67">
        <v>1503</v>
      </c>
      <c r="C33" s="83">
        <v>26</v>
      </c>
      <c r="D33" s="69" t="s">
        <v>6758</v>
      </c>
      <c r="E33" s="70" t="s">
        <v>709</v>
      </c>
      <c r="G33" s="67">
        <v>1506</v>
      </c>
      <c r="H33" s="83">
        <v>26</v>
      </c>
      <c r="I33" s="69" t="s">
        <v>6759</v>
      </c>
      <c r="J33" s="70" t="s">
        <v>810</v>
      </c>
      <c r="L33" s="67">
        <v>1509</v>
      </c>
      <c r="M33" s="83">
        <v>26</v>
      </c>
      <c r="N33" s="69" t="s">
        <v>46</v>
      </c>
      <c r="O33" s="70" t="s">
        <v>46</v>
      </c>
      <c r="Q33" s="41">
        <v>1601</v>
      </c>
      <c r="R33" s="42">
        <v>26</v>
      </c>
      <c r="S33" s="43" t="s">
        <v>6760</v>
      </c>
      <c r="T33" s="44" t="s">
        <v>1484</v>
      </c>
      <c r="V33" s="41">
        <v>1604</v>
      </c>
      <c r="W33" s="33">
        <v>26</v>
      </c>
      <c r="X33" s="43" t="s">
        <v>6761</v>
      </c>
      <c r="Y33" s="44" t="s">
        <v>1634</v>
      </c>
      <c r="AA33" s="41">
        <v>1607</v>
      </c>
      <c r="AB33" s="33">
        <v>26</v>
      </c>
      <c r="AC33" s="43" t="s">
        <v>46</v>
      </c>
      <c r="AD33" s="44" t="s">
        <v>46</v>
      </c>
      <c r="AF33" s="41">
        <v>1703</v>
      </c>
      <c r="AG33" s="33">
        <v>26</v>
      </c>
      <c r="AH33" s="43" t="s">
        <v>6758</v>
      </c>
      <c r="AI33" s="44" t="s">
        <v>709</v>
      </c>
      <c r="AK33" s="41">
        <v>1706</v>
      </c>
      <c r="AL33" s="33">
        <v>26</v>
      </c>
      <c r="AM33" s="43" t="s">
        <v>6759</v>
      </c>
      <c r="AN33" s="44" t="s">
        <v>810</v>
      </c>
      <c r="AP33" s="41">
        <v>1709</v>
      </c>
      <c r="AQ33" s="33">
        <v>26</v>
      </c>
      <c r="AR33" s="43" t="s">
        <v>46</v>
      </c>
      <c r="AS33" s="44" t="s">
        <v>46</v>
      </c>
      <c r="AU33" s="67">
        <v>1801</v>
      </c>
      <c r="AV33" s="68">
        <v>26</v>
      </c>
      <c r="AW33" s="69" t="s">
        <v>6760</v>
      </c>
      <c r="AX33" s="70" t="s">
        <v>1484</v>
      </c>
      <c r="AZ33" s="67">
        <v>1804</v>
      </c>
      <c r="BA33" s="83">
        <v>26</v>
      </c>
      <c r="BB33" s="69" t="s">
        <v>6761</v>
      </c>
      <c r="BC33" s="70" t="s">
        <v>1634</v>
      </c>
      <c r="BE33" s="67">
        <v>1807</v>
      </c>
      <c r="BF33" s="83">
        <v>26</v>
      </c>
      <c r="BG33" s="69" t="s">
        <v>46</v>
      </c>
      <c r="BH33" s="70" t="s">
        <v>46</v>
      </c>
    </row>
    <row r="34" spans="1:60">
      <c r="A34" s="1"/>
      <c r="B34" s="67">
        <v>1503</v>
      </c>
      <c r="C34" s="83">
        <v>27</v>
      </c>
      <c r="D34" s="69" t="s">
        <v>6762</v>
      </c>
      <c r="E34" s="70" t="s">
        <v>2061</v>
      </c>
      <c r="G34" s="67">
        <v>1506</v>
      </c>
      <c r="H34" s="83">
        <v>27</v>
      </c>
      <c r="I34" s="69" t="s">
        <v>6763</v>
      </c>
      <c r="J34" s="70" t="s">
        <v>493</v>
      </c>
      <c r="L34" s="67">
        <v>1509</v>
      </c>
      <c r="M34" s="83">
        <v>27</v>
      </c>
      <c r="N34" s="69" t="s">
        <v>6764</v>
      </c>
      <c r="O34" s="70" t="s">
        <v>835</v>
      </c>
      <c r="Q34" s="41">
        <v>1601</v>
      </c>
      <c r="R34" s="42">
        <v>27</v>
      </c>
      <c r="S34" s="43" t="s">
        <v>6765</v>
      </c>
      <c r="T34" s="44" t="s">
        <v>241</v>
      </c>
      <c r="V34" s="41">
        <v>1604</v>
      </c>
      <c r="W34" s="33">
        <v>27</v>
      </c>
      <c r="X34" s="43" t="s">
        <v>6766</v>
      </c>
      <c r="Y34" s="44" t="s">
        <v>1519</v>
      </c>
      <c r="AA34" s="41">
        <v>1607</v>
      </c>
      <c r="AB34" s="33">
        <v>27</v>
      </c>
      <c r="AC34" s="43" t="s">
        <v>6767</v>
      </c>
      <c r="AD34" s="44" t="s">
        <v>4101</v>
      </c>
      <c r="AF34" s="41">
        <v>1703</v>
      </c>
      <c r="AG34" s="33">
        <v>27</v>
      </c>
      <c r="AH34" s="43" t="s">
        <v>6762</v>
      </c>
      <c r="AI34" s="44" t="s">
        <v>2061</v>
      </c>
      <c r="AK34" s="41">
        <v>1706</v>
      </c>
      <c r="AL34" s="33">
        <v>27</v>
      </c>
      <c r="AM34" s="43" t="s">
        <v>6763</v>
      </c>
      <c r="AN34" s="44" t="s">
        <v>493</v>
      </c>
      <c r="AP34" s="41">
        <v>1709</v>
      </c>
      <c r="AQ34" s="33">
        <v>27</v>
      </c>
      <c r="AR34" s="43" t="s">
        <v>6764</v>
      </c>
      <c r="AS34" s="44" t="s">
        <v>835</v>
      </c>
      <c r="AU34" s="67">
        <v>1801</v>
      </c>
      <c r="AV34" s="68">
        <v>27</v>
      </c>
      <c r="AW34" s="69" t="s">
        <v>6765</v>
      </c>
      <c r="AX34" s="70" t="s">
        <v>241</v>
      </c>
      <c r="AZ34" s="67">
        <v>1804</v>
      </c>
      <c r="BA34" s="83">
        <v>27</v>
      </c>
      <c r="BB34" s="69" t="s">
        <v>6766</v>
      </c>
      <c r="BC34" s="70" t="s">
        <v>1519</v>
      </c>
      <c r="BE34" s="67">
        <v>1807</v>
      </c>
      <c r="BF34" s="83">
        <v>27</v>
      </c>
      <c r="BG34" s="69" t="s">
        <v>6767</v>
      </c>
      <c r="BH34" s="70" t="s">
        <v>4101</v>
      </c>
    </row>
    <row r="35" spans="1:60">
      <c r="A35" s="1"/>
      <c r="B35" s="67">
        <v>1503</v>
      </c>
      <c r="C35" s="83">
        <v>28</v>
      </c>
      <c r="D35" s="69" t="s">
        <v>6768</v>
      </c>
      <c r="E35" s="70" t="s">
        <v>2255</v>
      </c>
      <c r="G35" s="67">
        <v>1506</v>
      </c>
      <c r="H35" s="83">
        <v>28</v>
      </c>
      <c r="I35" s="69" t="s">
        <v>6769</v>
      </c>
      <c r="J35" s="70" t="s">
        <v>1264</v>
      </c>
      <c r="L35" s="67">
        <v>1509</v>
      </c>
      <c r="M35" s="83">
        <v>28</v>
      </c>
      <c r="N35" s="69" t="s">
        <v>6770</v>
      </c>
      <c r="O35" s="70" t="s">
        <v>506</v>
      </c>
      <c r="Q35" s="41">
        <v>1601</v>
      </c>
      <c r="R35" s="42">
        <v>28</v>
      </c>
      <c r="S35" s="43" t="s">
        <v>6771</v>
      </c>
      <c r="T35" s="44" t="s">
        <v>1784</v>
      </c>
      <c r="V35" s="41">
        <v>1604</v>
      </c>
      <c r="W35" s="33">
        <v>28</v>
      </c>
      <c r="X35" s="43" t="s">
        <v>6772</v>
      </c>
      <c r="Y35" s="44" t="s">
        <v>1123</v>
      </c>
      <c r="AA35" s="41">
        <v>1607</v>
      </c>
      <c r="AB35" s="33">
        <v>28</v>
      </c>
      <c r="AC35" s="43" t="s">
        <v>6773</v>
      </c>
      <c r="AD35" s="44" t="s">
        <v>157</v>
      </c>
      <c r="AF35" s="41">
        <v>1703</v>
      </c>
      <c r="AG35" s="33">
        <v>28</v>
      </c>
      <c r="AH35" s="43" t="s">
        <v>6768</v>
      </c>
      <c r="AI35" s="44" t="s">
        <v>2255</v>
      </c>
      <c r="AK35" s="41">
        <v>1706</v>
      </c>
      <c r="AL35" s="33">
        <v>28</v>
      </c>
      <c r="AM35" s="43" t="s">
        <v>6769</v>
      </c>
      <c r="AN35" s="44" t="s">
        <v>1264</v>
      </c>
      <c r="AP35" s="41">
        <v>1709</v>
      </c>
      <c r="AQ35" s="33">
        <v>28</v>
      </c>
      <c r="AR35" s="43" t="s">
        <v>6770</v>
      </c>
      <c r="AS35" s="44" t="s">
        <v>506</v>
      </c>
      <c r="AU35" s="67">
        <v>1801</v>
      </c>
      <c r="AV35" s="68">
        <v>28</v>
      </c>
      <c r="AW35" s="69" t="s">
        <v>6771</v>
      </c>
      <c r="AX35" s="70" t="s">
        <v>1784</v>
      </c>
      <c r="AZ35" s="67">
        <v>1804</v>
      </c>
      <c r="BA35" s="83">
        <v>28</v>
      </c>
      <c r="BB35" s="69" t="s">
        <v>6772</v>
      </c>
      <c r="BC35" s="70" t="s">
        <v>1123</v>
      </c>
      <c r="BE35" s="67">
        <v>1807</v>
      </c>
      <c r="BF35" s="83">
        <v>28</v>
      </c>
      <c r="BG35" s="69" t="s">
        <v>6773</v>
      </c>
      <c r="BH35" s="70" t="s">
        <v>157</v>
      </c>
    </row>
    <row r="36" spans="1:60">
      <c r="A36" s="1"/>
      <c r="B36" s="67">
        <v>1503</v>
      </c>
      <c r="C36" s="83">
        <v>29</v>
      </c>
      <c r="D36" s="69" t="s">
        <v>6774</v>
      </c>
      <c r="E36" s="70" t="s">
        <v>2052</v>
      </c>
      <c r="G36" s="67">
        <v>1506</v>
      </c>
      <c r="H36" s="83">
        <v>29</v>
      </c>
      <c r="I36" s="69" t="s">
        <v>6775</v>
      </c>
      <c r="J36" s="70" t="s">
        <v>483</v>
      </c>
      <c r="L36" s="67">
        <v>1509</v>
      </c>
      <c r="M36" s="83">
        <v>29</v>
      </c>
      <c r="N36" s="69" t="s">
        <v>6776</v>
      </c>
      <c r="O36" s="70" t="s">
        <v>915</v>
      </c>
      <c r="Q36" s="41">
        <v>1601</v>
      </c>
      <c r="R36" s="42">
        <v>29</v>
      </c>
      <c r="S36" s="43" t="s">
        <v>6777</v>
      </c>
      <c r="T36" s="44" t="s">
        <v>251</v>
      </c>
      <c r="V36" s="41">
        <v>1604</v>
      </c>
      <c r="W36" s="33">
        <v>29</v>
      </c>
      <c r="X36" s="43" t="s">
        <v>6778</v>
      </c>
      <c r="Y36" s="44" t="s">
        <v>1529</v>
      </c>
      <c r="AA36" s="41">
        <v>1607</v>
      </c>
      <c r="AB36" s="33">
        <v>29</v>
      </c>
      <c r="AC36" s="43" t="s">
        <v>46</v>
      </c>
      <c r="AD36" s="44" t="s">
        <v>46</v>
      </c>
      <c r="AF36" s="41">
        <v>1703</v>
      </c>
      <c r="AG36" s="33">
        <v>29</v>
      </c>
      <c r="AH36" s="43" t="s">
        <v>6774</v>
      </c>
      <c r="AI36" s="44" t="s">
        <v>2052</v>
      </c>
      <c r="AK36" s="41">
        <v>1706</v>
      </c>
      <c r="AL36" s="33">
        <v>29</v>
      </c>
      <c r="AM36" s="43" t="s">
        <v>6775</v>
      </c>
      <c r="AN36" s="44" t="s">
        <v>483</v>
      </c>
      <c r="AP36" s="41">
        <v>1709</v>
      </c>
      <c r="AQ36" s="33">
        <v>29</v>
      </c>
      <c r="AR36" s="43" t="s">
        <v>6776</v>
      </c>
      <c r="AS36" s="44" t="s">
        <v>915</v>
      </c>
      <c r="AU36" s="67">
        <v>1801</v>
      </c>
      <c r="AV36" s="68">
        <v>29</v>
      </c>
      <c r="AW36" s="69" t="s">
        <v>6777</v>
      </c>
      <c r="AX36" s="70" t="s">
        <v>251</v>
      </c>
      <c r="AZ36" s="67">
        <v>1804</v>
      </c>
      <c r="BA36" s="83">
        <v>29</v>
      </c>
      <c r="BB36" s="69" t="s">
        <v>6778</v>
      </c>
      <c r="BC36" s="70" t="s">
        <v>1529</v>
      </c>
      <c r="BE36" s="67">
        <v>1807</v>
      </c>
      <c r="BF36" s="83">
        <v>29</v>
      </c>
      <c r="BG36" s="69" t="s">
        <v>46</v>
      </c>
      <c r="BH36" s="70" t="s">
        <v>46</v>
      </c>
    </row>
    <row r="37" spans="1:60">
      <c r="A37" s="1"/>
      <c r="B37" s="67">
        <v>1503</v>
      </c>
      <c r="C37" s="83">
        <v>30</v>
      </c>
      <c r="D37" s="69" t="s">
        <v>6779</v>
      </c>
      <c r="E37" s="70" t="s">
        <v>2245</v>
      </c>
      <c r="G37" s="67">
        <v>1506</v>
      </c>
      <c r="H37" s="83">
        <v>30</v>
      </c>
      <c r="I37" s="69" t="s">
        <v>6780</v>
      </c>
      <c r="J37" s="70" t="s">
        <v>1209</v>
      </c>
      <c r="L37" s="67">
        <v>1509</v>
      </c>
      <c r="M37" s="83">
        <v>30</v>
      </c>
      <c r="N37" s="69" t="s">
        <v>6781</v>
      </c>
      <c r="O37" s="70" t="s">
        <v>515</v>
      </c>
      <c r="Q37" s="41">
        <v>1601</v>
      </c>
      <c r="R37" s="42">
        <v>30</v>
      </c>
      <c r="S37" s="43" t="s">
        <v>6782</v>
      </c>
      <c r="T37" s="44" t="s">
        <v>1804</v>
      </c>
      <c r="V37" s="41">
        <v>1604</v>
      </c>
      <c r="W37" s="33">
        <v>30</v>
      </c>
      <c r="X37" s="43" t="s">
        <v>6783</v>
      </c>
      <c r="Y37" s="44" t="s">
        <v>1729</v>
      </c>
      <c r="AA37" s="41">
        <v>1607</v>
      </c>
      <c r="AB37" s="33">
        <v>30</v>
      </c>
      <c r="AC37" s="43" t="s">
        <v>6784</v>
      </c>
      <c r="AD37" s="44" t="s">
        <v>78</v>
      </c>
      <c r="AF37" s="41">
        <v>1703</v>
      </c>
      <c r="AG37" s="33">
        <v>30</v>
      </c>
      <c r="AH37" s="43" t="s">
        <v>6779</v>
      </c>
      <c r="AI37" s="44" t="s">
        <v>2245</v>
      </c>
      <c r="AK37" s="41">
        <v>1706</v>
      </c>
      <c r="AL37" s="33">
        <v>30</v>
      </c>
      <c r="AM37" s="43" t="s">
        <v>6780</v>
      </c>
      <c r="AN37" s="44" t="s">
        <v>1209</v>
      </c>
      <c r="AP37" s="41">
        <v>1709</v>
      </c>
      <c r="AQ37" s="33">
        <v>30</v>
      </c>
      <c r="AR37" s="43" t="s">
        <v>6781</v>
      </c>
      <c r="AS37" s="44" t="s">
        <v>515</v>
      </c>
      <c r="AU37" s="67">
        <v>1801</v>
      </c>
      <c r="AV37" s="68">
        <v>30</v>
      </c>
      <c r="AW37" s="69" t="s">
        <v>6782</v>
      </c>
      <c r="AX37" s="70" t="s">
        <v>1804</v>
      </c>
      <c r="AZ37" s="67">
        <v>1804</v>
      </c>
      <c r="BA37" s="83">
        <v>30</v>
      </c>
      <c r="BB37" s="69" t="s">
        <v>6783</v>
      </c>
      <c r="BC37" s="70" t="s">
        <v>1729</v>
      </c>
      <c r="BE37" s="67">
        <v>1807</v>
      </c>
      <c r="BF37" s="83">
        <v>30</v>
      </c>
      <c r="BG37" s="69" t="s">
        <v>6784</v>
      </c>
      <c r="BH37" s="70" t="s">
        <v>78</v>
      </c>
    </row>
    <row r="38" spans="1:60">
      <c r="A38" s="1"/>
      <c r="B38" s="67">
        <v>1503</v>
      </c>
      <c r="C38" s="83">
        <v>31</v>
      </c>
      <c r="D38" s="69" t="s">
        <v>6785</v>
      </c>
      <c r="E38" s="70" t="s">
        <v>1394</v>
      </c>
      <c r="G38" s="67">
        <v>1506</v>
      </c>
      <c r="H38" s="83">
        <v>31</v>
      </c>
      <c r="I38" s="69" t="s">
        <v>6786</v>
      </c>
      <c r="J38" s="70" t="s">
        <v>528</v>
      </c>
      <c r="L38" s="67">
        <v>1509</v>
      </c>
      <c r="M38" s="83">
        <v>31</v>
      </c>
      <c r="N38" s="69" t="s">
        <v>6787</v>
      </c>
      <c r="O38" s="70" t="s">
        <v>805</v>
      </c>
      <c r="Q38" s="41">
        <v>1601</v>
      </c>
      <c r="R38" s="42">
        <v>31</v>
      </c>
      <c r="S38" s="43" t="s">
        <v>6788</v>
      </c>
      <c r="T38" s="44" t="s">
        <v>1174</v>
      </c>
      <c r="V38" s="41">
        <v>1604</v>
      </c>
      <c r="W38" s="33">
        <v>31</v>
      </c>
      <c r="X38" s="43" t="s">
        <v>6789</v>
      </c>
      <c r="Y38" s="44" t="s">
        <v>3153</v>
      </c>
      <c r="AA38" s="41">
        <v>1607</v>
      </c>
      <c r="AB38" s="33">
        <v>31</v>
      </c>
      <c r="AC38" s="43" t="s">
        <v>46</v>
      </c>
      <c r="AD38" s="44" t="s">
        <v>46</v>
      </c>
      <c r="AF38" s="41">
        <v>1703</v>
      </c>
      <c r="AG38" s="33">
        <v>31</v>
      </c>
      <c r="AH38" s="43" t="s">
        <v>6785</v>
      </c>
      <c r="AI38" s="44" t="s">
        <v>1394</v>
      </c>
      <c r="AK38" s="41">
        <v>1706</v>
      </c>
      <c r="AL38" s="33">
        <v>31</v>
      </c>
      <c r="AM38" s="43" t="s">
        <v>6786</v>
      </c>
      <c r="AN38" s="44" t="s">
        <v>528</v>
      </c>
      <c r="AP38" s="41">
        <v>1709</v>
      </c>
      <c r="AQ38" s="33">
        <v>31</v>
      </c>
      <c r="AR38" s="43" t="s">
        <v>6787</v>
      </c>
      <c r="AS38" s="44" t="s">
        <v>805</v>
      </c>
      <c r="AU38" s="67">
        <v>1801</v>
      </c>
      <c r="AV38" s="68">
        <v>31</v>
      </c>
      <c r="AW38" s="69" t="s">
        <v>6788</v>
      </c>
      <c r="AX38" s="70" t="s">
        <v>1174</v>
      </c>
      <c r="AZ38" s="67">
        <v>1804</v>
      </c>
      <c r="BA38" s="83">
        <v>31</v>
      </c>
      <c r="BB38" s="69" t="s">
        <v>6789</v>
      </c>
      <c r="BC38" s="70" t="s">
        <v>3153</v>
      </c>
      <c r="BE38" s="67">
        <v>1807</v>
      </c>
      <c r="BF38" s="83">
        <v>31</v>
      </c>
      <c r="BG38" s="69" t="s">
        <v>46</v>
      </c>
      <c r="BH38" s="70" t="s">
        <v>46</v>
      </c>
    </row>
    <row r="39" spans="1:60" ht="15" thickBot="1">
      <c r="A39" s="1"/>
      <c r="B39" s="78">
        <v>1503</v>
      </c>
      <c r="C39" s="86">
        <v>32</v>
      </c>
      <c r="D39" s="80" t="s">
        <v>6790</v>
      </c>
      <c r="E39" s="74" t="s">
        <v>1479</v>
      </c>
      <c r="G39" s="78">
        <v>1506</v>
      </c>
      <c r="H39" s="86">
        <v>32</v>
      </c>
      <c r="I39" s="80" t="s">
        <v>46</v>
      </c>
      <c r="J39" s="74" t="s">
        <v>46</v>
      </c>
      <c r="L39" s="78">
        <v>1509</v>
      </c>
      <c r="M39" s="86">
        <v>32</v>
      </c>
      <c r="N39" s="80" t="s">
        <v>6791</v>
      </c>
      <c r="O39" s="74" t="s">
        <v>5802</v>
      </c>
      <c r="Q39" s="52">
        <v>1601</v>
      </c>
      <c r="R39" s="53">
        <v>32</v>
      </c>
      <c r="S39" s="54" t="s">
        <v>46</v>
      </c>
      <c r="T39" s="48" t="s">
        <v>46</v>
      </c>
      <c r="V39" s="52">
        <v>1604</v>
      </c>
      <c r="W39" s="59">
        <v>32</v>
      </c>
      <c r="X39" s="54" t="s">
        <v>6792</v>
      </c>
      <c r="Y39" s="48" t="s">
        <v>1133</v>
      </c>
      <c r="AA39" s="52">
        <v>1607</v>
      </c>
      <c r="AB39" s="59">
        <v>32</v>
      </c>
      <c r="AC39" s="54" t="s">
        <v>46</v>
      </c>
      <c r="AD39" s="48" t="s">
        <v>46</v>
      </c>
      <c r="AF39" s="52">
        <v>1703</v>
      </c>
      <c r="AG39" s="59">
        <v>32</v>
      </c>
      <c r="AH39" s="54" t="s">
        <v>6790</v>
      </c>
      <c r="AI39" s="48" t="s">
        <v>1479</v>
      </c>
      <c r="AK39" s="52">
        <v>1706</v>
      </c>
      <c r="AL39" s="59">
        <v>32</v>
      </c>
      <c r="AM39" s="54" t="s">
        <v>46</v>
      </c>
      <c r="AN39" s="48" t="s">
        <v>46</v>
      </c>
      <c r="AP39" s="52">
        <v>1709</v>
      </c>
      <c r="AQ39" s="59">
        <v>32</v>
      </c>
      <c r="AR39" s="54" t="s">
        <v>6791</v>
      </c>
      <c r="AS39" s="48" t="s">
        <v>2829</v>
      </c>
      <c r="AU39" s="78">
        <v>1801</v>
      </c>
      <c r="AV39" s="79">
        <v>32</v>
      </c>
      <c r="AW39" s="80" t="s">
        <v>46</v>
      </c>
      <c r="AX39" s="74" t="s">
        <v>46</v>
      </c>
      <c r="AZ39" s="78">
        <v>1804</v>
      </c>
      <c r="BA39" s="86">
        <v>32</v>
      </c>
      <c r="BB39" s="80" t="s">
        <v>6792</v>
      </c>
      <c r="BC39" s="74" t="s">
        <v>1133</v>
      </c>
      <c r="BE39" s="78">
        <v>1807</v>
      </c>
      <c r="BF39" s="86">
        <v>32</v>
      </c>
      <c r="BG39" s="80" t="s">
        <v>46</v>
      </c>
      <c r="BH39" s="74" t="s">
        <v>46</v>
      </c>
    </row>
    <row r="40" spans="1:60">
      <c r="A40" s="1"/>
      <c r="B40" s="63">
        <v>1503</v>
      </c>
      <c r="C40" s="82">
        <v>33</v>
      </c>
      <c r="D40" s="81" t="s">
        <v>46</v>
      </c>
      <c r="E40" s="66" t="s">
        <v>46</v>
      </c>
      <c r="G40" s="63">
        <v>1506</v>
      </c>
      <c r="H40" s="82">
        <v>33</v>
      </c>
      <c r="I40" s="81" t="s">
        <v>6793</v>
      </c>
      <c r="J40" s="66" t="s">
        <v>537</v>
      </c>
      <c r="L40" s="63">
        <v>1509</v>
      </c>
      <c r="M40" s="82">
        <v>33</v>
      </c>
      <c r="N40" s="81" t="s">
        <v>46</v>
      </c>
      <c r="O40" s="66" t="s">
        <v>46</v>
      </c>
      <c r="Q40" s="37">
        <v>1601</v>
      </c>
      <c r="R40" s="38">
        <v>33</v>
      </c>
      <c r="S40" s="55" t="s">
        <v>6794</v>
      </c>
      <c r="T40" s="40" t="s">
        <v>1219</v>
      </c>
      <c r="V40" s="37">
        <v>1604</v>
      </c>
      <c r="W40" s="56">
        <v>33</v>
      </c>
      <c r="X40" s="55" t="s">
        <v>6795</v>
      </c>
      <c r="Y40" s="40" t="s">
        <v>3143</v>
      </c>
      <c r="AA40" s="37">
        <v>1607</v>
      </c>
      <c r="AB40" s="56">
        <v>33</v>
      </c>
      <c r="AC40" s="55" t="s">
        <v>46</v>
      </c>
      <c r="AD40" s="40" t="s">
        <v>46</v>
      </c>
      <c r="AF40" s="37">
        <v>1703</v>
      </c>
      <c r="AG40" s="56">
        <v>33</v>
      </c>
      <c r="AH40" s="55" t="s">
        <v>46</v>
      </c>
      <c r="AI40" s="40" t="s">
        <v>46</v>
      </c>
      <c r="AK40" s="37">
        <v>1706</v>
      </c>
      <c r="AL40" s="56">
        <v>33</v>
      </c>
      <c r="AM40" s="55" t="s">
        <v>6793</v>
      </c>
      <c r="AN40" s="40" t="s">
        <v>537</v>
      </c>
      <c r="AP40" s="37">
        <v>1709</v>
      </c>
      <c r="AQ40" s="56">
        <v>33</v>
      </c>
      <c r="AR40" s="55" t="s">
        <v>46</v>
      </c>
      <c r="AS40" s="40" t="s">
        <v>46</v>
      </c>
      <c r="AU40" s="63">
        <v>1801</v>
      </c>
      <c r="AV40" s="64">
        <v>33</v>
      </c>
      <c r="AW40" s="81" t="s">
        <v>6794</v>
      </c>
      <c r="AX40" s="66" t="s">
        <v>1219</v>
      </c>
      <c r="AZ40" s="63">
        <v>1804</v>
      </c>
      <c r="BA40" s="82">
        <v>33</v>
      </c>
      <c r="BB40" s="81" t="s">
        <v>6795</v>
      </c>
      <c r="BC40" s="66" t="s">
        <v>3143</v>
      </c>
      <c r="BE40" s="63">
        <v>1807</v>
      </c>
      <c r="BF40" s="82">
        <v>33</v>
      </c>
      <c r="BG40" s="81" t="s">
        <v>46</v>
      </c>
      <c r="BH40" s="66" t="s">
        <v>46</v>
      </c>
    </row>
    <row r="41" spans="1:60">
      <c r="A41" s="1"/>
      <c r="B41" s="67">
        <v>1503</v>
      </c>
      <c r="C41" s="83">
        <v>34</v>
      </c>
      <c r="D41" s="69" t="s">
        <v>46</v>
      </c>
      <c r="E41" s="70" t="s">
        <v>46</v>
      </c>
      <c r="G41" s="67">
        <v>1506</v>
      </c>
      <c r="H41" s="83">
        <v>34</v>
      </c>
      <c r="I41" s="69" t="s">
        <v>6796</v>
      </c>
      <c r="J41" s="70" t="s">
        <v>3415</v>
      </c>
      <c r="L41" s="67">
        <v>1509</v>
      </c>
      <c r="M41" s="83">
        <v>34</v>
      </c>
      <c r="N41" s="69" t="s">
        <v>6797</v>
      </c>
      <c r="O41" s="70" t="s">
        <v>795</v>
      </c>
      <c r="Q41" s="41">
        <v>1601</v>
      </c>
      <c r="R41" s="42">
        <v>34</v>
      </c>
      <c r="S41" s="43" t="s">
        <v>6798</v>
      </c>
      <c r="T41" s="44" t="s">
        <v>1414</v>
      </c>
      <c r="V41" s="41">
        <v>1604</v>
      </c>
      <c r="W41" s="33">
        <v>34</v>
      </c>
      <c r="X41" s="43" t="s">
        <v>6799</v>
      </c>
      <c r="Y41" s="44" t="s">
        <v>2291</v>
      </c>
      <c r="AA41" s="41">
        <v>1607</v>
      </c>
      <c r="AB41" s="33">
        <v>34</v>
      </c>
      <c r="AC41" s="43" t="s">
        <v>46</v>
      </c>
      <c r="AD41" s="44" t="s">
        <v>46</v>
      </c>
      <c r="AF41" s="41">
        <v>1703</v>
      </c>
      <c r="AG41" s="33">
        <v>34</v>
      </c>
      <c r="AH41" s="43" t="s">
        <v>46</v>
      </c>
      <c r="AI41" s="44" t="s">
        <v>46</v>
      </c>
      <c r="AK41" s="41">
        <v>1706</v>
      </c>
      <c r="AL41" s="33">
        <v>34</v>
      </c>
      <c r="AM41" s="43" t="s">
        <v>6796</v>
      </c>
      <c r="AN41" s="44" t="s">
        <v>3415</v>
      </c>
      <c r="AP41" s="41">
        <v>1709</v>
      </c>
      <c r="AQ41" s="33">
        <v>34</v>
      </c>
      <c r="AR41" s="43" t="s">
        <v>6797</v>
      </c>
      <c r="AS41" s="44" t="s">
        <v>795</v>
      </c>
      <c r="AU41" s="67">
        <v>1801</v>
      </c>
      <c r="AV41" s="68">
        <v>34</v>
      </c>
      <c r="AW41" s="69" t="s">
        <v>6798</v>
      </c>
      <c r="AX41" s="70" t="s">
        <v>1414</v>
      </c>
      <c r="AZ41" s="67">
        <v>1804</v>
      </c>
      <c r="BA41" s="83">
        <v>34</v>
      </c>
      <c r="BB41" s="69" t="s">
        <v>6799</v>
      </c>
      <c r="BC41" s="70" t="s">
        <v>2291</v>
      </c>
      <c r="BE41" s="67">
        <v>1807</v>
      </c>
      <c r="BF41" s="83">
        <v>34</v>
      </c>
      <c r="BG41" s="69" t="s">
        <v>46</v>
      </c>
      <c r="BH41" s="70" t="s">
        <v>46</v>
      </c>
    </row>
    <row r="42" spans="1:60">
      <c r="A42" s="1"/>
      <c r="B42" s="67">
        <v>1503</v>
      </c>
      <c r="C42" s="83">
        <v>35</v>
      </c>
      <c r="D42" s="69" t="s">
        <v>6800</v>
      </c>
      <c r="E42" s="70" t="s">
        <v>1404</v>
      </c>
      <c r="G42" s="67">
        <v>1506</v>
      </c>
      <c r="H42" s="83">
        <v>35</v>
      </c>
      <c r="I42" s="69" t="s">
        <v>6801</v>
      </c>
      <c r="J42" s="70" t="s">
        <v>1384</v>
      </c>
      <c r="L42" s="67">
        <v>1509</v>
      </c>
      <c r="M42" s="83">
        <v>35</v>
      </c>
      <c r="N42" s="69" t="s">
        <v>6802</v>
      </c>
      <c r="O42" s="70" t="s">
        <v>559</v>
      </c>
      <c r="Q42" s="41">
        <v>1601</v>
      </c>
      <c r="R42" s="42">
        <v>35</v>
      </c>
      <c r="S42" s="43" t="s">
        <v>6803</v>
      </c>
      <c r="T42" s="44" t="s">
        <v>1189</v>
      </c>
      <c r="V42" s="41">
        <v>1604</v>
      </c>
      <c r="W42" s="33">
        <v>35</v>
      </c>
      <c r="X42" s="43" t="s">
        <v>46</v>
      </c>
      <c r="Y42" s="44" t="s">
        <v>46</v>
      </c>
      <c r="AA42" s="41">
        <v>1607</v>
      </c>
      <c r="AB42" s="33">
        <v>35</v>
      </c>
      <c r="AC42" s="43" t="s">
        <v>46</v>
      </c>
      <c r="AD42" s="44" t="s">
        <v>46</v>
      </c>
      <c r="AF42" s="41">
        <v>1703</v>
      </c>
      <c r="AG42" s="33">
        <v>35</v>
      </c>
      <c r="AH42" s="43" t="s">
        <v>6800</v>
      </c>
      <c r="AI42" s="44" t="s">
        <v>1404</v>
      </c>
      <c r="AK42" s="41">
        <v>1706</v>
      </c>
      <c r="AL42" s="33">
        <v>35</v>
      </c>
      <c r="AM42" s="43" t="s">
        <v>6801</v>
      </c>
      <c r="AN42" s="44" t="s">
        <v>1384</v>
      </c>
      <c r="AP42" s="41">
        <v>1709</v>
      </c>
      <c r="AQ42" s="33">
        <v>35</v>
      </c>
      <c r="AR42" s="43" t="s">
        <v>6802</v>
      </c>
      <c r="AS42" s="44" t="s">
        <v>559</v>
      </c>
      <c r="AU42" s="67">
        <v>1801</v>
      </c>
      <c r="AV42" s="68">
        <v>35</v>
      </c>
      <c r="AW42" s="69" t="s">
        <v>6803</v>
      </c>
      <c r="AX42" s="70" t="s">
        <v>1189</v>
      </c>
      <c r="AZ42" s="67">
        <v>1804</v>
      </c>
      <c r="BA42" s="83">
        <v>35</v>
      </c>
      <c r="BB42" s="69" t="s">
        <v>46</v>
      </c>
      <c r="BC42" s="70" t="s">
        <v>46</v>
      </c>
      <c r="BE42" s="67">
        <v>1807</v>
      </c>
      <c r="BF42" s="83">
        <v>35</v>
      </c>
      <c r="BG42" s="69" t="s">
        <v>46</v>
      </c>
      <c r="BH42" s="70" t="s">
        <v>46</v>
      </c>
    </row>
    <row r="43" spans="1:60">
      <c r="A43" s="1"/>
      <c r="B43" s="67">
        <v>1503</v>
      </c>
      <c r="C43" s="83">
        <v>36</v>
      </c>
      <c r="D43" s="69" t="s">
        <v>6804</v>
      </c>
      <c r="E43" s="70" t="s">
        <v>2502</v>
      </c>
      <c r="G43" s="67">
        <v>1506</v>
      </c>
      <c r="H43" s="83">
        <v>36</v>
      </c>
      <c r="I43" s="69" t="s">
        <v>6805</v>
      </c>
      <c r="J43" s="70" t="s">
        <v>3406</v>
      </c>
      <c r="L43" s="67">
        <v>1509</v>
      </c>
      <c r="M43" s="83">
        <v>36</v>
      </c>
      <c r="N43" s="69" t="s">
        <v>6806</v>
      </c>
      <c r="O43" s="70" t="s">
        <v>392</v>
      </c>
      <c r="Q43" s="41">
        <v>1601</v>
      </c>
      <c r="R43" s="42">
        <v>36</v>
      </c>
      <c r="S43" s="43" t="s">
        <v>46</v>
      </c>
      <c r="T43" s="44" t="s">
        <v>46</v>
      </c>
      <c r="V43" s="41">
        <v>1604</v>
      </c>
      <c r="W43" s="33">
        <v>36</v>
      </c>
      <c r="X43" s="43" t="s">
        <v>6807</v>
      </c>
      <c r="Y43" s="44" t="s">
        <v>2281</v>
      </c>
      <c r="AA43" s="41">
        <v>1607</v>
      </c>
      <c r="AB43" s="33">
        <v>36</v>
      </c>
      <c r="AC43" s="43" t="s">
        <v>46</v>
      </c>
      <c r="AD43" s="44" t="s">
        <v>46</v>
      </c>
      <c r="AF43" s="41">
        <v>1703</v>
      </c>
      <c r="AG43" s="33">
        <v>36</v>
      </c>
      <c r="AH43" s="43" t="s">
        <v>6804</v>
      </c>
      <c r="AI43" s="44" t="s">
        <v>2502</v>
      </c>
      <c r="AK43" s="41">
        <v>1706</v>
      </c>
      <c r="AL43" s="33">
        <v>36</v>
      </c>
      <c r="AM43" s="43" t="s">
        <v>6805</v>
      </c>
      <c r="AN43" s="44" t="s">
        <v>3406</v>
      </c>
      <c r="AP43" s="41">
        <v>1709</v>
      </c>
      <c r="AQ43" s="33">
        <v>36</v>
      </c>
      <c r="AR43" s="43" t="s">
        <v>6806</v>
      </c>
      <c r="AS43" s="44" t="s">
        <v>392</v>
      </c>
      <c r="AU43" s="67">
        <v>1801</v>
      </c>
      <c r="AV43" s="68">
        <v>36</v>
      </c>
      <c r="AW43" s="69" t="s">
        <v>46</v>
      </c>
      <c r="AX43" s="70" t="s">
        <v>46</v>
      </c>
      <c r="AZ43" s="67">
        <v>1804</v>
      </c>
      <c r="BA43" s="83">
        <v>36</v>
      </c>
      <c r="BB43" s="69" t="s">
        <v>6807</v>
      </c>
      <c r="BC43" s="70" t="s">
        <v>2281</v>
      </c>
      <c r="BE43" s="67">
        <v>1807</v>
      </c>
      <c r="BF43" s="83">
        <v>36</v>
      </c>
      <c r="BG43" s="69" t="s">
        <v>46</v>
      </c>
      <c r="BH43" s="70" t="s">
        <v>46</v>
      </c>
    </row>
    <row r="44" spans="1:60">
      <c r="A44" s="1"/>
      <c r="B44" s="67">
        <v>1503</v>
      </c>
      <c r="C44" s="83">
        <v>37</v>
      </c>
      <c r="D44" s="69" t="s">
        <v>6808</v>
      </c>
      <c r="E44" s="70" t="s">
        <v>1314</v>
      </c>
      <c r="G44" s="67">
        <v>1506</v>
      </c>
      <c r="H44" s="83">
        <v>37</v>
      </c>
      <c r="I44" s="69" t="s">
        <v>46</v>
      </c>
      <c r="J44" s="70" t="s">
        <v>46</v>
      </c>
      <c r="L44" s="67">
        <v>1509</v>
      </c>
      <c r="M44" s="83">
        <v>37</v>
      </c>
      <c r="N44" s="69" t="s">
        <v>6809</v>
      </c>
      <c r="O44" s="70" t="s">
        <v>550</v>
      </c>
      <c r="Q44" s="41">
        <v>1601</v>
      </c>
      <c r="R44" s="42">
        <v>37</v>
      </c>
      <c r="S44" s="43" t="s">
        <v>46</v>
      </c>
      <c r="T44" s="44" t="s">
        <v>46</v>
      </c>
      <c r="V44" s="41">
        <v>1604</v>
      </c>
      <c r="W44" s="33">
        <v>37</v>
      </c>
      <c r="X44" s="43" t="s">
        <v>46</v>
      </c>
      <c r="Y44" s="44" t="s">
        <v>46</v>
      </c>
      <c r="AA44" s="41">
        <v>1607</v>
      </c>
      <c r="AB44" s="33">
        <v>37</v>
      </c>
      <c r="AC44" s="43" t="s">
        <v>46</v>
      </c>
      <c r="AD44" s="44" t="s">
        <v>46</v>
      </c>
      <c r="AF44" s="41">
        <v>1703</v>
      </c>
      <c r="AG44" s="33">
        <v>37</v>
      </c>
      <c r="AH44" s="43" t="s">
        <v>6808</v>
      </c>
      <c r="AI44" s="44" t="s">
        <v>1314</v>
      </c>
      <c r="AK44" s="41">
        <v>1706</v>
      </c>
      <c r="AL44" s="33">
        <v>37</v>
      </c>
      <c r="AM44" s="43" t="s">
        <v>46</v>
      </c>
      <c r="AN44" s="44" t="s">
        <v>46</v>
      </c>
      <c r="AP44" s="41">
        <v>1709</v>
      </c>
      <c r="AQ44" s="33">
        <v>37</v>
      </c>
      <c r="AR44" s="43" t="s">
        <v>6809</v>
      </c>
      <c r="AS44" s="44" t="s">
        <v>550</v>
      </c>
      <c r="AU44" s="67">
        <v>1801</v>
      </c>
      <c r="AV44" s="68">
        <v>37</v>
      </c>
      <c r="AW44" s="69" t="s">
        <v>46</v>
      </c>
      <c r="AX44" s="70" t="s">
        <v>46</v>
      </c>
      <c r="AZ44" s="67">
        <v>1804</v>
      </c>
      <c r="BA44" s="83">
        <v>37</v>
      </c>
      <c r="BB44" s="69" t="s">
        <v>46</v>
      </c>
      <c r="BC44" s="70" t="s">
        <v>46</v>
      </c>
      <c r="BE44" s="67">
        <v>1807</v>
      </c>
      <c r="BF44" s="83">
        <v>37</v>
      </c>
      <c r="BG44" s="69" t="s">
        <v>46</v>
      </c>
      <c r="BH44" s="70" t="s">
        <v>46</v>
      </c>
    </row>
    <row r="45" spans="1:60">
      <c r="A45" s="1"/>
      <c r="B45" s="67">
        <v>1503</v>
      </c>
      <c r="C45" s="83">
        <v>38</v>
      </c>
      <c r="D45" s="69" t="s">
        <v>6810</v>
      </c>
      <c r="E45" s="70" t="s">
        <v>2492</v>
      </c>
      <c r="G45" s="67">
        <v>1506</v>
      </c>
      <c r="H45" s="83">
        <v>38</v>
      </c>
      <c r="I45" s="69" t="s">
        <v>6811</v>
      </c>
      <c r="J45" s="70" t="s">
        <v>3638</v>
      </c>
      <c r="L45" s="67">
        <v>1509</v>
      </c>
      <c r="M45" s="83">
        <v>38</v>
      </c>
      <c r="N45" s="69" t="s">
        <v>6812</v>
      </c>
      <c r="O45" s="70" t="s">
        <v>2788</v>
      </c>
      <c r="Q45" s="41">
        <v>1601</v>
      </c>
      <c r="R45" s="42">
        <v>38</v>
      </c>
      <c r="S45" s="43" t="s">
        <v>46</v>
      </c>
      <c r="T45" s="44" t="s">
        <v>46</v>
      </c>
      <c r="V45" s="41">
        <v>1604</v>
      </c>
      <c r="W45" s="33">
        <v>38</v>
      </c>
      <c r="X45" s="43" t="s">
        <v>46</v>
      </c>
      <c r="Y45" s="44" t="s">
        <v>46</v>
      </c>
      <c r="AA45" s="41">
        <v>1607</v>
      </c>
      <c r="AB45" s="33">
        <v>38</v>
      </c>
      <c r="AC45" s="43" t="s">
        <v>6813</v>
      </c>
      <c r="AD45" s="44" t="s">
        <v>1869</v>
      </c>
      <c r="AF45" s="41">
        <v>1703</v>
      </c>
      <c r="AG45" s="33">
        <v>38</v>
      </c>
      <c r="AH45" s="43" t="s">
        <v>6810</v>
      </c>
      <c r="AI45" s="44" t="s">
        <v>2492</v>
      </c>
      <c r="AK45" s="41">
        <v>1706</v>
      </c>
      <c r="AL45" s="33">
        <v>38</v>
      </c>
      <c r="AM45" s="43" t="s">
        <v>6811</v>
      </c>
      <c r="AN45" s="44" t="s">
        <v>3638</v>
      </c>
      <c r="AP45" s="41">
        <v>1709</v>
      </c>
      <c r="AQ45" s="33">
        <v>38</v>
      </c>
      <c r="AR45" s="43" t="s">
        <v>6812</v>
      </c>
      <c r="AS45" s="44" t="s">
        <v>2788</v>
      </c>
      <c r="AU45" s="67">
        <v>1801</v>
      </c>
      <c r="AV45" s="68">
        <v>38</v>
      </c>
      <c r="AW45" s="69" t="s">
        <v>46</v>
      </c>
      <c r="AX45" s="70" t="s">
        <v>46</v>
      </c>
      <c r="AZ45" s="67">
        <v>1804</v>
      </c>
      <c r="BA45" s="83">
        <v>38</v>
      </c>
      <c r="BB45" s="69" t="s">
        <v>46</v>
      </c>
      <c r="BC45" s="70" t="s">
        <v>46</v>
      </c>
      <c r="BE45" s="67">
        <v>1807</v>
      </c>
      <c r="BF45" s="83">
        <v>38</v>
      </c>
      <c r="BG45" s="69" t="s">
        <v>6813</v>
      </c>
      <c r="BH45" s="70" t="s">
        <v>1869</v>
      </c>
    </row>
    <row r="46" spans="1:60">
      <c r="A46" s="1"/>
      <c r="B46" s="67">
        <v>1503</v>
      </c>
      <c r="C46" s="83">
        <v>39</v>
      </c>
      <c r="D46" s="69" t="s">
        <v>46</v>
      </c>
      <c r="E46" s="70" t="s">
        <v>46</v>
      </c>
      <c r="G46" s="67">
        <v>1506</v>
      </c>
      <c r="H46" s="83">
        <v>39</v>
      </c>
      <c r="I46" s="69" t="s">
        <v>46</v>
      </c>
      <c r="J46" s="70" t="s">
        <v>46</v>
      </c>
      <c r="L46" s="67">
        <v>1509</v>
      </c>
      <c r="M46" s="83">
        <v>39</v>
      </c>
      <c r="N46" s="69" t="s">
        <v>46</v>
      </c>
      <c r="O46" s="70" t="s">
        <v>46</v>
      </c>
      <c r="Q46" s="41">
        <v>1601</v>
      </c>
      <c r="R46" s="42">
        <v>39</v>
      </c>
      <c r="S46" s="43" t="s">
        <v>6814</v>
      </c>
      <c r="T46" s="44" t="s">
        <v>1008</v>
      </c>
      <c r="V46" s="41">
        <v>1604</v>
      </c>
      <c r="W46" s="33">
        <v>39</v>
      </c>
      <c r="X46" s="43" t="s">
        <v>6815</v>
      </c>
      <c r="Y46" s="44" t="s">
        <v>1504</v>
      </c>
      <c r="AA46" s="41">
        <v>1607</v>
      </c>
      <c r="AB46" s="33">
        <v>39</v>
      </c>
      <c r="AC46" s="43" t="s">
        <v>46</v>
      </c>
      <c r="AD46" s="44" t="s">
        <v>46</v>
      </c>
      <c r="AF46" s="41">
        <v>1703</v>
      </c>
      <c r="AG46" s="33">
        <v>39</v>
      </c>
      <c r="AH46" s="43" t="s">
        <v>46</v>
      </c>
      <c r="AI46" s="44" t="s">
        <v>46</v>
      </c>
      <c r="AK46" s="41">
        <v>1706</v>
      </c>
      <c r="AL46" s="33">
        <v>39</v>
      </c>
      <c r="AM46" s="43" t="s">
        <v>46</v>
      </c>
      <c r="AN46" s="44" t="s">
        <v>46</v>
      </c>
      <c r="AP46" s="41">
        <v>1709</v>
      </c>
      <c r="AQ46" s="33">
        <v>39</v>
      </c>
      <c r="AR46" s="43" t="s">
        <v>46</v>
      </c>
      <c r="AS46" s="44" t="s">
        <v>46</v>
      </c>
      <c r="AU46" s="67">
        <v>1801</v>
      </c>
      <c r="AV46" s="68">
        <v>39</v>
      </c>
      <c r="AW46" s="69" t="s">
        <v>6814</v>
      </c>
      <c r="AX46" s="70" t="s">
        <v>1008</v>
      </c>
      <c r="AZ46" s="67">
        <v>1804</v>
      </c>
      <c r="BA46" s="83">
        <v>39</v>
      </c>
      <c r="BB46" s="69" t="s">
        <v>6815</v>
      </c>
      <c r="BC46" s="70" t="s">
        <v>1504</v>
      </c>
      <c r="BE46" s="67">
        <v>1807</v>
      </c>
      <c r="BF46" s="83">
        <v>39</v>
      </c>
      <c r="BG46" s="69" t="s">
        <v>46</v>
      </c>
      <c r="BH46" s="70" t="s">
        <v>46</v>
      </c>
    </row>
    <row r="47" spans="1:60">
      <c r="A47" s="1"/>
      <c r="B47" s="67">
        <v>1503</v>
      </c>
      <c r="C47" s="83">
        <v>40</v>
      </c>
      <c r="D47" s="69" t="s">
        <v>46</v>
      </c>
      <c r="E47" s="70" t="s">
        <v>46</v>
      </c>
      <c r="G47" s="67">
        <v>1506</v>
      </c>
      <c r="H47" s="83">
        <v>40</v>
      </c>
      <c r="I47" s="69" t="s">
        <v>46</v>
      </c>
      <c r="J47" s="70" t="s">
        <v>46</v>
      </c>
      <c r="L47" s="67">
        <v>1509</v>
      </c>
      <c r="M47" s="83">
        <v>40</v>
      </c>
      <c r="N47" s="69" t="s">
        <v>46</v>
      </c>
      <c r="O47" s="70" t="s">
        <v>46</v>
      </c>
      <c r="Q47" s="41">
        <v>1601</v>
      </c>
      <c r="R47" s="42">
        <v>40</v>
      </c>
      <c r="S47" s="43" t="s">
        <v>6816</v>
      </c>
      <c r="T47" s="44" t="s">
        <v>2925</v>
      </c>
      <c r="V47" s="41">
        <v>1604</v>
      </c>
      <c r="W47" s="33">
        <v>40</v>
      </c>
      <c r="X47" s="43" t="s">
        <v>6817</v>
      </c>
      <c r="Y47" s="44" t="s">
        <v>1158</v>
      </c>
      <c r="AA47" s="41">
        <v>1607</v>
      </c>
      <c r="AB47" s="33">
        <v>40</v>
      </c>
      <c r="AC47" s="43" t="s">
        <v>6818</v>
      </c>
      <c r="AD47" s="44" t="s">
        <v>2770</v>
      </c>
      <c r="AF47" s="41">
        <v>1703</v>
      </c>
      <c r="AG47" s="33">
        <v>40</v>
      </c>
      <c r="AH47" s="43" t="s">
        <v>46</v>
      </c>
      <c r="AI47" s="44" t="s">
        <v>46</v>
      </c>
      <c r="AK47" s="41">
        <v>1706</v>
      </c>
      <c r="AL47" s="33">
        <v>40</v>
      </c>
      <c r="AM47" s="43" t="s">
        <v>46</v>
      </c>
      <c r="AN47" s="44" t="s">
        <v>46</v>
      </c>
      <c r="AP47" s="41">
        <v>1709</v>
      </c>
      <c r="AQ47" s="33">
        <v>40</v>
      </c>
      <c r="AR47" s="43" t="s">
        <v>46</v>
      </c>
      <c r="AS47" s="44" t="s">
        <v>46</v>
      </c>
      <c r="AU47" s="67">
        <v>1801</v>
      </c>
      <c r="AV47" s="68">
        <v>40</v>
      </c>
      <c r="AW47" s="69" t="s">
        <v>6816</v>
      </c>
      <c r="AX47" s="70" t="s">
        <v>2925</v>
      </c>
      <c r="AZ47" s="67">
        <v>1804</v>
      </c>
      <c r="BA47" s="83">
        <v>40</v>
      </c>
      <c r="BB47" s="69" t="s">
        <v>6817</v>
      </c>
      <c r="BC47" s="70" t="s">
        <v>1158</v>
      </c>
      <c r="BE47" s="67">
        <v>1807</v>
      </c>
      <c r="BF47" s="83">
        <v>40</v>
      </c>
      <c r="BG47" s="69" t="s">
        <v>6818</v>
      </c>
      <c r="BH47" s="70" t="s">
        <v>6819</v>
      </c>
    </row>
    <row r="48" spans="1:60">
      <c r="A48" s="1"/>
      <c r="B48" s="67">
        <v>1502</v>
      </c>
      <c r="C48" s="83">
        <v>41</v>
      </c>
      <c r="D48" s="69" t="s">
        <v>46</v>
      </c>
      <c r="E48" s="70" t="s">
        <v>46</v>
      </c>
      <c r="G48" s="67">
        <v>1505</v>
      </c>
      <c r="H48" s="83">
        <v>41</v>
      </c>
      <c r="I48" s="69" t="s">
        <v>46</v>
      </c>
      <c r="J48" s="70" t="s">
        <v>46</v>
      </c>
      <c r="L48" s="67">
        <v>1508</v>
      </c>
      <c r="M48" s="83">
        <v>41</v>
      </c>
      <c r="N48" s="69" t="s">
        <v>46</v>
      </c>
      <c r="O48" s="70" t="s">
        <v>46</v>
      </c>
      <c r="Q48" s="41">
        <v>1602</v>
      </c>
      <c r="R48" s="42">
        <v>41</v>
      </c>
      <c r="S48" s="43" t="s">
        <v>6820</v>
      </c>
      <c r="T48" s="44" t="s">
        <v>2079</v>
      </c>
      <c r="V48" s="41">
        <v>1605</v>
      </c>
      <c r="W48" s="33">
        <v>41</v>
      </c>
      <c r="X48" s="43" t="s">
        <v>6821</v>
      </c>
      <c r="Y48" s="44" t="s">
        <v>1844</v>
      </c>
      <c r="AA48" s="41">
        <v>1608</v>
      </c>
      <c r="AB48" s="33">
        <v>41</v>
      </c>
      <c r="AC48" s="43" t="s">
        <v>46</v>
      </c>
      <c r="AD48" s="44" t="s">
        <v>46</v>
      </c>
      <c r="AF48" s="41">
        <v>1702</v>
      </c>
      <c r="AG48" s="33">
        <v>41</v>
      </c>
      <c r="AH48" s="43" t="s">
        <v>46</v>
      </c>
      <c r="AI48" s="44" t="s">
        <v>46</v>
      </c>
      <c r="AK48" s="41">
        <v>1705</v>
      </c>
      <c r="AL48" s="33">
        <v>41</v>
      </c>
      <c r="AM48" s="43" t="s">
        <v>46</v>
      </c>
      <c r="AN48" s="44" t="s">
        <v>46</v>
      </c>
      <c r="AP48" s="41">
        <v>1708</v>
      </c>
      <c r="AQ48" s="33">
        <v>41</v>
      </c>
      <c r="AR48" s="43" t="s">
        <v>46</v>
      </c>
      <c r="AS48" s="44" t="s">
        <v>46</v>
      </c>
      <c r="AU48" s="67">
        <v>1802</v>
      </c>
      <c r="AV48" s="68">
        <v>41</v>
      </c>
      <c r="AW48" s="69" t="s">
        <v>6820</v>
      </c>
      <c r="AX48" s="70" t="s">
        <v>2079</v>
      </c>
      <c r="AZ48" s="67">
        <v>1805</v>
      </c>
      <c r="BA48" s="83">
        <v>41</v>
      </c>
      <c r="BB48" s="69" t="s">
        <v>6821</v>
      </c>
      <c r="BC48" s="70" t="s">
        <v>1844</v>
      </c>
      <c r="BE48" s="67">
        <v>1808</v>
      </c>
      <c r="BF48" s="83">
        <v>41</v>
      </c>
      <c r="BG48" s="69" t="s">
        <v>46</v>
      </c>
      <c r="BH48" s="70" t="s">
        <v>46</v>
      </c>
    </row>
    <row r="49" spans="1:60">
      <c r="A49" s="1"/>
      <c r="B49" s="67">
        <v>1502</v>
      </c>
      <c r="C49" s="83">
        <v>42</v>
      </c>
      <c r="D49" s="69" t="s">
        <v>6822</v>
      </c>
      <c r="E49" s="70" t="s">
        <v>1961</v>
      </c>
      <c r="G49" s="67">
        <v>1505</v>
      </c>
      <c r="H49" s="83">
        <v>42</v>
      </c>
      <c r="I49" s="69" t="s">
        <v>46</v>
      </c>
      <c r="J49" s="70" t="s">
        <v>46</v>
      </c>
      <c r="L49" s="67">
        <v>1508</v>
      </c>
      <c r="M49" s="83">
        <v>42</v>
      </c>
      <c r="N49" s="69" t="s">
        <v>6823</v>
      </c>
      <c r="O49" s="70" t="s">
        <v>387</v>
      </c>
      <c r="Q49" s="41">
        <v>1602</v>
      </c>
      <c r="R49" s="42">
        <v>42</v>
      </c>
      <c r="S49" s="43" t="s">
        <v>6824</v>
      </c>
      <c r="T49" s="44" t="s">
        <v>1464</v>
      </c>
      <c r="V49" s="41">
        <v>1605</v>
      </c>
      <c r="W49" s="33">
        <v>42</v>
      </c>
      <c r="X49" s="43" t="s">
        <v>6825</v>
      </c>
      <c r="Y49" s="44" t="s">
        <v>626</v>
      </c>
      <c r="AA49" s="41">
        <v>1608</v>
      </c>
      <c r="AB49" s="33">
        <v>42</v>
      </c>
      <c r="AC49" s="43" t="s">
        <v>46</v>
      </c>
      <c r="AD49" s="44" t="s">
        <v>46</v>
      </c>
      <c r="AF49" s="41">
        <v>1702</v>
      </c>
      <c r="AG49" s="33">
        <v>42</v>
      </c>
      <c r="AH49" s="43" t="s">
        <v>6822</v>
      </c>
      <c r="AI49" s="44" t="s">
        <v>1961</v>
      </c>
      <c r="AK49" s="41">
        <v>1705</v>
      </c>
      <c r="AL49" s="33">
        <v>42</v>
      </c>
      <c r="AM49" s="43" t="s">
        <v>46</v>
      </c>
      <c r="AN49" s="44" t="s">
        <v>46</v>
      </c>
      <c r="AP49" s="41">
        <v>1708</v>
      </c>
      <c r="AQ49" s="33">
        <v>42</v>
      </c>
      <c r="AR49" s="43" t="s">
        <v>6823</v>
      </c>
      <c r="AS49" s="44" t="s">
        <v>387</v>
      </c>
      <c r="AU49" s="67">
        <v>1802</v>
      </c>
      <c r="AV49" s="68">
        <v>42</v>
      </c>
      <c r="AW49" s="69" t="s">
        <v>6824</v>
      </c>
      <c r="AX49" s="70" t="s">
        <v>1464</v>
      </c>
      <c r="AZ49" s="67">
        <v>1805</v>
      </c>
      <c r="BA49" s="83">
        <v>42</v>
      </c>
      <c r="BB49" s="69" t="s">
        <v>6825</v>
      </c>
      <c r="BC49" s="70" t="s">
        <v>626</v>
      </c>
      <c r="BE49" s="67">
        <v>1808</v>
      </c>
      <c r="BF49" s="83">
        <v>42</v>
      </c>
      <c r="BG49" s="69" t="s">
        <v>46</v>
      </c>
      <c r="BH49" s="70" t="s">
        <v>46</v>
      </c>
    </row>
    <row r="50" spans="1:60">
      <c r="A50" s="1"/>
      <c r="B50" s="67">
        <v>1502</v>
      </c>
      <c r="C50" s="83">
        <v>43</v>
      </c>
      <c r="D50" s="69" t="s">
        <v>46</v>
      </c>
      <c r="E50" s="70" t="s">
        <v>46</v>
      </c>
      <c r="G50" s="67">
        <v>1505</v>
      </c>
      <c r="H50" s="83">
        <v>43</v>
      </c>
      <c r="I50" s="69" t="s">
        <v>46</v>
      </c>
      <c r="J50" s="70" t="s">
        <v>46</v>
      </c>
      <c r="L50" s="67">
        <v>1508</v>
      </c>
      <c r="M50" s="83">
        <v>43</v>
      </c>
      <c r="N50" s="69" t="s">
        <v>46</v>
      </c>
      <c r="O50" s="70" t="s">
        <v>46</v>
      </c>
      <c r="Q50" s="41">
        <v>1602</v>
      </c>
      <c r="R50" s="42">
        <v>43</v>
      </c>
      <c r="S50" s="43" t="s">
        <v>6826</v>
      </c>
      <c r="T50" s="44" t="s">
        <v>2069</v>
      </c>
      <c r="V50" s="41">
        <v>1605</v>
      </c>
      <c r="W50" s="33">
        <v>43</v>
      </c>
      <c r="X50" s="43" t="s">
        <v>46</v>
      </c>
      <c r="Y50" s="44" t="s">
        <v>46</v>
      </c>
      <c r="AA50" s="41">
        <v>1608</v>
      </c>
      <c r="AB50" s="33">
        <v>43</v>
      </c>
      <c r="AC50" s="43" t="s">
        <v>46</v>
      </c>
      <c r="AD50" s="44" t="s">
        <v>46</v>
      </c>
      <c r="AF50" s="41">
        <v>1702</v>
      </c>
      <c r="AG50" s="33">
        <v>43</v>
      </c>
      <c r="AH50" s="43" t="s">
        <v>46</v>
      </c>
      <c r="AI50" s="44" t="s">
        <v>46</v>
      </c>
      <c r="AK50" s="41">
        <v>1705</v>
      </c>
      <c r="AL50" s="33">
        <v>43</v>
      </c>
      <c r="AM50" s="43" t="s">
        <v>46</v>
      </c>
      <c r="AN50" s="44" t="s">
        <v>46</v>
      </c>
      <c r="AP50" s="41">
        <v>1708</v>
      </c>
      <c r="AQ50" s="33">
        <v>43</v>
      </c>
      <c r="AR50" s="43" t="s">
        <v>46</v>
      </c>
      <c r="AS50" s="44" t="s">
        <v>46</v>
      </c>
      <c r="AU50" s="67">
        <v>1802</v>
      </c>
      <c r="AV50" s="68">
        <v>43</v>
      </c>
      <c r="AW50" s="69" t="s">
        <v>6826</v>
      </c>
      <c r="AX50" s="70" t="s">
        <v>2069</v>
      </c>
      <c r="AZ50" s="67">
        <v>1805</v>
      </c>
      <c r="BA50" s="83">
        <v>43</v>
      </c>
      <c r="BB50" s="69" t="s">
        <v>46</v>
      </c>
      <c r="BC50" s="70" t="s">
        <v>46</v>
      </c>
      <c r="BE50" s="67">
        <v>1808</v>
      </c>
      <c r="BF50" s="83">
        <v>43</v>
      </c>
      <c r="BG50" s="69" t="s">
        <v>46</v>
      </c>
      <c r="BH50" s="70" t="s">
        <v>46</v>
      </c>
    </row>
    <row r="51" spans="1:60">
      <c r="A51" s="1"/>
      <c r="B51" s="67">
        <v>1502</v>
      </c>
      <c r="C51" s="83">
        <v>44</v>
      </c>
      <c r="D51" s="69" t="s">
        <v>6827</v>
      </c>
      <c r="E51" s="70" t="s">
        <v>1972</v>
      </c>
      <c r="G51" s="67">
        <v>1505</v>
      </c>
      <c r="H51" s="83">
        <v>44</v>
      </c>
      <c r="I51" s="69" t="s">
        <v>6828</v>
      </c>
      <c r="J51" s="70" t="s">
        <v>1779</v>
      </c>
      <c r="L51" s="67">
        <v>1508</v>
      </c>
      <c r="M51" s="83">
        <v>44</v>
      </c>
      <c r="N51" s="69" t="s">
        <v>46</v>
      </c>
      <c r="O51" s="70" t="s">
        <v>46</v>
      </c>
      <c r="Q51" s="41">
        <v>1602</v>
      </c>
      <c r="R51" s="42">
        <v>44</v>
      </c>
      <c r="S51" s="43" t="s">
        <v>6829</v>
      </c>
      <c r="T51" s="44" t="s">
        <v>1659</v>
      </c>
      <c r="V51" s="41">
        <v>1605</v>
      </c>
      <c r="W51" s="33">
        <v>44</v>
      </c>
      <c r="X51" s="43" t="s">
        <v>6830</v>
      </c>
      <c r="Y51" s="44" t="s">
        <v>3534</v>
      </c>
      <c r="AA51" s="41">
        <v>1608</v>
      </c>
      <c r="AB51" s="33">
        <v>44</v>
      </c>
      <c r="AC51" s="43" t="s">
        <v>46</v>
      </c>
      <c r="AD51" s="44" t="s">
        <v>46</v>
      </c>
      <c r="AF51" s="41">
        <v>1702</v>
      </c>
      <c r="AG51" s="33">
        <v>44</v>
      </c>
      <c r="AH51" s="43" t="s">
        <v>6827</v>
      </c>
      <c r="AI51" s="44" t="s">
        <v>1972</v>
      </c>
      <c r="AK51" s="41">
        <v>1705</v>
      </c>
      <c r="AL51" s="33">
        <v>44</v>
      </c>
      <c r="AM51" s="43" t="s">
        <v>6828</v>
      </c>
      <c r="AN51" s="44" t="s">
        <v>1779</v>
      </c>
      <c r="AP51" s="41">
        <v>1708</v>
      </c>
      <c r="AQ51" s="33">
        <v>44</v>
      </c>
      <c r="AR51" s="43" t="s">
        <v>46</v>
      </c>
      <c r="AS51" s="44" t="s">
        <v>46</v>
      </c>
      <c r="AU51" s="67">
        <v>1802</v>
      </c>
      <c r="AV51" s="68">
        <v>44</v>
      </c>
      <c r="AW51" s="69" t="s">
        <v>6829</v>
      </c>
      <c r="AX51" s="70" t="s">
        <v>1659</v>
      </c>
      <c r="AZ51" s="67">
        <v>1805</v>
      </c>
      <c r="BA51" s="83">
        <v>44</v>
      </c>
      <c r="BB51" s="69" t="s">
        <v>6830</v>
      </c>
      <c r="BC51" s="70" t="s">
        <v>3534</v>
      </c>
      <c r="BE51" s="67">
        <v>1808</v>
      </c>
      <c r="BF51" s="83">
        <v>44</v>
      </c>
      <c r="BG51" s="69" t="s">
        <v>46</v>
      </c>
      <c r="BH51" s="70" t="s">
        <v>46</v>
      </c>
    </row>
    <row r="52" spans="1:60">
      <c r="A52" s="1"/>
      <c r="B52" s="67">
        <v>1502</v>
      </c>
      <c r="C52" s="83">
        <v>45</v>
      </c>
      <c r="D52" s="69" t="s">
        <v>46</v>
      </c>
      <c r="E52" s="70" t="s">
        <v>46</v>
      </c>
      <c r="G52" s="67">
        <v>1505</v>
      </c>
      <c r="H52" s="83">
        <v>45</v>
      </c>
      <c r="I52" s="69" t="s">
        <v>46</v>
      </c>
      <c r="J52" s="70" t="s">
        <v>46</v>
      </c>
      <c r="L52" s="67">
        <v>1508</v>
      </c>
      <c r="M52" s="83">
        <v>45</v>
      </c>
      <c r="N52" s="69" t="s">
        <v>46</v>
      </c>
      <c r="O52" s="70" t="s">
        <v>46</v>
      </c>
      <c r="Q52" s="41">
        <v>1602</v>
      </c>
      <c r="R52" s="42">
        <v>45</v>
      </c>
      <c r="S52" s="43" t="s">
        <v>46</v>
      </c>
      <c r="T52" s="44" t="s">
        <v>46</v>
      </c>
      <c r="V52" s="41">
        <v>1605</v>
      </c>
      <c r="W52" s="33">
        <v>45</v>
      </c>
      <c r="X52" s="43" t="s">
        <v>46</v>
      </c>
      <c r="Y52" s="44" t="s">
        <v>46</v>
      </c>
      <c r="AA52" s="41">
        <v>1608</v>
      </c>
      <c r="AB52" s="33">
        <v>45</v>
      </c>
      <c r="AC52" s="43" t="s">
        <v>46</v>
      </c>
      <c r="AD52" s="44" t="s">
        <v>46</v>
      </c>
      <c r="AF52" s="41">
        <v>1702</v>
      </c>
      <c r="AG52" s="33">
        <v>45</v>
      </c>
      <c r="AH52" s="43" t="s">
        <v>46</v>
      </c>
      <c r="AI52" s="44" t="s">
        <v>46</v>
      </c>
      <c r="AK52" s="41">
        <v>1705</v>
      </c>
      <c r="AL52" s="33">
        <v>45</v>
      </c>
      <c r="AM52" s="43" t="s">
        <v>46</v>
      </c>
      <c r="AN52" s="44" t="s">
        <v>46</v>
      </c>
      <c r="AP52" s="41">
        <v>1708</v>
      </c>
      <c r="AQ52" s="33">
        <v>45</v>
      </c>
      <c r="AR52" s="43" t="s">
        <v>46</v>
      </c>
      <c r="AS52" s="44" t="s">
        <v>46</v>
      </c>
      <c r="AU52" s="67">
        <v>1802</v>
      </c>
      <c r="AV52" s="68">
        <v>45</v>
      </c>
      <c r="AW52" s="69" t="s">
        <v>46</v>
      </c>
      <c r="AX52" s="70" t="s">
        <v>46</v>
      </c>
      <c r="AZ52" s="67">
        <v>1805</v>
      </c>
      <c r="BA52" s="83">
        <v>45</v>
      </c>
      <c r="BB52" s="69" t="s">
        <v>46</v>
      </c>
      <c r="BC52" s="70" t="s">
        <v>46</v>
      </c>
      <c r="BE52" s="67">
        <v>1808</v>
      </c>
      <c r="BF52" s="83">
        <v>45</v>
      </c>
      <c r="BG52" s="69" t="s">
        <v>46</v>
      </c>
      <c r="BH52" s="70" t="s">
        <v>46</v>
      </c>
    </row>
    <row r="53" spans="1:60">
      <c r="A53" s="1"/>
      <c r="B53" s="67">
        <v>1502</v>
      </c>
      <c r="C53" s="83">
        <v>46</v>
      </c>
      <c r="D53" s="69" t="s">
        <v>6831</v>
      </c>
      <c r="E53" s="70" t="s">
        <v>2300</v>
      </c>
      <c r="G53" s="67">
        <v>1505</v>
      </c>
      <c r="H53" s="83">
        <v>46</v>
      </c>
      <c r="I53" s="69" t="s">
        <v>6832</v>
      </c>
      <c r="J53" s="70" t="s">
        <v>978</v>
      </c>
      <c r="L53" s="67">
        <v>1508</v>
      </c>
      <c r="M53" s="83">
        <v>46</v>
      </c>
      <c r="N53" s="69" t="s">
        <v>46</v>
      </c>
      <c r="O53" s="70" t="s">
        <v>46</v>
      </c>
      <c r="Q53" s="41">
        <v>1602</v>
      </c>
      <c r="R53" s="42">
        <v>46</v>
      </c>
      <c r="S53" s="43" t="s">
        <v>6833</v>
      </c>
      <c r="T53" s="44" t="s">
        <v>1604</v>
      </c>
      <c r="V53" s="41">
        <v>1605</v>
      </c>
      <c r="W53" s="33">
        <v>46</v>
      </c>
      <c r="X53" s="43" t="s">
        <v>6834</v>
      </c>
      <c r="Y53" s="44" t="s">
        <v>1584</v>
      </c>
      <c r="AA53" s="41">
        <v>1608</v>
      </c>
      <c r="AB53" s="33">
        <v>46</v>
      </c>
      <c r="AC53" s="43" t="s">
        <v>46</v>
      </c>
      <c r="AD53" s="44" t="s">
        <v>46</v>
      </c>
      <c r="AF53" s="41">
        <v>1702</v>
      </c>
      <c r="AG53" s="33">
        <v>46</v>
      </c>
      <c r="AH53" s="43" t="s">
        <v>6831</v>
      </c>
      <c r="AI53" s="44" t="s">
        <v>2300</v>
      </c>
      <c r="AK53" s="41">
        <v>1705</v>
      </c>
      <c r="AL53" s="33">
        <v>46</v>
      </c>
      <c r="AM53" s="43" t="s">
        <v>6832</v>
      </c>
      <c r="AN53" s="44" t="s">
        <v>978</v>
      </c>
      <c r="AP53" s="41">
        <v>1708</v>
      </c>
      <c r="AQ53" s="33">
        <v>46</v>
      </c>
      <c r="AR53" s="43" t="s">
        <v>46</v>
      </c>
      <c r="AS53" s="44" t="s">
        <v>46</v>
      </c>
      <c r="AU53" s="67">
        <v>1802</v>
      </c>
      <c r="AV53" s="68">
        <v>46</v>
      </c>
      <c r="AW53" s="69" t="s">
        <v>6833</v>
      </c>
      <c r="AX53" s="70" t="s">
        <v>1604</v>
      </c>
      <c r="AZ53" s="67">
        <v>1805</v>
      </c>
      <c r="BA53" s="83">
        <v>46</v>
      </c>
      <c r="BB53" s="69" t="s">
        <v>6834</v>
      </c>
      <c r="BC53" s="70" t="s">
        <v>1584</v>
      </c>
      <c r="BE53" s="67">
        <v>1808</v>
      </c>
      <c r="BF53" s="83">
        <v>46</v>
      </c>
      <c r="BG53" s="69" t="s">
        <v>46</v>
      </c>
      <c r="BH53" s="70" t="s">
        <v>46</v>
      </c>
    </row>
    <row r="54" spans="1:60">
      <c r="A54" s="1"/>
      <c r="B54" s="67">
        <v>1502</v>
      </c>
      <c r="C54" s="83">
        <v>47</v>
      </c>
      <c r="D54" s="69" t="s">
        <v>6835</v>
      </c>
      <c r="E54" s="70" t="s">
        <v>1234</v>
      </c>
      <c r="G54" s="67">
        <v>1505</v>
      </c>
      <c r="H54" s="83">
        <v>47</v>
      </c>
      <c r="I54" s="69" t="s">
        <v>46</v>
      </c>
      <c r="J54" s="70" t="s">
        <v>46</v>
      </c>
      <c r="L54" s="67">
        <v>1508</v>
      </c>
      <c r="M54" s="83">
        <v>47</v>
      </c>
      <c r="N54" s="69" t="s">
        <v>46</v>
      </c>
      <c r="O54" s="70" t="s">
        <v>46</v>
      </c>
      <c r="Q54" s="41">
        <v>1602</v>
      </c>
      <c r="R54" s="42">
        <v>47</v>
      </c>
      <c r="S54" s="43" t="s">
        <v>6836</v>
      </c>
      <c r="T54" s="44" t="s">
        <v>2096</v>
      </c>
      <c r="V54" s="41">
        <v>1605</v>
      </c>
      <c r="W54" s="33">
        <v>47</v>
      </c>
      <c r="X54" s="43" t="s">
        <v>46</v>
      </c>
      <c r="Y54" s="44" t="s">
        <v>46</v>
      </c>
      <c r="AA54" s="41">
        <v>1608</v>
      </c>
      <c r="AB54" s="33">
        <v>47</v>
      </c>
      <c r="AC54" s="43" t="s">
        <v>46</v>
      </c>
      <c r="AD54" s="44" t="s">
        <v>46</v>
      </c>
      <c r="AF54" s="41">
        <v>1702</v>
      </c>
      <c r="AG54" s="33">
        <v>47</v>
      </c>
      <c r="AH54" s="43" t="s">
        <v>6835</v>
      </c>
      <c r="AI54" s="44" t="s">
        <v>1234</v>
      </c>
      <c r="AK54" s="41">
        <v>1705</v>
      </c>
      <c r="AL54" s="33">
        <v>47</v>
      </c>
      <c r="AM54" s="43" t="s">
        <v>46</v>
      </c>
      <c r="AN54" s="44" t="s">
        <v>46</v>
      </c>
      <c r="AP54" s="41">
        <v>1708</v>
      </c>
      <c r="AQ54" s="33">
        <v>47</v>
      </c>
      <c r="AR54" s="43" t="s">
        <v>46</v>
      </c>
      <c r="AS54" s="44" t="s">
        <v>46</v>
      </c>
      <c r="AU54" s="67">
        <v>1802</v>
      </c>
      <c r="AV54" s="68">
        <v>47</v>
      </c>
      <c r="AW54" s="69" t="s">
        <v>6836</v>
      </c>
      <c r="AX54" s="70" t="s">
        <v>2096</v>
      </c>
      <c r="AZ54" s="67">
        <v>1805</v>
      </c>
      <c r="BA54" s="83">
        <v>47</v>
      </c>
      <c r="BB54" s="69" t="s">
        <v>46</v>
      </c>
      <c r="BC54" s="70" t="s">
        <v>46</v>
      </c>
      <c r="BE54" s="67">
        <v>1808</v>
      </c>
      <c r="BF54" s="83">
        <v>47</v>
      </c>
      <c r="BG54" s="69" t="s">
        <v>46</v>
      </c>
      <c r="BH54" s="70" t="s">
        <v>46</v>
      </c>
    </row>
    <row r="55" spans="1:60" ht="15" thickBot="1">
      <c r="A55" s="1"/>
      <c r="B55" s="71">
        <v>1502</v>
      </c>
      <c r="C55" s="84">
        <v>48</v>
      </c>
      <c r="D55" s="73" t="s">
        <v>6837</v>
      </c>
      <c r="E55" s="74" t="s">
        <v>2309</v>
      </c>
      <c r="G55" s="71">
        <v>1505</v>
      </c>
      <c r="H55" s="84">
        <v>48</v>
      </c>
      <c r="I55" s="73" t="s">
        <v>6838</v>
      </c>
      <c r="J55" s="74" t="s">
        <v>938</v>
      </c>
      <c r="L55" s="71">
        <v>1508</v>
      </c>
      <c r="M55" s="84">
        <v>48</v>
      </c>
      <c r="N55" s="73" t="s">
        <v>6839</v>
      </c>
      <c r="O55" s="74" t="s">
        <v>1699</v>
      </c>
      <c r="Q55" s="45">
        <v>1602</v>
      </c>
      <c r="R55" s="46">
        <v>48</v>
      </c>
      <c r="S55" s="47" t="s">
        <v>6840</v>
      </c>
      <c r="T55" s="48" t="s">
        <v>2088</v>
      </c>
      <c r="V55" s="45">
        <v>1605</v>
      </c>
      <c r="W55" s="57">
        <v>48</v>
      </c>
      <c r="X55" s="47" t="s">
        <v>6841</v>
      </c>
      <c r="Y55" s="48" t="s">
        <v>3079</v>
      </c>
      <c r="AA55" s="45">
        <v>1608</v>
      </c>
      <c r="AB55" s="57">
        <v>48</v>
      </c>
      <c r="AC55" s="47" t="s">
        <v>46</v>
      </c>
      <c r="AD55" s="48" t="s">
        <v>46</v>
      </c>
      <c r="AF55" s="45">
        <v>1702</v>
      </c>
      <c r="AG55" s="57">
        <v>48</v>
      </c>
      <c r="AH55" s="47" t="s">
        <v>6837</v>
      </c>
      <c r="AI55" s="48" t="s">
        <v>2309</v>
      </c>
      <c r="AK55" s="45">
        <v>1705</v>
      </c>
      <c r="AL55" s="57">
        <v>48</v>
      </c>
      <c r="AM55" s="47" t="s">
        <v>6838</v>
      </c>
      <c r="AN55" s="48" t="s">
        <v>938</v>
      </c>
      <c r="AP55" s="45">
        <v>1708</v>
      </c>
      <c r="AQ55" s="57">
        <v>48</v>
      </c>
      <c r="AR55" s="47" t="s">
        <v>6839</v>
      </c>
      <c r="AS55" s="48" t="s">
        <v>1699</v>
      </c>
      <c r="AU55" s="71">
        <v>1802</v>
      </c>
      <c r="AV55" s="72">
        <v>48</v>
      </c>
      <c r="AW55" s="73" t="s">
        <v>6840</v>
      </c>
      <c r="AX55" s="74" t="s">
        <v>2088</v>
      </c>
      <c r="AZ55" s="71">
        <v>1805</v>
      </c>
      <c r="BA55" s="84">
        <v>48</v>
      </c>
      <c r="BB55" s="73" t="s">
        <v>6841</v>
      </c>
      <c r="BC55" s="74" t="s">
        <v>3079</v>
      </c>
      <c r="BE55" s="71">
        <v>1808</v>
      </c>
      <c r="BF55" s="84">
        <v>48</v>
      </c>
      <c r="BG55" s="73" t="s">
        <v>46</v>
      </c>
      <c r="BH55" s="74" t="s">
        <v>46</v>
      </c>
    </row>
    <row r="56" spans="1:60">
      <c r="A56" s="1"/>
      <c r="B56" s="75">
        <v>1502</v>
      </c>
      <c r="C56" s="85">
        <v>49</v>
      </c>
      <c r="D56" s="77" t="s">
        <v>6842</v>
      </c>
      <c r="E56" s="66" t="s">
        <v>1489</v>
      </c>
      <c r="G56" s="75">
        <v>1505</v>
      </c>
      <c r="H56" s="85">
        <v>49</v>
      </c>
      <c r="I56" s="77" t="s">
        <v>46</v>
      </c>
      <c r="J56" s="66" t="s">
        <v>46</v>
      </c>
      <c r="L56" s="75">
        <v>1508</v>
      </c>
      <c r="M56" s="85">
        <v>49</v>
      </c>
      <c r="N56" s="77" t="s">
        <v>6843</v>
      </c>
      <c r="O56" s="66" t="s">
        <v>2865</v>
      </c>
      <c r="Q56" s="49">
        <v>1602</v>
      </c>
      <c r="R56" s="50">
        <v>49</v>
      </c>
      <c r="S56" s="51" t="s">
        <v>46</v>
      </c>
      <c r="T56" s="40" t="s">
        <v>46</v>
      </c>
      <c r="V56" s="49">
        <v>1605</v>
      </c>
      <c r="W56" s="58">
        <v>49</v>
      </c>
      <c r="X56" s="51" t="s">
        <v>46</v>
      </c>
      <c r="Y56" s="40" t="s">
        <v>46</v>
      </c>
      <c r="AA56" s="49">
        <v>1608</v>
      </c>
      <c r="AB56" s="58">
        <v>49</v>
      </c>
      <c r="AC56" s="51" t="s">
        <v>46</v>
      </c>
      <c r="AD56" s="40" t="s">
        <v>46</v>
      </c>
      <c r="AF56" s="49">
        <v>1702</v>
      </c>
      <c r="AG56" s="58">
        <v>49</v>
      </c>
      <c r="AH56" s="51" t="s">
        <v>6842</v>
      </c>
      <c r="AI56" s="40" t="s">
        <v>1489</v>
      </c>
      <c r="AK56" s="49">
        <v>1705</v>
      </c>
      <c r="AL56" s="58">
        <v>49</v>
      </c>
      <c r="AM56" s="51" t="s">
        <v>46</v>
      </c>
      <c r="AN56" s="40" t="s">
        <v>46</v>
      </c>
      <c r="AP56" s="49">
        <v>1708</v>
      </c>
      <c r="AQ56" s="58">
        <v>49</v>
      </c>
      <c r="AR56" s="51" t="s">
        <v>6843</v>
      </c>
      <c r="AS56" s="40" t="s">
        <v>2865</v>
      </c>
      <c r="AU56" s="75">
        <v>1802</v>
      </c>
      <c r="AV56" s="76">
        <v>49</v>
      </c>
      <c r="AW56" s="77" t="s">
        <v>46</v>
      </c>
      <c r="AX56" s="66" t="s">
        <v>46</v>
      </c>
      <c r="AZ56" s="75">
        <v>1805</v>
      </c>
      <c r="BA56" s="85">
        <v>49</v>
      </c>
      <c r="BB56" s="77" t="s">
        <v>46</v>
      </c>
      <c r="BC56" s="66" t="s">
        <v>46</v>
      </c>
      <c r="BE56" s="75">
        <v>1808</v>
      </c>
      <c r="BF56" s="85">
        <v>49</v>
      </c>
      <c r="BG56" s="77" t="s">
        <v>46</v>
      </c>
      <c r="BH56" s="66" t="s">
        <v>46</v>
      </c>
    </row>
    <row r="57" spans="1:60">
      <c r="A57" s="1"/>
      <c r="B57" s="67">
        <v>1502</v>
      </c>
      <c r="C57" s="83">
        <v>50</v>
      </c>
      <c r="D57" s="69" t="s">
        <v>6844</v>
      </c>
      <c r="E57" s="70" t="s">
        <v>880</v>
      </c>
      <c r="G57" s="67">
        <v>1505</v>
      </c>
      <c r="H57" s="83">
        <v>50</v>
      </c>
      <c r="I57" s="69" t="s">
        <v>6845</v>
      </c>
      <c r="J57" s="70" t="s">
        <v>765</v>
      </c>
      <c r="L57" s="67">
        <v>1508</v>
      </c>
      <c r="M57" s="83">
        <v>50</v>
      </c>
      <c r="N57" s="69" t="s">
        <v>6846</v>
      </c>
      <c r="O57" s="70" t="s">
        <v>1374</v>
      </c>
      <c r="Q57" s="41">
        <v>1602</v>
      </c>
      <c r="R57" s="42">
        <v>50</v>
      </c>
      <c r="S57" s="43" t="s">
        <v>6847</v>
      </c>
      <c r="T57" s="44" t="s">
        <v>1138</v>
      </c>
      <c r="V57" s="41">
        <v>1605</v>
      </c>
      <c r="W57" s="33">
        <v>50</v>
      </c>
      <c r="X57" s="43" t="s">
        <v>6848</v>
      </c>
      <c r="Y57" s="44" t="s">
        <v>3000</v>
      </c>
      <c r="AA57" s="41">
        <v>1608</v>
      </c>
      <c r="AB57" s="33">
        <v>50</v>
      </c>
      <c r="AC57" s="43" t="s">
        <v>46</v>
      </c>
      <c r="AD57" s="44" t="s">
        <v>46</v>
      </c>
      <c r="AF57" s="41">
        <v>1702</v>
      </c>
      <c r="AG57" s="33">
        <v>50</v>
      </c>
      <c r="AH57" s="43" t="s">
        <v>6844</v>
      </c>
      <c r="AI57" s="44" t="s">
        <v>880</v>
      </c>
      <c r="AK57" s="41">
        <v>1705</v>
      </c>
      <c r="AL57" s="33">
        <v>50</v>
      </c>
      <c r="AM57" s="43" t="s">
        <v>6845</v>
      </c>
      <c r="AN57" s="44" t="s">
        <v>765</v>
      </c>
      <c r="AP57" s="41">
        <v>1708</v>
      </c>
      <c r="AQ57" s="33">
        <v>50</v>
      </c>
      <c r="AR57" s="43" t="s">
        <v>6846</v>
      </c>
      <c r="AS57" s="44" t="s">
        <v>1374</v>
      </c>
      <c r="AU57" s="67">
        <v>1802</v>
      </c>
      <c r="AV57" s="68">
        <v>50</v>
      </c>
      <c r="AW57" s="69" t="s">
        <v>6847</v>
      </c>
      <c r="AX57" s="70" t="s">
        <v>1138</v>
      </c>
      <c r="AZ57" s="67">
        <v>1805</v>
      </c>
      <c r="BA57" s="83">
        <v>50</v>
      </c>
      <c r="BB57" s="69" t="s">
        <v>6848</v>
      </c>
      <c r="BC57" s="70" t="s">
        <v>3000</v>
      </c>
      <c r="BE57" s="67">
        <v>1808</v>
      </c>
      <c r="BF57" s="83">
        <v>50</v>
      </c>
      <c r="BG57" s="69" t="s">
        <v>46</v>
      </c>
      <c r="BH57" s="70" t="s">
        <v>46</v>
      </c>
    </row>
    <row r="58" spans="1:60">
      <c r="A58" s="1"/>
      <c r="B58" s="67">
        <v>1502</v>
      </c>
      <c r="C58" s="83">
        <v>51</v>
      </c>
      <c r="D58" s="69" t="s">
        <v>6849</v>
      </c>
      <c r="E58" s="70" t="s">
        <v>755</v>
      </c>
      <c r="G58" s="67">
        <v>1505</v>
      </c>
      <c r="H58" s="83">
        <v>51</v>
      </c>
      <c r="I58" s="69" t="s">
        <v>6850</v>
      </c>
      <c r="J58" s="70" t="s">
        <v>780</v>
      </c>
      <c r="L58" s="67">
        <v>1508</v>
      </c>
      <c r="M58" s="83">
        <v>51</v>
      </c>
      <c r="N58" s="69" t="s">
        <v>46</v>
      </c>
      <c r="O58" s="70" t="s">
        <v>46</v>
      </c>
      <c r="Q58" s="41">
        <v>1602</v>
      </c>
      <c r="R58" s="42">
        <v>51</v>
      </c>
      <c r="S58" s="43" t="s">
        <v>46</v>
      </c>
      <c r="T58" s="44" t="s">
        <v>46</v>
      </c>
      <c r="V58" s="41">
        <v>1605</v>
      </c>
      <c r="W58" s="33">
        <v>51</v>
      </c>
      <c r="X58" s="43" t="s">
        <v>6851</v>
      </c>
      <c r="Y58" s="44" t="s">
        <v>311</v>
      </c>
      <c r="AA58" s="41">
        <v>1608</v>
      </c>
      <c r="AB58" s="33">
        <v>51</v>
      </c>
      <c r="AC58" s="43" t="s">
        <v>46</v>
      </c>
      <c r="AD58" s="44" t="s">
        <v>46</v>
      </c>
      <c r="AF58" s="41">
        <v>1702</v>
      </c>
      <c r="AG58" s="33">
        <v>51</v>
      </c>
      <c r="AH58" s="43" t="s">
        <v>6849</v>
      </c>
      <c r="AI58" s="44" t="s">
        <v>755</v>
      </c>
      <c r="AK58" s="41">
        <v>1705</v>
      </c>
      <c r="AL58" s="33">
        <v>51</v>
      </c>
      <c r="AM58" s="43" t="s">
        <v>6850</v>
      </c>
      <c r="AN58" s="44" t="s">
        <v>780</v>
      </c>
      <c r="AP58" s="41">
        <v>1708</v>
      </c>
      <c r="AQ58" s="33">
        <v>51</v>
      </c>
      <c r="AR58" s="43" t="s">
        <v>46</v>
      </c>
      <c r="AS58" s="44" t="s">
        <v>46</v>
      </c>
      <c r="AU58" s="67">
        <v>1802</v>
      </c>
      <c r="AV58" s="68">
        <v>51</v>
      </c>
      <c r="AW58" s="69" t="s">
        <v>46</v>
      </c>
      <c r="AX58" s="70" t="s">
        <v>46</v>
      </c>
      <c r="AZ58" s="67">
        <v>1805</v>
      </c>
      <c r="BA58" s="83">
        <v>51</v>
      </c>
      <c r="BB58" s="69" t="s">
        <v>6851</v>
      </c>
      <c r="BC58" s="70" t="s">
        <v>311</v>
      </c>
      <c r="BE58" s="67">
        <v>1808</v>
      </c>
      <c r="BF58" s="83">
        <v>51</v>
      </c>
      <c r="BG58" s="69" t="s">
        <v>46</v>
      </c>
      <c r="BH58" s="70" t="s">
        <v>46</v>
      </c>
    </row>
    <row r="59" spans="1:60">
      <c r="A59" s="1"/>
      <c r="B59" s="67">
        <v>1502</v>
      </c>
      <c r="C59" s="83">
        <v>52</v>
      </c>
      <c r="D59" s="263" t="s">
        <v>46</v>
      </c>
      <c r="E59" s="264" t="s">
        <v>46</v>
      </c>
      <c r="G59" s="67">
        <v>1505</v>
      </c>
      <c r="H59" s="83">
        <v>52</v>
      </c>
      <c r="I59" s="69" t="s">
        <v>6852</v>
      </c>
      <c r="J59" s="70" t="s">
        <v>2703</v>
      </c>
      <c r="L59" s="67">
        <v>1508</v>
      </c>
      <c r="M59" s="83">
        <v>52</v>
      </c>
      <c r="N59" s="69" t="s">
        <v>6853</v>
      </c>
      <c r="O59" s="70" t="s">
        <v>1354</v>
      </c>
      <c r="Q59" s="41">
        <v>1602</v>
      </c>
      <c r="R59" s="42">
        <v>52</v>
      </c>
      <c r="S59" s="43" t="s">
        <v>6854</v>
      </c>
      <c r="T59" s="44" t="s">
        <v>1143</v>
      </c>
      <c r="V59" s="41">
        <v>1605</v>
      </c>
      <c r="W59" s="33">
        <v>52</v>
      </c>
      <c r="X59" s="43" t="s">
        <v>6855</v>
      </c>
      <c r="Y59" s="44" t="s">
        <v>1709</v>
      </c>
      <c r="AA59" s="41">
        <v>1608</v>
      </c>
      <c r="AB59" s="33">
        <v>52</v>
      </c>
      <c r="AC59" s="43" t="s">
        <v>46</v>
      </c>
      <c r="AD59" s="44" t="s">
        <v>46</v>
      </c>
      <c r="AF59" s="41">
        <v>1702</v>
      </c>
      <c r="AG59" s="33">
        <v>52</v>
      </c>
      <c r="AH59" s="263" t="s">
        <v>46</v>
      </c>
      <c r="AI59" s="264" t="s">
        <v>46</v>
      </c>
      <c r="AK59" s="41">
        <v>1705</v>
      </c>
      <c r="AL59" s="33">
        <v>52</v>
      </c>
      <c r="AM59" s="43" t="s">
        <v>6852</v>
      </c>
      <c r="AN59" s="44" t="s">
        <v>2703</v>
      </c>
      <c r="AP59" s="41">
        <v>1708</v>
      </c>
      <c r="AQ59" s="33">
        <v>52</v>
      </c>
      <c r="AR59" s="43" t="s">
        <v>6853</v>
      </c>
      <c r="AS59" s="44" t="s">
        <v>1354</v>
      </c>
      <c r="AU59" s="67">
        <v>1802</v>
      </c>
      <c r="AV59" s="68">
        <v>52</v>
      </c>
      <c r="AW59" s="69" t="s">
        <v>6854</v>
      </c>
      <c r="AX59" s="70" t="s">
        <v>1143</v>
      </c>
      <c r="AZ59" s="67">
        <v>1805</v>
      </c>
      <c r="BA59" s="83">
        <v>52</v>
      </c>
      <c r="BB59" s="69" t="s">
        <v>6855</v>
      </c>
      <c r="BC59" s="70" t="s">
        <v>1709</v>
      </c>
      <c r="BE59" s="67">
        <v>1808</v>
      </c>
      <c r="BF59" s="83">
        <v>52</v>
      </c>
      <c r="BG59" s="69" t="s">
        <v>46</v>
      </c>
      <c r="BH59" s="70" t="s">
        <v>46</v>
      </c>
    </row>
    <row r="60" spans="1:60">
      <c r="A60" s="1"/>
      <c r="B60" s="67">
        <v>1502</v>
      </c>
      <c r="C60" s="83">
        <v>53</v>
      </c>
      <c r="D60" s="69" t="s">
        <v>46</v>
      </c>
      <c r="E60" s="70" t="s">
        <v>46</v>
      </c>
      <c r="G60" s="67">
        <v>1505</v>
      </c>
      <c r="H60" s="83">
        <v>53</v>
      </c>
      <c r="I60" s="69" t="s">
        <v>6856</v>
      </c>
      <c r="J60" s="70" t="s">
        <v>1239</v>
      </c>
      <c r="L60" s="67">
        <v>1508</v>
      </c>
      <c r="M60" s="83">
        <v>53</v>
      </c>
      <c r="N60" s="69" t="s">
        <v>46</v>
      </c>
      <c r="O60" s="70" t="s">
        <v>46</v>
      </c>
      <c r="Q60" s="41">
        <v>1602</v>
      </c>
      <c r="R60" s="42">
        <v>53</v>
      </c>
      <c r="S60" s="43" t="s">
        <v>46</v>
      </c>
      <c r="T60" s="44" t="s">
        <v>46</v>
      </c>
      <c r="V60" s="41">
        <v>1605</v>
      </c>
      <c r="W60" s="33">
        <v>53</v>
      </c>
      <c r="X60" s="43" t="s">
        <v>6857</v>
      </c>
      <c r="Y60" s="44" t="s">
        <v>321</v>
      </c>
      <c r="AA60" s="41">
        <v>1608</v>
      </c>
      <c r="AB60" s="33">
        <v>53</v>
      </c>
      <c r="AC60" s="43" t="s">
        <v>46</v>
      </c>
      <c r="AD60" s="44" t="s">
        <v>46</v>
      </c>
      <c r="AF60" s="41">
        <v>1702</v>
      </c>
      <c r="AG60" s="33">
        <v>53</v>
      </c>
      <c r="AH60" s="43" t="s">
        <v>46</v>
      </c>
      <c r="AI60" s="44" t="s">
        <v>46</v>
      </c>
      <c r="AK60" s="41">
        <v>1705</v>
      </c>
      <c r="AL60" s="33">
        <v>53</v>
      </c>
      <c r="AM60" s="43" t="s">
        <v>6856</v>
      </c>
      <c r="AN60" s="44" t="s">
        <v>1239</v>
      </c>
      <c r="AP60" s="41">
        <v>1708</v>
      </c>
      <c r="AQ60" s="33">
        <v>53</v>
      </c>
      <c r="AR60" s="43" t="s">
        <v>46</v>
      </c>
      <c r="AS60" s="44" t="s">
        <v>46</v>
      </c>
      <c r="AU60" s="67">
        <v>1802</v>
      </c>
      <c r="AV60" s="68">
        <v>53</v>
      </c>
      <c r="AW60" s="69" t="s">
        <v>46</v>
      </c>
      <c r="AX60" s="70" t="s">
        <v>46</v>
      </c>
      <c r="AZ60" s="67">
        <v>1805</v>
      </c>
      <c r="BA60" s="83">
        <v>53</v>
      </c>
      <c r="BB60" s="69" t="s">
        <v>6857</v>
      </c>
      <c r="BC60" s="70" t="s">
        <v>321</v>
      </c>
      <c r="BE60" s="67">
        <v>1808</v>
      </c>
      <c r="BF60" s="83">
        <v>53</v>
      </c>
      <c r="BG60" s="69" t="s">
        <v>46</v>
      </c>
      <c r="BH60" s="70" t="s">
        <v>46</v>
      </c>
    </row>
    <row r="61" spans="1:60">
      <c r="A61" s="1"/>
      <c r="B61" s="67">
        <v>1502</v>
      </c>
      <c r="C61" s="83">
        <v>54</v>
      </c>
      <c r="D61" s="69" t="s">
        <v>46</v>
      </c>
      <c r="E61" s="70" t="s">
        <v>46</v>
      </c>
      <c r="G61" s="67">
        <v>1505</v>
      </c>
      <c r="H61" s="83">
        <v>54</v>
      </c>
      <c r="I61" s="69" t="s">
        <v>6858</v>
      </c>
      <c r="J61" s="70" t="s">
        <v>2713</v>
      </c>
      <c r="L61" s="67">
        <v>1508</v>
      </c>
      <c r="M61" s="83">
        <v>54</v>
      </c>
      <c r="N61" s="69" t="s">
        <v>6859</v>
      </c>
      <c r="O61" s="70" t="s">
        <v>775</v>
      </c>
      <c r="Q61" s="41">
        <v>1602</v>
      </c>
      <c r="R61" s="42">
        <v>54</v>
      </c>
      <c r="S61" s="43" t="s">
        <v>6860</v>
      </c>
      <c r="T61" s="44" t="s">
        <v>1619</v>
      </c>
      <c r="V61" s="41">
        <v>1605</v>
      </c>
      <c r="W61" s="33">
        <v>54</v>
      </c>
      <c r="X61" s="43" t="s">
        <v>6861</v>
      </c>
      <c r="Y61" s="44" t="s">
        <v>1714</v>
      </c>
      <c r="AA61" s="41">
        <v>1608</v>
      </c>
      <c r="AB61" s="33">
        <v>54</v>
      </c>
      <c r="AC61" s="43" t="s">
        <v>46</v>
      </c>
      <c r="AD61" s="44" t="s">
        <v>46</v>
      </c>
      <c r="AF61" s="41">
        <v>1702</v>
      </c>
      <c r="AG61" s="33">
        <v>54</v>
      </c>
      <c r="AH61" s="43" t="s">
        <v>46</v>
      </c>
      <c r="AI61" s="44" t="s">
        <v>46</v>
      </c>
      <c r="AK61" s="41">
        <v>1705</v>
      </c>
      <c r="AL61" s="33">
        <v>54</v>
      </c>
      <c r="AM61" s="43" t="s">
        <v>6858</v>
      </c>
      <c r="AN61" s="44" t="s">
        <v>2713</v>
      </c>
      <c r="AP61" s="41">
        <v>1708</v>
      </c>
      <c r="AQ61" s="33">
        <v>54</v>
      </c>
      <c r="AR61" s="43" t="s">
        <v>6859</v>
      </c>
      <c r="AS61" s="44" t="s">
        <v>775</v>
      </c>
      <c r="AU61" s="67">
        <v>1802</v>
      </c>
      <c r="AV61" s="68">
        <v>54</v>
      </c>
      <c r="AW61" s="69" t="s">
        <v>6860</v>
      </c>
      <c r="AX61" s="70" t="s">
        <v>1619</v>
      </c>
      <c r="AZ61" s="67">
        <v>1805</v>
      </c>
      <c r="BA61" s="83">
        <v>54</v>
      </c>
      <c r="BB61" s="69" t="s">
        <v>6861</v>
      </c>
      <c r="BC61" s="70" t="s">
        <v>1714</v>
      </c>
      <c r="BE61" s="67">
        <v>1808</v>
      </c>
      <c r="BF61" s="83">
        <v>54</v>
      </c>
      <c r="BG61" s="69" t="s">
        <v>46</v>
      </c>
      <c r="BH61" s="70" t="s">
        <v>46</v>
      </c>
    </row>
    <row r="62" spans="1:60">
      <c r="A62" s="1"/>
      <c r="B62" s="67">
        <v>1502</v>
      </c>
      <c r="C62" s="83">
        <v>55</v>
      </c>
      <c r="D62" s="69" t="s">
        <v>46</v>
      </c>
      <c r="E62" s="70" t="s">
        <v>46</v>
      </c>
      <c r="G62" s="67">
        <v>1505</v>
      </c>
      <c r="H62" s="83">
        <v>55</v>
      </c>
      <c r="I62" s="69" t="s">
        <v>6862</v>
      </c>
      <c r="J62" s="70" t="s">
        <v>1028</v>
      </c>
      <c r="L62" s="67">
        <v>1508</v>
      </c>
      <c r="M62" s="83">
        <v>55</v>
      </c>
      <c r="N62" s="69" t="s">
        <v>6863</v>
      </c>
      <c r="O62" s="70" t="s">
        <v>1274</v>
      </c>
      <c r="Q62" s="41">
        <v>1602</v>
      </c>
      <c r="R62" s="42">
        <v>55</v>
      </c>
      <c r="S62" s="43" t="s">
        <v>46</v>
      </c>
      <c r="T62" s="44" t="s">
        <v>46</v>
      </c>
      <c r="V62" s="41">
        <v>1605</v>
      </c>
      <c r="W62" s="33">
        <v>55</v>
      </c>
      <c r="X62" s="43" t="s">
        <v>6864</v>
      </c>
      <c r="Y62" s="44" t="s">
        <v>1063</v>
      </c>
      <c r="AA62" s="41">
        <v>1608</v>
      </c>
      <c r="AB62" s="33">
        <v>55</v>
      </c>
      <c r="AC62" s="43" t="s">
        <v>46</v>
      </c>
      <c r="AD62" s="44" t="s">
        <v>46</v>
      </c>
      <c r="AF62" s="41">
        <v>1702</v>
      </c>
      <c r="AG62" s="33">
        <v>55</v>
      </c>
      <c r="AH62" s="43" t="s">
        <v>46</v>
      </c>
      <c r="AI62" s="44" t="s">
        <v>46</v>
      </c>
      <c r="AK62" s="41">
        <v>1705</v>
      </c>
      <c r="AL62" s="33">
        <v>55</v>
      </c>
      <c r="AM62" s="43" t="s">
        <v>6862</v>
      </c>
      <c r="AN62" s="44" t="s">
        <v>1028</v>
      </c>
      <c r="AP62" s="41">
        <v>1708</v>
      </c>
      <c r="AQ62" s="33">
        <v>55</v>
      </c>
      <c r="AR62" s="43" t="s">
        <v>6863</v>
      </c>
      <c r="AS62" s="44" t="s">
        <v>1274</v>
      </c>
      <c r="AU62" s="67">
        <v>1802</v>
      </c>
      <c r="AV62" s="68">
        <v>55</v>
      </c>
      <c r="AW62" s="69" t="s">
        <v>46</v>
      </c>
      <c r="AX62" s="70" t="s">
        <v>46</v>
      </c>
      <c r="AZ62" s="67">
        <v>1805</v>
      </c>
      <c r="BA62" s="83">
        <v>55</v>
      </c>
      <c r="BB62" s="69" t="s">
        <v>6864</v>
      </c>
      <c r="BC62" s="70" t="s">
        <v>1063</v>
      </c>
      <c r="BE62" s="67">
        <v>1808</v>
      </c>
      <c r="BF62" s="83">
        <v>55</v>
      </c>
      <c r="BG62" s="69" t="s">
        <v>46</v>
      </c>
      <c r="BH62" s="70" t="s">
        <v>46</v>
      </c>
    </row>
    <row r="63" spans="1:60">
      <c r="A63" s="1"/>
      <c r="B63" s="67">
        <v>1502</v>
      </c>
      <c r="C63" s="83">
        <v>56</v>
      </c>
      <c r="D63" s="69" t="s">
        <v>6865</v>
      </c>
      <c r="E63" s="70" t="s">
        <v>1379</v>
      </c>
      <c r="G63" s="67">
        <v>1505</v>
      </c>
      <c r="H63" s="83">
        <v>56</v>
      </c>
      <c r="I63" s="69" t="s">
        <v>46</v>
      </c>
      <c r="J63" s="70" t="s">
        <v>46</v>
      </c>
      <c r="L63" s="67">
        <v>1508</v>
      </c>
      <c r="M63" s="83">
        <v>56</v>
      </c>
      <c r="N63" s="69" t="s">
        <v>46</v>
      </c>
      <c r="O63" s="70" t="s">
        <v>46</v>
      </c>
      <c r="Q63" s="41">
        <v>1602</v>
      </c>
      <c r="R63" s="42">
        <v>56</v>
      </c>
      <c r="S63" s="43" t="s">
        <v>6866</v>
      </c>
      <c r="T63" s="44" t="s">
        <v>2519</v>
      </c>
      <c r="V63" s="41">
        <v>1605</v>
      </c>
      <c r="W63" s="33">
        <v>56</v>
      </c>
      <c r="X63" s="43" t="s">
        <v>6867</v>
      </c>
      <c r="Y63" s="44" t="s">
        <v>3030</v>
      </c>
      <c r="AA63" s="41">
        <v>1608</v>
      </c>
      <c r="AB63" s="33">
        <v>56</v>
      </c>
      <c r="AC63" s="43" t="s">
        <v>46</v>
      </c>
      <c r="AD63" s="44" t="s">
        <v>46</v>
      </c>
      <c r="AF63" s="41">
        <v>1702</v>
      </c>
      <c r="AG63" s="33">
        <v>56</v>
      </c>
      <c r="AH63" s="43" t="s">
        <v>6865</v>
      </c>
      <c r="AI63" s="44" t="s">
        <v>1379</v>
      </c>
      <c r="AK63" s="41">
        <v>1705</v>
      </c>
      <c r="AL63" s="33">
        <v>56</v>
      </c>
      <c r="AM63" s="43" t="s">
        <v>46</v>
      </c>
      <c r="AN63" s="44" t="s">
        <v>46</v>
      </c>
      <c r="AP63" s="41">
        <v>1708</v>
      </c>
      <c r="AQ63" s="33">
        <v>56</v>
      </c>
      <c r="AR63" s="43" t="s">
        <v>46</v>
      </c>
      <c r="AS63" s="44" t="s">
        <v>46</v>
      </c>
      <c r="AU63" s="67">
        <v>1802</v>
      </c>
      <c r="AV63" s="68">
        <v>56</v>
      </c>
      <c r="AW63" s="69" t="s">
        <v>6866</v>
      </c>
      <c r="AX63" s="70" t="s">
        <v>2519</v>
      </c>
      <c r="AZ63" s="67">
        <v>1805</v>
      </c>
      <c r="BA63" s="83">
        <v>56</v>
      </c>
      <c r="BB63" s="69" t="s">
        <v>6867</v>
      </c>
      <c r="BC63" s="70" t="s">
        <v>3030</v>
      </c>
      <c r="BE63" s="67">
        <v>1808</v>
      </c>
      <c r="BF63" s="83">
        <v>56</v>
      </c>
      <c r="BG63" s="69" t="s">
        <v>46</v>
      </c>
      <c r="BH63" s="70" t="s">
        <v>46</v>
      </c>
    </row>
    <row r="64" spans="1:60">
      <c r="A64" s="1"/>
      <c r="B64" s="67">
        <v>1502</v>
      </c>
      <c r="C64" s="83">
        <v>57</v>
      </c>
      <c r="D64" s="69" t="s">
        <v>46</v>
      </c>
      <c r="E64" s="70" t="s">
        <v>46</v>
      </c>
      <c r="G64" s="67">
        <v>1505</v>
      </c>
      <c r="H64" s="83">
        <v>57</v>
      </c>
      <c r="I64" s="69" t="s">
        <v>6868</v>
      </c>
      <c r="J64" s="70" t="s">
        <v>1038</v>
      </c>
      <c r="L64" s="67">
        <v>1508</v>
      </c>
      <c r="M64" s="83">
        <v>57</v>
      </c>
      <c r="N64" s="69" t="s">
        <v>6869</v>
      </c>
      <c r="O64" s="70" t="s">
        <v>770</v>
      </c>
      <c r="Q64" s="41">
        <v>1602</v>
      </c>
      <c r="R64" s="42">
        <v>57</v>
      </c>
      <c r="S64" s="43" t="s">
        <v>6870</v>
      </c>
      <c r="T64" s="44" t="s">
        <v>1043</v>
      </c>
      <c r="V64" s="41">
        <v>1605</v>
      </c>
      <c r="W64" s="33">
        <v>57</v>
      </c>
      <c r="X64" s="43" t="s">
        <v>6871</v>
      </c>
      <c r="Y64" s="44" t="s">
        <v>1739</v>
      </c>
      <c r="AA64" s="41">
        <v>1608</v>
      </c>
      <c r="AB64" s="33">
        <v>57</v>
      </c>
      <c r="AC64" s="43" t="s">
        <v>46</v>
      </c>
      <c r="AD64" s="44" t="s">
        <v>46</v>
      </c>
      <c r="AF64" s="41">
        <v>1702</v>
      </c>
      <c r="AG64" s="33">
        <v>57</v>
      </c>
      <c r="AH64" s="43" t="s">
        <v>46</v>
      </c>
      <c r="AI64" s="44" t="s">
        <v>46</v>
      </c>
      <c r="AK64" s="41">
        <v>1705</v>
      </c>
      <c r="AL64" s="33">
        <v>57</v>
      </c>
      <c r="AM64" s="43" t="s">
        <v>6868</v>
      </c>
      <c r="AN64" s="44" t="s">
        <v>1038</v>
      </c>
      <c r="AP64" s="41">
        <v>1708</v>
      </c>
      <c r="AQ64" s="33">
        <v>57</v>
      </c>
      <c r="AR64" s="43" t="s">
        <v>6869</v>
      </c>
      <c r="AS64" s="44" t="s">
        <v>770</v>
      </c>
      <c r="AU64" s="67">
        <v>1802</v>
      </c>
      <c r="AV64" s="68">
        <v>57</v>
      </c>
      <c r="AW64" s="69" t="s">
        <v>6870</v>
      </c>
      <c r="AX64" s="70" t="s">
        <v>1043</v>
      </c>
      <c r="AZ64" s="67">
        <v>1805</v>
      </c>
      <c r="BA64" s="83">
        <v>57</v>
      </c>
      <c r="BB64" s="69" t="s">
        <v>6871</v>
      </c>
      <c r="BC64" s="70" t="s">
        <v>1739</v>
      </c>
      <c r="BE64" s="67">
        <v>1808</v>
      </c>
      <c r="BF64" s="83">
        <v>57</v>
      </c>
      <c r="BG64" s="69" t="s">
        <v>46</v>
      </c>
      <c r="BH64" s="70" t="s">
        <v>46</v>
      </c>
    </row>
    <row r="65" spans="1:60">
      <c r="A65" s="1"/>
      <c r="B65" s="67">
        <v>1502</v>
      </c>
      <c r="C65" s="83">
        <v>58</v>
      </c>
      <c r="D65" s="69" t="s">
        <v>6872</v>
      </c>
      <c r="E65" s="70" t="s">
        <v>1474</v>
      </c>
      <c r="G65" s="67">
        <v>1505</v>
      </c>
      <c r="H65" s="83">
        <v>58</v>
      </c>
      <c r="I65" s="69" t="s">
        <v>46</v>
      </c>
      <c r="J65" s="70" t="s">
        <v>46</v>
      </c>
      <c r="L65" s="67">
        <v>1508</v>
      </c>
      <c r="M65" s="83">
        <v>58</v>
      </c>
      <c r="N65" s="69" t="s">
        <v>46</v>
      </c>
      <c r="O65" s="70" t="s">
        <v>46</v>
      </c>
      <c r="Q65" s="41">
        <v>1602</v>
      </c>
      <c r="R65" s="42">
        <v>58</v>
      </c>
      <c r="S65" s="43" t="s">
        <v>6873</v>
      </c>
      <c r="T65" s="44" t="s">
        <v>2511</v>
      </c>
      <c r="V65" s="41">
        <v>1605</v>
      </c>
      <c r="W65" s="33">
        <v>58</v>
      </c>
      <c r="X65" s="43" t="s">
        <v>6874</v>
      </c>
      <c r="Y65" s="44" t="s">
        <v>3103</v>
      </c>
      <c r="AA65" s="41">
        <v>1608</v>
      </c>
      <c r="AB65" s="33">
        <v>58</v>
      </c>
      <c r="AC65" s="43" t="s">
        <v>46</v>
      </c>
      <c r="AD65" s="44" t="s">
        <v>46</v>
      </c>
      <c r="AF65" s="41">
        <v>1702</v>
      </c>
      <c r="AG65" s="33">
        <v>58</v>
      </c>
      <c r="AH65" s="43" t="s">
        <v>6872</v>
      </c>
      <c r="AI65" s="44" t="s">
        <v>1474</v>
      </c>
      <c r="AK65" s="41">
        <v>1705</v>
      </c>
      <c r="AL65" s="33">
        <v>58</v>
      </c>
      <c r="AM65" s="43" t="s">
        <v>46</v>
      </c>
      <c r="AN65" s="44" t="s">
        <v>46</v>
      </c>
      <c r="AP65" s="41">
        <v>1708</v>
      </c>
      <c r="AQ65" s="33">
        <v>58</v>
      </c>
      <c r="AR65" s="43" t="s">
        <v>46</v>
      </c>
      <c r="AS65" s="44" t="s">
        <v>46</v>
      </c>
      <c r="AU65" s="67">
        <v>1802</v>
      </c>
      <c r="AV65" s="68">
        <v>58</v>
      </c>
      <c r="AW65" s="69" t="s">
        <v>6873</v>
      </c>
      <c r="AX65" s="70" t="s">
        <v>2511</v>
      </c>
      <c r="AZ65" s="67">
        <v>1805</v>
      </c>
      <c r="BA65" s="83">
        <v>58</v>
      </c>
      <c r="BB65" s="69" t="s">
        <v>6874</v>
      </c>
      <c r="BC65" s="70" t="s">
        <v>3103</v>
      </c>
      <c r="BE65" s="67">
        <v>1808</v>
      </c>
      <c r="BF65" s="83">
        <v>58</v>
      </c>
      <c r="BG65" s="69" t="s">
        <v>46</v>
      </c>
      <c r="BH65" s="70" t="s">
        <v>46</v>
      </c>
    </row>
    <row r="66" spans="1:60">
      <c r="A66" s="1"/>
      <c r="B66" s="67">
        <v>1502</v>
      </c>
      <c r="C66" s="83">
        <v>59</v>
      </c>
      <c r="D66" s="69" t="s">
        <v>6875</v>
      </c>
      <c r="E66" s="70" t="s">
        <v>1899</v>
      </c>
      <c r="G66" s="67">
        <v>1505</v>
      </c>
      <c r="H66" s="83">
        <v>59</v>
      </c>
      <c r="I66" s="69" t="s">
        <v>6876</v>
      </c>
      <c r="J66" s="70" t="s">
        <v>2317</v>
      </c>
      <c r="L66" s="67">
        <v>1508</v>
      </c>
      <c r="M66" s="83">
        <v>59</v>
      </c>
      <c r="N66" s="69" t="s">
        <v>6877</v>
      </c>
      <c r="O66" s="70" t="s">
        <v>2414</v>
      </c>
      <c r="Q66" s="41">
        <v>1602</v>
      </c>
      <c r="R66" s="42">
        <v>59</v>
      </c>
      <c r="S66" s="43" t="s">
        <v>6878</v>
      </c>
      <c r="T66" s="44" t="s">
        <v>3233</v>
      </c>
      <c r="V66" s="41">
        <v>1605</v>
      </c>
      <c r="W66" s="33">
        <v>59</v>
      </c>
      <c r="X66" s="43" t="s">
        <v>6879</v>
      </c>
      <c r="Y66" s="44" t="s">
        <v>647</v>
      </c>
      <c r="AA66" s="41">
        <v>1608</v>
      </c>
      <c r="AB66" s="33">
        <v>59</v>
      </c>
      <c r="AC66" s="43" t="s">
        <v>6880</v>
      </c>
      <c r="AD66" s="44" t="s">
        <v>102</v>
      </c>
      <c r="AF66" s="41">
        <v>1702</v>
      </c>
      <c r="AG66" s="33">
        <v>59</v>
      </c>
      <c r="AH66" s="43" t="s">
        <v>6875</v>
      </c>
      <c r="AI66" s="44" t="s">
        <v>1899</v>
      </c>
      <c r="AK66" s="41">
        <v>1705</v>
      </c>
      <c r="AL66" s="33">
        <v>59</v>
      </c>
      <c r="AM66" s="43" t="s">
        <v>6876</v>
      </c>
      <c r="AN66" s="44" t="s">
        <v>2317</v>
      </c>
      <c r="AP66" s="41">
        <v>1708</v>
      </c>
      <c r="AQ66" s="33">
        <v>59</v>
      </c>
      <c r="AR66" s="43" t="s">
        <v>6877</v>
      </c>
      <c r="AS66" s="44" t="s">
        <v>2414</v>
      </c>
      <c r="AU66" s="67">
        <v>1802</v>
      </c>
      <c r="AV66" s="68">
        <v>59</v>
      </c>
      <c r="AW66" s="69" t="s">
        <v>6878</v>
      </c>
      <c r="AX66" s="70" t="s">
        <v>3233</v>
      </c>
      <c r="AZ66" s="67">
        <v>1805</v>
      </c>
      <c r="BA66" s="83">
        <v>59</v>
      </c>
      <c r="BB66" s="69" t="s">
        <v>6879</v>
      </c>
      <c r="BC66" s="70" t="s">
        <v>647</v>
      </c>
      <c r="BE66" s="67">
        <v>1808</v>
      </c>
      <c r="BF66" s="83">
        <v>59</v>
      </c>
      <c r="BG66" s="69" t="s">
        <v>6880</v>
      </c>
      <c r="BH66" s="70" t="s">
        <v>102</v>
      </c>
    </row>
    <row r="67" spans="1:60">
      <c r="A67" s="1"/>
      <c r="B67" s="67">
        <v>1502</v>
      </c>
      <c r="C67" s="83">
        <v>60</v>
      </c>
      <c r="D67" s="69" t="s">
        <v>6881</v>
      </c>
      <c r="E67" s="70" t="s">
        <v>2527</v>
      </c>
      <c r="G67" s="67">
        <v>1505</v>
      </c>
      <c r="H67" s="83">
        <v>60</v>
      </c>
      <c r="I67" s="69" t="s">
        <v>6882</v>
      </c>
      <c r="J67" s="70" t="s">
        <v>2174</v>
      </c>
      <c r="L67" s="67">
        <v>1508</v>
      </c>
      <c r="M67" s="83">
        <v>60</v>
      </c>
      <c r="N67" s="69" t="s">
        <v>6883</v>
      </c>
      <c r="O67" s="70" t="s">
        <v>3458</v>
      </c>
      <c r="Q67" s="41">
        <v>1602</v>
      </c>
      <c r="R67" s="42">
        <v>60</v>
      </c>
      <c r="S67" s="43" t="s">
        <v>6884</v>
      </c>
      <c r="T67" s="44" t="s">
        <v>1734</v>
      </c>
      <c r="V67" s="41">
        <v>1605</v>
      </c>
      <c r="W67" s="33">
        <v>60</v>
      </c>
      <c r="X67" s="43" t="s">
        <v>6885</v>
      </c>
      <c r="Y67" s="44" t="s">
        <v>3054</v>
      </c>
      <c r="AA67" s="41">
        <v>1608</v>
      </c>
      <c r="AB67" s="33">
        <v>60</v>
      </c>
      <c r="AC67" s="43" t="s">
        <v>6886</v>
      </c>
      <c r="AD67" s="44" t="s">
        <v>167</v>
      </c>
      <c r="AF67" s="41">
        <v>1702</v>
      </c>
      <c r="AG67" s="33">
        <v>60</v>
      </c>
      <c r="AH67" s="43" t="s">
        <v>6881</v>
      </c>
      <c r="AI67" s="44" t="s">
        <v>2527</v>
      </c>
      <c r="AK67" s="41">
        <v>1705</v>
      </c>
      <c r="AL67" s="33">
        <v>60</v>
      </c>
      <c r="AM67" s="43" t="s">
        <v>6882</v>
      </c>
      <c r="AN67" s="44" t="s">
        <v>2174</v>
      </c>
      <c r="AP67" s="41">
        <v>1708</v>
      </c>
      <c r="AQ67" s="33">
        <v>60</v>
      </c>
      <c r="AR67" s="43" t="s">
        <v>6883</v>
      </c>
      <c r="AS67" s="44" t="s">
        <v>3458</v>
      </c>
      <c r="AU67" s="67">
        <v>1802</v>
      </c>
      <c r="AV67" s="68">
        <v>60</v>
      </c>
      <c r="AW67" s="69" t="s">
        <v>6884</v>
      </c>
      <c r="AX67" s="70" t="s">
        <v>1734</v>
      </c>
      <c r="AZ67" s="67">
        <v>1805</v>
      </c>
      <c r="BA67" s="83">
        <v>60</v>
      </c>
      <c r="BB67" s="69" t="s">
        <v>6885</v>
      </c>
      <c r="BC67" s="70" t="s">
        <v>3054</v>
      </c>
      <c r="BE67" s="67">
        <v>1808</v>
      </c>
      <c r="BF67" s="83">
        <v>60</v>
      </c>
      <c r="BG67" s="69" t="s">
        <v>6886</v>
      </c>
      <c r="BH67" s="70" t="s">
        <v>167</v>
      </c>
    </row>
    <row r="68" spans="1:60">
      <c r="A68" s="1"/>
      <c r="B68" s="67">
        <v>1502</v>
      </c>
      <c r="C68" s="83">
        <v>61</v>
      </c>
      <c r="D68" s="69" t="s">
        <v>6887</v>
      </c>
      <c r="E68" s="70" t="s">
        <v>1887</v>
      </c>
      <c r="G68" s="67">
        <v>1505</v>
      </c>
      <c r="H68" s="83">
        <v>61</v>
      </c>
      <c r="I68" s="69" t="s">
        <v>6888</v>
      </c>
      <c r="J68" s="70" t="s">
        <v>2327</v>
      </c>
      <c r="L68" s="67">
        <v>1508</v>
      </c>
      <c r="M68" s="83">
        <v>61</v>
      </c>
      <c r="N68" s="69" t="s">
        <v>6889</v>
      </c>
      <c r="O68" s="70" t="s">
        <v>2405</v>
      </c>
      <c r="Q68" s="41">
        <v>1602</v>
      </c>
      <c r="R68" s="42">
        <v>61</v>
      </c>
      <c r="S68" s="43" t="s">
        <v>6890</v>
      </c>
      <c r="T68" s="44" t="s">
        <v>3241</v>
      </c>
      <c r="V68" s="41">
        <v>1605</v>
      </c>
      <c r="W68" s="33">
        <v>61</v>
      </c>
      <c r="X68" s="43" t="s">
        <v>6891</v>
      </c>
      <c r="Y68" s="44" t="s">
        <v>655</v>
      </c>
      <c r="AA68" s="41">
        <v>1608</v>
      </c>
      <c r="AB68" s="33">
        <v>61</v>
      </c>
      <c r="AC68" s="43" t="s">
        <v>6892</v>
      </c>
      <c r="AD68" s="44" t="s">
        <v>177</v>
      </c>
      <c r="AF68" s="41">
        <v>1702</v>
      </c>
      <c r="AG68" s="33">
        <v>61</v>
      </c>
      <c r="AH68" s="43" t="s">
        <v>6887</v>
      </c>
      <c r="AI68" s="44" t="s">
        <v>1887</v>
      </c>
      <c r="AK68" s="41">
        <v>1705</v>
      </c>
      <c r="AL68" s="33">
        <v>61</v>
      </c>
      <c r="AM68" s="43" t="s">
        <v>6888</v>
      </c>
      <c r="AN68" s="44" t="s">
        <v>2327</v>
      </c>
      <c r="AP68" s="41">
        <v>1708</v>
      </c>
      <c r="AQ68" s="33">
        <v>61</v>
      </c>
      <c r="AR68" s="43" t="s">
        <v>6889</v>
      </c>
      <c r="AS68" s="44" t="s">
        <v>2405</v>
      </c>
      <c r="AU68" s="67">
        <v>1802</v>
      </c>
      <c r="AV68" s="68">
        <v>61</v>
      </c>
      <c r="AW68" s="69" t="s">
        <v>6890</v>
      </c>
      <c r="AX68" s="70" t="s">
        <v>3241</v>
      </c>
      <c r="AZ68" s="67">
        <v>1805</v>
      </c>
      <c r="BA68" s="83">
        <v>61</v>
      </c>
      <c r="BB68" s="69" t="s">
        <v>6891</v>
      </c>
      <c r="BC68" s="70" t="s">
        <v>655</v>
      </c>
      <c r="BE68" s="67">
        <v>1808</v>
      </c>
      <c r="BF68" s="83">
        <v>61</v>
      </c>
      <c r="BG68" s="69" t="s">
        <v>6892</v>
      </c>
      <c r="BH68" s="70" t="s">
        <v>177</v>
      </c>
    </row>
    <row r="69" spans="1:60">
      <c r="A69" s="1"/>
      <c r="B69" s="67">
        <v>1502</v>
      </c>
      <c r="C69" s="83">
        <v>62</v>
      </c>
      <c r="D69" s="69" t="s">
        <v>6893</v>
      </c>
      <c r="E69" s="70" t="s">
        <v>2537</v>
      </c>
      <c r="G69" s="67">
        <v>1505</v>
      </c>
      <c r="H69" s="83">
        <v>62</v>
      </c>
      <c r="I69" s="69" t="s">
        <v>6894</v>
      </c>
      <c r="J69" s="70" t="s">
        <v>2184</v>
      </c>
      <c r="L69" s="67">
        <v>1508</v>
      </c>
      <c r="M69" s="83">
        <v>62</v>
      </c>
      <c r="N69" s="69" t="s">
        <v>6895</v>
      </c>
      <c r="O69" s="70" t="s">
        <v>446</v>
      </c>
      <c r="Q69" s="41">
        <v>1602</v>
      </c>
      <c r="R69" s="42">
        <v>62</v>
      </c>
      <c r="S69" s="43" t="s">
        <v>6896</v>
      </c>
      <c r="T69" s="44" t="s">
        <v>1229</v>
      </c>
      <c r="V69" s="41">
        <v>1605</v>
      </c>
      <c r="W69" s="33">
        <v>62</v>
      </c>
      <c r="X69" s="43" t="s">
        <v>6897</v>
      </c>
      <c r="Y69" s="44" t="s">
        <v>3123</v>
      </c>
      <c r="AA69" s="41">
        <v>1608</v>
      </c>
      <c r="AB69" s="33">
        <v>62</v>
      </c>
      <c r="AC69" s="43" t="s">
        <v>6898</v>
      </c>
      <c r="AD69" s="44" t="s">
        <v>90</v>
      </c>
      <c r="AF69" s="41">
        <v>1702</v>
      </c>
      <c r="AG69" s="33">
        <v>62</v>
      </c>
      <c r="AH69" s="43" t="s">
        <v>6893</v>
      </c>
      <c r="AI69" s="44" t="s">
        <v>2537</v>
      </c>
      <c r="AK69" s="41">
        <v>1705</v>
      </c>
      <c r="AL69" s="33">
        <v>62</v>
      </c>
      <c r="AM69" s="43" t="s">
        <v>6894</v>
      </c>
      <c r="AN69" s="44" t="s">
        <v>2184</v>
      </c>
      <c r="AP69" s="41">
        <v>1708</v>
      </c>
      <c r="AQ69" s="33">
        <v>62</v>
      </c>
      <c r="AR69" s="43" t="s">
        <v>6895</v>
      </c>
      <c r="AS69" s="44" t="s">
        <v>446</v>
      </c>
      <c r="AU69" s="67">
        <v>1802</v>
      </c>
      <c r="AV69" s="68">
        <v>62</v>
      </c>
      <c r="AW69" s="69" t="s">
        <v>6896</v>
      </c>
      <c r="AX69" s="70" t="s">
        <v>1229</v>
      </c>
      <c r="AZ69" s="67">
        <v>1805</v>
      </c>
      <c r="BA69" s="83">
        <v>62</v>
      </c>
      <c r="BB69" s="69" t="s">
        <v>6897</v>
      </c>
      <c r="BC69" s="70" t="s">
        <v>3123</v>
      </c>
      <c r="BE69" s="67">
        <v>1808</v>
      </c>
      <c r="BF69" s="83">
        <v>62</v>
      </c>
      <c r="BG69" s="69" t="s">
        <v>6898</v>
      </c>
      <c r="BH69" s="70" t="s">
        <v>90</v>
      </c>
    </row>
    <row r="70" spans="1:60">
      <c r="A70" s="1"/>
      <c r="B70" s="67">
        <v>1502</v>
      </c>
      <c r="C70" s="83">
        <v>63</v>
      </c>
      <c r="D70" s="69" t="s">
        <v>6899</v>
      </c>
      <c r="E70" s="70" t="s">
        <v>2562</v>
      </c>
      <c r="G70" s="67">
        <v>1505</v>
      </c>
      <c r="H70" s="83">
        <v>63</v>
      </c>
      <c r="I70" s="69" t="s">
        <v>6900</v>
      </c>
      <c r="J70" s="70" t="s">
        <v>1799</v>
      </c>
      <c r="L70" s="67">
        <v>1508</v>
      </c>
      <c r="M70" s="83">
        <v>63</v>
      </c>
      <c r="N70" s="69" t="s">
        <v>6901</v>
      </c>
      <c r="O70" s="70" t="s">
        <v>3178</v>
      </c>
      <c r="Q70" s="41">
        <v>1602</v>
      </c>
      <c r="R70" s="42">
        <v>63</v>
      </c>
      <c r="S70" s="43" t="s">
        <v>6902</v>
      </c>
      <c r="T70" s="44" t="s">
        <v>714</v>
      </c>
      <c r="V70" s="41">
        <v>1605</v>
      </c>
      <c r="W70" s="33">
        <v>63</v>
      </c>
      <c r="X70" s="43" t="s">
        <v>46</v>
      </c>
      <c r="Y70" s="44" t="s">
        <v>46</v>
      </c>
      <c r="AA70" s="41">
        <v>1608</v>
      </c>
      <c r="AB70" s="33">
        <v>63</v>
      </c>
      <c r="AC70" s="43" t="s">
        <v>6903</v>
      </c>
      <c r="AD70" s="44" t="s">
        <v>71</v>
      </c>
      <c r="AF70" s="41">
        <v>1702</v>
      </c>
      <c r="AG70" s="33">
        <v>63</v>
      </c>
      <c r="AH70" s="43" t="s">
        <v>6899</v>
      </c>
      <c r="AI70" s="44" t="s">
        <v>2562</v>
      </c>
      <c r="AK70" s="41">
        <v>1705</v>
      </c>
      <c r="AL70" s="33">
        <v>63</v>
      </c>
      <c r="AM70" s="43" t="s">
        <v>6900</v>
      </c>
      <c r="AN70" s="44" t="s">
        <v>1799</v>
      </c>
      <c r="AP70" s="41">
        <v>1708</v>
      </c>
      <c r="AQ70" s="33">
        <v>63</v>
      </c>
      <c r="AR70" s="43" t="s">
        <v>6901</v>
      </c>
      <c r="AS70" s="44" t="s">
        <v>3178</v>
      </c>
      <c r="AU70" s="67">
        <v>1802</v>
      </c>
      <c r="AV70" s="68">
        <v>63</v>
      </c>
      <c r="AW70" s="69" t="s">
        <v>6902</v>
      </c>
      <c r="AX70" s="70" t="s">
        <v>714</v>
      </c>
      <c r="AZ70" s="67">
        <v>1805</v>
      </c>
      <c r="BA70" s="83">
        <v>63</v>
      </c>
      <c r="BB70" s="69" t="s">
        <v>46</v>
      </c>
      <c r="BC70" s="70" t="s">
        <v>46</v>
      </c>
      <c r="BE70" s="67">
        <v>1808</v>
      </c>
      <c r="BF70" s="83">
        <v>63</v>
      </c>
      <c r="BG70" s="69" t="s">
        <v>6903</v>
      </c>
      <c r="BH70" s="70" t="s">
        <v>71</v>
      </c>
    </row>
    <row r="71" spans="1:60" ht="15" thickBot="1">
      <c r="A71" s="1"/>
      <c r="B71" s="78">
        <v>1502</v>
      </c>
      <c r="C71" s="86">
        <v>64</v>
      </c>
      <c r="D71" s="80" t="s">
        <v>6904</v>
      </c>
      <c r="E71" s="74" t="s">
        <v>745</v>
      </c>
      <c r="G71" s="78">
        <v>1505</v>
      </c>
      <c r="H71" s="86">
        <v>64</v>
      </c>
      <c r="I71" s="80" t="s">
        <v>6905</v>
      </c>
      <c r="J71" s="74" t="s">
        <v>3138</v>
      </c>
      <c r="L71" s="78">
        <v>1508</v>
      </c>
      <c r="M71" s="86">
        <v>64</v>
      </c>
      <c r="N71" s="80" t="s">
        <v>6906</v>
      </c>
      <c r="O71" s="74" t="s">
        <v>423</v>
      </c>
      <c r="Q71" s="52">
        <v>1602</v>
      </c>
      <c r="R71" s="53">
        <v>64</v>
      </c>
      <c r="S71" s="54" t="s">
        <v>6907</v>
      </c>
      <c r="T71" s="48" t="s">
        <v>1184</v>
      </c>
      <c r="V71" s="52">
        <v>1605</v>
      </c>
      <c r="W71" s="59">
        <v>64</v>
      </c>
      <c r="X71" s="54" t="s">
        <v>6908</v>
      </c>
      <c r="Y71" s="48" t="s">
        <v>3118</v>
      </c>
      <c r="AA71" s="52">
        <v>1608</v>
      </c>
      <c r="AB71" s="59">
        <v>64</v>
      </c>
      <c r="AC71" s="54" t="s">
        <v>6909</v>
      </c>
      <c r="AD71" s="48" t="s">
        <v>2803</v>
      </c>
      <c r="AF71" s="52">
        <v>1702</v>
      </c>
      <c r="AG71" s="59">
        <v>64</v>
      </c>
      <c r="AH71" s="54" t="s">
        <v>6904</v>
      </c>
      <c r="AI71" s="48" t="s">
        <v>745</v>
      </c>
      <c r="AK71" s="52">
        <v>1705</v>
      </c>
      <c r="AL71" s="59">
        <v>64</v>
      </c>
      <c r="AM71" s="54" t="s">
        <v>6905</v>
      </c>
      <c r="AN71" s="48" t="s">
        <v>3138</v>
      </c>
      <c r="AP71" s="52">
        <v>1708</v>
      </c>
      <c r="AQ71" s="59">
        <v>64</v>
      </c>
      <c r="AR71" s="54" t="s">
        <v>6906</v>
      </c>
      <c r="AS71" s="48" t="s">
        <v>423</v>
      </c>
      <c r="AU71" s="78">
        <v>1802</v>
      </c>
      <c r="AV71" s="79">
        <v>64</v>
      </c>
      <c r="AW71" s="80" t="s">
        <v>6907</v>
      </c>
      <c r="AX71" s="74" t="s">
        <v>1184</v>
      </c>
      <c r="AZ71" s="78">
        <v>1805</v>
      </c>
      <c r="BA71" s="86">
        <v>64</v>
      </c>
      <c r="BB71" s="80" t="s">
        <v>6908</v>
      </c>
      <c r="BC71" s="74" t="s">
        <v>3118</v>
      </c>
      <c r="BE71" s="78">
        <v>1808</v>
      </c>
      <c r="BF71" s="86">
        <v>64</v>
      </c>
      <c r="BG71" s="80" t="s">
        <v>6909</v>
      </c>
      <c r="BH71" s="74" t="s">
        <v>2803</v>
      </c>
    </row>
    <row r="72" spans="1:60">
      <c r="A72" s="1"/>
      <c r="B72" s="63">
        <v>1502</v>
      </c>
      <c r="C72" s="82">
        <v>65</v>
      </c>
      <c r="D72" s="81" t="s">
        <v>6910</v>
      </c>
      <c r="E72" s="66" t="s">
        <v>2573</v>
      </c>
      <c r="G72" s="63">
        <v>1505</v>
      </c>
      <c r="H72" s="82">
        <v>65</v>
      </c>
      <c r="I72" s="81" t="s">
        <v>6911</v>
      </c>
      <c r="J72" s="66" t="s">
        <v>1179</v>
      </c>
      <c r="L72" s="63">
        <v>1508</v>
      </c>
      <c r="M72" s="82">
        <v>65</v>
      </c>
      <c r="N72" s="81" t="s">
        <v>6912</v>
      </c>
      <c r="O72" s="66" t="s">
        <v>3188</v>
      </c>
      <c r="Q72" s="37">
        <v>1602</v>
      </c>
      <c r="R72" s="38">
        <v>65</v>
      </c>
      <c r="S72" s="55" t="s">
        <v>6913</v>
      </c>
      <c r="T72" s="40" t="s">
        <v>677</v>
      </c>
      <c r="V72" s="37">
        <v>1605</v>
      </c>
      <c r="W72" s="56">
        <v>65</v>
      </c>
      <c r="X72" s="55" t="s">
        <v>46</v>
      </c>
      <c r="Y72" s="40" t="s">
        <v>46</v>
      </c>
      <c r="AA72" s="37">
        <v>1608</v>
      </c>
      <c r="AB72" s="56">
        <v>65</v>
      </c>
      <c r="AC72" s="55" t="s">
        <v>6914</v>
      </c>
      <c r="AD72" s="40" t="s">
        <v>152</v>
      </c>
      <c r="AF72" s="37">
        <v>1702</v>
      </c>
      <c r="AG72" s="56">
        <v>65</v>
      </c>
      <c r="AH72" s="55" t="s">
        <v>6910</v>
      </c>
      <c r="AI72" s="40" t="s">
        <v>2573</v>
      </c>
      <c r="AK72" s="37">
        <v>1705</v>
      </c>
      <c r="AL72" s="56">
        <v>65</v>
      </c>
      <c r="AM72" s="55" t="s">
        <v>6911</v>
      </c>
      <c r="AN72" s="40" t="s">
        <v>1179</v>
      </c>
      <c r="AP72" s="37">
        <v>1708</v>
      </c>
      <c r="AQ72" s="56">
        <v>65</v>
      </c>
      <c r="AR72" s="55" t="s">
        <v>6912</v>
      </c>
      <c r="AS72" s="40" t="s">
        <v>3188</v>
      </c>
      <c r="AU72" s="63">
        <v>1802</v>
      </c>
      <c r="AV72" s="64">
        <v>65</v>
      </c>
      <c r="AW72" s="81" t="s">
        <v>6913</v>
      </c>
      <c r="AX72" s="66" t="s">
        <v>677</v>
      </c>
      <c r="AZ72" s="63">
        <v>1805</v>
      </c>
      <c r="BA72" s="82">
        <v>65</v>
      </c>
      <c r="BB72" s="81" t="s">
        <v>46</v>
      </c>
      <c r="BC72" s="66" t="s">
        <v>46</v>
      </c>
      <c r="BE72" s="63">
        <v>1808</v>
      </c>
      <c r="BF72" s="82">
        <v>65</v>
      </c>
      <c r="BG72" s="81" t="s">
        <v>6914</v>
      </c>
      <c r="BH72" s="66" t="s">
        <v>152</v>
      </c>
    </row>
    <row r="73" spans="1:60">
      <c r="A73" s="1"/>
      <c r="B73" s="67">
        <v>1502</v>
      </c>
      <c r="C73" s="83">
        <v>66</v>
      </c>
      <c r="D73" s="69" t="s">
        <v>6915</v>
      </c>
      <c r="E73" s="70" t="s">
        <v>785</v>
      </c>
      <c r="G73" s="67">
        <v>1505</v>
      </c>
      <c r="H73" s="83">
        <v>66</v>
      </c>
      <c r="I73" s="69" t="s">
        <v>6916</v>
      </c>
      <c r="J73" s="70" t="s">
        <v>3132</v>
      </c>
      <c r="L73" s="67">
        <v>1508</v>
      </c>
      <c r="M73" s="83">
        <v>66</v>
      </c>
      <c r="N73" s="69" t="s">
        <v>6917</v>
      </c>
      <c r="O73" s="70" t="s">
        <v>3379</v>
      </c>
      <c r="Q73" s="41">
        <v>1602</v>
      </c>
      <c r="R73" s="42">
        <v>66</v>
      </c>
      <c r="S73" s="43" t="s">
        <v>6918</v>
      </c>
      <c r="T73" s="44" t="s">
        <v>1789</v>
      </c>
      <c r="V73" s="41">
        <v>1605</v>
      </c>
      <c r="W73" s="33">
        <v>66</v>
      </c>
      <c r="X73" s="43" t="s">
        <v>6919</v>
      </c>
      <c r="Y73" s="44" t="s">
        <v>3048</v>
      </c>
      <c r="AA73" s="41">
        <v>1608</v>
      </c>
      <c r="AB73" s="33">
        <v>66</v>
      </c>
      <c r="AC73" s="43" t="s">
        <v>6920</v>
      </c>
      <c r="AD73" s="44" t="s">
        <v>335</v>
      </c>
      <c r="AF73" s="41">
        <v>1702</v>
      </c>
      <c r="AG73" s="33">
        <v>66</v>
      </c>
      <c r="AH73" s="43" t="s">
        <v>6915</v>
      </c>
      <c r="AI73" s="44" t="s">
        <v>785</v>
      </c>
      <c r="AK73" s="41">
        <v>1705</v>
      </c>
      <c r="AL73" s="33">
        <v>66</v>
      </c>
      <c r="AM73" s="43" t="s">
        <v>6916</v>
      </c>
      <c r="AN73" s="44" t="s">
        <v>3132</v>
      </c>
      <c r="AP73" s="41">
        <v>1708</v>
      </c>
      <c r="AQ73" s="33">
        <v>66</v>
      </c>
      <c r="AR73" s="43" t="s">
        <v>6917</v>
      </c>
      <c r="AS73" s="44" t="s">
        <v>3379</v>
      </c>
      <c r="AU73" s="67">
        <v>1802</v>
      </c>
      <c r="AV73" s="68">
        <v>66</v>
      </c>
      <c r="AW73" s="69" t="s">
        <v>6918</v>
      </c>
      <c r="AX73" s="70" t="s">
        <v>1789</v>
      </c>
      <c r="AZ73" s="67">
        <v>1805</v>
      </c>
      <c r="BA73" s="83">
        <v>66</v>
      </c>
      <c r="BB73" s="69" t="s">
        <v>6919</v>
      </c>
      <c r="BC73" s="70" t="s">
        <v>3048</v>
      </c>
      <c r="BE73" s="67">
        <v>1808</v>
      </c>
      <c r="BF73" s="83">
        <v>66</v>
      </c>
      <c r="BG73" s="69" t="s">
        <v>6920</v>
      </c>
      <c r="BH73" s="70" t="s">
        <v>335</v>
      </c>
    </row>
    <row r="74" spans="1:60">
      <c r="A74" s="1"/>
      <c r="B74" s="67">
        <v>1502</v>
      </c>
      <c r="C74" s="83">
        <v>67</v>
      </c>
      <c r="D74" s="69" t="s">
        <v>6921</v>
      </c>
      <c r="E74" s="70" t="s">
        <v>740</v>
      </c>
      <c r="G74" s="67">
        <v>1505</v>
      </c>
      <c r="H74" s="83">
        <v>67</v>
      </c>
      <c r="I74" s="69" t="s">
        <v>6922</v>
      </c>
      <c r="J74" s="70" t="s">
        <v>3329</v>
      </c>
      <c r="L74" s="67">
        <v>1508</v>
      </c>
      <c r="M74" s="83">
        <v>67</v>
      </c>
      <c r="N74" s="69" t="s">
        <v>6923</v>
      </c>
      <c r="O74" s="70" t="s">
        <v>2850</v>
      </c>
      <c r="Q74" s="41">
        <v>1602</v>
      </c>
      <c r="R74" s="42">
        <v>67</v>
      </c>
      <c r="S74" s="43" t="s">
        <v>46</v>
      </c>
      <c r="T74" s="44" t="s">
        <v>46</v>
      </c>
      <c r="V74" s="41">
        <v>1605</v>
      </c>
      <c r="W74" s="33">
        <v>67</v>
      </c>
      <c r="X74" s="43" t="s">
        <v>6924</v>
      </c>
      <c r="Y74" s="44" t="s">
        <v>3006</v>
      </c>
      <c r="AA74" s="41">
        <v>1608</v>
      </c>
      <c r="AB74" s="33">
        <v>67</v>
      </c>
      <c r="AC74" s="43" t="s">
        <v>6925</v>
      </c>
      <c r="AD74" s="44" t="s">
        <v>131</v>
      </c>
      <c r="AF74" s="41">
        <v>1702</v>
      </c>
      <c r="AG74" s="33">
        <v>67</v>
      </c>
      <c r="AH74" s="43" t="s">
        <v>6921</v>
      </c>
      <c r="AI74" s="44" t="s">
        <v>740</v>
      </c>
      <c r="AK74" s="41">
        <v>1705</v>
      </c>
      <c r="AL74" s="33">
        <v>67</v>
      </c>
      <c r="AM74" s="43" t="s">
        <v>6922</v>
      </c>
      <c r="AN74" s="44" t="s">
        <v>3329</v>
      </c>
      <c r="AP74" s="41">
        <v>1708</v>
      </c>
      <c r="AQ74" s="33">
        <v>67</v>
      </c>
      <c r="AR74" s="43" t="s">
        <v>6923</v>
      </c>
      <c r="AS74" s="44" t="s">
        <v>2850</v>
      </c>
      <c r="AU74" s="67">
        <v>1802</v>
      </c>
      <c r="AV74" s="68">
        <v>67</v>
      </c>
      <c r="AW74" s="69" t="s">
        <v>46</v>
      </c>
      <c r="AX74" s="70" t="s">
        <v>46</v>
      </c>
      <c r="AZ74" s="67">
        <v>1805</v>
      </c>
      <c r="BA74" s="83">
        <v>67</v>
      </c>
      <c r="BB74" s="69" t="s">
        <v>6924</v>
      </c>
      <c r="BC74" s="70" t="s">
        <v>3006</v>
      </c>
      <c r="BE74" s="67">
        <v>1808</v>
      </c>
      <c r="BF74" s="83">
        <v>67</v>
      </c>
      <c r="BG74" s="69" t="s">
        <v>6925</v>
      </c>
      <c r="BH74" s="70" t="s">
        <v>131</v>
      </c>
    </row>
    <row r="75" spans="1:60">
      <c r="A75" s="1"/>
      <c r="B75" s="67">
        <v>1502</v>
      </c>
      <c r="C75" s="83">
        <v>68</v>
      </c>
      <c r="D75" s="69" t="s">
        <v>6926</v>
      </c>
      <c r="E75" s="70" t="s">
        <v>800</v>
      </c>
      <c r="G75" s="67">
        <v>1505</v>
      </c>
      <c r="H75" s="83">
        <v>68</v>
      </c>
      <c r="I75" s="69" t="s">
        <v>6927</v>
      </c>
      <c r="J75" s="70" t="s">
        <v>1194</v>
      </c>
      <c r="L75" s="67">
        <v>1508</v>
      </c>
      <c r="M75" s="83">
        <v>68</v>
      </c>
      <c r="N75" s="69" t="s">
        <v>6928</v>
      </c>
      <c r="O75" s="70" t="s">
        <v>790</v>
      </c>
      <c r="Q75" s="41">
        <v>1602</v>
      </c>
      <c r="R75" s="42">
        <v>68</v>
      </c>
      <c r="S75" s="43" t="s">
        <v>6929</v>
      </c>
      <c r="T75" s="44" t="s">
        <v>1259</v>
      </c>
      <c r="V75" s="41">
        <v>1605</v>
      </c>
      <c r="W75" s="33">
        <v>68</v>
      </c>
      <c r="X75" s="43" t="s">
        <v>6930</v>
      </c>
      <c r="Y75" s="44" t="s">
        <v>3042</v>
      </c>
      <c r="AA75" s="41">
        <v>1608</v>
      </c>
      <c r="AB75" s="33">
        <v>68</v>
      </c>
      <c r="AC75" s="43" t="s">
        <v>6931</v>
      </c>
      <c r="AD75" s="44" t="s">
        <v>187</v>
      </c>
      <c r="AF75" s="41">
        <v>1702</v>
      </c>
      <c r="AG75" s="33">
        <v>68</v>
      </c>
      <c r="AH75" s="43" t="s">
        <v>6926</v>
      </c>
      <c r="AI75" s="44" t="s">
        <v>800</v>
      </c>
      <c r="AK75" s="41">
        <v>1705</v>
      </c>
      <c r="AL75" s="33">
        <v>68</v>
      </c>
      <c r="AM75" s="43" t="s">
        <v>6927</v>
      </c>
      <c r="AN75" s="44" t="s">
        <v>1194</v>
      </c>
      <c r="AP75" s="41">
        <v>1708</v>
      </c>
      <c r="AQ75" s="33">
        <v>68</v>
      </c>
      <c r="AR75" s="43" t="s">
        <v>6928</v>
      </c>
      <c r="AS75" s="44" t="s">
        <v>790</v>
      </c>
      <c r="AU75" s="67">
        <v>1802</v>
      </c>
      <c r="AV75" s="68">
        <v>68</v>
      </c>
      <c r="AW75" s="69" t="s">
        <v>6929</v>
      </c>
      <c r="AX75" s="70" t="s">
        <v>1259</v>
      </c>
      <c r="AZ75" s="67">
        <v>1805</v>
      </c>
      <c r="BA75" s="83">
        <v>68</v>
      </c>
      <c r="BB75" s="69" t="s">
        <v>6930</v>
      </c>
      <c r="BC75" s="70" t="s">
        <v>3042</v>
      </c>
      <c r="BE75" s="67">
        <v>1808</v>
      </c>
      <c r="BF75" s="83">
        <v>68</v>
      </c>
      <c r="BG75" s="69" t="s">
        <v>6931</v>
      </c>
      <c r="BH75" s="70" t="s">
        <v>187</v>
      </c>
    </row>
    <row r="76" spans="1:60">
      <c r="A76" s="1"/>
      <c r="B76" s="67">
        <v>1502</v>
      </c>
      <c r="C76" s="83">
        <v>69</v>
      </c>
      <c r="D76" s="69" t="s">
        <v>6932</v>
      </c>
      <c r="E76" s="70" t="s">
        <v>1324</v>
      </c>
      <c r="G76" s="67">
        <v>1505</v>
      </c>
      <c r="H76" s="83">
        <v>69</v>
      </c>
      <c r="I76" s="69" t="s">
        <v>6933</v>
      </c>
      <c r="J76" s="70" t="s">
        <v>3319</v>
      </c>
      <c r="L76" s="67">
        <v>1508</v>
      </c>
      <c r="M76" s="83">
        <v>69</v>
      </c>
      <c r="N76" s="69" t="s">
        <v>6934</v>
      </c>
      <c r="O76" s="70" t="s">
        <v>2885</v>
      </c>
      <c r="Q76" s="41">
        <v>1602</v>
      </c>
      <c r="R76" s="42">
        <v>69</v>
      </c>
      <c r="S76" s="43" t="s">
        <v>46</v>
      </c>
      <c r="T76" s="44" t="s">
        <v>46</v>
      </c>
      <c r="V76" s="41">
        <v>1605</v>
      </c>
      <c r="W76" s="33">
        <v>69</v>
      </c>
      <c r="X76" s="43" t="s">
        <v>6935</v>
      </c>
      <c r="Y76" s="44" t="s">
        <v>228</v>
      </c>
      <c r="AA76" s="41">
        <v>1608</v>
      </c>
      <c r="AB76" s="33">
        <v>69</v>
      </c>
      <c r="AC76" s="43" t="s">
        <v>6936</v>
      </c>
      <c r="AD76" s="44" t="s">
        <v>202</v>
      </c>
      <c r="AF76" s="41">
        <v>1702</v>
      </c>
      <c r="AG76" s="33">
        <v>69</v>
      </c>
      <c r="AH76" s="43" t="s">
        <v>6932</v>
      </c>
      <c r="AI76" s="44" t="s">
        <v>1324</v>
      </c>
      <c r="AK76" s="41">
        <v>1705</v>
      </c>
      <c r="AL76" s="33">
        <v>69</v>
      </c>
      <c r="AM76" s="43" t="s">
        <v>6933</v>
      </c>
      <c r="AN76" s="44" t="s">
        <v>3319</v>
      </c>
      <c r="AP76" s="41">
        <v>1708</v>
      </c>
      <c r="AQ76" s="33">
        <v>69</v>
      </c>
      <c r="AR76" s="43" t="s">
        <v>6934</v>
      </c>
      <c r="AS76" s="44" t="s">
        <v>2885</v>
      </c>
      <c r="AU76" s="67">
        <v>1802</v>
      </c>
      <c r="AV76" s="68">
        <v>69</v>
      </c>
      <c r="AW76" s="69" t="s">
        <v>46</v>
      </c>
      <c r="AX76" s="70" t="s">
        <v>46</v>
      </c>
      <c r="AZ76" s="67">
        <v>1805</v>
      </c>
      <c r="BA76" s="83">
        <v>69</v>
      </c>
      <c r="BB76" s="69" t="s">
        <v>6935</v>
      </c>
      <c r="BC76" s="70" t="s">
        <v>228</v>
      </c>
      <c r="BE76" s="67">
        <v>1808</v>
      </c>
      <c r="BF76" s="83">
        <v>69</v>
      </c>
      <c r="BG76" s="69" t="s">
        <v>6936</v>
      </c>
      <c r="BH76" s="70" t="s">
        <v>202</v>
      </c>
    </row>
    <row r="77" spans="1:60">
      <c r="A77" s="1"/>
      <c r="B77" s="67">
        <v>1502</v>
      </c>
      <c r="C77" s="83">
        <v>70</v>
      </c>
      <c r="D77" s="69" t="s">
        <v>6937</v>
      </c>
      <c r="E77" s="70" t="s">
        <v>329</v>
      </c>
      <c r="G77" s="67">
        <v>1505</v>
      </c>
      <c r="H77" s="83">
        <v>70</v>
      </c>
      <c r="I77" s="69" t="s">
        <v>6938</v>
      </c>
      <c r="J77" s="70" t="s">
        <v>3338</v>
      </c>
      <c r="L77" s="67">
        <v>1508</v>
      </c>
      <c r="M77" s="83">
        <v>70</v>
      </c>
      <c r="N77" s="69" t="s">
        <v>6939</v>
      </c>
      <c r="O77" s="70" t="s">
        <v>998</v>
      </c>
      <c r="Q77" s="41">
        <v>1602</v>
      </c>
      <c r="R77" s="42">
        <v>70</v>
      </c>
      <c r="S77" s="43" t="s">
        <v>6940</v>
      </c>
      <c r="T77" s="44" t="s">
        <v>1254</v>
      </c>
      <c r="V77" s="41">
        <v>1605</v>
      </c>
      <c r="W77" s="33">
        <v>70</v>
      </c>
      <c r="X77" s="43" t="s">
        <v>6941</v>
      </c>
      <c r="Y77" s="44" t="s">
        <v>3113</v>
      </c>
      <c r="AA77" s="41">
        <v>1608</v>
      </c>
      <c r="AB77" s="33">
        <v>70</v>
      </c>
      <c r="AC77" s="43" t="s">
        <v>6942</v>
      </c>
      <c r="AD77" s="44" t="s">
        <v>114</v>
      </c>
      <c r="AF77" s="41">
        <v>1702</v>
      </c>
      <c r="AG77" s="33">
        <v>70</v>
      </c>
      <c r="AH77" s="43" t="s">
        <v>6937</v>
      </c>
      <c r="AI77" s="44" t="s">
        <v>329</v>
      </c>
      <c r="AK77" s="41">
        <v>1705</v>
      </c>
      <c r="AL77" s="33">
        <v>70</v>
      </c>
      <c r="AM77" s="43" t="s">
        <v>6938</v>
      </c>
      <c r="AN77" s="44" t="s">
        <v>3338</v>
      </c>
      <c r="AP77" s="41">
        <v>1708</v>
      </c>
      <c r="AQ77" s="33">
        <v>70</v>
      </c>
      <c r="AR77" s="43" t="s">
        <v>6939</v>
      </c>
      <c r="AS77" s="44" t="s">
        <v>998</v>
      </c>
      <c r="AU77" s="67">
        <v>1802</v>
      </c>
      <c r="AV77" s="68">
        <v>70</v>
      </c>
      <c r="AW77" s="69" t="s">
        <v>6940</v>
      </c>
      <c r="AX77" s="70" t="s">
        <v>1254</v>
      </c>
      <c r="AZ77" s="67">
        <v>1805</v>
      </c>
      <c r="BA77" s="83">
        <v>70</v>
      </c>
      <c r="BB77" s="69" t="s">
        <v>6941</v>
      </c>
      <c r="BC77" s="70" t="s">
        <v>3113</v>
      </c>
      <c r="BE77" s="67">
        <v>1808</v>
      </c>
      <c r="BF77" s="83">
        <v>70</v>
      </c>
      <c r="BG77" s="69" t="s">
        <v>6942</v>
      </c>
      <c r="BH77" s="70" t="s">
        <v>114</v>
      </c>
    </row>
    <row r="78" spans="1:60">
      <c r="A78" s="1"/>
      <c r="B78" s="67">
        <v>1502</v>
      </c>
      <c r="C78" s="83">
        <v>71</v>
      </c>
      <c r="D78" s="69" t="s">
        <v>46</v>
      </c>
      <c r="E78" s="70" t="s">
        <v>46</v>
      </c>
      <c r="G78" s="67">
        <v>1505</v>
      </c>
      <c r="H78" s="83">
        <v>71</v>
      </c>
      <c r="I78" s="69" t="s">
        <v>46</v>
      </c>
      <c r="J78" s="70" t="s">
        <v>46</v>
      </c>
      <c r="L78" s="67">
        <v>1508</v>
      </c>
      <c r="M78" s="83">
        <v>71</v>
      </c>
      <c r="N78" s="69" t="s">
        <v>6943</v>
      </c>
      <c r="O78" s="70" t="s">
        <v>410</v>
      </c>
      <c r="Q78" s="41">
        <v>1602</v>
      </c>
      <c r="R78" s="42">
        <v>71</v>
      </c>
      <c r="S78" s="43" t="s">
        <v>6944</v>
      </c>
      <c r="T78" s="44" t="s">
        <v>233</v>
      </c>
      <c r="V78" s="41">
        <v>1605</v>
      </c>
      <c r="W78" s="33">
        <v>71</v>
      </c>
      <c r="X78" s="43" t="s">
        <v>6945</v>
      </c>
      <c r="Y78" s="44" t="s">
        <v>1128</v>
      </c>
      <c r="AA78" s="41">
        <v>1608</v>
      </c>
      <c r="AB78" s="33">
        <v>71</v>
      </c>
      <c r="AC78" s="43" t="s">
        <v>6946</v>
      </c>
      <c r="AD78" s="44" t="s">
        <v>2811</v>
      </c>
      <c r="AF78" s="41">
        <v>1702</v>
      </c>
      <c r="AG78" s="33">
        <v>71</v>
      </c>
      <c r="AH78" s="43" t="s">
        <v>46</v>
      </c>
      <c r="AI78" s="44" t="s">
        <v>46</v>
      </c>
      <c r="AK78" s="41">
        <v>1705</v>
      </c>
      <c r="AL78" s="33">
        <v>71</v>
      </c>
      <c r="AM78" s="43" t="s">
        <v>46</v>
      </c>
      <c r="AN78" s="44" t="s">
        <v>46</v>
      </c>
      <c r="AP78" s="41">
        <v>1708</v>
      </c>
      <c r="AQ78" s="33">
        <v>71</v>
      </c>
      <c r="AR78" s="43" t="s">
        <v>6943</v>
      </c>
      <c r="AS78" s="44" t="s">
        <v>410</v>
      </c>
      <c r="AU78" s="67">
        <v>1802</v>
      </c>
      <c r="AV78" s="68">
        <v>71</v>
      </c>
      <c r="AW78" s="69" t="s">
        <v>6944</v>
      </c>
      <c r="AX78" s="70" t="s">
        <v>233</v>
      </c>
      <c r="AZ78" s="67">
        <v>1805</v>
      </c>
      <c r="BA78" s="83">
        <v>71</v>
      </c>
      <c r="BB78" s="69" t="s">
        <v>6945</v>
      </c>
      <c r="BC78" s="70" t="s">
        <v>1128</v>
      </c>
      <c r="BE78" s="67">
        <v>1808</v>
      </c>
      <c r="BF78" s="83">
        <v>71</v>
      </c>
      <c r="BG78" s="69" t="s">
        <v>6946</v>
      </c>
      <c r="BH78" s="70" t="s">
        <v>2811</v>
      </c>
    </row>
    <row r="79" spans="1:60">
      <c r="A79" s="1"/>
      <c r="B79" s="67">
        <v>1502</v>
      </c>
      <c r="C79" s="83">
        <v>72</v>
      </c>
      <c r="D79" s="69" t="s">
        <v>6947</v>
      </c>
      <c r="E79" s="70" t="s">
        <v>1609</v>
      </c>
      <c r="G79" s="67">
        <v>1505</v>
      </c>
      <c r="H79" s="83">
        <v>72</v>
      </c>
      <c r="I79" s="69" t="s">
        <v>6948</v>
      </c>
      <c r="J79" s="70" t="s">
        <v>3346</v>
      </c>
      <c r="L79" s="67">
        <v>1508</v>
      </c>
      <c r="M79" s="83">
        <v>72</v>
      </c>
      <c r="N79" s="69" t="s">
        <v>6949</v>
      </c>
      <c r="O79" s="70" t="s">
        <v>1023</v>
      </c>
      <c r="Q79" s="41">
        <v>1602</v>
      </c>
      <c r="R79" s="42">
        <v>72</v>
      </c>
      <c r="S79" s="43" t="s">
        <v>6950</v>
      </c>
      <c r="T79" s="44" t="s">
        <v>1148</v>
      </c>
      <c r="V79" s="41">
        <v>1605</v>
      </c>
      <c r="W79" s="33">
        <v>72</v>
      </c>
      <c r="X79" s="43" t="s">
        <v>6951</v>
      </c>
      <c r="Y79" s="44" t="s">
        <v>1048</v>
      </c>
      <c r="AA79" s="41">
        <v>1608</v>
      </c>
      <c r="AB79" s="33">
        <v>72</v>
      </c>
      <c r="AC79" s="43" t="s">
        <v>46</v>
      </c>
      <c r="AD79" s="44" t="s">
        <v>46</v>
      </c>
      <c r="AF79" s="41">
        <v>1702</v>
      </c>
      <c r="AG79" s="33">
        <v>72</v>
      </c>
      <c r="AH79" s="43" t="s">
        <v>6947</v>
      </c>
      <c r="AI79" s="44" t="s">
        <v>1609</v>
      </c>
      <c r="AK79" s="41">
        <v>1705</v>
      </c>
      <c r="AL79" s="33">
        <v>72</v>
      </c>
      <c r="AM79" s="43" t="s">
        <v>6948</v>
      </c>
      <c r="AN79" s="44" t="s">
        <v>3346</v>
      </c>
      <c r="AP79" s="41">
        <v>1708</v>
      </c>
      <c r="AQ79" s="33">
        <v>72</v>
      </c>
      <c r="AR79" s="43" t="s">
        <v>6949</v>
      </c>
      <c r="AS79" s="44" t="s">
        <v>1023</v>
      </c>
      <c r="AU79" s="67">
        <v>1802</v>
      </c>
      <c r="AV79" s="68">
        <v>72</v>
      </c>
      <c r="AW79" s="69" t="s">
        <v>6950</v>
      </c>
      <c r="AX79" s="70" t="s">
        <v>1148</v>
      </c>
      <c r="AZ79" s="67">
        <v>1805</v>
      </c>
      <c r="BA79" s="83">
        <v>72</v>
      </c>
      <c r="BB79" s="69" t="s">
        <v>6951</v>
      </c>
      <c r="BC79" s="70" t="s">
        <v>1048</v>
      </c>
      <c r="BE79" s="67">
        <v>1808</v>
      </c>
      <c r="BF79" s="83">
        <v>72</v>
      </c>
      <c r="BG79" s="69" t="s">
        <v>46</v>
      </c>
      <c r="BH79" s="70" t="s">
        <v>46</v>
      </c>
    </row>
    <row r="80" spans="1:60">
      <c r="A80" s="1"/>
      <c r="B80" s="67">
        <v>1502</v>
      </c>
      <c r="C80" s="83">
        <v>73</v>
      </c>
      <c r="D80" s="69" t="s">
        <v>46</v>
      </c>
      <c r="E80" s="70" t="s">
        <v>46</v>
      </c>
      <c r="G80" s="67">
        <v>1505</v>
      </c>
      <c r="H80" s="83">
        <v>73</v>
      </c>
      <c r="I80" s="69" t="s">
        <v>6952</v>
      </c>
      <c r="J80" s="70" t="s">
        <v>6282</v>
      </c>
      <c r="L80" s="67">
        <v>1508</v>
      </c>
      <c r="M80" s="83">
        <v>73</v>
      </c>
      <c r="N80" s="69" t="s">
        <v>6953</v>
      </c>
      <c r="O80" s="70" t="s">
        <v>398</v>
      </c>
      <c r="Q80" s="41">
        <v>1602</v>
      </c>
      <c r="R80" s="42">
        <v>73</v>
      </c>
      <c r="S80" s="43" t="s">
        <v>6954</v>
      </c>
      <c r="T80" s="44" t="s">
        <v>219</v>
      </c>
      <c r="V80" s="41">
        <v>1605</v>
      </c>
      <c r="W80" s="33">
        <v>73</v>
      </c>
      <c r="X80" s="43" t="s">
        <v>6955</v>
      </c>
      <c r="Y80" s="44" t="s">
        <v>1118</v>
      </c>
      <c r="AA80" s="41">
        <v>1608</v>
      </c>
      <c r="AB80" s="33">
        <v>73</v>
      </c>
      <c r="AC80" s="43" t="s">
        <v>46</v>
      </c>
      <c r="AD80" s="44" t="s">
        <v>46</v>
      </c>
      <c r="AF80" s="41">
        <v>1702</v>
      </c>
      <c r="AG80" s="33">
        <v>73</v>
      </c>
      <c r="AH80" s="43" t="s">
        <v>46</v>
      </c>
      <c r="AI80" s="44" t="s">
        <v>46</v>
      </c>
      <c r="AK80" s="41">
        <v>1705</v>
      </c>
      <c r="AL80" s="33">
        <v>73</v>
      </c>
      <c r="AM80" s="43" t="s">
        <v>6952</v>
      </c>
      <c r="AN80" s="44" t="s">
        <v>2915</v>
      </c>
      <c r="AP80" s="41">
        <v>1708</v>
      </c>
      <c r="AQ80" s="33">
        <v>73</v>
      </c>
      <c r="AR80" s="43" t="s">
        <v>6953</v>
      </c>
      <c r="AS80" s="44" t="s">
        <v>398</v>
      </c>
      <c r="AU80" s="67">
        <v>1802</v>
      </c>
      <c r="AV80" s="68">
        <v>73</v>
      </c>
      <c r="AW80" s="69" t="s">
        <v>6954</v>
      </c>
      <c r="AX80" s="70" t="s">
        <v>219</v>
      </c>
      <c r="AZ80" s="67">
        <v>1805</v>
      </c>
      <c r="BA80" s="83">
        <v>73</v>
      </c>
      <c r="BB80" s="69" t="s">
        <v>6955</v>
      </c>
      <c r="BC80" s="70" t="s">
        <v>1118</v>
      </c>
      <c r="BE80" s="67">
        <v>1808</v>
      </c>
      <c r="BF80" s="83">
        <v>73</v>
      </c>
      <c r="BG80" s="69" t="s">
        <v>46</v>
      </c>
      <c r="BH80" s="70" t="s">
        <v>46</v>
      </c>
    </row>
    <row r="81" spans="1:60">
      <c r="A81" s="1"/>
      <c r="B81" s="67">
        <v>1502</v>
      </c>
      <c r="C81" s="83">
        <v>74</v>
      </c>
      <c r="D81" s="69" t="s">
        <v>6956</v>
      </c>
      <c r="E81" s="70" t="s">
        <v>850</v>
      </c>
      <c r="G81" s="67">
        <v>1505</v>
      </c>
      <c r="H81" s="83">
        <v>74</v>
      </c>
      <c r="I81" s="69" t="s">
        <v>46</v>
      </c>
      <c r="J81" s="70" t="s">
        <v>46</v>
      </c>
      <c r="L81" s="67">
        <v>1508</v>
      </c>
      <c r="M81" s="83">
        <v>74</v>
      </c>
      <c r="N81" s="69" t="s">
        <v>6957</v>
      </c>
      <c r="O81" s="70" t="s">
        <v>910</v>
      </c>
      <c r="Q81" s="41">
        <v>1602</v>
      </c>
      <c r="R81" s="42">
        <v>74</v>
      </c>
      <c r="S81" s="43" t="s">
        <v>6958</v>
      </c>
      <c r="T81" s="44" t="s">
        <v>1088</v>
      </c>
      <c r="V81" s="41">
        <v>1605</v>
      </c>
      <c r="W81" s="33">
        <v>74</v>
      </c>
      <c r="X81" s="43" t="s">
        <v>6959</v>
      </c>
      <c r="Y81" s="44" t="s">
        <v>1053</v>
      </c>
      <c r="AA81" s="41">
        <v>1608</v>
      </c>
      <c r="AB81" s="33">
        <v>74</v>
      </c>
      <c r="AC81" s="43" t="s">
        <v>46</v>
      </c>
      <c r="AD81" s="44" t="s">
        <v>46</v>
      </c>
      <c r="AF81" s="41">
        <v>1702</v>
      </c>
      <c r="AG81" s="33">
        <v>74</v>
      </c>
      <c r="AH81" s="43" t="s">
        <v>6956</v>
      </c>
      <c r="AI81" s="44" t="s">
        <v>850</v>
      </c>
      <c r="AK81" s="41">
        <v>1705</v>
      </c>
      <c r="AL81" s="33">
        <v>74</v>
      </c>
      <c r="AM81" s="43" t="s">
        <v>46</v>
      </c>
      <c r="AN81" s="44" t="s">
        <v>46</v>
      </c>
      <c r="AP81" s="41">
        <v>1708</v>
      </c>
      <c r="AQ81" s="33">
        <v>74</v>
      </c>
      <c r="AR81" s="43" t="s">
        <v>6957</v>
      </c>
      <c r="AS81" s="44" t="s">
        <v>910</v>
      </c>
      <c r="AU81" s="67">
        <v>1802</v>
      </c>
      <c r="AV81" s="68">
        <v>74</v>
      </c>
      <c r="AW81" s="69" t="s">
        <v>6958</v>
      </c>
      <c r="AX81" s="70" t="s">
        <v>1088</v>
      </c>
      <c r="AZ81" s="67">
        <v>1805</v>
      </c>
      <c r="BA81" s="83">
        <v>74</v>
      </c>
      <c r="BB81" s="69" t="s">
        <v>6959</v>
      </c>
      <c r="BC81" s="70" t="s">
        <v>1053</v>
      </c>
      <c r="BE81" s="67">
        <v>1808</v>
      </c>
      <c r="BF81" s="83">
        <v>74</v>
      </c>
      <c r="BG81" s="69" t="s">
        <v>46</v>
      </c>
      <c r="BH81" s="70" t="s">
        <v>46</v>
      </c>
    </row>
    <row r="82" spans="1:60">
      <c r="A82" s="1"/>
      <c r="B82" s="67">
        <v>1502</v>
      </c>
      <c r="C82" s="83">
        <v>75</v>
      </c>
      <c r="D82" s="69" t="s">
        <v>46</v>
      </c>
      <c r="E82" s="70" t="s">
        <v>46</v>
      </c>
      <c r="G82" s="67">
        <v>1505</v>
      </c>
      <c r="H82" s="83">
        <v>75</v>
      </c>
      <c r="I82" s="69" t="s">
        <v>6960</v>
      </c>
      <c r="J82" s="70" t="s">
        <v>2915</v>
      </c>
      <c r="L82" s="67">
        <v>1508</v>
      </c>
      <c r="M82" s="83">
        <v>75</v>
      </c>
      <c r="N82" s="69" t="s">
        <v>46</v>
      </c>
      <c r="O82" s="70" t="s">
        <v>46</v>
      </c>
      <c r="Q82" s="41">
        <v>1602</v>
      </c>
      <c r="R82" s="42">
        <v>75</v>
      </c>
      <c r="S82" s="43" t="s">
        <v>6961</v>
      </c>
      <c r="T82" s="44" t="s">
        <v>1113</v>
      </c>
      <c r="V82" s="41">
        <v>1605</v>
      </c>
      <c r="W82" s="33">
        <v>75</v>
      </c>
      <c r="X82" s="43" t="s">
        <v>6962</v>
      </c>
      <c r="Y82" s="44" t="s">
        <v>2988</v>
      </c>
      <c r="AA82" s="41">
        <v>1608</v>
      </c>
      <c r="AB82" s="33">
        <v>75</v>
      </c>
      <c r="AC82" s="43" t="s">
        <v>46</v>
      </c>
      <c r="AD82" s="44" t="s">
        <v>46</v>
      </c>
      <c r="AF82" s="41">
        <v>1702</v>
      </c>
      <c r="AG82" s="33">
        <v>75</v>
      </c>
      <c r="AH82" s="43" t="s">
        <v>46</v>
      </c>
      <c r="AI82" s="44" t="s">
        <v>46</v>
      </c>
      <c r="AK82" s="41">
        <v>1705</v>
      </c>
      <c r="AL82" s="33">
        <v>75</v>
      </c>
      <c r="AM82" s="43" t="s">
        <v>6960</v>
      </c>
      <c r="AN82" s="44" t="s">
        <v>2915</v>
      </c>
      <c r="AP82" s="41">
        <v>1708</v>
      </c>
      <c r="AQ82" s="33">
        <v>75</v>
      </c>
      <c r="AR82" s="43" t="s">
        <v>46</v>
      </c>
      <c r="AS82" s="44" t="s">
        <v>46</v>
      </c>
      <c r="AU82" s="67">
        <v>1802</v>
      </c>
      <c r="AV82" s="68">
        <v>75</v>
      </c>
      <c r="AW82" s="69" t="s">
        <v>6961</v>
      </c>
      <c r="AX82" s="70" t="s">
        <v>1113</v>
      </c>
      <c r="AZ82" s="67">
        <v>1805</v>
      </c>
      <c r="BA82" s="83">
        <v>75</v>
      </c>
      <c r="BB82" s="69" t="s">
        <v>6962</v>
      </c>
      <c r="BC82" s="70" t="s">
        <v>2988</v>
      </c>
      <c r="BE82" s="67">
        <v>1808</v>
      </c>
      <c r="BF82" s="83">
        <v>75</v>
      </c>
      <c r="BG82" s="69" t="s">
        <v>46</v>
      </c>
      <c r="BH82" s="70" t="s">
        <v>46</v>
      </c>
    </row>
    <row r="83" spans="1:60">
      <c r="A83" s="1"/>
      <c r="B83" s="67">
        <v>1502</v>
      </c>
      <c r="C83" s="83">
        <v>76</v>
      </c>
      <c r="D83" s="69" t="s">
        <v>6963</v>
      </c>
      <c r="E83" s="70" t="s">
        <v>890</v>
      </c>
      <c r="G83" s="67">
        <v>1505</v>
      </c>
      <c r="H83" s="83">
        <v>76</v>
      </c>
      <c r="I83" s="263" t="s">
        <v>6964</v>
      </c>
      <c r="J83" s="264" t="s">
        <v>6277</v>
      </c>
      <c r="L83" s="67">
        <v>1508</v>
      </c>
      <c r="M83" s="83">
        <v>76</v>
      </c>
      <c r="N83" s="69" t="s">
        <v>6965</v>
      </c>
      <c r="O83" s="70" t="s">
        <v>760</v>
      </c>
      <c r="Q83" s="41">
        <v>1602</v>
      </c>
      <c r="R83" s="42">
        <v>76</v>
      </c>
      <c r="S83" s="43" t="s">
        <v>6966</v>
      </c>
      <c r="T83" s="44" t="s">
        <v>3224</v>
      </c>
      <c r="V83" s="41">
        <v>1605</v>
      </c>
      <c r="W83" s="33">
        <v>76</v>
      </c>
      <c r="X83" s="43" t="s">
        <v>6967</v>
      </c>
      <c r="Y83" s="44" t="s">
        <v>2982</v>
      </c>
      <c r="AA83" s="41">
        <v>1608</v>
      </c>
      <c r="AB83" s="33">
        <v>76</v>
      </c>
      <c r="AC83" s="43" t="s">
        <v>46</v>
      </c>
      <c r="AD83" s="44" t="s">
        <v>46</v>
      </c>
      <c r="AF83" s="41">
        <v>1702</v>
      </c>
      <c r="AG83" s="33">
        <v>76</v>
      </c>
      <c r="AH83" s="43" t="s">
        <v>6963</v>
      </c>
      <c r="AI83" s="44" t="s">
        <v>890</v>
      </c>
      <c r="AK83" s="41">
        <v>1705</v>
      </c>
      <c r="AL83" s="33">
        <v>76</v>
      </c>
      <c r="AM83" s="263" t="s">
        <v>6964</v>
      </c>
      <c r="AN83" s="264" t="s">
        <v>2904</v>
      </c>
      <c r="AP83" s="41">
        <v>1708</v>
      </c>
      <c r="AQ83" s="33">
        <v>76</v>
      </c>
      <c r="AR83" s="43" t="s">
        <v>6965</v>
      </c>
      <c r="AS83" s="44" t="s">
        <v>760</v>
      </c>
      <c r="AU83" s="67">
        <v>1802</v>
      </c>
      <c r="AV83" s="68">
        <v>76</v>
      </c>
      <c r="AW83" s="69" t="s">
        <v>6966</v>
      </c>
      <c r="AX83" s="70" t="s">
        <v>3224</v>
      </c>
      <c r="AZ83" s="67">
        <v>1805</v>
      </c>
      <c r="BA83" s="83">
        <v>76</v>
      </c>
      <c r="BB83" s="69" t="s">
        <v>6967</v>
      </c>
      <c r="BC83" s="70" t="s">
        <v>2982</v>
      </c>
      <c r="BE83" s="67">
        <v>1808</v>
      </c>
      <c r="BF83" s="83">
        <v>76</v>
      </c>
      <c r="BG83" s="69" t="s">
        <v>46</v>
      </c>
      <c r="BH83" s="70" t="s">
        <v>46</v>
      </c>
    </row>
    <row r="84" spans="1:60">
      <c r="A84" s="1"/>
      <c r="B84" s="67">
        <v>1502</v>
      </c>
      <c r="C84" s="83">
        <v>77</v>
      </c>
      <c r="D84" s="69" t="s">
        <v>6968</v>
      </c>
      <c r="E84" s="70" t="s">
        <v>1434</v>
      </c>
      <c r="G84" s="67">
        <v>1505</v>
      </c>
      <c r="H84" s="83">
        <v>77</v>
      </c>
      <c r="I84" s="69" t="s">
        <v>6969</v>
      </c>
      <c r="J84" s="70" t="s">
        <v>958</v>
      </c>
      <c r="L84" s="67">
        <v>1508</v>
      </c>
      <c r="M84" s="83">
        <v>77</v>
      </c>
      <c r="N84" s="69" t="s">
        <v>46</v>
      </c>
      <c r="O84" s="70" t="s">
        <v>46</v>
      </c>
      <c r="Q84" s="41">
        <v>1602</v>
      </c>
      <c r="R84" s="42">
        <v>77</v>
      </c>
      <c r="S84" s="43" t="s">
        <v>6970</v>
      </c>
      <c r="T84" s="44" t="s">
        <v>2590</v>
      </c>
      <c r="V84" s="41">
        <v>1605</v>
      </c>
      <c r="W84" s="33">
        <v>77</v>
      </c>
      <c r="X84" s="43" t="s">
        <v>6971</v>
      </c>
      <c r="Y84" s="44" t="s">
        <v>3069</v>
      </c>
      <c r="AA84" s="41">
        <v>1608</v>
      </c>
      <c r="AB84" s="33">
        <v>77</v>
      </c>
      <c r="AC84" s="43" t="s">
        <v>46</v>
      </c>
      <c r="AD84" s="44" t="s">
        <v>46</v>
      </c>
      <c r="AF84" s="41">
        <v>1702</v>
      </c>
      <c r="AG84" s="33">
        <v>77</v>
      </c>
      <c r="AH84" s="43" t="s">
        <v>6968</v>
      </c>
      <c r="AI84" s="44" t="s">
        <v>1434</v>
      </c>
      <c r="AK84" s="41">
        <v>1705</v>
      </c>
      <c r="AL84" s="33">
        <v>77</v>
      </c>
      <c r="AM84" s="43" t="s">
        <v>6969</v>
      </c>
      <c r="AN84" s="44" t="s">
        <v>958</v>
      </c>
      <c r="AP84" s="41">
        <v>1708</v>
      </c>
      <c r="AQ84" s="33">
        <v>77</v>
      </c>
      <c r="AR84" s="43" t="s">
        <v>46</v>
      </c>
      <c r="AS84" s="44" t="s">
        <v>46</v>
      </c>
      <c r="AU84" s="67">
        <v>1802</v>
      </c>
      <c r="AV84" s="68">
        <v>77</v>
      </c>
      <c r="AW84" s="69" t="s">
        <v>6970</v>
      </c>
      <c r="AX84" s="70" t="s">
        <v>2590</v>
      </c>
      <c r="AZ84" s="67">
        <v>1805</v>
      </c>
      <c r="BA84" s="83">
        <v>77</v>
      </c>
      <c r="BB84" s="69" t="s">
        <v>6971</v>
      </c>
      <c r="BC84" s="70" t="s">
        <v>3069</v>
      </c>
      <c r="BE84" s="67">
        <v>1808</v>
      </c>
      <c r="BF84" s="83">
        <v>77</v>
      </c>
      <c r="BG84" s="69" t="s">
        <v>46</v>
      </c>
      <c r="BH84" s="70" t="s">
        <v>46</v>
      </c>
    </row>
    <row r="85" spans="1:60">
      <c r="A85" s="1"/>
      <c r="B85" s="67">
        <v>1502</v>
      </c>
      <c r="C85" s="83">
        <v>78</v>
      </c>
      <c r="D85" s="69" t="s">
        <v>6972</v>
      </c>
      <c r="E85" s="70" t="s">
        <v>820</v>
      </c>
      <c r="G85" s="67">
        <v>1505</v>
      </c>
      <c r="H85" s="83">
        <v>78</v>
      </c>
      <c r="I85" s="263" t="s">
        <v>6973</v>
      </c>
      <c r="J85" s="264" t="s">
        <v>2904</v>
      </c>
      <c r="L85" s="67">
        <v>1508</v>
      </c>
      <c r="M85" s="83">
        <v>78</v>
      </c>
      <c r="N85" s="69" t="s">
        <v>6974</v>
      </c>
      <c r="O85" s="70" t="s">
        <v>2448</v>
      </c>
      <c r="Q85" s="41">
        <v>1602</v>
      </c>
      <c r="R85" s="42">
        <v>78</v>
      </c>
      <c r="S85" s="43" t="s">
        <v>6975</v>
      </c>
      <c r="T85" s="44" t="s">
        <v>3214</v>
      </c>
      <c r="V85" s="41">
        <v>1605</v>
      </c>
      <c r="W85" s="33">
        <v>78</v>
      </c>
      <c r="X85" s="43" t="s">
        <v>6976</v>
      </c>
      <c r="Y85" s="44" t="s">
        <v>2298</v>
      </c>
      <c r="AA85" s="41">
        <v>1608</v>
      </c>
      <c r="AB85" s="33">
        <v>78</v>
      </c>
      <c r="AC85" s="43" t="s">
        <v>46</v>
      </c>
      <c r="AD85" s="44" t="s">
        <v>46</v>
      </c>
      <c r="AF85" s="41">
        <v>1702</v>
      </c>
      <c r="AG85" s="33">
        <v>78</v>
      </c>
      <c r="AH85" s="43" t="s">
        <v>6972</v>
      </c>
      <c r="AI85" s="44" t="s">
        <v>820</v>
      </c>
      <c r="AK85" s="41">
        <v>1705</v>
      </c>
      <c r="AL85" s="33">
        <v>78</v>
      </c>
      <c r="AM85" s="263" t="s">
        <v>6973</v>
      </c>
      <c r="AN85" s="264" t="s">
        <v>2904</v>
      </c>
      <c r="AP85" s="41">
        <v>1708</v>
      </c>
      <c r="AQ85" s="33">
        <v>78</v>
      </c>
      <c r="AR85" s="43" t="s">
        <v>6974</v>
      </c>
      <c r="AS85" s="44" t="s">
        <v>2448</v>
      </c>
      <c r="AU85" s="67">
        <v>1802</v>
      </c>
      <c r="AV85" s="68">
        <v>78</v>
      </c>
      <c r="AW85" s="69" t="s">
        <v>6975</v>
      </c>
      <c r="AX85" s="70" t="s">
        <v>3214</v>
      </c>
      <c r="AZ85" s="67">
        <v>1805</v>
      </c>
      <c r="BA85" s="83">
        <v>78</v>
      </c>
      <c r="BB85" s="69" t="s">
        <v>6976</v>
      </c>
      <c r="BC85" s="70" t="s">
        <v>2298</v>
      </c>
      <c r="BE85" s="67">
        <v>1808</v>
      </c>
      <c r="BF85" s="83">
        <v>78</v>
      </c>
      <c r="BG85" s="69" t="s">
        <v>46</v>
      </c>
      <c r="BH85" s="70" t="s">
        <v>46</v>
      </c>
    </row>
    <row r="86" spans="1:60">
      <c r="A86" s="1"/>
      <c r="B86" s="67">
        <v>1502</v>
      </c>
      <c r="C86" s="83">
        <v>79</v>
      </c>
      <c r="D86" s="69" t="s">
        <v>6977</v>
      </c>
      <c r="E86" s="70" t="s">
        <v>1299</v>
      </c>
      <c r="G86" s="67">
        <v>1505</v>
      </c>
      <c r="H86" s="83">
        <v>79</v>
      </c>
      <c r="I86" s="69" t="s">
        <v>6978</v>
      </c>
      <c r="J86" s="70" t="s">
        <v>1033</v>
      </c>
      <c r="L86" s="67">
        <v>1508</v>
      </c>
      <c r="M86" s="83">
        <v>79</v>
      </c>
      <c r="N86" s="69" t="s">
        <v>46</v>
      </c>
      <c r="O86" s="70" t="s">
        <v>46</v>
      </c>
      <c r="Q86" s="41">
        <v>1602</v>
      </c>
      <c r="R86" s="42">
        <v>79</v>
      </c>
      <c r="S86" s="43" t="s">
        <v>6979</v>
      </c>
      <c r="T86" s="44" t="s">
        <v>2582</v>
      </c>
      <c r="V86" s="41">
        <v>1605</v>
      </c>
      <c r="W86" s="33">
        <v>79</v>
      </c>
      <c r="X86" s="43" t="s">
        <v>46</v>
      </c>
      <c r="Y86" s="44" t="s">
        <v>46</v>
      </c>
      <c r="AA86" s="41">
        <v>1608</v>
      </c>
      <c r="AB86" s="33">
        <v>79</v>
      </c>
      <c r="AC86" s="43" t="s">
        <v>46</v>
      </c>
      <c r="AD86" s="44" t="s">
        <v>46</v>
      </c>
      <c r="AF86" s="41">
        <v>1702</v>
      </c>
      <c r="AG86" s="33">
        <v>79</v>
      </c>
      <c r="AH86" s="43" t="s">
        <v>6977</v>
      </c>
      <c r="AI86" s="44" t="s">
        <v>1299</v>
      </c>
      <c r="AK86" s="41">
        <v>1705</v>
      </c>
      <c r="AL86" s="33">
        <v>79</v>
      </c>
      <c r="AM86" s="43" t="s">
        <v>6978</v>
      </c>
      <c r="AN86" s="44" t="s">
        <v>1033</v>
      </c>
      <c r="AP86" s="41">
        <v>1708</v>
      </c>
      <c r="AQ86" s="33">
        <v>79</v>
      </c>
      <c r="AR86" s="43" t="s">
        <v>46</v>
      </c>
      <c r="AS86" s="44" t="s">
        <v>46</v>
      </c>
      <c r="AU86" s="67">
        <v>1802</v>
      </c>
      <c r="AV86" s="68">
        <v>79</v>
      </c>
      <c r="AW86" s="69" t="s">
        <v>6979</v>
      </c>
      <c r="AX86" s="70" t="s">
        <v>2582</v>
      </c>
      <c r="AZ86" s="67">
        <v>1805</v>
      </c>
      <c r="BA86" s="83">
        <v>79</v>
      </c>
      <c r="BB86" s="69" t="s">
        <v>46</v>
      </c>
      <c r="BC86" s="70" t="s">
        <v>46</v>
      </c>
      <c r="BE86" s="67">
        <v>1808</v>
      </c>
      <c r="BF86" s="83">
        <v>79</v>
      </c>
      <c r="BG86" s="69" t="s">
        <v>46</v>
      </c>
      <c r="BH86" s="70" t="s">
        <v>46</v>
      </c>
    </row>
    <row r="87" spans="1:60" ht="15" thickBot="1">
      <c r="A87" s="1"/>
      <c r="B87" s="71">
        <v>1502</v>
      </c>
      <c r="C87" s="84">
        <v>80</v>
      </c>
      <c r="D87" s="73" t="s">
        <v>6980</v>
      </c>
      <c r="E87" s="74" t="s">
        <v>1214</v>
      </c>
      <c r="G87" s="71">
        <v>1505</v>
      </c>
      <c r="H87" s="84">
        <v>80</v>
      </c>
      <c r="I87" s="73" t="s">
        <v>6981</v>
      </c>
      <c r="J87" s="74" t="s">
        <v>2149</v>
      </c>
      <c r="L87" s="71">
        <v>1508</v>
      </c>
      <c r="M87" s="84">
        <v>80</v>
      </c>
      <c r="N87" s="73" t="s">
        <v>6982</v>
      </c>
      <c r="O87" s="74" t="s">
        <v>2440</v>
      </c>
      <c r="Q87" s="45">
        <v>1602</v>
      </c>
      <c r="R87" s="46">
        <v>80</v>
      </c>
      <c r="S87" s="47" t="s">
        <v>6983</v>
      </c>
      <c r="T87" s="48" t="s">
        <v>1724</v>
      </c>
      <c r="V87" s="45">
        <v>1605</v>
      </c>
      <c r="W87" s="57">
        <v>80</v>
      </c>
      <c r="X87" s="47" t="s">
        <v>6984</v>
      </c>
      <c r="Y87" s="48" t="s">
        <v>1073</v>
      </c>
      <c r="AA87" s="45">
        <v>1608</v>
      </c>
      <c r="AB87" s="57">
        <v>80</v>
      </c>
      <c r="AC87" s="47" t="s">
        <v>46</v>
      </c>
      <c r="AD87" s="48" t="s">
        <v>46</v>
      </c>
      <c r="AF87" s="45">
        <v>1702</v>
      </c>
      <c r="AG87" s="57">
        <v>80</v>
      </c>
      <c r="AH87" s="47" t="s">
        <v>6980</v>
      </c>
      <c r="AI87" s="48" t="s">
        <v>1214</v>
      </c>
      <c r="AK87" s="45">
        <v>1705</v>
      </c>
      <c r="AL87" s="57">
        <v>80</v>
      </c>
      <c r="AM87" s="47" t="s">
        <v>6981</v>
      </c>
      <c r="AN87" s="48" t="s">
        <v>2149</v>
      </c>
      <c r="AP87" s="45">
        <v>1708</v>
      </c>
      <c r="AQ87" s="57">
        <v>80</v>
      </c>
      <c r="AR87" s="47" t="s">
        <v>6982</v>
      </c>
      <c r="AS87" s="48" t="s">
        <v>2440</v>
      </c>
      <c r="AU87" s="71">
        <v>1802</v>
      </c>
      <c r="AV87" s="72">
        <v>80</v>
      </c>
      <c r="AW87" s="73" t="s">
        <v>6983</v>
      </c>
      <c r="AX87" s="74" t="s">
        <v>1724</v>
      </c>
      <c r="AZ87" s="71">
        <v>1805</v>
      </c>
      <c r="BA87" s="84">
        <v>80</v>
      </c>
      <c r="BB87" s="73" t="s">
        <v>6984</v>
      </c>
      <c r="BC87" s="74" t="s">
        <v>1073</v>
      </c>
      <c r="BE87" s="71">
        <v>1808</v>
      </c>
      <c r="BF87" s="84">
        <v>80</v>
      </c>
      <c r="BG87" s="73" t="s">
        <v>46</v>
      </c>
      <c r="BH87" s="74" t="s">
        <v>46</v>
      </c>
    </row>
    <row r="88" spans="1:60">
      <c r="A88" s="1"/>
      <c r="B88" s="63">
        <v>1502</v>
      </c>
      <c r="C88" s="82">
        <v>81</v>
      </c>
      <c r="D88" s="77" t="s">
        <v>6985</v>
      </c>
      <c r="E88" s="66" t="s">
        <v>1294</v>
      </c>
      <c r="G88" s="63">
        <v>1505</v>
      </c>
      <c r="H88" s="82">
        <v>81</v>
      </c>
      <c r="I88" s="77" t="s">
        <v>6986</v>
      </c>
      <c r="J88" s="66" t="s">
        <v>1169</v>
      </c>
      <c r="L88" s="63">
        <v>1508</v>
      </c>
      <c r="M88" s="82">
        <v>81</v>
      </c>
      <c r="N88" s="77" t="s">
        <v>46</v>
      </c>
      <c r="O88" s="66" t="s">
        <v>46</v>
      </c>
      <c r="Q88" s="37">
        <v>1602</v>
      </c>
      <c r="R88" s="38">
        <v>81</v>
      </c>
      <c r="S88" s="51" t="s">
        <v>46</v>
      </c>
      <c r="T88" s="40" t="s">
        <v>46</v>
      </c>
      <c r="V88" s="37">
        <v>1605</v>
      </c>
      <c r="W88" s="56">
        <v>81</v>
      </c>
      <c r="X88" s="51" t="s">
        <v>46</v>
      </c>
      <c r="Y88" s="40" t="s">
        <v>46</v>
      </c>
      <c r="AA88" s="37">
        <v>1608</v>
      </c>
      <c r="AB88" s="56">
        <v>81</v>
      </c>
      <c r="AC88" s="51" t="s">
        <v>46</v>
      </c>
      <c r="AD88" s="40" t="s">
        <v>46</v>
      </c>
      <c r="AF88" s="37">
        <v>1702</v>
      </c>
      <c r="AG88" s="56">
        <v>81</v>
      </c>
      <c r="AH88" s="51" t="s">
        <v>6985</v>
      </c>
      <c r="AI88" s="40" t="s">
        <v>1294</v>
      </c>
      <c r="AK88" s="37">
        <v>1705</v>
      </c>
      <c r="AL88" s="56">
        <v>81</v>
      </c>
      <c r="AM88" s="51" t="s">
        <v>6986</v>
      </c>
      <c r="AN88" s="40" t="s">
        <v>1169</v>
      </c>
      <c r="AP88" s="37">
        <v>1708</v>
      </c>
      <c r="AQ88" s="56">
        <v>81</v>
      </c>
      <c r="AR88" s="51" t="s">
        <v>46</v>
      </c>
      <c r="AS88" s="40" t="s">
        <v>46</v>
      </c>
      <c r="AU88" s="63">
        <v>1802</v>
      </c>
      <c r="AV88" s="64">
        <v>81</v>
      </c>
      <c r="AW88" s="77" t="s">
        <v>46</v>
      </c>
      <c r="AX88" s="66" t="s">
        <v>46</v>
      </c>
      <c r="AZ88" s="63">
        <v>1805</v>
      </c>
      <c r="BA88" s="82">
        <v>81</v>
      </c>
      <c r="BB88" s="77" t="s">
        <v>46</v>
      </c>
      <c r="BC88" s="66" t="s">
        <v>46</v>
      </c>
      <c r="BE88" s="63">
        <v>1808</v>
      </c>
      <c r="BF88" s="82">
        <v>81</v>
      </c>
      <c r="BG88" s="77" t="s">
        <v>46</v>
      </c>
      <c r="BH88" s="66" t="s">
        <v>46</v>
      </c>
    </row>
    <row r="89" spans="1:60">
      <c r="A89" s="1"/>
      <c r="B89" s="67">
        <v>1502</v>
      </c>
      <c r="C89" s="83">
        <v>82</v>
      </c>
      <c r="D89" s="69" t="s">
        <v>6987</v>
      </c>
      <c r="E89" s="70" t="s">
        <v>1544</v>
      </c>
      <c r="G89" s="67">
        <v>1505</v>
      </c>
      <c r="H89" s="83">
        <v>82</v>
      </c>
      <c r="I89" s="69" t="s">
        <v>6988</v>
      </c>
      <c r="J89" s="70" t="s">
        <v>2139</v>
      </c>
      <c r="L89" s="67">
        <v>1508</v>
      </c>
      <c r="M89" s="83">
        <v>82</v>
      </c>
      <c r="N89" s="69" t="s">
        <v>46</v>
      </c>
      <c r="O89" s="70" t="s">
        <v>46</v>
      </c>
      <c r="Q89" s="41">
        <v>1602</v>
      </c>
      <c r="R89" s="42">
        <v>82</v>
      </c>
      <c r="S89" s="43" t="s">
        <v>6989</v>
      </c>
      <c r="T89" s="44" t="s">
        <v>2890</v>
      </c>
      <c r="V89" s="41">
        <v>1605</v>
      </c>
      <c r="W89" s="33">
        <v>82</v>
      </c>
      <c r="X89" s="43" t="s">
        <v>46</v>
      </c>
      <c r="Y89" s="44" t="s">
        <v>46</v>
      </c>
      <c r="AA89" s="41">
        <v>1608</v>
      </c>
      <c r="AB89" s="33">
        <v>82</v>
      </c>
      <c r="AC89" s="43" t="s">
        <v>46</v>
      </c>
      <c r="AD89" s="44" t="s">
        <v>46</v>
      </c>
      <c r="AF89" s="41">
        <v>1702</v>
      </c>
      <c r="AG89" s="33">
        <v>82</v>
      </c>
      <c r="AH89" s="43" t="s">
        <v>6987</v>
      </c>
      <c r="AI89" s="44" t="s">
        <v>1544</v>
      </c>
      <c r="AK89" s="41">
        <v>1705</v>
      </c>
      <c r="AL89" s="33">
        <v>82</v>
      </c>
      <c r="AM89" s="43" t="s">
        <v>6988</v>
      </c>
      <c r="AN89" s="44" t="s">
        <v>2139</v>
      </c>
      <c r="AP89" s="41">
        <v>1708</v>
      </c>
      <c r="AQ89" s="33">
        <v>82</v>
      </c>
      <c r="AR89" s="43" t="s">
        <v>46</v>
      </c>
      <c r="AS89" s="44" t="s">
        <v>46</v>
      </c>
      <c r="AU89" s="67">
        <v>1802</v>
      </c>
      <c r="AV89" s="68">
        <v>82</v>
      </c>
      <c r="AW89" s="69" t="s">
        <v>6989</v>
      </c>
      <c r="AX89" s="70" t="s">
        <v>2890</v>
      </c>
      <c r="AZ89" s="67">
        <v>1805</v>
      </c>
      <c r="BA89" s="83">
        <v>82</v>
      </c>
      <c r="BB89" s="69" t="s">
        <v>46</v>
      </c>
      <c r="BC89" s="70" t="s">
        <v>46</v>
      </c>
      <c r="BE89" s="67">
        <v>1808</v>
      </c>
      <c r="BF89" s="83">
        <v>82</v>
      </c>
      <c r="BG89" s="69" t="s">
        <v>46</v>
      </c>
      <c r="BH89" s="70" t="s">
        <v>46</v>
      </c>
    </row>
    <row r="90" spans="1:60">
      <c r="A90" s="1"/>
      <c r="B90" s="67">
        <v>1502</v>
      </c>
      <c r="C90" s="83">
        <v>83</v>
      </c>
      <c r="D90" s="69" t="s">
        <v>46</v>
      </c>
      <c r="E90" s="70" t="s">
        <v>46</v>
      </c>
      <c r="G90" s="67">
        <v>1505</v>
      </c>
      <c r="H90" s="83">
        <v>83</v>
      </c>
      <c r="I90" s="69" t="s">
        <v>46</v>
      </c>
      <c r="J90" s="70" t="s">
        <v>46</v>
      </c>
      <c r="L90" s="67">
        <v>1508</v>
      </c>
      <c r="M90" s="83">
        <v>83</v>
      </c>
      <c r="N90" s="69" t="s">
        <v>46</v>
      </c>
      <c r="O90" s="70" t="s">
        <v>46</v>
      </c>
      <c r="Q90" s="41">
        <v>1602</v>
      </c>
      <c r="R90" s="42">
        <v>83</v>
      </c>
      <c r="S90" s="43" t="s">
        <v>6990</v>
      </c>
      <c r="T90" s="44" t="s">
        <v>1224</v>
      </c>
      <c r="V90" s="41">
        <v>1605</v>
      </c>
      <c r="W90" s="33">
        <v>83</v>
      </c>
      <c r="X90" s="43" t="s">
        <v>6991</v>
      </c>
      <c r="Y90" s="44" t="s">
        <v>1837</v>
      </c>
      <c r="AA90" s="41">
        <v>1608</v>
      </c>
      <c r="AB90" s="33">
        <v>83</v>
      </c>
      <c r="AC90" s="43" t="s">
        <v>46</v>
      </c>
      <c r="AD90" s="44" t="s">
        <v>46</v>
      </c>
      <c r="AF90" s="41">
        <v>1702</v>
      </c>
      <c r="AG90" s="33">
        <v>83</v>
      </c>
      <c r="AH90" s="43" t="s">
        <v>46</v>
      </c>
      <c r="AI90" s="44" t="s">
        <v>46</v>
      </c>
      <c r="AK90" s="41">
        <v>1705</v>
      </c>
      <c r="AL90" s="33">
        <v>83</v>
      </c>
      <c r="AM90" s="43" t="s">
        <v>46</v>
      </c>
      <c r="AN90" s="44" t="s">
        <v>46</v>
      </c>
      <c r="AP90" s="41">
        <v>1708</v>
      </c>
      <c r="AQ90" s="33">
        <v>83</v>
      </c>
      <c r="AR90" s="43" t="s">
        <v>46</v>
      </c>
      <c r="AS90" s="44" t="s">
        <v>46</v>
      </c>
      <c r="AU90" s="67">
        <v>1802</v>
      </c>
      <c r="AV90" s="68">
        <v>83</v>
      </c>
      <c r="AW90" s="69" t="s">
        <v>6990</v>
      </c>
      <c r="AX90" s="70" t="s">
        <v>1224</v>
      </c>
      <c r="AZ90" s="67">
        <v>1805</v>
      </c>
      <c r="BA90" s="83">
        <v>83</v>
      </c>
      <c r="BB90" s="69" t="s">
        <v>6991</v>
      </c>
      <c r="BC90" s="70" t="s">
        <v>1837</v>
      </c>
      <c r="BE90" s="67">
        <v>1808</v>
      </c>
      <c r="BF90" s="83">
        <v>83</v>
      </c>
      <c r="BG90" s="69" t="s">
        <v>46</v>
      </c>
      <c r="BH90" s="70" t="s">
        <v>46</v>
      </c>
    </row>
    <row r="91" spans="1:60">
      <c r="A91" s="1"/>
      <c r="B91" s="67">
        <v>1502</v>
      </c>
      <c r="C91" s="83">
        <v>84</v>
      </c>
      <c r="D91" s="69" t="s">
        <v>46</v>
      </c>
      <c r="E91" s="70" t="s">
        <v>46</v>
      </c>
      <c r="G91" s="67">
        <v>1505</v>
      </c>
      <c r="H91" s="83">
        <v>84</v>
      </c>
      <c r="I91" s="69" t="s">
        <v>46</v>
      </c>
      <c r="J91" s="70" t="s">
        <v>46</v>
      </c>
      <c r="L91" s="67">
        <v>1508</v>
      </c>
      <c r="M91" s="83">
        <v>84</v>
      </c>
      <c r="N91" s="69" t="s">
        <v>46</v>
      </c>
      <c r="O91" s="70" t="s">
        <v>46</v>
      </c>
      <c r="Q91" s="41">
        <v>1602</v>
      </c>
      <c r="R91" s="42">
        <v>84</v>
      </c>
      <c r="S91" s="43" t="s">
        <v>6992</v>
      </c>
      <c r="T91" s="44" t="s">
        <v>1249</v>
      </c>
      <c r="V91" s="41">
        <v>1605</v>
      </c>
      <c r="W91" s="33">
        <v>84</v>
      </c>
      <c r="X91" s="43" t="s">
        <v>6993</v>
      </c>
      <c r="Y91" s="44" t="s">
        <v>2776</v>
      </c>
      <c r="AA91" s="41">
        <v>1608</v>
      </c>
      <c r="AB91" s="33">
        <v>84</v>
      </c>
      <c r="AC91" s="43" t="s">
        <v>46</v>
      </c>
      <c r="AD91" s="44" t="s">
        <v>46</v>
      </c>
      <c r="AF91" s="41">
        <v>1702</v>
      </c>
      <c r="AG91" s="33">
        <v>84</v>
      </c>
      <c r="AH91" s="43" t="s">
        <v>46</v>
      </c>
      <c r="AI91" s="44" t="s">
        <v>46</v>
      </c>
      <c r="AK91" s="41">
        <v>1705</v>
      </c>
      <c r="AL91" s="33">
        <v>84</v>
      </c>
      <c r="AM91" s="43" t="s">
        <v>46</v>
      </c>
      <c r="AN91" s="44" t="s">
        <v>46</v>
      </c>
      <c r="AP91" s="41">
        <v>1708</v>
      </c>
      <c r="AQ91" s="33">
        <v>84</v>
      </c>
      <c r="AR91" s="43" t="s">
        <v>46</v>
      </c>
      <c r="AS91" s="44" t="s">
        <v>46</v>
      </c>
      <c r="AU91" s="67">
        <v>1802</v>
      </c>
      <c r="AV91" s="68">
        <v>84</v>
      </c>
      <c r="AW91" s="69" t="s">
        <v>6992</v>
      </c>
      <c r="AX91" s="70" t="s">
        <v>1249</v>
      </c>
      <c r="AZ91" s="67">
        <v>1805</v>
      </c>
      <c r="BA91" s="83">
        <v>84</v>
      </c>
      <c r="BB91" s="69" t="s">
        <v>6993</v>
      </c>
      <c r="BC91" s="70" t="s">
        <v>2776</v>
      </c>
      <c r="BE91" s="67">
        <v>1808</v>
      </c>
      <c r="BF91" s="83">
        <v>84</v>
      </c>
      <c r="BG91" s="69" t="s">
        <v>46</v>
      </c>
      <c r="BH91" s="70" t="s">
        <v>46</v>
      </c>
    </row>
    <row r="92" spans="1:60">
      <c r="A92" s="1"/>
      <c r="B92" s="67">
        <v>1501</v>
      </c>
      <c r="C92" s="83">
        <v>85</v>
      </c>
      <c r="D92" s="69" t="s">
        <v>6994</v>
      </c>
      <c r="E92" s="70" t="s">
        <v>1679</v>
      </c>
      <c r="G92" s="67">
        <v>1504</v>
      </c>
      <c r="H92" s="83">
        <v>85</v>
      </c>
      <c r="I92" s="69" t="s">
        <v>46</v>
      </c>
      <c r="J92" s="70" t="s">
        <v>46</v>
      </c>
      <c r="L92" s="67">
        <v>1507</v>
      </c>
      <c r="M92" s="83">
        <v>85</v>
      </c>
      <c r="N92" s="69" t="s">
        <v>46</v>
      </c>
      <c r="O92" s="70" t="s">
        <v>46</v>
      </c>
      <c r="Q92" s="41">
        <v>1603</v>
      </c>
      <c r="R92" s="42">
        <v>85</v>
      </c>
      <c r="S92" s="43" t="s">
        <v>6995</v>
      </c>
      <c r="T92" s="44" t="s">
        <v>2695</v>
      </c>
      <c r="V92" s="41">
        <v>1606</v>
      </c>
      <c r="W92" s="33">
        <v>85</v>
      </c>
      <c r="X92" s="43" t="s">
        <v>6996</v>
      </c>
      <c r="Y92" s="44" t="s">
        <v>1823</v>
      </c>
      <c r="AA92" s="41">
        <v>1609</v>
      </c>
      <c r="AB92" s="33">
        <v>85</v>
      </c>
      <c r="AC92" s="43" t="s">
        <v>46</v>
      </c>
      <c r="AD92" s="44" t="s">
        <v>46</v>
      </c>
      <c r="AF92" s="41">
        <v>1701</v>
      </c>
      <c r="AG92" s="33">
        <v>85</v>
      </c>
      <c r="AH92" s="43" t="s">
        <v>6994</v>
      </c>
      <c r="AI92" s="44" t="s">
        <v>1679</v>
      </c>
      <c r="AK92" s="41">
        <v>1704</v>
      </c>
      <c r="AL92" s="33">
        <v>85</v>
      </c>
      <c r="AM92" s="43" t="s">
        <v>46</v>
      </c>
      <c r="AN92" s="44" t="s">
        <v>46</v>
      </c>
      <c r="AP92" s="41">
        <v>1707</v>
      </c>
      <c r="AQ92" s="33">
        <v>85</v>
      </c>
      <c r="AR92" s="43" t="s">
        <v>46</v>
      </c>
      <c r="AS92" s="44" t="s">
        <v>46</v>
      </c>
      <c r="AU92" s="67">
        <v>1803</v>
      </c>
      <c r="AV92" s="68">
        <v>85</v>
      </c>
      <c r="AW92" s="69" t="s">
        <v>6995</v>
      </c>
      <c r="AX92" s="70" t="s">
        <v>2695</v>
      </c>
      <c r="AZ92" s="67">
        <v>1806</v>
      </c>
      <c r="BA92" s="83">
        <v>85</v>
      </c>
      <c r="BB92" s="69" t="s">
        <v>6996</v>
      </c>
      <c r="BC92" s="70" t="s">
        <v>1823</v>
      </c>
      <c r="BE92" s="67">
        <v>1809</v>
      </c>
      <c r="BF92" s="83">
        <v>85</v>
      </c>
      <c r="BG92" s="69" t="s">
        <v>46</v>
      </c>
      <c r="BH92" s="70" t="s">
        <v>46</v>
      </c>
    </row>
    <row r="93" spans="1:60">
      <c r="A93" s="1"/>
      <c r="B93" s="67">
        <v>1501</v>
      </c>
      <c r="C93" s="83">
        <v>86</v>
      </c>
      <c r="D93" s="69" t="s">
        <v>6997</v>
      </c>
      <c r="E93" s="70" t="s">
        <v>2941</v>
      </c>
      <c r="G93" s="67">
        <v>1504</v>
      </c>
      <c r="H93" s="83">
        <v>86</v>
      </c>
      <c r="I93" s="69" t="s">
        <v>46</v>
      </c>
      <c r="J93" s="70" t="s">
        <v>46</v>
      </c>
      <c r="L93" s="67">
        <v>1507</v>
      </c>
      <c r="M93" s="83">
        <v>86</v>
      </c>
      <c r="N93" s="69" t="s">
        <v>6998</v>
      </c>
      <c r="O93" s="70" t="s">
        <v>599</v>
      </c>
      <c r="Q93" s="41">
        <v>1603</v>
      </c>
      <c r="R93" s="42">
        <v>86</v>
      </c>
      <c r="S93" s="43" t="s">
        <v>6999</v>
      </c>
      <c r="T93" s="44" t="s">
        <v>2687</v>
      </c>
      <c r="V93" s="41">
        <v>1606</v>
      </c>
      <c r="W93" s="33">
        <v>86</v>
      </c>
      <c r="X93" s="43" t="s">
        <v>7000</v>
      </c>
      <c r="Y93" s="44" t="s">
        <v>639</v>
      </c>
      <c r="AA93" s="41">
        <v>1609</v>
      </c>
      <c r="AB93" s="33">
        <v>86</v>
      </c>
      <c r="AC93" s="43" t="s">
        <v>7001</v>
      </c>
      <c r="AD93" s="44" t="s">
        <v>1851</v>
      </c>
      <c r="AF93" s="41">
        <v>1701</v>
      </c>
      <c r="AG93" s="33">
        <v>86</v>
      </c>
      <c r="AH93" s="43" t="s">
        <v>6997</v>
      </c>
      <c r="AI93" s="44" t="s">
        <v>2941</v>
      </c>
      <c r="AK93" s="41">
        <v>1704</v>
      </c>
      <c r="AL93" s="33">
        <v>86</v>
      </c>
      <c r="AM93" s="43" t="s">
        <v>46</v>
      </c>
      <c r="AN93" s="44" t="s">
        <v>46</v>
      </c>
      <c r="AP93" s="41">
        <v>1707</v>
      </c>
      <c r="AQ93" s="33">
        <v>86</v>
      </c>
      <c r="AR93" s="43" t="s">
        <v>6998</v>
      </c>
      <c r="AS93" s="44" t="s">
        <v>599</v>
      </c>
      <c r="AU93" s="67">
        <v>1803</v>
      </c>
      <c r="AV93" s="68">
        <v>86</v>
      </c>
      <c r="AW93" s="69" t="s">
        <v>6999</v>
      </c>
      <c r="AX93" s="70" t="s">
        <v>2687</v>
      </c>
      <c r="AZ93" s="67">
        <v>1806</v>
      </c>
      <c r="BA93" s="83">
        <v>86</v>
      </c>
      <c r="BB93" s="69" t="s">
        <v>7000</v>
      </c>
      <c r="BC93" s="70" t="s">
        <v>639</v>
      </c>
      <c r="BE93" s="67">
        <v>1809</v>
      </c>
      <c r="BF93" s="83">
        <v>86</v>
      </c>
      <c r="BG93" s="69" t="s">
        <v>7001</v>
      </c>
      <c r="BH93" s="70" t="s">
        <v>5158</v>
      </c>
    </row>
    <row r="94" spans="1:60">
      <c r="A94" s="1"/>
      <c r="B94" s="67">
        <v>1501</v>
      </c>
      <c r="C94" s="83">
        <v>87</v>
      </c>
      <c r="D94" s="69" t="s">
        <v>7002</v>
      </c>
      <c r="E94" s="70" t="s">
        <v>1674</v>
      </c>
      <c r="G94" s="67">
        <v>1504</v>
      </c>
      <c r="H94" s="83">
        <v>87</v>
      </c>
      <c r="I94" s="69" t="s">
        <v>7003</v>
      </c>
      <c r="J94" s="70" t="s">
        <v>895</v>
      </c>
      <c r="L94" s="67">
        <v>1507</v>
      </c>
      <c r="M94" s="83">
        <v>87</v>
      </c>
      <c r="N94" s="69" t="s">
        <v>46</v>
      </c>
      <c r="O94" s="70" t="s">
        <v>46</v>
      </c>
      <c r="Q94" s="41">
        <v>1603</v>
      </c>
      <c r="R94" s="42">
        <v>87</v>
      </c>
      <c r="S94" s="43" t="s">
        <v>7004</v>
      </c>
      <c r="T94" s="44" t="s">
        <v>724</v>
      </c>
      <c r="V94" s="41">
        <v>1606</v>
      </c>
      <c r="W94" s="33">
        <v>87</v>
      </c>
      <c r="X94" s="43" t="s">
        <v>46</v>
      </c>
      <c r="Y94" s="44" t="s">
        <v>46</v>
      </c>
      <c r="AA94" s="41">
        <v>1609</v>
      </c>
      <c r="AB94" s="33">
        <v>87</v>
      </c>
      <c r="AC94" s="43" t="s">
        <v>46</v>
      </c>
      <c r="AD94" s="44" t="s">
        <v>46</v>
      </c>
      <c r="AF94" s="41">
        <v>1701</v>
      </c>
      <c r="AG94" s="33">
        <v>87</v>
      </c>
      <c r="AH94" s="43" t="s">
        <v>7002</v>
      </c>
      <c r="AI94" s="44" t="s">
        <v>1674</v>
      </c>
      <c r="AK94" s="41">
        <v>1704</v>
      </c>
      <c r="AL94" s="33">
        <v>87</v>
      </c>
      <c r="AM94" s="43" t="s">
        <v>7003</v>
      </c>
      <c r="AN94" s="44" t="s">
        <v>895</v>
      </c>
      <c r="AP94" s="41">
        <v>1707</v>
      </c>
      <c r="AQ94" s="33">
        <v>87</v>
      </c>
      <c r="AR94" s="43" t="s">
        <v>46</v>
      </c>
      <c r="AS94" s="44" t="s">
        <v>46</v>
      </c>
      <c r="AU94" s="67">
        <v>1803</v>
      </c>
      <c r="AV94" s="68">
        <v>87</v>
      </c>
      <c r="AW94" s="69" t="s">
        <v>7004</v>
      </c>
      <c r="AX94" s="70" t="s">
        <v>724</v>
      </c>
      <c r="AZ94" s="67">
        <v>1806</v>
      </c>
      <c r="BA94" s="83">
        <v>87</v>
      </c>
      <c r="BB94" s="69" t="s">
        <v>46</v>
      </c>
      <c r="BC94" s="70" t="s">
        <v>46</v>
      </c>
      <c r="BE94" s="67">
        <v>1809</v>
      </c>
      <c r="BF94" s="83">
        <v>87</v>
      </c>
      <c r="BG94" s="69" t="s">
        <v>46</v>
      </c>
      <c r="BH94" s="70" t="s">
        <v>46</v>
      </c>
    </row>
    <row r="95" spans="1:60">
      <c r="A95" s="1"/>
      <c r="B95" s="67">
        <v>1501</v>
      </c>
      <c r="C95" s="83">
        <v>88</v>
      </c>
      <c r="D95" s="69" t="s">
        <v>7005</v>
      </c>
      <c r="E95" s="70" t="s">
        <v>2948</v>
      </c>
      <c r="G95" s="67">
        <v>1504</v>
      </c>
      <c r="H95" s="83">
        <v>88</v>
      </c>
      <c r="I95" s="69" t="s">
        <v>7006</v>
      </c>
      <c r="J95" s="70" t="s">
        <v>825</v>
      </c>
      <c r="L95" s="67">
        <v>1507</v>
      </c>
      <c r="M95" s="83">
        <v>88</v>
      </c>
      <c r="N95" s="69" t="s">
        <v>7007</v>
      </c>
      <c r="O95" s="70" t="s">
        <v>1199</v>
      </c>
      <c r="Q95" s="41">
        <v>1603</v>
      </c>
      <c r="R95" s="42">
        <v>88</v>
      </c>
      <c r="S95" s="43" t="s">
        <v>7008</v>
      </c>
      <c r="T95" s="44" t="s">
        <v>2765</v>
      </c>
      <c r="V95" s="41">
        <v>1606</v>
      </c>
      <c r="W95" s="33">
        <v>88</v>
      </c>
      <c r="X95" s="43" t="s">
        <v>7009</v>
      </c>
      <c r="Y95" s="44" t="s">
        <v>1830</v>
      </c>
      <c r="AA95" s="41">
        <v>1609</v>
      </c>
      <c r="AB95" s="33">
        <v>88</v>
      </c>
      <c r="AC95" s="43" t="s">
        <v>46</v>
      </c>
      <c r="AD95" s="44" t="s">
        <v>46</v>
      </c>
      <c r="AF95" s="41">
        <v>1701</v>
      </c>
      <c r="AG95" s="33">
        <v>88</v>
      </c>
      <c r="AH95" s="43" t="s">
        <v>7005</v>
      </c>
      <c r="AI95" s="44" t="s">
        <v>2948</v>
      </c>
      <c r="AK95" s="41">
        <v>1704</v>
      </c>
      <c r="AL95" s="33">
        <v>88</v>
      </c>
      <c r="AM95" s="43" t="s">
        <v>7006</v>
      </c>
      <c r="AN95" s="44" t="s">
        <v>825</v>
      </c>
      <c r="AP95" s="41">
        <v>1707</v>
      </c>
      <c r="AQ95" s="33">
        <v>88</v>
      </c>
      <c r="AR95" s="43" t="s">
        <v>7007</v>
      </c>
      <c r="AS95" s="44" t="s">
        <v>1199</v>
      </c>
      <c r="AU95" s="67">
        <v>1803</v>
      </c>
      <c r="AV95" s="68">
        <v>88</v>
      </c>
      <c r="AW95" s="69" t="s">
        <v>7008</v>
      </c>
      <c r="AX95" s="70" t="s">
        <v>2765</v>
      </c>
      <c r="AZ95" s="67">
        <v>1806</v>
      </c>
      <c r="BA95" s="83">
        <v>88</v>
      </c>
      <c r="BB95" s="69" t="s">
        <v>7009</v>
      </c>
      <c r="BC95" s="70" t="s">
        <v>1830</v>
      </c>
      <c r="BE95" s="67">
        <v>1809</v>
      </c>
      <c r="BF95" s="83">
        <v>88</v>
      </c>
      <c r="BG95" s="69" t="s">
        <v>46</v>
      </c>
      <c r="BH95" s="70" t="s">
        <v>46</v>
      </c>
    </row>
    <row r="96" spans="1:60">
      <c r="A96" s="1"/>
      <c r="B96" s="67">
        <v>1501</v>
      </c>
      <c r="C96" s="83">
        <v>89</v>
      </c>
      <c r="D96" s="69" t="s">
        <v>7010</v>
      </c>
      <c r="E96" s="70" t="s">
        <v>1369</v>
      </c>
      <c r="G96" s="67">
        <v>1504</v>
      </c>
      <c r="H96" s="83">
        <v>89</v>
      </c>
      <c r="I96" s="69" t="s">
        <v>46</v>
      </c>
      <c r="J96" s="70" t="s">
        <v>46</v>
      </c>
      <c r="L96" s="67">
        <v>1507</v>
      </c>
      <c r="M96" s="83">
        <v>89</v>
      </c>
      <c r="N96" s="69" t="s">
        <v>46</v>
      </c>
      <c r="O96" s="70" t="s">
        <v>46</v>
      </c>
      <c r="Q96" s="41">
        <v>1603</v>
      </c>
      <c r="R96" s="42">
        <v>89</v>
      </c>
      <c r="S96" s="43" t="s">
        <v>7011</v>
      </c>
      <c r="T96" s="44" t="s">
        <v>2836</v>
      </c>
      <c r="V96" s="41">
        <v>1606</v>
      </c>
      <c r="W96" s="33">
        <v>89</v>
      </c>
      <c r="X96" s="43" t="s">
        <v>7012</v>
      </c>
      <c r="Y96" s="44" t="s">
        <v>293</v>
      </c>
      <c r="AA96" s="41">
        <v>1609</v>
      </c>
      <c r="AB96" s="33">
        <v>89</v>
      </c>
      <c r="AC96" s="43" t="s">
        <v>46</v>
      </c>
      <c r="AD96" s="44" t="s">
        <v>46</v>
      </c>
      <c r="AF96" s="41">
        <v>1701</v>
      </c>
      <c r="AG96" s="33">
        <v>89</v>
      </c>
      <c r="AH96" s="43" t="s">
        <v>7010</v>
      </c>
      <c r="AI96" s="44" t="s">
        <v>1369</v>
      </c>
      <c r="AK96" s="41">
        <v>1704</v>
      </c>
      <c r="AL96" s="33">
        <v>89</v>
      </c>
      <c r="AM96" s="43" t="s">
        <v>46</v>
      </c>
      <c r="AN96" s="44" t="s">
        <v>46</v>
      </c>
      <c r="AP96" s="41">
        <v>1707</v>
      </c>
      <c r="AQ96" s="33">
        <v>89</v>
      </c>
      <c r="AR96" s="43" t="s">
        <v>46</v>
      </c>
      <c r="AS96" s="44" t="s">
        <v>46</v>
      </c>
      <c r="AU96" s="67">
        <v>1803</v>
      </c>
      <c r="AV96" s="68">
        <v>89</v>
      </c>
      <c r="AW96" s="69" t="s">
        <v>7011</v>
      </c>
      <c r="AX96" s="70" t="s">
        <v>2836</v>
      </c>
      <c r="AZ96" s="67">
        <v>1806</v>
      </c>
      <c r="BA96" s="83">
        <v>89</v>
      </c>
      <c r="BB96" s="69" t="s">
        <v>7012</v>
      </c>
      <c r="BC96" s="70" t="s">
        <v>293</v>
      </c>
      <c r="BE96" s="67">
        <v>1809</v>
      </c>
      <c r="BF96" s="83">
        <v>89</v>
      </c>
      <c r="BG96" s="69" t="s">
        <v>46</v>
      </c>
      <c r="BH96" s="70" t="s">
        <v>46</v>
      </c>
    </row>
    <row r="97" spans="1:60">
      <c r="A97" s="1"/>
      <c r="B97" s="67">
        <v>1501</v>
      </c>
      <c r="C97" s="83">
        <v>90</v>
      </c>
      <c r="D97" s="69" t="s">
        <v>7013</v>
      </c>
      <c r="E97" s="70" t="s">
        <v>2738</v>
      </c>
      <c r="G97" s="67">
        <v>1504</v>
      </c>
      <c r="H97" s="83">
        <v>90</v>
      </c>
      <c r="I97" s="69" t="s">
        <v>7014</v>
      </c>
      <c r="J97" s="70" t="s">
        <v>1419</v>
      </c>
      <c r="L97" s="67">
        <v>1507</v>
      </c>
      <c r="M97" s="83">
        <v>90</v>
      </c>
      <c r="N97" s="69" t="s">
        <v>7015</v>
      </c>
      <c r="O97" s="70" t="s">
        <v>2193</v>
      </c>
      <c r="Q97" s="41">
        <v>1603</v>
      </c>
      <c r="R97" s="42">
        <v>90</v>
      </c>
      <c r="S97" s="43" t="s">
        <v>7016</v>
      </c>
      <c r="T97" s="44" t="s">
        <v>1549</v>
      </c>
      <c r="V97" s="41">
        <v>1606</v>
      </c>
      <c r="W97" s="33">
        <v>90</v>
      </c>
      <c r="X97" s="43" t="s">
        <v>7017</v>
      </c>
      <c r="Y97" s="44" t="s">
        <v>3162</v>
      </c>
      <c r="AA97" s="41">
        <v>1609</v>
      </c>
      <c r="AB97" s="33">
        <v>90</v>
      </c>
      <c r="AC97" s="43" t="s">
        <v>46</v>
      </c>
      <c r="AD97" s="44" t="s">
        <v>46</v>
      </c>
      <c r="AF97" s="41">
        <v>1701</v>
      </c>
      <c r="AG97" s="33">
        <v>90</v>
      </c>
      <c r="AH97" s="43" t="s">
        <v>7013</v>
      </c>
      <c r="AI97" s="44" t="s">
        <v>2738</v>
      </c>
      <c r="AK97" s="41">
        <v>1704</v>
      </c>
      <c r="AL97" s="33">
        <v>90</v>
      </c>
      <c r="AM97" s="43" t="s">
        <v>7014</v>
      </c>
      <c r="AN97" s="44" t="s">
        <v>1419</v>
      </c>
      <c r="AP97" s="41">
        <v>1707</v>
      </c>
      <c r="AQ97" s="33">
        <v>90</v>
      </c>
      <c r="AR97" s="43" t="s">
        <v>7015</v>
      </c>
      <c r="AS97" s="44" t="s">
        <v>2193</v>
      </c>
      <c r="AU97" s="67">
        <v>1803</v>
      </c>
      <c r="AV97" s="68">
        <v>90</v>
      </c>
      <c r="AW97" s="69" t="s">
        <v>7016</v>
      </c>
      <c r="AX97" s="70" t="s">
        <v>1549</v>
      </c>
      <c r="AZ97" s="67">
        <v>1806</v>
      </c>
      <c r="BA97" s="83">
        <v>90</v>
      </c>
      <c r="BB97" s="69" t="s">
        <v>7017</v>
      </c>
      <c r="BC97" s="70" t="s">
        <v>3162</v>
      </c>
      <c r="BE97" s="67">
        <v>1809</v>
      </c>
      <c r="BF97" s="83">
        <v>90</v>
      </c>
      <c r="BG97" s="69" t="s">
        <v>46</v>
      </c>
      <c r="BH97" s="70" t="s">
        <v>46</v>
      </c>
    </row>
    <row r="98" spans="1:60">
      <c r="A98" s="1"/>
      <c r="B98" s="67">
        <v>1501</v>
      </c>
      <c r="C98" s="83">
        <v>91</v>
      </c>
      <c r="D98" s="69" t="s">
        <v>7018</v>
      </c>
      <c r="E98" s="70" t="s">
        <v>1429</v>
      </c>
      <c r="G98" s="67">
        <v>1504</v>
      </c>
      <c r="H98" s="83">
        <v>91</v>
      </c>
      <c r="I98" s="69" t="s">
        <v>46</v>
      </c>
      <c r="J98" s="70" t="s">
        <v>46</v>
      </c>
      <c r="L98" s="67">
        <v>1507</v>
      </c>
      <c r="M98" s="83">
        <v>91</v>
      </c>
      <c r="N98" s="69" t="s">
        <v>46</v>
      </c>
      <c r="O98" s="70" t="s">
        <v>46</v>
      </c>
      <c r="Q98" s="41">
        <v>1603</v>
      </c>
      <c r="R98" s="42">
        <v>91</v>
      </c>
      <c r="S98" s="43" t="s">
        <v>7019</v>
      </c>
      <c r="T98" s="44" t="s">
        <v>2793</v>
      </c>
      <c r="V98" s="41">
        <v>1606</v>
      </c>
      <c r="W98" s="33">
        <v>91</v>
      </c>
      <c r="X98" s="43" t="s">
        <v>7020</v>
      </c>
      <c r="Y98" s="44" t="s">
        <v>303</v>
      </c>
      <c r="AA98" s="41">
        <v>1609</v>
      </c>
      <c r="AB98" s="33">
        <v>91</v>
      </c>
      <c r="AC98" s="43" t="s">
        <v>46</v>
      </c>
      <c r="AD98" s="44" t="s">
        <v>46</v>
      </c>
      <c r="AF98" s="41">
        <v>1701</v>
      </c>
      <c r="AG98" s="33">
        <v>91</v>
      </c>
      <c r="AH98" s="43" t="s">
        <v>7018</v>
      </c>
      <c r="AI98" s="44" t="s">
        <v>1429</v>
      </c>
      <c r="AK98" s="41">
        <v>1704</v>
      </c>
      <c r="AL98" s="33">
        <v>91</v>
      </c>
      <c r="AM98" s="43" t="s">
        <v>46</v>
      </c>
      <c r="AN98" s="44" t="s">
        <v>46</v>
      </c>
      <c r="AP98" s="41">
        <v>1707</v>
      </c>
      <c r="AQ98" s="33">
        <v>91</v>
      </c>
      <c r="AR98" s="43" t="s">
        <v>46</v>
      </c>
      <c r="AS98" s="44" t="s">
        <v>46</v>
      </c>
      <c r="AU98" s="67">
        <v>1803</v>
      </c>
      <c r="AV98" s="68">
        <v>91</v>
      </c>
      <c r="AW98" s="69" t="s">
        <v>7019</v>
      </c>
      <c r="AX98" s="70" t="s">
        <v>2793</v>
      </c>
      <c r="AZ98" s="67">
        <v>1806</v>
      </c>
      <c r="BA98" s="83">
        <v>91</v>
      </c>
      <c r="BB98" s="69" t="s">
        <v>7020</v>
      </c>
      <c r="BC98" s="70" t="s">
        <v>303</v>
      </c>
      <c r="BE98" s="67">
        <v>1809</v>
      </c>
      <c r="BF98" s="83">
        <v>91</v>
      </c>
      <c r="BG98" s="69" t="s">
        <v>46</v>
      </c>
      <c r="BH98" s="70" t="s">
        <v>46</v>
      </c>
    </row>
    <row r="99" spans="1:60">
      <c r="A99" s="1"/>
      <c r="B99" s="67">
        <v>1501</v>
      </c>
      <c r="C99" s="83">
        <v>92</v>
      </c>
      <c r="D99" s="69" t="s">
        <v>7021</v>
      </c>
      <c r="E99" s="70" t="s">
        <v>2746</v>
      </c>
      <c r="G99" s="67">
        <v>1504</v>
      </c>
      <c r="H99" s="83">
        <v>92</v>
      </c>
      <c r="I99" s="69" t="s">
        <v>7022</v>
      </c>
      <c r="J99" s="70" t="s">
        <v>2608</v>
      </c>
      <c r="L99" s="67">
        <v>1507</v>
      </c>
      <c r="M99" s="83">
        <v>92</v>
      </c>
      <c r="N99" s="69" t="s">
        <v>7023</v>
      </c>
      <c r="O99" s="70" t="s">
        <v>2202</v>
      </c>
      <c r="Q99" s="41">
        <v>1603</v>
      </c>
      <c r="R99" s="42">
        <v>92</v>
      </c>
      <c r="S99" s="43" t="s">
        <v>7024</v>
      </c>
      <c r="T99" s="44" t="s">
        <v>729</v>
      </c>
      <c r="V99" s="41">
        <v>1606</v>
      </c>
      <c r="W99" s="33">
        <v>92</v>
      </c>
      <c r="X99" s="43" t="s">
        <v>7025</v>
      </c>
      <c r="Y99" s="44" t="s">
        <v>3170</v>
      </c>
      <c r="AA99" s="41">
        <v>1609</v>
      </c>
      <c r="AB99" s="33">
        <v>92</v>
      </c>
      <c r="AC99" s="43" t="s">
        <v>46</v>
      </c>
      <c r="AD99" s="44" t="s">
        <v>46</v>
      </c>
      <c r="AF99" s="41">
        <v>1701</v>
      </c>
      <c r="AG99" s="33">
        <v>92</v>
      </c>
      <c r="AH99" s="43" t="s">
        <v>7021</v>
      </c>
      <c r="AI99" s="44" t="s">
        <v>2746</v>
      </c>
      <c r="AK99" s="41">
        <v>1704</v>
      </c>
      <c r="AL99" s="33">
        <v>92</v>
      </c>
      <c r="AM99" s="43" t="s">
        <v>7022</v>
      </c>
      <c r="AN99" s="44" t="s">
        <v>2608</v>
      </c>
      <c r="AP99" s="41">
        <v>1707</v>
      </c>
      <c r="AQ99" s="33">
        <v>92</v>
      </c>
      <c r="AR99" s="43" t="s">
        <v>7023</v>
      </c>
      <c r="AS99" s="44" t="s">
        <v>2202</v>
      </c>
      <c r="AU99" s="67">
        <v>1803</v>
      </c>
      <c r="AV99" s="68">
        <v>92</v>
      </c>
      <c r="AW99" s="69" t="s">
        <v>7024</v>
      </c>
      <c r="AX99" s="70" t="s">
        <v>729</v>
      </c>
      <c r="AZ99" s="67">
        <v>1806</v>
      </c>
      <c r="BA99" s="83">
        <v>92</v>
      </c>
      <c r="BB99" s="69" t="s">
        <v>7025</v>
      </c>
      <c r="BC99" s="70" t="s">
        <v>3170</v>
      </c>
      <c r="BE99" s="67">
        <v>1809</v>
      </c>
      <c r="BF99" s="83">
        <v>92</v>
      </c>
      <c r="BG99" s="69" t="s">
        <v>46</v>
      </c>
      <c r="BH99" s="70" t="s">
        <v>46</v>
      </c>
    </row>
    <row r="100" spans="1:60">
      <c r="A100" s="1"/>
      <c r="B100" s="67">
        <v>1501</v>
      </c>
      <c r="C100" s="83">
        <v>93</v>
      </c>
      <c r="D100" s="69" t="s">
        <v>7026</v>
      </c>
      <c r="E100" s="70" t="s">
        <v>1444</v>
      </c>
      <c r="G100" s="67">
        <v>1504</v>
      </c>
      <c r="H100" s="83">
        <v>93</v>
      </c>
      <c r="I100" s="69" t="s">
        <v>46</v>
      </c>
      <c r="J100" s="70" t="s">
        <v>46</v>
      </c>
      <c r="L100" s="67">
        <v>1507</v>
      </c>
      <c r="M100" s="83">
        <v>93</v>
      </c>
      <c r="N100" s="69" t="s">
        <v>46</v>
      </c>
      <c r="O100" s="70" t="s">
        <v>46</v>
      </c>
      <c r="Q100" s="41">
        <v>1603</v>
      </c>
      <c r="R100" s="42">
        <v>93</v>
      </c>
      <c r="S100" s="43" t="s">
        <v>7027</v>
      </c>
      <c r="T100" s="44" t="s">
        <v>2678</v>
      </c>
      <c r="V100" s="41">
        <v>1606</v>
      </c>
      <c r="W100" s="33">
        <v>93</v>
      </c>
      <c r="X100" s="43" t="s">
        <v>7028</v>
      </c>
      <c r="Y100" s="44" t="s">
        <v>1524</v>
      </c>
      <c r="AA100" s="41">
        <v>1609</v>
      </c>
      <c r="AB100" s="33">
        <v>93</v>
      </c>
      <c r="AC100" s="43" t="s">
        <v>46</v>
      </c>
      <c r="AD100" s="44" t="s">
        <v>46</v>
      </c>
      <c r="AF100" s="41">
        <v>1701</v>
      </c>
      <c r="AG100" s="33">
        <v>93</v>
      </c>
      <c r="AH100" s="43" t="s">
        <v>7026</v>
      </c>
      <c r="AI100" s="44" t="s">
        <v>1444</v>
      </c>
      <c r="AK100" s="41">
        <v>1704</v>
      </c>
      <c r="AL100" s="33">
        <v>93</v>
      </c>
      <c r="AM100" s="43" t="s">
        <v>46</v>
      </c>
      <c r="AN100" s="44" t="s">
        <v>46</v>
      </c>
      <c r="AP100" s="41">
        <v>1707</v>
      </c>
      <c r="AQ100" s="33">
        <v>93</v>
      </c>
      <c r="AR100" s="43" t="s">
        <v>46</v>
      </c>
      <c r="AS100" s="44" t="s">
        <v>46</v>
      </c>
      <c r="AU100" s="67">
        <v>1803</v>
      </c>
      <c r="AV100" s="68">
        <v>93</v>
      </c>
      <c r="AW100" s="69" t="s">
        <v>7027</v>
      </c>
      <c r="AX100" s="70" t="s">
        <v>2678</v>
      </c>
      <c r="AZ100" s="67">
        <v>1806</v>
      </c>
      <c r="BA100" s="83">
        <v>93</v>
      </c>
      <c r="BB100" s="69" t="s">
        <v>7028</v>
      </c>
      <c r="BC100" s="70" t="s">
        <v>1524</v>
      </c>
      <c r="BE100" s="67">
        <v>1809</v>
      </c>
      <c r="BF100" s="83">
        <v>93</v>
      </c>
      <c r="BG100" s="69" t="s">
        <v>46</v>
      </c>
      <c r="BH100" s="70" t="s">
        <v>46</v>
      </c>
    </row>
    <row r="101" spans="1:60">
      <c r="A101" s="1"/>
      <c r="B101" s="67">
        <v>1501</v>
      </c>
      <c r="C101" s="83">
        <v>94</v>
      </c>
      <c r="D101" s="69" t="s">
        <v>7029</v>
      </c>
      <c r="E101" s="70" t="s">
        <v>1344</v>
      </c>
      <c r="G101" s="67">
        <v>1504</v>
      </c>
      <c r="H101" s="83">
        <v>94</v>
      </c>
      <c r="I101" s="69" t="s">
        <v>7030</v>
      </c>
      <c r="J101" s="70" t="s">
        <v>2598</v>
      </c>
      <c r="L101" s="67">
        <v>1507</v>
      </c>
      <c r="M101" s="83">
        <v>94</v>
      </c>
      <c r="N101" s="69" t="s">
        <v>7031</v>
      </c>
      <c r="O101" s="70" t="s">
        <v>2855</v>
      </c>
      <c r="Q101" s="41">
        <v>1603</v>
      </c>
      <c r="R101" s="42">
        <v>94</v>
      </c>
      <c r="S101" s="43" t="s">
        <v>7032</v>
      </c>
      <c r="T101" s="44" t="s">
        <v>1534</v>
      </c>
      <c r="V101" s="41">
        <v>1606</v>
      </c>
      <c r="W101" s="33">
        <v>94</v>
      </c>
      <c r="X101" s="43" t="s">
        <v>7033</v>
      </c>
      <c r="Y101" s="44" t="s">
        <v>1559</v>
      </c>
      <c r="AA101" s="41">
        <v>1609</v>
      </c>
      <c r="AB101" s="33">
        <v>94</v>
      </c>
      <c r="AC101" s="43" t="s">
        <v>46</v>
      </c>
      <c r="AD101" s="44" t="s">
        <v>46</v>
      </c>
      <c r="AF101" s="41">
        <v>1701</v>
      </c>
      <c r="AG101" s="33">
        <v>94</v>
      </c>
      <c r="AH101" s="43" t="s">
        <v>7029</v>
      </c>
      <c r="AI101" s="44" t="s">
        <v>1344</v>
      </c>
      <c r="AK101" s="41">
        <v>1704</v>
      </c>
      <c r="AL101" s="33">
        <v>94</v>
      </c>
      <c r="AM101" s="43" t="s">
        <v>7030</v>
      </c>
      <c r="AN101" s="44" t="s">
        <v>2598</v>
      </c>
      <c r="AP101" s="41">
        <v>1707</v>
      </c>
      <c r="AQ101" s="33">
        <v>94</v>
      </c>
      <c r="AR101" s="43" t="s">
        <v>7031</v>
      </c>
      <c r="AS101" s="44" t="s">
        <v>2855</v>
      </c>
      <c r="AU101" s="67">
        <v>1803</v>
      </c>
      <c r="AV101" s="68">
        <v>94</v>
      </c>
      <c r="AW101" s="69" t="s">
        <v>7032</v>
      </c>
      <c r="AX101" s="70" t="s">
        <v>1534</v>
      </c>
      <c r="AZ101" s="67">
        <v>1806</v>
      </c>
      <c r="BA101" s="83">
        <v>94</v>
      </c>
      <c r="BB101" s="69" t="s">
        <v>7033</v>
      </c>
      <c r="BC101" s="70" t="s">
        <v>1559</v>
      </c>
      <c r="BE101" s="67">
        <v>1809</v>
      </c>
      <c r="BF101" s="83">
        <v>94</v>
      </c>
      <c r="BG101" s="69" t="s">
        <v>46</v>
      </c>
      <c r="BH101" s="70" t="s">
        <v>46</v>
      </c>
    </row>
    <row r="102" spans="1:60">
      <c r="A102" s="1"/>
      <c r="B102" s="67">
        <v>1501</v>
      </c>
      <c r="C102" s="83">
        <v>95</v>
      </c>
      <c r="D102" s="69" t="s">
        <v>7034</v>
      </c>
      <c r="E102" s="70" t="s">
        <v>1459</v>
      </c>
      <c r="G102" s="67">
        <v>1504</v>
      </c>
      <c r="H102" s="83">
        <v>95</v>
      </c>
      <c r="I102" s="69" t="s">
        <v>46</v>
      </c>
      <c r="J102" s="70" t="s">
        <v>46</v>
      </c>
      <c r="L102" s="67">
        <v>1507</v>
      </c>
      <c r="M102" s="83">
        <v>95</v>
      </c>
      <c r="N102" s="69" t="s">
        <v>7035</v>
      </c>
      <c r="O102" s="70" t="s">
        <v>1689</v>
      </c>
      <c r="Q102" s="41">
        <v>1603</v>
      </c>
      <c r="R102" s="42">
        <v>95</v>
      </c>
      <c r="S102" s="43" t="s">
        <v>7036</v>
      </c>
      <c r="T102" s="44" t="s">
        <v>2668</v>
      </c>
      <c r="V102" s="41">
        <v>1606</v>
      </c>
      <c r="W102" s="33">
        <v>95</v>
      </c>
      <c r="X102" s="43" t="s">
        <v>7037</v>
      </c>
      <c r="Y102" s="44" t="s">
        <v>1509</v>
      </c>
      <c r="AA102" s="41">
        <v>1609</v>
      </c>
      <c r="AB102" s="33">
        <v>95</v>
      </c>
      <c r="AC102" s="43" t="s">
        <v>46</v>
      </c>
      <c r="AD102" s="44" t="s">
        <v>46</v>
      </c>
      <c r="AF102" s="41">
        <v>1701</v>
      </c>
      <c r="AG102" s="33">
        <v>95</v>
      </c>
      <c r="AH102" s="43" t="s">
        <v>7034</v>
      </c>
      <c r="AI102" s="44" t="s">
        <v>1459</v>
      </c>
      <c r="AK102" s="41">
        <v>1704</v>
      </c>
      <c r="AL102" s="33">
        <v>95</v>
      </c>
      <c r="AM102" s="43" t="s">
        <v>46</v>
      </c>
      <c r="AN102" s="44" t="s">
        <v>46</v>
      </c>
      <c r="AP102" s="41">
        <v>1707</v>
      </c>
      <c r="AQ102" s="33">
        <v>95</v>
      </c>
      <c r="AR102" s="43" t="s">
        <v>7035</v>
      </c>
      <c r="AS102" s="44" t="s">
        <v>1689</v>
      </c>
      <c r="AU102" s="67">
        <v>1803</v>
      </c>
      <c r="AV102" s="68">
        <v>95</v>
      </c>
      <c r="AW102" s="69" t="s">
        <v>7036</v>
      </c>
      <c r="AX102" s="70" t="s">
        <v>2668</v>
      </c>
      <c r="AZ102" s="67">
        <v>1806</v>
      </c>
      <c r="BA102" s="83">
        <v>95</v>
      </c>
      <c r="BB102" s="69" t="s">
        <v>7037</v>
      </c>
      <c r="BC102" s="70" t="s">
        <v>1509</v>
      </c>
      <c r="BE102" s="67">
        <v>1809</v>
      </c>
      <c r="BF102" s="83">
        <v>95</v>
      </c>
      <c r="BG102" s="69" t="s">
        <v>46</v>
      </c>
      <c r="BH102" s="70" t="s">
        <v>46</v>
      </c>
    </row>
    <row r="103" spans="1:60" ht="15" thickBot="1">
      <c r="A103" s="1"/>
      <c r="B103" s="71">
        <v>1501</v>
      </c>
      <c r="C103" s="84">
        <v>96</v>
      </c>
      <c r="D103" s="80" t="s">
        <v>7038</v>
      </c>
      <c r="E103" s="74" t="s">
        <v>855</v>
      </c>
      <c r="G103" s="71">
        <v>1504</v>
      </c>
      <c r="H103" s="84">
        <v>96</v>
      </c>
      <c r="I103" s="80" t="s">
        <v>7039</v>
      </c>
      <c r="J103" s="74" t="s">
        <v>2033</v>
      </c>
      <c r="L103" s="71">
        <v>1507</v>
      </c>
      <c r="M103" s="84">
        <v>96</v>
      </c>
      <c r="N103" s="80" t="s">
        <v>7040</v>
      </c>
      <c r="O103" s="74" t="s">
        <v>983</v>
      </c>
      <c r="Q103" s="45">
        <v>1603</v>
      </c>
      <c r="R103" s="46">
        <v>96</v>
      </c>
      <c r="S103" s="54" t="s">
        <v>7041</v>
      </c>
      <c r="T103" s="48" t="s">
        <v>661</v>
      </c>
      <c r="V103" s="45">
        <v>1606</v>
      </c>
      <c r="W103" s="57">
        <v>96</v>
      </c>
      <c r="X103" s="54" t="s">
        <v>7042</v>
      </c>
      <c r="Y103" s="48" t="s">
        <v>2930</v>
      </c>
      <c r="AA103" s="45">
        <v>1609</v>
      </c>
      <c r="AB103" s="57">
        <v>96</v>
      </c>
      <c r="AC103" s="54" t="s">
        <v>46</v>
      </c>
      <c r="AD103" s="48" t="s">
        <v>46</v>
      </c>
      <c r="AF103" s="45">
        <v>1701</v>
      </c>
      <c r="AG103" s="57">
        <v>96</v>
      </c>
      <c r="AH103" s="54" t="s">
        <v>7038</v>
      </c>
      <c r="AI103" s="48" t="s">
        <v>855</v>
      </c>
      <c r="AK103" s="45">
        <v>1704</v>
      </c>
      <c r="AL103" s="57">
        <v>96</v>
      </c>
      <c r="AM103" s="54" t="s">
        <v>7039</v>
      </c>
      <c r="AN103" s="48" t="s">
        <v>2033</v>
      </c>
      <c r="AP103" s="45">
        <v>1707</v>
      </c>
      <c r="AQ103" s="57">
        <v>96</v>
      </c>
      <c r="AR103" s="54" t="s">
        <v>7040</v>
      </c>
      <c r="AS103" s="48" t="s">
        <v>983</v>
      </c>
      <c r="AU103" s="71">
        <v>1803</v>
      </c>
      <c r="AV103" s="72">
        <v>96</v>
      </c>
      <c r="AW103" s="80" t="s">
        <v>7041</v>
      </c>
      <c r="AX103" s="74" t="s">
        <v>661</v>
      </c>
      <c r="AZ103" s="71">
        <v>1806</v>
      </c>
      <c r="BA103" s="84">
        <v>96</v>
      </c>
      <c r="BB103" s="80" t="s">
        <v>7042</v>
      </c>
      <c r="BC103" s="74" t="s">
        <v>2930</v>
      </c>
      <c r="BE103" s="71">
        <v>1809</v>
      </c>
      <c r="BF103" s="84">
        <v>96</v>
      </c>
      <c r="BG103" s="80" t="s">
        <v>46</v>
      </c>
      <c r="BH103" s="74" t="s">
        <v>46</v>
      </c>
    </row>
    <row r="104" spans="1:60">
      <c r="A104" s="1"/>
      <c r="B104" s="63">
        <v>1501</v>
      </c>
      <c r="C104" s="82">
        <v>97</v>
      </c>
      <c r="D104" s="81" t="s">
        <v>7043</v>
      </c>
      <c r="E104" s="66" t="s">
        <v>1424</v>
      </c>
      <c r="G104" s="63">
        <v>1504</v>
      </c>
      <c r="H104" s="82">
        <v>97</v>
      </c>
      <c r="I104" s="81" t="s">
        <v>46</v>
      </c>
      <c r="J104" s="66" t="s">
        <v>46</v>
      </c>
      <c r="L104" s="63">
        <v>1507</v>
      </c>
      <c r="M104" s="82">
        <v>97</v>
      </c>
      <c r="N104" s="81" t="s">
        <v>7044</v>
      </c>
      <c r="O104" s="66" t="s">
        <v>1163</v>
      </c>
      <c r="Q104" s="37">
        <v>1603</v>
      </c>
      <c r="R104" s="38">
        <v>97</v>
      </c>
      <c r="S104" s="55" t="s">
        <v>7045</v>
      </c>
      <c r="T104" s="40" t="s">
        <v>1098</v>
      </c>
      <c r="V104" s="37">
        <v>1606</v>
      </c>
      <c r="W104" s="56">
        <v>97</v>
      </c>
      <c r="X104" s="55" t="s">
        <v>7046</v>
      </c>
      <c r="Y104" s="40" t="s">
        <v>1624</v>
      </c>
      <c r="AA104" s="37">
        <v>1609</v>
      </c>
      <c r="AB104" s="56">
        <v>97</v>
      </c>
      <c r="AC104" s="55" t="s">
        <v>46</v>
      </c>
      <c r="AD104" s="40" t="s">
        <v>46</v>
      </c>
      <c r="AF104" s="37">
        <v>1701</v>
      </c>
      <c r="AG104" s="56">
        <v>97</v>
      </c>
      <c r="AH104" s="55" t="s">
        <v>7043</v>
      </c>
      <c r="AI104" s="40" t="s">
        <v>1424</v>
      </c>
      <c r="AK104" s="37">
        <v>1704</v>
      </c>
      <c r="AL104" s="56">
        <v>97</v>
      </c>
      <c r="AM104" s="55" t="s">
        <v>46</v>
      </c>
      <c r="AN104" s="40" t="s">
        <v>46</v>
      </c>
      <c r="AP104" s="37">
        <v>1707</v>
      </c>
      <c r="AQ104" s="56">
        <v>97</v>
      </c>
      <c r="AR104" s="55" t="s">
        <v>7044</v>
      </c>
      <c r="AS104" s="40" t="s">
        <v>1163</v>
      </c>
      <c r="AU104" s="63">
        <v>1803</v>
      </c>
      <c r="AV104" s="64">
        <v>97</v>
      </c>
      <c r="AW104" s="81" t="s">
        <v>7045</v>
      </c>
      <c r="AX104" s="66" t="s">
        <v>1098</v>
      </c>
      <c r="AZ104" s="63">
        <v>1806</v>
      </c>
      <c r="BA104" s="82">
        <v>97</v>
      </c>
      <c r="BB104" s="81" t="s">
        <v>7046</v>
      </c>
      <c r="BC104" s="66" t="s">
        <v>1624</v>
      </c>
      <c r="BE104" s="63">
        <v>1809</v>
      </c>
      <c r="BF104" s="82">
        <v>97</v>
      </c>
      <c r="BG104" s="81" t="s">
        <v>46</v>
      </c>
      <c r="BH104" s="66" t="s">
        <v>46</v>
      </c>
    </row>
    <row r="105" spans="1:60">
      <c r="A105" s="1"/>
      <c r="B105" s="67">
        <v>1501</v>
      </c>
      <c r="C105" s="83">
        <v>98</v>
      </c>
      <c r="D105" s="69" t="s">
        <v>7047</v>
      </c>
      <c r="E105" s="70" t="s">
        <v>2899</v>
      </c>
      <c r="G105" s="67">
        <v>1504</v>
      </c>
      <c r="H105" s="83">
        <v>98</v>
      </c>
      <c r="I105" s="69" t="s">
        <v>7048</v>
      </c>
      <c r="J105" s="70" t="s">
        <v>2043</v>
      </c>
      <c r="L105" s="67">
        <v>1507</v>
      </c>
      <c r="M105" s="83">
        <v>98</v>
      </c>
      <c r="N105" s="69" t="s">
        <v>7049</v>
      </c>
      <c r="O105" s="70" t="s">
        <v>1204</v>
      </c>
      <c r="Q105" s="41">
        <v>1603</v>
      </c>
      <c r="R105" s="42">
        <v>98</v>
      </c>
      <c r="S105" s="43" t="s">
        <v>7050</v>
      </c>
      <c r="T105" s="44" t="s">
        <v>1108</v>
      </c>
      <c r="V105" s="41">
        <v>1606</v>
      </c>
      <c r="W105" s="33">
        <v>98</v>
      </c>
      <c r="X105" s="43" t="s">
        <v>7051</v>
      </c>
      <c r="Y105" s="44" t="s">
        <v>347</v>
      </c>
      <c r="AA105" s="41">
        <v>1609</v>
      </c>
      <c r="AB105" s="33">
        <v>98</v>
      </c>
      <c r="AC105" s="43" t="s">
        <v>46</v>
      </c>
      <c r="AD105" s="44" t="s">
        <v>46</v>
      </c>
      <c r="AF105" s="41">
        <v>1701</v>
      </c>
      <c r="AG105" s="33">
        <v>98</v>
      </c>
      <c r="AH105" s="43" t="s">
        <v>7047</v>
      </c>
      <c r="AI105" s="44" t="s">
        <v>2899</v>
      </c>
      <c r="AK105" s="41">
        <v>1704</v>
      </c>
      <c r="AL105" s="33">
        <v>98</v>
      </c>
      <c r="AM105" s="43" t="s">
        <v>7048</v>
      </c>
      <c r="AN105" s="44" t="s">
        <v>2043</v>
      </c>
      <c r="AP105" s="41">
        <v>1707</v>
      </c>
      <c r="AQ105" s="33">
        <v>98</v>
      </c>
      <c r="AR105" s="43" t="s">
        <v>7049</v>
      </c>
      <c r="AS105" s="44" t="s">
        <v>1204</v>
      </c>
      <c r="AU105" s="67">
        <v>1803</v>
      </c>
      <c r="AV105" s="68">
        <v>98</v>
      </c>
      <c r="AW105" s="69" t="s">
        <v>7050</v>
      </c>
      <c r="AX105" s="70" t="s">
        <v>1108</v>
      </c>
      <c r="AZ105" s="67">
        <v>1806</v>
      </c>
      <c r="BA105" s="83">
        <v>98</v>
      </c>
      <c r="BB105" s="69" t="s">
        <v>7051</v>
      </c>
      <c r="BC105" s="70" t="s">
        <v>347</v>
      </c>
      <c r="BE105" s="67">
        <v>1809</v>
      </c>
      <c r="BF105" s="83">
        <v>98</v>
      </c>
      <c r="BG105" s="69" t="s">
        <v>46</v>
      </c>
      <c r="BH105" s="70" t="s">
        <v>46</v>
      </c>
    </row>
    <row r="106" spans="1:60">
      <c r="A106" s="1"/>
      <c r="B106" s="67">
        <v>1501</v>
      </c>
      <c r="C106" s="83">
        <v>99</v>
      </c>
      <c r="D106" s="69" t="s">
        <v>7052</v>
      </c>
      <c r="E106" s="70" t="s">
        <v>830</v>
      </c>
      <c r="G106" s="67">
        <v>1504</v>
      </c>
      <c r="H106" s="83">
        <v>99</v>
      </c>
      <c r="I106" s="69" t="s">
        <v>7053</v>
      </c>
      <c r="J106" s="70" t="s">
        <v>1494</v>
      </c>
      <c r="L106" s="67">
        <v>1507</v>
      </c>
      <c r="M106" s="83">
        <v>99</v>
      </c>
      <c r="N106" s="69" t="s">
        <v>7054</v>
      </c>
      <c r="O106" s="70" t="s">
        <v>1669</v>
      </c>
      <c r="Q106" s="41">
        <v>1603</v>
      </c>
      <c r="R106" s="42">
        <v>99</v>
      </c>
      <c r="S106" s="43" t="s">
        <v>7055</v>
      </c>
      <c r="T106" s="44" t="s">
        <v>1058</v>
      </c>
      <c r="V106" s="41">
        <v>1606</v>
      </c>
      <c r="W106" s="33">
        <v>99</v>
      </c>
      <c r="X106" s="43" t="s">
        <v>7056</v>
      </c>
      <c r="Y106" s="44" t="s">
        <v>2760</v>
      </c>
      <c r="AA106" s="41">
        <v>1609</v>
      </c>
      <c r="AB106" s="33">
        <v>99</v>
      </c>
      <c r="AC106" s="43" t="s">
        <v>46</v>
      </c>
      <c r="AD106" s="44" t="s">
        <v>46</v>
      </c>
      <c r="AF106" s="41">
        <v>1701</v>
      </c>
      <c r="AG106" s="33">
        <v>99</v>
      </c>
      <c r="AH106" s="43" t="s">
        <v>7052</v>
      </c>
      <c r="AI106" s="44" t="s">
        <v>830</v>
      </c>
      <c r="AK106" s="41">
        <v>1704</v>
      </c>
      <c r="AL106" s="33">
        <v>99</v>
      </c>
      <c r="AM106" s="43" t="s">
        <v>7053</v>
      </c>
      <c r="AN106" s="44" t="s">
        <v>1494</v>
      </c>
      <c r="AP106" s="41">
        <v>1707</v>
      </c>
      <c r="AQ106" s="33">
        <v>99</v>
      </c>
      <c r="AR106" s="43" t="s">
        <v>7054</v>
      </c>
      <c r="AS106" s="44" t="s">
        <v>1669</v>
      </c>
      <c r="AU106" s="67">
        <v>1803</v>
      </c>
      <c r="AV106" s="68">
        <v>99</v>
      </c>
      <c r="AW106" s="69" t="s">
        <v>7055</v>
      </c>
      <c r="AX106" s="70" t="s">
        <v>1058</v>
      </c>
      <c r="AZ106" s="67">
        <v>1806</v>
      </c>
      <c r="BA106" s="83">
        <v>99</v>
      </c>
      <c r="BB106" s="69" t="s">
        <v>7056</v>
      </c>
      <c r="BC106" s="70" t="s">
        <v>2760</v>
      </c>
      <c r="BE106" s="67">
        <v>1809</v>
      </c>
      <c r="BF106" s="83">
        <v>99</v>
      </c>
      <c r="BG106" s="69" t="s">
        <v>46</v>
      </c>
      <c r="BH106" s="70" t="s">
        <v>46</v>
      </c>
    </row>
    <row r="107" spans="1:60">
      <c r="A107" s="1"/>
      <c r="B107" s="67">
        <v>1501</v>
      </c>
      <c r="C107" s="83">
        <v>100</v>
      </c>
      <c r="D107" s="69" t="s">
        <v>7057</v>
      </c>
      <c r="E107" s="70" t="s">
        <v>1814</v>
      </c>
      <c r="G107" s="67">
        <v>1504</v>
      </c>
      <c r="H107" s="83">
        <v>100</v>
      </c>
      <c r="I107" s="69" t="s">
        <v>7058</v>
      </c>
      <c r="J107" s="70" t="s">
        <v>1454</v>
      </c>
      <c r="L107" s="67">
        <v>1507</v>
      </c>
      <c r="M107" s="83">
        <v>100</v>
      </c>
      <c r="N107" s="69" t="s">
        <v>7059</v>
      </c>
      <c r="O107" s="70" t="s">
        <v>2484</v>
      </c>
      <c r="Q107" s="41">
        <v>1603</v>
      </c>
      <c r="R107" s="42">
        <v>100</v>
      </c>
      <c r="S107" s="43" t="s">
        <v>7060</v>
      </c>
      <c r="T107" s="44" t="s">
        <v>1917</v>
      </c>
      <c r="V107" s="41">
        <v>1606</v>
      </c>
      <c r="W107" s="33">
        <v>100</v>
      </c>
      <c r="X107" s="43" t="s">
        <v>7061</v>
      </c>
      <c r="Y107" s="44" t="s">
        <v>3088</v>
      </c>
      <c r="AA107" s="41">
        <v>1609</v>
      </c>
      <c r="AB107" s="33">
        <v>100</v>
      </c>
      <c r="AC107" s="43" t="s">
        <v>7062</v>
      </c>
      <c r="AD107" s="44" t="s">
        <v>137</v>
      </c>
      <c r="AF107" s="41">
        <v>1701</v>
      </c>
      <c r="AG107" s="33">
        <v>100</v>
      </c>
      <c r="AH107" s="43" t="s">
        <v>7057</v>
      </c>
      <c r="AI107" s="44" t="s">
        <v>1814</v>
      </c>
      <c r="AK107" s="41">
        <v>1704</v>
      </c>
      <c r="AL107" s="33">
        <v>100</v>
      </c>
      <c r="AM107" s="43" t="s">
        <v>7058</v>
      </c>
      <c r="AN107" s="44" t="s">
        <v>1454</v>
      </c>
      <c r="AP107" s="41">
        <v>1707</v>
      </c>
      <c r="AQ107" s="33">
        <v>100</v>
      </c>
      <c r="AR107" s="43" t="s">
        <v>7059</v>
      </c>
      <c r="AS107" s="44" t="s">
        <v>2484</v>
      </c>
      <c r="AU107" s="67">
        <v>1803</v>
      </c>
      <c r="AV107" s="68">
        <v>100</v>
      </c>
      <c r="AW107" s="69" t="s">
        <v>7060</v>
      </c>
      <c r="AX107" s="70" t="s">
        <v>1917</v>
      </c>
      <c r="AZ107" s="67">
        <v>1806</v>
      </c>
      <c r="BA107" s="83">
        <v>100</v>
      </c>
      <c r="BB107" s="69" t="s">
        <v>7061</v>
      </c>
      <c r="BC107" s="70" t="s">
        <v>3088</v>
      </c>
      <c r="BE107" s="67">
        <v>1809</v>
      </c>
      <c r="BF107" s="83">
        <v>100</v>
      </c>
      <c r="BG107" s="69" t="s">
        <v>7062</v>
      </c>
      <c r="BH107" s="70" t="s">
        <v>137</v>
      </c>
    </row>
    <row r="108" spans="1:60">
      <c r="A108" s="1"/>
      <c r="B108" s="67">
        <v>1501</v>
      </c>
      <c r="C108" s="83">
        <v>101</v>
      </c>
      <c r="D108" s="69" t="s">
        <v>7063</v>
      </c>
      <c r="E108" s="70" t="s">
        <v>341</v>
      </c>
      <c r="G108" s="67">
        <v>1504</v>
      </c>
      <c r="H108" s="83">
        <v>101</v>
      </c>
      <c r="I108" s="69" t="s">
        <v>7064</v>
      </c>
      <c r="J108" s="70" t="s">
        <v>1269</v>
      </c>
      <c r="L108" s="67">
        <v>1507</v>
      </c>
      <c r="M108" s="83">
        <v>101</v>
      </c>
      <c r="N108" s="69" t="s">
        <v>7065</v>
      </c>
      <c r="O108" s="70" t="s">
        <v>1003</v>
      </c>
      <c r="Q108" s="41">
        <v>1603</v>
      </c>
      <c r="R108" s="42">
        <v>101</v>
      </c>
      <c r="S108" s="43" t="s">
        <v>7066</v>
      </c>
      <c r="T108" s="44" t="s">
        <v>2875</v>
      </c>
      <c r="V108" s="41">
        <v>1606</v>
      </c>
      <c r="W108" s="33">
        <v>101</v>
      </c>
      <c r="X108" s="43" t="s">
        <v>7067</v>
      </c>
      <c r="Y108" s="44" t="s">
        <v>4083</v>
      </c>
      <c r="AA108" s="41">
        <v>1609</v>
      </c>
      <c r="AB108" s="33">
        <v>101</v>
      </c>
      <c r="AC108" s="43" t="s">
        <v>46</v>
      </c>
      <c r="AD108" s="44" t="s">
        <v>46</v>
      </c>
      <c r="AF108" s="41">
        <v>1701</v>
      </c>
      <c r="AG108" s="33">
        <v>101</v>
      </c>
      <c r="AH108" s="43" t="s">
        <v>7063</v>
      </c>
      <c r="AI108" s="44" t="s">
        <v>341</v>
      </c>
      <c r="AK108" s="41">
        <v>1704</v>
      </c>
      <c r="AL108" s="33">
        <v>101</v>
      </c>
      <c r="AM108" s="43" t="s">
        <v>7064</v>
      </c>
      <c r="AN108" s="44" t="s">
        <v>1269</v>
      </c>
      <c r="AP108" s="41">
        <v>1707</v>
      </c>
      <c r="AQ108" s="33">
        <v>101</v>
      </c>
      <c r="AR108" s="43" t="s">
        <v>7065</v>
      </c>
      <c r="AS108" s="44" t="s">
        <v>1003</v>
      </c>
      <c r="AU108" s="67">
        <v>1803</v>
      </c>
      <c r="AV108" s="68">
        <v>101</v>
      </c>
      <c r="AW108" s="69" t="s">
        <v>7066</v>
      </c>
      <c r="AX108" s="70" t="s">
        <v>2875</v>
      </c>
      <c r="AZ108" s="67">
        <v>1806</v>
      </c>
      <c r="BA108" s="83">
        <v>101</v>
      </c>
      <c r="BB108" s="69" t="s">
        <v>7067</v>
      </c>
      <c r="BC108" s="70" t="s">
        <v>4083</v>
      </c>
      <c r="BE108" s="67">
        <v>1809</v>
      </c>
      <c r="BF108" s="83">
        <v>101</v>
      </c>
      <c r="BG108" s="69" t="s">
        <v>46</v>
      </c>
      <c r="BH108" s="70" t="s">
        <v>46</v>
      </c>
    </row>
    <row r="109" spans="1:60">
      <c r="A109" s="1"/>
      <c r="B109" s="67">
        <v>1501</v>
      </c>
      <c r="C109" s="83">
        <v>102</v>
      </c>
      <c r="D109" s="69" t="s">
        <v>46</v>
      </c>
      <c r="E109" s="70" t="s">
        <v>46</v>
      </c>
      <c r="G109" s="67">
        <v>1504</v>
      </c>
      <c r="H109" s="83">
        <v>102</v>
      </c>
      <c r="I109" s="69" t="s">
        <v>7068</v>
      </c>
      <c r="J109" s="70" t="s">
        <v>988</v>
      </c>
      <c r="L109" s="67">
        <v>1507</v>
      </c>
      <c r="M109" s="83">
        <v>102</v>
      </c>
      <c r="N109" s="69" t="s">
        <v>7069</v>
      </c>
      <c r="O109" s="70" t="s">
        <v>2476</v>
      </c>
      <c r="Q109" s="41">
        <v>1603</v>
      </c>
      <c r="R109" s="42">
        <v>102</v>
      </c>
      <c r="S109" s="43" t="s">
        <v>7070</v>
      </c>
      <c r="T109" s="44" t="s">
        <v>1908</v>
      </c>
      <c r="V109" s="41">
        <v>1606</v>
      </c>
      <c r="W109" s="33">
        <v>102</v>
      </c>
      <c r="X109" s="43" t="s">
        <v>7071</v>
      </c>
      <c r="Y109" s="44" t="s">
        <v>3012</v>
      </c>
      <c r="AA109" s="41">
        <v>1609</v>
      </c>
      <c r="AB109" s="33">
        <v>102</v>
      </c>
      <c r="AC109" s="43" t="s">
        <v>7072</v>
      </c>
      <c r="AD109" s="44" t="s">
        <v>43</v>
      </c>
      <c r="AF109" s="41">
        <v>1701</v>
      </c>
      <c r="AG109" s="33">
        <v>102</v>
      </c>
      <c r="AH109" s="43" t="s">
        <v>46</v>
      </c>
      <c r="AI109" s="44" t="s">
        <v>46</v>
      </c>
      <c r="AK109" s="41">
        <v>1704</v>
      </c>
      <c r="AL109" s="33">
        <v>102</v>
      </c>
      <c r="AM109" s="43" t="s">
        <v>7068</v>
      </c>
      <c r="AN109" s="44" t="s">
        <v>988</v>
      </c>
      <c r="AP109" s="41">
        <v>1707</v>
      </c>
      <c r="AQ109" s="33">
        <v>102</v>
      </c>
      <c r="AR109" s="43" t="s">
        <v>7069</v>
      </c>
      <c r="AS109" s="44" t="s">
        <v>2476</v>
      </c>
      <c r="AU109" s="67">
        <v>1803</v>
      </c>
      <c r="AV109" s="68">
        <v>102</v>
      </c>
      <c r="AW109" s="69" t="s">
        <v>7070</v>
      </c>
      <c r="AX109" s="70" t="s">
        <v>1908</v>
      </c>
      <c r="AZ109" s="67">
        <v>1806</v>
      </c>
      <c r="BA109" s="83">
        <v>102</v>
      </c>
      <c r="BB109" s="69" t="s">
        <v>7071</v>
      </c>
      <c r="BC109" s="70" t="s">
        <v>3012</v>
      </c>
      <c r="BE109" s="67">
        <v>1809</v>
      </c>
      <c r="BF109" s="83">
        <v>102</v>
      </c>
      <c r="BG109" s="69" t="s">
        <v>7072</v>
      </c>
      <c r="BH109" s="70" t="s">
        <v>43</v>
      </c>
    </row>
    <row r="110" spans="1:60">
      <c r="A110" s="1"/>
      <c r="B110" s="67">
        <v>1501</v>
      </c>
      <c r="C110" s="83">
        <v>103</v>
      </c>
      <c r="D110" s="69" t="s">
        <v>7073</v>
      </c>
      <c r="E110" s="70" t="s">
        <v>621</v>
      </c>
      <c r="G110" s="67">
        <v>1504</v>
      </c>
      <c r="H110" s="83">
        <v>103</v>
      </c>
      <c r="I110" s="69" t="s">
        <v>7074</v>
      </c>
      <c r="J110" s="70" t="s">
        <v>2633</v>
      </c>
      <c r="L110" s="67">
        <v>1507</v>
      </c>
      <c r="M110" s="83">
        <v>103</v>
      </c>
      <c r="N110" s="69" t="s">
        <v>7075</v>
      </c>
      <c r="O110" s="70" t="s">
        <v>2371</v>
      </c>
      <c r="Q110" s="41">
        <v>1603</v>
      </c>
      <c r="R110" s="42">
        <v>103</v>
      </c>
      <c r="S110" s="43" t="s">
        <v>46</v>
      </c>
      <c r="T110" s="44" t="s">
        <v>46</v>
      </c>
      <c r="V110" s="41">
        <v>1606</v>
      </c>
      <c r="W110" s="33">
        <v>103</v>
      </c>
      <c r="X110" s="43" t="s">
        <v>7076</v>
      </c>
      <c r="Y110" s="44" t="s">
        <v>3433</v>
      </c>
      <c r="AA110" s="41">
        <v>1609</v>
      </c>
      <c r="AB110" s="33">
        <v>103</v>
      </c>
      <c r="AC110" s="43" t="s">
        <v>46</v>
      </c>
      <c r="AD110" s="44" t="s">
        <v>46</v>
      </c>
      <c r="AF110" s="41">
        <v>1701</v>
      </c>
      <c r="AG110" s="33">
        <v>103</v>
      </c>
      <c r="AH110" s="43" t="s">
        <v>7073</v>
      </c>
      <c r="AI110" s="44" t="s">
        <v>621</v>
      </c>
      <c r="AK110" s="41">
        <v>1704</v>
      </c>
      <c r="AL110" s="33">
        <v>103</v>
      </c>
      <c r="AM110" s="43" t="s">
        <v>7074</v>
      </c>
      <c r="AN110" s="44" t="s">
        <v>2633</v>
      </c>
      <c r="AP110" s="41">
        <v>1707</v>
      </c>
      <c r="AQ110" s="33">
        <v>103</v>
      </c>
      <c r="AR110" s="43" t="s">
        <v>7075</v>
      </c>
      <c r="AS110" s="44" t="s">
        <v>2371</v>
      </c>
      <c r="AU110" s="67">
        <v>1803</v>
      </c>
      <c r="AV110" s="68">
        <v>103</v>
      </c>
      <c r="AW110" s="69" t="s">
        <v>46</v>
      </c>
      <c r="AX110" s="70" t="s">
        <v>46</v>
      </c>
      <c r="AZ110" s="67">
        <v>1806</v>
      </c>
      <c r="BA110" s="83">
        <v>103</v>
      </c>
      <c r="BB110" s="69" t="s">
        <v>7076</v>
      </c>
      <c r="BC110" s="70" t="s">
        <v>3433</v>
      </c>
      <c r="BE110" s="67">
        <v>1809</v>
      </c>
      <c r="BF110" s="83">
        <v>103</v>
      </c>
      <c r="BG110" s="69" t="s">
        <v>46</v>
      </c>
      <c r="BH110" s="70" t="s">
        <v>46</v>
      </c>
    </row>
    <row r="111" spans="1:60">
      <c r="A111" s="1"/>
      <c r="B111" s="67">
        <v>1501</v>
      </c>
      <c r="C111" s="83">
        <v>104</v>
      </c>
      <c r="D111" s="69" t="s">
        <v>7077</v>
      </c>
      <c r="E111" s="70" t="s">
        <v>1499</v>
      </c>
      <c r="G111" s="67">
        <v>1504</v>
      </c>
      <c r="H111" s="83">
        <v>104</v>
      </c>
      <c r="I111" s="69" t="s">
        <v>7078</v>
      </c>
      <c r="J111" s="70" t="s">
        <v>2220</v>
      </c>
      <c r="L111" s="67">
        <v>1507</v>
      </c>
      <c r="M111" s="83">
        <v>104</v>
      </c>
      <c r="N111" s="69" t="s">
        <v>7079</v>
      </c>
      <c r="O111" s="70" t="s">
        <v>3387</v>
      </c>
      <c r="Q111" s="41">
        <v>1603</v>
      </c>
      <c r="R111" s="42">
        <v>104</v>
      </c>
      <c r="S111" s="43" t="s">
        <v>46</v>
      </c>
      <c r="T111" s="44" t="s">
        <v>46</v>
      </c>
      <c r="V111" s="41">
        <v>1606</v>
      </c>
      <c r="W111" s="33">
        <v>104</v>
      </c>
      <c r="X111" s="43" t="s">
        <v>7080</v>
      </c>
      <c r="Y111" s="44" t="s">
        <v>3450</v>
      </c>
      <c r="AA111" s="41">
        <v>1609</v>
      </c>
      <c r="AB111" s="33">
        <v>104</v>
      </c>
      <c r="AC111" s="43" t="s">
        <v>7081</v>
      </c>
      <c r="AD111" s="44" t="s">
        <v>2822</v>
      </c>
      <c r="AF111" s="41">
        <v>1701</v>
      </c>
      <c r="AG111" s="33">
        <v>104</v>
      </c>
      <c r="AH111" s="43" t="s">
        <v>7077</v>
      </c>
      <c r="AI111" s="44" t="s">
        <v>1499</v>
      </c>
      <c r="AK111" s="41">
        <v>1704</v>
      </c>
      <c r="AL111" s="33">
        <v>104</v>
      </c>
      <c r="AM111" s="43" t="s">
        <v>7078</v>
      </c>
      <c r="AN111" s="44" t="s">
        <v>2220</v>
      </c>
      <c r="AP111" s="41">
        <v>1707</v>
      </c>
      <c r="AQ111" s="33">
        <v>104</v>
      </c>
      <c r="AR111" s="43" t="s">
        <v>7079</v>
      </c>
      <c r="AS111" s="44" t="s">
        <v>3387</v>
      </c>
      <c r="AU111" s="67">
        <v>1803</v>
      </c>
      <c r="AV111" s="68">
        <v>104</v>
      </c>
      <c r="AW111" s="69" t="s">
        <v>46</v>
      </c>
      <c r="AX111" s="70" t="s">
        <v>46</v>
      </c>
      <c r="AZ111" s="67">
        <v>1806</v>
      </c>
      <c r="BA111" s="83">
        <v>104</v>
      </c>
      <c r="BB111" s="69" t="s">
        <v>7080</v>
      </c>
      <c r="BC111" s="70" t="s">
        <v>3450</v>
      </c>
      <c r="BE111" s="67">
        <v>1809</v>
      </c>
      <c r="BF111" s="83">
        <v>104</v>
      </c>
      <c r="BG111" s="69" t="s">
        <v>7081</v>
      </c>
      <c r="BH111" s="70" t="s">
        <v>5798</v>
      </c>
    </row>
    <row r="112" spans="1:60">
      <c r="A112" s="1"/>
      <c r="B112" s="67">
        <v>1501</v>
      </c>
      <c r="C112" s="83">
        <v>105</v>
      </c>
      <c r="D112" s="69" t="s">
        <v>7082</v>
      </c>
      <c r="E112" s="70" t="s">
        <v>693</v>
      </c>
      <c r="G112" s="67">
        <v>1504</v>
      </c>
      <c r="H112" s="83">
        <v>105</v>
      </c>
      <c r="I112" s="69" t="s">
        <v>7083</v>
      </c>
      <c r="J112" s="70" t="s">
        <v>2643</v>
      </c>
      <c r="L112" s="67">
        <v>1507</v>
      </c>
      <c r="M112" s="83">
        <v>105</v>
      </c>
      <c r="N112" s="69" t="s">
        <v>7084</v>
      </c>
      <c r="O112" s="70" t="s">
        <v>2379</v>
      </c>
      <c r="Q112" s="41">
        <v>1603</v>
      </c>
      <c r="R112" s="42">
        <v>105</v>
      </c>
      <c r="S112" s="43" t="s">
        <v>7085</v>
      </c>
      <c r="T112" s="44" t="s">
        <v>1594</v>
      </c>
      <c r="V112" s="41">
        <v>1606</v>
      </c>
      <c r="W112" s="33">
        <v>105</v>
      </c>
      <c r="X112" s="43" t="s">
        <v>7086</v>
      </c>
      <c r="Y112" s="44" t="s">
        <v>3423</v>
      </c>
      <c r="AA112" s="41">
        <v>1609</v>
      </c>
      <c r="AB112" s="33">
        <v>105</v>
      </c>
      <c r="AC112" s="43" t="s">
        <v>46</v>
      </c>
      <c r="AD112" s="44" t="s">
        <v>46</v>
      </c>
      <c r="AF112" s="41">
        <v>1701</v>
      </c>
      <c r="AG112" s="33">
        <v>105</v>
      </c>
      <c r="AH112" s="43" t="s">
        <v>7082</v>
      </c>
      <c r="AI112" s="44" t="s">
        <v>693</v>
      </c>
      <c r="AK112" s="41">
        <v>1704</v>
      </c>
      <c r="AL112" s="33">
        <v>105</v>
      </c>
      <c r="AM112" s="43" t="s">
        <v>7083</v>
      </c>
      <c r="AN112" s="44" t="s">
        <v>2643</v>
      </c>
      <c r="AP112" s="41">
        <v>1707</v>
      </c>
      <c r="AQ112" s="33">
        <v>105</v>
      </c>
      <c r="AR112" s="43" t="s">
        <v>7084</v>
      </c>
      <c r="AS112" s="44" t="s">
        <v>2379</v>
      </c>
      <c r="AU112" s="67">
        <v>1803</v>
      </c>
      <c r="AV112" s="68">
        <v>105</v>
      </c>
      <c r="AW112" s="69" t="s">
        <v>7085</v>
      </c>
      <c r="AX112" s="70" t="s">
        <v>1594</v>
      </c>
      <c r="AZ112" s="67">
        <v>1806</v>
      </c>
      <c r="BA112" s="83">
        <v>105</v>
      </c>
      <c r="BB112" s="69" t="s">
        <v>7086</v>
      </c>
      <c r="BC112" s="70" t="s">
        <v>3423</v>
      </c>
      <c r="BE112" s="67">
        <v>1809</v>
      </c>
      <c r="BF112" s="83">
        <v>105</v>
      </c>
      <c r="BG112" s="69" t="s">
        <v>46</v>
      </c>
      <c r="BH112" s="70" t="s">
        <v>46</v>
      </c>
    </row>
    <row r="113" spans="1:60">
      <c r="A113" s="1"/>
      <c r="B113" s="67">
        <v>1501</v>
      </c>
      <c r="C113" s="83">
        <v>106</v>
      </c>
      <c r="D113" s="69" t="s">
        <v>7087</v>
      </c>
      <c r="E113" s="70" t="s">
        <v>1539</v>
      </c>
      <c r="G113" s="67">
        <v>1504</v>
      </c>
      <c r="H113" s="83">
        <v>106</v>
      </c>
      <c r="I113" s="69" t="s">
        <v>7088</v>
      </c>
      <c r="J113" s="70" t="s">
        <v>2210</v>
      </c>
      <c r="L113" s="67">
        <v>1507</v>
      </c>
      <c r="M113" s="83">
        <v>106</v>
      </c>
      <c r="N113" s="69" t="s">
        <v>7089</v>
      </c>
      <c r="O113" s="70" t="s">
        <v>3397</v>
      </c>
      <c r="Q113" s="41">
        <v>1603</v>
      </c>
      <c r="R113" s="42">
        <v>106</v>
      </c>
      <c r="S113" s="43" t="s">
        <v>46</v>
      </c>
      <c r="T113" s="44" t="s">
        <v>46</v>
      </c>
      <c r="V113" s="41">
        <v>1606</v>
      </c>
      <c r="W113" s="33">
        <v>106</v>
      </c>
      <c r="X113" s="43" t="s">
        <v>7090</v>
      </c>
      <c r="Y113" s="44" t="s">
        <v>3442</v>
      </c>
      <c r="AA113" s="41">
        <v>1609</v>
      </c>
      <c r="AB113" s="33">
        <v>106</v>
      </c>
      <c r="AC113" s="43" t="s">
        <v>7091</v>
      </c>
      <c r="AD113" s="44" t="s">
        <v>1809</v>
      </c>
      <c r="AF113" s="41">
        <v>1701</v>
      </c>
      <c r="AG113" s="33">
        <v>106</v>
      </c>
      <c r="AH113" s="43" t="s">
        <v>7087</v>
      </c>
      <c r="AI113" s="44" t="s">
        <v>1539</v>
      </c>
      <c r="AK113" s="41">
        <v>1704</v>
      </c>
      <c r="AL113" s="33">
        <v>106</v>
      </c>
      <c r="AM113" s="43" t="s">
        <v>7088</v>
      </c>
      <c r="AN113" s="44" t="s">
        <v>2210</v>
      </c>
      <c r="AP113" s="41">
        <v>1707</v>
      </c>
      <c r="AQ113" s="33">
        <v>106</v>
      </c>
      <c r="AR113" s="43" t="s">
        <v>7089</v>
      </c>
      <c r="AS113" s="44" t="s">
        <v>3397</v>
      </c>
      <c r="AU113" s="67">
        <v>1803</v>
      </c>
      <c r="AV113" s="68">
        <v>106</v>
      </c>
      <c r="AW113" s="69" t="s">
        <v>46</v>
      </c>
      <c r="AX113" s="70" t="s">
        <v>46</v>
      </c>
      <c r="AZ113" s="67">
        <v>1806</v>
      </c>
      <c r="BA113" s="83">
        <v>106</v>
      </c>
      <c r="BB113" s="69" t="s">
        <v>7090</v>
      </c>
      <c r="BC113" s="70" t="s">
        <v>3442</v>
      </c>
      <c r="BE113" s="67">
        <v>1809</v>
      </c>
      <c r="BF113" s="83">
        <v>106</v>
      </c>
      <c r="BG113" s="69" t="s">
        <v>7091</v>
      </c>
      <c r="BH113" s="70" t="s">
        <v>1809</v>
      </c>
    </row>
    <row r="114" spans="1:60">
      <c r="A114" s="1"/>
      <c r="B114" s="67">
        <v>1501</v>
      </c>
      <c r="C114" s="83">
        <v>107</v>
      </c>
      <c r="D114" s="69" t="s">
        <v>7092</v>
      </c>
      <c r="E114" s="70" t="s">
        <v>1409</v>
      </c>
      <c r="G114" s="67">
        <v>1504</v>
      </c>
      <c r="H114" s="83">
        <v>107</v>
      </c>
      <c r="I114" s="69" t="s">
        <v>7093</v>
      </c>
      <c r="J114" s="70" t="s">
        <v>616</v>
      </c>
      <c r="L114" s="67">
        <v>1507</v>
      </c>
      <c r="M114" s="83">
        <v>107</v>
      </c>
      <c r="N114" s="69" t="s">
        <v>7094</v>
      </c>
      <c r="O114" s="70" t="s">
        <v>3371</v>
      </c>
      <c r="Q114" s="41">
        <v>1603</v>
      </c>
      <c r="R114" s="42">
        <v>107</v>
      </c>
      <c r="S114" s="43" t="s">
        <v>7095</v>
      </c>
      <c r="T114" s="44" t="s">
        <v>1764</v>
      </c>
      <c r="V114" s="41">
        <v>1606</v>
      </c>
      <c r="W114" s="33">
        <v>107</v>
      </c>
      <c r="X114" s="43" t="s">
        <v>7096</v>
      </c>
      <c r="Y114" s="44" t="s">
        <v>3098</v>
      </c>
      <c r="AA114" s="41">
        <v>1609</v>
      </c>
      <c r="AB114" s="33">
        <v>107</v>
      </c>
      <c r="AC114" s="43" t="s">
        <v>7097</v>
      </c>
      <c r="AD114" s="44" t="s">
        <v>147</v>
      </c>
      <c r="AF114" s="41">
        <v>1701</v>
      </c>
      <c r="AG114" s="33">
        <v>107</v>
      </c>
      <c r="AH114" s="43" t="s">
        <v>7092</v>
      </c>
      <c r="AI114" s="44" t="s">
        <v>1409</v>
      </c>
      <c r="AK114" s="41">
        <v>1704</v>
      </c>
      <c r="AL114" s="33">
        <v>107</v>
      </c>
      <c r="AM114" s="43" t="s">
        <v>7093</v>
      </c>
      <c r="AN114" s="44" t="s">
        <v>616</v>
      </c>
      <c r="AP114" s="41">
        <v>1707</v>
      </c>
      <c r="AQ114" s="33">
        <v>107</v>
      </c>
      <c r="AR114" s="43" t="s">
        <v>7094</v>
      </c>
      <c r="AS114" s="44" t="s">
        <v>3371</v>
      </c>
      <c r="AU114" s="67">
        <v>1803</v>
      </c>
      <c r="AV114" s="68">
        <v>107</v>
      </c>
      <c r="AW114" s="69" t="s">
        <v>7095</v>
      </c>
      <c r="AX114" s="70" t="s">
        <v>1764</v>
      </c>
      <c r="AZ114" s="67">
        <v>1806</v>
      </c>
      <c r="BA114" s="83">
        <v>107</v>
      </c>
      <c r="BB114" s="69" t="s">
        <v>7096</v>
      </c>
      <c r="BC114" s="70" t="s">
        <v>3098</v>
      </c>
      <c r="BE114" s="67">
        <v>1809</v>
      </c>
      <c r="BF114" s="83">
        <v>107</v>
      </c>
      <c r="BG114" s="69" t="s">
        <v>7097</v>
      </c>
      <c r="BH114" s="70" t="s">
        <v>147</v>
      </c>
    </row>
    <row r="115" spans="1:60">
      <c r="A115" s="1"/>
      <c r="B115" s="67">
        <v>1501</v>
      </c>
      <c r="C115" s="83">
        <v>108</v>
      </c>
      <c r="D115" s="69" t="s">
        <v>7098</v>
      </c>
      <c r="E115" s="70" t="s">
        <v>1449</v>
      </c>
      <c r="G115" s="67">
        <v>1504</v>
      </c>
      <c r="H115" s="83">
        <v>108</v>
      </c>
      <c r="I115" s="69" t="s">
        <v>7099</v>
      </c>
      <c r="J115" s="70" t="s">
        <v>2264</v>
      </c>
      <c r="L115" s="67">
        <v>1507</v>
      </c>
      <c r="M115" s="83">
        <v>108</v>
      </c>
      <c r="N115" s="69" t="s">
        <v>7100</v>
      </c>
      <c r="O115" s="70" t="s">
        <v>572</v>
      </c>
      <c r="Q115" s="41">
        <v>1603</v>
      </c>
      <c r="R115" s="42">
        <v>108</v>
      </c>
      <c r="S115" s="43" t="s">
        <v>46</v>
      </c>
      <c r="T115" s="44" t="s">
        <v>46</v>
      </c>
      <c r="V115" s="41">
        <v>1606</v>
      </c>
      <c r="W115" s="33">
        <v>108</v>
      </c>
      <c r="X115" s="43" t="s">
        <v>7101</v>
      </c>
      <c r="Y115" s="44" t="s">
        <v>3060</v>
      </c>
      <c r="AA115" s="41">
        <v>1609</v>
      </c>
      <c r="AB115" s="33">
        <v>108</v>
      </c>
      <c r="AC115" s="43" t="s">
        <v>7102</v>
      </c>
      <c r="AD115" s="44" t="s">
        <v>207</v>
      </c>
      <c r="AF115" s="41">
        <v>1701</v>
      </c>
      <c r="AG115" s="33">
        <v>108</v>
      </c>
      <c r="AH115" s="43" t="s">
        <v>7098</v>
      </c>
      <c r="AI115" s="44" t="s">
        <v>1449</v>
      </c>
      <c r="AK115" s="41">
        <v>1704</v>
      </c>
      <c r="AL115" s="33">
        <v>108</v>
      </c>
      <c r="AM115" s="43" t="s">
        <v>7099</v>
      </c>
      <c r="AN115" s="44" t="s">
        <v>2264</v>
      </c>
      <c r="AP115" s="41">
        <v>1707</v>
      </c>
      <c r="AQ115" s="33">
        <v>108</v>
      </c>
      <c r="AR115" s="43" t="s">
        <v>7100</v>
      </c>
      <c r="AS115" s="44" t="s">
        <v>572</v>
      </c>
      <c r="AU115" s="67">
        <v>1803</v>
      </c>
      <c r="AV115" s="68">
        <v>108</v>
      </c>
      <c r="AW115" s="69" t="s">
        <v>46</v>
      </c>
      <c r="AX115" s="70" t="s">
        <v>46</v>
      </c>
      <c r="AZ115" s="67">
        <v>1806</v>
      </c>
      <c r="BA115" s="83">
        <v>108</v>
      </c>
      <c r="BB115" s="69" t="s">
        <v>7101</v>
      </c>
      <c r="BC115" s="70" t="s">
        <v>3060</v>
      </c>
      <c r="BE115" s="67">
        <v>1809</v>
      </c>
      <c r="BF115" s="83">
        <v>108</v>
      </c>
      <c r="BG115" s="69" t="s">
        <v>7102</v>
      </c>
      <c r="BH115" s="70" t="s">
        <v>207</v>
      </c>
    </row>
    <row r="116" spans="1:60">
      <c r="A116" s="1"/>
      <c r="B116" s="67">
        <v>1501</v>
      </c>
      <c r="C116" s="83">
        <v>109</v>
      </c>
      <c r="D116" s="69" t="s">
        <v>7103</v>
      </c>
      <c r="E116" s="70" t="s">
        <v>1639</v>
      </c>
      <c r="G116" s="67">
        <v>1504</v>
      </c>
      <c r="H116" s="83">
        <v>109</v>
      </c>
      <c r="I116" s="69" t="s">
        <v>7104</v>
      </c>
      <c r="J116" s="70" t="s">
        <v>610</v>
      </c>
      <c r="L116" s="67">
        <v>1507</v>
      </c>
      <c r="M116" s="83">
        <v>109</v>
      </c>
      <c r="N116" s="69" t="s">
        <v>7105</v>
      </c>
      <c r="O116" s="70" t="s">
        <v>3206</v>
      </c>
      <c r="Q116" s="41">
        <v>1603</v>
      </c>
      <c r="R116" s="42">
        <v>109</v>
      </c>
      <c r="S116" s="43" t="s">
        <v>7106</v>
      </c>
      <c r="T116" s="44" t="s">
        <v>1754</v>
      </c>
      <c r="V116" s="41">
        <v>1606</v>
      </c>
      <c r="W116" s="33">
        <v>109</v>
      </c>
      <c r="X116" s="43" t="s">
        <v>7107</v>
      </c>
      <c r="Y116" s="44" t="s">
        <v>3024</v>
      </c>
      <c r="AA116" s="41">
        <v>1609</v>
      </c>
      <c r="AB116" s="33">
        <v>109</v>
      </c>
      <c r="AC116" s="43" t="s">
        <v>7108</v>
      </c>
      <c r="AD116" s="44" t="s">
        <v>64</v>
      </c>
      <c r="AF116" s="41">
        <v>1701</v>
      </c>
      <c r="AG116" s="33">
        <v>109</v>
      </c>
      <c r="AH116" s="43" t="s">
        <v>7103</v>
      </c>
      <c r="AI116" s="44" t="s">
        <v>1639</v>
      </c>
      <c r="AK116" s="41">
        <v>1704</v>
      </c>
      <c r="AL116" s="33">
        <v>109</v>
      </c>
      <c r="AM116" s="43" t="s">
        <v>7104</v>
      </c>
      <c r="AN116" s="44" t="s">
        <v>610</v>
      </c>
      <c r="AP116" s="41">
        <v>1707</v>
      </c>
      <c r="AQ116" s="33">
        <v>109</v>
      </c>
      <c r="AR116" s="43" t="s">
        <v>7105</v>
      </c>
      <c r="AS116" s="44" t="s">
        <v>3206</v>
      </c>
      <c r="AU116" s="67">
        <v>1803</v>
      </c>
      <c r="AV116" s="68">
        <v>109</v>
      </c>
      <c r="AW116" s="69" t="s">
        <v>7106</v>
      </c>
      <c r="AX116" s="70" t="s">
        <v>1754</v>
      </c>
      <c r="AZ116" s="67">
        <v>1806</v>
      </c>
      <c r="BA116" s="83">
        <v>109</v>
      </c>
      <c r="BB116" s="69" t="s">
        <v>7107</v>
      </c>
      <c r="BC116" s="70" t="s">
        <v>3024</v>
      </c>
      <c r="BE116" s="67">
        <v>1809</v>
      </c>
      <c r="BF116" s="83">
        <v>109</v>
      </c>
      <c r="BG116" s="69" t="s">
        <v>7108</v>
      </c>
      <c r="BH116" s="70" t="s">
        <v>64</v>
      </c>
    </row>
    <row r="117" spans="1:60">
      <c r="A117" s="1"/>
      <c r="B117" s="67">
        <v>1501</v>
      </c>
      <c r="C117" s="83">
        <v>110</v>
      </c>
      <c r="D117" s="69" t="s">
        <v>7109</v>
      </c>
      <c r="E117" s="70" t="s">
        <v>948</v>
      </c>
      <c r="G117" s="67">
        <v>1504</v>
      </c>
      <c r="H117" s="83">
        <v>110</v>
      </c>
      <c r="I117" s="69" t="s">
        <v>7110</v>
      </c>
      <c r="J117" s="70" t="s">
        <v>2273</v>
      </c>
      <c r="L117" s="67">
        <v>1507</v>
      </c>
      <c r="M117" s="83">
        <v>110</v>
      </c>
      <c r="N117" s="69" t="s">
        <v>7111</v>
      </c>
      <c r="O117" s="70" t="s">
        <v>581</v>
      </c>
      <c r="Q117" s="41">
        <v>1603</v>
      </c>
      <c r="R117" s="42">
        <v>110</v>
      </c>
      <c r="S117" s="43" t="s">
        <v>46</v>
      </c>
      <c r="T117" s="44" t="s">
        <v>46</v>
      </c>
      <c r="V117" s="41">
        <v>1606</v>
      </c>
      <c r="W117" s="33">
        <v>110</v>
      </c>
      <c r="X117" s="43" t="s">
        <v>7112</v>
      </c>
      <c r="Y117" s="44" t="s">
        <v>2974</v>
      </c>
      <c r="AA117" s="41">
        <v>1609</v>
      </c>
      <c r="AB117" s="33">
        <v>110</v>
      </c>
      <c r="AC117" s="43" t="s">
        <v>7113</v>
      </c>
      <c r="AD117" s="44" t="s">
        <v>214</v>
      </c>
      <c r="AF117" s="41">
        <v>1701</v>
      </c>
      <c r="AG117" s="33">
        <v>110</v>
      </c>
      <c r="AH117" s="43" t="s">
        <v>7109</v>
      </c>
      <c r="AI117" s="44" t="s">
        <v>948</v>
      </c>
      <c r="AK117" s="41">
        <v>1704</v>
      </c>
      <c r="AL117" s="33">
        <v>110</v>
      </c>
      <c r="AM117" s="43" t="s">
        <v>7110</v>
      </c>
      <c r="AN117" s="44" t="s">
        <v>2273</v>
      </c>
      <c r="AP117" s="41">
        <v>1707</v>
      </c>
      <c r="AQ117" s="33">
        <v>110</v>
      </c>
      <c r="AR117" s="43" t="s">
        <v>7111</v>
      </c>
      <c r="AS117" s="44" t="s">
        <v>581</v>
      </c>
      <c r="AU117" s="67">
        <v>1803</v>
      </c>
      <c r="AV117" s="68">
        <v>110</v>
      </c>
      <c r="AW117" s="69" t="s">
        <v>46</v>
      </c>
      <c r="AX117" s="70" t="s">
        <v>46</v>
      </c>
      <c r="AZ117" s="67">
        <v>1806</v>
      </c>
      <c r="BA117" s="83">
        <v>110</v>
      </c>
      <c r="BB117" s="69" t="s">
        <v>7112</v>
      </c>
      <c r="BC117" s="70" t="s">
        <v>2974</v>
      </c>
      <c r="BE117" s="67">
        <v>1809</v>
      </c>
      <c r="BF117" s="83">
        <v>110</v>
      </c>
      <c r="BG117" s="69" t="s">
        <v>7113</v>
      </c>
      <c r="BH117" s="70" t="s">
        <v>214</v>
      </c>
    </row>
    <row r="118" spans="1:60">
      <c r="A118" s="1"/>
      <c r="B118" s="67">
        <v>1501</v>
      </c>
      <c r="C118" s="83">
        <v>111</v>
      </c>
      <c r="D118" s="69" t="s">
        <v>7114</v>
      </c>
      <c r="E118" s="70" t="s">
        <v>1068</v>
      </c>
      <c r="G118" s="67">
        <v>1504</v>
      </c>
      <c r="H118" s="83">
        <v>111</v>
      </c>
      <c r="I118" s="69" t="s">
        <v>46</v>
      </c>
      <c r="J118" s="70" t="s">
        <v>46</v>
      </c>
      <c r="L118" s="67">
        <v>1507</v>
      </c>
      <c r="M118" s="83">
        <v>111</v>
      </c>
      <c r="N118" s="69" t="s">
        <v>7115</v>
      </c>
      <c r="O118" s="70" t="s">
        <v>3362</v>
      </c>
      <c r="Q118" s="41">
        <v>1603</v>
      </c>
      <c r="R118" s="42">
        <v>111</v>
      </c>
      <c r="S118" s="43" t="s">
        <v>46</v>
      </c>
      <c r="T118" s="44" t="s">
        <v>46</v>
      </c>
      <c r="V118" s="41">
        <v>1606</v>
      </c>
      <c r="W118" s="33">
        <v>111</v>
      </c>
      <c r="X118" s="43" t="s">
        <v>7116</v>
      </c>
      <c r="Y118" s="44" t="s">
        <v>3284</v>
      </c>
      <c r="AA118" s="41">
        <v>1609</v>
      </c>
      <c r="AB118" s="33">
        <v>111</v>
      </c>
      <c r="AC118" s="43" t="s">
        <v>7117</v>
      </c>
      <c r="AD118" s="44" t="s">
        <v>84</v>
      </c>
      <c r="AF118" s="41">
        <v>1701</v>
      </c>
      <c r="AG118" s="33">
        <v>111</v>
      </c>
      <c r="AH118" s="43" t="s">
        <v>7114</v>
      </c>
      <c r="AI118" s="44" t="s">
        <v>1068</v>
      </c>
      <c r="AK118" s="41">
        <v>1704</v>
      </c>
      <c r="AL118" s="33">
        <v>111</v>
      </c>
      <c r="AM118" s="43" t="s">
        <v>46</v>
      </c>
      <c r="AN118" s="44" t="s">
        <v>46</v>
      </c>
      <c r="AP118" s="41">
        <v>1707</v>
      </c>
      <c r="AQ118" s="33">
        <v>111</v>
      </c>
      <c r="AR118" s="43" t="s">
        <v>7115</v>
      </c>
      <c r="AS118" s="44" t="s">
        <v>3362</v>
      </c>
      <c r="AU118" s="67">
        <v>1803</v>
      </c>
      <c r="AV118" s="68">
        <v>111</v>
      </c>
      <c r="AW118" s="69" t="s">
        <v>46</v>
      </c>
      <c r="AX118" s="70" t="s">
        <v>46</v>
      </c>
      <c r="AZ118" s="67">
        <v>1806</v>
      </c>
      <c r="BA118" s="83">
        <v>111</v>
      </c>
      <c r="BB118" s="69" t="s">
        <v>7116</v>
      </c>
      <c r="BC118" s="70" t="s">
        <v>3284</v>
      </c>
      <c r="BE118" s="67">
        <v>1809</v>
      </c>
      <c r="BF118" s="83">
        <v>111</v>
      </c>
      <c r="BG118" s="69" t="s">
        <v>7117</v>
      </c>
      <c r="BH118" s="70" t="s">
        <v>84</v>
      </c>
    </row>
    <row r="119" spans="1:60" ht="15" thickBot="1">
      <c r="A119" s="1"/>
      <c r="B119" s="71">
        <v>1501</v>
      </c>
      <c r="C119" s="84">
        <v>112</v>
      </c>
      <c r="D119" s="73" t="s">
        <v>7118</v>
      </c>
      <c r="E119" s="74" t="s">
        <v>1018</v>
      </c>
      <c r="G119" s="71">
        <v>1504</v>
      </c>
      <c r="H119" s="84">
        <v>112</v>
      </c>
      <c r="I119" s="73" t="s">
        <v>7119</v>
      </c>
      <c r="J119" s="74" t="s">
        <v>2123</v>
      </c>
      <c r="L119" s="71">
        <v>1507</v>
      </c>
      <c r="M119" s="84">
        <v>112</v>
      </c>
      <c r="N119" s="73" t="s">
        <v>46</v>
      </c>
      <c r="O119" s="74" t="s">
        <v>46</v>
      </c>
      <c r="Q119" s="45">
        <v>1603</v>
      </c>
      <c r="R119" s="46">
        <v>112</v>
      </c>
      <c r="S119" s="47" t="s">
        <v>7120</v>
      </c>
      <c r="T119" s="48" t="s">
        <v>277</v>
      </c>
      <c r="V119" s="45">
        <v>1606</v>
      </c>
      <c r="W119" s="57">
        <v>112</v>
      </c>
      <c r="X119" s="47" t="s">
        <v>7121</v>
      </c>
      <c r="Y119" s="48" t="s">
        <v>3093</v>
      </c>
      <c r="AA119" s="45">
        <v>1609</v>
      </c>
      <c r="AB119" s="57">
        <v>112</v>
      </c>
      <c r="AC119" s="47" t="s">
        <v>7122</v>
      </c>
      <c r="AD119" s="48" t="s">
        <v>142</v>
      </c>
      <c r="AF119" s="45">
        <v>1701</v>
      </c>
      <c r="AG119" s="57">
        <v>112</v>
      </c>
      <c r="AH119" s="47" t="s">
        <v>7118</v>
      </c>
      <c r="AI119" s="48" t="s">
        <v>1018</v>
      </c>
      <c r="AK119" s="45">
        <v>1704</v>
      </c>
      <c r="AL119" s="57">
        <v>112</v>
      </c>
      <c r="AM119" s="47" t="s">
        <v>7119</v>
      </c>
      <c r="AN119" s="48" t="s">
        <v>2123</v>
      </c>
      <c r="AP119" s="45">
        <v>1707</v>
      </c>
      <c r="AQ119" s="57">
        <v>112</v>
      </c>
      <c r="AR119" s="47" t="s">
        <v>46</v>
      </c>
      <c r="AS119" s="48" t="s">
        <v>46</v>
      </c>
      <c r="AU119" s="71">
        <v>1803</v>
      </c>
      <c r="AV119" s="72">
        <v>112</v>
      </c>
      <c r="AW119" s="73" t="s">
        <v>7120</v>
      </c>
      <c r="AX119" s="74" t="s">
        <v>277</v>
      </c>
      <c r="AZ119" s="71">
        <v>1806</v>
      </c>
      <c r="BA119" s="84">
        <v>112</v>
      </c>
      <c r="BB119" s="73" t="s">
        <v>7121</v>
      </c>
      <c r="BC119" s="74" t="s">
        <v>3093</v>
      </c>
      <c r="BE119" s="71">
        <v>1809</v>
      </c>
      <c r="BF119" s="84">
        <v>112</v>
      </c>
      <c r="BG119" s="73" t="s">
        <v>7122</v>
      </c>
      <c r="BH119" s="74" t="s">
        <v>142</v>
      </c>
    </row>
    <row r="120" spans="1:60">
      <c r="A120" s="1"/>
      <c r="B120" s="63">
        <v>1501</v>
      </c>
      <c r="C120" s="82">
        <v>113</v>
      </c>
      <c r="D120" s="77" t="s">
        <v>7123</v>
      </c>
      <c r="E120" s="66" t="s">
        <v>963</v>
      </c>
      <c r="G120" s="63">
        <v>1504</v>
      </c>
      <c r="H120" s="82">
        <v>113</v>
      </c>
      <c r="I120" s="77" t="s">
        <v>7124</v>
      </c>
      <c r="J120" s="66" t="s">
        <v>2237</v>
      </c>
      <c r="L120" s="63">
        <v>1507</v>
      </c>
      <c r="M120" s="82">
        <v>113</v>
      </c>
      <c r="N120" s="77" t="s">
        <v>7125</v>
      </c>
      <c r="O120" s="66" t="s">
        <v>3354</v>
      </c>
      <c r="Q120" s="37">
        <v>1603</v>
      </c>
      <c r="R120" s="38">
        <v>113</v>
      </c>
      <c r="S120" s="51" t="s">
        <v>46</v>
      </c>
      <c r="T120" s="40" t="s">
        <v>46</v>
      </c>
      <c r="V120" s="37">
        <v>1606</v>
      </c>
      <c r="W120" s="56">
        <v>113</v>
      </c>
      <c r="X120" s="51" t="s">
        <v>7126</v>
      </c>
      <c r="Y120" s="40" t="s">
        <v>3294</v>
      </c>
      <c r="AA120" s="37">
        <v>1609</v>
      </c>
      <c r="AB120" s="56">
        <v>113</v>
      </c>
      <c r="AC120" s="51" t="s">
        <v>7127</v>
      </c>
      <c r="AD120" s="40" t="s">
        <v>162</v>
      </c>
      <c r="AF120" s="37">
        <v>1701</v>
      </c>
      <c r="AG120" s="56">
        <v>113</v>
      </c>
      <c r="AH120" s="51" t="s">
        <v>7123</v>
      </c>
      <c r="AI120" s="40" t="s">
        <v>963</v>
      </c>
      <c r="AK120" s="37">
        <v>1704</v>
      </c>
      <c r="AL120" s="56">
        <v>113</v>
      </c>
      <c r="AM120" s="51" t="s">
        <v>7124</v>
      </c>
      <c r="AN120" s="40" t="s">
        <v>2237</v>
      </c>
      <c r="AP120" s="37">
        <v>1707</v>
      </c>
      <c r="AQ120" s="56">
        <v>113</v>
      </c>
      <c r="AR120" s="51" t="s">
        <v>7125</v>
      </c>
      <c r="AS120" s="40" t="s">
        <v>3354</v>
      </c>
      <c r="AU120" s="63">
        <v>1803</v>
      </c>
      <c r="AV120" s="64">
        <v>113</v>
      </c>
      <c r="AW120" s="77" t="s">
        <v>46</v>
      </c>
      <c r="AX120" s="66" t="s">
        <v>46</v>
      </c>
      <c r="AZ120" s="63">
        <v>1806</v>
      </c>
      <c r="BA120" s="82">
        <v>113</v>
      </c>
      <c r="BB120" s="77" t="s">
        <v>7126</v>
      </c>
      <c r="BC120" s="66" t="s">
        <v>3294</v>
      </c>
      <c r="BE120" s="63">
        <v>1809</v>
      </c>
      <c r="BF120" s="82">
        <v>113</v>
      </c>
      <c r="BG120" s="77" t="s">
        <v>7127</v>
      </c>
      <c r="BH120" s="66" t="s">
        <v>162</v>
      </c>
    </row>
    <row r="121" spans="1:60">
      <c r="A121" s="1"/>
      <c r="B121" s="67">
        <v>1501</v>
      </c>
      <c r="C121" s="83">
        <v>114</v>
      </c>
      <c r="D121" s="69" t="s">
        <v>7128</v>
      </c>
      <c r="E121" s="70" t="s">
        <v>865</v>
      </c>
      <c r="G121" s="67">
        <v>1504</v>
      </c>
      <c r="H121" s="83">
        <v>114</v>
      </c>
      <c r="I121" s="69" t="s">
        <v>7129</v>
      </c>
      <c r="J121" s="70" t="s">
        <v>2131</v>
      </c>
      <c r="L121" s="67">
        <v>1507</v>
      </c>
      <c r="M121" s="83">
        <v>114</v>
      </c>
      <c r="N121" s="69" t="s">
        <v>46</v>
      </c>
      <c r="O121" s="70" t="s">
        <v>46</v>
      </c>
      <c r="Q121" s="41">
        <v>1603</v>
      </c>
      <c r="R121" s="42">
        <v>114</v>
      </c>
      <c r="S121" s="43" t="s">
        <v>7130</v>
      </c>
      <c r="T121" s="44" t="s">
        <v>286</v>
      </c>
      <c r="V121" s="41">
        <v>1606</v>
      </c>
      <c r="W121" s="33">
        <v>114</v>
      </c>
      <c r="X121" s="43" t="s">
        <v>7131</v>
      </c>
      <c r="Y121" s="44" t="s">
        <v>3018</v>
      </c>
      <c r="AA121" s="41">
        <v>1609</v>
      </c>
      <c r="AB121" s="33">
        <v>114</v>
      </c>
      <c r="AC121" s="43" t="s">
        <v>7132</v>
      </c>
      <c r="AD121" s="44" t="s">
        <v>57</v>
      </c>
      <c r="AF121" s="41">
        <v>1701</v>
      </c>
      <c r="AG121" s="33">
        <v>114</v>
      </c>
      <c r="AH121" s="43" t="s">
        <v>7128</v>
      </c>
      <c r="AI121" s="44" t="s">
        <v>865</v>
      </c>
      <c r="AK121" s="41">
        <v>1704</v>
      </c>
      <c r="AL121" s="33">
        <v>114</v>
      </c>
      <c r="AM121" s="43" t="s">
        <v>7129</v>
      </c>
      <c r="AN121" s="44" t="s">
        <v>2131</v>
      </c>
      <c r="AP121" s="41">
        <v>1707</v>
      </c>
      <c r="AQ121" s="33">
        <v>114</v>
      </c>
      <c r="AR121" s="43" t="s">
        <v>46</v>
      </c>
      <c r="AS121" s="44" t="s">
        <v>46</v>
      </c>
      <c r="AU121" s="67">
        <v>1803</v>
      </c>
      <c r="AV121" s="68">
        <v>114</v>
      </c>
      <c r="AW121" s="69" t="s">
        <v>7130</v>
      </c>
      <c r="AX121" s="70" t="s">
        <v>286</v>
      </c>
      <c r="AZ121" s="67">
        <v>1806</v>
      </c>
      <c r="BA121" s="83">
        <v>114</v>
      </c>
      <c r="BB121" s="69" t="s">
        <v>7131</v>
      </c>
      <c r="BC121" s="70" t="s">
        <v>3018</v>
      </c>
      <c r="BE121" s="67">
        <v>1809</v>
      </c>
      <c r="BF121" s="83">
        <v>114</v>
      </c>
      <c r="BG121" s="69" t="s">
        <v>7132</v>
      </c>
      <c r="BH121" s="70" t="s">
        <v>57</v>
      </c>
    </row>
    <row r="122" spans="1:60">
      <c r="A122" s="1"/>
      <c r="B122" s="67">
        <v>1501</v>
      </c>
      <c r="C122" s="83">
        <v>115</v>
      </c>
      <c r="D122" s="69" t="s">
        <v>7133</v>
      </c>
      <c r="E122" s="70" t="s">
        <v>840</v>
      </c>
      <c r="G122" s="67">
        <v>1504</v>
      </c>
      <c r="H122" s="83">
        <v>115</v>
      </c>
      <c r="I122" s="69" t="s">
        <v>7134</v>
      </c>
      <c r="J122" s="70" t="s">
        <v>2229</v>
      </c>
      <c r="L122" s="67">
        <v>1507</v>
      </c>
      <c r="M122" s="83">
        <v>115</v>
      </c>
      <c r="N122" s="69" t="s">
        <v>7135</v>
      </c>
      <c r="O122" s="70" t="s">
        <v>2431</v>
      </c>
      <c r="Q122" s="41">
        <v>1603</v>
      </c>
      <c r="R122" s="42">
        <v>115</v>
      </c>
      <c r="S122" s="43" t="s">
        <v>7136</v>
      </c>
      <c r="T122" s="44" t="s">
        <v>1364</v>
      </c>
      <c r="V122" s="41">
        <v>1606</v>
      </c>
      <c r="W122" s="33">
        <v>115</v>
      </c>
      <c r="X122" s="43" t="s">
        <v>7137</v>
      </c>
      <c r="Y122" s="44" t="s">
        <v>1589</v>
      </c>
      <c r="AA122" s="41">
        <v>1609</v>
      </c>
      <c r="AB122" s="33">
        <v>115</v>
      </c>
      <c r="AC122" s="43" t="s">
        <v>46</v>
      </c>
      <c r="AD122" s="44" t="s">
        <v>46</v>
      </c>
      <c r="AF122" s="41">
        <v>1701</v>
      </c>
      <c r="AG122" s="33">
        <v>115</v>
      </c>
      <c r="AH122" s="43" t="s">
        <v>7133</v>
      </c>
      <c r="AI122" s="44" t="s">
        <v>840</v>
      </c>
      <c r="AK122" s="41">
        <v>1704</v>
      </c>
      <c r="AL122" s="33">
        <v>115</v>
      </c>
      <c r="AM122" s="43" t="s">
        <v>7134</v>
      </c>
      <c r="AN122" s="44" t="s">
        <v>2229</v>
      </c>
      <c r="AP122" s="41">
        <v>1707</v>
      </c>
      <c r="AQ122" s="33">
        <v>115</v>
      </c>
      <c r="AR122" s="43" t="s">
        <v>7135</v>
      </c>
      <c r="AS122" s="44" t="s">
        <v>2431</v>
      </c>
      <c r="AU122" s="67">
        <v>1803</v>
      </c>
      <c r="AV122" s="68">
        <v>115</v>
      </c>
      <c r="AW122" s="69" t="s">
        <v>7136</v>
      </c>
      <c r="AX122" s="70" t="s">
        <v>1364</v>
      </c>
      <c r="AZ122" s="67">
        <v>1806</v>
      </c>
      <c r="BA122" s="83">
        <v>115</v>
      </c>
      <c r="BB122" s="69" t="s">
        <v>7137</v>
      </c>
      <c r="BC122" s="70" t="s">
        <v>1589</v>
      </c>
      <c r="BE122" s="67">
        <v>1809</v>
      </c>
      <c r="BF122" s="83">
        <v>115</v>
      </c>
      <c r="BG122" s="69" t="s">
        <v>46</v>
      </c>
      <c r="BH122" s="70" t="s">
        <v>46</v>
      </c>
    </row>
    <row r="123" spans="1:60">
      <c r="A123" s="1"/>
      <c r="B123" s="67">
        <v>1501</v>
      </c>
      <c r="C123" s="83">
        <v>116</v>
      </c>
      <c r="D123" s="69" t="s">
        <v>7138</v>
      </c>
      <c r="E123" s="70" t="s">
        <v>1389</v>
      </c>
      <c r="G123" s="67">
        <v>1504</v>
      </c>
      <c r="H123" s="83">
        <v>116</v>
      </c>
      <c r="I123" s="69" t="s">
        <v>7139</v>
      </c>
      <c r="J123" s="70" t="s">
        <v>2114</v>
      </c>
      <c r="L123" s="67">
        <v>1507</v>
      </c>
      <c r="M123" s="83">
        <v>116</v>
      </c>
      <c r="N123" s="69" t="s">
        <v>7140</v>
      </c>
      <c r="O123" s="70" t="s">
        <v>845</v>
      </c>
      <c r="Q123" s="41">
        <v>1603</v>
      </c>
      <c r="R123" s="42">
        <v>116</v>
      </c>
      <c r="S123" s="43" t="s">
        <v>7141</v>
      </c>
      <c r="T123" s="44" t="s">
        <v>1359</v>
      </c>
      <c r="V123" s="41">
        <v>1606</v>
      </c>
      <c r="W123" s="33">
        <v>116</v>
      </c>
      <c r="X123" s="43" t="s">
        <v>7142</v>
      </c>
      <c r="Y123" s="44" t="s">
        <v>1579</v>
      </c>
      <c r="AA123" s="41">
        <v>1609</v>
      </c>
      <c r="AB123" s="33">
        <v>116</v>
      </c>
      <c r="AC123" s="43" t="s">
        <v>46</v>
      </c>
      <c r="AD123" s="44" t="s">
        <v>46</v>
      </c>
      <c r="AF123" s="41">
        <v>1701</v>
      </c>
      <c r="AG123" s="33">
        <v>116</v>
      </c>
      <c r="AH123" s="43" t="s">
        <v>7138</v>
      </c>
      <c r="AI123" s="44" t="s">
        <v>1389</v>
      </c>
      <c r="AK123" s="41">
        <v>1704</v>
      </c>
      <c r="AL123" s="33">
        <v>116</v>
      </c>
      <c r="AM123" s="43" t="s">
        <v>7139</v>
      </c>
      <c r="AN123" s="44" t="s">
        <v>2114</v>
      </c>
      <c r="AP123" s="41">
        <v>1707</v>
      </c>
      <c r="AQ123" s="33">
        <v>116</v>
      </c>
      <c r="AR123" s="43" t="s">
        <v>7140</v>
      </c>
      <c r="AS123" s="44" t="s">
        <v>845</v>
      </c>
      <c r="AU123" s="67">
        <v>1803</v>
      </c>
      <c r="AV123" s="68">
        <v>116</v>
      </c>
      <c r="AW123" s="69" t="s">
        <v>7141</v>
      </c>
      <c r="AX123" s="70" t="s">
        <v>1359</v>
      </c>
      <c r="AZ123" s="67">
        <v>1806</v>
      </c>
      <c r="BA123" s="83">
        <v>116</v>
      </c>
      <c r="BB123" s="69" t="s">
        <v>7142</v>
      </c>
      <c r="BC123" s="70" t="s">
        <v>1579</v>
      </c>
      <c r="BE123" s="67">
        <v>1809</v>
      </c>
      <c r="BF123" s="83">
        <v>116</v>
      </c>
      <c r="BG123" s="69" t="s">
        <v>46</v>
      </c>
      <c r="BH123" s="70" t="s">
        <v>46</v>
      </c>
    </row>
    <row r="124" spans="1:60">
      <c r="A124" s="1"/>
      <c r="B124" s="67">
        <v>1501</v>
      </c>
      <c r="C124" s="83">
        <v>117</v>
      </c>
      <c r="D124" s="69" t="s">
        <v>7143</v>
      </c>
      <c r="E124" s="70" t="s">
        <v>870</v>
      </c>
      <c r="G124" s="67">
        <v>1504</v>
      </c>
      <c r="H124" s="83">
        <v>117</v>
      </c>
      <c r="I124" s="69" t="s">
        <v>7144</v>
      </c>
      <c r="J124" s="70" t="s">
        <v>1013</v>
      </c>
      <c r="L124" s="67">
        <v>1507</v>
      </c>
      <c r="M124" s="83">
        <v>117</v>
      </c>
      <c r="N124" s="69" t="s">
        <v>7145</v>
      </c>
      <c r="O124" s="70" t="s">
        <v>2422</v>
      </c>
      <c r="Q124" s="41">
        <v>1603</v>
      </c>
      <c r="R124" s="42">
        <v>117</v>
      </c>
      <c r="S124" s="43" t="s">
        <v>7146</v>
      </c>
      <c r="T124" s="44" t="s">
        <v>1349</v>
      </c>
      <c r="V124" s="41">
        <v>1606</v>
      </c>
      <c r="W124" s="33">
        <v>117</v>
      </c>
      <c r="X124" s="43" t="s">
        <v>7147</v>
      </c>
      <c r="Y124" s="44" t="s">
        <v>735</v>
      </c>
      <c r="AA124" s="41">
        <v>1609</v>
      </c>
      <c r="AB124" s="33">
        <v>117</v>
      </c>
      <c r="AC124" s="43" t="s">
        <v>46</v>
      </c>
      <c r="AD124" s="44" t="s">
        <v>46</v>
      </c>
      <c r="AF124" s="41">
        <v>1701</v>
      </c>
      <c r="AG124" s="33">
        <v>117</v>
      </c>
      <c r="AH124" s="43" t="s">
        <v>7143</v>
      </c>
      <c r="AI124" s="44" t="s">
        <v>870</v>
      </c>
      <c r="AK124" s="41">
        <v>1704</v>
      </c>
      <c r="AL124" s="33">
        <v>117</v>
      </c>
      <c r="AM124" s="43" t="s">
        <v>7144</v>
      </c>
      <c r="AN124" s="44" t="s">
        <v>1013</v>
      </c>
      <c r="AP124" s="41">
        <v>1707</v>
      </c>
      <c r="AQ124" s="33">
        <v>117</v>
      </c>
      <c r="AR124" s="43" t="s">
        <v>7145</v>
      </c>
      <c r="AS124" s="44" t="s">
        <v>2422</v>
      </c>
      <c r="AU124" s="67">
        <v>1803</v>
      </c>
      <c r="AV124" s="68">
        <v>117</v>
      </c>
      <c r="AW124" s="69" t="s">
        <v>7146</v>
      </c>
      <c r="AX124" s="70" t="s">
        <v>1349</v>
      </c>
      <c r="AZ124" s="67">
        <v>1806</v>
      </c>
      <c r="BA124" s="83">
        <v>117</v>
      </c>
      <c r="BB124" s="69" t="s">
        <v>7147</v>
      </c>
      <c r="BC124" s="70" t="s">
        <v>735</v>
      </c>
      <c r="BE124" s="67">
        <v>1809</v>
      </c>
      <c r="BF124" s="83">
        <v>117</v>
      </c>
      <c r="BG124" s="69" t="s">
        <v>46</v>
      </c>
      <c r="BH124" s="70" t="s">
        <v>46</v>
      </c>
    </row>
    <row r="125" spans="1:60">
      <c r="A125" s="1"/>
      <c r="B125" s="67">
        <v>1501</v>
      </c>
      <c r="C125" s="83">
        <v>118</v>
      </c>
      <c r="D125" s="69" t="s">
        <v>7148</v>
      </c>
      <c r="E125" s="70" t="s">
        <v>953</v>
      </c>
      <c r="G125" s="67">
        <v>1504</v>
      </c>
      <c r="H125" s="83">
        <v>118</v>
      </c>
      <c r="I125" s="69" t="s">
        <v>7149</v>
      </c>
      <c r="J125" s="70" t="s">
        <v>2104</v>
      </c>
      <c r="L125" s="67">
        <v>1507</v>
      </c>
      <c r="M125" s="83">
        <v>118</v>
      </c>
      <c r="N125" s="69" t="s">
        <v>7150</v>
      </c>
      <c r="O125" s="70" t="s">
        <v>860</v>
      </c>
      <c r="Q125" s="41">
        <v>1603</v>
      </c>
      <c r="R125" s="42">
        <v>118</v>
      </c>
      <c r="S125" s="43" t="s">
        <v>7151</v>
      </c>
      <c r="T125" s="44" t="s">
        <v>1774</v>
      </c>
      <c r="V125" s="41">
        <v>1606</v>
      </c>
      <c r="W125" s="33">
        <v>118</v>
      </c>
      <c r="X125" s="43" t="s">
        <v>7152</v>
      </c>
      <c r="Y125" s="44" t="s">
        <v>1654</v>
      </c>
      <c r="AA125" s="41">
        <v>1609</v>
      </c>
      <c r="AB125" s="33">
        <v>118</v>
      </c>
      <c r="AC125" s="43" t="s">
        <v>46</v>
      </c>
      <c r="AD125" s="44" t="s">
        <v>46</v>
      </c>
      <c r="AF125" s="41">
        <v>1701</v>
      </c>
      <c r="AG125" s="33">
        <v>118</v>
      </c>
      <c r="AH125" s="43" t="s">
        <v>7148</v>
      </c>
      <c r="AI125" s="44" t="s">
        <v>953</v>
      </c>
      <c r="AK125" s="41">
        <v>1704</v>
      </c>
      <c r="AL125" s="33">
        <v>118</v>
      </c>
      <c r="AM125" s="43" t="s">
        <v>7149</v>
      </c>
      <c r="AN125" s="44" t="s">
        <v>2104</v>
      </c>
      <c r="AP125" s="41">
        <v>1707</v>
      </c>
      <c r="AQ125" s="33">
        <v>118</v>
      </c>
      <c r="AR125" s="43" t="s">
        <v>7150</v>
      </c>
      <c r="AS125" s="44" t="s">
        <v>860</v>
      </c>
      <c r="AU125" s="67">
        <v>1803</v>
      </c>
      <c r="AV125" s="68">
        <v>118</v>
      </c>
      <c r="AW125" s="69" t="s">
        <v>7151</v>
      </c>
      <c r="AX125" s="70" t="s">
        <v>1774</v>
      </c>
      <c r="AZ125" s="67">
        <v>1806</v>
      </c>
      <c r="BA125" s="83">
        <v>118</v>
      </c>
      <c r="BB125" s="69" t="s">
        <v>7152</v>
      </c>
      <c r="BC125" s="70" t="s">
        <v>1654</v>
      </c>
      <c r="BE125" s="67">
        <v>1809</v>
      </c>
      <c r="BF125" s="83">
        <v>118</v>
      </c>
      <c r="BG125" s="69" t="s">
        <v>46</v>
      </c>
      <c r="BH125" s="70" t="s">
        <v>46</v>
      </c>
    </row>
    <row r="126" spans="1:60">
      <c r="A126" s="1"/>
      <c r="B126" s="67">
        <v>1501</v>
      </c>
      <c r="C126" s="83">
        <v>119</v>
      </c>
      <c r="D126" s="69" t="s">
        <v>7153</v>
      </c>
      <c r="E126" s="70" t="s">
        <v>1649</v>
      </c>
      <c r="G126" s="67">
        <v>1504</v>
      </c>
      <c r="H126" s="83">
        <v>119</v>
      </c>
      <c r="I126" s="263" t="s">
        <v>46</v>
      </c>
      <c r="J126" s="264" t="s">
        <v>46</v>
      </c>
      <c r="L126" s="67">
        <v>1507</v>
      </c>
      <c r="M126" s="83">
        <v>119</v>
      </c>
      <c r="N126" s="69" t="s">
        <v>7154</v>
      </c>
      <c r="O126" s="70" t="s">
        <v>2387</v>
      </c>
      <c r="Q126" s="41">
        <v>1603</v>
      </c>
      <c r="R126" s="42">
        <v>119</v>
      </c>
      <c r="S126" s="43" t="s">
        <v>7155</v>
      </c>
      <c r="T126" s="44" t="s">
        <v>1629</v>
      </c>
      <c r="V126" s="41">
        <v>1606</v>
      </c>
      <c r="W126" s="33">
        <v>119</v>
      </c>
      <c r="X126" s="43" t="s">
        <v>7156</v>
      </c>
      <c r="Y126" s="44" t="s">
        <v>3036</v>
      </c>
      <c r="AA126" s="41">
        <v>1609</v>
      </c>
      <c r="AB126" s="33">
        <v>119</v>
      </c>
      <c r="AC126" s="43" t="s">
        <v>46</v>
      </c>
      <c r="AD126" s="44" t="s">
        <v>46</v>
      </c>
      <c r="AF126" s="41">
        <v>1701</v>
      </c>
      <c r="AG126" s="33">
        <v>119</v>
      </c>
      <c r="AH126" s="43" t="s">
        <v>7153</v>
      </c>
      <c r="AI126" s="44" t="s">
        <v>1649</v>
      </c>
      <c r="AK126" s="41">
        <v>1704</v>
      </c>
      <c r="AL126" s="33">
        <v>119</v>
      </c>
      <c r="AM126" s="263" t="s">
        <v>46</v>
      </c>
      <c r="AN126" s="264" t="s">
        <v>46</v>
      </c>
      <c r="AP126" s="41">
        <v>1707</v>
      </c>
      <c r="AQ126" s="33">
        <v>119</v>
      </c>
      <c r="AR126" s="43" t="s">
        <v>7154</v>
      </c>
      <c r="AS126" s="44" t="s">
        <v>2387</v>
      </c>
      <c r="AU126" s="67">
        <v>1803</v>
      </c>
      <c r="AV126" s="68">
        <v>119</v>
      </c>
      <c r="AW126" s="69" t="s">
        <v>7155</v>
      </c>
      <c r="AX126" s="70" t="s">
        <v>1629</v>
      </c>
      <c r="AZ126" s="67">
        <v>1806</v>
      </c>
      <c r="BA126" s="83">
        <v>119</v>
      </c>
      <c r="BB126" s="69" t="s">
        <v>7156</v>
      </c>
      <c r="BC126" s="70" t="s">
        <v>3036</v>
      </c>
      <c r="BE126" s="67">
        <v>1809</v>
      </c>
      <c r="BF126" s="83">
        <v>119</v>
      </c>
      <c r="BG126" s="69" t="s">
        <v>46</v>
      </c>
      <c r="BH126" s="70" t="s">
        <v>46</v>
      </c>
    </row>
    <row r="127" spans="1:60">
      <c r="A127" s="1"/>
      <c r="B127" s="67">
        <v>1501</v>
      </c>
      <c r="C127" s="83">
        <v>120</v>
      </c>
      <c r="D127" s="69" t="s">
        <v>7157</v>
      </c>
      <c r="E127" s="70" t="s">
        <v>1599</v>
      </c>
      <c r="G127" s="67">
        <v>1504</v>
      </c>
      <c r="H127" s="83">
        <v>120</v>
      </c>
      <c r="I127" s="69" t="s">
        <v>7158</v>
      </c>
      <c r="J127" s="70" t="s">
        <v>973</v>
      </c>
      <c r="L127" s="67">
        <v>1507</v>
      </c>
      <c r="M127" s="83">
        <v>120</v>
      </c>
      <c r="N127" s="69" t="s">
        <v>7159</v>
      </c>
      <c r="O127" s="70" t="s">
        <v>1694</v>
      </c>
      <c r="Q127" s="41">
        <v>1603</v>
      </c>
      <c r="R127" s="42">
        <v>120</v>
      </c>
      <c r="S127" s="43" t="s">
        <v>46</v>
      </c>
      <c r="T127" s="44" t="s">
        <v>46</v>
      </c>
      <c r="V127" s="41">
        <v>1606</v>
      </c>
      <c r="W127" s="33">
        <v>120</v>
      </c>
      <c r="X127" s="43" t="s">
        <v>7160</v>
      </c>
      <c r="Y127" s="44" t="s">
        <v>1759</v>
      </c>
      <c r="AA127" s="41">
        <v>1609</v>
      </c>
      <c r="AB127" s="33">
        <v>120</v>
      </c>
      <c r="AC127" s="43" t="s">
        <v>46</v>
      </c>
      <c r="AD127" s="44" t="s">
        <v>46</v>
      </c>
      <c r="AF127" s="41">
        <v>1701</v>
      </c>
      <c r="AG127" s="33">
        <v>120</v>
      </c>
      <c r="AH127" s="43" t="s">
        <v>7157</v>
      </c>
      <c r="AI127" s="44" t="s">
        <v>1599</v>
      </c>
      <c r="AK127" s="41">
        <v>1704</v>
      </c>
      <c r="AL127" s="33">
        <v>120</v>
      </c>
      <c r="AM127" s="43" t="s">
        <v>7158</v>
      </c>
      <c r="AN127" s="44" t="s">
        <v>973</v>
      </c>
      <c r="AP127" s="41">
        <v>1707</v>
      </c>
      <c r="AQ127" s="33">
        <v>120</v>
      </c>
      <c r="AR127" s="43" t="s">
        <v>7159</v>
      </c>
      <c r="AS127" s="44" t="s">
        <v>1694</v>
      </c>
      <c r="AU127" s="67">
        <v>1803</v>
      </c>
      <c r="AV127" s="68">
        <v>120</v>
      </c>
      <c r="AW127" s="69" t="s">
        <v>46</v>
      </c>
      <c r="AX127" s="70" t="s">
        <v>46</v>
      </c>
      <c r="AZ127" s="67">
        <v>1806</v>
      </c>
      <c r="BA127" s="83">
        <v>120</v>
      </c>
      <c r="BB127" s="69" t="s">
        <v>7160</v>
      </c>
      <c r="BC127" s="70" t="s">
        <v>1759</v>
      </c>
      <c r="BE127" s="67">
        <v>1809</v>
      </c>
      <c r="BF127" s="83">
        <v>120</v>
      </c>
      <c r="BG127" s="69" t="s">
        <v>46</v>
      </c>
      <c r="BH127" s="70" t="s">
        <v>46</v>
      </c>
    </row>
    <row r="128" spans="1:60">
      <c r="A128" s="1"/>
      <c r="B128" s="67">
        <v>1501</v>
      </c>
      <c r="C128" s="83">
        <v>121</v>
      </c>
      <c r="D128" s="69" t="s">
        <v>7161</v>
      </c>
      <c r="E128" s="70" t="s">
        <v>1514</v>
      </c>
      <c r="G128" s="67">
        <v>1504</v>
      </c>
      <c r="H128" s="83">
        <v>121</v>
      </c>
      <c r="I128" s="69" t="s">
        <v>46</v>
      </c>
      <c r="J128" s="70" t="s">
        <v>46</v>
      </c>
      <c r="L128" s="67">
        <v>1507</v>
      </c>
      <c r="M128" s="83">
        <v>121</v>
      </c>
      <c r="N128" s="69" t="s">
        <v>7162</v>
      </c>
      <c r="O128" s="70" t="s">
        <v>2397</v>
      </c>
      <c r="Q128" s="41">
        <v>1603</v>
      </c>
      <c r="R128" s="42">
        <v>121</v>
      </c>
      <c r="S128" s="43" t="s">
        <v>46</v>
      </c>
      <c r="T128" s="44" t="s">
        <v>46</v>
      </c>
      <c r="V128" s="41">
        <v>1606</v>
      </c>
      <c r="W128" s="33">
        <v>121</v>
      </c>
      <c r="X128" s="43" t="s">
        <v>7163</v>
      </c>
      <c r="Y128" s="44" t="s">
        <v>3108</v>
      </c>
      <c r="AA128" s="41">
        <v>1609</v>
      </c>
      <c r="AB128" s="33">
        <v>121</v>
      </c>
      <c r="AC128" s="43" t="s">
        <v>46</v>
      </c>
      <c r="AD128" s="44" t="s">
        <v>46</v>
      </c>
      <c r="AF128" s="41">
        <v>1701</v>
      </c>
      <c r="AG128" s="33">
        <v>121</v>
      </c>
      <c r="AH128" s="43" t="s">
        <v>7161</v>
      </c>
      <c r="AI128" s="44" t="s">
        <v>1514</v>
      </c>
      <c r="AK128" s="41">
        <v>1704</v>
      </c>
      <c r="AL128" s="33">
        <v>121</v>
      </c>
      <c r="AM128" s="43" t="s">
        <v>46</v>
      </c>
      <c r="AN128" s="44" t="s">
        <v>46</v>
      </c>
      <c r="AP128" s="41">
        <v>1707</v>
      </c>
      <c r="AQ128" s="33">
        <v>121</v>
      </c>
      <c r="AR128" s="43" t="s">
        <v>7162</v>
      </c>
      <c r="AS128" s="44" t="s">
        <v>2397</v>
      </c>
      <c r="AU128" s="67">
        <v>1803</v>
      </c>
      <c r="AV128" s="68">
        <v>121</v>
      </c>
      <c r="AW128" s="69" t="s">
        <v>46</v>
      </c>
      <c r="AX128" s="70" t="s">
        <v>46</v>
      </c>
      <c r="AZ128" s="67">
        <v>1806</v>
      </c>
      <c r="BA128" s="83">
        <v>121</v>
      </c>
      <c r="BB128" s="69" t="s">
        <v>7163</v>
      </c>
      <c r="BC128" s="70" t="s">
        <v>3108</v>
      </c>
      <c r="BE128" s="67">
        <v>1809</v>
      </c>
      <c r="BF128" s="83">
        <v>121</v>
      </c>
      <c r="BG128" s="69" t="s">
        <v>46</v>
      </c>
      <c r="BH128" s="70" t="s">
        <v>46</v>
      </c>
    </row>
    <row r="129" spans="2:60">
      <c r="B129" s="67">
        <v>1501</v>
      </c>
      <c r="C129" s="83">
        <v>122</v>
      </c>
      <c r="D129" s="69" t="s">
        <v>7164</v>
      </c>
      <c r="E129" s="70" t="s">
        <v>672</v>
      </c>
      <c r="G129" s="67">
        <v>1504</v>
      </c>
      <c r="H129" s="83">
        <v>122</v>
      </c>
      <c r="I129" s="69" t="s">
        <v>7165</v>
      </c>
      <c r="J129" s="70" t="s">
        <v>2860</v>
      </c>
      <c r="L129" s="67">
        <v>1507</v>
      </c>
      <c r="M129" s="83">
        <v>122</v>
      </c>
      <c r="N129" s="69" t="s">
        <v>7166</v>
      </c>
      <c r="O129" s="70" t="s">
        <v>1334</v>
      </c>
      <c r="Q129" s="41">
        <v>1603</v>
      </c>
      <c r="R129" s="42">
        <v>122</v>
      </c>
      <c r="S129" s="43" t="s">
        <v>46</v>
      </c>
      <c r="T129" s="44" t="s">
        <v>46</v>
      </c>
      <c r="V129" s="41">
        <v>1606</v>
      </c>
      <c r="W129" s="33">
        <v>122</v>
      </c>
      <c r="X129" s="43" t="s">
        <v>7167</v>
      </c>
      <c r="Y129" s="44" t="s">
        <v>1744</v>
      </c>
      <c r="AA129" s="41">
        <v>1609</v>
      </c>
      <c r="AB129" s="33">
        <v>122</v>
      </c>
      <c r="AC129" s="43" t="s">
        <v>46</v>
      </c>
      <c r="AD129" s="44" t="s">
        <v>46</v>
      </c>
      <c r="AF129" s="41">
        <v>1701</v>
      </c>
      <c r="AG129" s="33">
        <v>122</v>
      </c>
      <c r="AH129" s="43" t="s">
        <v>7164</v>
      </c>
      <c r="AI129" s="44" t="s">
        <v>672</v>
      </c>
      <c r="AK129" s="41">
        <v>1704</v>
      </c>
      <c r="AL129" s="33">
        <v>122</v>
      </c>
      <c r="AM129" s="43" t="s">
        <v>7165</v>
      </c>
      <c r="AN129" s="44" t="s">
        <v>2860</v>
      </c>
      <c r="AP129" s="41">
        <v>1707</v>
      </c>
      <c r="AQ129" s="33">
        <v>122</v>
      </c>
      <c r="AR129" s="43" t="s">
        <v>7166</v>
      </c>
      <c r="AS129" s="44" t="s">
        <v>1334</v>
      </c>
      <c r="AU129" s="67">
        <v>1803</v>
      </c>
      <c r="AV129" s="68">
        <v>122</v>
      </c>
      <c r="AW129" s="69" t="s">
        <v>46</v>
      </c>
      <c r="AX129" s="70" t="s">
        <v>46</v>
      </c>
      <c r="AZ129" s="67">
        <v>1806</v>
      </c>
      <c r="BA129" s="83">
        <v>122</v>
      </c>
      <c r="BB129" s="69" t="s">
        <v>7167</v>
      </c>
      <c r="BC129" s="70" t="s">
        <v>1744</v>
      </c>
      <c r="BE129" s="67">
        <v>1809</v>
      </c>
      <c r="BF129" s="83">
        <v>122</v>
      </c>
      <c r="BG129" s="69" t="s">
        <v>46</v>
      </c>
      <c r="BH129" s="70" t="s">
        <v>46</v>
      </c>
    </row>
    <row r="130" spans="2:60">
      <c r="B130" s="67">
        <v>1501</v>
      </c>
      <c r="C130" s="83">
        <v>123</v>
      </c>
      <c r="D130" s="69" t="s">
        <v>7168</v>
      </c>
      <c r="E130" s="70" t="s">
        <v>875</v>
      </c>
      <c r="G130" s="67">
        <v>1504</v>
      </c>
      <c r="H130" s="83">
        <v>123</v>
      </c>
      <c r="I130" s="69" t="s">
        <v>7169</v>
      </c>
      <c r="J130" s="70" t="s">
        <v>1769</v>
      </c>
      <c r="L130" s="67">
        <v>1507</v>
      </c>
      <c r="M130" s="83">
        <v>123</v>
      </c>
      <c r="N130" s="69" t="s">
        <v>7170</v>
      </c>
      <c r="O130" s="70" t="s">
        <v>2344</v>
      </c>
      <c r="Q130" s="41">
        <v>1603</v>
      </c>
      <c r="R130" s="42">
        <v>123</v>
      </c>
      <c r="S130" s="43" t="s">
        <v>46</v>
      </c>
      <c r="T130" s="44" t="s">
        <v>46</v>
      </c>
      <c r="V130" s="41">
        <v>1606</v>
      </c>
      <c r="W130" s="33">
        <v>123</v>
      </c>
      <c r="X130" s="43" t="s">
        <v>7171</v>
      </c>
      <c r="Y130" s="44" t="s">
        <v>3268</v>
      </c>
      <c r="AA130" s="41">
        <v>1609</v>
      </c>
      <c r="AB130" s="33">
        <v>123</v>
      </c>
      <c r="AC130" s="43" t="s">
        <v>46</v>
      </c>
      <c r="AD130" s="44" t="s">
        <v>46</v>
      </c>
      <c r="AF130" s="41">
        <v>1701</v>
      </c>
      <c r="AG130" s="33">
        <v>123</v>
      </c>
      <c r="AH130" s="43" t="s">
        <v>7168</v>
      </c>
      <c r="AI130" s="44" t="s">
        <v>875</v>
      </c>
      <c r="AK130" s="41">
        <v>1704</v>
      </c>
      <c r="AL130" s="33">
        <v>123</v>
      </c>
      <c r="AM130" s="43" t="s">
        <v>7169</v>
      </c>
      <c r="AN130" s="44" t="s">
        <v>1769</v>
      </c>
      <c r="AP130" s="41">
        <v>1707</v>
      </c>
      <c r="AQ130" s="33">
        <v>123</v>
      </c>
      <c r="AR130" s="43" t="s">
        <v>7170</v>
      </c>
      <c r="AS130" s="44" t="s">
        <v>2344</v>
      </c>
      <c r="AU130" s="67">
        <v>1803</v>
      </c>
      <c r="AV130" s="68">
        <v>123</v>
      </c>
      <c r="AW130" s="69" t="s">
        <v>46</v>
      </c>
      <c r="AX130" s="70" t="s">
        <v>46</v>
      </c>
      <c r="AZ130" s="67">
        <v>1806</v>
      </c>
      <c r="BA130" s="83">
        <v>123</v>
      </c>
      <c r="BB130" s="69" t="s">
        <v>7171</v>
      </c>
      <c r="BC130" s="70" t="s">
        <v>3268</v>
      </c>
      <c r="BE130" s="67">
        <v>1809</v>
      </c>
      <c r="BF130" s="83">
        <v>123</v>
      </c>
      <c r="BG130" s="69" t="s">
        <v>46</v>
      </c>
      <c r="BH130" s="70" t="s">
        <v>46</v>
      </c>
    </row>
    <row r="131" spans="2:60">
      <c r="B131" s="67">
        <v>1501</v>
      </c>
      <c r="C131" s="83">
        <v>124</v>
      </c>
      <c r="D131" s="69" t="s">
        <v>7172</v>
      </c>
      <c r="E131" s="70" t="s">
        <v>3249</v>
      </c>
      <c r="G131" s="67">
        <v>1504</v>
      </c>
      <c r="H131" s="83">
        <v>124</v>
      </c>
      <c r="I131" s="69" t="s">
        <v>7173</v>
      </c>
      <c r="J131" s="70" t="s">
        <v>2730</v>
      </c>
      <c r="L131" s="67">
        <v>1507</v>
      </c>
      <c r="M131" s="83">
        <v>124</v>
      </c>
      <c r="N131" s="69" t="s">
        <v>7174</v>
      </c>
      <c r="O131" s="70" t="s">
        <v>1279</v>
      </c>
      <c r="Q131" s="41">
        <v>1603</v>
      </c>
      <c r="R131" s="42">
        <v>124</v>
      </c>
      <c r="S131" s="43" t="s">
        <v>7175</v>
      </c>
      <c r="T131" s="44" t="s">
        <v>2617</v>
      </c>
      <c r="V131" s="41">
        <v>1606</v>
      </c>
      <c r="W131" s="33">
        <v>124</v>
      </c>
      <c r="X131" s="43" t="s">
        <v>7176</v>
      </c>
      <c r="Y131" s="44" t="s">
        <v>2936</v>
      </c>
      <c r="AA131" s="41">
        <v>1609</v>
      </c>
      <c r="AB131" s="33">
        <v>124</v>
      </c>
      <c r="AC131" s="43" t="s">
        <v>46</v>
      </c>
      <c r="AD131" s="44" t="s">
        <v>46</v>
      </c>
      <c r="AF131" s="41">
        <v>1701</v>
      </c>
      <c r="AG131" s="33">
        <v>124</v>
      </c>
      <c r="AH131" s="43" t="s">
        <v>7172</v>
      </c>
      <c r="AI131" s="44" t="s">
        <v>3249</v>
      </c>
      <c r="AK131" s="41">
        <v>1704</v>
      </c>
      <c r="AL131" s="33">
        <v>124</v>
      </c>
      <c r="AM131" s="43" t="s">
        <v>7173</v>
      </c>
      <c r="AN131" s="44" t="s">
        <v>2730</v>
      </c>
      <c r="AP131" s="41">
        <v>1707</v>
      </c>
      <c r="AQ131" s="33">
        <v>124</v>
      </c>
      <c r="AR131" s="43" t="s">
        <v>7174</v>
      </c>
      <c r="AS131" s="44" t="s">
        <v>1279</v>
      </c>
      <c r="AU131" s="67">
        <v>1803</v>
      </c>
      <c r="AV131" s="68">
        <v>124</v>
      </c>
      <c r="AW131" s="69" t="s">
        <v>7175</v>
      </c>
      <c r="AX131" s="70" t="s">
        <v>2617</v>
      </c>
      <c r="AZ131" s="67">
        <v>1806</v>
      </c>
      <c r="BA131" s="83">
        <v>124</v>
      </c>
      <c r="BB131" s="69" t="s">
        <v>7176</v>
      </c>
      <c r="BC131" s="70" t="s">
        <v>2936</v>
      </c>
      <c r="BE131" s="67">
        <v>1809</v>
      </c>
      <c r="BF131" s="83">
        <v>124</v>
      </c>
      <c r="BG131" s="69" t="s">
        <v>46</v>
      </c>
      <c r="BH131" s="70" t="s">
        <v>46</v>
      </c>
    </row>
    <row r="132" spans="2:60">
      <c r="B132" s="67">
        <v>1501</v>
      </c>
      <c r="C132" s="83">
        <v>125</v>
      </c>
      <c r="D132" s="69" t="s">
        <v>7177</v>
      </c>
      <c r="E132" s="70" t="s">
        <v>993</v>
      </c>
      <c r="G132" s="67">
        <v>1504</v>
      </c>
      <c r="H132" s="83">
        <v>125</v>
      </c>
      <c r="I132" s="69" t="s">
        <v>7178</v>
      </c>
      <c r="J132" s="70" t="s">
        <v>943</v>
      </c>
      <c r="L132" s="67">
        <v>1507</v>
      </c>
      <c r="M132" s="83">
        <v>125</v>
      </c>
      <c r="N132" s="69" t="s">
        <v>7179</v>
      </c>
      <c r="O132" s="70" t="s">
        <v>2336</v>
      </c>
      <c r="Q132" s="41">
        <v>1603</v>
      </c>
      <c r="R132" s="42">
        <v>125</v>
      </c>
      <c r="S132" s="43" t="s">
        <v>46</v>
      </c>
      <c r="T132" s="44" t="s">
        <v>46</v>
      </c>
      <c r="V132" s="41">
        <v>1606</v>
      </c>
      <c r="W132" s="33">
        <v>125</v>
      </c>
      <c r="X132" s="43" t="s">
        <v>7180</v>
      </c>
      <c r="Y132" s="44" t="s">
        <v>3276</v>
      </c>
      <c r="AA132" s="41">
        <v>1609</v>
      </c>
      <c r="AB132" s="33">
        <v>125</v>
      </c>
      <c r="AC132" s="43" t="s">
        <v>46</v>
      </c>
      <c r="AD132" s="44" t="s">
        <v>46</v>
      </c>
      <c r="AF132" s="41">
        <v>1701</v>
      </c>
      <c r="AG132" s="33">
        <v>125</v>
      </c>
      <c r="AH132" s="43" t="s">
        <v>7177</v>
      </c>
      <c r="AI132" s="44" t="s">
        <v>993</v>
      </c>
      <c r="AK132" s="41">
        <v>1704</v>
      </c>
      <c r="AL132" s="33">
        <v>125</v>
      </c>
      <c r="AM132" s="43" t="s">
        <v>7178</v>
      </c>
      <c r="AN132" s="44" t="s">
        <v>943</v>
      </c>
      <c r="AP132" s="41">
        <v>1707</v>
      </c>
      <c r="AQ132" s="33">
        <v>125</v>
      </c>
      <c r="AR132" s="43" t="s">
        <v>7179</v>
      </c>
      <c r="AS132" s="44" t="s">
        <v>2336</v>
      </c>
      <c r="AU132" s="67">
        <v>1803</v>
      </c>
      <c r="AV132" s="68">
        <v>125</v>
      </c>
      <c r="AW132" s="69" t="s">
        <v>46</v>
      </c>
      <c r="AX132" s="70" t="s">
        <v>46</v>
      </c>
      <c r="AZ132" s="67">
        <v>1806</v>
      </c>
      <c r="BA132" s="83">
        <v>125</v>
      </c>
      <c r="BB132" s="69" t="s">
        <v>7180</v>
      </c>
      <c r="BC132" s="70" t="s">
        <v>3276</v>
      </c>
      <c r="BE132" s="67">
        <v>1809</v>
      </c>
      <c r="BF132" s="83">
        <v>125</v>
      </c>
      <c r="BG132" s="69" t="s">
        <v>46</v>
      </c>
      <c r="BH132" s="70" t="s">
        <v>46</v>
      </c>
    </row>
    <row r="133" spans="2:60">
      <c r="B133" s="67">
        <v>1501</v>
      </c>
      <c r="C133" s="83">
        <v>126</v>
      </c>
      <c r="D133" s="69" t="s">
        <v>7181</v>
      </c>
      <c r="E133" s="70" t="s">
        <v>3259</v>
      </c>
      <c r="G133" s="67">
        <v>1504</v>
      </c>
      <c r="H133" s="83">
        <v>126</v>
      </c>
      <c r="I133" s="69" t="s">
        <v>7182</v>
      </c>
      <c r="J133" s="70" t="s">
        <v>2722</v>
      </c>
      <c r="L133" s="67">
        <v>1507</v>
      </c>
      <c r="M133" s="83">
        <v>126</v>
      </c>
      <c r="N133" s="69" t="s">
        <v>7183</v>
      </c>
      <c r="O133" s="70" t="s">
        <v>1664</v>
      </c>
      <c r="Q133" s="41">
        <v>1603</v>
      </c>
      <c r="R133" s="42">
        <v>126</v>
      </c>
      <c r="S133" s="43" t="s">
        <v>7184</v>
      </c>
      <c r="T133" s="44" t="s">
        <v>2625</v>
      </c>
      <c r="V133" s="41">
        <v>1606</v>
      </c>
      <c r="W133" s="33">
        <v>126</v>
      </c>
      <c r="X133" s="43" t="s">
        <v>7185</v>
      </c>
      <c r="Y133" s="44" t="s">
        <v>1644</v>
      </c>
      <c r="AA133" s="41">
        <v>1609</v>
      </c>
      <c r="AB133" s="33">
        <v>126</v>
      </c>
      <c r="AC133" s="43" t="s">
        <v>46</v>
      </c>
      <c r="AD133" s="44" t="s">
        <v>46</v>
      </c>
      <c r="AF133" s="41">
        <v>1701</v>
      </c>
      <c r="AG133" s="33">
        <v>126</v>
      </c>
      <c r="AH133" s="43" t="s">
        <v>7181</v>
      </c>
      <c r="AI133" s="44" t="s">
        <v>3259</v>
      </c>
      <c r="AK133" s="41">
        <v>1704</v>
      </c>
      <c r="AL133" s="33">
        <v>126</v>
      </c>
      <c r="AM133" s="43" t="s">
        <v>7182</v>
      </c>
      <c r="AN133" s="44" t="s">
        <v>2722</v>
      </c>
      <c r="AP133" s="41">
        <v>1707</v>
      </c>
      <c r="AQ133" s="33">
        <v>126</v>
      </c>
      <c r="AR133" s="43" t="s">
        <v>7183</v>
      </c>
      <c r="AS133" s="44" t="s">
        <v>1664</v>
      </c>
      <c r="AU133" s="67">
        <v>1803</v>
      </c>
      <c r="AV133" s="68">
        <v>126</v>
      </c>
      <c r="AW133" s="69" t="s">
        <v>7184</v>
      </c>
      <c r="AX133" s="70" t="s">
        <v>2625</v>
      </c>
      <c r="AZ133" s="67">
        <v>1806</v>
      </c>
      <c r="BA133" s="83">
        <v>126</v>
      </c>
      <c r="BB133" s="69" t="s">
        <v>7185</v>
      </c>
      <c r="BC133" s="70" t="s">
        <v>1644</v>
      </c>
      <c r="BE133" s="67">
        <v>1809</v>
      </c>
      <c r="BF133" s="83">
        <v>126</v>
      </c>
      <c r="BG133" s="69" t="s">
        <v>46</v>
      </c>
      <c r="BH133" s="70" t="s">
        <v>46</v>
      </c>
    </row>
    <row r="134" spans="2:60">
      <c r="B134" s="67">
        <v>1501</v>
      </c>
      <c r="C134" s="83">
        <v>127</v>
      </c>
      <c r="D134" s="69" t="s">
        <v>7186</v>
      </c>
      <c r="E134" s="70" t="s">
        <v>2880</v>
      </c>
      <c r="G134" s="67">
        <v>1504</v>
      </c>
      <c r="H134" s="83">
        <v>127</v>
      </c>
      <c r="I134" s="69" t="s">
        <v>46</v>
      </c>
      <c r="J134" s="70" t="s">
        <v>46</v>
      </c>
      <c r="L134" s="67">
        <v>1507</v>
      </c>
      <c r="M134" s="83">
        <v>127</v>
      </c>
      <c r="N134" s="69" t="s">
        <v>46</v>
      </c>
      <c r="O134" s="70" t="s">
        <v>46</v>
      </c>
      <c r="Q134" s="41">
        <v>1603</v>
      </c>
      <c r="R134" s="42">
        <v>127</v>
      </c>
      <c r="S134" s="43" t="s">
        <v>46</v>
      </c>
      <c r="T134" s="44" t="s">
        <v>46</v>
      </c>
      <c r="V134" s="41">
        <v>1606</v>
      </c>
      <c r="W134" s="33">
        <v>127</v>
      </c>
      <c r="X134" s="43" t="s">
        <v>7187</v>
      </c>
      <c r="Y134" s="44" t="s">
        <v>2894</v>
      </c>
      <c r="AA134" s="41">
        <v>1609</v>
      </c>
      <c r="AB134" s="33">
        <v>127</v>
      </c>
      <c r="AC134" s="43" t="s">
        <v>46</v>
      </c>
      <c r="AD134" s="44" t="s">
        <v>46</v>
      </c>
      <c r="AF134" s="41">
        <v>1701</v>
      </c>
      <c r="AG134" s="33">
        <v>127</v>
      </c>
      <c r="AH134" s="43" t="s">
        <v>7186</v>
      </c>
      <c r="AI134" s="44" t="s">
        <v>2880</v>
      </c>
      <c r="AK134" s="41">
        <v>1704</v>
      </c>
      <c r="AL134" s="33">
        <v>127</v>
      </c>
      <c r="AM134" s="43" t="s">
        <v>46</v>
      </c>
      <c r="AN134" s="44" t="s">
        <v>46</v>
      </c>
      <c r="AP134" s="41">
        <v>1707</v>
      </c>
      <c r="AQ134" s="33">
        <v>127</v>
      </c>
      <c r="AR134" s="43" t="s">
        <v>46</v>
      </c>
      <c r="AS134" s="44" t="s">
        <v>46</v>
      </c>
      <c r="AU134" s="67">
        <v>1803</v>
      </c>
      <c r="AV134" s="68">
        <v>127</v>
      </c>
      <c r="AW134" s="69" t="s">
        <v>46</v>
      </c>
      <c r="AX134" s="70" t="s">
        <v>46</v>
      </c>
      <c r="AZ134" s="67">
        <v>1806</v>
      </c>
      <c r="BA134" s="83">
        <v>127</v>
      </c>
      <c r="BB134" s="69" t="s">
        <v>7187</v>
      </c>
      <c r="BC134" s="70" t="s">
        <v>5158</v>
      </c>
      <c r="BE134" s="67">
        <v>1809</v>
      </c>
      <c r="BF134" s="83">
        <v>127</v>
      </c>
      <c r="BG134" s="69" t="s">
        <v>46</v>
      </c>
      <c r="BH134" s="70" t="s">
        <v>46</v>
      </c>
    </row>
    <row r="135" spans="2:60" ht="15" thickBot="1">
      <c r="B135" s="71">
        <v>1501</v>
      </c>
      <c r="C135" s="84">
        <v>128</v>
      </c>
      <c r="D135" s="80" t="s">
        <v>7188</v>
      </c>
      <c r="E135" s="74" t="s">
        <v>1684</v>
      </c>
      <c r="G135" s="71">
        <v>1504</v>
      </c>
      <c r="H135" s="84">
        <v>128</v>
      </c>
      <c r="I135" s="80" t="s">
        <v>46</v>
      </c>
      <c r="J135" s="74" t="s">
        <v>46</v>
      </c>
      <c r="L135" s="71">
        <v>1507</v>
      </c>
      <c r="M135" s="84">
        <v>128</v>
      </c>
      <c r="N135" s="80" t="s">
        <v>46</v>
      </c>
      <c r="O135" s="74" t="s">
        <v>46</v>
      </c>
      <c r="Q135" s="45">
        <v>1603</v>
      </c>
      <c r="R135" s="46">
        <v>128</v>
      </c>
      <c r="S135" s="54" t="s">
        <v>7189</v>
      </c>
      <c r="T135" s="48" t="s">
        <v>1719</v>
      </c>
      <c r="V135" s="45">
        <v>1606</v>
      </c>
      <c r="W135" s="57">
        <v>128</v>
      </c>
      <c r="X135" s="54" t="s">
        <v>7190</v>
      </c>
      <c r="Y135" s="48" t="s">
        <v>2782</v>
      </c>
      <c r="AA135" s="45">
        <v>1609</v>
      </c>
      <c r="AB135" s="57">
        <v>128</v>
      </c>
      <c r="AC135" s="54" t="s">
        <v>46</v>
      </c>
      <c r="AD135" s="48" t="s">
        <v>46</v>
      </c>
      <c r="AF135" s="45">
        <v>1701</v>
      </c>
      <c r="AG135" s="57">
        <v>128</v>
      </c>
      <c r="AH135" s="54" t="s">
        <v>7188</v>
      </c>
      <c r="AI135" s="48" t="s">
        <v>1684</v>
      </c>
      <c r="AK135" s="45">
        <v>1704</v>
      </c>
      <c r="AL135" s="57">
        <v>128</v>
      </c>
      <c r="AM135" s="54" t="s">
        <v>46</v>
      </c>
      <c r="AN135" s="48" t="s">
        <v>46</v>
      </c>
      <c r="AP135" s="45">
        <v>1707</v>
      </c>
      <c r="AQ135" s="57">
        <v>128</v>
      </c>
      <c r="AR135" s="54" t="s">
        <v>46</v>
      </c>
      <c r="AS135" s="48" t="s">
        <v>46</v>
      </c>
      <c r="AU135" s="71">
        <v>1803</v>
      </c>
      <c r="AV135" s="72">
        <v>128</v>
      </c>
      <c r="AW135" s="80" t="s">
        <v>7189</v>
      </c>
      <c r="AX135" s="74" t="s">
        <v>1719</v>
      </c>
      <c r="AZ135" s="71">
        <v>1806</v>
      </c>
      <c r="BA135" s="84">
        <v>128</v>
      </c>
      <c r="BB135" s="80" t="s">
        <v>7190</v>
      </c>
      <c r="BC135" s="74" t="s">
        <v>2782</v>
      </c>
      <c r="BE135" s="71">
        <v>1809</v>
      </c>
      <c r="BF135" s="84">
        <v>128</v>
      </c>
      <c r="BG135" s="80" t="s">
        <v>46</v>
      </c>
      <c r="BH135" s="74" t="s">
        <v>46</v>
      </c>
    </row>
  </sheetData>
  <autoFilter ref="A7:BH135" xr:uid="{00000000-0009-0000-0000-00000F000000}"/>
  <phoneticPr fontId="3"/>
  <conditionalFormatting sqref="D139">
    <cfRule type="expression" dxfId="391" priority="470">
      <formula>AND(D139&lt;&gt;0,SUM(D140:D154)&lt;&gt;0)</formula>
    </cfRule>
  </conditionalFormatting>
  <conditionalFormatting sqref="D139:D170 I139:I170 S139:S170 N139:N170 X139:X170 AW139:AW170 BB139:BB170">
    <cfRule type="expression" dxfId="390" priority="586" stopIfTrue="1">
      <formula>D139&lt;&gt;0</formula>
    </cfRule>
  </conditionalFormatting>
  <conditionalFormatting sqref="D140">
    <cfRule type="expression" dxfId="389" priority="469">
      <formula>AND(D140&lt;&gt;0,SUM(D139,D141:D154)&lt;&gt;0)</formula>
    </cfRule>
  </conditionalFormatting>
  <conditionalFormatting sqref="D141">
    <cfRule type="expression" dxfId="388" priority="468">
      <formula>AND(D141&lt;&gt;0,SUM(D139:D140,D142:D154)&lt;&gt;0)</formula>
    </cfRule>
  </conditionalFormatting>
  <conditionalFormatting sqref="D142">
    <cfRule type="expression" dxfId="387" priority="467">
      <formula>AND(D142&lt;&gt;0,SUM(D139:D141,D143:D154)&lt;&gt;0)</formula>
    </cfRule>
  </conditionalFormatting>
  <conditionalFormatting sqref="D143">
    <cfRule type="expression" dxfId="386" priority="466">
      <formula>AND(D143&lt;&gt;0,SUM(D139:D142,D144:D154)&lt;&gt;0)</formula>
    </cfRule>
  </conditionalFormatting>
  <conditionalFormatting sqref="D144">
    <cfRule type="expression" dxfId="385" priority="465">
      <formula>AND(D144&lt;&gt;0,SUM(D139:D143,D145:D154)&lt;&gt;0)</formula>
    </cfRule>
  </conditionalFormatting>
  <conditionalFormatting sqref="D145">
    <cfRule type="expression" dxfId="384" priority="464">
      <formula>AND(D145&lt;&gt;0,SUM(D139:D144,D146:D154)&lt;&gt;0)</formula>
    </cfRule>
  </conditionalFormatting>
  <conditionalFormatting sqref="D146">
    <cfRule type="expression" dxfId="383" priority="463">
      <formula>AND(D146&lt;&gt;0,SUM(D139:D145,D147:D154)&lt;&gt;0)</formula>
    </cfRule>
  </conditionalFormatting>
  <conditionalFormatting sqref="D147">
    <cfRule type="expression" dxfId="382" priority="462">
      <formula>AND(D147&lt;&gt;0,SUM(D139:D146,D148:D154)&lt;&gt;0)</formula>
    </cfRule>
  </conditionalFormatting>
  <conditionalFormatting sqref="D148">
    <cfRule type="expression" dxfId="381" priority="461">
      <formula>AND(D148&lt;&gt;0,SUM(D139:D147,D149:D154)&lt;&gt;0)</formula>
    </cfRule>
  </conditionalFormatting>
  <conditionalFormatting sqref="D149">
    <cfRule type="expression" dxfId="380" priority="460">
      <formula>AND(D149&lt;&gt;0,SUM(D139:D148,D150:D154)&lt;&gt;0)</formula>
    </cfRule>
  </conditionalFormatting>
  <conditionalFormatting sqref="D150">
    <cfRule type="expression" dxfId="379" priority="459">
      <formula>AND(D150&lt;&gt;0,SUM(D139:D149,D151:D154)&lt;&gt;0)</formula>
    </cfRule>
  </conditionalFormatting>
  <conditionalFormatting sqref="D151">
    <cfRule type="expression" dxfId="378" priority="458">
      <formula>AND(D151&lt;&gt;0,SUM(D139:D150,D152:D154)&lt;&gt;0)</formula>
    </cfRule>
  </conditionalFormatting>
  <conditionalFormatting sqref="D152">
    <cfRule type="expression" dxfId="377" priority="457">
      <formula>AND(D152&lt;&gt;0,SUM(D139:D151,D153:D154)&lt;&gt;0)</formula>
    </cfRule>
  </conditionalFormatting>
  <conditionalFormatting sqref="D153">
    <cfRule type="expression" dxfId="376" priority="456">
      <formula>AND(D153&lt;&gt;0,SUM(D139:D152,D154)&lt;&gt;0)</formula>
    </cfRule>
  </conditionalFormatting>
  <conditionalFormatting sqref="D154">
    <cfRule type="expression" dxfId="375" priority="455">
      <formula>AND(D154&lt;&gt;0,SUM(D139:D153)&lt;&gt;0)</formula>
    </cfRule>
  </conditionalFormatting>
  <conditionalFormatting sqref="D155">
    <cfRule type="expression" dxfId="374" priority="486">
      <formula>AND(D155&lt;&gt;0,SUM(D156:D170)&lt;&gt;0)</formula>
    </cfRule>
  </conditionalFormatting>
  <conditionalFormatting sqref="D156">
    <cfRule type="expression" dxfId="373" priority="485">
      <formula>AND(D156&lt;&gt;0,SUM(D155,D157:D170)&lt;&gt;0)</formula>
    </cfRule>
  </conditionalFormatting>
  <conditionalFormatting sqref="D157">
    <cfRule type="expression" dxfId="372" priority="484">
      <formula>AND(D157&lt;&gt;0,SUM(D155:D156,D158:D170)&lt;&gt;0)</formula>
    </cfRule>
  </conditionalFormatting>
  <conditionalFormatting sqref="D158">
    <cfRule type="expression" dxfId="371" priority="483">
      <formula>AND(D158&lt;&gt;0,SUM(D155:D157,D159:D170)&lt;&gt;0)</formula>
    </cfRule>
  </conditionalFormatting>
  <conditionalFormatting sqref="D159">
    <cfRule type="expression" dxfId="370" priority="482">
      <formula>AND(D159&lt;&gt;0,SUM(D155:D158,D160:D170)&lt;&gt;0)</formula>
    </cfRule>
  </conditionalFormatting>
  <conditionalFormatting sqref="D160">
    <cfRule type="expression" dxfId="369" priority="481">
      <formula>AND(D160&lt;&gt;0,SUM(D155:D159,D161:D170)&lt;&gt;0)</formula>
    </cfRule>
  </conditionalFormatting>
  <conditionalFormatting sqref="D161">
    <cfRule type="expression" dxfId="368" priority="480">
      <formula>AND(D161&lt;&gt;0,SUM(D155:D160,D162:D170)&lt;&gt;0)</formula>
    </cfRule>
  </conditionalFormatting>
  <conditionalFormatting sqref="D162">
    <cfRule type="expression" dxfId="367" priority="479">
      <formula>AND(D162&lt;&gt;0,SUM(D155:D161,D163:D170)&lt;&gt;0)</formula>
    </cfRule>
  </conditionalFormatting>
  <conditionalFormatting sqref="D163">
    <cfRule type="expression" dxfId="366" priority="478">
      <formula>AND(D163&lt;&gt;0,SUM(D155:D162,D164:D170)&lt;&gt;0)</formula>
    </cfRule>
  </conditionalFormatting>
  <conditionalFormatting sqref="D164">
    <cfRule type="expression" dxfId="365" priority="477">
      <formula>AND(D164&lt;&gt;0,SUM(D155:D163,D165:D170)&lt;&gt;0)</formula>
    </cfRule>
  </conditionalFormatting>
  <conditionalFormatting sqref="D165">
    <cfRule type="expression" dxfId="364" priority="476">
      <formula>AND(D165&lt;&gt;0,SUM(D155:D164,D166:D170)&lt;&gt;0)</formula>
    </cfRule>
  </conditionalFormatting>
  <conditionalFormatting sqref="D165:D167">
    <cfRule type="expression" dxfId="363" priority="585" stopIfTrue="1">
      <formula>D165&gt;4</formula>
    </cfRule>
  </conditionalFormatting>
  <conditionalFormatting sqref="D166">
    <cfRule type="expression" dxfId="362" priority="475">
      <formula>AND(D166&lt;&gt;0,SUM(D155:D165,D167:D170)&lt;&gt;0)</formula>
    </cfRule>
  </conditionalFormatting>
  <conditionalFormatting sqref="D167">
    <cfRule type="expression" dxfId="361" priority="474">
      <formula>AND(D167&lt;&gt;0,SUM(D155:D166,D168:D170)&lt;&gt;0)</formula>
    </cfRule>
  </conditionalFormatting>
  <conditionalFormatting sqref="D168">
    <cfRule type="expression" dxfId="360" priority="473">
      <formula>AND(D168&lt;&gt;0,SUM(D155:D167,D169:D170)&lt;&gt;0)</formula>
    </cfRule>
  </conditionalFormatting>
  <conditionalFormatting sqref="D169">
    <cfRule type="expression" dxfId="359" priority="472">
      <formula>AND(D169&lt;&gt;0,SUM(D155:D168,D170)&lt;&gt;0)</formula>
    </cfRule>
  </conditionalFormatting>
  <conditionalFormatting sqref="D170">
    <cfRule type="expression" dxfId="358" priority="471">
      <formula>AND(D170&lt;&gt;0,SUM(D155:D169)&lt;&gt;0)</formula>
    </cfRule>
  </conditionalFormatting>
  <conditionalFormatting sqref="I139">
    <cfRule type="expression" dxfId="357" priority="502">
      <formula>AND(I139&lt;&gt;0,SUM(I140:I154)&lt;&gt;0)</formula>
    </cfRule>
  </conditionalFormatting>
  <conditionalFormatting sqref="I140">
    <cfRule type="expression" dxfId="356" priority="501">
      <formula>AND(I140&lt;&gt;0,SUM(I139,I141:I154)&lt;&gt;0)</formula>
    </cfRule>
  </conditionalFormatting>
  <conditionalFormatting sqref="I141">
    <cfRule type="expression" dxfId="355" priority="500">
      <formula>AND(I141&lt;&gt;0,SUM(I139:I140,I142:I154)&lt;&gt;0)</formula>
    </cfRule>
  </conditionalFormatting>
  <conditionalFormatting sqref="I142">
    <cfRule type="expression" dxfId="354" priority="499">
      <formula>AND(I142&lt;&gt;0,SUM(I139:I141,I143:I154)&lt;&gt;0)</formula>
    </cfRule>
  </conditionalFormatting>
  <conditionalFormatting sqref="I143">
    <cfRule type="expression" dxfId="353" priority="498">
      <formula>AND(I143&lt;&gt;0,SUM(I139:I142,I144:I154)&lt;&gt;0)</formula>
    </cfRule>
  </conditionalFormatting>
  <conditionalFormatting sqref="I144">
    <cfRule type="expression" dxfId="352" priority="497">
      <formula>AND(I144&lt;&gt;0,SUM(I139:I143,I145:I154)&lt;&gt;0)</formula>
    </cfRule>
  </conditionalFormatting>
  <conditionalFormatting sqref="I145">
    <cfRule type="expression" dxfId="351" priority="496">
      <formula>AND(I145&lt;&gt;0,SUM(I139:I144,I146:I154)&lt;&gt;0)</formula>
    </cfRule>
  </conditionalFormatting>
  <conditionalFormatting sqref="I146">
    <cfRule type="expression" dxfId="350" priority="495">
      <formula>AND(I146&lt;&gt;0,SUM(I139:I145,I147:I154)&lt;&gt;0)</formula>
    </cfRule>
  </conditionalFormatting>
  <conditionalFormatting sqref="I147">
    <cfRule type="expression" dxfId="349" priority="494">
      <formula>AND(I147&lt;&gt;0,SUM(I139:I146,I148:I154)&lt;&gt;0)</formula>
    </cfRule>
  </conditionalFormatting>
  <conditionalFormatting sqref="I148">
    <cfRule type="expression" dxfId="348" priority="493">
      <formula>AND(I148&lt;&gt;0,SUM(I139:I147,I149:I154)&lt;&gt;0)</formula>
    </cfRule>
  </conditionalFormatting>
  <conditionalFormatting sqref="I149">
    <cfRule type="expression" dxfId="347" priority="492">
      <formula>AND(I149&lt;&gt;0,SUM(I139:I148,I150:I154)&lt;&gt;0)</formula>
    </cfRule>
  </conditionalFormatting>
  <conditionalFormatting sqref="I150">
    <cfRule type="expression" dxfId="346" priority="491">
      <formula>AND(I150&lt;&gt;0,SUM(I139:I149,I151:I154)&lt;&gt;0)</formula>
    </cfRule>
  </conditionalFormatting>
  <conditionalFormatting sqref="I151">
    <cfRule type="expression" dxfId="345" priority="490">
      <formula>AND(I151&lt;&gt;0,SUM(I139:I150,I152:I154)&lt;&gt;0)</formula>
    </cfRule>
  </conditionalFormatting>
  <conditionalFormatting sqref="I152">
    <cfRule type="expression" dxfId="344" priority="489">
      <formula>AND(I152&lt;&gt;0,SUM(I139:I151,I153:I154)&lt;&gt;0)</formula>
    </cfRule>
  </conditionalFormatting>
  <conditionalFormatting sqref="I153">
    <cfRule type="expression" dxfId="343" priority="488">
      <formula>AND(I153&lt;&gt;0,SUM(I139:I152,I154)&lt;&gt;0)</formula>
    </cfRule>
  </conditionalFormatting>
  <conditionalFormatting sqref="I154">
    <cfRule type="expression" dxfId="342" priority="487">
      <formula>AND(I154&lt;&gt;0,SUM(I139:I153)&lt;&gt;0)</formula>
    </cfRule>
  </conditionalFormatting>
  <conditionalFormatting sqref="I155">
    <cfRule type="expression" dxfId="341" priority="518">
      <formula>AND(I155&lt;&gt;0,SUM(I156:I170)&lt;&gt;0)</formula>
    </cfRule>
  </conditionalFormatting>
  <conditionalFormatting sqref="I156">
    <cfRule type="expression" dxfId="340" priority="517">
      <formula>AND(I156&lt;&gt;0,SUM(I155,I157:I170)&lt;&gt;0)</formula>
    </cfRule>
  </conditionalFormatting>
  <conditionalFormatting sqref="I157">
    <cfRule type="expression" dxfId="339" priority="516">
      <formula>AND(I157&lt;&gt;0,SUM(I155:I156,I158:I170)&lt;&gt;0)</formula>
    </cfRule>
  </conditionalFormatting>
  <conditionalFormatting sqref="I158">
    <cfRule type="expression" dxfId="338" priority="515">
      <formula>AND(I158&lt;&gt;0,SUM(I155:I157,I159:I170)&lt;&gt;0)</formula>
    </cfRule>
  </conditionalFormatting>
  <conditionalFormatting sqref="I159">
    <cfRule type="expression" dxfId="337" priority="514">
      <formula>AND(I159&lt;&gt;0,SUM(I155:I158,I160:I170)&lt;&gt;0)</formula>
    </cfRule>
  </conditionalFormatting>
  <conditionalFormatting sqref="I160">
    <cfRule type="expression" dxfId="336" priority="513">
      <formula>AND(I160&lt;&gt;0,SUM(I155:I159,I161:I170)&lt;&gt;0)</formula>
    </cfRule>
  </conditionalFormatting>
  <conditionalFormatting sqref="I161">
    <cfRule type="expression" dxfId="335" priority="512">
      <formula>AND(I161&lt;&gt;0,SUM(I155:I160,I162:I170)&lt;&gt;0)</formula>
    </cfRule>
  </conditionalFormatting>
  <conditionalFormatting sqref="I162">
    <cfRule type="expression" dxfId="334" priority="511">
      <formula>AND(I162&lt;&gt;0,SUM(I155:I161,I163:I170)&lt;&gt;0)</formula>
    </cfRule>
  </conditionalFormatting>
  <conditionalFormatting sqref="I163">
    <cfRule type="expression" dxfId="333" priority="510">
      <formula>AND(I163&lt;&gt;0,SUM(I155:I162,I164:I170)&lt;&gt;0)</formula>
    </cfRule>
  </conditionalFormatting>
  <conditionalFormatting sqref="I164">
    <cfRule type="expression" dxfId="332" priority="509">
      <formula>AND(I164&lt;&gt;0,SUM(I155:I163,I165:I170)&lt;&gt;0)</formula>
    </cfRule>
  </conditionalFormatting>
  <conditionalFormatting sqref="I165">
    <cfRule type="expression" dxfId="331" priority="508">
      <formula>AND(I165&lt;&gt;0,SUM(I155:I164,I166:I170)&lt;&gt;0)</formula>
    </cfRule>
  </conditionalFormatting>
  <conditionalFormatting sqref="I165:I167">
    <cfRule type="expression" dxfId="330" priority="584" stopIfTrue="1">
      <formula>I165&gt;4</formula>
    </cfRule>
  </conditionalFormatting>
  <conditionalFormatting sqref="I166">
    <cfRule type="expression" dxfId="329" priority="507">
      <formula>AND(I166&lt;&gt;0,SUM(I155:I165,I167:I170)&lt;&gt;0)</formula>
    </cfRule>
  </conditionalFormatting>
  <conditionalFormatting sqref="I167">
    <cfRule type="expression" dxfId="328" priority="506">
      <formula>AND(I167&lt;&gt;0,SUM(I155:I166,I168:I170)&lt;&gt;0)</formula>
    </cfRule>
  </conditionalFormatting>
  <conditionalFormatting sqref="I168">
    <cfRule type="expression" dxfId="327" priority="505">
      <formula>AND(I168&lt;&gt;0,SUM(I155:I167,I169:I170)&lt;&gt;0)</formula>
    </cfRule>
  </conditionalFormatting>
  <conditionalFormatting sqref="I169">
    <cfRule type="expression" dxfId="326" priority="504">
      <formula>AND(I169&lt;&gt;0,SUM(I155:I168,I170)&lt;&gt;0)</formula>
    </cfRule>
  </conditionalFormatting>
  <conditionalFormatting sqref="I170">
    <cfRule type="expression" dxfId="325" priority="503">
      <formula>AND(I170&lt;&gt;0,SUM(I155:I169)&lt;&gt;0)</formula>
    </cfRule>
  </conditionalFormatting>
  <conditionalFormatting sqref="N139">
    <cfRule type="expression" dxfId="324" priority="534">
      <formula>AND(N139&lt;&gt;0,SUM(N140:N154)&lt;&gt;0)</formula>
    </cfRule>
  </conditionalFormatting>
  <conditionalFormatting sqref="N140">
    <cfRule type="expression" dxfId="323" priority="533">
      <formula>AND(N140&lt;&gt;0,SUM(N139,N141:N154)&lt;&gt;0)</formula>
    </cfRule>
  </conditionalFormatting>
  <conditionalFormatting sqref="N141">
    <cfRule type="expression" dxfId="322" priority="532">
      <formula>AND(N141&lt;&gt;0,SUM(N139:N140,N142:N154)&lt;&gt;0)</formula>
    </cfRule>
  </conditionalFormatting>
  <conditionalFormatting sqref="N142">
    <cfRule type="expression" dxfId="321" priority="531">
      <formula>AND(N142&lt;&gt;0,SUM(N139:N141,N143:N154)&lt;&gt;0)</formula>
    </cfRule>
  </conditionalFormatting>
  <conditionalFormatting sqref="N143">
    <cfRule type="expression" dxfId="320" priority="530">
      <formula>AND(N143&lt;&gt;0,SUM(N139:N142,N144:N154)&lt;&gt;0)</formula>
    </cfRule>
  </conditionalFormatting>
  <conditionalFormatting sqref="N144">
    <cfRule type="expression" dxfId="319" priority="529">
      <formula>AND(N144&lt;&gt;0,SUM(N139:N143,N145:N154)&lt;&gt;0)</formula>
    </cfRule>
  </conditionalFormatting>
  <conditionalFormatting sqref="N145">
    <cfRule type="expression" dxfId="318" priority="528">
      <formula>AND(N145&lt;&gt;0,SUM(N139:N144,N146:N154)&lt;&gt;0)</formula>
    </cfRule>
  </conditionalFormatting>
  <conditionalFormatting sqref="N146">
    <cfRule type="expression" dxfId="317" priority="527">
      <formula>AND(N146&lt;&gt;0,SUM(N139:N145,N147:N154)&lt;&gt;0)</formula>
    </cfRule>
  </conditionalFormatting>
  <conditionalFormatting sqref="N147">
    <cfRule type="expression" dxfId="316" priority="526">
      <formula>AND(N147&lt;&gt;0,SUM(N139:N146,N148:N154)&lt;&gt;0)</formula>
    </cfRule>
  </conditionalFormatting>
  <conditionalFormatting sqref="N148">
    <cfRule type="expression" dxfId="315" priority="525">
      <formula>AND(N148&lt;&gt;0,SUM(N139:N147,N149:N154)&lt;&gt;0)</formula>
    </cfRule>
  </conditionalFormatting>
  <conditionalFormatting sqref="N149">
    <cfRule type="expression" dxfId="314" priority="524">
      <formula>AND(N149&lt;&gt;0,SUM(N139:N148,N150:N154)&lt;&gt;0)</formula>
    </cfRule>
  </conditionalFormatting>
  <conditionalFormatting sqref="N150">
    <cfRule type="expression" dxfId="313" priority="523">
      <formula>AND(N150&lt;&gt;0,SUM(N139:N149,N151:N154)&lt;&gt;0)</formula>
    </cfRule>
  </conditionalFormatting>
  <conditionalFormatting sqref="N151">
    <cfRule type="expression" dxfId="312" priority="522">
      <formula>AND(N151&lt;&gt;0,SUM(N139:N150,N152:N154)&lt;&gt;0)</formula>
    </cfRule>
  </conditionalFormatting>
  <conditionalFormatting sqref="N152">
    <cfRule type="expression" dxfId="311" priority="521">
      <formula>AND(N152&lt;&gt;0,SUM(N139:N151,N153:N154)&lt;&gt;0)</formula>
    </cfRule>
  </conditionalFormatting>
  <conditionalFormatting sqref="N153">
    <cfRule type="expression" dxfId="310" priority="520">
      <formula>AND(N153&lt;&gt;0,SUM(N139:N152,N154)&lt;&gt;0)</formula>
    </cfRule>
  </conditionalFormatting>
  <conditionalFormatting sqref="N154">
    <cfRule type="expression" dxfId="309" priority="519">
      <formula>AND(N154&lt;&gt;0,SUM(N139:N153)&lt;&gt;0)</formula>
    </cfRule>
  </conditionalFormatting>
  <conditionalFormatting sqref="N155">
    <cfRule type="expression" dxfId="308" priority="550">
      <formula>AND(N155&lt;&gt;0,SUM(N156:N170)&lt;&gt;0)</formula>
    </cfRule>
  </conditionalFormatting>
  <conditionalFormatting sqref="N156">
    <cfRule type="expression" dxfId="307" priority="549">
      <formula>AND(N156&lt;&gt;0,SUM(N155,N157:N170)&lt;&gt;0)</formula>
    </cfRule>
  </conditionalFormatting>
  <conditionalFormatting sqref="N157">
    <cfRule type="expression" dxfId="306" priority="548">
      <formula>AND(N157&lt;&gt;0,SUM(N155:N156,N158:N170)&lt;&gt;0)</formula>
    </cfRule>
  </conditionalFormatting>
  <conditionalFormatting sqref="N158">
    <cfRule type="expression" dxfId="305" priority="547">
      <formula>AND(N158&lt;&gt;0,SUM(N155:N157,N159:N170)&lt;&gt;0)</formula>
    </cfRule>
  </conditionalFormatting>
  <conditionalFormatting sqref="N159">
    <cfRule type="expression" dxfId="304" priority="546">
      <formula>AND(N159&lt;&gt;0,SUM(N155:N158,N160:N170)&lt;&gt;0)</formula>
    </cfRule>
  </conditionalFormatting>
  <conditionalFormatting sqref="N160">
    <cfRule type="expression" dxfId="303" priority="545">
      <formula>AND(N160&lt;&gt;0,SUM(N155:N159,N161:N170)&lt;&gt;0)</formula>
    </cfRule>
  </conditionalFormatting>
  <conditionalFormatting sqref="N161">
    <cfRule type="expression" dxfId="302" priority="544">
      <formula>AND(N161&lt;&gt;0,SUM(N155:N160,N162:N170)&lt;&gt;0)</formula>
    </cfRule>
  </conditionalFormatting>
  <conditionalFormatting sqref="N162">
    <cfRule type="expression" dxfId="301" priority="543">
      <formula>AND(N162&lt;&gt;0,SUM(N155:N161,N163:N170)&lt;&gt;0)</formula>
    </cfRule>
  </conditionalFormatting>
  <conditionalFormatting sqref="N163">
    <cfRule type="expression" dxfId="300" priority="542">
      <formula>AND(N163&lt;&gt;0,SUM(N155:N162,N164:N170)&lt;&gt;0)</formula>
    </cfRule>
  </conditionalFormatting>
  <conditionalFormatting sqref="N164">
    <cfRule type="expression" dxfId="299" priority="541">
      <formula>AND(N164&lt;&gt;0,SUM(N155:N163,N165:N170)&lt;&gt;0)</formula>
    </cfRule>
  </conditionalFormatting>
  <conditionalFormatting sqref="N165">
    <cfRule type="expression" dxfId="298" priority="540">
      <formula>AND(N165&lt;&gt;0,SUM(N155:N164,N166:N170)&lt;&gt;0)</formula>
    </cfRule>
  </conditionalFormatting>
  <conditionalFormatting sqref="N166">
    <cfRule type="expression" dxfId="297" priority="539">
      <formula>AND(N166&lt;&gt;0,SUM(N155:N165,N167:N170)&lt;&gt;0)</formula>
    </cfRule>
  </conditionalFormatting>
  <conditionalFormatting sqref="N167">
    <cfRule type="expression" dxfId="296" priority="538">
      <formula>AND(N167&lt;&gt;0,SUM(N155:N166,N168:N170)&lt;&gt;0)</formula>
    </cfRule>
  </conditionalFormatting>
  <conditionalFormatting sqref="N168">
    <cfRule type="expression" dxfId="295" priority="537">
      <formula>AND(N168&lt;&gt;0,SUM(N155:N167,N169:N170)&lt;&gt;0)</formula>
    </cfRule>
  </conditionalFormatting>
  <conditionalFormatting sqref="N169">
    <cfRule type="expression" dxfId="294" priority="536">
      <formula>AND(N169&lt;&gt;0,SUM(N155:N168,N170)&lt;&gt;0)</formula>
    </cfRule>
  </conditionalFormatting>
  <conditionalFormatting sqref="N170">
    <cfRule type="expression" dxfId="293" priority="535">
      <formula>AND(N170&lt;&gt;0,SUM(N155:N169)&lt;&gt;0)</formula>
    </cfRule>
  </conditionalFormatting>
  <conditionalFormatting sqref="S139">
    <cfRule type="expression" dxfId="292" priority="566">
      <formula>AND(S139&lt;&gt;0,SUM(S140:S154)&lt;&gt;0)</formula>
    </cfRule>
  </conditionalFormatting>
  <conditionalFormatting sqref="S140">
    <cfRule type="expression" dxfId="291" priority="565">
      <formula>AND(S140&lt;&gt;0,SUM(S139,S141:S154)&lt;&gt;0)</formula>
    </cfRule>
  </conditionalFormatting>
  <conditionalFormatting sqref="S141">
    <cfRule type="expression" dxfId="290" priority="564">
      <formula>AND(S141&lt;&gt;0,SUM(S139:S140,S142:S154)&lt;&gt;0)</formula>
    </cfRule>
  </conditionalFormatting>
  <conditionalFormatting sqref="S142">
    <cfRule type="expression" dxfId="289" priority="563">
      <formula>AND(S142&lt;&gt;0,SUM(S139:S141,S143:S154)&lt;&gt;0)</formula>
    </cfRule>
  </conditionalFormatting>
  <conditionalFormatting sqref="S143">
    <cfRule type="expression" dxfId="288" priority="562">
      <formula>AND(S143&lt;&gt;0,SUM(S139:S142,S144:S154)&lt;&gt;0)</formula>
    </cfRule>
  </conditionalFormatting>
  <conditionalFormatting sqref="S144">
    <cfRule type="expression" dxfId="287" priority="561">
      <formula>AND(S144&lt;&gt;0,SUM(S139:S143,S145:S154)&lt;&gt;0)</formula>
    </cfRule>
  </conditionalFormatting>
  <conditionalFormatting sqref="S145">
    <cfRule type="expression" dxfId="286" priority="560">
      <formula>AND(S145&lt;&gt;0,SUM(S139:S144,S146:S154)&lt;&gt;0)</formula>
    </cfRule>
  </conditionalFormatting>
  <conditionalFormatting sqref="S146">
    <cfRule type="expression" dxfId="285" priority="559">
      <formula>AND(S146&lt;&gt;0,SUM(S139:S145,S147:S154)&lt;&gt;0)</formula>
    </cfRule>
  </conditionalFormatting>
  <conditionalFormatting sqref="S147">
    <cfRule type="expression" dxfId="284" priority="558">
      <formula>AND(S147&lt;&gt;0,SUM(S139:S146,S148:S154)&lt;&gt;0)</formula>
    </cfRule>
  </conditionalFormatting>
  <conditionalFormatting sqref="S148">
    <cfRule type="expression" dxfId="283" priority="557">
      <formula>AND(S148&lt;&gt;0,SUM(S139:S147,S149:S154)&lt;&gt;0)</formula>
    </cfRule>
  </conditionalFormatting>
  <conditionalFormatting sqref="S149">
    <cfRule type="expression" dxfId="282" priority="556">
      <formula>AND(S149&lt;&gt;0,SUM(S139:S148,S150:S154)&lt;&gt;0)</formula>
    </cfRule>
  </conditionalFormatting>
  <conditionalFormatting sqref="S150">
    <cfRule type="expression" dxfId="281" priority="555">
      <formula>AND(S150&lt;&gt;0,SUM(S139:S149,S151:S154)&lt;&gt;0)</formula>
    </cfRule>
  </conditionalFormatting>
  <conditionalFormatting sqref="S151">
    <cfRule type="expression" dxfId="280" priority="554">
      <formula>AND(S151&lt;&gt;0,SUM(S139:S150,S152:S154)&lt;&gt;0)</formula>
    </cfRule>
  </conditionalFormatting>
  <conditionalFormatting sqref="S152">
    <cfRule type="expression" dxfId="279" priority="553">
      <formula>AND(S152&lt;&gt;0,SUM(S139:S151,S153:S154)&lt;&gt;0)</formula>
    </cfRule>
  </conditionalFormatting>
  <conditionalFormatting sqref="S153">
    <cfRule type="expression" dxfId="278" priority="552">
      <formula>AND(S153&lt;&gt;0,SUM(S139:S152,S154)&lt;&gt;0)</formula>
    </cfRule>
  </conditionalFormatting>
  <conditionalFormatting sqref="S154">
    <cfRule type="expression" dxfId="277" priority="551">
      <formula>AND(S154&lt;&gt;0,SUM(S139:S153)&lt;&gt;0)</formula>
    </cfRule>
  </conditionalFormatting>
  <conditionalFormatting sqref="S155">
    <cfRule type="expression" dxfId="276" priority="582">
      <formula>AND(S155&lt;&gt;0,SUM(S156:S170)&lt;&gt;0)</formula>
    </cfRule>
  </conditionalFormatting>
  <conditionalFormatting sqref="S156">
    <cfRule type="expression" dxfId="275" priority="581">
      <formula>AND(S156&lt;&gt;0,SUM(S155,S157:S170)&lt;&gt;0)</formula>
    </cfRule>
  </conditionalFormatting>
  <conditionalFormatting sqref="S157">
    <cfRule type="expression" dxfId="274" priority="580">
      <formula>AND(S157&lt;&gt;0,SUM(S155:S156,S158:S170)&lt;&gt;0)</formula>
    </cfRule>
  </conditionalFormatting>
  <conditionalFormatting sqref="S158">
    <cfRule type="expression" dxfId="273" priority="579">
      <formula>AND(S158&lt;&gt;0,SUM(S155:S157,S159:S170)&lt;&gt;0)</formula>
    </cfRule>
  </conditionalFormatting>
  <conditionalFormatting sqref="S159">
    <cfRule type="expression" dxfId="272" priority="578">
      <formula>AND(S159&lt;&gt;0,SUM(S155:S158,S160:S170)&lt;&gt;0)</formula>
    </cfRule>
  </conditionalFormatting>
  <conditionalFormatting sqref="S160">
    <cfRule type="expression" dxfId="271" priority="577">
      <formula>AND(S160&lt;&gt;0,SUM(S155:S159,S161:S170)&lt;&gt;0)</formula>
    </cfRule>
  </conditionalFormatting>
  <conditionalFormatting sqref="S161">
    <cfRule type="expression" dxfId="270" priority="576">
      <formula>AND(S161&lt;&gt;0,SUM(S155:S160,S162:S170)&lt;&gt;0)</formula>
    </cfRule>
  </conditionalFormatting>
  <conditionalFormatting sqref="S162">
    <cfRule type="expression" dxfId="269" priority="575">
      <formula>AND(S162&lt;&gt;0,SUM(S155:S161,S163:S170)&lt;&gt;0)</formula>
    </cfRule>
  </conditionalFormatting>
  <conditionalFormatting sqref="S163">
    <cfRule type="expression" dxfId="268" priority="574">
      <formula>AND(S163&lt;&gt;0,SUM(S155:S162,S164:S170)&lt;&gt;0)</formula>
    </cfRule>
  </conditionalFormatting>
  <conditionalFormatting sqref="S164">
    <cfRule type="expression" dxfId="267" priority="573">
      <formula>AND(S164&lt;&gt;0,SUM(S155:S163,S165:S170)&lt;&gt;0)</formula>
    </cfRule>
  </conditionalFormatting>
  <conditionalFormatting sqref="S165">
    <cfRule type="expression" dxfId="266" priority="572">
      <formula>AND(S165&lt;&gt;0,SUM(S155:S164,S166:S170)&lt;&gt;0)</formula>
    </cfRule>
  </conditionalFormatting>
  <conditionalFormatting sqref="S166">
    <cfRule type="expression" dxfId="265" priority="571">
      <formula>AND(S166&lt;&gt;0,SUM(S155:S165,S167:S170)&lt;&gt;0)</formula>
    </cfRule>
  </conditionalFormatting>
  <conditionalFormatting sqref="S167">
    <cfRule type="expression" dxfId="264" priority="570">
      <formula>AND(S167&lt;&gt;0,SUM(S155:S166,S168:S170)&lt;&gt;0)</formula>
    </cfRule>
  </conditionalFormatting>
  <conditionalFormatting sqref="S168">
    <cfRule type="expression" dxfId="263" priority="569">
      <formula>AND(S168&lt;&gt;0,SUM(S155:S167,S169:S170)&lt;&gt;0)</formula>
    </cfRule>
  </conditionalFormatting>
  <conditionalFormatting sqref="S169">
    <cfRule type="expression" dxfId="262" priority="568">
      <formula>AND(S169&lt;&gt;0,SUM(S155:S168,S170)&lt;&gt;0)</formula>
    </cfRule>
  </conditionalFormatting>
  <conditionalFormatting sqref="S170">
    <cfRule type="expression" dxfId="261" priority="567">
      <formula>AND(S170&lt;&gt;0,SUM(S155:S169)&lt;&gt;0)</formula>
    </cfRule>
  </conditionalFormatting>
  <conditionalFormatting sqref="X139">
    <cfRule type="expression" dxfId="260" priority="438">
      <formula>AND(X139&lt;&gt;0,SUM(X140:X154)&lt;&gt;0)</formula>
    </cfRule>
  </conditionalFormatting>
  <conditionalFormatting sqref="X140">
    <cfRule type="expression" dxfId="259" priority="437">
      <formula>AND(X140&lt;&gt;0,SUM(X139,X141:X154)&lt;&gt;0)</formula>
    </cfRule>
  </conditionalFormatting>
  <conditionalFormatting sqref="X141">
    <cfRule type="expression" dxfId="258" priority="436">
      <formula>AND(X141&lt;&gt;0,SUM(X139:X140,X142:X154)&lt;&gt;0)</formula>
    </cfRule>
  </conditionalFormatting>
  <conditionalFormatting sqref="X142">
    <cfRule type="expression" dxfId="257" priority="435">
      <formula>AND(X142&lt;&gt;0,SUM(X139:X141,X143:X154)&lt;&gt;0)</formula>
    </cfRule>
  </conditionalFormatting>
  <conditionalFormatting sqref="X143">
    <cfRule type="expression" dxfId="256" priority="434">
      <formula>AND(X143&lt;&gt;0,SUM(X139:X142,X144:X154)&lt;&gt;0)</formula>
    </cfRule>
  </conditionalFormatting>
  <conditionalFormatting sqref="X144">
    <cfRule type="expression" dxfId="255" priority="433">
      <formula>AND(X144&lt;&gt;0,SUM(X139:X143,X145:X154)&lt;&gt;0)</formula>
    </cfRule>
  </conditionalFormatting>
  <conditionalFormatting sqref="X145">
    <cfRule type="expression" dxfId="254" priority="432">
      <formula>AND(X145&lt;&gt;0,SUM(X139:X144,X146:X154)&lt;&gt;0)</formula>
    </cfRule>
  </conditionalFormatting>
  <conditionalFormatting sqref="X146">
    <cfRule type="expression" dxfId="253" priority="431">
      <formula>AND(X146&lt;&gt;0,SUM(X139:X145,X147:X154)&lt;&gt;0)</formula>
    </cfRule>
  </conditionalFormatting>
  <conditionalFormatting sqref="X147">
    <cfRule type="expression" dxfId="252" priority="430">
      <formula>AND(X147&lt;&gt;0,SUM(X139:X146,X148:X154)&lt;&gt;0)</formula>
    </cfRule>
  </conditionalFormatting>
  <conditionalFormatting sqref="X148">
    <cfRule type="expression" dxfId="251" priority="429">
      <formula>AND(X148&lt;&gt;0,SUM(X139:X147,X149:X154)&lt;&gt;0)</formula>
    </cfRule>
  </conditionalFormatting>
  <conditionalFormatting sqref="X149">
    <cfRule type="expression" dxfId="250" priority="428">
      <formula>AND(X149&lt;&gt;0,SUM(X139:X148,X150:X154)&lt;&gt;0)</formula>
    </cfRule>
  </conditionalFormatting>
  <conditionalFormatting sqref="X150">
    <cfRule type="expression" dxfId="249" priority="427">
      <formula>AND(X150&lt;&gt;0,SUM(X139:X149,X151:X154)&lt;&gt;0)</formula>
    </cfRule>
  </conditionalFormatting>
  <conditionalFormatting sqref="X151">
    <cfRule type="expression" dxfId="248" priority="426">
      <formula>AND(X151&lt;&gt;0,SUM(X139:X150,X152:X154)&lt;&gt;0)</formula>
    </cfRule>
  </conditionalFormatting>
  <conditionalFormatting sqref="X152">
    <cfRule type="expression" dxfId="247" priority="425">
      <formula>AND(X152&lt;&gt;0,SUM(X139:X151,X153:X154)&lt;&gt;0)</formula>
    </cfRule>
  </conditionalFormatting>
  <conditionalFormatting sqref="X153">
    <cfRule type="expression" dxfId="246" priority="424">
      <formula>AND(X153&lt;&gt;0,SUM(X139:X152,X154)&lt;&gt;0)</formula>
    </cfRule>
  </conditionalFormatting>
  <conditionalFormatting sqref="X154">
    <cfRule type="expression" dxfId="245" priority="423">
      <formula>AND(X154&lt;&gt;0,SUM(X139:X153)&lt;&gt;0)</formula>
    </cfRule>
  </conditionalFormatting>
  <conditionalFormatting sqref="X155">
    <cfRule type="expression" dxfId="244" priority="454">
      <formula>AND(X155&lt;&gt;0,SUM(X156:X170)&lt;&gt;0)</formula>
    </cfRule>
  </conditionalFormatting>
  <conditionalFormatting sqref="X156">
    <cfRule type="expression" dxfId="243" priority="453">
      <formula>AND(X156&lt;&gt;0,SUM(X155,X157:X170)&lt;&gt;0)</formula>
    </cfRule>
  </conditionalFormatting>
  <conditionalFormatting sqref="X157">
    <cfRule type="expression" dxfId="242" priority="452">
      <formula>AND(X157&lt;&gt;0,SUM(X155:X156,X158:X170)&lt;&gt;0)</formula>
    </cfRule>
  </conditionalFormatting>
  <conditionalFormatting sqref="X158">
    <cfRule type="expression" dxfId="241" priority="451">
      <formula>AND(X158&lt;&gt;0,SUM(X155:X157,X159:X170)&lt;&gt;0)</formula>
    </cfRule>
  </conditionalFormatting>
  <conditionalFormatting sqref="X159">
    <cfRule type="expression" dxfId="240" priority="450">
      <formula>AND(X159&lt;&gt;0,SUM(X155:X158,X160:X170)&lt;&gt;0)</formula>
    </cfRule>
  </conditionalFormatting>
  <conditionalFormatting sqref="X160">
    <cfRule type="expression" dxfId="239" priority="449">
      <formula>AND(X160&lt;&gt;0,SUM(X155:X159,X161:X170)&lt;&gt;0)</formula>
    </cfRule>
  </conditionalFormatting>
  <conditionalFormatting sqref="X161">
    <cfRule type="expression" dxfId="238" priority="448">
      <formula>AND(X161&lt;&gt;0,SUM(X155:X160,X162:X170)&lt;&gt;0)</formula>
    </cfRule>
  </conditionalFormatting>
  <conditionalFormatting sqref="X162">
    <cfRule type="expression" dxfId="237" priority="447">
      <formula>AND(X162&lt;&gt;0,SUM(X155:X161,X163:X170)&lt;&gt;0)</formula>
    </cfRule>
  </conditionalFormatting>
  <conditionalFormatting sqref="X163">
    <cfRule type="expression" dxfId="236" priority="446">
      <formula>AND(X163&lt;&gt;0,SUM(X155:X162,X164:X170)&lt;&gt;0)</formula>
    </cfRule>
  </conditionalFormatting>
  <conditionalFormatting sqref="X164">
    <cfRule type="expression" dxfId="235" priority="445">
      <formula>AND(X164&lt;&gt;0,SUM(X155:X163,X165:X170)&lt;&gt;0)</formula>
    </cfRule>
  </conditionalFormatting>
  <conditionalFormatting sqref="X165">
    <cfRule type="expression" dxfId="234" priority="444">
      <formula>AND(X165&lt;&gt;0,SUM(X155:X164,X166:X170)&lt;&gt;0)</formula>
    </cfRule>
  </conditionalFormatting>
  <conditionalFormatting sqref="X166">
    <cfRule type="expression" dxfId="233" priority="443">
      <formula>AND(X166&lt;&gt;0,SUM(X155:X165,X167:X170)&lt;&gt;0)</formula>
    </cfRule>
  </conditionalFormatting>
  <conditionalFormatting sqref="X167">
    <cfRule type="expression" dxfId="232" priority="442">
      <formula>AND(X167&lt;&gt;0,SUM(X155:X166,X168:X170)&lt;&gt;0)</formula>
    </cfRule>
  </conditionalFormatting>
  <conditionalFormatting sqref="X168">
    <cfRule type="expression" dxfId="231" priority="441">
      <formula>AND(X168&lt;&gt;0,SUM(X155:X167,X169:X170)&lt;&gt;0)</formula>
    </cfRule>
  </conditionalFormatting>
  <conditionalFormatting sqref="X169">
    <cfRule type="expression" dxfId="230" priority="440">
      <formula>AND(X169&lt;&gt;0,SUM(X155:X168,X170)&lt;&gt;0)</formula>
    </cfRule>
  </conditionalFormatting>
  <conditionalFormatting sqref="X170">
    <cfRule type="expression" dxfId="229" priority="439">
      <formula>AND(X170&lt;&gt;0,SUM(X155:X169)&lt;&gt;0)</formula>
    </cfRule>
  </conditionalFormatting>
  <conditionalFormatting sqref="AC139">
    <cfRule type="expression" dxfId="228" priority="181">
      <formula>AND(AC139&lt;&gt;0,SUM(AC140:AC154)&lt;&gt;0)</formula>
    </cfRule>
  </conditionalFormatting>
  <conditionalFormatting sqref="AC139:AC170">
    <cfRule type="expression" dxfId="227" priority="198" stopIfTrue="1">
      <formula>AC139&lt;&gt;0</formula>
    </cfRule>
  </conditionalFormatting>
  <conditionalFormatting sqref="AC140">
    <cfRule type="expression" dxfId="226" priority="180">
      <formula>AND(AC140&lt;&gt;0,SUM(AC139,AC141:AC154)&lt;&gt;0)</formula>
    </cfRule>
  </conditionalFormatting>
  <conditionalFormatting sqref="AC141">
    <cfRule type="expression" dxfId="225" priority="179">
      <formula>AND(AC141&lt;&gt;0,SUM(AC139:AC140,AC142:AC154)&lt;&gt;0)</formula>
    </cfRule>
  </conditionalFormatting>
  <conditionalFormatting sqref="AC142">
    <cfRule type="expression" dxfId="224" priority="178">
      <formula>AND(AC142&lt;&gt;0,SUM(AC139:AC141,AC143:AC154)&lt;&gt;0)</formula>
    </cfRule>
  </conditionalFormatting>
  <conditionalFormatting sqref="AC143">
    <cfRule type="expression" dxfId="223" priority="177">
      <formula>AND(AC143&lt;&gt;0,SUM(AC139:AC142,AC144:AC154)&lt;&gt;0)</formula>
    </cfRule>
  </conditionalFormatting>
  <conditionalFormatting sqref="AC144">
    <cfRule type="expression" dxfId="222" priority="176">
      <formula>AND(AC144&lt;&gt;0,SUM(AC139:AC143,AC145:AC154)&lt;&gt;0)</formula>
    </cfRule>
  </conditionalFormatting>
  <conditionalFormatting sqref="AC145">
    <cfRule type="expression" dxfId="221" priority="175">
      <formula>AND(AC145&lt;&gt;0,SUM(AC139:AC144,AC146:AC154)&lt;&gt;0)</formula>
    </cfRule>
  </conditionalFormatting>
  <conditionalFormatting sqref="AC146">
    <cfRule type="expression" dxfId="220" priority="174">
      <formula>AND(AC146&lt;&gt;0,SUM(AC139:AC145,AC147:AC154)&lt;&gt;0)</formula>
    </cfRule>
  </conditionalFormatting>
  <conditionalFormatting sqref="AC147">
    <cfRule type="expression" dxfId="219" priority="173">
      <formula>AND(AC147&lt;&gt;0,SUM(AC139:AC146,AC148:AC154)&lt;&gt;0)</formula>
    </cfRule>
  </conditionalFormatting>
  <conditionalFormatting sqref="AC148">
    <cfRule type="expression" dxfId="218" priority="172">
      <formula>AND(AC148&lt;&gt;0,SUM(AC139:AC147,AC149:AC154)&lt;&gt;0)</formula>
    </cfRule>
  </conditionalFormatting>
  <conditionalFormatting sqref="AC149">
    <cfRule type="expression" dxfId="217" priority="171">
      <formula>AND(AC149&lt;&gt;0,SUM(AC139:AC148,AC150:AC154)&lt;&gt;0)</formula>
    </cfRule>
  </conditionalFormatting>
  <conditionalFormatting sqref="AC150">
    <cfRule type="expression" dxfId="216" priority="170">
      <formula>AND(AC150&lt;&gt;0,SUM(AC139:AC149,AC151:AC154)&lt;&gt;0)</formula>
    </cfRule>
  </conditionalFormatting>
  <conditionalFormatting sqref="AC151">
    <cfRule type="expression" dxfId="215" priority="169">
      <formula>AND(AC151&lt;&gt;0,SUM(AC139:AC150,AC152:AC154)&lt;&gt;0)</formula>
    </cfRule>
  </conditionalFormatting>
  <conditionalFormatting sqref="AC152">
    <cfRule type="expression" dxfId="214" priority="168">
      <formula>AND(AC152&lt;&gt;0,SUM(AC139:AC151,AC153:AC154)&lt;&gt;0)</formula>
    </cfRule>
  </conditionalFormatting>
  <conditionalFormatting sqref="AC153">
    <cfRule type="expression" dxfId="213" priority="167">
      <formula>AND(AC153&lt;&gt;0,SUM(AC139:AC152,AC154)&lt;&gt;0)</formula>
    </cfRule>
  </conditionalFormatting>
  <conditionalFormatting sqref="AC154">
    <cfRule type="expression" dxfId="212" priority="166">
      <formula>AND(AC154&lt;&gt;0,SUM(AC139:AC153)&lt;&gt;0)</formula>
    </cfRule>
  </conditionalFormatting>
  <conditionalFormatting sqref="AC155">
    <cfRule type="expression" dxfId="211" priority="197">
      <formula>AND(AC155&lt;&gt;0,SUM(AC156:AC170)&lt;&gt;0)</formula>
    </cfRule>
  </conditionalFormatting>
  <conditionalFormatting sqref="AC156">
    <cfRule type="expression" dxfId="210" priority="196">
      <formula>AND(AC156&lt;&gt;0,SUM(AC155,AC157:AC170)&lt;&gt;0)</formula>
    </cfRule>
  </conditionalFormatting>
  <conditionalFormatting sqref="AC157">
    <cfRule type="expression" dxfId="209" priority="195">
      <formula>AND(AC157&lt;&gt;0,SUM(AC155:AC156,AC158:AC170)&lt;&gt;0)</formula>
    </cfRule>
  </conditionalFormatting>
  <conditionalFormatting sqref="AC158">
    <cfRule type="expression" dxfId="208" priority="194">
      <formula>AND(AC158&lt;&gt;0,SUM(AC155:AC157,AC159:AC170)&lt;&gt;0)</formula>
    </cfRule>
  </conditionalFormatting>
  <conditionalFormatting sqref="AC159">
    <cfRule type="expression" dxfId="207" priority="193">
      <formula>AND(AC159&lt;&gt;0,SUM(AC155:AC158,AC160:AC170)&lt;&gt;0)</formula>
    </cfRule>
  </conditionalFormatting>
  <conditionalFormatting sqref="AC160">
    <cfRule type="expression" dxfId="206" priority="192">
      <formula>AND(AC160&lt;&gt;0,SUM(AC155:AC159,AC161:AC170)&lt;&gt;0)</formula>
    </cfRule>
  </conditionalFormatting>
  <conditionalFormatting sqref="AC161">
    <cfRule type="expression" dxfId="205" priority="191">
      <formula>AND(AC161&lt;&gt;0,SUM(AC155:AC160,AC162:AC170)&lt;&gt;0)</formula>
    </cfRule>
  </conditionalFormatting>
  <conditionalFormatting sqref="AC162">
    <cfRule type="expression" dxfId="204" priority="190">
      <formula>AND(AC162&lt;&gt;0,SUM(AC155:AC161,AC163:AC170)&lt;&gt;0)</formula>
    </cfRule>
  </conditionalFormatting>
  <conditionalFormatting sqref="AC163">
    <cfRule type="expression" dxfId="203" priority="189">
      <formula>AND(AC163&lt;&gt;0,SUM(AC155:AC162,AC164:AC170)&lt;&gt;0)</formula>
    </cfRule>
  </conditionalFormatting>
  <conditionalFormatting sqref="AC164">
    <cfRule type="expression" dxfId="202" priority="188">
      <formula>AND(AC164&lt;&gt;0,SUM(AC155:AC163,AC165:AC170)&lt;&gt;0)</formula>
    </cfRule>
  </conditionalFormatting>
  <conditionalFormatting sqref="AC165">
    <cfRule type="expression" dxfId="201" priority="187">
      <formula>AND(AC165&lt;&gt;0,SUM(AC155:AC164,AC166:AC170)&lt;&gt;0)</formula>
    </cfRule>
  </conditionalFormatting>
  <conditionalFormatting sqref="AC166">
    <cfRule type="expression" dxfId="200" priority="186">
      <formula>AND(AC166&lt;&gt;0,SUM(AC155:AC165,AC167:AC170)&lt;&gt;0)</formula>
    </cfRule>
  </conditionalFormatting>
  <conditionalFormatting sqref="AC167">
    <cfRule type="expression" dxfId="199" priority="185">
      <formula>AND(AC167&lt;&gt;0,SUM(AC155:AC166,AC168:AC170)&lt;&gt;0)</formula>
    </cfRule>
  </conditionalFormatting>
  <conditionalFormatting sqref="AC168">
    <cfRule type="expression" dxfId="198" priority="184">
      <formula>AND(AC168&lt;&gt;0,SUM(AC155:AC167,AC169:AC170)&lt;&gt;0)</formula>
    </cfRule>
  </conditionalFormatting>
  <conditionalFormatting sqref="AC169">
    <cfRule type="expression" dxfId="197" priority="183">
      <formula>AND(AC169&lt;&gt;0,SUM(AC155:AC168,AC170)&lt;&gt;0)</formula>
    </cfRule>
  </conditionalFormatting>
  <conditionalFormatting sqref="AC170">
    <cfRule type="expression" dxfId="196" priority="182">
      <formula>AND(AC170&lt;&gt;0,SUM(AC155:AC169)&lt;&gt;0)</formula>
    </cfRule>
  </conditionalFormatting>
  <conditionalFormatting sqref="AH139">
    <cfRule type="expression" dxfId="195" priority="148">
      <formula>AND(AH139&lt;&gt;0,SUM(AH140:AH154)&lt;&gt;0)</formula>
    </cfRule>
  </conditionalFormatting>
  <conditionalFormatting sqref="AH139:AH170">
    <cfRule type="expression" dxfId="194" priority="165" stopIfTrue="1">
      <formula>AH139&lt;&gt;0</formula>
    </cfRule>
  </conditionalFormatting>
  <conditionalFormatting sqref="AH140">
    <cfRule type="expression" dxfId="193" priority="147">
      <formula>AND(AH140&lt;&gt;0,SUM(AH139,AH141:AH154)&lt;&gt;0)</formula>
    </cfRule>
  </conditionalFormatting>
  <conditionalFormatting sqref="AH141">
    <cfRule type="expression" dxfId="192" priority="146">
      <formula>AND(AH141&lt;&gt;0,SUM(AH139:AH140,AH142:AH154)&lt;&gt;0)</formula>
    </cfRule>
  </conditionalFormatting>
  <conditionalFormatting sqref="AH142">
    <cfRule type="expression" dxfId="191" priority="145">
      <formula>AND(AH142&lt;&gt;0,SUM(AH139:AH141,AH143:AH154)&lt;&gt;0)</formula>
    </cfRule>
  </conditionalFormatting>
  <conditionalFormatting sqref="AH143">
    <cfRule type="expression" dxfId="190" priority="144">
      <formula>AND(AH143&lt;&gt;0,SUM(AH139:AH142,AH144:AH154)&lt;&gt;0)</formula>
    </cfRule>
  </conditionalFormatting>
  <conditionalFormatting sqref="AH144">
    <cfRule type="expression" dxfId="189" priority="143">
      <formula>AND(AH144&lt;&gt;0,SUM(AH139:AH143,AH145:AH154)&lt;&gt;0)</formula>
    </cfRule>
  </conditionalFormatting>
  <conditionalFormatting sqref="AH145">
    <cfRule type="expression" dxfId="188" priority="142">
      <formula>AND(AH145&lt;&gt;0,SUM(AH139:AH144,AH146:AH154)&lt;&gt;0)</formula>
    </cfRule>
  </conditionalFormatting>
  <conditionalFormatting sqref="AH146">
    <cfRule type="expression" dxfId="187" priority="141">
      <formula>AND(AH146&lt;&gt;0,SUM(AH139:AH145,AH147:AH154)&lt;&gt;0)</formula>
    </cfRule>
  </conditionalFormatting>
  <conditionalFormatting sqref="AH147">
    <cfRule type="expression" dxfId="186" priority="140">
      <formula>AND(AH147&lt;&gt;0,SUM(AH139:AH146,AH148:AH154)&lt;&gt;0)</formula>
    </cfRule>
  </conditionalFormatting>
  <conditionalFormatting sqref="AH148">
    <cfRule type="expression" dxfId="185" priority="139">
      <formula>AND(AH148&lt;&gt;0,SUM(AH139:AH147,AH149:AH154)&lt;&gt;0)</formula>
    </cfRule>
  </conditionalFormatting>
  <conditionalFormatting sqref="AH149">
    <cfRule type="expression" dxfId="184" priority="138">
      <formula>AND(AH149&lt;&gt;0,SUM(AH139:AH148,AH150:AH154)&lt;&gt;0)</formula>
    </cfRule>
  </conditionalFormatting>
  <conditionalFormatting sqref="AH150">
    <cfRule type="expression" dxfId="183" priority="137">
      <formula>AND(AH150&lt;&gt;0,SUM(AH139:AH149,AH151:AH154)&lt;&gt;0)</formula>
    </cfRule>
  </conditionalFormatting>
  <conditionalFormatting sqref="AH151">
    <cfRule type="expression" dxfId="182" priority="136">
      <formula>AND(AH151&lt;&gt;0,SUM(AH139:AH150,AH152:AH154)&lt;&gt;0)</formula>
    </cfRule>
  </conditionalFormatting>
  <conditionalFormatting sqref="AH152">
    <cfRule type="expression" dxfId="181" priority="135">
      <formula>AND(AH152&lt;&gt;0,SUM(AH139:AH151,AH153:AH154)&lt;&gt;0)</formula>
    </cfRule>
  </conditionalFormatting>
  <conditionalFormatting sqref="AH153">
    <cfRule type="expression" dxfId="180" priority="134">
      <formula>AND(AH153&lt;&gt;0,SUM(AH139:AH152,AH154)&lt;&gt;0)</formula>
    </cfRule>
  </conditionalFormatting>
  <conditionalFormatting sqref="AH154">
    <cfRule type="expression" dxfId="179" priority="133">
      <formula>AND(AH154&lt;&gt;0,SUM(AH139:AH153)&lt;&gt;0)</formula>
    </cfRule>
  </conditionalFormatting>
  <conditionalFormatting sqref="AH155">
    <cfRule type="expression" dxfId="178" priority="164">
      <formula>AND(AH155&lt;&gt;0,SUM(AH156:AH170)&lt;&gt;0)</formula>
    </cfRule>
  </conditionalFormatting>
  <conditionalFormatting sqref="AH156">
    <cfRule type="expression" dxfId="177" priority="163">
      <formula>AND(AH156&lt;&gt;0,SUM(AH155,AH157:AH170)&lt;&gt;0)</formula>
    </cfRule>
  </conditionalFormatting>
  <conditionalFormatting sqref="AH157">
    <cfRule type="expression" dxfId="176" priority="162">
      <formula>AND(AH157&lt;&gt;0,SUM(AH155:AH156,AH158:AH170)&lt;&gt;0)</formula>
    </cfRule>
  </conditionalFormatting>
  <conditionalFormatting sqref="AH158">
    <cfRule type="expression" dxfId="175" priority="161">
      <formula>AND(AH158&lt;&gt;0,SUM(AH155:AH157,AH159:AH170)&lt;&gt;0)</formula>
    </cfRule>
  </conditionalFormatting>
  <conditionalFormatting sqref="AH159">
    <cfRule type="expression" dxfId="174" priority="160">
      <formula>AND(AH159&lt;&gt;0,SUM(AH155:AH158,AH160:AH170)&lt;&gt;0)</formula>
    </cfRule>
  </conditionalFormatting>
  <conditionalFormatting sqref="AH160">
    <cfRule type="expression" dxfId="173" priority="159">
      <formula>AND(AH160&lt;&gt;0,SUM(AH155:AH159,AH161:AH170)&lt;&gt;0)</formula>
    </cfRule>
  </conditionalFormatting>
  <conditionalFormatting sqref="AH161">
    <cfRule type="expression" dxfId="172" priority="158">
      <formula>AND(AH161&lt;&gt;0,SUM(AH155:AH160,AH162:AH170)&lt;&gt;0)</formula>
    </cfRule>
  </conditionalFormatting>
  <conditionalFormatting sqref="AH162">
    <cfRule type="expression" dxfId="171" priority="157">
      <formula>AND(AH162&lt;&gt;0,SUM(AH155:AH161,AH163:AH170)&lt;&gt;0)</formula>
    </cfRule>
  </conditionalFormatting>
  <conditionalFormatting sqref="AH163">
    <cfRule type="expression" dxfId="170" priority="156">
      <formula>AND(AH163&lt;&gt;0,SUM(AH155:AH162,AH164:AH170)&lt;&gt;0)</formula>
    </cfRule>
  </conditionalFormatting>
  <conditionalFormatting sqref="AH164">
    <cfRule type="expression" dxfId="169" priority="155">
      <formula>AND(AH164&lt;&gt;0,SUM(AH155:AH163,AH165:AH170)&lt;&gt;0)</formula>
    </cfRule>
  </conditionalFormatting>
  <conditionalFormatting sqref="AH165">
    <cfRule type="expression" dxfId="168" priority="154">
      <formula>AND(AH165&lt;&gt;0,SUM(AH155:AH164,AH166:AH170)&lt;&gt;0)</formula>
    </cfRule>
  </conditionalFormatting>
  <conditionalFormatting sqref="AH166">
    <cfRule type="expression" dxfId="167" priority="153">
      <formula>AND(AH166&lt;&gt;0,SUM(AH155:AH165,AH167:AH170)&lt;&gt;0)</formula>
    </cfRule>
  </conditionalFormatting>
  <conditionalFormatting sqref="AH167">
    <cfRule type="expression" dxfId="166" priority="152">
      <formula>AND(AH167&lt;&gt;0,SUM(AH155:AH166,AH168:AH170)&lt;&gt;0)</formula>
    </cfRule>
  </conditionalFormatting>
  <conditionalFormatting sqref="AH168">
    <cfRule type="expression" dxfId="165" priority="151">
      <formula>AND(AH168&lt;&gt;0,SUM(AH155:AH167,AH169:AH170)&lt;&gt;0)</formula>
    </cfRule>
  </conditionalFormatting>
  <conditionalFormatting sqref="AH169">
    <cfRule type="expression" dxfId="164" priority="150">
      <formula>AND(AH169&lt;&gt;0,SUM(AH155:AH168,AH170)&lt;&gt;0)</formula>
    </cfRule>
  </conditionalFormatting>
  <conditionalFormatting sqref="AH170">
    <cfRule type="expression" dxfId="163" priority="149">
      <formula>AND(AH170&lt;&gt;0,SUM(AH155:AH169)&lt;&gt;0)</formula>
    </cfRule>
  </conditionalFormatting>
  <conditionalFormatting sqref="AM139">
    <cfRule type="expression" dxfId="162" priority="115">
      <formula>AND(AM139&lt;&gt;0,SUM(AM140:AM154)&lt;&gt;0)</formula>
    </cfRule>
  </conditionalFormatting>
  <conditionalFormatting sqref="AM139:AM170">
    <cfRule type="expression" dxfId="161" priority="132" stopIfTrue="1">
      <formula>AM139&lt;&gt;0</formula>
    </cfRule>
  </conditionalFormatting>
  <conditionalFormatting sqref="AM140">
    <cfRule type="expression" dxfId="160" priority="114">
      <formula>AND(AM140&lt;&gt;0,SUM(AM139,AM141:AM154)&lt;&gt;0)</formula>
    </cfRule>
  </conditionalFormatting>
  <conditionalFormatting sqref="AM141">
    <cfRule type="expression" dxfId="159" priority="113">
      <formula>AND(AM141&lt;&gt;0,SUM(AM139:AM140,AM142:AM154)&lt;&gt;0)</formula>
    </cfRule>
  </conditionalFormatting>
  <conditionalFormatting sqref="AM142">
    <cfRule type="expression" dxfId="158" priority="112">
      <formula>AND(AM142&lt;&gt;0,SUM(AM139:AM141,AM143:AM154)&lt;&gt;0)</formula>
    </cfRule>
  </conditionalFormatting>
  <conditionalFormatting sqref="AM143">
    <cfRule type="expression" dxfId="157" priority="111">
      <formula>AND(AM143&lt;&gt;0,SUM(AM139:AM142,AM144:AM154)&lt;&gt;0)</formula>
    </cfRule>
  </conditionalFormatting>
  <conditionalFormatting sqref="AM144">
    <cfRule type="expression" dxfId="156" priority="110">
      <formula>AND(AM144&lt;&gt;0,SUM(AM139:AM143,AM145:AM154)&lt;&gt;0)</formula>
    </cfRule>
  </conditionalFormatting>
  <conditionalFormatting sqref="AM145">
    <cfRule type="expression" dxfId="155" priority="109">
      <formula>AND(AM145&lt;&gt;0,SUM(AM139:AM144,AM146:AM154)&lt;&gt;0)</formula>
    </cfRule>
  </conditionalFormatting>
  <conditionalFormatting sqref="AM146">
    <cfRule type="expression" dxfId="154" priority="108">
      <formula>AND(AM146&lt;&gt;0,SUM(AM139:AM145,AM147:AM154)&lt;&gt;0)</formula>
    </cfRule>
  </conditionalFormatting>
  <conditionalFormatting sqref="AM147">
    <cfRule type="expression" dxfId="153" priority="107">
      <formula>AND(AM147&lt;&gt;0,SUM(AM139:AM146,AM148:AM154)&lt;&gt;0)</formula>
    </cfRule>
  </conditionalFormatting>
  <conditionalFormatting sqref="AM148">
    <cfRule type="expression" dxfId="152" priority="106">
      <formula>AND(AM148&lt;&gt;0,SUM(AM139:AM147,AM149:AM154)&lt;&gt;0)</formula>
    </cfRule>
  </conditionalFormatting>
  <conditionalFormatting sqref="AM149">
    <cfRule type="expression" dxfId="151" priority="105">
      <formula>AND(AM149&lt;&gt;0,SUM(AM139:AM148,AM150:AM154)&lt;&gt;0)</formula>
    </cfRule>
  </conditionalFormatting>
  <conditionalFormatting sqref="AM150">
    <cfRule type="expression" dxfId="150" priority="104">
      <formula>AND(AM150&lt;&gt;0,SUM(AM139:AM149,AM151:AM154)&lt;&gt;0)</formula>
    </cfRule>
  </conditionalFormatting>
  <conditionalFormatting sqref="AM151">
    <cfRule type="expression" dxfId="149" priority="103">
      <formula>AND(AM151&lt;&gt;0,SUM(AM139:AM150,AM152:AM154)&lt;&gt;0)</formula>
    </cfRule>
  </conditionalFormatting>
  <conditionalFormatting sqref="AM152">
    <cfRule type="expression" dxfId="148" priority="102">
      <formula>AND(AM152&lt;&gt;0,SUM(AM139:AM151,AM153:AM154)&lt;&gt;0)</formula>
    </cfRule>
  </conditionalFormatting>
  <conditionalFormatting sqref="AM153">
    <cfRule type="expression" dxfId="147" priority="101">
      <formula>AND(AM153&lt;&gt;0,SUM(AM139:AM152,AM154)&lt;&gt;0)</formula>
    </cfRule>
  </conditionalFormatting>
  <conditionalFormatting sqref="AM154">
    <cfRule type="expression" dxfId="146" priority="100">
      <formula>AND(AM154&lt;&gt;0,SUM(AM139:AM153)&lt;&gt;0)</formula>
    </cfRule>
  </conditionalFormatting>
  <conditionalFormatting sqref="AM155">
    <cfRule type="expression" dxfId="145" priority="131">
      <formula>AND(AM155&lt;&gt;0,SUM(AM156:AM170)&lt;&gt;0)</formula>
    </cfRule>
  </conditionalFormatting>
  <conditionalFormatting sqref="AM156">
    <cfRule type="expression" dxfId="144" priority="130">
      <formula>AND(AM156&lt;&gt;0,SUM(AM155,AM157:AM170)&lt;&gt;0)</formula>
    </cfRule>
  </conditionalFormatting>
  <conditionalFormatting sqref="AM157">
    <cfRule type="expression" dxfId="143" priority="129">
      <formula>AND(AM157&lt;&gt;0,SUM(AM155:AM156,AM158:AM170)&lt;&gt;0)</formula>
    </cfRule>
  </conditionalFormatting>
  <conditionalFormatting sqref="AM158">
    <cfRule type="expression" dxfId="142" priority="128">
      <formula>AND(AM158&lt;&gt;0,SUM(AM155:AM157,AM159:AM170)&lt;&gt;0)</formula>
    </cfRule>
  </conditionalFormatting>
  <conditionalFormatting sqref="AM159">
    <cfRule type="expression" dxfId="141" priority="127">
      <formula>AND(AM159&lt;&gt;0,SUM(AM155:AM158,AM160:AM170)&lt;&gt;0)</formula>
    </cfRule>
  </conditionalFormatting>
  <conditionalFormatting sqref="AM160">
    <cfRule type="expression" dxfId="140" priority="126">
      <formula>AND(AM160&lt;&gt;0,SUM(AM155:AM159,AM161:AM170)&lt;&gt;0)</formula>
    </cfRule>
  </conditionalFormatting>
  <conditionalFormatting sqref="AM161">
    <cfRule type="expression" dxfId="139" priority="125">
      <formula>AND(AM161&lt;&gt;0,SUM(AM155:AM160,AM162:AM170)&lt;&gt;0)</formula>
    </cfRule>
  </conditionalFormatting>
  <conditionalFormatting sqref="AM162">
    <cfRule type="expression" dxfId="138" priority="124">
      <formula>AND(AM162&lt;&gt;0,SUM(AM155:AM161,AM163:AM170)&lt;&gt;0)</formula>
    </cfRule>
  </conditionalFormatting>
  <conditionalFormatting sqref="AM163">
    <cfRule type="expression" dxfId="137" priority="123">
      <formula>AND(AM163&lt;&gt;0,SUM(AM155:AM162,AM164:AM170)&lt;&gt;0)</formula>
    </cfRule>
  </conditionalFormatting>
  <conditionalFormatting sqref="AM164">
    <cfRule type="expression" dxfId="136" priority="122">
      <formula>AND(AM164&lt;&gt;0,SUM(AM155:AM163,AM165:AM170)&lt;&gt;0)</formula>
    </cfRule>
  </conditionalFormatting>
  <conditionalFormatting sqref="AM165">
    <cfRule type="expression" dxfId="135" priority="121">
      <formula>AND(AM165&lt;&gt;0,SUM(AM155:AM164,AM166:AM170)&lt;&gt;0)</formula>
    </cfRule>
  </conditionalFormatting>
  <conditionalFormatting sqref="AM166">
    <cfRule type="expression" dxfId="134" priority="120">
      <formula>AND(AM166&lt;&gt;0,SUM(AM155:AM165,AM167:AM170)&lt;&gt;0)</formula>
    </cfRule>
  </conditionalFormatting>
  <conditionalFormatting sqref="AM167">
    <cfRule type="expression" dxfId="133" priority="119">
      <formula>AND(AM167&lt;&gt;0,SUM(AM155:AM166,AM168:AM170)&lt;&gt;0)</formula>
    </cfRule>
  </conditionalFormatting>
  <conditionalFormatting sqref="AM168">
    <cfRule type="expression" dxfId="132" priority="118">
      <formula>AND(AM168&lt;&gt;0,SUM(AM155:AM167,AM169:AM170)&lt;&gt;0)</formula>
    </cfRule>
  </conditionalFormatting>
  <conditionalFormatting sqref="AM169">
    <cfRule type="expression" dxfId="131" priority="117">
      <formula>AND(AM169&lt;&gt;0,SUM(AM155:AM168,AM170)&lt;&gt;0)</formula>
    </cfRule>
  </conditionalFormatting>
  <conditionalFormatting sqref="AM170">
    <cfRule type="expression" dxfId="130" priority="116">
      <formula>AND(AM170&lt;&gt;0,SUM(AM155:AM169)&lt;&gt;0)</formula>
    </cfRule>
  </conditionalFormatting>
  <conditionalFormatting sqref="AR139">
    <cfRule type="expression" dxfId="129" priority="82">
      <formula>AND(AR139&lt;&gt;0,SUM(AR140:AR154)&lt;&gt;0)</formula>
    </cfRule>
  </conditionalFormatting>
  <conditionalFormatting sqref="AR139:AR170">
    <cfRule type="expression" dxfId="128" priority="99" stopIfTrue="1">
      <formula>AR139&lt;&gt;0</formula>
    </cfRule>
  </conditionalFormatting>
  <conditionalFormatting sqref="AR140">
    <cfRule type="expression" dxfId="127" priority="81">
      <formula>AND(AR140&lt;&gt;0,SUM(AR139,AR141:AR154)&lt;&gt;0)</formula>
    </cfRule>
  </conditionalFormatting>
  <conditionalFormatting sqref="AR141">
    <cfRule type="expression" dxfId="126" priority="80">
      <formula>AND(AR141&lt;&gt;0,SUM(AR139:AR140,AR142:AR154)&lt;&gt;0)</formula>
    </cfRule>
  </conditionalFormatting>
  <conditionalFormatting sqref="AR142">
    <cfRule type="expression" dxfId="125" priority="79">
      <formula>AND(AR142&lt;&gt;0,SUM(AR139:AR141,AR143:AR154)&lt;&gt;0)</formula>
    </cfRule>
  </conditionalFormatting>
  <conditionalFormatting sqref="AR143">
    <cfRule type="expression" dxfId="124" priority="78">
      <formula>AND(AR143&lt;&gt;0,SUM(AR139:AR142,AR144:AR154)&lt;&gt;0)</formula>
    </cfRule>
  </conditionalFormatting>
  <conditionalFormatting sqref="AR144">
    <cfRule type="expression" dxfId="123" priority="77">
      <formula>AND(AR144&lt;&gt;0,SUM(AR139:AR143,AR145:AR154)&lt;&gt;0)</formula>
    </cfRule>
  </conditionalFormatting>
  <conditionalFormatting sqref="AR145">
    <cfRule type="expression" dxfId="122" priority="76">
      <formula>AND(AR145&lt;&gt;0,SUM(AR139:AR144,AR146:AR154)&lt;&gt;0)</formula>
    </cfRule>
  </conditionalFormatting>
  <conditionalFormatting sqref="AR146">
    <cfRule type="expression" dxfId="121" priority="75">
      <formula>AND(AR146&lt;&gt;0,SUM(AR139:AR145,AR147:AR154)&lt;&gt;0)</formula>
    </cfRule>
  </conditionalFormatting>
  <conditionalFormatting sqref="AR147">
    <cfRule type="expression" dxfId="120" priority="74">
      <formula>AND(AR147&lt;&gt;0,SUM(AR139:AR146,AR148:AR154)&lt;&gt;0)</formula>
    </cfRule>
  </conditionalFormatting>
  <conditionalFormatting sqref="AR148">
    <cfRule type="expression" dxfId="119" priority="73">
      <formula>AND(AR148&lt;&gt;0,SUM(AR139:AR147,AR149:AR154)&lt;&gt;0)</formula>
    </cfRule>
  </conditionalFormatting>
  <conditionalFormatting sqref="AR149">
    <cfRule type="expression" dxfId="118" priority="72">
      <formula>AND(AR149&lt;&gt;0,SUM(AR139:AR148,AR150:AR154)&lt;&gt;0)</formula>
    </cfRule>
  </conditionalFormatting>
  <conditionalFormatting sqref="AR150">
    <cfRule type="expression" dxfId="117" priority="71">
      <formula>AND(AR150&lt;&gt;0,SUM(AR139:AR149,AR151:AR154)&lt;&gt;0)</formula>
    </cfRule>
  </conditionalFormatting>
  <conditionalFormatting sqref="AR151">
    <cfRule type="expression" dxfId="116" priority="70">
      <formula>AND(AR151&lt;&gt;0,SUM(AR139:AR150,AR152:AR154)&lt;&gt;0)</formula>
    </cfRule>
  </conditionalFormatting>
  <conditionalFormatting sqref="AR152">
    <cfRule type="expression" dxfId="115" priority="69">
      <formula>AND(AR152&lt;&gt;0,SUM(AR139:AR151,AR153:AR154)&lt;&gt;0)</formula>
    </cfRule>
  </conditionalFormatting>
  <conditionalFormatting sqref="AR153">
    <cfRule type="expression" dxfId="114" priority="68">
      <formula>AND(AR153&lt;&gt;0,SUM(AR139:AR152,AR154)&lt;&gt;0)</formula>
    </cfRule>
  </conditionalFormatting>
  <conditionalFormatting sqref="AR154">
    <cfRule type="expression" dxfId="113" priority="67">
      <formula>AND(AR154&lt;&gt;0,SUM(AR139:AR153)&lt;&gt;0)</formula>
    </cfRule>
  </conditionalFormatting>
  <conditionalFormatting sqref="AR155">
    <cfRule type="expression" dxfId="112" priority="98">
      <formula>AND(AR155&lt;&gt;0,SUM(AR156:AR170)&lt;&gt;0)</formula>
    </cfRule>
  </conditionalFormatting>
  <conditionalFormatting sqref="AR156">
    <cfRule type="expression" dxfId="111" priority="97">
      <formula>AND(AR156&lt;&gt;0,SUM(AR155,AR157:AR170)&lt;&gt;0)</formula>
    </cfRule>
  </conditionalFormatting>
  <conditionalFormatting sqref="AR157">
    <cfRule type="expression" dxfId="110" priority="96">
      <formula>AND(AR157&lt;&gt;0,SUM(AR155:AR156,AR158:AR170)&lt;&gt;0)</formula>
    </cfRule>
  </conditionalFormatting>
  <conditionalFormatting sqref="AR158">
    <cfRule type="expression" dxfId="109" priority="95">
      <formula>AND(AR158&lt;&gt;0,SUM(AR155:AR157,AR159:AR170)&lt;&gt;0)</formula>
    </cfRule>
  </conditionalFormatting>
  <conditionalFormatting sqref="AR159">
    <cfRule type="expression" dxfId="108" priority="94">
      <formula>AND(AR159&lt;&gt;0,SUM(AR155:AR158,AR160:AR170)&lt;&gt;0)</formula>
    </cfRule>
  </conditionalFormatting>
  <conditionalFormatting sqref="AR160">
    <cfRule type="expression" dxfId="107" priority="93">
      <formula>AND(AR160&lt;&gt;0,SUM(AR155:AR159,AR161:AR170)&lt;&gt;0)</formula>
    </cfRule>
  </conditionalFormatting>
  <conditionalFormatting sqref="AR161">
    <cfRule type="expression" dxfId="106" priority="92">
      <formula>AND(AR161&lt;&gt;0,SUM(AR155:AR160,AR162:AR170)&lt;&gt;0)</formula>
    </cfRule>
  </conditionalFormatting>
  <conditionalFormatting sqref="AR162">
    <cfRule type="expression" dxfId="105" priority="91">
      <formula>AND(AR162&lt;&gt;0,SUM(AR155:AR161,AR163:AR170)&lt;&gt;0)</formula>
    </cfRule>
  </conditionalFormatting>
  <conditionalFormatting sqref="AR163">
    <cfRule type="expression" dxfId="104" priority="90">
      <formula>AND(AR163&lt;&gt;0,SUM(AR155:AR162,AR164:AR170)&lt;&gt;0)</formula>
    </cfRule>
  </conditionalFormatting>
  <conditionalFormatting sqref="AR164">
    <cfRule type="expression" dxfId="103" priority="89">
      <formula>AND(AR164&lt;&gt;0,SUM(AR155:AR163,AR165:AR170)&lt;&gt;0)</formula>
    </cfRule>
  </conditionalFormatting>
  <conditionalFormatting sqref="AR165">
    <cfRule type="expression" dxfId="102" priority="88">
      <formula>AND(AR165&lt;&gt;0,SUM(AR155:AR164,AR166:AR170)&lt;&gt;0)</formula>
    </cfRule>
  </conditionalFormatting>
  <conditionalFormatting sqref="AR166">
    <cfRule type="expression" dxfId="101" priority="87">
      <formula>AND(AR166&lt;&gt;0,SUM(AR155:AR165,AR167:AR170)&lt;&gt;0)</formula>
    </cfRule>
  </conditionalFormatting>
  <conditionalFormatting sqref="AR167">
    <cfRule type="expression" dxfId="100" priority="86">
      <formula>AND(AR167&lt;&gt;0,SUM(AR155:AR166,AR168:AR170)&lt;&gt;0)</formula>
    </cfRule>
  </conditionalFormatting>
  <conditionalFormatting sqref="AR168">
    <cfRule type="expression" dxfId="99" priority="85">
      <formula>AND(AR168&lt;&gt;0,SUM(AR155:AR167,AR169:AR170)&lt;&gt;0)</formula>
    </cfRule>
  </conditionalFormatting>
  <conditionalFormatting sqref="AR169">
    <cfRule type="expression" dxfId="98" priority="84">
      <formula>AND(AR169&lt;&gt;0,SUM(AR155:AR168,AR170)&lt;&gt;0)</formula>
    </cfRule>
  </conditionalFormatting>
  <conditionalFormatting sqref="AR170">
    <cfRule type="expression" dxfId="97" priority="83">
      <formula>AND(AR170&lt;&gt;0,SUM(AR155:AR169)&lt;&gt;0)</formula>
    </cfRule>
  </conditionalFormatting>
  <conditionalFormatting sqref="AW139">
    <cfRule type="expression" dxfId="96" priority="278">
      <formula>AND(AW139&lt;&gt;0,SUM(AW140:AW154)&lt;&gt;0)</formula>
    </cfRule>
  </conditionalFormatting>
  <conditionalFormatting sqref="AW140">
    <cfRule type="expression" dxfId="95" priority="277">
      <formula>AND(AW140&lt;&gt;0,SUM(AW139,AW141:AW154)&lt;&gt;0)</formula>
    </cfRule>
  </conditionalFormatting>
  <conditionalFormatting sqref="AW141">
    <cfRule type="expression" dxfId="94" priority="276">
      <formula>AND(AW141&lt;&gt;0,SUM(AW139:AW140,AW142:AW154)&lt;&gt;0)</formula>
    </cfRule>
  </conditionalFormatting>
  <conditionalFormatting sqref="AW142">
    <cfRule type="expression" dxfId="93" priority="275">
      <formula>AND(AW142&lt;&gt;0,SUM(AW139:AW141,AW143:AW154)&lt;&gt;0)</formula>
    </cfRule>
  </conditionalFormatting>
  <conditionalFormatting sqref="AW143">
    <cfRule type="expression" dxfId="92" priority="274">
      <formula>AND(AW143&lt;&gt;0,SUM(AW139:AW142,AW144:AW154)&lt;&gt;0)</formula>
    </cfRule>
  </conditionalFormatting>
  <conditionalFormatting sqref="AW144">
    <cfRule type="expression" dxfId="91" priority="273">
      <formula>AND(AW144&lt;&gt;0,SUM(AW139:AW143,AW145:AW154)&lt;&gt;0)</formula>
    </cfRule>
  </conditionalFormatting>
  <conditionalFormatting sqref="AW145">
    <cfRule type="expression" dxfId="90" priority="272">
      <formula>AND(AW145&lt;&gt;0,SUM(AW139:AW144,AW146:AW154)&lt;&gt;0)</formula>
    </cfRule>
  </conditionalFormatting>
  <conditionalFormatting sqref="AW146">
    <cfRule type="expression" dxfId="89" priority="271">
      <formula>AND(AW146&lt;&gt;0,SUM(AW139:AW145,AW147:AW154)&lt;&gt;0)</formula>
    </cfRule>
  </conditionalFormatting>
  <conditionalFormatting sqref="AW147">
    <cfRule type="expression" dxfId="88" priority="270">
      <formula>AND(AW147&lt;&gt;0,SUM(AW139:AW146,AW148:AW154)&lt;&gt;0)</formula>
    </cfRule>
  </conditionalFormatting>
  <conditionalFormatting sqref="AW148">
    <cfRule type="expression" dxfId="87" priority="269">
      <formula>AND(AW148&lt;&gt;0,SUM(AW139:AW147,AW149:AW154)&lt;&gt;0)</formula>
    </cfRule>
  </conditionalFormatting>
  <conditionalFormatting sqref="AW149">
    <cfRule type="expression" dxfId="86" priority="268">
      <formula>AND(AW149&lt;&gt;0,SUM(AW139:AW148,AW150:AW154)&lt;&gt;0)</formula>
    </cfRule>
  </conditionalFormatting>
  <conditionalFormatting sqref="AW150">
    <cfRule type="expression" dxfId="85" priority="267">
      <formula>AND(AW150&lt;&gt;0,SUM(AW139:AW149,AW151:AW154)&lt;&gt;0)</formula>
    </cfRule>
  </conditionalFormatting>
  <conditionalFormatting sqref="AW151">
    <cfRule type="expression" dxfId="84" priority="266">
      <formula>AND(AW151&lt;&gt;0,SUM(AW139:AW150,AW152:AW154)&lt;&gt;0)</formula>
    </cfRule>
  </conditionalFormatting>
  <conditionalFormatting sqref="AW152">
    <cfRule type="expression" dxfId="83" priority="265">
      <formula>AND(AW152&lt;&gt;0,SUM(AW139:AW151,AW153:AW154)&lt;&gt;0)</formula>
    </cfRule>
  </conditionalFormatting>
  <conditionalFormatting sqref="AW153">
    <cfRule type="expression" dxfId="82" priority="264">
      <formula>AND(AW153&lt;&gt;0,SUM(AW139:AW152,AW154)&lt;&gt;0)</formula>
    </cfRule>
  </conditionalFormatting>
  <conditionalFormatting sqref="AW154">
    <cfRule type="expression" dxfId="81" priority="263">
      <formula>AND(AW154&lt;&gt;0,SUM(AW139:AW153)&lt;&gt;0)</formula>
    </cfRule>
  </conditionalFormatting>
  <conditionalFormatting sqref="AW155">
    <cfRule type="expression" dxfId="80" priority="294">
      <formula>AND(AW155&lt;&gt;0,SUM(AW156:AW170)&lt;&gt;0)</formula>
    </cfRule>
  </conditionalFormatting>
  <conditionalFormatting sqref="AW156">
    <cfRule type="expression" dxfId="79" priority="293">
      <formula>AND(AW156&lt;&gt;0,SUM(AW155,AW157:AW170)&lt;&gt;0)</formula>
    </cfRule>
  </conditionalFormatting>
  <conditionalFormatting sqref="AW157">
    <cfRule type="expression" dxfId="78" priority="292">
      <formula>AND(AW157&lt;&gt;0,SUM(AW155:AW156,AW158:AW170)&lt;&gt;0)</formula>
    </cfRule>
  </conditionalFormatting>
  <conditionalFormatting sqref="AW158">
    <cfRule type="expression" dxfId="77" priority="291">
      <formula>AND(AW158&lt;&gt;0,SUM(AW155:AW157,AW159:AW170)&lt;&gt;0)</formula>
    </cfRule>
  </conditionalFormatting>
  <conditionalFormatting sqref="AW159">
    <cfRule type="expression" dxfId="76" priority="290">
      <formula>AND(AW159&lt;&gt;0,SUM(AW155:AW158,AW160:AW170)&lt;&gt;0)</formula>
    </cfRule>
  </conditionalFormatting>
  <conditionalFormatting sqref="AW160">
    <cfRule type="expression" dxfId="75" priority="289">
      <formula>AND(AW160&lt;&gt;0,SUM(AW155:AW159,AW161:AW170)&lt;&gt;0)</formula>
    </cfRule>
  </conditionalFormatting>
  <conditionalFormatting sqref="AW161">
    <cfRule type="expression" dxfId="74" priority="288">
      <formula>AND(AW161&lt;&gt;0,SUM(AW155:AW160,AW162:AW170)&lt;&gt;0)</formula>
    </cfRule>
  </conditionalFormatting>
  <conditionalFormatting sqref="AW162">
    <cfRule type="expression" dxfId="73" priority="287">
      <formula>AND(AW162&lt;&gt;0,SUM(AW155:AW161,AW163:AW170)&lt;&gt;0)</formula>
    </cfRule>
  </conditionalFormatting>
  <conditionalFormatting sqref="AW163">
    <cfRule type="expression" dxfId="72" priority="286">
      <formula>AND(AW163&lt;&gt;0,SUM(AW155:AW162,AW164:AW170)&lt;&gt;0)</formula>
    </cfRule>
  </conditionalFormatting>
  <conditionalFormatting sqref="AW164">
    <cfRule type="expression" dxfId="71" priority="285">
      <formula>AND(AW164&lt;&gt;0,SUM(AW155:AW163,AW165:AW170)&lt;&gt;0)</formula>
    </cfRule>
  </conditionalFormatting>
  <conditionalFormatting sqref="AW165">
    <cfRule type="expression" dxfId="70" priority="284">
      <formula>AND(AW165&lt;&gt;0,SUM(AW155:AW164,AW166:AW170)&lt;&gt;0)</formula>
    </cfRule>
  </conditionalFormatting>
  <conditionalFormatting sqref="AW166">
    <cfRule type="expression" dxfId="69" priority="283">
      <formula>AND(AW166&lt;&gt;0,SUM(AW155:AW165,AW167:AW170)&lt;&gt;0)</formula>
    </cfRule>
  </conditionalFormatting>
  <conditionalFormatting sqref="AW167">
    <cfRule type="expression" dxfId="68" priority="282">
      <formula>AND(AW167&lt;&gt;0,SUM(AW155:AW166,AW168:AW170)&lt;&gt;0)</formula>
    </cfRule>
  </conditionalFormatting>
  <conditionalFormatting sqref="AW168">
    <cfRule type="expression" dxfId="67" priority="281">
      <formula>AND(AW168&lt;&gt;0,SUM(AW155:AW167,AW169:AW170)&lt;&gt;0)</formula>
    </cfRule>
  </conditionalFormatting>
  <conditionalFormatting sqref="AW169">
    <cfRule type="expression" dxfId="66" priority="280">
      <formula>AND(AW169&lt;&gt;0,SUM(AW155:AW168,AW170)&lt;&gt;0)</formula>
    </cfRule>
  </conditionalFormatting>
  <conditionalFormatting sqref="AW170">
    <cfRule type="expression" dxfId="65" priority="279">
      <formula>AND(AW170&lt;&gt;0,SUM(AW155:AW169)&lt;&gt;0)</formula>
    </cfRule>
  </conditionalFormatting>
  <conditionalFormatting sqref="BB139">
    <cfRule type="expression" dxfId="64" priority="246">
      <formula>AND(BB139&lt;&gt;0,SUM(BB140:BB154)&lt;&gt;0)</formula>
    </cfRule>
  </conditionalFormatting>
  <conditionalFormatting sqref="BB140">
    <cfRule type="expression" dxfId="63" priority="245">
      <formula>AND(BB140&lt;&gt;0,SUM(BB139,BB141:BB154)&lt;&gt;0)</formula>
    </cfRule>
  </conditionalFormatting>
  <conditionalFormatting sqref="BB141">
    <cfRule type="expression" dxfId="62" priority="244">
      <formula>AND(BB141&lt;&gt;0,SUM(BB139:BB140,BB142:BB154)&lt;&gt;0)</formula>
    </cfRule>
  </conditionalFormatting>
  <conditionalFormatting sqref="BB142">
    <cfRule type="expression" dxfId="61" priority="243">
      <formula>AND(BB142&lt;&gt;0,SUM(BB139:BB141,BB143:BB154)&lt;&gt;0)</formula>
    </cfRule>
  </conditionalFormatting>
  <conditionalFormatting sqref="BB143">
    <cfRule type="expression" dxfId="60" priority="242">
      <formula>AND(BB143&lt;&gt;0,SUM(BB139:BB142,BB144:BB154)&lt;&gt;0)</formula>
    </cfRule>
  </conditionalFormatting>
  <conditionalFormatting sqref="BB144">
    <cfRule type="expression" dxfId="59" priority="241">
      <formula>AND(BB144&lt;&gt;0,SUM(BB139:BB143,BB145:BB154)&lt;&gt;0)</formula>
    </cfRule>
  </conditionalFormatting>
  <conditionalFormatting sqref="BB145">
    <cfRule type="expression" dxfId="58" priority="240">
      <formula>AND(BB145&lt;&gt;0,SUM(BB139:BB144,BB146:BB154)&lt;&gt;0)</formula>
    </cfRule>
  </conditionalFormatting>
  <conditionalFormatting sqref="BB146">
    <cfRule type="expression" dxfId="57" priority="239">
      <formula>AND(BB146&lt;&gt;0,SUM(BB139:BB145,BB147:BB154)&lt;&gt;0)</formula>
    </cfRule>
  </conditionalFormatting>
  <conditionalFormatting sqref="BB147">
    <cfRule type="expression" dxfId="56" priority="238">
      <formula>AND(BB147&lt;&gt;0,SUM(BB139:BB146,BB148:BB154)&lt;&gt;0)</formula>
    </cfRule>
  </conditionalFormatting>
  <conditionalFormatting sqref="BB148">
    <cfRule type="expression" dxfId="55" priority="237">
      <formula>AND(BB148&lt;&gt;0,SUM(BB139:BB147,BB149:BB154)&lt;&gt;0)</formula>
    </cfRule>
  </conditionalFormatting>
  <conditionalFormatting sqref="BB149">
    <cfRule type="expression" dxfId="54" priority="236">
      <formula>AND(BB149&lt;&gt;0,SUM(BB139:BB148,BB150:BB154)&lt;&gt;0)</formula>
    </cfRule>
  </conditionalFormatting>
  <conditionalFormatting sqref="BB150">
    <cfRule type="expression" dxfId="53" priority="235">
      <formula>AND(BB150&lt;&gt;0,SUM(BB139:BB149,BB151:BB154)&lt;&gt;0)</formula>
    </cfRule>
  </conditionalFormatting>
  <conditionalFormatting sqref="BB151">
    <cfRule type="expression" dxfId="52" priority="234">
      <formula>AND(BB151&lt;&gt;0,SUM(BB139:BB150,BB152:BB154)&lt;&gt;0)</formula>
    </cfRule>
  </conditionalFormatting>
  <conditionalFormatting sqref="BB152">
    <cfRule type="expression" dxfId="51" priority="233">
      <formula>AND(BB152&lt;&gt;0,SUM(BB139:BB151,BB153:BB154)&lt;&gt;0)</formula>
    </cfRule>
  </conditionalFormatting>
  <conditionalFormatting sqref="BB153">
    <cfRule type="expression" dxfId="50" priority="232">
      <formula>AND(BB153&lt;&gt;0,SUM(BB139:BB152,BB154)&lt;&gt;0)</formula>
    </cfRule>
  </conditionalFormatting>
  <conditionalFormatting sqref="BB154">
    <cfRule type="expression" dxfId="49" priority="231">
      <formula>AND(BB154&lt;&gt;0,SUM(BB139:BB153)&lt;&gt;0)</formula>
    </cfRule>
  </conditionalFormatting>
  <conditionalFormatting sqref="BB155">
    <cfRule type="expression" dxfId="48" priority="262">
      <formula>AND(BB155&lt;&gt;0,SUM(BB156:BB170)&lt;&gt;0)</formula>
    </cfRule>
  </conditionalFormatting>
  <conditionalFormatting sqref="BB156">
    <cfRule type="expression" dxfId="47" priority="261">
      <formula>AND(BB156&lt;&gt;0,SUM(BB155,BB157:BB170)&lt;&gt;0)</formula>
    </cfRule>
  </conditionalFormatting>
  <conditionalFormatting sqref="BB157">
    <cfRule type="expression" dxfId="46" priority="260">
      <formula>AND(BB157&lt;&gt;0,SUM(BB155:BB156,BB158:BB170)&lt;&gt;0)</formula>
    </cfRule>
  </conditionalFormatting>
  <conditionalFormatting sqref="BB158">
    <cfRule type="expression" dxfId="45" priority="259">
      <formula>AND(BB158&lt;&gt;0,SUM(BB155:BB157,BB159:BB170)&lt;&gt;0)</formula>
    </cfRule>
  </conditionalFormatting>
  <conditionalFormatting sqref="BB159">
    <cfRule type="expression" dxfId="44" priority="258">
      <formula>AND(BB159&lt;&gt;0,SUM(BB155:BB158,BB160:BB170)&lt;&gt;0)</formula>
    </cfRule>
  </conditionalFormatting>
  <conditionalFormatting sqref="BB160">
    <cfRule type="expression" dxfId="43" priority="257">
      <formula>AND(BB160&lt;&gt;0,SUM(BB155:BB159,BB161:BB170)&lt;&gt;0)</formula>
    </cfRule>
  </conditionalFormatting>
  <conditionalFormatting sqref="BB161">
    <cfRule type="expression" dxfId="42" priority="256">
      <formula>AND(BB161&lt;&gt;0,SUM(BB155:BB160,BB162:BB170)&lt;&gt;0)</formula>
    </cfRule>
  </conditionalFormatting>
  <conditionalFormatting sqref="BB162">
    <cfRule type="expression" dxfId="41" priority="255">
      <formula>AND(BB162&lt;&gt;0,SUM(BB155:BB161,BB163:BB170)&lt;&gt;0)</formula>
    </cfRule>
  </conditionalFormatting>
  <conditionalFormatting sqref="BB163">
    <cfRule type="expression" dxfId="40" priority="254">
      <formula>AND(BB163&lt;&gt;0,SUM(BB155:BB162,BB164:BB170)&lt;&gt;0)</formula>
    </cfRule>
  </conditionalFormatting>
  <conditionalFormatting sqref="BB164">
    <cfRule type="expression" dxfId="39" priority="253">
      <formula>AND(BB164&lt;&gt;0,SUM(BB155:BB163,BB165:BB170)&lt;&gt;0)</formula>
    </cfRule>
  </conditionalFormatting>
  <conditionalFormatting sqref="BB165">
    <cfRule type="expression" dxfId="38" priority="252">
      <formula>AND(BB165&lt;&gt;0,SUM(BB155:BB164,BB166:BB170)&lt;&gt;0)</formula>
    </cfRule>
  </conditionalFormatting>
  <conditionalFormatting sqref="BB166">
    <cfRule type="expression" dxfId="37" priority="251">
      <formula>AND(BB166&lt;&gt;0,SUM(BB155:BB165,BB167:BB170)&lt;&gt;0)</formula>
    </cfRule>
  </conditionalFormatting>
  <conditionalFormatting sqref="BB167">
    <cfRule type="expression" dxfId="36" priority="250">
      <formula>AND(BB167&lt;&gt;0,SUM(BB155:BB166,BB168:BB170)&lt;&gt;0)</formula>
    </cfRule>
  </conditionalFormatting>
  <conditionalFormatting sqref="BB168">
    <cfRule type="expression" dxfId="35" priority="249">
      <formula>AND(BB168&lt;&gt;0,SUM(BB155:BB167,BB169:BB170)&lt;&gt;0)</formula>
    </cfRule>
  </conditionalFormatting>
  <conditionalFormatting sqref="BB169">
    <cfRule type="expression" dxfId="34" priority="248">
      <formula>AND(BB169&lt;&gt;0,SUM(BB155:BB168,BB170)&lt;&gt;0)</formula>
    </cfRule>
  </conditionalFormatting>
  <conditionalFormatting sqref="BB170">
    <cfRule type="expression" dxfId="33" priority="247">
      <formula>AND(BB170&lt;&gt;0,SUM(BB155:BB169)&lt;&gt;0)</formula>
    </cfRule>
  </conditionalFormatting>
  <conditionalFormatting sqref="BG139">
    <cfRule type="expression" dxfId="32" priority="16">
      <formula>AND(BG139&lt;&gt;0,SUM(BG140:BG154)&lt;&gt;0)</formula>
    </cfRule>
  </conditionalFormatting>
  <conditionalFormatting sqref="BG139:BG170">
    <cfRule type="expression" dxfId="31" priority="33" stopIfTrue="1">
      <formula>BG139&lt;&gt;0</formula>
    </cfRule>
  </conditionalFormatting>
  <conditionalFormatting sqref="BG140">
    <cfRule type="expression" dxfId="30" priority="15">
      <formula>AND(BG140&lt;&gt;0,SUM(BG139,BG141:BG154)&lt;&gt;0)</formula>
    </cfRule>
  </conditionalFormatting>
  <conditionalFormatting sqref="BG141">
    <cfRule type="expression" dxfId="29" priority="14">
      <formula>AND(BG141&lt;&gt;0,SUM(BG139:BG140,BG142:BG154)&lt;&gt;0)</formula>
    </cfRule>
  </conditionalFormatting>
  <conditionalFormatting sqref="BG142">
    <cfRule type="expression" dxfId="28" priority="13">
      <formula>AND(BG142&lt;&gt;0,SUM(BG139:BG141,BG143:BG154)&lt;&gt;0)</formula>
    </cfRule>
  </conditionalFormatting>
  <conditionalFormatting sqref="BG143">
    <cfRule type="expression" dxfId="27" priority="12">
      <formula>AND(BG143&lt;&gt;0,SUM(BG139:BG142,BG144:BG154)&lt;&gt;0)</formula>
    </cfRule>
  </conditionalFormatting>
  <conditionalFormatting sqref="BG144">
    <cfRule type="expression" dxfId="26" priority="11">
      <formula>AND(BG144&lt;&gt;0,SUM(BG139:BG143,BG145:BG154)&lt;&gt;0)</formula>
    </cfRule>
  </conditionalFormatting>
  <conditionalFormatting sqref="BG145">
    <cfRule type="expression" dxfId="25" priority="10">
      <formula>AND(BG145&lt;&gt;0,SUM(BG139:BG144,BG146:BG154)&lt;&gt;0)</formula>
    </cfRule>
  </conditionalFormatting>
  <conditionalFormatting sqref="BG146">
    <cfRule type="expression" dxfId="24" priority="9">
      <formula>AND(BG146&lt;&gt;0,SUM(BG139:BG145,BG147:BG154)&lt;&gt;0)</formula>
    </cfRule>
  </conditionalFormatting>
  <conditionalFormatting sqref="BG147">
    <cfRule type="expression" dxfId="23" priority="8">
      <formula>AND(BG147&lt;&gt;0,SUM(BG139:BG146,BG148:BG154)&lt;&gt;0)</formula>
    </cfRule>
  </conditionalFormatting>
  <conditionalFormatting sqref="BG148">
    <cfRule type="expression" dxfId="22" priority="7">
      <formula>AND(BG148&lt;&gt;0,SUM(BG139:BG147,BG149:BG154)&lt;&gt;0)</formula>
    </cfRule>
  </conditionalFormatting>
  <conditionalFormatting sqref="BG149">
    <cfRule type="expression" dxfId="21" priority="6">
      <formula>AND(BG149&lt;&gt;0,SUM(BG139:BG148,BG150:BG154)&lt;&gt;0)</formula>
    </cfRule>
  </conditionalFormatting>
  <conditionalFormatting sqref="BG150">
    <cfRule type="expression" dxfId="20" priority="5">
      <formula>AND(BG150&lt;&gt;0,SUM(BG139:BG149,BG151:BG154)&lt;&gt;0)</formula>
    </cfRule>
  </conditionalFormatting>
  <conditionalFormatting sqref="BG151">
    <cfRule type="expression" dxfId="19" priority="4">
      <formula>AND(BG151&lt;&gt;0,SUM(BG139:BG150,BG152:BG154)&lt;&gt;0)</formula>
    </cfRule>
  </conditionalFormatting>
  <conditionalFormatting sqref="BG152">
    <cfRule type="expression" dxfId="18" priority="3">
      <formula>AND(BG152&lt;&gt;0,SUM(BG139:BG151,BG153:BG154)&lt;&gt;0)</formula>
    </cfRule>
  </conditionalFormatting>
  <conditionalFormatting sqref="BG153">
    <cfRule type="expression" dxfId="17" priority="2">
      <formula>AND(BG153&lt;&gt;0,SUM(BG139:BG152,BG154)&lt;&gt;0)</formula>
    </cfRule>
  </conditionalFormatting>
  <conditionalFormatting sqref="BG154">
    <cfRule type="expression" dxfId="16" priority="1">
      <formula>AND(BG154&lt;&gt;0,SUM(BG139:BG153)&lt;&gt;0)</formula>
    </cfRule>
  </conditionalFormatting>
  <conditionalFormatting sqref="BG155">
    <cfRule type="expression" dxfId="15" priority="32">
      <formula>AND(BG155&lt;&gt;0,SUM(BG156:BG170)&lt;&gt;0)</formula>
    </cfRule>
  </conditionalFormatting>
  <conditionalFormatting sqref="BG156">
    <cfRule type="expression" dxfId="14" priority="31">
      <formula>AND(BG156&lt;&gt;0,SUM(BG155,BG157:BG170)&lt;&gt;0)</formula>
    </cfRule>
  </conditionalFormatting>
  <conditionalFormatting sqref="BG157">
    <cfRule type="expression" dxfId="13" priority="30">
      <formula>AND(BG157&lt;&gt;0,SUM(BG155:BG156,BG158:BG170)&lt;&gt;0)</formula>
    </cfRule>
  </conditionalFormatting>
  <conditionalFormatting sqref="BG158">
    <cfRule type="expression" dxfId="12" priority="29">
      <formula>AND(BG158&lt;&gt;0,SUM(BG155:BG157,BG159:BG170)&lt;&gt;0)</formula>
    </cfRule>
  </conditionalFormatting>
  <conditionalFormatting sqref="BG159">
    <cfRule type="expression" dxfId="11" priority="28">
      <formula>AND(BG159&lt;&gt;0,SUM(BG155:BG158,BG160:BG170)&lt;&gt;0)</formula>
    </cfRule>
  </conditionalFormatting>
  <conditionalFormatting sqref="BG160">
    <cfRule type="expression" dxfId="10" priority="27">
      <formula>AND(BG160&lt;&gt;0,SUM(BG155:BG159,BG161:BG170)&lt;&gt;0)</formula>
    </cfRule>
  </conditionalFormatting>
  <conditionalFormatting sqref="BG161">
    <cfRule type="expression" dxfId="9" priority="26">
      <formula>AND(BG161&lt;&gt;0,SUM(BG155:BG160,BG162:BG170)&lt;&gt;0)</formula>
    </cfRule>
  </conditionalFormatting>
  <conditionalFormatting sqref="BG162">
    <cfRule type="expression" dxfId="8" priority="25">
      <formula>AND(BG162&lt;&gt;0,SUM(BG155:BG161,BG163:BG170)&lt;&gt;0)</formula>
    </cfRule>
  </conditionalFormatting>
  <conditionalFormatting sqref="BG163">
    <cfRule type="expression" dxfId="7" priority="24">
      <formula>AND(BG163&lt;&gt;0,SUM(BG155:BG162,BG164:BG170)&lt;&gt;0)</formula>
    </cfRule>
  </conditionalFormatting>
  <conditionalFormatting sqref="BG164">
    <cfRule type="expression" dxfId="6" priority="23">
      <formula>AND(BG164&lt;&gt;0,SUM(BG155:BG163,BG165:BG170)&lt;&gt;0)</formula>
    </cfRule>
  </conditionalFormatting>
  <conditionalFormatting sqref="BG165">
    <cfRule type="expression" dxfId="5" priority="22">
      <formula>AND(BG165&lt;&gt;0,SUM(BG155:BG164,BG166:BG170)&lt;&gt;0)</formula>
    </cfRule>
  </conditionalFormatting>
  <conditionalFormatting sqref="BG166">
    <cfRule type="expression" dxfId="4" priority="21">
      <formula>AND(BG166&lt;&gt;0,SUM(BG155:BG165,BG167:BG170)&lt;&gt;0)</formula>
    </cfRule>
  </conditionalFormatting>
  <conditionalFormatting sqref="BG167">
    <cfRule type="expression" dxfId="3" priority="20">
      <formula>AND(BG167&lt;&gt;0,SUM(BG155:BG166,BG168:BG170)&lt;&gt;0)</formula>
    </cfRule>
  </conditionalFormatting>
  <conditionalFormatting sqref="BG168">
    <cfRule type="expression" dxfId="2" priority="19">
      <formula>AND(BG168&lt;&gt;0,SUM(BG155:BG167,BG169:BG170)&lt;&gt;0)</formula>
    </cfRule>
  </conditionalFormatting>
  <conditionalFormatting sqref="BG169">
    <cfRule type="expression" dxfId="1" priority="18">
      <formula>AND(BG169&lt;&gt;0,SUM(BG155:BG168,BG170)&lt;&gt;0)</formula>
    </cfRule>
  </conditionalFormatting>
  <conditionalFormatting sqref="BG170">
    <cfRule type="expression" dxfId="0" priority="17">
      <formula>AND(BG170&lt;&gt;0,SUM(BG155:BG169)&lt;&gt;0)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5">
    <tabColor rgb="FF92D050"/>
  </sheetPr>
  <dimension ref="A1:BH143"/>
  <sheetViews>
    <sheetView zoomScale="55" zoomScaleNormal="55" workbookViewId="0"/>
  </sheetViews>
  <sheetFormatPr defaultColWidth="9" defaultRowHeight="14.25"/>
  <cols>
    <col min="1" max="1" width="5.7109375" style="26" bestFit="1" customWidth="1"/>
    <col min="2" max="2" width="6.140625" style="26" customWidth="1"/>
    <col min="3" max="3" width="4.42578125" style="26" bestFit="1" customWidth="1"/>
    <col min="4" max="4" width="30.5703125" style="26" customWidth="1"/>
    <col min="5" max="5" width="6.28515625" style="26" customWidth="1"/>
    <col min="6" max="6" width="1.42578125" style="26" customWidth="1"/>
    <col min="7" max="7" width="5.7109375" style="26" bestFit="1" customWidth="1"/>
    <col min="8" max="8" width="4.42578125" style="26" bestFit="1" customWidth="1"/>
    <col min="9" max="9" width="30.5703125" style="26" customWidth="1"/>
    <col min="10" max="10" width="6.28515625" style="26" customWidth="1"/>
    <col min="11" max="11" width="1.42578125" style="26" customWidth="1"/>
    <col min="12" max="12" width="5.7109375" style="26" bestFit="1" customWidth="1"/>
    <col min="13" max="13" width="4.42578125" style="26" bestFit="1" customWidth="1"/>
    <col min="14" max="14" width="30.5703125" style="26" customWidth="1"/>
    <col min="15" max="15" width="6.28515625" style="26" bestFit="1" customWidth="1"/>
    <col min="16" max="16" width="1.42578125" style="26" customWidth="1"/>
    <col min="17" max="17" width="6.140625" style="26" customWidth="1"/>
    <col min="18" max="18" width="4.42578125" style="26" bestFit="1" customWidth="1"/>
    <col min="19" max="19" width="30.5703125" style="26" customWidth="1"/>
    <col min="20" max="20" width="6.28515625" style="26" bestFit="1" customWidth="1"/>
    <col min="21" max="21" width="1.42578125" style="26" customWidth="1"/>
    <col min="22" max="22" width="6.140625" style="26" customWidth="1"/>
    <col min="23" max="23" width="4.42578125" style="26" bestFit="1" customWidth="1"/>
    <col min="24" max="24" width="30.5703125" style="26" customWidth="1"/>
    <col min="25" max="25" width="6.28515625" style="26" bestFit="1" customWidth="1"/>
    <col min="26" max="26" width="1.42578125" style="26" customWidth="1"/>
    <col min="27" max="27" width="6.140625" style="26" customWidth="1"/>
    <col min="28" max="28" width="4.42578125" style="26" bestFit="1" customWidth="1"/>
    <col min="29" max="29" width="30.5703125" style="26" customWidth="1"/>
    <col min="30" max="30" width="6.28515625" style="26" bestFit="1" customWidth="1"/>
    <col min="31" max="31" width="1.42578125" style="26" customWidth="1"/>
    <col min="32" max="32" width="6.140625" style="26" customWidth="1"/>
    <col min="33" max="33" width="4.42578125" style="26" bestFit="1" customWidth="1"/>
    <col min="34" max="34" width="30.5703125" style="26" customWidth="1"/>
    <col min="35" max="35" width="6.28515625" style="26" bestFit="1" customWidth="1"/>
    <col min="36" max="36" width="1.42578125" style="26" customWidth="1"/>
    <col min="37" max="37" width="6.140625" style="26" customWidth="1"/>
    <col min="38" max="38" width="4.42578125" style="26" bestFit="1" customWidth="1"/>
    <col min="39" max="39" width="30.5703125" style="26" customWidth="1"/>
    <col min="40" max="40" width="6.28515625" style="26" bestFit="1" customWidth="1"/>
    <col min="41" max="41" width="1.42578125" style="26" customWidth="1"/>
    <col min="42" max="42" width="6.140625" style="26" customWidth="1"/>
    <col min="43" max="43" width="4.42578125" style="26" bestFit="1" customWidth="1"/>
    <col min="44" max="44" width="30.5703125" style="26" customWidth="1"/>
    <col min="45" max="45" width="6.28515625" style="26" bestFit="1" customWidth="1"/>
    <col min="46" max="46" width="1.42578125" style="26" customWidth="1"/>
    <col min="47" max="47" width="6.140625" style="26" customWidth="1"/>
    <col min="48" max="48" width="4.42578125" style="26" bestFit="1" customWidth="1"/>
    <col min="49" max="49" width="30.5703125" style="26" customWidth="1"/>
    <col min="50" max="50" width="6.28515625" style="26" bestFit="1" customWidth="1"/>
    <col min="51" max="51" width="1.42578125" style="26" customWidth="1"/>
    <col min="52" max="52" width="6.140625" style="26" customWidth="1"/>
    <col min="53" max="53" width="4.42578125" style="26" bestFit="1" customWidth="1"/>
    <col min="54" max="54" width="30.5703125" style="26" customWidth="1"/>
    <col min="55" max="55" width="6.28515625" style="26" bestFit="1" customWidth="1"/>
    <col min="56" max="56" width="1.42578125" style="26" customWidth="1"/>
    <col min="57" max="57" width="6.140625" style="26" customWidth="1"/>
    <col min="58" max="58" width="4.42578125" style="26" bestFit="1" customWidth="1"/>
    <col min="59" max="59" width="30.5703125" style="26" customWidth="1"/>
    <col min="60" max="60" width="6.28515625" style="26" bestFit="1" customWidth="1"/>
    <col min="61" max="16384" width="9" style="1"/>
  </cols>
  <sheetData>
    <row r="1" spans="1:60" ht="25.5">
      <c r="A1" s="1"/>
      <c r="B1" s="8" t="s">
        <v>4126</v>
      </c>
      <c r="I1" s="7">
        <v>44637</v>
      </c>
    </row>
    <row r="2" spans="1:60" ht="15">
      <c r="A2" s="1"/>
      <c r="B2" s="2" t="s">
        <v>7191</v>
      </c>
      <c r="I2" s="262"/>
      <c r="Q2" s="2"/>
      <c r="V2" s="2"/>
      <c r="AA2" s="2"/>
      <c r="AF2" s="2"/>
      <c r="AK2" s="2"/>
      <c r="AP2" s="2"/>
      <c r="AU2" s="2"/>
      <c r="AZ2" s="2"/>
      <c r="BE2" s="2"/>
    </row>
    <row r="3" spans="1:60">
      <c r="A3" s="1"/>
      <c r="C3" s="3"/>
    </row>
    <row r="4" spans="1:60">
      <c r="A4" s="1"/>
    </row>
    <row r="5" spans="1:60">
      <c r="A5" s="1"/>
    </row>
    <row r="6" spans="1:60" ht="15.75" thickBot="1">
      <c r="A6" s="1"/>
      <c r="B6" s="4" t="s">
        <v>4127</v>
      </c>
      <c r="G6" s="4" t="s">
        <v>4127</v>
      </c>
      <c r="L6" s="4" t="s">
        <v>4127</v>
      </c>
      <c r="Q6" s="4" t="s">
        <v>10</v>
      </c>
      <c r="V6" s="4" t="s">
        <v>10</v>
      </c>
      <c r="AA6" s="4" t="s">
        <v>10</v>
      </c>
      <c r="AF6" s="4" t="s">
        <v>10</v>
      </c>
      <c r="AK6" s="4" t="s">
        <v>10</v>
      </c>
      <c r="AP6" s="4" t="s">
        <v>10</v>
      </c>
      <c r="AU6" s="4" t="s">
        <v>4127</v>
      </c>
      <c r="AZ6" s="4" t="s">
        <v>4127</v>
      </c>
      <c r="BE6" s="4" t="s">
        <v>4127</v>
      </c>
    </row>
    <row r="7" spans="1:60" ht="15" thickBot="1">
      <c r="A7" s="1"/>
      <c r="B7" s="60" t="s">
        <v>6583</v>
      </c>
      <c r="C7" s="61" t="s">
        <v>6584</v>
      </c>
      <c r="D7" s="61" t="s">
        <v>6585</v>
      </c>
      <c r="E7" s="62" t="s">
        <v>6586</v>
      </c>
      <c r="G7" s="60" t="s">
        <v>6583</v>
      </c>
      <c r="H7" s="61" t="s">
        <v>6584</v>
      </c>
      <c r="I7" s="61" t="s">
        <v>6585</v>
      </c>
      <c r="J7" s="62" t="s">
        <v>6586</v>
      </c>
      <c r="L7" s="60" t="s">
        <v>6583</v>
      </c>
      <c r="M7" s="61" t="s">
        <v>6584</v>
      </c>
      <c r="N7" s="61" t="s">
        <v>6585</v>
      </c>
      <c r="O7" s="62" t="s">
        <v>6586</v>
      </c>
      <c r="Q7" s="34" t="s">
        <v>6583</v>
      </c>
      <c r="R7" s="35" t="s">
        <v>6584</v>
      </c>
      <c r="S7" s="35" t="s">
        <v>6585</v>
      </c>
      <c r="T7" s="36" t="s">
        <v>6586</v>
      </c>
      <c r="V7" s="34" t="s">
        <v>6583</v>
      </c>
      <c r="W7" s="35" t="s">
        <v>6584</v>
      </c>
      <c r="X7" s="35" t="s">
        <v>6585</v>
      </c>
      <c r="Y7" s="36" t="s">
        <v>6586</v>
      </c>
      <c r="AA7" s="34" t="s">
        <v>6583</v>
      </c>
      <c r="AB7" s="35" t="s">
        <v>6584</v>
      </c>
      <c r="AC7" s="35" t="s">
        <v>6585</v>
      </c>
      <c r="AD7" s="36" t="s">
        <v>6586</v>
      </c>
      <c r="AF7" s="34" t="s">
        <v>6583</v>
      </c>
      <c r="AG7" s="35" t="s">
        <v>6584</v>
      </c>
      <c r="AH7" s="35" t="s">
        <v>6585</v>
      </c>
      <c r="AI7" s="36" t="s">
        <v>6586</v>
      </c>
      <c r="AK7" s="34" t="s">
        <v>6583</v>
      </c>
      <c r="AL7" s="35" t="s">
        <v>6584</v>
      </c>
      <c r="AM7" s="35" t="s">
        <v>6585</v>
      </c>
      <c r="AN7" s="36" t="s">
        <v>6586</v>
      </c>
      <c r="AP7" s="34" t="s">
        <v>6583</v>
      </c>
      <c r="AQ7" s="35" t="s">
        <v>6584</v>
      </c>
      <c r="AR7" s="35" t="s">
        <v>6585</v>
      </c>
      <c r="AS7" s="36" t="s">
        <v>6586</v>
      </c>
      <c r="AU7" s="60" t="s">
        <v>6583</v>
      </c>
      <c r="AV7" s="61" t="s">
        <v>6584</v>
      </c>
      <c r="AW7" s="61" t="s">
        <v>6585</v>
      </c>
      <c r="AX7" s="62" t="s">
        <v>6586</v>
      </c>
      <c r="AZ7" s="60" t="s">
        <v>6583</v>
      </c>
      <c r="BA7" s="61" t="s">
        <v>6584</v>
      </c>
      <c r="BB7" s="61" t="s">
        <v>6585</v>
      </c>
      <c r="BC7" s="62" t="s">
        <v>6586</v>
      </c>
      <c r="BE7" s="60" t="s">
        <v>6583</v>
      </c>
      <c r="BF7" s="61" t="s">
        <v>6584</v>
      </c>
      <c r="BG7" s="61" t="s">
        <v>6585</v>
      </c>
      <c r="BH7" s="62" t="s">
        <v>6586</v>
      </c>
    </row>
    <row r="8" spans="1:60">
      <c r="A8" s="1"/>
      <c r="B8" s="63">
        <v>1503</v>
      </c>
      <c r="C8" s="64">
        <v>1</v>
      </c>
      <c r="D8" s="65" t="s">
        <v>46</v>
      </c>
      <c r="E8" s="66" t="s">
        <v>46</v>
      </c>
      <c r="G8" s="63">
        <v>1506</v>
      </c>
      <c r="H8" s="64">
        <v>1</v>
      </c>
      <c r="I8" s="65" t="s">
        <v>6659</v>
      </c>
      <c r="J8" s="66" t="s">
        <v>1794</v>
      </c>
      <c r="L8" s="63">
        <v>1509</v>
      </c>
      <c r="M8" s="64">
        <v>1</v>
      </c>
      <c r="N8" s="65" t="s">
        <v>46</v>
      </c>
      <c r="O8" s="66" t="s">
        <v>46</v>
      </c>
      <c r="Q8" s="37">
        <v>1601</v>
      </c>
      <c r="R8" s="38">
        <v>1</v>
      </c>
      <c r="S8" s="39" t="s">
        <v>6660</v>
      </c>
      <c r="T8" s="40" t="s">
        <v>2166</v>
      </c>
      <c r="V8" s="37">
        <v>1604</v>
      </c>
      <c r="W8" s="56">
        <v>1</v>
      </c>
      <c r="X8" s="39" t="s">
        <v>6661</v>
      </c>
      <c r="Y8" s="40" t="s">
        <v>2554</v>
      </c>
      <c r="AA8" s="37">
        <v>1607</v>
      </c>
      <c r="AB8" s="56">
        <v>1</v>
      </c>
      <c r="AC8" s="39" t="s">
        <v>46</v>
      </c>
      <c r="AD8" s="40" t="s">
        <v>46</v>
      </c>
      <c r="AF8" s="37">
        <v>1703</v>
      </c>
      <c r="AG8" s="56">
        <v>1</v>
      </c>
      <c r="AH8" s="39" t="s">
        <v>46</v>
      </c>
      <c r="AI8" s="40" t="s">
        <v>46</v>
      </c>
      <c r="AK8" s="37">
        <v>1706</v>
      </c>
      <c r="AL8" s="56">
        <v>1</v>
      </c>
      <c r="AM8" s="39" t="s">
        <v>6659</v>
      </c>
      <c r="AN8" s="40" t="s">
        <v>1794</v>
      </c>
      <c r="AP8" s="37">
        <v>1709</v>
      </c>
      <c r="AQ8" s="56">
        <v>1</v>
      </c>
      <c r="AR8" s="39" t="s">
        <v>46</v>
      </c>
      <c r="AS8" s="40" t="s">
        <v>46</v>
      </c>
      <c r="AU8" s="63">
        <v>1801</v>
      </c>
      <c r="AV8" s="64">
        <v>1</v>
      </c>
      <c r="AW8" s="65" t="s">
        <v>6660</v>
      </c>
      <c r="AX8" s="66" t="s">
        <v>2166</v>
      </c>
      <c r="AZ8" s="63">
        <v>1804</v>
      </c>
      <c r="BA8" s="82">
        <v>1</v>
      </c>
      <c r="BB8" s="65" t="s">
        <v>6661</v>
      </c>
      <c r="BC8" s="66" t="s">
        <v>2554</v>
      </c>
      <c r="BE8" s="63">
        <v>1807</v>
      </c>
      <c r="BF8" s="64">
        <v>1</v>
      </c>
      <c r="BG8" s="65" t="s">
        <v>46</v>
      </c>
      <c r="BH8" s="66" t="s">
        <v>46</v>
      </c>
    </row>
    <row r="9" spans="1:60">
      <c r="A9" s="1"/>
      <c r="B9" s="67">
        <v>1503</v>
      </c>
      <c r="C9" s="68">
        <v>2</v>
      </c>
      <c r="D9" s="69" t="s">
        <v>46</v>
      </c>
      <c r="E9" s="70" t="s">
        <v>46</v>
      </c>
      <c r="G9" s="67">
        <v>1506</v>
      </c>
      <c r="H9" s="68">
        <v>2</v>
      </c>
      <c r="I9" s="69" t="s">
        <v>6662</v>
      </c>
      <c r="J9" s="70" t="s">
        <v>2456</v>
      </c>
      <c r="L9" s="67">
        <v>1509</v>
      </c>
      <c r="M9" s="68">
        <v>2</v>
      </c>
      <c r="N9" s="69" t="s">
        <v>46</v>
      </c>
      <c r="O9" s="70" t="s">
        <v>46</v>
      </c>
      <c r="Q9" s="41">
        <v>1601</v>
      </c>
      <c r="R9" s="42">
        <v>2</v>
      </c>
      <c r="S9" s="43" t="s">
        <v>6663</v>
      </c>
      <c r="T9" s="44" t="s">
        <v>2158</v>
      </c>
      <c r="V9" s="41">
        <v>1604</v>
      </c>
      <c r="W9" s="33">
        <v>2</v>
      </c>
      <c r="X9" s="43" t="s">
        <v>6664</v>
      </c>
      <c r="Y9" s="44" t="s">
        <v>2546</v>
      </c>
      <c r="AA9" s="41">
        <v>1607</v>
      </c>
      <c r="AB9" s="33">
        <v>2</v>
      </c>
      <c r="AC9" s="43" t="s">
        <v>46</v>
      </c>
      <c r="AD9" s="44" t="s">
        <v>46</v>
      </c>
      <c r="AF9" s="41">
        <v>1703</v>
      </c>
      <c r="AG9" s="33">
        <v>2</v>
      </c>
      <c r="AH9" s="43" t="s">
        <v>46</v>
      </c>
      <c r="AI9" s="44" t="s">
        <v>46</v>
      </c>
      <c r="AK9" s="41">
        <v>1706</v>
      </c>
      <c r="AL9" s="33">
        <v>2</v>
      </c>
      <c r="AM9" s="43" t="s">
        <v>6662</v>
      </c>
      <c r="AN9" s="44" t="s">
        <v>2456</v>
      </c>
      <c r="AP9" s="41">
        <v>1709</v>
      </c>
      <c r="AQ9" s="33">
        <v>2</v>
      </c>
      <c r="AR9" s="43" t="s">
        <v>46</v>
      </c>
      <c r="AS9" s="44" t="s">
        <v>46</v>
      </c>
      <c r="AU9" s="67">
        <v>1801</v>
      </c>
      <c r="AV9" s="68">
        <v>2</v>
      </c>
      <c r="AW9" s="69" t="s">
        <v>6663</v>
      </c>
      <c r="AX9" s="70" t="s">
        <v>2158</v>
      </c>
      <c r="AZ9" s="67">
        <v>1804</v>
      </c>
      <c r="BA9" s="83">
        <v>2</v>
      </c>
      <c r="BB9" s="69" t="s">
        <v>6664</v>
      </c>
      <c r="BC9" s="70" t="s">
        <v>2546</v>
      </c>
      <c r="BE9" s="67">
        <v>1807</v>
      </c>
      <c r="BF9" s="68">
        <v>2</v>
      </c>
      <c r="BG9" s="69" t="s">
        <v>46</v>
      </c>
      <c r="BH9" s="70" t="s">
        <v>46</v>
      </c>
    </row>
    <row r="10" spans="1:60">
      <c r="A10" s="1"/>
      <c r="B10" s="67">
        <v>1503</v>
      </c>
      <c r="C10" s="68">
        <v>3</v>
      </c>
      <c r="D10" s="69" t="s">
        <v>46</v>
      </c>
      <c r="E10" s="70" t="s">
        <v>46</v>
      </c>
      <c r="G10" s="67">
        <v>1506</v>
      </c>
      <c r="H10" s="68">
        <v>3</v>
      </c>
      <c r="I10" s="69" t="s">
        <v>46</v>
      </c>
      <c r="J10" s="70" t="s">
        <v>46</v>
      </c>
      <c r="L10" s="67">
        <v>1509</v>
      </c>
      <c r="M10" s="68">
        <v>3</v>
      </c>
      <c r="N10" s="69" t="s">
        <v>46</v>
      </c>
      <c r="O10" s="70" t="s">
        <v>46</v>
      </c>
      <c r="Q10" s="41">
        <v>1601</v>
      </c>
      <c r="R10" s="42">
        <v>3</v>
      </c>
      <c r="S10" s="43" t="s">
        <v>46</v>
      </c>
      <c r="T10" s="44" t="s">
        <v>46</v>
      </c>
      <c r="V10" s="41">
        <v>1604</v>
      </c>
      <c r="W10" s="33">
        <v>3</v>
      </c>
      <c r="X10" s="43" t="s">
        <v>46</v>
      </c>
      <c r="Y10" s="44" t="s">
        <v>46</v>
      </c>
      <c r="AA10" s="41">
        <v>1607</v>
      </c>
      <c r="AB10" s="33">
        <v>3</v>
      </c>
      <c r="AC10" s="43" t="s">
        <v>46</v>
      </c>
      <c r="AD10" s="44" t="s">
        <v>46</v>
      </c>
      <c r="AF10" s="41">
        <v>1703</v>
      </c>
      <c r="AG10" s="33">
        <v>3</v>
      </c>
      <c r="AH10" s="43" t="s">
        <v>46</v>
      </c>
      <c r="AI10" s="44" t="s">
        <v>46</v>
      </c>
      <c r="AK10" s="41">
        <v>1706</v>
      </c>
      <c r="AL10" s="33">
        <v>3</v>
      </c>
      <c r="AM10" s="43" t="s">
        <v>46</v>
      </c>
      <c r="AN10" s="44" t="s">
        <v>46</v>
      </c>
      <c r="AP10" s="41">
        <v>1709</v>
      </c>
      <c r="AQ10" s="33">
        <v>3</v>
      </c>
      <c r="AR10" s="43" t="s">
        <v>46</v>
      </c>
      <c r="AS10" s="44" t="s">
        <v>46</v>
      </c>
      <c r="AU10" s="67">
        <v>1801</v>
      </c>
      <c r="AV10" s="68">
        <v>3</v>
      </c>
      <c r="AW10" s="69" t="s">
        <v>46</v>
      </c>
      <c r="AX10" s="70" t="s">
        <v>46</v>
      </c>
      <c r="AZ10" s="67">
        <v>1804</v>
      </c>
      <c r="BA10" s="83">
        <v>3</v>
      </c>
      <c r="BB10" s="69" t="s">
        <v>46</v>
      </c>
      <c r="BC10" s="70" t="s">
        <v>46</v>
      </c>
      <c r="BE10" s="67">
        <v>1807</v>
      </c>
      <c r="BF10" s="68">
        <v>3</v>
      </c>
      <c r="BG10" s="69" t="s">
        <v>46</v>
      </c>
      <c r="BH10" s="70" t="s">
        <v>46</v>
      </c>
    </row>
    <row r="11" spans="1:60">
      <c r="A11" s="1"/>
      <c r="B11" s="67">
        <v>1503</v>
      </c>
      <c r="C11" s="68">
        <v>4</v>
      </c>
      <c r="D11" s="69" t="s">
        <v>46</v>
      </c>
      <c r="E11" s="70" t="s">
        <v>46</v>
      </c>
      <c r="G11" s="67">
        <v>1506</v>
      </c>
      <c r="H11" s="68">
        <v>4</v>
      </c>
      <c r="I11" s="69" t="s">
        <v>6665</v>
      </c>
      <c r="J11" s="70" t="s">
        <v>2467</v>
      </c>
      <c r="L11" s="67">
        <v>1509</v>
      </c>
      <c r="M11" s="68">
        <v>4</v>
      </c>
      <c r="N11" s="69" t="s">
        <v>46</v>
      </c>
      <c r="O11" s="70" t="s">
        <v>46</v>
      </c>
      <c r="Q11" s="41">
        <v>1601</v>
      </c>
      <c r="R11" s="42">
        <v>4</v>
      </c>
      <c r="S11" s="43" t="s">
        <v>46</v>
      </c>
      <c r="T11" s="44" t="s">
        <v>46</v>
      </c>
      <c r="V11" s="41">
        <v>1604</v>
      </c>
      <c r="W11" s="33">
        <v>4</v>
      </c>
      <c r="X11" s="43" t="s">
        <v>6666</v>
      </c>
      <c r="Y11" s="44" t="s">
        <v>1564</v>
      </c>
      <c r="AA11" s="41">
        <v>1607</v>
      </c>
      <c r="AB11" s="33">
        <v>4</v>
      </c>
      <c r="AC11" s="43" t="s">
        <v>46</v>
      </c>
      <c r="AD11" s="44" t="s">
        <v>46</v>
      </c>
      <c r="AF11" s="41">
        <v>1703</v>
      </c>
      <c r="AG11" s="33">
        <v>4</v>
      </c>
      <c r="AH11" s="43" t="s">
        <v>46</v>
      </c>
      <c r="AI11" s="44" t="s">
        <v>46</v>
      </c>
      <c r="AK11" s="41">
        <v>1706</v>
      </c>
      <c r="AL11" s="33">
        <v>4</v>
      </c>
      <c r="AM11" s="43" t="s">
        <v>6665</v>
      </c>
      <c r="AN11" s="44" t="s">
        <v>2467</v>
      </c>
      <c r="AP11" s="41">
        <v>1709</v>
      </c>
      <c r="AQ11" s="33">
        <v>4</v>
      </c>
      <c r="AR11" s="43" t="s">
        <v>46</v>
      </c>
      <c r="AS11" s="44" t="s">
        <v>46</v>
      </c>
      <c r="AU11" s="67">
        <v>1801</v>
      </c>
      <c r="AV11" s="68">
        <v>4</v>
      </c>
      <c r="AW11" s="69" t="s">
        <v>46</v>
      </c>
      <c r="AX11" s="70" t="s">
        <v>46</v>
      </c>
      <c r="AZ11" s="67">
        <v>1804</v>
      </c>
      <c r="BA11" s="83">
        <v>4</v>
      </c>
      <c r="BB11" s="69" t="s">
        <v>6666</v>
      </c>
      <c r="BC11" s="70" t="s">
        <v>1564</v>
      </c>
      <c r="BE11" s="67">
        <v>1807</v>
      </c>
      <c r="BF11" s="68">
        <v>4</v>
      </c>
      <c r="BG11" s="69" t="s">
        <v>46</v>
      </c>
      <c r="BH11" s="70" t="s">
        <v>46</v>
      </c>
    </row>
    <row r="12" spans="1:60">
      <c r="A12" s="1"/>
      <c r="B12" s="67">
        <v>1503</v>
      </c>
      <c r="C12" s="68">
        <v>5</v>
      </c>
      <c r="D12" s="69" t="s">
        <v>6667</v>
      </c>
      <c r="E12" s="70" t="s">
        <v>925</v>
      </c>
      <c r="G12" s="67">
        <v>1506</v>
      </c>
      <c r="H12" s="68">
        <v>5</v>
      </c>
      <c r="I12" s="69" t="s">
        <v>7192</v>
      </c>
      <c r="J12" s="70" t="s">
        <v>1329</v>
      </c>
      <c r="L12" s="67">
        <v>1509</v>
      </c>
      <c r="M12" s="68">
        <v>5</v>
      </c>
      <c r="N12" s="69" t="s">
        <v>6669</v>
      </c>
      <c r="O12" s="70" t="s">
        <v>594</v>
      </c>
      <c r="Q12" s="41">
        <v>1601</v>
      </c>
      <c r="R12" s="42">
        <v>5</v>
      </c>
      <c r="S12" s="43" t="s">
        <v>7193</v>
      </c>
      <c r="T12" s="44" t="s">
        <v>1244</v>
      </c>
      <c r="V12" s="41">
        <v>1604</v>
      </c>
      <c r="W12" s="33">
        <v>5</v>
      </c>
      <c r="X12" s="43" t="s">
        <v>6671</v>
      </c>
      <c r="Y12" s="44" t="s">
        <v>2660</v>
      </c>
      <c r="AA12" s="41">
        <v>1607</v>
      </c>
      <c r="AB12" s="33">
        <v>5</v>
      </c>
      <c r="AC12" s="43" t="s">
        <v>46</v>
      </c>
      <c r="AD12" s="44" t="s">
        <v>46</v>
      </c>
      <c r="AF12" s="41">
        <v>1703</v>
      </c>
      <c r="AG12" s="33">
        <v>5</v>
      </c>
      <c r="AH12" s="43" t="s">
        <v>6667</v>
      </c>
      <c r="AI12" s="44" t="s">
        <v>925</v>
      </c>
      <c r="AK12" s="41">
        <v>1706</v>
      </c>
      <c r="AL12" s="33">
        <v>5</v>
      </c>
      <c r="AM12" s="43" t="s">
        <v>7192</v>
      </c>
      <c r="AN12" s="44" t="s">
        <v>1329</v>
      </c>
      <c r="AP12" s="41">
        <v>1709</v>
      </c>
      <c r="AQ12" s="33">
        <v>5</v>
      </c>
      <c r="AR12" s="43" t="s">
        <v>6669</v>
      </c>
      <c r="AS12" s="44" t="s">
        <v>594</v>
      </c>
      <c r="AU12" s="67">
        <v>1801</v>
      </c>
      <c r="AV12" s="68">
        <v>5</v>
      </c>
      <c r="AW12" s="69" t="s">
        <v>7193</v>
      </c>
      <c r="AX12" s="70" t="s">
        <v>1244</v>
      </c>
      <c r="AZ12" s="67">
        <v>1804</v>
      </c>
      <c r="BA12" s="83">
        <v>5</v>
      </c>
      <c r="BB12" s="69" t="s">
        <v>6671</v>
      </c>
      <c r="BC12" s="70" t="s">
        <v>2660</v>
      </c>
      <c r="BE12" s="67">
        <v>1807</v>
      </c>
      <c r="BF12" s="68">
        <v>5</v>
      </c>
      <c r="BG12" s="69" t="s">
        <v>46</v>
      </c>
      <c r="BH12" s="70" t="s">
        <v>46</v>
      </c>
    </row>
    <row r="13" spans="1:60">
      <c r="A13" s="1"/>
      <c r="B13" s="67">
        <v>1503</v>
      </c>
      <c r="C13" s="68">
        <v>6</v>
      </c>
      <c r="D13" s="69" t="s">
        <v>6672</v>
      </c>
      <c r="E13" s="70" t="s">
        <v>920</v>
      </c>
      <c r="G13" s="67">
        <v>1506</v>
      </c>
      <c r="H13" s="68">
        <v>6</v>
      </c>
      <c r="I13" s="69" t="s">
        <v>7194</v>
      </c>
      <c r="J13" s="70" t="s">
        <v>930</v>
      </c>
      <c r="L13" s="67">
        <v>1509</v>
      </c>
      <c r="M13" s="68">
        <v>6</v>
      </c>
      <c r="N13" s="69" t="s">
        <v>46</v>
      </c>
      <c r="O13" s="70" t="s">
        <v>46</v>
      </c>
      <c r="Q13" s="41">
        <v>1601</v>
      </c>
      <c r="R13" s="42">
        <v>6</v>
      </c>
      <c r="S13" s="43" t="s">
        <v>6674</v>
      </c>
      <c r="T13" s="44" t="s">
        <v>1981</v>
      </c>
      <c r="V13" s="41">
        <v>1604</v>
      </c>
      <c r="W13" s="33">
        <v>6</v>
      </c>
      <c r="X13" s="43" t="s">
        <v>46</v>
      </c>
      <c r="Y13" s="44" t="s">
        <v>46</v>
      </c>
      <c r="AA13" s="41">
        <v>1607</v>
      </c>
      <c r="AB13" s="33">
        <v>6</v>
      </c>
      <c r="AC13" s="43" t="s">
        <v>46</v>
      </c>
      <c r="AD13" s="44" t="s">
        <v>46</v>
      </c>
      <c r="AF13" s="41">
        <v>1703</v>
      </c>
      <c r="AG13" s="33">
        <v>6</v>
      </c>
      <c r="AH13" s="43" t="s">
        <v>6672</v>
      </c>
      <c r="AI13" s="44" t="s">
        <v>920</v>
      </c>
      <c r="AK13" s="41">
        <v>1706</v>
      </c>
      <c r="AL13" s="33">
        <v>6</v>
      </c>
      <c r="AM13" s="43" t="s">
        <v>7194</v>
      </c>
      <c r="AN13" s="44" t="s">
        <v>930</v>
      </c>
      <c r="AP13" s="41">
        <v>1709</v>
      </c>
      <c r="AQ13" s="33">
        <v>6</v>
      </c>
      <c r="AR13" s="43" t="s">
        <v>46</v>
      </c>
      <c r="AS13" s="44" t="s">
        <v>46</v>
      </c>
      <c r="AU13" s="67">
        <v>1801</v>
      </c>
      <c r="AV13" s="68">
        <v>6</v>
      </c>
      <c r="AW13" s="69" t="s">
        <v>6674</v>
      </c>
      <c r="AX13" s="70" t="s">
        <v>1981</v>
      </c>
      <c r="AZ13" s="67">
        <v>1804</v>
      </c>
      <c r="BA13" s="83">
        <v>6</v>
      </c>
      <c r="BB13" s="69" t="s">
        <v>46</v>
      </c>
      <c r="BC13" s="70" t="s">
        <v>46</v>
      </c>
      <c r="BE13" s="67">
        <v>1807</v>
      </c>
      <c r="BF13" s="68">
        <v>6</v>
      </c>
      <c r="BG13" s="69" t="s">
        <v>46</v>
      </c>
      <c r="BH13" s="70" t="s">
        <v>46</v>
      </c>
    </row>
    <row r="14" spans="1:60">
      <c r="A14" s="1"/>
      <c r="B14" s="67">
        <v>1503</v>
      </c>
      <c r="C14" s="68">
        <v>7</v>
      </c>
      <c r="D14" s="69" t="s">
        <v>7195</v>
      </c>
      <c r="E14" s="70" t="s">
        <v>1309</v>
      </c>
      <c r="G14" s="67">
        <v>1506</v>
      </c>
      <c r="H14" s="68">
        <v>7</v>
      </c>
      <c r="I14" s="69" t="s">
        <v>7196</v>
      </c>
      <c r="J14" s="70" t="s">
        <v>1339</v>
      </c>
      <c r="L14" s="67">
        <v>1509</v>
      </c>
      <c r="M14" s="68">
        <v>7</v>
      </c>
      <c r="N14" s="69" t="s">
        <v>46</v>
      </c>
      <c r="O14" s="70" t="s">
        <v>46</v>
      </c>
      <c r="Q14" s="41">
        <v>1601</v>
      </c>
      <c r="R14" s="42">
        <v>7</v>
      </c>
      <c r="S14" s="43" t="s">
        <v>6677</v>
      </c>
      <c r="T14" s="44" t="s">
        <v>1704</v>
      </c>
      <c r="V14" s="41">
        <v>1604</v>
      </c>
      <c r="W14" s="33">
        <v>7</v>
      </c>
      <c r="X14" s="43" t="s">
        <v>6678</v>
      </c>
      <c r="Y14" s="44" t="s">
        <v>2652</v>
      </c>
      <c r="AA14" s="41">
        <v>1607</v>
      </c>
      <c r="AB14" s="33">
        <v>7</v>
      </c>
      <c r="AC14" s="43" t="s">
        <v>46</v>
      </c>
      <c r="AD14" s="44" t="s">
        <v>46</v>
      </c>
      <c r="AF14" s="41">
        <v>1703</v>
      </c>
      <c r="AG14" s="33">
        <v>7</v>
      </c>
      <c r="AH14" s="43" t="s">
        <v>7195</v>
      </c>
      <c r="AI14" s="44" t="s">
        <v>1309</v>
      </c>
      <c r="AK14" s="41">
        <v>1706</v>
      </c>
      <c r="AL14" s="33">
        <v>7</v>
      </c>
      <c r="AM14" s="43" t="s">
        <v>7196</v>
      </c>
      <c r="AN14" s="44" t="s">
        <v>1339</v>
      </c>
      <c r="AP14" s="41">
        <v>1709</v>
      </c>
      <c r="AQ14" s="33">
        <v>7</v>
      </c>
      <c r="AR14" s="43" t="s">
        <v>46</v>
      </c>
      <c r="AS14" s="44" t="s">
        <v>46</v>
      </c>
      <c r="AU14" s="67">
        <v>1801</v>
      </c>
      <c r="AV14" s="68">
        <v>7</v>
      </c>
      <c r="AW14" s="69" t="s">
        <v>6677</v>
      </c>
      <c r="AX14" s="70" t="s">
        <v>1704</v>
      </c>
      <c r="AZ14" s="67">
        <v>1804</v>
      </c>
      <c r="BA14" s="83">
        <v>7</v>
      </c>
      <c r="BB14" s="69" t="s">
        <v>6678</v>
      </c>
      <c r="BC14" s="70" t="s">
        <v>2652</v>
      </c>
      <c r="BE14" s="67">
        <v>1807</v>
      </c>
      <c r="BF14" s="68">
        <v>7</v>
      </c>
      <c r="BG14" s="69" t="s">
        <v>46</v>
      </c>
      <c r="BH14" s="70" t="s">
        <v>46</v>
      </c>
    </row>
    <row r="15" spans="1:60">
      <c r="A15" s="1"/>
      <c r="B15" s="67">
        <v>1503</v>
      </c>
      <c r="C15" s="68">
        <v>8</v>
      </c>
      <c r="D15" s="69" t="s">
        <v>46</v>
      </c>
      <c r="E15" s="70" t="s">
        <v>46</v>
      </c>
      <c r="G15" s="67">
        <v>1506</v>
      </c>
      <c r="H15" s="68">
        <v>8</v>
      </c>
      <c r="I15" s="69" t="s">
        <v>6679</v>
      </c>
      <c r="J15" s="70" t="s">
        <v>2017</v>
      </c>
      <c r="L15" s="67">
        <v>1509</v>
      </c>
      <c r="M15" s="68">
        <v>8</v>
      </c>
      <c r="N15" s="69" t="s">
        <v>6680</v>
      </c>
      <c r="O15" s="70" t="s">
        <v>3466</v>
      </c>
      <c r="Q15" s="41">
        <v>1601</v>
      </c>
      <c r="R15" s="42">
        <v>8</v>
      </c>
      <c r="S15" s="43" t="s">
        <v>6681</v>
      </c>
      <c r="T15" s="44" t="s">
        <v>1989</v>
      </c>
      <c r="V15" s="41">
        <v>1604</v>
      </c>
      <c r="W15" s="33">
        <v>8</v>
      </c>
      <c r="X15" s="43" t="s">
        <v>46</v>
      </c>
      <c r="Y15" s="44" t="s">
        <v>46</v>
      </c>
      <c r="AA15" s="41">
        <v>1607</v>
      </c>
      <c r="AB15" s="33">
        <v>8</v>
      </c>
      <c r="AC15" s="43" t="s">
        <v>46</v>
      </c>
      <c r="AD15" s="44" t="s">
        <v>46</v>
      </c>
      <c r="AF15" s="41">
        <v>1703</v>
      </c>
      <c r="AG15" s="33">
        <v>8</v>
      </c>
      <c r="AH15" s="43" t="s">
        <v>46</v>
      </c>
      <c r="AI15" s="44" t="s">
        <v>46</v>
      </c>
      <c r="AK15" s="41">
        <v>1706</v>
      </c>
      <c r="AL15" s="33">
        <v>8</v>
      </c>
      <c r="AM15" s="43" t="s">
        <v>6679</v>
      </c>
      <c r="AN15" s="44" t="s">
        <v>2017</v>
      </c>
      <c r="AP15" s="41">
        <v>1709</v>
      </c>
      <c r="AQ15" s="33">
        <v>8</v>
      </c>
      <c r="AR15" s="43" t="s">
        <v>6680</v>
      </c>
      <c r="AS15" s="44" t="s">
        <v>3466</v>
      </c>
      <c r="AU15" s="67">
        <v>1801</v>
      </c>
      <c r="AV15" s="68">
        <v>8</v>
      </c>
      <c r="AW15" s="69" t="s">
        <v>6681</v>
      </c>
      <c r="AX15" s="70" t="s">
        <v>1989</v>
      </c>
      <c r="AZ15" s="67">
        <v>1804</v>
      </c>
      <c r="BA15" s="83">
        <v>8</v>
      </c>
      <c r="BB15" s="69" t="s">
        <v>46</v>
      </c>
      <c r="BC15" s="70" t="s">
        <v>46</v>
      </c>
      <c r="BE15" s="67">
        <v>1807</v>
      </c>
      <c r="BF15" s="68">
        <v>8</v>
      </c>
      <c r="BG15" s="69" t="s">
        <v>46</v>
      </c>
      <c r="BH15" s="70" t="s">
        <v>46</v>
      </c>
    </row>
    <row r="16" spans="1:60">
      <c r="A16" s="1"/>
      <c r="B16" s="67">
        <v>1503</v>
      </c>
      <c r="C16" s="68">
        <v>9</v>
      </c>
      <c r="D16" s="69" t="s">
        <v>7197</v>
      </c>
      <c r="E16" s="70" t="s">
        <v>1284</v>
      </c>
      <c r="G16" s="67">
        <v>1506</v>
      </c>
      <c r="H16" s="68">
        <v>9</v>
      </c>
      <c r="I16" s="69" t="s">
        <v>6683</v>
      </c>
      <c r="J16" s="70" t="s">
        <v>900</v>
      </c>
      <c r="L16" s="67">
        <v>1509</v>
      </c>
      <c r="M16" s="68">
        <v>9</v>
      </c>
      <c r="N16" s="69" t="s">
        <v>46</v>
      </c>
      <c r="O16" s="70" t="s">
        <v>46</v>
      </c>
      <c r="Q16" s="41">
        <v>1601</v>
      </c>
      <c r="R16" s="42">
        <v>9</v>
      </c>
      <c r="S16" s="43" t="s">
        <v>46</v>
      </c>
      <c r="T16" s="44" t="s">
        <v>46</v>
      </c>
      <c r="V16" s="41">
        <v>1604</v>
      </c>
      <c r="W16" s="33">
        <v>9</v>
      </c>
      <c r="X16" s="43" t="s">
        <v>6684</v>
      </c>
      <c r="Y16" s="44" t="s">
        <v>1574</v>
      </c>
      <c r="AA16" s="41">
        <v>1607</v>
      </c>
      <c r="AB16" s="33">
        <v>9</v>
      </c>
      <c r="AC16" s="43" t="s">
        <v>46</v>
      </c>
      <c r="AD16" s="44" t="s">
        <v>46</v>
      </c>
      <c r="AF16" s="41">
        <v>1703</v>
      </c>
      <c r="AG16" s="33">
        <v>9</v>
      </c>
      <c r="AH16" s="43" t="s">
        <v>7197</v>
      </c>
      <c r="AI16" s="44" t="s">
        <v>1284</v>
      </c>
      <c r="AK16" s="41">
        <v>1706</v>
      </c>
      <c r="AL16" s="33">
        <v>9</v>
      </c>
      <c r="AM16" s="43" t="s">
        <v>6683</v>
      </c>
      <c r="AN16" s="44" t="s">
        <v>900</v>
      </c>
      <c r="AP16" s="41">
        <v>1709</v>
      </c>
      <c r="AQ16" s="33">
        <v>9</v>
      </c>
      <c r="AR16" s="43" t="s">
        <v>46</v>
      </c>
      <c r="AS16" s="44" t="s">
        <v>46</v>
      </c>
      <c r="AU16" s="67">
        <v>1801</v>
      </c>
      <c r="AV16" s="68">
        <v>9</v>
      </c>
      <c r="AW16" s="69" t="s">
        <v>46</v>
      </c>
      <c r="AX16" s="70" t="s">
        <v>46</v>
      </c>
      <c r="AZ16" s="67">
        <v>1804</v>
      </c>
      <c r="BA16" s="83">
        <v>9</v>
      </c>
      <c r="BB16" s="69" t="s">
        <v>6684</v>
      </c>
      <c r="BC16" s="70" t="s">
        <v>1574</v>
      </c>
      <c r="BE16" s="67">
        <v>1807</v>
      </c>
      <c r="BF16" s="68">
        <v>9</v>
      </c>
      <c r="BG16" s="69" t="s">
        <v>46</v>
      </c>
      <c r="BH16" s="70" t="s">
        <v>46</v>
      </c>
    </row>
    <row r="17" spans="1:60">
      <c r="A17" s="1"/>
      <c r="B17" s="67">
        <v>1503</v>
      </c>
      <c r="C17" s="68">
        <v>10</v>
      </c>
      <c r="D17" s="69" t="s">
        <v>46</v>
      </c>
      <c r="E17" s="70" t="s">
        <v>46</v>
      </c>
      <c r="G17" s="67">
        <v>1506</v>
      </c>
      <c r="H17" s="68">
        <v>10</v>
      </c>
      <c r="I17" s="69" t="s">
        <v>6685</v>
      </c>
      <c r="J17" s="70" t="s">
        <v>2025</v>
      </c>
      <c r="L17" s="67">
        <v>1509</v>
      </c>
      <c r="M17" s="68">
        <v>10</v>
      </c>
      <c r="N17" s="69" t="s">
        <v>6686</v>
      </c>
      <c r="O17" s="70" t="s">
        <v>436</v>
      </c>
      <c r="Q17" s="41">
        <v>1601</v>
      </c>
      <c r="R17" s="42">
        <v>10</v>
      </c>
      <c r="S17" s="43" t="s">
        <v>7198</v>
      </c>
      <c r="T17" s="44" t="s">
        <v>1399</v>
      </c>
      <c r="V17" s="41">
        <v>1604</v>
      </c>
      <c r="W17" s="33">
        <v>10</v>
      </c>
      <c r="X17" s="43" t="s">
        <v>6688</v>
      </c>
      <c r="Y17" s="44" t="s">
        <v>1749</v>
      </c>
      <c r="AA17" s="41">
        <v>1607</v>
      </c>
      <c r="AB17" s="33">
        <v>10</v>
      </c>
      <c r="AC17" s="43" t="s">
        <v>6689</v>
      </c>
      <c r="AD17" s="44" t="s">
        <v>1859</v>
      </c>
      <c r="AF17" s="41">
        <v>1703</v>
      </c>
      <c r="AG17" s="33">
        <v>10</v>
      </c>
      <c r="AH17" s="43" t="s">
        <v>46</v>
      </c>
      <c r="AI17" s="44" t="s">
        <v>46</v>
      </c>
      <c r="AK17" s="41">
        <v>1706</v>
      </c>
      <c r="AL17" s="33">
        <v>10</v>
      </c>
      <c r="AM17" s="43" t="s">
        <v>6685</v>
      </c>
      <c r="AN17" s="44" t="s">
        <v>2025</v>
      </c>
      <c r="AP17" s="41">
        <v>1709</v>
      </c>
      <c r="AQ17" s="33">
        <v>10</v>
      </c>
      <c r="AR17" s="43" t="s">
        <v>6686</v>
      </c>
      <c r="AS17" s="44" t="s">
        <v>436</v>
      </c>
      <c r="AU17" s="67">
        <v>1801</v>
      </c>
      <c r="AV17" s="68">
        <v>10</v>
      </c>
      <c r="AW17" s="69" t="s">
        <v>7198</v>
      </c>
      <c r="AX17" s="70" t="s">
        <v>1399</v>
      </c>
      <c r="AZ17" s="67">
        <v>1804</v>
      </c>
      <c r="BA17" s="83">
        <v>10</v>
      </c>
      <c r="BB17" s="69" t="s">
        <v>6688</v>
      </c>
      <c r="BC17" s="70" t="s">
        <v>1749</v>
      </c>
      <c r="BE17" s="67">
        <v>1807</v>
      </c>
      <c r="BF17" s="68">
        <v>10</v>
      </c>
      <c r="BG17" s="69" t="s">
        <v>6689</v>
      </c>
      <c r="BH17" s="70" t="s">
        <v>1859</v>
      </c>
    </row>
    <row r="18" spans="1:60">
      <c r="A18" s="1"/>
      <c r="B18" s="67">
        <v>1503</v>
      </c>
      <c r="C18" s="68">
        <v>11</v>
      </c>
      <c r="D18" s="69" t="s">
        <v>6690</v>
      </c>
      <c r="E18" s="70" t="s">
        <v>719</v>
      </c>
      <c r="G18" s="67">
        <v>1506</v>
      </c>
      <c r="H18" s="68">
        <v>11</v>
      </c>
      <c r="I18" s="69" t="s">
        <v>6691</v>
      </c>
      <c r="J18" s="70" t="s">
        <v>885</v>
      </c>
      <c r="L18" s="67">
        <v>1509</v>
      </c>
      <c r="M18" s="68">
        <v>11</v>
      </c>
      <c r="N18" s="69" t="s">
        <v>6692</v>
      </c>
      <c r="O18" s="70" t="s">
        <v>815</v>
      </c>
      <c r="Q18" s="41">
        <v>1601</v>
      </c>
      <c r="R18" s="42">
        <v>11</v>
      </c>
      <c r="S18" s="43" t="s">
        <v>6693</v>
      </c>
      <c r="T18" s="44" t="s">
        <v>1153</v>
      </c>
      <c r="V18" s="41">
        <v>1604</v>
      </c>
      <c r="W18" s="33">
        <v>11</v>
      </c>
      <c r="X18" s="43" t="s">
        <v>6694</v>
      </c>
      <c r="Y18" s="44" t="s">
        <v>1569</v>
      </c>
      <c r="AA18" s="41">
        <v>1607</v>
      </c>
      <c r="AB18" s="33">
        <v>11</v>
      </c>
      <c r="AC18" s="43" t="s">
        <v>46</v>
      </c>
      <c r="AD18" s="44" t="s">
        <v>46</v>
      </c>
      <c r="AF18" s="41">
        <v>1703</v>
      </c>
      <c r="AG18" s="33">
        <v>11</v>
      </c>
      <c r="AH18" s="43" t="s">
        <v>6690</v>
      </c>
      <c r="AI18" s="44" t="s">
        <v>719</v>
      </c>
      <c r="AK18" s="41">
        <v>1706</v>
      </c>
      <c r="AL18" s="33">
        <v>11</v>
      </c>
      <c r="AM18" s="43" t="s">
        <v>6691</v>
      </c>
      <c r="AN18" s="44" t="s">
        <v>885</v>
      </c>
      <c r="AP18" s="41">
        <v>1709</v>
      </c>
      <c r="AQ18" s="33">
        <v>11</v>
      </c>
      <c r="AR18" s="43" t="s">
        <v>6692</v>
      </c>
      <c r="AS18" s="44" t="s">
        <v>815</v>
      </c>
      <c r="AU18" s="67">
        <v>1801</v>
      </c>
      <c r="AV18" s="68">
        <v>11</v>
      </c>
      <c r="AW18" s="69" t="s">
        <v>6693</v>
      </c>
      <c r="AX18" s="70" t="s">
        <v>1153</v>
      </c>
      <c r="AZ18" s="67">
        <v>1804</v>
      </c>
      <c r="BA18" s="83">
        <v>11</v>
      </c>
      <c r="BB18" s="69" t="s">
        <v>6694</v>
      </c>
      <c r="BC18" s="70" t="s">
        <v>1569</v>
      </c>
      <c r="BE18" s="67">
        <v>1807</v>
      </c>
      <c r="BF18" s="68">
        <v>11</v>
      </c>
      <c r="BG18" s="69" t="s">
        <v>46</v>
      </c>
      <c r="BH18" s="70" t="s">
        <v>46</v>
      </c>
    </row>
    <row r="19" spans="1:60">
      <c r="A19" s="1"/>
      <c r="B19" s="67">
        <v>1503</v>
      </c>
      <c r="C19" s="68">
        <v>12</v>
      </c>
      <c r="D19" s="69" t="s">
        <v>6695</v>
      </c>
      <c r="E19" s="70" t="s">
        <v>2841</v>
      </c>
      <c r="G19" s="67">
        <v>1506</v>
      </c>
      <c r="H19" s="68">
        <v>12</v>
      </c>
      <c r="I19" s="69" t="s">
        <v>6696</v>
      </c>
      <c r="J19" s="70" t="s">
        <v>3664</v>
      </c>
      <c r="L19" s="67">
        <v>1509</v>
      </c>
      <c r="M19" s="68">
        <v>12</v>
      </c>
      <c r="N19" s="69" t="s">
        <v>6697</v>
      </c>
      <c r="O19" s="70" t="s">
        <v>352</v>
      </c>
      <c r="Q19" s="41">
        <v>1601</v>
      </c>
      <c r="R19" s="42">
        <v>12</v>
      </c>
      <c r="S19" s="43" t="s">
        <v>6698</v>
      </c>
      <c r="T19" s="44" t="s">
        <v>269</v>
      </c>
      <c r="V19" s="41">
        <v>1604</v>
      </c>
      <c r="W19" s="33">
        <v>12</v>
      </c>
      <c r="X19" s="43" t="s">
        <v>6699</v>
      </c>
      <c r="Y19" s="44" t="s">
        <v>2994</v>
      </c>
      <c r="AA19" s="41">
        <v>1607</v>
      </c>
      <c r="AB19" s="33">
        <v>12</v>
      </c>
      <c r="AC19" s="43" t="s">
        <v>6700</v>
      </c>
      <c r="AD19" s="44" t="s">
        <v>108</v>
      </c>
      <c r="AF19" s="41">
        <v>1703</v>
      </c>
      <c r="AG19" s="33">
        <v>12</v>
      </c>
      <c r="AH19" s="43" t="s">
        <v>6695</v>
      </c>
      <c r="AI19" s="44" t="s">
        <v>2841</v>
      </c>
      <c r="AK19" s="41">
        <v>1706</v>
      </c>
      <c r="AL19" s="33">
        <v>12</v>
      </c>
      <c r="AM19" s="43" t="s">
        <v>6696</v>
      </c>
      <c r="AN19" s="44" t="s">
        <v>3664</v>
      </c>
      <c r="AP19" s="41">
        <v>1709</v>
      </c>
      <c r="AQ19" s="33">
        <v>12</v>
      </c>
      <c r="AR19" s="43" t="s">
        <v>6697</v>
      </c>
      <c r="AS19" s="44" t="s">
        <v>352</v>
      </c>
      <c r="AU19" s="67">
        <v>1801</v>
      </c>
      <c r="AV19" s="68">
        <v>12</v>
      </c>
      <c r="AW19" s="69" t="s">
        <v>6698</v>
      </c>
      <c r="AX19" s="70" t="s">
        <v>269</v>
      </c>
      <c r="AZ19" s="67">
        <v>1804</v>
      </c>
      <c r="BA19" s="83">
        <v>12</v>
      </c>
      <c r="BB19" s="69" t="s">
        <v>6699</v>
      </c>
      <c r="BC19" s="70" t="s">
        <v>2994</v>
      </c>
      <c r="BE19" s="67">
        <v>1807</v>
      </c>
      <c r="BF19" s="68">
        <v>12</v>
      </c>
      <c r="BG19" s="69" t="s">
        <v>6700</v>
      </c>
      <c r="BH19" s="70" t="s">
        <v>108</v>
      </c>
    </row>
    <row r="20" spans="1:60">
      <c r="A20" s="1"/>
      <c r="B20" s="67">
        <v>1503</v>
      </c>
      <c r="C20" s="68">
        <v>13</v>
      </c>
      <c r="D20" s="69" t="s">
        <v>6701</v>
      </c>
      <c r="E20" s="70" t="s">
        <v>682</v>
      </c>
      <c r="G20" s="67">
        <v>1506</v>
      </c>
      <c r="H20" s="68">
        <v>13</v>
      </c>
      <c r="I20" s="69" t="s">
        <v>46</v>
      </c>
      <c r="J20" s="70" t="s">
        <v>46</v>
      </c>
      <c r="L20" s="67">
        <v>1509</v>
      </c>
      <c r="M20" s="68">
        <v>13</v>
      </c>
      <c r="N20" s="69" t="s">
        <v>6702</v>
      </c>
      <c r="O20" s="70" t="s">
        <v>372</v>
      </c>
      <c r="Q20" s="41">
        <v>1601</v>
      </c>
      <c r="R20" s="42">
        <v>13</v>
      </c>
      <c r="S20" s="43" t="s">
        <v>6703</v>
      </c>
      <c r="T20" s="44" t="s">
        <v>1093</v>
      </c>
      <c r="V20" s="41">
        <v>1604</v>
      </c>
      <c r="W20" s="33">
        <v>13</v>
      </c>
      <c r="X20" s="43" t="s">
        <v>6704</v>
      </c>
      <c r="Y20" s="44" t="s">
        <v>2817</v>
      </c>
      <c r="AA20" s="41">
        <v>1607</v>
      </c>
      <c r="AB20" s="33">
        <v>13</v>
      </c>
      <c r="AC20" s="43" t="s">
        <v>46</v>
      </c>
      <c r="AD20" s="44" t="s">
        <v>46</v>
      </c>
      <c r="AF20" s="41">
        <v>1703</v>
      </c>
      <c r="AG20" s="33">
        <v>13</v>
      </c>
      <c r="AH20" s="43" t="s">
        <v>6701</v>
      </c>
      <c r="AI20" s="44" t="s">
        <v>682</v>
      </c>
      <c r="AK20" s="41">
        <v>1706</v>
      </c>
      <c r="AL20" s="33">
        <v>13</v>
      </c>
      <c r="AM20" s="43" t="s">
        <v>46</v>
      </c>
      <c r="AN20" s="44" t="s">
        <v>46</v>
      </c>
      <c r="AP20" s="41">
        <v>1709</v>
      </c>
      <c r="AQ20" s="33">
        <v>13</v>
      </c>
      <c r="AR20" s="43" t="s">
        <v>6702</v>
      </c>
      <c r="AS20" s="44" t="s">
        <v>372</v>
      </c>
      <c r="AU20" s="67">
        <v>1801</v>
      </c>
      <c r="AV20" s="68">
        <v>13</v>
      </c>
      <c r="AW20" s="69" t="s">
        <v>6703</v>
      </c>
      <c r="AX20" s="70" t="s">
        <v>1093</v>
      </c>
      <c r="AZ20" s="67">
        <v>1804</v>
      </c>
      <c r="BA20" s="83">
        <v>13</v>
      </c>
      <c r="BB20" s="69" t="s">
        <v>6704</v>
      </c>
      <c r="BC20" s="70" t="s">
        <v>2817</v>
      </c>
      <c r="BE20" s="67">
        <v>1807</v>
      </c>
      <c r="BF20" s="68">
        <v>13</v>
      </c>
      <c r="BG20" s="69" t="s">
        <v>46</v>
      </c>
      <c r="BH20" s="70" t="s">
        <v>46</v>
      </c>
    </row>
    <row r="21" spans="1:60">
      <c r="A21" s="1"/>
      <c r="B21" s="67">
        <v>1503</v>
      </c>
      <c r="C21" s="68">
        <v>14</v>
      </c>
      <c r="D21" s="69" t="s">
        <v>6705</v>
      </c>
      <c r="E21" s="70" t="s">
        <v>698</v>
      </c>
      <c r="G21" s="67">
        <v>1506</v>
      </c>
      <c r="H21" s="68">
        <v>14</v>
      </c>
      <c r="I21" s="69" t="s">
        <v>46</v>
      </c>
      <c r="J21" s="70" t="s">
        <v>46</v>
      </c>
      <c r="L21" s="67">
        <v>1509</v>
      </c>
      <c r="M21" s="68">
        <v>14</v>
      </c>
      <c r="N21" s="69" t="s">
        <v>6706</v>
      </c>
      <c r="O21" s="70" t="s">
        <v>382</v>
      </c>
      <c r="Q21" s="41">
        <v>1601</v>
      </c>
      <c r="R21" s="42">
        <v>14</v>
      </c>
      <c r="S21" s="43" t="s">
        <v>6707</v>
      </c>
      <c r="T21" s="44" t="s">
        <v>259</v>
      </c>
      <c r="V21" s="41">
        <v>1604</v>
      </c>
      <c r="W21" s="33">
        <v>14</v>
      </c>
      <c r="X21" s="43" t="s">
        <v>6708</v>
      </c>
      <c r="Y21" s="44" t="s">
        <v>3074</v>
      </c>
      <c r="AA21" s="41">
        <v>1607</v>
      </c>
      <c r="AB21" s="33">
        <v>14</v>
      </c>
      <c r="AC21" s="43" t="s">
        <v>6709</v>
      </c>
      <c r="AD21" s="44" t="s">
        <v>182</v>
      </c>
      <c r="AF21" s="41">
        <v>1703</v>
      </c>
      <c r="AG21" s="33">
        <v>14</v>
      </c>
      <c r="AH21" s="43" t="s">
        <v>6705</v>
      </c>
      <c r="AI21" s="44" t="s">
        <v>698</v>
      </c>
      <c r="AK21" s="41">
        <v>1706</v>
      </c>
      <c r="AL21" s="33">
        <v>14</v>
      </c>
      <c r="AM21" s="43" t="s">
        <v>46</v>
      </c>
      <c r="AN21" s="44" t="s">
        <v>46</v>
      </c>
      <c r="AP21" s="41">
        <v>1709</v>
      </c>
      <c r="AQ21" s="33">
        <v>14</v>
      </c>
      <c r="AR21" s="43" t="s">
        <v>6706</v>
      </c>
      <c r="AS21" s="44" t="s">
        <v>382</v>
      </c>
      <c r="AU21" s="67">
        <v>1801</v>
      </c>
      <c r="AV21" s="68">
        <v>14</v>
      </c>
      <c r="AW21" s="69" t="s">
        <v>6707</v>
      </c>
      <c r="AX21" s="70" t="s">
        <v>259</v>
      </c>
      <c r="AZ21" s="67">
        <v>1804</v>
      </c>
      <c r="BA21" s="83">
        <v>14</v>
      </c>
      <c r="BB21" s="69" t="s">
        <v>6708</v>
      </c>
      <c r="BC21" s="70" t="s">
        <v>3074</v>
      </c>
      <c r="BE21" s="67">
        <v>1807</v>
      </c>
      <c r="BF21" s="68">
        <v>14</v>
      </c>
      <c r="BG21" s="69" t="s">
        <v>6709</v>
      </c>
      <c r="BH21" s="70" t="s">
        <v>182</v>
      </c>
    </row>
    <row r="22" spans="1:60">
      <c r="A22" s="1"/>
      <c r="B22" s="67">
        <v>1503</v>
      </c>
      <c r="C22" s="68">
        <v>15</v>
      </c>
      <c r="D22" s="69" t="s">
        <v>6710</v>
      </c>
      <c r="E22" s="70" t="s">
        <v>688</v>
      </c>
      <c r="G22" s="67">
        <v>1506</v>
      </c>
      <c r="H22" s="68">
        <v>15</v>
      </c>
      <c r="I22" s="69" t="s">
        <v>6711</v>
      </c>
      <c r="J22" s="70" t="s">
        <v>3303</v>
      </c>
      <c r="L22" s="67">
        <v>1509</v>
      </c>
      <c r="M22" s="68">
        <v>15</v>
      </c>
      <c r="N22" s="69" t="s">
        <v>46</v>
      </c>
      <c r="O22" s="70" t="s">
        <v>46</v>
      </c>
      <c r="Q22" s="41">
        <v>1601</v>
      </c>
      <c r="R22" s="42">
        <v>15</v>
      </c>
      <c r="S22" s="43" t="s">
        <v>7199</v>
      </c>
      <c r="T22" s="44" t="s">
        <v>1289</v>
      </c>
      <c r="V22" s="41">
        <v>1604</v>
      </c>
      <c r="W22" s="33">
        <v>15</v>
      </c>
      <c r="X22" s="43" t="s">
        <v>6713</v>
      </c>
      <c r="Y22" s="44" t="s">
        <v>1083</v>
      </c>
      <c r="AA22" s="41">
        <v>1607</v>
      </c>
      <c r="AB22" s="33">
        <v>15</v>
      </c>
      <c r="AC22" s="43" t="s">
        <v>6714</v>
      </c>
      <c r="AD22" s="44" t="s">
        <v>120</v>
      </c>
      <c r="AF22" s="41">
        <v>1703</v>
      </c>
      <c r="AG22" s="33">
        <v>15</v>
      </c>
      <c r="AH22" s="43" t="s">
        <v>6710</v>
      </c>
      <c r="AI22" s="44" t="s">
        <v>688</v>
      </c>
      <c r="AK22" s="41">
        <v>1706</v>
      </c>
      <c r="AL22" s="33">
        <v>15</v>
      </c>
      <c r="AM22" s="43" t="s">
        <v>6711</v>
      </c>
      <c r="AN22" s="44" t="s">
        <v>3303</v>
      </c>
      <c r="AP22" s="41">
        <v>1709</v>
      </c>
      <c r="AQ22" s="33">
        <v>15</v>
      </c>
      <c r="AR22" s="43" t="s">
        <v>46</v>
      </c>
      <c r="AS22" s="44" t="s">
        <v>46</v>
      </c>
      <c r="AU22" s="67">
        <v>1801</v>
      </c>
      <c r="AV22" s="68">
        <v>15</v>
      </c>
      <c r="AW22" s="69" t="s">
        <v>7199</v>
      </c>
      <c r="AX22" s="70" t="s">
        <v>1289</v>
      </c>
      <c r="AZ22" s="67">
        <v>1804</v>
      </c>
      <c r="BA22" s="83">
        <v>15</v>
      </c>
      <c r="BB22" s="69" t="s">
        <v>6713</v>
      </c>
      <c r="BC22" s="70" t="s">
        <v>1083</v>
      </c>
      <c r="BE22" s="67">
        <v>1807</v>
      </c>
      <c r="BF22" s="68">
        <v>15</v>
      </c>
      <c r="BG22" s="69" t="s">
        <v>6714</v>
      </c>
      <c r="BH22" s="70" t="s">
        <v>120</v>
      </c>
    </row>
    <row r="23" spans="1:60" ht="15" thickBot="1">
      <c r="A23" s="1"/>
      <c r="B23" s="71">
        <v>1503</v>
      </c>
      <c r="C23" s="72">
        <v>16</v>
      </c>
      <c r="D23" s="73" t="s">
        <v>6715</v>
      </c>
      <c r="E23" s="74" t="s">
        <v>1945</v>
      </c>
      <c r="G23" s="71">
        <v>1506</v>
      </c>
      <c r="H23" s="72">
        <v>16</v>
      </c>
      <c r="I23" s="73" t="s">
        <v>6716</v>
      </c>
      <c r="J23" s="74" t="s">
        <v>750</v>
      </c>
      <c r="L23" s="71">
        <v>1509</v>
      </c>
      <c r="M23" s="72">
        <v>16</v>
      </c>
      <c r="N23" s="73" t="s">
        <v>46</v>
      </c>
      <c r="O23" s="74" t="s">
        <v>46</v>
      </c>
      <c r="Q23" s="45">
        <v>1601</v>
      </c>
      <c r="R23" s="46">
        <v>16</v>
      </c>
      <c r="S23" s="47" t="s">
        <v>7200</v>
      </c>
      <c r="T23" s="48" t="s">
        <v>1304</v>
      </c>
      <c r="V23" s="45">
        <v>1604</v>
      </c>
      <c r="W23" s="57">
        <v>16</v>
      </c>
      <c r="X23" s="47" t="s">
        <v>6718</v>
      </c>
      <c r="Y23" s="48" t="s">
        <v>4095</v>
      </c>
      <c r="AA23" s="45">
        <v>1607</v>
      </c>
      <c r="AB23" s="57">
        <v>16</v>
      </c>
      <c r="AC23" s="47" t="s">
        <v>6719</v>
      </c>
      <c r="AD23" s="48" t="s">
        <v>126</v>
      </c>
      <c r="AF23" s="45">
        <v>1703</v>
      </c>
      <c r="AG23" s="57">
        <v>16</v>
      </c>
      <c r="AH23" s="47" t="s">
        <v>6715</v>
      </c>
      <c r="AI23" s="48" t="s">
        <v>1945</v>
      </c>
      <c r="AK23" s="45">
        <v>1706</v>
      </c>
      <c r="AL23" s="57">
        <v>16</v>
      </c>
      <c r="AM23" s="47" t="s">
        <v>6716</v>
      </c>
      <c r="AN23" s="48" t="s">
        <v>750</v>
      </c>
      <c r="AP23" s="45">
        <v>1709</v>
      </c>
      <c r="AQ23" s="57">
        <v>16</v>
      </c>
      <c r="AR23" s="47" t="s">
        <v>46</v>
      </c>
      <c r="AS23" s="48" t="s">
        <v>46</v>
      </c>
      <c r="AU23" s="71">
        <v>1801</v>
      </c>
      <c r="AV23" s="72">
        <v>16</v>
      </c>
      <c r="AW23" s="73" t="s">
        <v>7200</v>
      </c>
      <c r="AX23" s="74" t="s">
        <v>1304</v>
      </c>
      <c r="AZ23" s="71">
        <v>1804</v>
      </c>
      <c r="BA23" s="84">
        <v>16</v>
      </c>
      <c r="BB23" s="73" t="s">
        <v>6718</v>
      </c>
      <c r="BC23" s="74" t="s">
        <v>4095</v>
      </c>
      <c r="BE23" s="71">
        <v>1807</v>
      </c>
      <c r="BF23" s="72">
        <v>16</v>
      </c>
      <c r="BG23" s="73" t="s">
        <v>6719</v>
      </c>
      <c r="BH23" s="74" t="s">
        <v>126</v>
      </c>
    </row>
    <row r="24" spans="1:60">
      <c r="A24" s="1"/>
      <c r="B24" s="75">
        <v>1503</v>
      </c>
      <c r="C24" s="76">
        <v>17</v>
      </c>
      <c r="D24" s="77" t="s">
        <v>6720</v>
      </c>
      <c r="E24" s="66" t="s">
        <v>1925</v>
      </c>
      <c r="G24" s="75">
        <v>1506</v>
      </c>
      <c r="H24" s="76">
        <v>17</v>
      </c>
      <c r="I24" s="77" t="s">
        <v>6721</v>
      </c>
      <c r="J24" s="66" t="s">
        <v>3311</v>
      </c>
      <c r="L24" s="75">
        <v>1509</v>
      </c>
      <c r="M24" s="76">
        <v>17</v>
      </c>
      <c r="N24" s="77" t="s">
        <v>46</v>
      </c>
      <c r="O24" s="66" t="s">
        <v>46</v>
      </c>
      <c r="Q24" s="49">
        <v>1601</v>
      </c>
      <c r="R24" s="50">
        <v>17</v>
      </c>
      <c r="S24" s="51" t="s">
        <v>6722</v>
      </c>
      <c r="T24" s="40" t="s">
        <v>1614</v>
      </c>
      <c r="V24" s="49">
        <v>1604</v>
      </c>
      <c r="W24" s="58">
        <v>17</v>
      </c>
      <c r="X24" s="51" t="s">
        <v>6723</v>
      </c>
      <c r="Y24" s="40" t="s">
        <v>1554</v>
      </c>
      <c r="AA24" s="49">
        <v>1607</v>
      </c>
      <c r="AB24" s="58">
        <v>17</v>
      </c>
      <c r="AC24" s="51" t="s">
        <v>6724</v>
      </c>
      <c r="AD24" s="40" t="s">
        <v>192</v>
      </c>
      <c r="AF24" s="49">
        <v>1703</v>
      </c>
      <c r="AG24" s="58">
        <v>17</v>
      </c>
      <c r="AH24" s="51" t="s">
        <v>6720</v>
      </c>
      <c r="AI24" s="40" t="s">
        <v>1925</v>
      </c>
      <c r="AK24" s="49">
        <v>1706</v>
      </c>
      <c r="AL24" s="58">
        <v>17</v>
      </c>
      <c r="AM24" s="51" t="s">
        <v>6721</v>
      </c>
      <c r="AN24" s="40" t="s">
        <v>3311</v>
      </c>
      <c r="AP24" s="49">
        <v>1709</v>
      </c>
      <c r="AQ24" s="58">
        <v>17</v>
      </c>
      <c r="AR24" s="51" t="s">
        <v>46</v>
      </c>
      <c r="AS24" s="40" t="s">
        <v>46</v>
      </c>
      <c r="AU24" s="75">
        <v>1801</v>
      </c>
      <c r="AV24" s="76">
        <v>17</v>
      </c>
      <c r="AW24" s="77" t="s">
        <v>6722</v>
      </c>
      <c r="AX24" s="66" t="s">
        <v>1614</v>
      </c>
      <c r="AZ24" s="75">
        <v>1804</v>
      </c>
      <c r="BA24" s="85">
        <v>17</v>
      </c>
      <c r="BB24" s="77" t="s">
        <v>6723</v>
      </c>
      <c r="BC24" s="66" t="s">
        <v>1554</v>
      </c>
      <c r="BE24" s="75">
        <v>1807</v>
      </c>
      <c r="BF24" s="76">
        <v>17</v>
      </c>
      <c r="BG24" s="77" t="s">
        <v>6724</v>
      </c>
      <c r="BH24" s="66" t="s">
        <v>192</v>
      </c>
    </row>
    <row r="25" spans="1:60">
      <c r="A25" s="1"/>
      <c r="B25" s="67">
        <v>1503</v>
      </c>
      <c r="C25" s="68">
        <v>18</v>
      </c>
      <c r="D25" s="69" t="s">
        <v>6725</v>
      </c>
      <c r="E25" s="70" t="s">
        <v>1953</v>
      </c>
      <c r="G25" s="67">
        <v>1506</v>
      </c>
      <c r="H25" s="68">
        <v>18</v>
      </c>
      <c r="I25" s="69" t="s">
        <v>6726</v>
      </c>
      <c r="J25" s="70" t="s">
        <v>470</v>
      </c>
      <c r="L25" s="67">
        <v>1509</v>
      </c>
      <c r="M25" s="68">
        <v>18</v>
      </c>
      <c r="N25" s="69" t="s">
        <v>6727</v>
      </c>
      <c r="O25" s="70" t="s">
        <v>905</v>
      </c>
      <c r="Q25" s="41">
        <v>1601</v>
      </c>
      <c r="R25" s="42">
        <v>18</v>
      </c>
      <c r="S25" s="43" t="s">
        <v>6728</v>
      </c>
      <c r="T25" s="44" t="s">
        <v>1078</v>
      </c>
      <c r="V25" s="41">
        <v>1604</v>
      </c>
      <c r="W25" s="33">
        <v>18</v>
      </c>
      <c r="X25" s="43" t="s">
        <v>6729</v>
      </c>
      <c r="Y25" s="44" t="s">
        <v>4088</v>
      </c>
      <c r="AA25" s="41">
        <v>1607</v>
      </c>
      <c r="AB25" s="33">
        <v>18</v>
      </c>
      <c r="AC25" s="43" t="s">
        <v>6730</v>
      </c>
      <c r="AD25" s="44" t="s">
        <v>197</v>
      </c>
      <c r="AF25" s="41">
        <v>1703</v>
      </c>
      <c r="AG25" s="33">
        <v>18</v>
      </c>
      <c r="AH25" s="43" t="s">
        <v>6725</v>
      </c>
      <c r="AI25" s="44" t="s">
        <v>1953</v>
      </c>
      <c r="AK25" s="41">
        <v>1706</v>
      </c>
      <c r="AL25" s="33">
        <v>18</v>
      </c>
      <c r="AM25" s="43" t="s">
        <v>6726</v>
      </c>
      <c r="AN25" s="44" t="s">
        <v>470</v>
      </c>
      <c r="AP25" s="41">
        <v>1709</v>
      </c>
      <c r="AQ25" s="33">
        <v>18</v>
      </c>
      <c r="AR25" s="43" t="s">
        <v>6727</v>
      </c>
      <c r="AS25" s="44" t="s">
        <v>905</v>
      </c>
      <c r="AU25" s="67">
        <v>1801</v>
      </c>
      <c r="AV25" s="68">
        <v>18</v>
      </c>
      <c r="AW25" s="69" t="s">
        <v>6728</v>
      </c>
      <c r="AX25" s="70" t="s">
        <v>1078</v>
      </c>
      <c r="AZ25" s="67">
        <v>1804</v>
      </c>
      <c r="BA25" s="83">
        <v>18</v>
      </c>
      <c r="BB25" s="69" t="s">
        <v>6729</v>
      </c>
      <c r="BC25" s="70" t="s">
        <v>4088</v>
      </c>
      <c r="BE25" s="67">
        <v>1807</v>
      </c>
      <c r="BF25" s="68">
        <v>18</v>
      </c>
      <c r="BG25" s="69" t="s">
        <v>6730</v>
      </c>
      <c r="BH25" s="70" t="s">
        <v>197</v>
      </c>
    </row>
    <row r="26" spans="1:60">
      <c r="A26" s="1"/>
      <c r="B26" s="67">
        <v>1503</v>
      </c>
      <c r="C26" s="68">
        <v>19</v>
      </c>
      <c r="D26" s="69" t="s">
        <v>6731</v>
      </c>
      <c r="E26" s="70" t="s">
        <v>1936</v>
      </c>
      <c r="G26" s="67">
        <v>1506</v>
      </c>
      <c r="H26" s="68">
        <v>19</v>
      </c>
      <c r="I26" s="69" t="s">
        <v>6732</v>
      </c>
      <c r="J26" s="70" t="s">
        <v>1997</v>
      </c>
      <c r="L26" s="67">
        <v>1509</v>
      </c>
      <c r="M26" s="68">
        <v>19</v>
      </c>
      <c r="N26" s="69" t="s">
        <v>46</v>
      </c>
      <c r="O26" s="70" t="s">
        <v>46</v>
      </c>
      <c r="Q26" s="41">
        <v>1601</v>
      </c>
      <c r="R26" s="42">
        <v>19</v>
      </c>
      <c r="S26" s="43" t="s">
        <v>46</v>
      </c>
      <c r="T26" s="44" t="s">
        <v>46</v>
      </c>
      <c r="V26" s="41">
        <v>1604</v>
      </c>
      <c r="W26" s="33">
        <v>19</v>
      </c>
      <c r="X26" s="43" t="s">
        <v>46</v>
      </c>
      <c r="Y26" s="44" t="s">
        <v>46</v>
      </c>
      <c r="AA26" s="41">
        <v>1607</v>
      </c>
      <c r="AB26" s="33">
        <v>19</v>
      </c>
      <c r="AC26" s="43" t="s">
        <v>46</v>
      </c>
      <c r="AD26" s="44" t="s">
        <v>46</v>
      </c>
      <c r="AF26" s="41">
        <v>1703</v>
      </c>
      <c r="AG26" s="33">
        <v>19</v>
      </c>
      <c r="AH26" s="43" t="s">
        <v>6731</v>
      </c>
      <c r="AI26" s="44" t="s">
        <v>1936</v>
      </c>
      <c r="AK26" s="41">
        <v>1706</v>
      </c>
      <c r="AL26" s="33">
        <v>19</v>
      </c>
      <c r="AM26" s="43" t="s">
        <v>6732</v>
      </c>
      <c r="AN26" s="44" t="s">
        <v>1997</v>
      </c>
      <c r="AP26" s="41">
        <v>1709</v>
      </c>
      <c r="AQ26" s="33">
        <v>19</v>
      </c>
      <c r="AR26" s="43" t="s">
        <v>46</v>
      </c>
      <c r="AS26" s="44" t="s">
        <v>46</v>
      </c>
      <c r="AU26" s="67">
        <v>1801</v>
      </c>
      <c r="AV26" s="68">
        <v>19</v>
      </c>
      <c r="AW26" s="69" t="s">
        <v>46</v>
      </c>
      <c r="AX26" s="70" t="s">
        <v>46</v>
      </c>
      <c r="AZ26" s="67">
        <v>1804</v>
      </c>
      <c r="BA26" s="83">
        <v>19</v>
      </c>
      <c r="BB26" s="69" t="s">
        <v>46</v>
      </c>
      <c r="BC26" s="70" t="s">
        <v>46</v>
      </c>
      <c r="BE26" s="67">
        <v>1807</v>
      </c>
      <c r="BF26" s="68">
        <v>19</v>
      </c>
      <c r="BG26" s="69" t="s">
        <v>46</v>
      </c>
      <c r="BH26" s="70" t="s">
        <v>46</v>
      </c>
    </row>
    <row r="27" spans="1:60">
      <c r="A27" s="1"/>
      <c r="B27" s="67">
        <v>1503</v>
      </c>
      <c r="C27" s="68">
        <v>20</v>
      </c>
      <c r="D27" s="69" t="s">
        <v>6733</v>
      </c>
      <c r="E27" s="70" t="s">
        <v>1882</v>
      </c>
      <c r="G27" s="67">
        <v>1506</v>
      </c>
      <c r="H27" s="68">
        <v>20</v>
      </c>
      <c r="I27" s="69" t="s">
        <v>6734</v>
      </c>
      <c r="J27" s="70" t="s">
        <v>460</v>
      </c>
      <c r="L27" s="67">
        <v>1509</v>
      </c>
      <c r="M27" s="68">
        <v>20</v>
      </c>
      <c r="N27" s="69" t="s">
        <v>6735</v>
      </c>
      <c r="O27" s="70" t="s">
        <v>3197</v>
      </c>
      <c r="Q27" s="41">
        <v>1601</v>
      </c>
      <c r="R27" s="42">
        <v>20</v>
      </c>
      <c r="S27" s="43" t="s">
        <v>46</v>
      </c>
      <c r="T27" s="44" t="s">
        <v>46</v>
      </c>
      <c r="V27" s="41">
        <v>1604</v>
      </c>
      <c r="W27" s="33">
        <v>20</v>
      </c>
      <c r="X27" s="43" t="s">
        <v>46</v>
      </c>
      <c r="Y27" s="44" t="s">
        <v>46</v>
      </c>
      <c r="AA27" s="41">
        <v>1607</v>
      </c>
      <c r="AB27" s="33">
        <v>20</v>
      </c>
      <c r="AC27" s="43" t="s">
        <v>6736</v>
      </c>
      <c r="AD27" s="44" t="s">
        <v>96</v>
      </c>
      <c r="AF27" s="41">
        <v>1703</v>
      </c>
      <c r="AG27" s="33">
        <v>20</v>
      </c>
      <c r="AH27" s="43" t="s">
        <v>6733</v>
      </c>
      <c r="AI27" s="44" t="s">
        <v>1882</v>
      </c>
      <c r="AK27" s="41">
        <v>1706</v>
      </c>
      <c r="AL27" s="33">
        <v>20</v>
      </c>
      <c r="AM27" s="43" t="s">
        <v>6734</v>
      </c>
      <c r="AN27" s="44" t="s">
        <v>460</v>
      </c>
      <c r="AP27" s="41">
        <v>1709</v>
      </c>
      <c r="AQ27" s="33">
        <v>20</v>
      </c>
      <c r="AR27" s="43" t="s">
        <v>6735</v>
      </c>
      <c r="AS27" s="44" t="s">
        <v>3197</v>
      </c>
      <c r="AU27" s="67">
        <v>1801</v>
      </c>
      <c r="AV27" s="68">
        <v>20</v>
      </c>
      <c r="AW27" s="69" t="s">
        <v>46</v>
      </c>
      <c r="AX27" s="70" t="s">
        <v>46</v>
      </c>
      <c r="AZ27" s="67">
        <v>1804</v>
      </c>
      <c r="BA27" s="83">
        <v>20</v>
      </c>
      <c r="BB27" s="69" t="s">
        <v>46</v>
      </c>
      <c r="BC27" s="70" t="s">
        <v>46</v>
      </c>
      <c r="BE27" s="67">
        <v>1807</v>
      </c>
      <c r="BF27" s="68">
        <v>20</v>
      </c>
      <c r="BG27" s="69" t="s">
        <v>6736</v>
      </c>
      <c r="BH27" s="70" t="s">
        <v>96</v>
      </c>
    </row>
    <row r="28" spans="1:60">
      <c r="A28" s="1"/>
      <c r="B28" s="67">
        <v>1503</v>
      </c>
      <c r="C28" s="68">
        <v>21</v>
      </c>
      <c r="D28" s="69" t="s">
        <v>7201</v>
      </c>
      <c r="E28" s="70" t="s">
        <v>968</v>
      </c>
      <c r="G28" s="67">
        <v>1506</v>
      </c>
      <c r="H28" s="68">
        <v>21</v>
      </c>
      <c r="I28" s="69" t="s">
        <v>6738</v>
      </c>
      <c r="J28" s="70" t="s">
        <v>2008</v>
      </c>
      <c r="L28" s="67">
        <v>1509</v>
      </c>
      <c r="M28" s="68">
        <v>21</v>
      </c>
      <c r="N28" s="69" t="s">
        <v>46</v>
      </c>
      <c r="O28" s="70" t="s">
        <v>46</v>
      </c>
      <c r="Q28" s="41">
        <v>1601</v>
      </c>
      <c r="R28" s="42">
        <v>21</v>
      </c>
      <c r="S28" s="43" t="s">
        <v>6739</v>
      </c>
      <c r="T28" s="44" t="s">
        <v>2959</v>
      </c>
      <c r="V28" s="41">
        <v>1604</v>
      </c>
      <c r="W28" s="33">
        <v>21</v>
      </c>
      <c r="X28" s="43" t="s">
        <v>46</v>
      </c>
      <c r="Y28" s="44" t="s">
        <v>46</v>
      </c>
      <c r="AA28" s="41">
        <v>1607</v>
      </c>
      <c r="AB28" s="33">
        <v>21</v>
      </c>
      <c r="AC28" s="43" t="s">
        <v>46</v>
      </c>
      <c r="AD28" s="44" t="s">
        <v>46</v>
      </c>
      <c r="AF28" s="41">
        <v>1703</v>
      </c>
      <c r="AG28" s="33">
        <v>21</v>
      </c>
      <c r="AH28" s="43" t="s">
        <v>7201</v>
      </c>
      <c r="AI28" s="44" t="s">
        <v>968</v>
      </c>
      <c r="AK28" s="41">
        <v>1706</v>
      </c>
      <c r="AL28" s="33">
        <v>21</v>
      </c>
      <c r="AM28" s="43" t="s">
        <v>6738</v>
      </c>
      <c r="AN28" s="44" t="s">
        <v>2008</v>
      </c>
      <c r="AP28" s="41">
        <v>1709</v>
      </c>
      <c r="AQ28" s="33">
        <v>21</v>
      </c>
      <c r="AR28" s="43" t="s">
        <v>46</v>
      </c>
      <c r="AS28" s="44" t="s">
        <v>46</v>
      </c>
      <c r="AU28" s="67">
        <v>1801</v>
      </c>
      <c r="AV28" s="68">
        <v>21</v>
      </c>
      <c r="AW28" s="69" t="s">
        <v>6739</v>
      </c>
      <c r="AX28" s="70" t="s">
        <v>2959</v>
      </c>
      <c r="AZ28" s="67">
        <v>1804</v>
      </c>
      <c r="BA28" s="83">
        <v>21</v>
      </c>
      <c r="BB28" s="69" t="s">
        <v>46</v>
      </c>
      <c r="BC28" s="70" t="s">
        <v>46</v>
      </c>
      <c r="BE28" s="67">
        <v>1807</v>
      </c>
      <c r="BF28" s="68">
        <v>21</v>
      </c>
      <c r="BG28" s="69" t="s">
        <v>46</v>
      </c>
      <c r="BH28" s="70" t="s">
        <v>46</v>
      </c>
    </row>
    <row r="29" spans="1:60">
      <c r="A29" s="1"/>
      <c r="B29" s="67">
        <v>1503</v>
      </c>
      <c r="C29" s="68">
        <v>22</v>
      </c>
      <c r="D29" s="69" t="s">
        <v>6740</v>
      </c>
      <c r="E29" s="70" t="s">
        <v>357</v>
      </c>
      <c r="G29" s="67">
        <v>1506</v>
      </c>
      <c r="H29" s="68">
        <v>22</v>
      </c>
      <c r="I29" s="69" t="s">
        <v>6741</v>
      </c>
      <c r="J29" s="70" t="s">
        <v>377</v>
      </c>
      <c r="L29" s="67">
        <v>1509</v>
      </c>
      <c r="M29" s="68">
        <v>22</v>
      </c>
      <c r="N29" s="69" t="s">
        <v>6742</v>
      </c>
      <c r="O29" s="70" t="s">
        <v>3476</v>
      </c>
      <c r="Q29" s="41">
        <v>1601</v>
      </c>
      <c r="R29" s="42">
        <v>22</v>
      </c>
      <c r="S29" s="43" t="s">
        <v>6743</v>
      </c>
      <c r="T29" s="44" t="s">
        <v>2954</v>
      </c>
      <c r="V29" s="41">
        <v>1604</v>
      </c>
      <c r="W29" s="33">
        <v>22</v>
      </c>
      <c r="X29" s="43" t="s">
        <v>46</v>
      </c>
      <c r="Y29" s="44" t="s">
        <v>46</v>
      </c>
      <c r="AA29" s="41">
        <v>1607</v>
      </c>
      <c r="AB29" s="33">
        <v>22</v>
      </c>
      <c r="AC29" s="43" t="s">
        <v>6744</v>
      </c>
      <c r="AD29" s="44" t="s">
        <v>172</v>
      </c>
      <c r="AF29" s="41">
        <v>1703</v>
      </c>
      <c r="AG29" s="33">
        <v>22</v>
      </c>
      <c r="AH29" s="43" t="s">
        <v>6740</v>
      </c>
      <c r="AI29" s="44" t="s">
        <v>357</v>
      </c>
      <c r="AK29" s="41">
        <v>1706</v>
      </c>
      <c r="AL29" s="33">
        <v>22</v>
      </c>
      <c r="AM29" s="43" t="s">
        <v>6741</v>
      </c>
      <c r="AN29" s="44" t="s">
        <v>377</v>
      </c>
      <c r="AP29" s="41">
        <v>1709</v>
      </c>
      <c r="AQ29" s="33">
        <v>22</v>
      </c>
      <c r="AR29" s="43" t="s">
        <v>6742</v>
      </c>
      <c r="AS29" s="44" t="s">
        <v>3476</v>
      </c>
      <c r="AU29" s="67">
        <v>1801</v>
      </c>
      <c r="AV29" s="68">
        <v>22</v>
      </c>
      <c r="AW29" s="69" t="s">
        <v>6743</v>
      </c>
      <c r="AX29" s="70" t="s">
        <v>2954</v>
      </c>
      <c r="AZ29" s="67">
        <v>1804</v>
      </c>
      <c r="BA29" s="83">
        <v>22</v>
      </c>
      <c r="BB29" s="69" t="s">
        <v>46</v>
      </c>
      <c r="BC29" s="70" t="s">
        <v>46</v>
      </c>
      <c r="BE29" s="67">
        <v>1807</v>
      </c>
      <c r="BF29" s="68">
        <v>22</v>
      </c>
      <c r="BG29" s="69" t="s">
        <v>6744</v>
      </c>
      <c r="BH29" s="70" t="s">
        <v>172</v>
      </c>
    </row>
    <row r="30" spans="1:60">
      <c r="A30" s="1"/>
      <c r="B30" s="67">
        <v>1503</v>
      </c>
      <c r="C30" s="68">
        <v>23</v>
      </c>
      <c r="D30" s="69" t="s">
        <v>6745</v>
      </c>
      <c r="E30" s="70" t="s">
        <v>2870</v>
      </c>
      <c r="G30" s="67">
        <v>1506</v>
      </c>
      <c r="H30" s="68">
        <v>23</v>
      </c>
      <c r="I30" s="69" t="s">
        <v>6746</v>
      </c>
      <c r="J30" s="70" t="s">
        <v>2352</v>
      </c>
      <c r="L30" s="67">
        <v>1509</v>
      </c>
      <c r="M30" s="68">
        <v>23</v>
      </c>
      <c r="N30" s="69" t="s">
        <v>6747</v>
      </c>
      <c r="O30" s="70" t="s">
        <v>362</v>
      </c>
      <c r="Q30" s="41">
        <v>1601</v>
      </c>
      <c r="R30" s="42">
        <v>23</v>
      </c>
      <c r="S30" s="43" t="s">
        <v>46</v>
      </c>
      <c r="T30" s="44" t="s">
        <v>46</v>
      </c>
      <c r="V30" s="41">
        <v>1604</v>
      </c>
      <c r="W30" s="33">
        <v>23</v>
      </c>
      <c r="X30" s="43" t="s">
        <v>6748</v>
      </c>
      <c r="Y30" s="44" t="s">
        <v>2798</v>
      </c>
      <c r="AA30" s="41">
        <v>1607</v>
      </c>
      <c r="AB30" s="33">
        <v>23</v>
      </c>
      <c r="AC30" s="43" t="s">
        <v>6749</v>
      </c>
      <c r="AD30" s="44" t="s">
        <v>1864</v>
      </c>
      <c r="AF30" s="41">
        <v>1703</v>
      </c>
      <c r="AG30" s="33">
        <v>23</v>
      </c>
      <c r="AH30" s="43" t="s">
        <v>6745</v>
      </c>
      <c r="AI30" s="44" t="s">
        <v>2870</v>
      </c>
      <c r="AK30" s="41">
        <v>1706</v>
      </c>
      <c r="AL30" s="33">
        <v>23</v>
      </c>
      <c r="AM30" s="43" t="s">
        <v>6746</v>
      </c>
      <c r="AN30" s="44" t="s">
        <v>2352</v>
      </c>
      <c r="AP30" s="41">
        <v>1709</v>
      </c>
      <c r="AQ30" s="33">
        <v>23</v>
      </c>
      <c r="AR30" s="43" t="s">
        <v>6747</v>
      </c>
      <c r="AS30" s="44" t="s">
        <v>362</v>
      </c>
      <c r="AU30" s="67">
        <v>1801</v>
      </c>
      <c r="AV30" s="68">
        <v>23</v>
      </c>
      <c r="AW30" s="69" t="s">
        <v>46</v>
      </c>
      <c r="AX30" s="70" t="s">
        <v>46</v>
      </c>
      <c r="AZ30" s="67">
        <v>1804</v>
      </c>
      <c r="BA30" s="83">
        <v>23</v>
      </c>
      <c r="BB30" s="69" t="s">
        <v>6748</v>
      </c>
      <c r="BC30" s="70" t="s">
        <v>2798</v>
      </c>
      <c r="BE30" s="67">
        <v>1807</v>
      </c>
      <c r="BF30" s="68">
        <v>23</v>
      </c>
      <c r="BG30" s="69" t="s">
        <v>6749</v>
      </c>
      <c r="BH30" s="70" t="s">
        <v>1864</v>
      </c>
    </row>
    <row r="31" spans="1:60">
      <c r="A31" s="1"/>
      <c r="B31" s="67">
        <v>1503</v>
      </c>
      <c r="C31" s="68">
        <v>24</v>
      </c>
      <c r="D31" s="69" t="s">
        <v>7202</v>
      </c>
      <c r="E31" s="70" t="s">
        <v>1439</v>
      </c>
      <c r="G31" s="67">
        <v>1506</v>
      </c>
      <c r="H31" s="68">
        <v>24</v>
      </c>
      <c r="I31" s="69" t="s">
        <v>7203</v>
      </c>
      <c r="J31" s="70" t="s">
        <v>1469</v>
      </c>
      <c r="L31" s="67">
        <v>1509</v>
      </c>
      <c r="M31" s="68">
        <v>24</v>
      </c>
      <c r="N31" s="69" t="s">
        <v>46</v>
      </c>
      <c r="O31" s="70" t="s">
        <v>46</v>
      </c>
      <c r="Q31" s="41">
        <v>1601</v>
      </c>
      <c r="R31" s="42">
        <v>24</v>
      </c>
      <c r="S31" s="43" t="s">
        <v>7204</v>
      </c>
      <c r="T31" s="44" t="s">
        <v>1319</v>
      </c>
      <c r="V31" s="41">
        <v>1604</v>
      </c>
      <c r="W31" s="33">
        <v>24</v>
      </c>
      <c r="X31" s="43" t="s">
        <v>6753</v>
      </c>
      <c r="Y31" s="44" t="s">
        <v>703</v>
      </c>
      <c r="AA31" s="41">
        <v>1607</v>
      </c>
      <c r="AB31" s="33">
        <v>24</v>
      </c>
      <c r="AC31" s="43" t="s">
        <v>46</v>
      </c>
      <c r="AD31" s="44" t="s">
        <v>46</v>
      </c>
      <c r="AF31" s="41">
        <v>1703</v>
      </c>
      <c r="AG31" s="33">
        <v>24</v>
      </c>
      <c r="AH31" s="43" t="s">
        <v>7202</v>
      </c>
      <c r="AI31" s="44" t="s">
        <v>1439</v>
      </c>
      <c r="AK31" s="41">
        <v>1706</v>
      </c>
      <c r="AL31" s="33">
        <v>24</v>
      </c>
      <c r="AM31" s="43" t="s">
        <v>7203</v>
      </c>
      <c r="AN31" s="44" t="s">
        <v>1469</v>
      </c>
      <c r="AP31" s="41">
        <v>1709</v>
      </c>
      <c r="AQ31" s="33">
        <v>24</v>
      </c>
      <c r="AR31" s="43" t="s">
        <v>46</v>
      </c>
      <c r="AS31" s="44" t="s">
        <v>46</v>
      </c>
      <c r="AU31" s="67">
        <v>1801</v>
      </c>
      <c r="AV31" s="68">
        <v>24</v>
      </c>
      <c r="AW31" s="69" t="s">
        <v>7204</v>
      </c>
      <c r="AX31" s="70" t="s">
        <v>1319</v>
      </c>
      <c r="AZ31" s="67">
        <v>1804</v>
      </c>
      <c r="BA31" s="83">
        <v>24</v>
      </c>
      <c r="BB31" s="69" t="s">
        <v>6753</v>
      </c>
      <c r="BC31" s="70" t="s">
        <v>703</v>
      </c>
      <c r="BE31" s="67">
        <v>1807</v>
      </c>
      <c r="BF31" s="68">
        <v>24</v>
      </c>
      <c r="BG31" s="69" t="s">
        <v>46</v>
      </c>
      <c r="BH31" s="70" t="s">
        <v>46</v>
      </c>
    </row>
    <row r="32" spans="1:60">
      <c r="A32" s="1"/>
      <c r="B32" s="67">
        <v>1503</v>
      </c>
      <c r="C32" s="68">
        <v>25</v>
      </c>
      <c r="D32" s="69" t="s">
        <v>46</v>
      </c>
      <c r="E32" s="70" t="s">
        <v>46</v>
      </c>
      <c r="G32" s="67">
        <v>1506</v>
      </c>
      <c r="H32" s="68">
        <v>25</v>
      </c>
      <c r="I32" s="69" t="s">
        <v>6754</v>
      </c>
      <c r="J32" s="70" t="s">
        <v>2362</v>
      </c>
      <c r="L32" s="67">
        <v>1509</v>
      </c>
      <c r="M32" s="68">
        <v>25</v>
      </c>
      <c r="N32" s="69" t="s">
        <v>6755</v>
      </c>
      <c r="O32" s="70" t="s">
        <v>367</v>
      </c>
      <c r="Q32" s="41">
        <v>1601</v>
      </c>
      <c r="R32" s="42">
        <v>25</v>
      </c>
      <c r="S32" s="43" t="s">
        <v>46</v>
      </c>
      <c r="T32" s="44" t="s">
        <v>46</v>
      </c>
      <c r="V32" s="41">
        <v>1604</v>
      </c>
      <c r="W32" s="33">
        <v>25</v>
      </c>
      <c r="X32" s="43" t="s">
        <v>6756</v>
      </c>
      <c r="Y32" s="44" t="s">
        <v>1103</v>
      </c>
      <c r="AA32" s="41">
        <v>1607</v>
      </c>
      <c r="AB32" s="33">
        <v>25</v>
      </c>
      <c r="AC32" s="43" t="s">
        <v>6757</v>
      </c>
      <c r="AD32" s="44" t="s">
        <v>4111</v>
      </c>
      <c r="AF32" s="41">
        <v>1703</v>
      </c>
      <c r="AG32" s="33">
        <v>25</v>
      </c>
      <c r="AH32" s="43" t="s">
        <v>46</v>
      </c>
      <c r="AI32" s="44" t="s">
        <v>46</v>
      </c>
      <c r="AK32" s="41">
        <v>1706</v>
      </c>
      <c r="AL32" s="33">
        <v>25</v>
      </c>
      <c r="AM32" s="43" t="s">
        <v>6754</v>
      </c>
      <c r="AN32" s="44" t="s">
        <v>2362</v>
      </c>
      <c r="AP32" s="41">
        <v>1709</v>
      </c>
      <c r="AQ32" s="33">
        <v>25</v>
      </c>
      <c r="AR32" s="43" t="s">
        <v>6755</v>
      </c>
      <c r="AS32" s="44" t="s">
        <v>367</v>
      </c>
      <c r="AU32" s="67">
        <v>1801</v>
      </c>
      <c r="AV32" s="68">
        <v>25</v>
      </c>
      <c r="AW32" s="69" t="s">
        <v>46</v>
      </c>
      <c r="AX32" s="70" t="s">
        <v>46</v>
      </c>
      <c r="AZ32" s="67">
        <v>1804</v>
      </c>
      <c r="BA32" s="83">
        <v>25</v>
      </c>
      <c r="BB32" s="69" t="s">
        <v>6756</v>
      </c>
      <c r="BC32" s="70" t="s">
        <v>1103</v>
      </c>
      <c r="BE32" s="67">
        <v>1807</v>
      </c>
      <c r="BF32" s="68">
        <v>25</v>
      </c>
      <c r="BG32" s="69" t="s">
        <v>6757</v>
      </c>
      <c r="BH32" s="70" t="s">
        <v>4111</v>
      </c>
    </row>
    <row r="33" spans="1:60">
      <c r="A33" s="1"/>
      <c r="B33" s="67">
        <v>1503</v>
      </c>
      <c r="C33" s="68">
        <v>26</v>
      </c>
      <c r="D33" s="69" t="s">
        <v>6758</v>
      </c>
      <c r="E33" s="70" t="s">
        <v>709</v>
      </c>
      <c r="G33" s="67">
        <v>1506</v>
      </c>
      <c r="H33" s="68">
        <v>26</v>
      </c>
      <c r="I33" s="69" t="s">
        <v>6759</v>
      </c>
      <c r="J33" s="70" t="s">
        <v>810</v>
      </c>
      <c r="L33" s="67">
        <v>1509</v>
      </c>
      <c r="M33" s="68">
        <v>26</v>
      </c>
      <c r="N33" s="69" t="s">
        <v>46</v>
      </c>
      <c r="O33" s="70" t="s">
        <v>46</v>
      </c>
      <c r="Q33" s="41">
        <v>1601</v>
      </c>
      <c r="R33" s="42">
        <v>26</v>
      </c>
      <c r="S33" s="43" t="s">
        <v>7205</v>
      </c>
      <c r="T33" s="44" t="s">
        <v>1484</v>
      </c>
      <c r="V33" s="41">
        <v>1604</v>
      </c>
      <c r="W33" s="33">
        <v>26</v>
      </c>
      <c r="X33" s="43" t="s">
        <v>6761</v>
      </c>
      <c r="Y33" s="44" t="s">
        <v>1634</v>
      </c>
      <c r="AA33" s="41">
        <v>1607</v>
      </c>
      <c r="AB33" s="33">
        <v>26</v>
      </c>
      <c r="AC33" s="43" t="s">
        <v>46</v>
      </c>
      <c r="AD33" s="44" t="s">
        <v>46</v>
      </c>
      <c r="AF33" s="41">
        <v>1703</v>
      </c>
      <c r="AG33" s="33">
        <v>26</v>
      </c>
      <c r="AH33" s="43" t="s">
        <v>6758</v>
      </c>
      <c r="AI33" s="44" t="s">
        <v>709</v>
      </c>
      <c r="AK33" s="41">
        <v>1706</v>
      </c>
      <c r="AL33" s="33">
        <v>26</v>
      </c>
      <c r="AM33" s="43" t="s">
        <v>6759</v>
      </c>
      <c r="AN33" s="44" t="s">
        <v>810</v>
      </c>
      <c r="AP33" s="41">
        <v>1709</v>
      </c>
      <c r="AQ33" s="33">
        <v>26</v>
      </c>
      <c r="AR33" s="43" t="s">
        <v>46</v>
      </c>
      <c r="AS33" s="44" t="s">
        <v>46</v>
      </c>
      <c r="AU33" s="67">
        <v>1801</v>
      </c>
      <c r="AV33" s="68">
        <v>26</v>
      </c>
      <c r="AW33" s="69" t="s">
        <v>7205</v>
      </c>
      <c r="AX33" s="70" t="s">
        <v>1484</v>
      </c>
      <c r="AZ33" s="67">
        <v>1804</v>
      </c>
      <c r="BA33" s="83">
        <v>26</v>
      </c>
      <c r="BB33" s="69" t="s">
        <v>6761</v>
      </c>
      <c r="BC33" s="70" t="s">
        <v>1634</v>
      </c>
      <c r="BE33" s="67">
        <v>1807</v>
      </c>
      <c r="BF33" s="68">
        <v>26</v>
      </c>
      <c r="BG33" s="69" t="s">
        <v>46</v>
      </c>
      <c r="BH33" s="70" t="s">
        <v>46</v>
      </c>
    </row>
    <row r="34" spans="1:60">
      <c r="A34" s="1"/>
      <c r="B34" s="67">
        <v>1503</v>
      </c>
      <c r="C34" s="68">
        <v>27</v>
      </c>
      <c r="D34" s="69" t="s">
        <v>6762</v>
      </c>
      <c r="E34" s="70" t="s">
        <v>2061</v>
      </c>
      <c r="G34" s="67">
        <v>1506</v>
      </c>
      <c r="H34" s="68">
        <v>27</v>
      </c>
      <c r="I34" s="69" t="s">
        <v>6763</v>
      </c>
      <c r="J34" s="70" t="s">
        <v>493</v>
      </c>
      <c r="L34" s="67">
        <v>1509</v>
      </c>
      <c r="M34" s="68">
        <v>27</v>
      </c>
      <c r="N34" s="69" t="s">
        <v>6764</v>
      </c>
      <c r="O34" s="70" t="s">
        <v>835</v>
      </c>
      <c r="Q34" s="41">
        <v>1601</v>
      </c>
      <c r="R34" s="42">
        <v>27</v>
      </c>
      <c r="S34" s="43" t="s">
        <v>6765</v>
      </c>
      <c r="T34" s="44" t="s">
        <v>241</v>
      </c>
      <c r="V34" s="41">
        <v>1604</v>
      </c>
      <c r="W34" s="33">
        <v>27</v>
      </c>
      <c r="X34" s="43" t="s">
        <v>6766</v>
      </c>
      <c r="Y34" s="44" t="s">
        <v>1519</v>
      </c>
      <c r="AA34" s="41">
        <v>1607</v>
      </c>
      <c r="AB34" s="33">
        <v>27</v>
      </c>
      <c r="AC34" s="43" t="s">
        <v>6767</v>
      </c>
      <c r="AD34" s="44" t="s">
        <v>4101</v>
      </c>
      <c r="AF34" s="41">
        <v>1703</v>
      </c>
      <c r="AG34" s="33">
        <v>27</v>
      </c>
      <c r="AH34" s="43" t="s">
        <v>6762</v>
      </c>
      <c r="AI34" s="44" t="s">
        <v>2061</v>
      </c>
      <c r="AK34" s="41">
        <v>1706</v>
      </c>
      <c r="AL34" s="33">
        <v>27</v>
      </c>
      <c r="AM34" s="43" t="s">
        <v>6763</v>
      </c>
      <c r="AN34" s="44" t="s">
        <v>493</v>
      </c>
      <c r="AP34" s="41">
        <v>1709</v>
      </c>
      <c r="AQ34" s="33">
        <v>27</v>
      </c>
      <c r="AR34" s="43" t="s">
        <v>6764</v>
      </c>
      <c r="AS34" s="44" t="s">
        <v>835</v>
      </c>
      <c r="AU34" s="67">
        <v>1801</v>
      </c>
      <c r="AV34" s="68">
        <v>27</v>
      </c>
      <c r="AW34" s="69" t="s">
        <v>6765</v>
      </c>
      <c r="AX34" s="70" t="s">
        <v>241</v>
      </c>
      <c r="AZ34" s="67">
        <v>1804</v>
      </c>
      <c r="BA34" s="83">
        <v>27</v>
      </c>
      <c r="BB34" s="69" t="s">
        <v>6766</v>
      </c>
      <c r="BC34" s="70" t="s">
        <v>1519</v>
      </c>
      <c r="BE34" s="67">
        <v>1807</v>
      </c>
      <c r="BF34" s="68">
        <v>27</v>
      </c>
      <c r="BG34" s="69" t="s">
        <v>6767</v>
      </c>
      <c r="BH34" s="70" t="s">
        <v>4101</v>
      </c>
    </row>
    <row r="35" spans="1:60">
      <c r="A35" s="1"/>
      <c r="B35" s="67">
        <v>1503</v>
      </c>
      <c r="C35" s="68">
        <v>28</v>
      </c>
      <c r="D35" s="69" t="s">
        <v>6768</v>
      </c>
      <c r="E35" s="70" t="s">
        <v>2255</v>
      </c>
      <c r="G35" s="67">
        <v>1506</v>
      </c>
      <c r="H35" s="68">
        <v>28</v>
      </c>
      <c r="I35" s="69" t="s">
        <v>7206</v>
      </c>
      <c r="J35" s="70" t="s">
        <v>1264</v>
      </c>
      <c r="L35" s="67">
        <v>1509</v>
      </c>
      <c r="M35" s="68">
        <v>28</v>
      </c>
      <c r="N35" s="69" t="s">
        <v>6770</v>
      </c>
      <c r="O35" s="70" t="s">
        <v>506</v>
      </c>
      <c r="Q35" s="41">
        <v>1601</v>
      </c>
      <c r="R35" s="42">
        <v>28</v>
      </c>
      <c r="S35" s="43" t="s">
        <v>6771</v>
      </c>
      <c r="T35" s="44" t="s">
        <v>1784</v>
      </c>
      <c r="V35" s="41">
        <v>1604</v>
      </c>
      <c r="W35" s="33">
        <v>28</v>
      </c>
      <c r="X35" s="43" t="s">
        <v>6772</v>
      </c>
      <c r="Y35" s="44" t="s">
        <v>1123</v>
      </c>
      <c r="AA35" s="41">
        <v>1607</v>
      </c>
      <c r="AB35" s="33">
        <v>28</v>
      </c>
      <c r="AC35" s="43" t="s">
        <v>6773</v>
      </c>
      <c r="AD35" s="44" t="s">
        <v>157</v>
      </c>
      <c r="AF35" s="41">
        <v>1703</v>
      </c>
      <c r="AG35" s="33">
        <v>28</v>
      </c>
      <c r="AH35" s="43" t="s">
        <v>6768</v>
      </c>
      <c r="AI35" s="44" t="s">
        <v>2255</v>
      </c>
      <c r="AK35" s="41">
        <v>1706</v>
      </c>
      <c r="AL35" s="33">
        <v>28</v>
      </c>
      <c r="AM35" s="43" t="s">
        <v>7206</v>
      </c>
      <c r="AN35" s="44" t="s">
        <v>1264</v>
      </c>
      <c r="AP35" s="41">
        <v>1709</v>
      </c>
      <c r="AQ35" s="33">
        <v>28</v>
      </c>
      <c r="AR35" s="43" t="s">
        <v>6770</v>
      </c>
      <c r="AS35" s="44" t="s">
        <v>506</v>
      </c>
      <c r="AU35" s="67">
        <v>1801</v>
      </c>
      <c r="AV35" s="68">
        <v>28</v>
      </c>
      <c r="AW35" s="69" t="s">
        <v>6771</v>
      </c>
      <c r="AX35" s="70" t="s">
        <v>1784</v>
      </c>
      <c r="AZ35" s="67">
        <v>1804</v>
      </c>
      <c r="BA35" s="83">
        <v>28</v>
      </c>
      <c r="BB35" s="69" t="s">
        <v>6772</v>
      </c>
      <c r="BC35" s="70" t="s">
        <v>1123</v>
      </c>
      <c r="BE35" s="67">
        <v>1807</v>
      </c>
      <c r="BF35" s="68">
        <v>28</v>
      </c>
      <c r="BG35" s="69" t="s">
        <v>6773</v>
      </c>
      <c r="BH35" s="70" t="s">
        <v>157</v>
      </c>
    </row>
    <row r="36" spans="1:60">
      <c r="A36" s="1"/>
      <c r="B36" s="67">
        <v>1503</v>
      </c>
      <c r="C36" s="68">
        <v>29</v>
      </c>
      <c r="D36" s="69" t="s">
        <v>6774</v>
      </c>
      <c r="E36" s="70" t="s">
        <v>2052</v>
      </c>
      <c r="G36" s="67">
        <v>1506</v>
      </c>
      <c r="H36" s="68">
        <v>29</v>
      </c>
      <c r="I36" s="69" t="s">
        <v>6775</v>
      </c>
      <c r="J36" s="70" t="s">
        <v>483</v>
      </c>
      <c r="L36" s="67">
        <v>1509</v>
      </c>
      <c r="M36" s="68">
        <v>29</v>
      </c>
      <c r="N36" s="69" t="s">
        <v>6776</v>
      </c>
      <c r="O36" s="70" t="s">
        <v>915</v>
      </c>
      <c r="Q36" s="41">
        <v>1601</v>
      </c>
      <c r="R36" s="42">
        <v>29</v>
      </c>
      <c r="S36" s="43" t="s">
        <v>6777</v>
      </c>
      <c r="T36" s="44" t="s">
        <v>251</v>
      </c>
      <c r="V36" s="41">
        <v>1604</v>
      </c>
      <c r="W36" s="33">
        <v>29</v>
      </c>
      <c r="X36" s="43" t="s">
        <v>6778</v>
      </c>
      <c r="Y36" s="44" t="s">
        <v>1529</v>
      </c>
      <c r="AA36" s="41">
        <v>1607</v>
      </c>
      <c r="AB36" s="33">
        <v>29</v>
      </c>
      <c r="AC36" s="43" t="s">
        <v>46</v>
      </c>
      <c r="AD36" s="44" t="s">
        <v>46</v>
      </c>
      <c r="AF36" s="41">
        <v>1703</v>
      </c>
      <c r="AG36" s="33">
        <v>29</v>
      </c>
      <c r="AH36" s="43" t="s">
        <v>6774</v>
      </c>
      <c r="AI36" s="44" t="s">
        <v>2052</v>
      </c>
      <c r="AK36" s="41">
        <v>1706</v>
      </c>
      <c r="AL36" s="33">
        <v>29</v>
      </c>
      <c r="AM36" s="43" t="s">
        <v>6775</v>
      </c>
      <c r="AN36" s="44" t="s">
        <v>483</v>
      </c>
      <c r="AP36" s="41">
        <v>1709</v>
      </c>
      <c r="AQ36" s="33">
        <v>29</v>
      </c>
      <c r="AR36" s="43" t="s">
        <v>6776</v>
      </c>
      <c r="AS36" s="44" t="s">
        <v>915</v>
      </c>
      <c r="AU36" s="67">
        <v>1801</v>
      </c>
      <c r="AV36" s="68">
        <v>29</v>
      </c>
      <c r="AW36" s="69" t="s">
        <v>6777</v>
      </c>
      <c r="AX36" s="70" t="s">
        <v>251</v>
      </c>
      <c r="AZ36" s="67">
        <v>1804</v>
      </c>
      <c r="BA36" s="83">
        <v>29</v>
      </c>
      <c r="BB36" s="69" t="s">
        <v>6778</v>
      </c>
      <c r="BC36" s="70" t="s">
        <v>1529</v>
      </c>
      <c r="BE36" s="67">
        <v>1807</v>
      </c>
      <c r="BF36" s="68">
        <v>29</v>
      </c>
      <c r="BG36" s="69" t="s">
        <v>46</v>
      </c>
      <c r="BH36" s="70" t="s">
        <v>46</v>
      </c>
    </row>
    <row r="37" spans="1:60">
      <c r="A37" s="1"/>
      <c r="B37" s="67">
        <v>1503</v>
      </c>
      <c r="C37" s="68">
        <v>30</v>
      </c>
      <c r="D37" s="69" t="s">
        <v>6779</v>
      </c>
      <c r="E37" s="70" t="s">
        <v>2245</v>
      </c>
      <c r="G37" s="67">
        <v>1506</v>
      </c>
      <c r="H37" s="68">
        <v>30</v>
      </c>
      <c r="I37" s="69" t="s">
        <v>7207</v>
      </c>
      <c r="J37" s="70" t="s">
        <v>1209</v>
      </c>
      <c r="L37" s="67">
        <v>1509</v>
      </c>
      <c r="M37" s="68">
        <v>30</v>
      </c>
      <c r="N37" s="69" t="s">
        <v>6781</v>
      </c>
      <c r="O37" s="70" t="s">
        <v>515</v>
      </c>
      <c r="Q37" s="41">
        <v>1601</v>
      </c>
      <c r="R37" s="42">
        <v>30</v>
      </c>
      <c r="S37" s="43" t="s">
        <v>6782</v>
      </c>
      <c r="T37" s="44" t="s">
        <v>1804</v>
      </c>
      <c r="V37" s="41">
        <v>1604</v>
      </c>
      <c r="W37" s="33">
        <v>30</v>
      </c>
      <c r="X37" s="43" t="s">
        <v>6783</v>
      </c>
      <c r="Y37" s="44" t="s">
        <v>1729</v>
      </c>
      <c r="AA37" s="41">
        <v>1607</v>
      </c>
      <c r="AB37" s="33">
        <v>30</v>
      </c>
      <c r="AC37" s="43" t="s">
        <v>6784</v>
      </c>
      <c r="AD37" s="44" t="s">
        <v>78</v>
      </c>
      <c r="AF37" s="41">
        <v>1703</v>
      </c>
      <c r="AG37" s="33">
        <v>30</v>
      </c>
      <c r="AH37" s="43" t="s">
        <v>6779</v>
      </c>
      <c r="AI37" s="44" t="s">
        <v>2245</v>
      </c>
      <c r="AK37" s="41">
        <v>1706</v>
      </c>
      <c r="AL37" s="33">
        <v>30</v>
      </c>
      <c r="AM37" s="43" t="s">
        <v>7207</v>
      </c>
      <c r="AN37" s="44" t="s">
        <v>1209</v>
      </c>
      <c r="AP37" s="41">
        <v>1709</v>
      </c>
      <c r="AQ37" s="33">
        <v>30</v>
      </c>
      <c r="AR37" s="43" t="s">
        <v>6781</v>
      </c>
      <c r="AS37" s="44" t="s">
        <v>515</v>
      </c>
      <c r="AU37" s="67">
        <v>1801</v>
      </c>
      <c r="AV37" s="68">
        <v>30</v>
      </c>
      <c r="AW37" s="69" t="s">
        <v>6782</v>
      </c>
      <c r="AX37" s="70" t="s">
        <v>1804</v>
      </c>
      <c r="AZ37" s="67">
        <v>1804</v>
      </c>
      <c r="BA37" s="83">
        <v>30</v>
      </c>
      <c r="BB37" s="69" t="s">
        <v>6783</v>
      </c>
      <c r="BC37" s="70" t="s">
        <v>1729</v>
      </c>
      <c r="BE37" s="67">
        <v>1807</v>
      </c>
      <c r="BF37" s="68">
        <v>30</v>
      </c>
      <c r="BG37" s="69" t="s">
        <v>6784</v>
      </c>
      <c r="BH37" s="70" t="s">
        <v>78</v>
      </c>
    </row>
    <row r="38" spans="1:60">
      <c r="A38" s="1"/>
      <c r="B38" s="67">
        <v>1503</v>
      </c>
      <c r="C38" s="68">
        <v>31</v>
      </c>
      <c r="D38" s="69" t="s">
        <v>7208</v>
      </c>
      <c r="E38" s="70" t="s">
        <v>1394</v>
      </c>
      <c r="G38" s="67">
        <v>1506</v>
      </c>
      <c r="H38" s="68">
        <v>31</v>
      </c>
      <c r="I38" s="69" t="s">
        <v>6786</v>
      </c>
      <c r="J38" s="70" t="s">
        <v>528</v>
      </c>
      <c r="L38" s="67">
        <v>1509</v>
      </c>
      <c r="M38" s="68">
        <v>31</v>
      </c>
      <c r="N38" s="69" t="s">
        <v>6787</v>
      </c>
      <c r="O38" s="70" t="s">
        <v>805</v>
      </c>
      <c r="Q38" s="41">
        <v>1601</v>
      </c>
      <c r="R38" s="42">
        <v>31</v>
      </c>
      <c r="S38" s="43" t="s">
        <v>7209</v>
      </c>
      <c r="T38" s="44" t="s">
        <v>1174</v>
      </c>
      <c r="V38" s="41">
        <v>1604</v>
      </c>
      <c r="W38" s="33">
        <v>31</v>
      </c>
      <c r="X38" s="43" t="s">
        <v>6789</v>
      </c>
      <c r="Y38" s="44" t="s">
        <v>3153</v>
      </c>
      <c r="AA38" s="41">
        <v>1607</v>
      </c>
      <c r="AB38" s="33">
        <v>31</v>
      </c>
      <c r="AC38" s="43" t="s">
        <v>46</v>
      </c>
      <c r="AD38" s="44" t="s">
        <v>46</v>
      </c>
      <c r="AF38" s="41">
        <v>1703</v>
      </c>
      <c r="AG38" s="33">
        <v>31</v>
      </c>
      <c r="AH38" s="43" t="s">
        <v>7208</v>
      </c>
      <c r="AI38" s="44" t="s">
        <v>1394</v>
      </c>
      <c r="AK38" s="41">
        <v>1706</v>
      </c>
      <c r="AL38" s="33">
        <v>31</v>
      </c>
      <c r="AM38" s="43" t="s">
        <v>6786</v>
      </c>
      <c r="AN38" s="44" t="s">
        <v>528</v>
      </c>
      <c r="AP38" s="41">
        <v>1709</v>
      </c>
      <c r="AQ38" s="33">
        <v>31</v>
      </c>
      <c r="AR38" s="43" t="s">
        <v>6787</v>
      </c>
      <c r="AS38" s="44" t="s">
        <v>805</v>
      </c>
      <c r="AU38" s="67">
        <v>1801</v>
      </c>
      <c r="AV38" s="68">
        <v>31</v>
      </c>
      <c r="AW38" s="69" t="s">
        <v>7209</v>
      </c>
      <c r="AX38" s="70" t="s">
        <v>1174</v>
      </c>
      <c r="AZ38" s="67">
        <v>1804</v>
      </c>
      <c r="BA38" s="83">
        <v>31</v>
      </c>
      <c r="BB38" s="69" t="s">
        <v>6789</v>
      </c>
      <c r="BC38" s="70" t="s">
        <v>3153</v>
      </c>
      <c r="BE38" s="67">
        <v>1807</v>
      </c>
      <c r="BF38" s="68">
        <v>31</v>
      </c>
      <c r="BG38" s="69" t="s">
        <v>46</v>
      </c>
      <c r="BH38" s="70" t="s">
        <v>46</v>
      </c>
    </row>
    <row r="39" spans="1:60" ht="15" thickBot="1">
      <c r="A39" s="1"/>
      <c r="B39" s="78">
        <v>1503</v>
      </c>
      <c r="C39" s="79">
        <v>32</v>
      </c>
      <c r="D39" s="80" t="s">
        <v>7210</v>
      </c>
      <c r="E39" s="74" t="s">
        <v>1479</v>
      </c>
      <c r="G39" s="78">
        <v>1506</v>
      </c>
      <c r="H39" s="79">
        <v>32</v>
      </c>
      <c r="I39" s="80" t="s">
        <v>46</v>
      </c>
      <c r="J39" s="74" t="s">
        <v>46</v>
      </c>
      <c r="L39" s="78">
        <v>1509</v>
      </c>
      <c r="M39" s="79">
        <v>32</v>
      </c>
      <c r="N39" s="80" t="s">
        <v>6791</v>
      </c>
      <c r="O39" s="74" t="s">
        <v>2829</v>
      </c>
      <c r="Q39" s="52">
        <v>1601</v>
      </c>
      <c r="R39" s="53">
        <v>32</v>
      </c>
      <c r="S39" s="54" t="s">
        <v>46</v>
      </c>
      <c r="T39" s="48" t="s">
        <v>46</v>
      </c>
      <c r="V39" s="52">
        <v>1604</v>
      </c>
      <c r="W39" s="59">
        <v>32</v>
      </c>
      <c r="X39" s="54" t="s">
        <v>6792</v>
      </c>
      <c r="Y39" s="48" t="s">
        <v>1133</v>
      </c>
      <c r="AA39" s="52">
        <v>1607</v>
      </c>
      <c r="AB39" s="59">
        <v>32</v>
      </c>
      <c r="AC39" s="54" t="s">
        <v>46</v>
      </c>
      <c r="AD39" s="48" t="s">
        <v>46</v>
      </c>
      <c r="AF39" s="52">
        <v>1703</v>
      </c>
      <c r="AG39" s="59">
        <v>32</v>
      </c>
      <c r="AH39" s="54" t="s">
        <v>7210</v>
      </c>
      <c r="AI39" s="48" t="s">
        <v>1479</v>
      </c>
      <c r="AK39" s="52">
        <v>1706</v>
      </c>
      <c r="AL39" s="59">
        <v>32</v>
      </c>
      <c r="AM39" s="54" t="s">
        <v>46</v>
      </c>
      <c r="AN39" s="48" t="s">
        <v>46</v>
      </c>
      <c r="AP39" s="52">
        <v>1709</v>
      </c>
      <c r="AQ39" s="59">
        <v>32</v>
      </c>
      <c r="AR39" s="54" t="s">
        <v>6791</v>
      </c>
      <c r="AS39" s="48" t="s">
        <v>2829</v>
      </c>
      <c r="AU39" s="78">
        <v>1801</v>
      </c>
      <c r="AV39" s="79">
        <v>32</v>
      </c>
      <c r="AW39" s="80" t="s">
        <v>46</v>
      </c>
      <c r="AX39" s="74" t="s">
        <v>46</v>
      </c>
      <c r="AZ39" s="78">
        <v>1804</v>
      </c>
      <c r="BA39" s="86">
        <v>32</v>
      </c>
      <c r="BB39" s="80" t="s">
        <v>6792</v>
      </c>
      <c r="BC39" s="74" t="s">
        <v>1133</v>
      </c>
      <c r="BE39" s="78">
        <v>1807</v>
      </c>
      <c r="BF39" s="79">
        <v>32</v>
      </c>
      <c r="BG39" s="80" t="s">
        <v>46</v>
      </c>
      <c r="BH39" s="74" t="s">
        <v>46</v>
      </c>
    </row>
    <row r="40" spans="1:60">
      <c r="A40" s="1"/>
      <c r="B40" s="63">
        <v>1503</v>
      </c>
      <c r="C40" s="64">
        <v>33</v>
      </c>
      <c r="D40" s="81" t="s">
        <v>46</v>
      </c>
      <c r="E40" s="66" t="s">
        <v>46</v>
      </c>
      <c r="G40" s="63">
        <v>1506</v>
      </c>
      <c r="H40" s="64">
        <v>33</v>
      </c>
      <c r="I40" s="81" t="s">
        <v>6793</v>
      </c>
      <c r="J40" s="66" t="s">
        <v>537</v>
      </c>
      <c r="L40" s="63">
        <v>1509</v>
      </c>
      <c r="M40" s="64">
        <v>33</v>
      </c>
      <c r="N40" s="81" t="s">
        <v>46</v>
      </c>
      <c r="O40" s="66" t="s">
        <v>46</v>
      </c>
      <c r="Q40" s="37">
        <v>1601</v>
      </c>
      <c r="R40" s="38">
        <v>33</v>
      </c>
      <c r="S40" s="55" t="s">
        <v>7211</v>
      </c>
      <c r="T40" s="40" t="s">
        <v>1219</v>
      </c>
      <c r="V40" s="37">
        <v>1604</v>
      </c>
      <c r="W40" s="56">
        <v>33</v>
      </c>
      <c r="X40" s="55" t="s">
        <v>6795</v>
      </c>
      <c r="Y40" s="40" t="s">
        <v>3143</v>
      </c>
      <c r="AA40" s="37">
        <v>1607</v>
      </c>
      <c r="AB40" s="56">
        <v>33</v>
      </c>
      <c r="AC40" s="55" t="s">
        <v>46</v>
      </c>
      <c r="AD40" s="40" t="s">
        <v>46</v>
      </c>
      <c r="AF40" s="37">
        <v>1703</v>
      </c>
      <c r="AG40" s="56">
        <v>33</v>
      </c>
      <c r="AH40" s="55" t="s">
        <v>46</v>
      </c>
      <c r="AI40" s="40" t="s">
        <v>46</v>
      </c>
      <c r="AK40" s="37">
        <v>1706</v>
      </c>
      <c r="AL40" s="56">
        <v>33</v>
      </c>
      <c r="AM40" s="55" t="s">
        <v>6793</v>
      </c>
      <c r="AN40" s="40" t="s">
        <v>537</v>
      </c>
      <c r="AP40" s="37">
        <v>1709</v>
      </c>
      <c r="AQ40" s="56">
        <v>33</v>
      </c>
      <c r="AR40" s="55" t="s">
        <v>46</v>
      </c>
      <c r="AS40" s="40" t="s">
        <v>46</v>
      </c>
      <c r="AU40" s="63">
        <v>1801</v>
      </c>
      <c r="AV40" s="64">
        <v>33</v>
      </c>
      <c r="AW40" s="81" t="s">
        <v>7211</v>
      </c>
      <c r="AX40" s="66" t="s">
        <v>1219</v>
      </c>
      <c r="AZ40" s="63">
        <v>1804</v>
      </c>
      <c r="BA40" s="82">
        <v>33</v>
      </c>
      <c r="BB40" s="81" t="s">
        <v>6795</v>
      </c>
      <c r="BC40" s="66" t="s">
        <v>3143</v>
      </c>
      <c r="BE40" s="63">
        <v>1807</v>
      </c>
      <c r="BF40" s="64">
        <v>33</v>
      </c>
      <c r="BG40" s="81" t="s">
        <v>46</v>
      </c>
      <c r="BH40" s="66" t="s">
        <v>46</v>
      </c>
    </row>
    <row r="41" spans="1:60">
      <c r="A41" s="1"/>
      <c r="B41" s="67">
        <v>1503</v>
      </c>
      <c r="C41" s="68">
        <v>34</v>
      </c>
      <c r="D41" s="69" t="s">
        <v>46</v>
      </c>
      <c r="E41" s="70" t="s">
        <v>46</v>
      </c>
      <c r="G41" s="67">
        <v>1506</v>
      </c>
      <c r="H41" s="68">
        <v>34</v>
      </c>
      <c r="I41" s="69" t="s">
        <v>6796</v>
      </c>
      <c r="J41" s="70" t="s">
        <v>3415</v>
      </c>
      <c r="L41" s="67">
        <v>1509</v>
      </c>
      <c r="M41" s="68">
        <v>34</v>
      </c>
      <c r="N41" s="69" t="s">
        <v>6797</v>
      </c>
      <c r="O41" s="70" t="s">
        <v>795</v>
      </c>
      <c r="Q41" s="41">
        <v>1601</v>
      </c>
      <c r="R41" s="42">
        <v>34</v>
      </c>
      <c r="S41" s="43" t="s">
        <v>7212</v>
      </c>
      <c r="T41" s="44" t="s">
        <v>1414</v>
      </c>
      <c r="V41" s="41">
        <v>1604</v>
      </c>
      <c r="W41" s="33">
        <v>34</v>
      </c>
      <c r="X41" s="43" t="s">
        <v>6799</v>
      </c>
      <c r="Y41" s="44" t="s">
        <v>2291</v>
      </c>
      <c r="AA41" s="41">
        <v>1607</v>
      </c>
      <c r="AB41" s="33">
        <v>34</v>
      </c>
      <c r="AC41" s="43" t="s">
        <v>46</v>
      </c>
      <c r="AD41" s="44" t="s">
        <v>46</v>
      </c>
      <c r="AF41" s="41">
        <v>1703</v>
      </c>
      <c r="AG41" s="33">
        <v>34</v>
      </c>
      <c r="AH41" s="43" t="s">
        <v>46</v>
      </c>
      <c r="AI41" s="44" t="s">
        <v>46</v>
      </c>
      <c r="AK41" s="41">
        <v>1706</v>
      </c>
      <c r="AL41" s="33">
        <v>34</v>
      </c>
      <c r="AM41" s="43" t="s">
        <v>6796</v>
      </c>
      <c r="AN41" s="44" t="s">
        <v>3415</v>
      </c>
      <c r="AP41" s="41">
        <v>1709</v>
      </c>
      <c r="AQ41" s="33">
        <v>34</v>
      </c>
      <c r="AR41" s="43" t="s">
        <v>6797</v>
      </c>
      <c r="AS41" s="44" t="s">
        <v>795</v>
      </c>
      <c r="AU41" s="67">
        <v>1801</v>
      </c>
      <c r="AV41" s="68">
        <v>34</v>
      </c>
      <c r="AW41" s="69" t="s">
        <v>7212</v>
      </c>
      <c r="AX41" s="70" t="s">
        <v>1414</v>
      </c>
      <c r="AZ41" s="67">
        <v>1804</v>
      </c>
      <c r="BA41" s="83">
        <v>34</v>
      </c>
      <c r="BB41" s="69" t="s">
        <v>6799</v>
      </c>
      <c r="BC41" s="70" t="s">
        <v>2291</v>
      </c>
      <c r="BE41" s="67">
        <v>1807</v>
      </c>
      <c r="BF41" s="68">
        <v>34</v>
      </c>
      <c r="BG41" s="69" t="s">
        <v>46</v>
      </c>
      <c r="BH41" s="70" t="s">
        <v>46</v>
      </c>
    </row>
    <row r="42" spans="1:60">
      <c r="A42" s="1"/>
      <c r="B42" s="67">
        <v>1503</v>
      </c>
      <c r="C42" s="68">
        <v>35</v>
      </c>
      <c r="D42" s="69" t="s">
        <v>7213</v>
      </c>
      <c r="E42" s="70" t="s">
        <v>1404</v>
      </c>
      <c r="G42" s="67">
        <v>1506</v>
      </c>
      <c r="H42" s="68">
        <v>35</v>
      </c>
      <c r="I42" s="69" t="s">
        <v>7214</v>
      </c>
      <c r="J42" s="70" t="s">
        <v>1384</v>
      </c>
      <c r="L42" s="67">
        <v>1509</v>
      </c>
      <c r="M42" s="68">
        <v>35</v>
      </c>
      <c r="N42" s="69" t="s">
        <v>6802</v>
      </c>
      <c r="O42" s="70" t="s">
        <v>559</v>
      </c>
      <c r="Q42" s="41">
        <v>1601</v>
      </c>
      <c r="R42" s="42">
        <v>35</v>
      </c>
      <c r="S42" s="43" t="s">
        <v>7215</v>
      </c>
      <c r="T42" s="44" t="s">
        <v>1189</v>
      </c>
      <c r="V42" s="41">
        <v>1604</v>
      </c>
      <c r="W42" s="33">
        <v>35</v>
      </c>
      <c r="X42" s="43" t="s">
        <v>46</v>
      </c>
      <c r="Y42" s="44" t="s">
        <v>46</v>
      </c>
      <c r="AA42" s="41">
        <v>1607</v>
      </c>
      <c r="AB42" s="33">
        <v>35</v>
      </c>
      <c r="AC42" s="43" t="s">
        <v>46</v>
      </c>
      <c r="AD42" s="44" t="s">
        <v>46</v>
      </c>
      <c r="AF42" s="41">
        <v>1703</v>
      </c>
      <c r="AG42" s="33">
        <v>35</v>
      </c>
      <c r="AH42" s="43" t="s">
        <v>7213</v>
      </c>
      <c r="AI42" s="44" t="s">
        <v>1404</v>
      </c>
      <c r="AK42" s="41">
        <v>1706</v>
      </c>
      <c r="AL42" s="33">
        <v>35</v>
      </c>
      <c r="AM42" s="43" t="s">
        <v>7214</v>
      </c>
      <c r="AN42" s="44" t="s">
        <v>1384</v>
      </c>
      <c r="AP42" s="41">
        <v>1709</v>
      </c>
      <c r="AQ42" s="33">
        <v>35</v>
      </c>
      <c r="AR42" s="43" t="s">
        <v>6802</v>
      </c>
      <c r="AS42" s="44" t="s">
        <v>559</v>
      </c>
      <c r="AU42" s="67">
        <v>1801</v>
      </c>
      <c r="AV42" s="68">
        <v>35</v>
      </c>
      <c r="AW42" s="69" t="s">
        <v>7215</v>
      </c>
      <c r="AX42" s="70" t="s">
        <v>1189</v>
      </c>
      <c r="AZ42" s="67">
        <v>1804</v>
      </c>
      <c r="BA42" s="83">
        <v>35</v>
      </c>
      <c r="BB42" s="69" t="s">
        <v>46</v>
      </c>
      <c r="BC42" s="70" t="s">
        <v>46</v>
      </c>
      <c r="BE42" s="67">
        <v>1807</v>
      </c>
      <c r="BF42" s="68">
        <v>35</v>
      </c>
      <c r="BG42" s="69" t="s">
        <v>46</v>
      </c>
      <c r="BH42" s="70" t="s">
        <v>46</v>
      </c>
    </row>
    <row r="43" spans="1:60">
      <c r="A43" s="1"/>
      <c r="B43" s="67">
        <v>1503</v>
      </c>
      <c r="C43" s="68">
        <v>36</v>
      </c>
      <c r="D43" s="69" t="s">
        <v>6804</v>
      </c>
      <c r="E43" s="70" t="s">
        <v>2502</v>
      </c>
      <c r="G43" s="67">
        <v>1506</v>
      </c>
      <c r="H43" s="68">
        <v>36</v>
      </c>
      <c r="I43" s="69" t="s">
        <v>6805</v>
      </c>
      <c r="J43" s="70" t="s">
        <v>3406</v>
      </c>
      <c r="L43" s="67">
        <v>1509</v>
      </c>
      <c r="M43" s="68">
        <v>36</v>
      </c>
      <c r="N43" s="69" t="s">
        <v>6806</v>
      </c>
      <c r="O43" s="70" t="s">
        <v>392</v>
      </c>
      <c r="Q43" s="41">
        <v>1601</v>
      </c>
      <c r="R43" s="42">
        <v>36</v>
      </c>
      <c r="S43" s="43" t="s">
        <v>46</v>
      </c>
      <c r="T43" s="44" t="s">
        <v>46</v>
      </c>
      <c r="V43" s="41">
        <v>1604</v>
      </c>
      <c r="W43" s="33">
        <v>36</v>
      </c>
      <c r="X43" s="43" t="s">
        <v>6807</v>
      </c>
      <c r="Y43" s="44" t="s">
        <v>2281</v>
      </c>
      <c r="AA43" s="41">
        <v>1607</v>
      </c>
      <c r="AB43" s="33">
        <v>36</v>
      </c>
      <c r="AC43" s="43" t="s">
        <v>46</v>
      </c>
      <c r="AD43" s="44" t="s">
        <v>46</v>
      </c>
      <c r="AF43" s="41">
        <v>1703</v>
      </c>
      <c r="AG43" s="33">
        <v>36</v>
      </c>
      <c r="AH43" s="43" t="s">
        <v>6804</v>
      </c>
      <c r="AI43" s="44" t="s">
        <v>2502</v>
      </c>
      <c r="AK43" s="41">
        <v>1706</v>
      </c>
      <c r="AL43" s="33">
        <v>36</v>
      </c>
      <c r="AM43" s="43" t="s">
        <v>6805</v>
      </c>
      <c r="AN43" s="44" t="s">
        <v>3406</v>
      </c>
      <c r="AP43" s="41">
        <v>1709</v>
      </c>
      <c r="AQ43" s="33">
        <v>36</v>
      </c>
      <c r="AR43" s="43" t="s">
        <v>6806</v>
      </c>
      <c r="AS43" s="44" t="s">
        <v>392</v>
      </c>
      <c r="AU43" s="67">
        <v>1801</v>
      </c>
      <c r="AV43" s="68">
        <v>36</v>
      </c>
      <c r="AW43" s="69" t="s">
        <v>46</v>
      </c>
      <c r="AX43" s="70" t="s">
        <v>46</v>
      </c>
      <c r="AZ43" s="67">
        <v>1804</v>
      </c>
      <c r="BA43" s="83">
        <v>36</v>
      </c>
      <c r="BB43" s="69" t="s">
        <v>6807</v>
      </c>
      <c r="BC43" s="70" t="s">
        <v>2281</v>
      </c>
      <c r="BE43" s="67">
        <v>1807</v>
      </c>
      <c r="BF43" s="68">
        <v>36</v>
      </c>
      <c r="BG43" s="69" t="s">
        <v>46</v>
      </c>
      <c r="BH43" s="70" t="s">
        <v>46</v>
      </c>
    </row>
    <row r="44" spans="1:60">
      <c r="A44" s="1"/>
      <c r="B44" s="67">
        <v>1503</v>
      </c>
      <c r="C44" s="68">
        <v>37</v>
      </c>
      <c r="D44" s="69" t="s">
        <v>7216</v>
      </c>
      <c r="E44" s="70" t="s">
        <v>1314</v>
      </c>
      <c r="G44" s="67">
        <v>1506</v>
      </c>
      <c r="H44" s="68">
        <v>37</v>
      </c>
      <c r="I44" s="69" t="s">
        <v>46</v>
      </c>
      <c r="J44" s="70" t="s">
        <v>46</v>
      </c>
      <c r="L44" s="67">
        <v>1509</v>
      </c>
      <c r="M44" s="68">
        <v>37</v>
      </c>
      <c r="N44" s="69" t="s">
        <v>6809</v>
      </c>
      <c r="O44" s="70" t="s">
        <v>550</v>
      </c>
      <c r="Q44" s="41">
        <v>1601</v>
      </c>
      <c r="R44" s="42">
        <v>37</v>
      </c>
      <c r="S44" s="43" t="s">
        <v>46</v>
      </c>
      <c r="T44" s="44" t="s">
        <v>46</v>
      </c>
      <c r="V44" s="41">
        <v>1604</v>
      </c>
      <c r="W44" s="33">
        <v>37</v>
      </c>
      <c r="X44" s="43" t="s">
        <v>46</v>
      </c>
      <c r="Y44" s="44" t="s">
        <v>46</v>
      </c>
      <c r="AA44" s="41">
        <v>1607</v>
      </c>
      <c r="AB44" s="33">
        <v>37</v>
      </c>
      <c r="AC44" s="43" t="s">
        <v>46</v>
      </c>
      <c r="AD44" s="44" t="s">
        <v>46</v>
      </c>
      <c r="AF44" s="41">
        <v>1703</v>
      </c>
      <c r="AG44" s="33">
        <v>37</v>
      </c>
      <c r="AH44" s="43" t="s">
        <v>7216</v>
      </c>
      <c r="AI44" s="44" t="s">
        <v>1314</v>
      </c>
      <c r="AK44" s="41">
        <v>1706</v>
      </c>
      <c r="AL44" s="33">
        <v>37</v>
      </c>
      <c r="AM44" s="43" t="s">
        <v>46</v>
      </c>
      <c r="AN44" s="44" t="s">
        <v>46</v>
      </c>
      <c r="AP44" s="41">
        <v>1709</v>
      </c>
      <c r="AQ44" s="33">
        <v>37</v>
      </c>
      <c r="AR44" s="43" t="s">
        <v>6809</v>
      </c>
      <c r="AS44" s="44" t="s">
        <v>550</v>
      </c>
      <c r="AU44" s="67">
        <v>1801</v>
      </c>
      <c r="AV44" s="68">
        <v>37</v>
      </c>
      <c r="AW44" s="69" t="s">
        <v>46</v>
      </c>
      <c r="AX44" s="70" t="s">
        <v>46</v>
      </c>
      <c r="AZ44" s="67">
        <v>1804</v>
      </c>
      <c r="BA44" s="83">
        <v>37</v>
      </c>
      <c r="BB44" s="69" t="s">
        <v>46</v>
      </c>
      <c r="BC44" s="70" t="s">
        <v>46</v>
      </c>
      <c r="BE44" s="67">
        <v>1807</v>
      </c>
      <c r="BF44" s="68">
        <v>37</v>
      </c>
      <c r="BG44" s="69" t="s">
        <v>46</v>
      </c>
      <c r="BH44" s="70" t="s">
        <v>46</v>
      </c>
    </row>
    <row r="45" spans="1:60">
      <c r="A45" s="1"/>
      <c r="B45" s="67">
        <v>1503</v>
      </c>
      <c r="C45" s="68">
        <v>38</v>
      </c>
      <c r="D45" s="69" t="s">
        <v>6810</v>
      </c>
      <c r="E45" s="70" t="s">
        <v>2492</v>
      </c>
      <c r="G45" s="67">
        <v>1506</v>
      </c>
      <c r="H45" s="68">
        <v>38</v>
      </c>
      <c r="I45" s="69" t="s">
        <v>6811</v>
      </c>
      <c r="J45" s="70" t="s">
        <v>3638</v>
      </c>
      <c r="L45" s="67">
        <v>1509</v>
      </c>
      <c r="M45" s="68">
        <v>38</v>
      </c>
      <c r="N45" s="69" t="s">
        <v>6812</v>
      </c>
      <c r="O45" s="70" t="s">
        <v>2788</v>
      </c>
      <c r="Q45" s="41">
        <v>1601</v>
      </c>
      <c r="R45" s="42">
        <v>38</v>
      </c>
      <c r="S45" s="43" t="s">
        <v>46</v>
      </c>
      <c r="T45" s="44" t="s">
        <v>46</v>
      </c>
      <c r="V45" s="41">
        <v>1604</v>
      </c>
      <c r="W45" s="33">
        <v>38</v>
      </c>
      <c r="X45" s="43" t="s">
        <v>46</v>
      </c>
      <c r="Y45" s="44" t="s">
        <v>46</v>
      </c>
      <c r="AA45" s="41">
        <v>1607</v>
      </c>
      <c r="AB45" s="33">
        <v>38</v>
      </c>
      <c r="AC45" s="43" t="s">
        <v>6813</v>
      </c>
      <c r="AD45" s="44" t="s">
        <v>1869</v>
      </c>
      <c r="AF45" s="41">
        <v>1703</v>
      </c>
      <c r="AG45" s="33">
        <v>38</v>
      </c>
      <c r="AH45" s="43" t="s">
        <v>6810</v>
      </c>
      <c r="AI45" s="44" t="s">
        <v>2492</v>
      </c>
      <c r="AK45" s="41">
        <v>1706</v>
      </c>
      <c r="AL45" s="33">
        <v>38</v>
      </c>
      <c r="AM45" s="43" t="s">
        <v>6811</v>
      </c>
      <c r="AN45" s="44" t="s">
        <v>3638</v>
      </c>
      <c r="AP45" s="41">
        <v>1709</v>
      </c>
      <c r="AQ45" s="33">
        <v>38</v>
      </c>
      <c r="AR45" s="43" t="s">
        <v>6812</v>
      </c>
      <c r="AS45" s="44" t="s">
        <v>2788</v>
      </c>
      <c r="AU45" s="67">
        <v>1801</v>
      </c>
      <c r="AV45" s="68">
        <v>38</v>
      </c>
      <c r="AW45" s="69" t="s">
        <v>46</v>
      </c>
      <c r="AX45" s="70" t="s">
        <v>46</v>
      </c>
      <c r="AZ45" s="67">
        <v>1804</v>
      </c>
      <c r="BA45" s="83">
        <v>38</v>
      </c>
      <c r="BB45" s="69" t="s">
        <v>46</v>
      </c>
      <c r="BC45" s="70" t="s">
        <v>46</v>
      </c>
      <c r="BE45" s="67">
        <v>1807</v>
      </c>
      <c r="BF45" s="68">
        <v>38</v>
      </c>
      <c r="BG45" s="69" t="s">
        <v>6813</v>
      </c>
      <c r="BH45" s="70" t="s">
        <v>1869</v>
      </c>
    </row>
    <row r="46" spans="1:60">
      <c r="A46" s="1"/>
      <c r="B46" s="67">
        <v>1503</v>
      </c>
      <c r="C46" s="68">
        <v>39</v>
      </c>
      <c r="D46" s="69" t="s">
        <v>46</v>
      </c>
      <c r="E46" s="70" t="s">
        <v>46</v>
      </c>
      <c r="G46" s="67">
        <v>1506</v>
      </c>
      <c r="H46" s="68">
        <v>39</v>
      </c>
      <c r="I46" s="69" t="s">
        <v>46</v>
      </c>
      <c r="J46" s="70" t="s">
        <v>46</v>
      </c>
      <c r="L46" s="67">
        <v>1509</v>
      </c>
      <c r="M46" s="68">
        <v>39</v>
      </c>
      <c r="N46" s="69" t="s">
        <v>46</v>
      </c>
      <c r="O46" s="70" t="s">
        <v>46</v>
      </c>
      <c r="Q46" s="41">
        <v>1601</v>
      </c>
      <c r="R46" s="42">
        <v>39</v>
      </c>
      <c r="S46" s="43" t="s">
        <v>6814</v>
      </c>
      <c r="T46" s="44" t="s">
        <v>1008</v>
      </c>
      <c r="V46" s="41">
        <v>1604</v>
      </c>
      <c r="W46" s="33">
        <v>39</v>
      </c>
      <c r="X46" s="43" t="s">
        <v>6815</v>
      </c>
      <c r="Y46" s="44" t="s">
        <v>1504</v>
      </c>
      <c r="AA46" s="41">
        <v>1607</v>
      </c>
      <c r="AB46" s="33">
        <v>39</v>
      </c>
      <c r="AC46" s="43" t="s">
        <v>46</v>
      </c>
      <c r="AD46" s="44" t="s">
        <v>46</v>
      </c>
      <c r="AF46" s="41">
        <v>1703</v>
      </c>
      <c r="AG46" s="33">
        <v>39</v>
      </c>
      <c r="AH46" s="43" t="s">
        <v>46</v>
      </c>
      <c r="AI46" s="44" t="s">
        <v>46</v>
      </c>
      <c r="AK46" s="41">
        <v>1706</v>
      </c>
      <c r="AL46" s="33">
        <v>39</v>
      </c>
      <c r="AM46" s="43" t="s">
        <v>46</v>
      </c>
      <c r="AN46" s="44" t="s">
        <v>46</v>
      </c>
      <c r="AP46" s="41">
        <v>1709</v>
      </c>
      <c r="AQ46" s="33">
        <v>39</v>
      </c>
      <c r="AR46" s="43" t="s">
        <v>46</v>
      </c>
      <c r="AS46" s="44" t="s">
        <v>46</v>
      </c>
      <c r="AU46" s="67">
        <v>1801</v>
      </c>
      <c r="AV46" s="68">
        <v>39</v>
      </c>
      <c r="AW46" s="69" t="s">
        <v>6814</v>
      </c>
      <c r="AX46" s="70" t="s">
        <v>1008</v>
      </c>
      <c r="AZ46" s="67">
        <v>1804</v>
      </c>
      <c r="BA46" s="83">
        <v>39</v>
      </c>
      <c r="BB46" s="69" t="s">
        <v>6815</v>
      </c>
      <c r="BC46" s="70" t="s">
        <v>1504</v>
      </c>
      <c r="BE46" s="67">
        <v>1807</v>
      </c>
      <c r="BF46" s="68">
        <v>39</v>
      </c>
      <c r="BG46" s="69" t="s">
        <v>46</v>
      </c>
      <c r="BH46" s="70" t="s">
        <v>46</v>
      </c>
    </row>
    <row r="47" spans="1:60">
      <c r="A47" s="1"/>
      <c r="B47" s="67">
        <v>1503</v>
      </c>
      <c r="C47" s="68">
        <v>40</v>
      </c>
      <c r="D47" s="69" t="s">
        <v>46</v>
      </c>
      <c r="E47" s="70" t="s">
        <v>46</v>
      </c>
      <c r="G47" s="67">
        <v>1506</v>
      </c>
      <c r="H47" s="68">
        <v>40</v>
      </c>
      <c r="I47" s="69" t="s">
        <v>46</v>
      </c>
      <c r="J47" s="70" t="s">
        <v>46</v>
      </c>
      <c r="L47" s="67">
        <v>1509</v>
      </c>
      <c r="M47" s="68">
        <v>40</v>
      </c>
      <c r="N47" s="69" t="s">
        <v>46</v>
      </c>
      <c r="O47" s="70" t="s">
        <v>46</v>
      </c>
      <c r="Q47" s="41">
        <v>1601</v>
      </c>
      <c r="R47" s="42">
        <v>40</v>
      </c>
      <c r="S47" s="43" t="s">
        <v>6816</v>
      </c>
      <c r="T47" s="44" t="s">
        <v>2925</v>
      </c>
      <c r="V47" s="41">
        <v>1604</v>
      </c>
      <c r="W47" s="33">
        <v>40</v>
      </c>
      <c r="X47" s="43" t="s">
        <v>6817</v>
      </c>
      <c r="Y47" s="44" t="s">
        <v>1158</v>
      </c>
      <c r="AA47" s="41">
        <v>1607</v>
      </c>
      <c r="AB47" s="33">
        <v>40</v>
      </c>
      <c r="AC47" s="43" t="s">
        <v>6818</v>
      </c>
      <c r="AD47" s="44" t="s">
        <v>2770</v>
      </c>
      <c r="AF47" s="41">
        <v>1703</v>
      </c>
      <c r="AG47" s="33">
        <v>40</v>
      </c>
      <c r="AH47" s="43" t="s">
        <v>46</v>
      </c>
      <c r="AI47" s="44" t="s">
        <v>46</v>
      </c>
      <c r="AK47" s="41">
        <v>1706</v>
      </c>
      <c r="AL47" s="33">
        <v>40</v>
      </c>
      <c r="AM47" s="43" t="s">
        <v>46</v>
      </c>
      <c r="AN47" s="44" t="s">
        <v>46</v>
      </c>
      <c r="AP47" s="41">
        <v>1709</v>
      </c>
      <c r="AQ47" s="33">
        <v>40</v>
      </c>
      <c r="AR47" s="43" t="s">
        <v>46</v>
      </c>
      <c r="AS47" s="44" t="s">
        <v>46</v>
      </c>
      <c r="AU47" s="67">
        <v>1801</v>
      </c>
      <c r="AV47" s="68">
        <v>40</v>
      </c>
      <c r="AW47" s="69" t="s">
        <v>6816</v>
      </c>
      <c r="AX47" s="70" t="s">
        <v>2925</v>
      </c>
      <c r="AZ47" s="67">
        <v>1804</v>
      </c>
      <c r="BA47" s="83">
        <v>40</v>
      </c>
      <c r="BB47" s="69" t="s">
        <v>6817</v>
      </c>
      <c r="BC47" s="70" t="s">
        <v>1158</v>
      </c>
      <c r="BE47" s="67">
        <v>1807</v>
      </c>
      <c r="BF47" s="68">
        <v>40</v>
      </c>
      <c r="BG47" s="69" t="s">
        <v>6818</v>
      </c>
      <c r="BH47" s="70" t="s">
        <v>2770</v>
      </c>
    </row>
    <row r="48" spans="1:60">
      <c r="A48" s="1"/>
      <c r="B48" s="67">
        <v>1502</v>
      </c>
      <c r="C48" s="68">
        <v>41</v>
      </c>
      <c r="D48" s="69" t="s">
        <v>46</v>
      </c>
      <c r="E48" s="70" t="s">
        <v>46</v>
      </c>
      <c r="G48" s="67">
        <v>1505</v>
      </c>
      <c r="H48" s="68">
        <v>41</v>
      </c>
      <c r="I48" s="69" t="s">
        <v>46</v>
      </c>
      <c r="J48" s="70" t="s">
        <v>46</v>
      </c>
      <c r="L48" s="67">
        <v>1508</v>
      </c>
      <c r="M48" s="68">
        <v>41</v>
      </c>
      <c r="N48" s="69" t="s">
        <v>46</v>
      </c>
      <c r="O48" s="70" t="s">
        <v>46</v>
      </c>
      <c r="Q48" s="41">
        <v>1602</v>
      </c>
      <c r="R48" s="42">
        <v>41</v>
      </c>
      <c r="S48" s="43" t="s">
        <v>6820</v>
      </c>
      <c r="T48" s="44" t="s">
        <v>2079</v>
      </c>
      <c r="V48" s="41">
        <v>1605</v>
      </c>
      <c r="W48" s="33">
        <v>41</v>
      </c>
      <c r="X48" s="43" t="s">
        <v>6821</v>
      </c>
      <c r="Y48" s="44" t="s">
        <v>1844</v>
      </c>
      <c r="AA48" s="41">
        <v>1608</v>
      </c>
      <c r="AB48" s="33">
        <v>41</v>
      </c>
      <c r="AC48" s="43" t="s">
        <v>46</v>
      </c>
      <c r="AD48" s="44" t="s">
        <v>46</v>
      </c>
      <c r="AF48" s="41">
        <v>1702</v>
      </c>
      <c r="AG48" s="33">
        <v>41</v>
      </c>
      <c r="AH48" s="43" t="s">
        <v>46</v>
      </c>
      <c r="AI48" s="44" t="s">
        <v>46</v>
      </c>
      <c r="AK48" s="41">
        <v>1705</v>
      </c>
      <c r="AL48" s="33">
        <v>41</v>
      </c>
      <c r="AM48" s="43" t="s">
        <v>46</v>
      </c>
      <c r="AN48" s="44" t="s">
        <v>46</v>
      </c>
      <c r="AP48" s="41">
        <v>1708</v>
      </c>
      <c r="AQ48" s="33">
        <v>41</v>
      </c>
      <c r="AR48" s="43" t="s">
        <v>46</v>
      </c>
      <c r="AS48" s="44" t="s">
        <v>46</v>
      </c>
      <c r="AU48" s="67">
        <v>1802</v>
      </c>
      <c r="AV48" s="68">
        <v>41</v>
      </c>
      <c r="AW48" s="69" t="s">
        <v>6820</v>
      </c>
      <c r="AX48" s="70" t="s">
        <v>2079</v>
      </c>
      <c r="AZ48" s="67">
        <v>1805</v>
      </c>
      <c r="BA48" s="83">
        <v>41</v>
      </c>
      <c r="BB48" s="69" t="s">
        <v>6821</v>
      </c>
      <c r="BC48" s="70" t="s">
        <v>1844</v>
      </c>
      <c r="BE48" s="67">
        <v>1808</v>
      </c>
      <c r="BF48" s="68">
        <v>41</v>
      </c>
      <c r="BG48" s="69" t="s">
        <v>46</v>
      </c>
      <c r="BH48" s="70" t="s">
        <v>46</v>
      </c>
    </row>
    <row r="49" spans="1:60">
      <c r="A49" s="1"/>
      <c r="B49" s="67">
        <v>1502</v>
      </c>
      <c r="C49" s="68">
        <v>42</v>
      </c>
      <c r="D49" s="69" t="s">
        <v>6822</v>
      </c>
      <c r="E49" s="70" t="s">
        <v>1961</v>
      </c>
      <c r="G49" s="67">
        <v>1505</v>
      </c>
      <c r="H49" s="68">
        <v>42</v>
      </c>
      <c r="I49" s="69" t="s">
        <v>46</v>
      </c>
      <c r="J49" s="70" t="s">
        <v>46</v>
      </c>
      <c r="L49" s="67">
        <v>1508</v>
      </c>
      <c r="M49" s="68">
        <v>42</v>
      </c>
      <c r="N49" s="69" t="s">
        <v>6823</v>
      </c>
      <c r="O49" s="70" t="s">
        <v>387</v>
      </c>
      <c r="Q49" s="41">
        <v>1602</v>
      </c>
      <c r="R49" s="42">
        <v>42</v>
      </c>
      <c r="S49" s="43" t="s">
        <v>7217</v>
      </c>
      <c r="T49" s="44" t="s">
        <v>1464</v>
      </c>
      <c r="V49" s="41">
        <v>1605</v>
      </c>
      <c r="W49" s="33">
        <v>42</v>
      </c>
      <c r="X49" s="43" t="s">
        <v>6825</v>
      </c>
      <c r="Y49" s="44" t="s">
        <v>626</v>
      </c>
      <c r="AA49" s="41">
        <v>1608</v>
      </c>
      <c r="AB49" s="33">
        <v>42</v>
      </c>
      <c r="AC49" s="43" t="s">
        <v>46</v>
      </c>
      <c r="AD49" s="44" t="s">
        <v>46</v>
      </c>
      <c r="AF49" s="41">
        <v>1702</v>
      </c>
      <c r="AG49" s="33">
        <v>42</v>
      </c>
      <c r="AH49" s="43" t="s">
        <v>6822</v>
      </c>
      <c r="AI49" s="44" t="s">
        <v>1961</v>
      </c>
      <c r="AK49" s="41">
        <v>1705</v>
      </c>
      <c r="AL49" s="33">
        <v>42</v>
      </c>
      <c r="AM49" s="43" t="s">
        <v>46</v>
      </c>
      <c r="AN49" s="44" t="s">
        <v>46</v>
      </c>
      <c r="AP49" s="41">
        <v>1708</v>
      </c>
      <c r="AQ49" s="33">
        <v>42</v>
      </c>
      <c r="AR49" s="43" t="s">
        <v>6823</v>
      </c>
      <c r="AS49" s="44" t="s">
        <v>387</v>
      </c>
      <c r="AU49" s="67">
        <v>1802</v>
      </c>
      <c r="AV49" s="68">
        <v>42</v>
      </c>
      <c r="AW49" s="69" t="s">
        <v>7217</v>
      </c>
      <c r="AX49" s="70" t="s">
        <v>1464</v>
      </c>
      <c r="AZ49" s="67">
        <v>1805</v>
      </c>
      <c r="BA49" s="83">
        <v>42</v>
      </c>
      <c r="BB49" s="69" t="s">
        <v>6825</v>
      </c>
      <c r="BC49" s="70" t="s">
        <v>626</v>
      </c>
      <c r="BE49" s="67">
        <v>1808</v>
      </c>
      <c r="BF49" s="68">
        <v>42</v>
      </c>
      <c r="BG49" s="69" t="s">
        <v>46</v>
      </c>
      <c r="BH49" s="70" t="s">
        <v>46</v>
      </c>
    </row>
    <row r="50" spans="1:60">
      <c r="A50" s="1"/>
      <c r="B50" s="67">
        <v>1502</v>
      </c>
      <c r="C50" s="68">
        <v>43</v>
      </c>
      <c r="D50" s="69" t="s">
        <v>46</v>
      </c>
      <c r="E50" s="70" t="s">
        <v>46</v>
      </c>
      <c r="G50" s="67">
        <v>1505</v>
      </c>
      <c r="H50" s="68">
        <v>43</v>
      </c>
      <c r="I50" s="69" t="s">
        <v>46</v>
      </c>
      <c r="J50" s="70" t="s">
        <v>46</v>
      </c>
      <c r="L50" s="67">
        <v>1508</v>
      </c>
      <c r="M50" s="68">
        <v>43</v>
      </c>
      <c r="N50" s="69" t="s">
        <v>46</v>
      </c>
      <c r="O50" s="70" t="s">
        <v>46</v>
      </c>
      <c r="Q50" s="41">
        <v>1602</v>
      </c>
      <c r="R50" s="42">
        <v>43</v>
      </c>
      <c r="S50" s="43" t="s">
        <v>6826</v>
      </c>
      <c r="T50" s="44" t="s">
        <v>2069</v>
      </c>
      <c r="V50" s="41">
        <v>1605</v>
      </c>
      <c r="W50" s="33">
        <v>43</v>
      </c>
      <c r="X50" s="43" t="s">
        <v>46</v>
      </c>
      <c r="Y50" s="44" t="s">
        <v>46</v>
      </c>
      <c r="AA50" s="41">
        <v>1608</v>
      </c>
      <c r="AB50" s="33">
        <v>43</v>
      </c>
      <c r="AC50" s="43" t="s">
        <v>46</v>
      </c>
      <c r="AD50" s="44" t="s">
        <v>46</v>
      </c>
      <c r="AF50" s="41">
        <v>1702</v>
      </c>
      <c r="AG50" s="33">
        <v>43</v>
      </c>
      <c r="AH50" s="43" t="s">
        <v>46</v>
      </c>
      <c r="AI50" s="44" t="s">
        <v>46</v>
      </c>
      <c r="AK50" s="41">
        <v>1705</v>
      </c>
      <c r="AL50" s="33">
        <v>43</v>
      </c>
      <c r="AM50" s="43" t="s">
        <v>46</v>
      </c>
      <c r="AN50" s="44" t="s">
        <v>46</v>
      </c>
      <c r="AP50" s="41">
        <v>1708</v>
      </c>
      <c r="AQ50" s="33">
        <v>43</v>
      </c>
      <c r="AR50" s="43" t="s">
        <v>46</v>
      </c>
      <c r="AS50" s="44" t="s">
        <v>46</v>
      </c>
      <c r="AU50" s="67">
        <v>1802</v>
      </c>
      <c r="AV50" s="68">
        <v>43</v>
      </c>
      <c r="AW50" s="69" t="s">
        <v>6826</v>
      </c>
      <c r="AX50" s="70" t="s">
        <v>2069</v>
      </c>
      <c r="AZ50" s="67">
        <v>1805</v>
      </c>
      <c r="BA50" s="83">
        <v>43</v>
      </c>
      <c r="BB50" s="69" t="s">
        <v>46</v>
      </c>
      <c r="BC50" s="70" t="s">
        <v>46</v>
      </c>
      <c r="BE50" s="67">
        <v>1808</v>
      </c>
      <c r="BF50" s="68">
        <v>43</v>
      </c>
      <c r="BG50" s="69" t="s">
        <v>46</v>
      </c>
      <c r="BH50" s="70" t="s">
        <v>46</v>
      </c>
    </row>
    <row r="51" spans="1:60">
      <c r="A51" s="1"/>
      <c r="B51" s="67">
        <v>1502</v>
      </c>
      <c r="C51" s="68">
        <v>44</v>
      </c>
      <c r="D51" s="69" t="s">
        <v>6827</v>
      </c>
      <c r="E51" s="70" t="s">
        <v>1972</v>
      </c>
      <c r="G51" s="67">
        <v>1505</v>
      </c>
      <c r="H51" s="68">
        <v>44</v>
      </c>
      <c r="I51" s="69" t="s">
        <v>6828</v>
      </c>
      <c r="J51" s="70" t="s">
        <v>1779</v>
      </c>
      <c r="L51" s="67">
        <v>1508</v>
      </c>
      <c r="M51" s="68">
        <v>44</v>
      </c>
      <c r="N51" s="69" t="s">
        <v>46</v>
      </c>
      <c r="O51" s="70" t="s">
        <v>46</v>
      </c>
      <c r="Q51" s="41">
        <v>1602</v>
      </c>
      <c r="R51" s="42">
        <v>44</v>
      </c>
      <c r="S51" s="43" t="s">
        <v>6829</v>
      </c>
      <c r="T51" s="44" t="s">
        <v>1659</v>
      </c>
      <c r="V51" s="41">
        <v>1605</v>
      </c>
      <c r="W51" s="33">
        <v>44</v>
      </c>
      <c r="X51" s="43" t="s">
        <v>6830</v>
      </c>
      <c r="Y51" s="44" t="s">
        <v>3534</v>
      </c>
      <c r="AA51" s="41">
        <v>1608</v>
      </c>
      <c r="AB51" s="33">
        <v>44</v>
      </c>
      <c r="AC51" s="43" t="s">
        <v>46</v>
      </c>
      <c r="AD51" s="44" t="s">
        <v>46</v>
      </c>
      <c r="AF51" s="41">
        <v>1702</v>
      </c>
      <c r="AG51" s="33">
        <v>44</v>
      </c>
      <c r="AH51" s="43" t="s">
        <v>6827</v>
      </c>
      <c r="AI51" s="44" t="s">
        <v>1972</v>
      </c>
      <c r="AK51" s="41">
        <v>1705</v>
      </c>
      <c r="AL51" s="33">
        <v>44</v>
      </c>
      <c r="AM51" s="43" t="s">
        <v>6828</v>
      </c>
      <c r="AN51" s="44" t="s">
        <v>1779</v>
      </c>
      <c r="AP51" s="41">
        <v>1708</v>
      </c>
      <c r="AQ51" s="33">
        <v>44</v>
      </c>
      <c r="AR51" s="43" t="s">
        <v>46</v>
      </c>
      <c r="AS51" s="44" t="s">
        <v>46</v>
      </c>
      <c r="AU51" s="67">
        <v>1802</v>
      </c>
      <c r="AV51" s="68">
        <v>44</v>
      </c>
      <c r="AW51" s="69" t="s">
        <v>6829</v>
      </c>
      <c r="AX51" s="70" t="s">
        <v>1659</v>
      </c>
      <c r="AZ51" s="67">
        <v>1805</v>
      </c>
      <c r="BA51" s="83">
        <v>44</v>
      </c>
      <c r="BB51" s="69" t="s">
        <v>6830</v>
      </c>
      <c r="BC51" s="70" t="s">
        <v>3534</v>
      </c>
      <c r="BE51" s="67">
        <v>1808</v>
      </c>
      <c r="BF51" s="68">
        <v>44</v>
      </c>
      <c r="BG51" s="69" t="s">
        <v>46</v>
      </c>
      <c r="BH51" s="70" t="s">
        <v>46</v>
      </c>
    </row>
    <row r="52" spans="1:60">
      <c r="A52" s="1"/>
      <c r="B52" s="67">
        <v>1502</v>
      </c>
      <c r="C52" s="68">
        <v>45</v>
      </c>
      <c r="D52" s="69" t="s">
        <v>46</v>
      </c>
      <c r="E52" s="70" t="s">
        <v>46</v>
      </c>
      <c r="G52" s="67">
        <v>1505</v>
      </c>
      <c r="H52" s="68">
        <v>45</v>
      </c>
      <c r="I52" s="69" t="s">
        <v>46</v>
      </c>
      <c r="J52" s="70" t="s">
        <v>46</v>
      </c>
      <c r="L52" s="67">
        <v>1508</v>
      </c>
      <c r="M52" s="68">
        <v>45</v>
      </c>
      <c r="N52" s="69" t="s">
        <v>46</v>
      </c>
      <c r="O52" s="70" t="s">
        <v>46</v>
      </c>
      <c r="Q52" s="41">
        <v>1602</v>
      </c>
      <c r="R52" s="42">
        <v>45</v>
      </c>
      <c r="S52" s="43" t="s">
        <v>46</v>
      </c>
      <c r="T52" s="44" t="s">
        <v>46</v>
      </c>
      <c r="V52" s="41">
        <v>1605</v>
      </c>
      <c r="W52" s="33">
        <v>45</v>
      </c>
      <c r="X52" s="43" t="s">
        <v>46</v>
      </c>
      <c r="Y52" s="44" t="s">
        <v>46</v>
      </c>
      <c r="AA52" s="41">
        <v>1608</v>
      </c>
      <c r="AB52" s="33">
        <v>45</v>
      </c>
      <c r="AC52" s="43" t="s">
        <v>46</v>
      </c>
      <c r="AD52" s="44" t="s">
        <v>46</v>
      </c>
      <c r="AF52" s="41">
        <v>1702</v>
      </c>
      <c r="AG52" s="33">
        <v>45</v>
      </c>
      <c r="AH52" s="43" t="s">
        <v>46</v>
      </c>
      <c r="AI52" s="44" t="s">
        <v>46</v>
      </c>
      <c r="AK52" s="41">
        <v>1705</v>
      </c>
      <c r="AL52" s="33">
        <v>45</v>
      </c>
      <c r="AM52" s="43" t="s">
        <v>46</v>
      </c>
      <c r="AN52" s="44" t="s">
        <v>46</v>
      </c>
      <c r="AP52" s="41">
        <v>1708</v>
      </c>
      <c r="AQ52" s="33">
        <v>45</v>
      </c>
      <c r="AR52" s="43" t="s">
        <v>46</v>
      </c>
      <c r="AS52" s="44" t="s">
        <v>46</v>
      </c>
      <c r="AU52" s="67">
        <v>1802</v>
      </c>
      <c r="AV52" s="68">
        <v>45</v>
      </c>
      <c r="AW52" s="69" t="s">
        <v>46</v>
      </c>
      <c r="AX52" s="70" t="s">
        <v>46</v>
      </c>
      <c r="AZ52" s="67">
        <v>1805</v>
      </c>
      <c r="BA52" s="83">
        <v>45</v>
      </c>
      <c r="BB52" s="69" t="s">
        <v>46</v>
      </c>
      <c r="BC52" s="70" t="s">
        <v>46</v>
      </c>
      <c r="BE52" s="67">
        <v>1808</v>
      </c>
      <c r="BF52" s="68">
        <v>45</v>
      </c>
      <c r="BG52" s="69" t="s">
        <v>46</v>
      </c>
      <c r="BH52" s="70" t="s">
        <v>46</v>
      </c>
    </row>
    <row r="53" spans="1:60">
      <c r="A53" s="1"/>
      <c r="B53" s="67">
        <v>1502</v>
      </c>
      <c r="C53" s="68">
        <v>46</v>
      </c>
      <c r="D53" s="69" t="s">
        <v>6831</v>
      </c>
      <c r="E53" s="70" t="s">
        <v>2300</v>
      </c>
      <c r="G53" s="67">
        <v>1505</v>
      </c>
      <c r="H53" s="68">
        <v>46</v>
      </c>
      <c r="I53" s="69" t="s">
        <v>7218</v>
      </c>
      <c r="J53" s="70" t="s">
        <v>978</v>
      </c>
      <c r="L53" s="67">
        <v>1508</v>
      </c>
      <c r="M53" s="68">
        <v>46</v>
      </c>
      <c r="N53" s="69" t="s">
        <v>46</v>
      </c>
      <c r="O53" s="70" t="s">
        <v>46</v>
      </c>
      <c r="Q53" s="41">
        <v>1602</v>
      </c>
      <c r="R53" s="42">
        <v>46</v>
      </c>
      <c r="S53" s="43" t="s">
        <v>6833</v>
      </c>
      <c r="T53" s="44" t="s">
        <v>1604</v>
      </c>
      <c r="V53" s="41">
        <v>1605</v>
      </c>
      <c r="W53" s="33">
        <v>46</v>
      </c>
      <c r="X53" s="43" t="s">
        <v>6834</v>
      </c>
      <c r="Y53" s="44" t="s">
        <v>1584</v>
      </c>
      <c r="AA53" s="41">
        <v>1608</v>
      </c>
      <c r="AB53" s="33">
        <v>46</v>
      </c>
      <c r="AC53" s="43" t="s">
        <v>46</v>
      </c>
      <c r="AD53" s="44" t="s">
        <v>46</v>
      </c>
      <c r="AF53" s="41">
        <v>1702</v>
      </c>
      <c r="AG53" s="33">
        <v>46</v>
      </c>
      <c r="AH53" s="43" t="s">
        <v>6831</v>
      </c>
      <c r="AI53" s="44" t="s">
        <v>2300</v>
      </c>
      <c r="AK53" s="41">
        <v>1705</v>
      </c>
      <c r="AL53" s="33">
        <v>46</v>
      </c>
      <c r="AM53" s="43" t="s">
        <v>7218</v>
      </c>
      <c r="AN53" s="44" t="s">
        <v>978</v>
      </c>
      <c r="AP53" s="41">
        <v>1708</v>
      </c>
      <c r="AQ53" s="33">
        <v>46</v>
      </c>
      <c r="AR53" s="43" t="s">
        <v>46</v>
      </c>
      <c r="AS53" s="44" t="s">
        <v>46</v>
      </c>
      <c r="AU53" s="67">
        <v>1802</v>
      </c>
      <c r="AV53" s="68">
        <v>46</v>
      </c>
      <c r="AW53" s="69" t="s">
        <v>6833</v>
      </c>
      <c r="AX53" s="70" t="s">
        <v>1604</v>
      </c>
      <c r="AZ53" s="67">
        <v>1805</v>
      </c>
      <c r="BA53" s="83">
        <v>46</v>
      </c>
      <c r="BB53" s="69" t="s">
        <v>6834</v>
      </c>
      <c r="BC53" s="70" t="s">
        <v>1584</v>
      </c>
      <c r="BE53" s="67">
        <v>1808</v>
      </c>
      <c r="BF53" s="68">
        <v>46</v>
      </c>
      <c r="BG53" s="69" t="s">
        <v>46</v>
      </c>
      <c r="BH53" s="70" t="s">
        <v>46</v>
      </c>
    </row>
    <row r="54" spans="1:60">
      <c r="A54" s="1"/>
      <c r="B54" s="67">
        <v>1502</v>
      </c>
      <c r="C54" s="68">
        <v>47</v>
      </c>
      <c r="D54" s="69" t="s">
        <v>7219</v>
      </c>
      <c r="E54" s="70" t="s">
        <v>1234</v>
      </c>
      <c r="G54" s="67">
        <v>1505</v>
      </c>
      <c r="H54" s="68">
        <v>47</v>
      </c>
      <c r="I54" s="69" t="s">
        <v>46</v>
      </c>
      <c r="J54" s="70" t="s">
        <v>46</v>
      </c>
      <c r="L54" s="67">
        <v>1508</v>
      </c>
      <c r="M54" s="68">
        <v>47</v>
      </c>
      <c r="N54" s="69" t="s">
        <v>46</v>
      </c>
      <c r="O54" s="70" t="s">
        <v>46</v>
      </c>
      <c r="Q54" s="41">
        <v>1602</v>
      </c>
      <c r="R54" s="42">
        <v>47</v>
      </c>
      <c r="S54" s="43" t="s">
        <v>6836</v>
      </c>
      <c r="T54" s="44" t="s">
        <v>2096</v>
      </c>
      <c r="V54" s="41">
        <v>1605</v>
      </c>
      <c r="W54" s="33">
        <v>47</v>
      </c>
      <c r="X54" s="43" t="s">
        <v>46</v>
      </c>
      <c r="Y54" s="44" t="s">
        <v>46</v>
      </c>
      <c r="AA54" s="41">
        <v>1608</v>
      </c>
      <c r="AB54" s="33">
        <v>47</v>
      </c>
      <c r="AC54" s="43" t="s">
        <v>46</v>
      </c>
      <c r="AD54" s="44" t="s">
        <v>46</v>
      </c>
      <c r="AF54" s="41">
        <v>1702</v>
      </c>
      <c r="AG54" s="33">
        <v>47</v>
      </c>
      <c r="AH54" s="43" t="s">
        <v>7219</v>
      </c>
      <c r="AI54" s="44" t="s">
        <v>1234</v>
      </c>
      <c r="AK54" s="41">
        <v>1705</v>
      </c>
      <c r="AL54" s="33">
        <v>47</v>
      </c>
      <c r="AM54" s="43" t="s">
        <v>46</v>
      </c>
      <c r="AN54" s="44" t="s">
        <v>46</v>
      </c>
      <c r="AP54" s="41">
        <v>1708</v>
      </c>
      <c r="AQ54" s="33">
        <v>47</v>
      </c>
      <c r="AR54" s="43" t="s">
        <v>46</v>
      </c>
      <c r="AS54" s="44" t="s">
        <v>46</v>
      </c>
      <c r="AU54" s="67">
        <v>1802</v>
      </c>
      <c r="AV54" s="68">
        <v>47</v>
      </c>
      <c r="AW54" s="69" t="s">
        <v>6836</v>
      </c>
      <c r="AX54" s="70" t="s">
        <v>2096</v>
      </c>
      <c r="AZ54" s="67">
        <v>1805</v>
      </c>
      <c r="BA54" s="83">
        <v>47</v>
      </c>
      <c r="BB54" s="69" t="s">
        <v>46</v>
      </c>
      <c r="BC54" s="70" t="s">
        <v>46</v>
      </c>
      <c r="BE54" s="67">
        <v>1808</v>
      </c>
      <c r="BF54" s="68">
        <v>47</v>
      </c>
      <c r="BG54" s="69" t="s">
        <v>46</v>
      </c>
      <c r="BH54" s="70" t="s">
        <v>46</v>
      </c>
    </row>
    <row r="55" spans="1:60" ht="15" thickBot="1">
      <c r="A55" s="1"/>
      <c r="B55" s="71">
        <v>1502</v>
      </c>
      <c r="C55" s="72">
        <v>48</v>
      </c>
      <c r="D55" s="73" t="s">
        <v>6837</v>
      </c>
      <c r="E55" s="74" t="s">
        <v>2309</v>
      </c>
      <c r="G55" s="71">
        <v>1505</v>
      </c>
      <c r="H55" s="72">
        <v>48</v>
      </c>
      <c r="I55" s="73" t="s">
        <v>7220</v>
      </c>
      <c r="J55" s="74" t="s">
        <v>938</v>
      </c>
      <c r="L55" s="71">
        <v>1508</v>
      </c>
      <c r="M55" s="72">
        <v>48</v>
      </c>
      <c r="N55" s="73" t="s">
        <v>6839</v>
      </c>
      <c r="O55" s="74" t="s">
        <v>1699</v>
      </c>
      <c r="Q55" s="45">
        <v>1602</v>
      </c>
      <c r="R55" s="46">
        <v>48</v>
      </c>
      <c r="S55" s="47" t="s">
        <v>6840</v>
      </c>
      <c r="T55" s="48" t="s">
        <v>2088</v>
      </c>
      <c r="V55" s="45">
        <v>1605</v>
      </c>
      <c r="W55" s="57">
        <v>48</v>
      </c>
      <c r="X55" s="47" t="s">
        <v>6841</v>
      </c>
      <c r="Y55" s="48" t="s">
        <v>3079</v>
      </c>
      <c r="AA55" s="45">
        <v>1608</v>
      </c>
      <c r="AB55" s="57">
        <v>48</v>
      </c>
      <c r="AC55" s="47" t="s">
        <v>46</v>
      </c>
      <c r="AD55" s="48" t="s">
        <v>46</v>
      </c>
      <c r="AF55" s="45">
        <v>1702</v>
      </c>
      <c r="AG55" s="57">
        <v>48</v>
      </c>
      <c r="AH55" s="47" t="s">
        <v>6837</v>
      </c>
      <c r="AI55" s="48" t="s">
        <v>2309</v>
      </c>
      <c r="AK55" s="45">
        <v>1705</v>
      </c>
      <c r="AL55" s="57">
        <v>48</v>
      </c>
      <c r="AM55" s="47" t="s">
        <v>7220</v>
      </c>
      <c r="AN55" s="48" t="s">
        <v>938</v>
      </c>
      <c r="AP55" s="45">
        <v>1708</v>
      </c>
      <c r="AQ55" s="57">
        <v>48</v>
      </c>
      <c r="AR55" s="47" t="s">
        <v>6839</v>
      </c>
      <c r="AS55" s="48" t="s">
        <v>1699</v>
      </c>
      <c r="AU55" s="71">
        <v>1802</v>
      </c>
      <c r="AV55" s="72">
        <v>48</v>
      </c>
      <c r="AW55" s="73" t="s">
        <v>6840</v>
      </c>
      <c r="AX55" s="74" t="s">
        <v>2088</v>
      </c>
      <c r="AZ55" s="71">
        <v>1805</v>
      </c>
      <c r="BA55" s="84">
        <v>48</v>
      </c>
      <c r="BB55" s="73" t="s">
        <v>6841</v>
      </c>
      <c r="BC55" s="74" t="s">
        <v>3079</v>
      </c>
      <c r="BE55" s="71">
        <v>1808</v>
      </c>
      <c r="BF55" s="72">
        <v>48</v>
      </c>
      <c r="BG55" s="73" t="s">
        <v>46</v>
      </c>
      <c r="BH55" s="74" t="s">
        <v>46</v>
      </c>
    </row>
    <row r="56" spans="1:60">
      <c r="A56" s="1"/>
      <c r="B56" s="75">
        <v>1502</v>
      </c>
      <c r="C56" s="76">
        <v>49</v>
      </c>
      <c r="D56" s="77" t="s">
        <v>7221</v>
      </c>
      <c r="E56" s="66" t="s">
        <v>1489</v>
      </c>
      <c r="G56" s="75">
        <v>1505</v>
      </c>
      <c r="H56" s="76">
        <v>49</v>
      </c>
      <c r="I56" s="77" t="s">
        <v>46</v>
      </c>
      <c r="J56" s="66" t="s">
        <v>46</v>
      </c>
      <c r="L56" s="75">
        <v>1508</v>
      </c>
      <c r="M56" s="76">
        <v>49</v>
      </c>
      <c r="N56" s="77" t="s">
        <v>6843</v>
      </c>
      <c r="O56" s="66" t="s">
        <v>2865</v>
      </c>
      <c r="Q56" s="49">
        <v>1602</v>
      </c>
      <c r="R56" s="50">
        <v>49</v>
      </c>
      <c r="S56" s="51" t="s">
        <v>46</v>
      </c>
      <c r="T56" s="40" t="s">
        <v>46</v>
      </c>
      <c r="V56" s="49">
        <v>1605</v>
      </c>
      <c r="W56" s="58">
        <v>49</v>
      </c>
      <c r="X56" s="51" t="s">
        <v>46</v>
      </c>
      <c r="Y56" s="40" t="s">
        <v>46</v>
      </c>
      <c r="AA56" s="49">
        <v>1608</v>
      </c>
      <c r="AB56" s="58">
        <v>49</v>
      </c>
      <c r="AC56" s="51" t="s">
        <v>46</v>
      </c>
      <c r="AD56" s="40" t="s">
        <v>46</v>
      </c>
      <c r="AF56" s="49">
        <v>1702</v>
      </c>
      <c r="AG56" s="58">
        <v>49</v>
      </c>
      <c r="AH56" s="51" t="s">
        <v>7221</v>
      </c>
      <c r="AI56" s="40" t="s">
        <v>1489</v>
      </c>
      <c r="AK56" s="49">
        <v>1705</v>
      </c>
      <c r="AL56" s="58">
        <v>49</v>
      </c>
      <c r="AM56" s="51" t="s">
        <v>46</v>
      </c>
      <c r="AN56" s="40" t="s">
        <v>46</v>
      </c>
      <c r="AP56" s="49">
        <v>1708</v>
      </c>
      <c r="AQ56" s="58">
        <v>49</v>
      </c>
      <c r="AR56" s="51" t="s">
        <v>6843</v>
      </c>
      <c r="AS56" s="40" t="s">
        <v>2865</v>
      </c>
      <c r="AU56" s="75">
        <v>1802</v>
      </c>
      <c r="AV56" s="76">
        <v>49</v>
      </c>
      <c r="AW56" s="77" t="s">
        <v>46</v>
      </c>
      <c r="AX56" s="66" t="s">
        <v>46</v>
      </c>
      <c r="AZ56" s="75">
        <v>1805</v>
      </c>
      <c r="BA56" s="85">
        <v>49</v>
      </c>
      <c r="BB56" s="77" t="s">
        <v>46</v>
      </c>
      <c r="BC56" s="66" t="s">
        <v>46</v>
      </c>
      <c r="BE56" s="75">
        <v>1808</v>
      </c>
      <c r="BF56" s="76">
        <v>49</v>
      </c>
      <c r="BG56" s="77" t="s">
        <v>46</v>
      </c>
      <c r="BH56" s="66" t="s">
        <v>46</v>
      </c>
    </row>
    <row r="57" spans="1:60">
      <c r="A57" s="1"/>
      <c r="B57" s="67">
        <v>1502</v>
      </c>
      <c r="C57" s="68">
        <v>50</v>
      </c>
      <c r="D57" s="69" t="s">
        <v>6844</v>
      </c>
      <c r="E57" s="70" t="s">
        <v>880</v>
      </c>
      <c r="G57" s="67">
        <v>1505</v>
      </c>
      <c r="H57" s="68">
        <v>50</v>
      </c>
      <c r="I57" s="69" t="s">
        <v>6845</v>
      </c>
      <c r="J57" s="70" t="s">
        <v>765</v>
      </c>
      <c r="L57" s="67">
        <v>1508</v>
      </c>
      <c r="M57" s="68">
        <v>50</v>
      </c>
      <c r="N57" s="69" t="s">
        <v>6846</v>
      </c>
      <c r="O57" s="70" t="s">
        <v>1374</v>
      </c>
      <c r="Q57" s="41">
        <v>1602</v>
      </c>
      <c r="R57" s="42">
        <v>50</v>
      </c>
      <c r="S57" s="43" t="s">
        <v>6847</v>
      </c>
      <c r="T57" s="44" t="s">
        <v>1138</v>
      </c>
      <c r="V57" s="41">
        <v>1605</v>
      </c>
      <c r="W57" s="33">
        <v>50</v>
      </c>
      <c r="X57" s="43" t="s">
        <v>6848</v>
      </c>
      <c r="Y57" s="44" t="s">
        <v>3000</v>
      </c>
      <c r="AA57" s="41">
        <v>1608</v>
      </c>
      <c r="AB57" s="33">
        <v>50</v>
      </c>
      <c r="AC57" s="43" t="s">
        <v>46</v>
      </c>
      <c r="AD57" s="44" t="s">
        <v>46</v>
      </c>
      <c r="AF57" s="41">
        <v>1702</v>
      </c>
      <c r="AG57" s="33">
        <v>50</v>
      </c>
      <c r="AH57" s="43" t="s">
        <v>6844</v>
      </c>
      <c r="AI57" s="44" t="s">
        <v>880</v>
      </c>
      <c r="AK57" s="41">
        <v>1705</v>
      </c>
      <c r="AL57" s="33">
        <v>50</v>
      </c>
      <c r="AM57" s="43" t="s">
        <v>6845</v>
      </c>
      <c r="AN57" s="44" t="s">
        <v>765</v>
      </c>
      <c r="AP57" s="41">
        <v>1708</v>
      </c>
      <c r="AQ57" s="33">
        <v>50</v>
      </c>
      <c r="AR57" s="43" t="s">
        <v>6846</v>
      </c>
      <c r="AS57" s="44" t="s">
        <v>1374</v>
      </c>
      <c r="AU57" s="67">
        <v>1802</v>
      </c>
      <c r="AV57" s="68">
        <v>50</v>
      </c>
      <c r="AW57" s="69" t="s">
        <v>6847</v>
      </c>
      <c r="AX57" s="70" t="s">
        <v>1138</v>
      </c>
      <c r="AZ57" s="67">
        <v>1805</v>
      </c>
      <c r="BA57" s="83">
        <v>50</v>
      </c>
      <c r="BB57" s="69" t="s">
        <v>6848</v>
      </c>
      <c r="BC57" s="70" t="s">
        <v>3000</v>
      </c>
      <c r="BE57" s="67">
        <v>1808</v>
      </c>
      <c r="BF57" s="68">
        <v>50</v>
      </c>
      <c r="BG57" s="69" t="s">
        <v>46</v>
      </c>
      <c r="BH57" s="70" t="s">
        <v>46</v>
      </c>
    </row>
    <row r="58" spans="1:60">
      <c r="A58" s="1"/>
      <c r="B58" s="67">
        <v>1502</v>
      </c>
      <c r="C58" s="68">
        <v>51</v>
      </c>
      <c r="D58" s="69" t="s">
        <v>6849</v>
      </c>
      <c r="E58" s="70" t="s">
        <v>755</v>
      </c>
      <c r="G58" s="67">
        <v>1505</v>
      </c>
      <c r="H58" s="68">
        <v>51</v>
      </c>
      <c r="I58" s="69" t="s">
        <v>6850</v>
      </c>
      <c r="J58" s="70" t="s">
        <v>780</v>
      </c>
      <c r="L58" s="67">
        <v>1508</v>
      </c>
      <c r="M58" s="68">
        <v>51</v>
      </c>
      <c r="N58" s="69" t="s">
        <v>46</v>
      </c>
      <c r="O58" s="70" t="s">
        <v>46</v>
      </c>
      <c r="Q58" s="41">
        <v>1602</v>
      </c>
      <c r="R58" s="42">
        <v>51</v>
      </c>
      <c r="S58" s="43" t="s">
        <v>46</v>
      </c>
      <c r="T58" s="44" t="s">
        <v>46</v>
      </c>
      <c r="V58" s="41">
        <v>1605</v>
      </c>
      <c r="W58" s="33">
        <v>51</v>
      </c>
      <c r="X58" s="43" t="s">
        <v>6851</v>
      </c>
      <c r="Y58" s="44" t="s">
        <v>311</v>
      </c>
      <c r="AA58" s="41">
        <v>1608</v>
      </c>
      <c r="AB58" s="33">
        <v>51</v>
      </c>
      <c r="AC58" s="43" t="s">
        <v>46</v>
      </c>
      <c r="AD58" s="44" t="s">
        <v>46</v>
      </c>
      <c r="AF58" s="41">
        <v>1702</v>
      </c>
      <c r="AG58" s="33">
        <v>51</v>
      </c>
      <c r="AH58" s="43" t="s">
        <v>6849</v>
      </c>
      <c r="AI58" s="44" t="s">
        <v>755</v>
      </c>
      <c r="AK58" s="41">
        <v>1705</v>
      </c>
      <c r="AL58" s="33">
        <v>51</v>
      </c>
      <c r="AM58" s="43" t="s">
        <v>6850</v>
      </c>
      <c r="AN58" s="44" t="s">
        <v>780</v>
      </c>
      <c r="AP58" s="41">
        <v>1708</v>
      </c>
      <c r="AQ58" s="33">
        <v>51</v>
      </c>
      <c r="AR58" s="43" t="s">
        <v>46</v>
      </c>
      <c r="AS58" s="44" t="s">
        <v>46</v>
      </c>
      <c r="AU58" s="67">
        <v>1802</v>
      </c>
      <c r="AV58" s="68">
        <v>51</v>
      </c>
      <c r="AW58" s="69" t="s">
        <v>46</v>
      </c>
      <c r="AX58" s="70" t="s">
        <v>46</v>
      </c>
      <c r="AZ58" s="67">
        <v>1805</v>
      </c>
      <c r="BA58" s="83">
        <v>51</v>
      </c>
      <c r="BB58" s="69" t="s">
        <v>6851</v>
      </c>
      <c r="BC58" s="70" t="s">
        <v>311</v>
      </c>
      <c r="BE58" s="67">
        <v>1808</v>
      </c>
      <c r="BF58" s="68">
        <v>51</v>
      </c>
      <c r="BG58" s="69" t="s">
        <v>46</v>
      </c>
      <c r="BH58" s="70" t="s">
        <v>46</v>
      </c>
    </row>
    <row r="59" spans="1:60">
      <c r="A59" s="1"/>
      <c r="B59" s="67">
        <v>1502</v>
      </c>
      <c r="C59" s="68">
        <v>52</v>
      </c>
      <c r="D59" s="263" t="s">
        <v>46</v>
      </c>
      <c r="E59" s="264" t="s">
        <v>46</v>
      </c>
      <c r="G59" s="67">
        <v>1505</v>
      </c>
      <c r="H59" s="68">
        <v>52</v>
      </c>
      <c r="I59" s="69" t="s">
        <v>6852</v>
      </c>
      <c r="J59" s="70" t="s">
        <v>2703</v>
      </c>
      <c r="L59" s="67">
        <v>1508</v>
      </c>
      <c r="M59" s="68">
        <v>52</v>
      </c>
      <c r="N59" s="69" t="s">
        <v>6853</v>
      </c>
      <c r="O59" s="70" t="s">
        <v>1354</v>
      </c>
      <c r="Q59" s="41">
        <v>1602</v>
      </c>
      <c r="R59" s="42">
        <v>52</v>
      </c>
      <c r="S59" s="43" t="s">
        <v>6854</v>
      </c>
      <c r="T59" s="44" t="s">
        <v>1143</v>
      </c>
      <c r="V59" s="41">
        <v>1605</v>
      </c>
      <c r="W59" s="33">
        <v>52</v>
      </c>
      <c r="X59" s="43" t="s">
        <v>6855</v>
      </c>
      <c r="Y59" s="44" t="s">
        <v>1709</v>
      </c>
      <c r="AA59" s="41">
        <v>1608</v>
      </c>
      <c r="AB59" s="33">
        <v>52</v>
      </c>
      <c r="AC59" s="43" t="s">
        <v>46</v>
      </c>
      <c r="AD59" s="44" t="s">
        <v>46</v>
      </c>
      <c r="AF59" s="41">
        <v>1702</v>
      </c>
      <c r="AG59" s="33">
        <v>52</v>
      </c>
      <c r="AH59" s="263" t="s">
        <v>46</v>
      </c>
      <c r="AI59" s="264" t="s">
        <v>46</v>
      </c>
      <c r="AK59" s="41">
        <v>1705</v>
      </c>
      <c r="AL59" s="33">
        <v>52</v>
      </c>
      <c r="AM59" s="43" t="s">
        <v>6852</v>
      </c>
      <c r="AN59" s="44" t="s">
        <v>2703</v>
      </c>
      <c r="AP59" s="41">
        <v>1708</v>
      </c>
      <c r="AQ59" s="33">
        <v>52</v>
      </c>
      <c r="AR59" s="43" t="s">
        <v>6853</v>
      </c>
      <c r="AS59" s="44" t="s">
        <v>1354</v>
      </c>
      <c r="AU59" s="67">
        <v>1802</v>
      </c>
      <c r="AV59" s="68">
        <v>52</v>
      </c>
      <c r="AW59" s="69" t="s">
        <v>6854</v>
      </c>
      <c r="AX59" s="70" t="s">
        <v>1143</v>
      </c>
      <c r="AZ59" s="67">
        <v>1805</v>
      </c>
      <c r="BA59" s="83">
        <v>52</v>
      </c>
      <c r="BB59" s="69" t="s">
        <v>6855</v>
      </c>
      <c r="BC59" s="70" t="s">
        <v>1709</v>
      </c>
      <c r="BE59" s="67">
        <v>1808</v>
      </c>
      <c r="BF59" s="68">
        <v>52</v>
      </c>
      <c r="BG59" s="69" t="s">
        <v>46</v>
      </c>
      <c r="BH59" s="70" t="s">
        <v>46</v>
      </c>
    </row>
    <row r="60" spans="1:60">
      <c r="A60" s="1"/>
      <c r="B60" s="67">
        <v>1502</v>
      </c>
      <c r="C60" s="68">
        <v>53</v>
      </c>
      <c r="D60" s="69" t="s">
        <v>46</v>
      </c>
      <c r="E60" s="70" t="s">
        <v>46</v>
      </c>
      <c r="G60" s="67">
        <v>1505</v>
      </c>
      <c r="H60" s="68">
        <v>53</v>
      </c>
      <c r="I60" s="69" t="s">
        <v>7222</v>
      </c>
      <c r="J60" s="70" t="s">
        <v>1239</v>
      </c>
      <c r="L60" s="67">
        <v>1508</v>
      </c>
      <c r="M60" s="68">
        <v>53</v>
      </c>
      <c r="N60" s="69" t="s">
        <v>46</v>
      </c>
      <c r="O60" s="70" t="s">
        <v>46</v>
      </c>
      <c r="Q60" s="41">
        <v>1602</v>
      </c>
      <c r="R60" s="42">
        <v>53</v>
      </c>
      <c r="S60" s="43" t="s">
        <v>46</v>
      </c>
      <c r="T60" s="44" t="s">
        <v>46</v>
      </c>
      <c r="V60" s="41">
        <v>1605</v>
      </c>
      <c r="W60" s="33">
        <v>53</v>
      </c>
      <c r="X60" s="43" t="s">
        <v>6857</v>
      </c>
      <c r="Y60" s="44" t="s">
        <v>321</v>
      </c>
      <c r="AA60" s="41">
        <v>1608</v>
      </c>
      <c r="AB60" s="33">
        <v>53</v>
      </c>
      <c r="AC60" s="43" t="s">
        <v>46</v>
      </c>
      <c r="AD60" s="44" t="s">
        <v>46</v>
      </c>
      <c r="AF60" s="41">
        <v>1702</v>
      </c>
      <c r="AG60" s="33">
        <v>53</v>
      </c>
      <c r="AH60" s="43" t="s">
        <v>46</v>
      </c>
      <c r="AI60" s="44" t="s">
        <v>46</v>
      </c>
      <c r="AK60" s="41">
        <v>1705</v>
      </c>
      <c r="AL60" s="33">
        <v>53</v>
      </c>
      <c r="AM60" s="43" t="s">
        <v>7222</v>
      </c>
      <c r="AN60" s="44" t="s">
        <v>1239</v>
      </c>
      <c r="AP60" s="41">
        <v>1708</v>
      </c>
      <c r="AQ60" s="33">
        <v>53</v>
      </c>
      <c r="AR60" s="43" t="s">
        <v>46</v>
      </c>
      <c r="AS60" s="44" t="s">
        <v>46</v>
      </c>
      <c r="AU60" s="67">
        <v>1802</v>
      </c>
      <c r="AV60" s="68">
        <v>53</v>
      </c>
      <c r="AW60" s="69" t="s">
        <v>46</v>
      </c>
      <c r="AX60" s="70" t="s">
        <v>46</v>
      </c>
      <c r="AZ60" s="67">
        <v>1805</v>
      </c>
      <c r="BA60" s="83">
        <v>53</v>
      </c>
      <c r="BB60" s="69" t="s">
        <v>6857</v>
      </c>
      <c r="BC60" s="70" t="s">
        <v>321</v>
      </c>
      <c r="BE60" s="67">
        <v>1808</v>
      </c>
      <c r="BF60" s="68">
        <v>53</v>
      </c>
      <c r="BG60" s="69" t="s">
        <v>46</v>
      </c>
      <c r="BH60" s="70" t="s">
        <v>46</v>
      </c>
    </row>
    <row r="61" spans="1:60">
      <c r="A61" s="1"/>
      <c r="B61" s="67">
        <v>1502</v>
      </c>
      <c r="C61" s="68">
        <v>54</v>
      </c>
      <c r="D61" s="69" t="s">
        <v>46</v>
      </c>
      <c r="E61" s="70" t="s">
        <v>46</v>
      </c>
      <c r="G61" s="67">
        <v>1505</v>
      </c>
      <c r="H61" s="68">
        <v>54</v>
      </c>
      <c r="I61" s="69" t="s">
        <v>6858</v>
      </c>
      <c r="J61" s="70" t="s">
        <v>2713</v>
      </c>
      <c r="L61" s="67">
        <v>1508</v>
      </c>
      <c r="M61" s="68">
        <v>54</v>
      </c>
      <c r="N61" s="69" t="s">
        <v>6859</v>
      </c>
      <c r="O61" s="70" t="s">
        <v>775</v>
      </c>
      <c r="Q61" s="41">
        <v>1602</v>
      </c>
      <c r="R61" s="42">
        <v>54</v>
      </c>
      <c r="S61" s="43" t="s">
        <v>6860</v>
      </c>
      <c r="T61" s="44" t="s">
        <v>1619</v>
      </c>
      <c r="V61" s="41">
        <v>1605</v>
      </c>
      <c r="W61" s="33">
        <v>54</v>
      </c>
      <c r="X61" s="43" t="s">
        <v>6861</v>
      </c>
      <c r="Y61" s="44" t="s">
        <v>1714</v>
      </c>
      <c r="AA61" s="41">
        <v>1608</v>
      </c>
      <c r="AB61" s="33">
        <v>54</v>
      </c>
      <c r="AC61" s="43" t="s">
        <v>46</v>
      </c>
      <c r="AD61" s="44" t="s">
        <v>46</v>
      </c>
      <c r="AF61" s="41">
        <v>1702</v>
      </c>
      <c r="AG61" s="33">
        <v>54</v>
      </c>
      <c r="AH61" s="43" t="s">
        <v>46</v>
      </c>
      <c r="AI61" s="44" t="s">
        <v>46</v>
      </c>
      <c r="AK61" s="41">
        <v>1705</v>
      </c>
      <c r="AL61" s="33">
        <v>54</v>
      </c>
      <c r="AM61" s="43" t="s">
        <v>6858</v>
      </c>
      <c r="AN61" s="44" t="s">
        <v>2713</v>
      </c>
      <c r="AP61" s="41">
        <v>1708</v>
      </c>
      <c r="AQ61" s="33">
        <v>54</v>
      </c>
      <c r="AR61" s="43" t="s">
        <v>6859</v>
      </c>
      <c r="AS61" s="44" t="s">
        <v>775</v>
      </c>
      <c r="AU61" s="67">
        <v>1802</v>
      </c>
      <c r="AV61" s="68">
        <v>54</v>
      </c>
      <c r="AW61" s="69" t="s">
        <v>6860</v>
      </c>
      <c r="AX61" s="70" t="s">
        <v>1619</v>
      </c>
      <c r="AZ61" s="67">
        <v>1805</v>
      </c>
      <c r="BA61" s="83">
        <v>54</v>
      </c>
      <c r="BB61" s="69" t="s">
        <v>6861</v>
      </c>
      <c r="BC61" s="70" t="s">
        <v>1714</v>
      </c>
      <c r="BE61" s="67">
        <v>1808</v>
      </c>
      <c r="BF61" s="68">
        <v>54</v>
      </c>
      <c r="BG61" s="69" t="s">
        <v>46</v>
      </c>
      <c r="BH61" s="70" t="s">
        <v>46</v>
      </c>
    </row>
    <row r="62" spans="1:60">
      <c r="A62" s="1"/>
      <c r="B62" s="67">
        <v>1502</v>
      </c>
      <c r="C62" s="68">
        <v>55</v>
      </c>
      <c r="D62" s="69" t="s">
        <v>46</v>
      </c>
      <c r="E62" s="70" t="s">
        <v>46</v>
      </c>
      <c r="G62" s="67">
        <v>1505</v>
      </c>
      <c r="H62" s="68">
        <v>55</v>
      </c>
      <c r="I62" s="69" t="s">
        <v>7223</v>
      </c>
      <c r="J62" s="70" t="s">
        <v>1028</v>
      </c>
      <c r="L62" s="67">
        <v>1508</v>
      </c>
      <c r="M62" s="68">
        <v>55</v>
      </c>
      <c r="N62" s="69" t="s">
        <v>6863</v>
      </c>
      <c r="O62" s="70" t="s">
        <v>1274</v>
      </c>
      <c r="Q62" s="41">
        <v>1602</v>
      </c>
      <c r="R62" s="42">
        <v>55</v>
      </c>
      <c r="S62" s="43" t="s">
        <v>46</v>
      </c>
      <c r="T62" s="44" t="s">
        <v>46</v>
      </c>
      <c r="V62" s="41">
        <v>1605</v>
      </c>
      <c r="W62" s="33">
        <v>55</v>
      </c>
      <c r="X62" s="43" t="s">
        <v>6864</v>
      </c>
      <c r="Y62" s="44" t="s">
        <v>1063</v>
      </c>
      <c r="AA62" s="41">
        <v>1608</v>
      </c>
      <c r="AB62" s="33">
        <v>55</v>
      </c>
      <c r="AC62" s="43" t="s">
        <v>46</v>
      </c>
      <c r="AD62" s="44" t="s">
        <v>46</v>
      </c>
      <c r="AF62" s="41">
        <v>1702</v>
      </c>
      <c r="AG62" s="33">
        <v>55</v>
      </c>
      <c r="AH62" s="43" t="s">
        <v>46</v>
      </c>
      <c r="AI62" s="44" t="s">
        <v>46</v>
      </c>
      <c r="AK62" s="41">
        <v>1705</v>
      </c>
      <c r="AL62" s="33">
        <v>55</v>
      </c>
      <c r="AM62" s="43" t="s">
        <v>7223</v>
      </c>
      <c r="AN62" s="44" t="s">
        <v>1028</v>
      </c>
      <c r="AP62" s="41">
        <v>1708</v>
      </c>
      <c r="AQ62" s="33">
        <v>55</v>
      </c>
      <c r="AR62" s="43" t="s">
        <v>6863</v>
      </c>
      <c r="AS62" s="44" t="s">
        <v>1274</v>
      </c>
      <c r="AU62" s="67">
        <v>1802</v>
      </c>
      <c r="AV62" s="68">
        <v>55</v>
      </c>
      <c r="AW62" s="69" t="s">
        <v>46</v>
      </c>
      <c r="AX62" s="70" t="s">
        <v>46</v>
      </c>
      <c r="AZ62" s="67">
        <v>1805</v>
      </c>
      <c r="BA62" s="83">
        <v>55</v>
      </c>
      <c r="BB62" s="69" t="s">
        <v>6864</v>
      </c>
      <c r="BC62" s="70" t="s">
        <v>1063</v>
      </c>
      <c r="BE62" s="67">
        <v>1808</v>
      </c>
      <c r="BF62" s="68">
        <v>55</v>
      </c>
      <c r="BG62" s="69" t="s">
        <v>46</v>
      </c>
      <c r="BH62" s="70" t="s">
        <v>46</v>
      </c>
    </row>
    <row r="63" spans="1:60">
      <c r="A63" s="1"/>
      <c r="B63" s="67">
        <v>1502</v>
      </c>
      <c r="C63" s="68">
        <v>56</v>
      </c>
      <c r="D63" s="69" t="s">
        <v>7224</v>
      </c>
      <c r="E63" s="70" t="s">
        <v>1379</v>
      </c>
      <c r="G63" s="67">
        <v>1505</v>
      </c>
      <c r="H63" s="68">
        <v>56</v>
      </c>
      <c r="I63" s="69" t="s">
        <v>46</v>
      </c>
      <c r="J63" s="70" t="s">
        <v>46</v>
      </c>
      <c r="L63" s="67">
        <v>1508</v>
      </c>
      <c r="M63" s="68">
        <v>56</v>
      </c>
      <c r="N63" s="69" t="s">
        <v>46</v>
      </c>
      <c r="O63" s="70" t="s">
        <v>46</v>
      </c>
      <c r="Q63" s="41">
        <v>1602</v>
      </c>
      <c r="R63" s="42">
        <v>56</v>
      </c>
      <c r="S63" s="43" t="s">
        <v>6866</v>
      </c>
      <c r="T63" s="44" t="s">
        <v>2519</v>
      </c>
      <c r="V63" s="41">
        <v>1605</v>
      </c>
      <c r="W63" s="33">
        <v>56</v>
      </c>
      <c r="X63" s="43" t="s">
        <v>6867</v>
      </c>
      <c r="Y63" s="44" t="s">
        <v>3030</v>
      </c>
      <c r="AA63" s="41">
        <v>1608</v>
      </c>
      <c r="AB63" s="33">
        <v>56</v>
      </c>
      <c r="AC63" s="43" t="s">
        <v>46</v>
      </c>
      <c r="AD63" s="44" t="s">
        <v>46</v>
      </c>
      <c r="AF63" s="41">
        <v>1702</v>
      </c>
      <c r="AG63" s="33">
        <v>56</v>
      </c>
      <c r="AH63" s="43" t="s">
        <v>7224</v>
      </c>
      <c r="AI63" s="44" t="s">
        <v>1379</v>
      </c>
      <c r="AK63" s="41">
        <v>1705</v>
      </c>
      <c r="AL63" s="33">
        <v>56</v>
      </c>
      <c r="AM63" s="43" t="s">
        <v>46</v>
      </c>
      <c r="AN63" s="44" t="s">
        <v>46</v>
      </c>
      <c r="AP63" s="41">
        <v>1708</v>
      </c>
      <c r="AQ63" s="33">
        <v>56</v>
      </c>
      <c r="AR63" s="43" t="s">
        <v>46</v>
      </c>
      <c r="AS63" s="44" t="s">
        <v>46</v>
      </c>
      <c r="AU63" s="67">
        <v>1802</v>
      </c>
      <c r="AV63" s="68">
        <v>56</v>
      </c>
      <c r="AW63" s="69" t="s">
        <v>6866</v>
      </c>
      <c r="AX63" s="70" t="s">
        <v>2519</v>
      </c>
      <c r="AZ63" s="67">
        <v>1805</v>
      </c>
      <c r="BA63" s="83">
        <v>56</v>
      </c>
      <c r="BB63" s="69" t="s">
        <v>6867</v>
      </c>
      <c r="BC63" s="70" t="s">
        <v>3030</v>
      </c>
      <c r="BE63" s="67">
        <v>1808</v>
      </c>
      <c r="BF63" s="68">
        <v>56</v>
      </c>
      <c r="BG63" s="69" t="s">
        <v>46</v>
      </c>
      <c r="BH63" s="70" t="s">
        <v>46</v>
      </c>
    </row>
    <row r="64" spans="1:60">
      <c r="A64" s="1"/>
      <c r="B64" s="67">
        <v>1502</v>
      </c>
      <c r="C64" s="68">
        <v>57</v>
      </c>
      <c r="D64" s="69" t="s">
        <v>46</v>
      </c>
      <c r="E64" s="70" t="s">
        <v>46</v>
      </c>
      <c r="G64" s="67">
        <v>1505</v>
      </c>
      <c r="H64" s="68">
        <v>57</v>
      </c>
      <c r="I64" s="69" t="s">
        <v>7225</v>
      </c>
      <c r="J64" s="70" t="s">
        <v>1038</v>
      </c>
      <c r="L64" s="67">
        <v>1508</v>
      </c>
      <c r="M64" s="68">
        <v>57</v>
      </c>
      <c r="N64" s="69" t="s">
        <v>6869</v>
      </c>
      <c r="O64" s="70" t="s">
        <v>770</v>
      </c>
      <c r="Q64" s="41">
        <v>1602</v>
      </c>
      <c r="R64" s="42">
        <v>57</v>
      </c>
      <c r="S64" s="43" t="s">
        <v>6870</v>
      </c>
      <c r="T64" s="44" t="s">
        <v>1043</v>
      </c>
      <c r="V64" s="41">
        <v>1605</v>
      </c>
      <c r="W64" s="33">
        <v>57</v>
      </c>
      <c r="X64" s="43" t="s">
        <v>6871</v>
      </c>
      <c r="Y64" s="44" t="s">
        <v>1739</v>
      </c>
      <c r="AA64" s="41">
        <v>1608</v>
      </c>
      <c r="AB64" s="33">
        <v>57</v>
      </c>
      <c r="AC64" s="43" t="s">
        <v>46</v>
      </c>
      <c r="AD64" s="44" t="s">
        <v>46</v>
      </c>
      <c r="AF64" s="41">
        <v>1702</v>
      </c>
      <c r="AG64" s="33">
        <v>57</v>
      </c>
      <c r="AH64" s="43" t="s">
        <v>46</v>
      </c>
      <c r="AI64" s="44" t="s">
        <v>46</v>
      </c>
      <c r="AK64" s="41">
        <v>1705</v>
      </c>
      <c r="AL64" s="33">
        <v>57</v>
      </c>
      <c r="AM64" s="43" t="s">
        <v>7225</v>
      </c>
      <c r="AN64" s="44" t="s">
        <v>1038</v>
      </c>
      <c r="AP64" s="41">
        <v>1708</v>
      </c>
      <c r="AQ64" s="33">
        <v>57</v>
      </c>
      <c r="AR64" s="43" t="s">
        <v>6869</v>
      </c>
      <c r="AS64" s="44" t="s">
        <v>770</v>
      </c>
      <c r="AU64" s="67">
        <v>1802</v>
      </c>
      <c r="AV64" s="68">
        <v>57</v>
      </c>
      <c r="AW64" s="69" t="s">
        <v>6870</v>
      </c>
      <c r="AX64" s="70" t="s">
        <v>1043</v>
      </c>
      <c r="AZ64" s="67">
        <v>1805</v>
      </c>
      <c r="BA64" s="83">
        <v>57</v>
      </c>
      <c r="BB64" s="69" t="s">
        <v>6871</v>
      </c>
      <c r="BC64" s="70" t="s">
        <v>1739</v>
      </c>
      <c r="BE64" s="67">
        <v>1808</v>
      </c>
      <c r="BF64" s="68">
        <v>57</v>
      </c>
      <c r="BG64" s="69" t="s">
        <v>46</v>
      </c>
      <c r="BH64" s="70" t="s">
        <v>46</v>
      </c>
    </row>
    <row r="65" spans="1:60">
      <c r="A65" s="1"/>
      <c r="B65" s="67">
        <v>1502</v>
      </c>
      <c r="C65" s="68">
        <v>58</v>
      </c>
      <c r="D65" s="69" t="s">
        <v>7226</v>
      </c>
      <c r="E65" s="70" t="s">
        <v>1474</v>
      </c>
      <c r="G65" s="67">
        <v>1505</v>
      </c>
      <c r="H65" s="68">
        <v>58</v>
      </c>
      <c r="I65" s="69" t="s">
        <v>46</v>
      </c>
      <c r="J65" s="70" t="s">
        <v>46</v>
      </c>
      <c r="L65" s="67">
        <v>1508</v>
      </c>
      <c r="M65" s="68">
        <v>58</v>
      </c>
      <c r="N65" s="69" t="s">
        <v>46</v>
      </c>
      <c r="O65" s="70" t="s">
        <v>46</v>
      </c>
      <c r="Q65" s="41">
        <v>1602</v>
      </c>
      <c r="R65" s="42">
        <v>58</v>
      </c>
      <c r="S65" s="43" t="s">
        <v>6873</v>
      </c>
      <c r="T65" s="44" t="s">
        <v>2511</v>
      </c>
      <c r="V65" s="41">
        <v>1605</v>
      </c>
      <c r="W65" s="33">
        <v>58</v>
      </c>
      <c r="X65" s="43" t="s">
        <v>6874</v>
      </c>
      <c r="Y65" s="44" t="s">
        <v>3103</v>
      </c>
      <c r="AA65" s="41">
        <v>1608</v>
      </c>
      <c r="AB65" s="33">
        <v>58</v>
      </c>
      <c r="AC65" s="43" t="s">
        <v>46</v>
      </c>
      <c r="AD65" s="44" t="s">
        <v>46</v>
      </c>
      <c r="AF65" s="41">
        <v>1702</v>
      </c>
      <c r="AG65" s="33">
        <v>58</v>
      </c>
      <c r="AH65" s="43" t="s">
        <v>7226</v>
      </c>
      <c r="AI65" s="44" t="s">
        <v>1474</v>
      </c>
      <c r="AK65" s="41">
        <v>1705</v>
      </c>
      <c r="AL65" s="33">
        <v>58</v>
      </c>
      <c r="AM65" s="43" t="s">
        <v>46</v>
      </c>
      <c r="AN65" s="44" t="s">
        <v>46</v>
      </c>
      <c r="AP65" s="41">
        <v>1708</v>
      </c>
      <c r="AQ65" s="33">
        <v>58</v>
      </c>
      <c r="AR65" s="43" t="s">
        <v>46</v>
      </c>
      <c r="AS65" s="44" t="s">
        <v>46</v>
      </c>
      <c r="AU65" s="67">
        <v>1802</v>
      </c>
      <c r="AV65" s="68">
        <v>58</v>
      </c>
      <c r="AW65" s="69" t="s">
        <v>6873</v>
      </c>
      <c r="AX65" s="70" t="s">
        <v>2511</v>
      </c>
      <c r="AZ65" s="67">
        <v>1805</v>
      </c>
      <c r="BA65" s="83">
        <v>58</v>
      </c>
      <c r="BB65" s="69" t="s">
        <v>6874</v>
      </c>
      <c r="BC65" s="70" t="s">
        <v>3103</v>
      </c>
      <c r="BE65" s="67">
        <v>1808</v>
      </c>
      <c r="BF65" s="68">
        <v>58</v>
      </c>
      <c r="BG65" s="69" t="s">
        <v>46</v>
      </c>
      <c r="BH65" s="70" t="s">
        <v>46</v>
      </c>
    </row>
    <row r="66" spans="1:60">
      <c r="A66" s="1"/>
      <c r="B66" s="67">
        <v>1502</v>
      </c>
      <c r="C66" s="68">
        <v>59</v>
      </c>
      <c r="D66" s="69" t="s">
        <v>6875</v>
      </c>
      <c r="E66" s="70" t="s">
        <v>1899</v>
      </c>
      <c r="G66" s="67">
        <v>1505</v>
      </c>
      <c r="H66" s="68">
        <v>59</v>
      </c>
      <c r="I66" s="69" t="s">
        <v>6876</v>
      </c>
      <c r="J66" s="70" t="s">
        <v>2317</v>
      </c>
      <c r="L66" s="67">
        <v>1508</v>
      </c>
      <c r="M66" s="68">
        <v>59</v>
      </c>
      <c r="N66" s="69" t="s">
        <v>6877</v>
      </c>
      <c r="O66" s="70" t="s">
        <v>2414</v>
      </c>
      <c r="Q66" s="41">
        <v>1602</v>
      </c>
      <c r="R66" s="42">
        <v>59</v>
      </c>
      <c r="S66" s="43" t="s">
        <v>6878</v>
      </c>
      <c r="T66" s="44" t="s">
        <v>3233</v>
      </c>
      <c r="V66" s="41">
        <v>1605</v>
      </c>
      <c r="W66" s="33">
        <v>59</v>
      </c>
      <c r="X66" s="43" t="s">
        <v>6879</v>
      </c>
      <c r="Y66" s="44" t="s">
        <v>647</v>
      </c>
      <c r="AA66" s="41">
        <v>1608</v>
      </c>
      <c r="AB66" s="33">
        <v>59</v>
      </c>
      <c r="AC66" s="43" t="s">
        <v>6880</v>
      </c>
      <c r="AD66" s="44" t="s">
        <v>102</v>
      </c>
      <c r="AF66" s="41">
        <v>1702</v>
      </c>
      <c r="AG66" s="33">
        <v>59</v>
      </c>
      <c r="AH66" s="43" t="s">
        <v>6875</v>
      </c>
      <c r="AI66" s="44" t="s">
        <v>1899</v>
      </c>
      <c r="AK66" s="41">
        <v>1705</v>
      </c>
      <c r="AL66" s="33">
        <v>59</v>
      </c>
      <c r="AM66" s="43" t="s">
        <v>6876</v>
      </c>
      <c r="AN66" s="44" t="s">
        <v>2317</v>
      </c>
      <c r="AP66" s="41">
        <v>1708</v>
      </c>
      <c r="AQ66" s="33">
        <v>59</v>
      </c>
      <c r="AR66" s="43" t="s">
        <v>6877</v>
      </c>
      <c r="AS66" s="44" t="s">
        <v>2414</v>
      </c>
      <c r="AU66" s="67">
        <v>1802</v>
      </c>
      <c r="AV66" s="68">
        <v>59</v>
      </c>
      <c r="AW66" s="69" t="s">
        <v>6878</v>
      </c>
      <c r="AX66" s="70" t="s">
        <v>3233</v>
      </c>
      <c r="AZ66" s="67">
        <v>1805</v>
      </c>
      <c r="BA66" s="83">
        <v>59</v>
      </c>
      <c r="BB66" s="69" t="s">
        <v>6879</v>
      </c>
      <c r="BC66" s="70" t="s">
        <v>647</v>
      </c>
      <c r="BE66" s="67">
        <v>1808</v>
      </c>
      <c r="BF66" s="68">
        <v>59</v>
      </c>
      <c r="BG66" s="69" t="s">
        <v>6880</v>
      </c>
      <c r="BH66" s="70" t="s">
        <v>102</v>
      </c>
    </row>
    <row r="67" spans="1:60">
      <c r="A67" s="1"/>
      <c r="B67" s="67">
        <v>1502</v>
      </c>
      <c r="C67" s="68">
        <v>60</v>
      </c>
      <c r="D67" s="69" t="s">
        <v>6881</v>
      </c>
      <c r="E67" s="70" t="s">
        <v>2527</v>
      </c>
      <c r="G67" s="67">
        <v>1505</v>
      </c>
      <c r="H67" s="68">
        <v>60</v>
      </c>
      <c r="I67" s="69" t="s">
        <v>6882</v>
      </c>
      <c r="J67" s="70" t="s">
        <v>2174</v>
      </c>
      <c r="L67" s="67">
        <v>1508</v>
      </c>
      <c r="M67" s="68">
        <v>60</v>
      </c>
      <c r="N67" s="69" t="s">
        <v>6883</v>
      </c>
      <c r="O67" s="70" t="s">
        <v>3458</v>
      </c>
      <c r="Q67" s="41">
        <v>1602</v>
      </c>
      <c r="R67" s="42">
        <v>60</v>
      </c>
      <c r="S67" s="43" t="s">
        <v>6884</v>
      </c>
      <c r="T67" s="44" t="s">
        <v>1734</v>
      </c>
      <c r="V67" s="41">
        <v>1605</v>
      </c>
      <c r="W67" s="33">
        <v>60</v>
      </c>
      <c r="X67" s="43" t="s">
        <v>6885</v>
      </c>
      <c r="Y67" s="44" t="s">
        <v>3054</v>
      </c>
      <c r="AA67" s="41">
        <v>1608</v>
      </c>
      <c r="AB67" s="33">
        <v>60</v>
      </c>
      <c r="AC67" s="43" t="s">
        <v>6886</v>
      </c>
      <c r="AD67" s="44" t="s">
        <v>167</v>
      </c>
      <c r="AF67" s="41">
        <v>1702</v>
      </c>
      <c r="AG67" s="33">
        <v>60</v>
      </c>
      <c r="AH67" s="43" t="s">
        <v>6881</v>
      </c>
      <c r="AI67" s="44" t="s">
        <v>2527</v>
      </c>
      <c r="AK67" s="41">
        <v>1705</v>
      </c>
      <c r="AL67" s="33">
        <v>60</v>
      </c>
      <c r="AM67" s="43" t="s">
        <v>6882</v>
      </c>
      <c r="AN67" s="44" t="s">
        <v>2174</v>
      </c>
      <c r="AP67" s="41">
        <v>1708</v>
      </c>
      <c r="AQ67" s="33">
        <v>60</v>
      </c>
      <c r="AR67" s="43" t="s">
        <v>6883</v>
      </c>
      <c r="AS67" s="44" t="s">
        <v>3458</v>
      </c>
      <c r="AU67" s="67">
        <v>1802</v>
      </c>
      <c r="AV67" s="68">
        <v>60</v>
      </c>
      <c r="AW67" s="69" t="s">
        <v>6884</v>
      </c>
      <c r="AX67" s="70" t="s">
        <v>1734</v>
      </c>
      <c r="AZ67" s="67">
        <v>1805</v>
      </c>
      <c r="BA67" s="83">
        <v>60</v>
      </c>
      <c r="BB67" s="69" t="s">
        <v>6885</v>
      </c>
      <c r="BC67" s="70" t="s">
        <v>3054</v>
      </c>
      <c r="BE67" s="67">
        <v>1808</v>
      </c>
      <c r="BF67" s="68">
        <v>60</v>
      </c>
      <c r="BG67" s="69" t="s">
        <v>6886</v>
      </c>
      <c r="BH67" s="70" t="s">
        <v>167</v>
      </c>
    </row>
    <row r="68" spans="1:60">
      <c r="A68" s="1"/>
      <c r="B68" s="67">
        <v>1502</v>
      </c>
      <c r="C68" s="68">
        <v>61</v>
      </c>
      <c r="D68" s="69" t="s">
        <v>6887</v>
      </c>
      <c r="E68" s="70" t="s">
        <v>1887</v>
      </c>
      <c r="G68" s="67">
        <v>1505</v>
      </c>
      <c r="H68" s="68">
        <v>61</v>
      </c>
      <c r="I68" s="69" t="s">
        <v>6888</v>
      </c>
      <c r="J68" s="70" t="s">
        <v>2327</v>
      </c>
      <c r="L68" s="67">
        <v>1508</v>
      </c>
      <c r="M68" s="68">
        <v>61</v>
      </c>
      <c r="N68" s="69" t="s">
        <v>6889</v>
      </c>
      <c r="O68" s="70" t="s">
        <v>2405</v>
      </c>
      <c r="Q68" s="41">
        <v>1602</v>
      </c>
      <c r="R68" s="42">
        <v>61</v>
      </c>
      <c r="S68" s="43" t="s">
        <v>6890</v>
      </c>
      <c r="T68" s="44" t="s">
        <v>3241</v>
      </c>
      <c r="V68" s="41">
        <v>1605</v>
      </c>
      <c r="W68" s="33">
        <v>61</v>
      </c>
      <c r="X68" s="43" t="s">
        <v>6891</v>
      </c>
      <c r="Y68" s="44" t="s">
        <v>655</v>
      </c>
      <c r="AA68" s="41">
        <v>1608</v>
      </c>
      <c r="AB68" s="33">
        <v>61</v>
      </c>
      <c r="AC68" s="43" t="s">
        <v>6892</v>
      </c>
      <c r="AD68" s="44" t="s">
        <v>177</v>
      </c>
      <c r="AF68" s="41">
        <v>1702</v>
      </c>
      <c r="AG68" s="33">
        <v>61</v>
      </c>
      <c r="AH68" s="43" t="s">
        <v>6887</v>
      </c>
      <c r="AI68" s="44" t="s">
        <v>1887</v>
      </c>
      <c r="AK68" s="41">
        <v>1705</v>
      </c>
      <c r="AL68" s="33">
        <v>61</v>
      </c>
      <c r="AM68" s="43" t="s">
        <v>6888</v>
      </c>
      <c r="AN68" s="44" t="s">
        <v>2327</v>
      </c>
      <c r="AP68" s="41">
        <v>1708</v>
      </c>
      <c r="AQ68" s="33">
        <v>61</v>
      </c>
      <c r="AR68" s="43" t="s">
        <v>6889</v>
      </c>
      <c r="AS68" s="44" t="s">
        <v>2405</v>
      </c>
      <c r="AU68" s="67">
        <v>1802</v>
      </c>
      <c r="AV68" s="68">
        <v>61</v>
      </c>
      <c r="AW68" s="69" t="s">
        <v>6890</v>
      </c>
      <c r="AX68" s="70" t="s">
        <v>3241</v>
      </c>
      <c r="AZ68" s="67">
        <v>1805</v>
      </c>
      <c r="BA68" s="83">
        <v>61</v>
      </c>
      <c r="BB68" s="69" t="s">
        <v>6891</v>
      </c>
      <c r="BC68" s="70" t="s">
        <v>655</v>
      </c>
      <c r="BE68" s="67">
        <v>1808</v>
      </c>
      <c r="BF68" s="68">
        <v>61</v>
      </c>
      <c r="BG68" s="69" t="s">
        <v>6892</v>
      </c>
      <c r="BH68" s="70" t="s">
        <v>177</v>
      </c>
    </row>
    <row r="69" spans="1:60">
      <c r="A69" s="1"/>
      <c r="B69" s="67">
        <v>1502</v>
      </c>
      <c r="C69" s="68">
        <v>62</v>
      </c>
      <c r="D69" s="69" t="s">
        <v>6893</v>
      </c>
      <c r="E69" s="70" t="s">
        <v>2537</v>
      </c>
      <c r="G69" s="67">
        <v>1505</v>
      </c>
      <c r="H69" s="68">
        <v>62</v>
      </c>
      <c r="I69" s="69" t="s">
        <v>6894</v>
      </c>
      <c r="J69" s="70" t="s">
        <v>2184</v>
      </c>
      <c r="L69" s="67">
        <v>1508</v>
      </c>
      <c r="M69" s="68">
        <v>62</v>
      </c>
      <c r="N69" s="69" t="s">
        <v>6895</v>
      </c>
      <c r="O69" s="70" t="s">
        <v>446</v>
      </c>
      <c r="Q69" s="41">
        <v>1602</v>
      </c>
      <c r="R69" s="42">
        <v>62</v>
      </c>
      <c r="S69" s="43" t="s">
        <v>7227</v>
      </c>
      <c r="T69" s="44" t="s">
        <v>1229</v>
      </c>
      <c r="V69" s="41">
        <v>1605</v>
      </c>
      <c r="W69" s="33">
        <v>62</v>
      </c>
      <c r="X69" s="43" t="s">
        <v>6897</v>
      </c>
      <c r="Y69" s="44" t="s">
        <v>3123</v>
      </c>
      <c r="AA69" s="41">
        <v>1608</v>
      </c>
      <c r="AB69" s="33">
        <v>62</v>
      </c>
      <c r="AC69" s="43" t="s">
        <v>6898</v>
      </c>
      <c r="AD69" s="44" t="s">
        <v>90</v>
      </c>
      <c r="AF69" s="41">
        <v>1702</v>
      </c>
      <c r="AG69" s="33">
        <v>62</v>
      </c>
      <c r="AH69" s="43" t="s">
        <v>6893</v>
      </c>
      <c r="AI69" s="44" t="s">
        <v>2537</v>
      </c>
      <c r="AK69" s="41">
        <v>1705</v>
      </c>
      <c r="AL69" s="33">
        <v>62</v>
      </c>
      <c r="AM69" s="43" t="s">
        <v>6894</v>
      </c>
      <c r="AN69" s="44" t="s">
        <v>2184</v>
      </c>
      <c r="AP69" s="41">
        <v>1708</v>
      </c>
      <c r="AQ69" s="33">
        <v>62</v>
      </c>
      <c r="AR69" s="43" t="s">
        <v>6895</v>
      </c>
      <c r="AS69" s="44" t="s">
        <v>446</v>
      </c>
      <c r="AU69" s="67">
        <v>1802</v>
      </c>
      <c r="AV69" s="68">
        <v>62</v>
      </c>
      <c r="AW69" s="69" t="s">
        <v>7227</v>
      </c>
      <c r="AX69" s="70" t="s">
        <v>1229</v>
      </c>
      <c r="AZ69" s="67">
        <v>1805</v>
      </c>
      <c r="BA69" s="83">
        <v>62</v>
      </c>
      <c r="BB69" s="69" t="s">
        <v>6897</v>
      </c>
      <c r="BC69" s="70" t="s">
        <v>3123</v>
      </c>
      <c r="BE69" s="67">
        <v>1808</v>
      </c>
      <c r="BF69" s="68">
        <v>62</v>
      </c>
      <c r="BG69" s="69" t="s">
        <v>6898</v>
      </c>
      <c r="BH69" s="70" t="s">
        <v>90</v>
      </c>
    </row>
    <row r="70" spans="1:60">
      <c r="A70" s="1"/>
      <c r="B70" s="67">
        <v>1502</v>
      </c>
      <c r="C70" s="68">
        <v>63</v>
      </c>
      <c r="D70" s="69" t="s">
        <v>6899</v>
      </c>
      <c r="E70" s="70" t="s">
        <v>2562</v>
      </c>
      <c r="G70" s="67">
        <v>1505</v>
      </c>
      <c r="H70" s="68">
        <v>63</v>
      </c>
      <c r="I70" s="69" t="s">
        <v>6900</v>
      </c>
      <c r="J70" s="70" t="s">
        <v>1799</v>
      </c>
      <c r="L70" s="67">
        <v>1508</v>
      </c>
      <c r="M70" s="68">
        <v>63</v>
      </c>
      <c r="N70" s="69" t="s">
        <v>6901</v>
      </c>
      <c r="O70" s="70" t="s">
        <v>3178</v>
      </c>
      <c r="Q70" s="41">
        <v>1602</v>
      </c>
      <c r="R70" s="42">
        <v>63</v>
      </c>
      <c r="S70" s="43" t="s">
        <v>6902</v>
      </c>
      <c r="T70" s="44" t="s">
        <v>714</v>
      </c>
      <c r="V70" s="41">
        <v>1605</v>
      </c>
      <c r="W70" s="33">
        <v>63</v>
      </c>
      <c r="X70" s="43" t="s">
        <v>46</v>
      </c>
      <c r="Y70" s="44" t="s">
        <v>46</v>
      </c>
      <c r="AA70" s="41">
        <v>1608</v>
      </c>
      <c r="AB70" s="33">
        <v>63</v>
      </c>
      <c r="AC70" s="43" t="s">
        <v>6903</v>
      </c>
      <c r="AD70" s="44" t="s">
        <v>71</v>
      </c>
      <c r="AF70" s="41">
        <v>1702</v>
      </c>
      <c r="AG70" s="33">
        <v>63</v>
      </c>
      <c r="AH70" s="43" t="s">
        <v>6899</v>
      </c>
      <c r="AI70" s="44" t="s">
        <v>2562</v>
      </c>
      <c r="AK70" s="41">
        <v>1705</v>
      </c>
      <c r="AL70" s="33">
        <v>63</v>
      </c>
      <c r="AM70" s="43" t="s">
        <v>6900</v>
      </c>
      <c r="AN70" s="44" t="s">
        <v>1799</v>
      </c>
      <c r="AP70" s="41">
        <v>1708</v>
      </c>
      <c r="AQ70" s="33">
        <v>63</v>
      </c>
      <c r="AR70" s="43" t="s">
        <v>6901</v>
      </c>
      <c r="AS70" s="44" t="s">
        <v>3178</v>
      </c>
      <c r="AU70" s="67">
        <v>1802</v>
      </c>
      <c r="AV70" s="68">
        <v>63</v>
      </c>
      <c r="AW70" s="69" t="s">
        <v>6902</v>
      </c>
      <c r="AX70" s="70" t="s">
        <v>714</v>
      </c>
      <c r="AZ70" s="67">
        <v>1805</v>
      </c>
      <c r="BA70" s="83">
        <v>63</v>
      </c>
      <c r="BB70" s="69" t="s">
        <v>46</v>
      </c>
      <c r="BC70" s="70" t="s">
        <v>46</v>
      </c>
      <c r="BE70" s="67">
        <v>1808</v>
      </c>
      <c r="BF70" s="68">
        <v>63</v>
      </c>
      <c r="BG70" s="69" t="s">
        <v>6903</v>
      </c>
      <c r="BH70" s="70" t="s">
        <v>71</v>
      </c>
    </row>
    <row r="71" spans="1:60" ht="15" thickBot="1">
      <c r="A71" s="1"/>
      <c r="B71" s="78">
        <v>1502</v>
      </c>
      <c r="C71" s="79">
        <v>64</v>
      </c>
      <c r="D71" s="80" t="s">
        <v>6904</v>
      </c>
      <c r="E71" s="74" t="s">
        <v>745</v>
      </c>
      <c r="G71" s="78">
        <v>1505</v>
      </c>
      <c r="H71" s="79">
        <v>64</v>
      </c>
      <c r="I71" s="80" t="s">
        <v>6905</v>
      </c>
      <c r="J71" s="74" t="s">
        <v>3138</v>
      </c>
      <c r="L71" s="78">
        <v>1508</v>
      </c>
      <c r="M71" s="79">
        <v>64</v>
      </c>
      <c r="N71" s="80" t="s">
        <v>6906</v>
      </c>
      <c r="O71" s="74" t="s">
        <v>423</v>
      </c>
      <c r="Q71" s="52">
        <v>1602</v>
      </c>
      <c r="R71" s="53">
        <v>64</v>
      </c>
      <c r="S71" s="54" t="s">
        <v>7228</v>
      </c>
      <c r="T71" s="48" t="s">
        <v>1184</v>
      </c>
      <c r="V71" s="52">
        <v>1605</v>
      </c>
      <c r="W71" s="59">
        <v>64</v>
      </c>
      <c r="X71" s="54" t="s">
        <v>6908</v>
      </c>
      <c r="Y71" s="48" t="s">
        <v>3118</v>
      </c>
      <c r="AA71" s="52">
        <v>1608</v>
      </c>
      <c r="AB71" s="59">
        <v>64</v>
      </c>
      <c r="AC71" s="54" t="s">
        <v>6909</v>
      </c>
      <c r="AD71" s="48" t="s">
        <v>2803</v>
      </c>
      <c r="AF71" s="52">
        <v>1702</v>
      </c>
      <c r="AG71" s="59">
        <v>64</v>
      </c>
      <c r="AH71" s="54" t="s">
        <v>6904</v>
      </c>
      <c r="AI71" s="48" t="s">
        <v>745</v>
      </c>
      <c r="AK71" s="52">
        <v>1705</v>
      </c>
      <c r="AL71" s="59">
        <v>64</v>
      </c>
      <c r="AM71" s="54" t="s">
        <v>6905</v>
      </c>
      <c r="AN71" s="48" t="s">
        <v>3138</v>
      </c>
      <c r="AP71" s="52">
        <v>1708</v>
      </c>
      <c r="AQ71" s="59">
        <v>64</v>
      </c>
      <c r="AR71" s="54" t="s">
        <v>6906</v>
      </c>
      <c r="AS71" s="48" t="s">
        <v>423</v>
      </c>
      <c r="AU71" s="78">
        <v>1802</v>
      </c>
      <c r="AV71" s="79">
        <v>64</v>
      </c>
      <c r="AW71" s="80" t="s">
        <v>7228</v>
      </c>
      <c r="AX71" s="74" t="s">
        <v>1184</v>
      </c>
      <c r="AZ71" s="78">
        <v>1805</v>
      </c>
      <c r="BA71" s="86">
        <v>64</v>
      </c>
      <c r="BB71" s="80" t="s">
        <v>6908</v>
      </c>
      <c r="BC71" s="74" t="s">
        <v>3118</v>
      </c>
      <c r="BE71" s="78">
        <v>1808</v>
      </c>
      <c r="BF71" s="79">
        <v>64</v>
      </c>
      <c r="BG71" s="80" t="s">
        <v>6909</v>
      </c>
      <c r="BH71" s="74" t="s">
        <v>2803</v>
      </c>
    </row>
    <row r="72" spans="1:60">
      <c r="A72" s="1"/>
      <c r="B72" s="63">
        <v>1502</v>
      </c>
      <c r="C72" s="64">
        <v>65</v>
      </c>
      <c r="D72" s="81" t="s">
        <v>6910</v>
      </c>
      <c r="E72" s="66" t="s">
        <v>2573</v>
      </c>
      <c r="G72" s="63">
        <v>1505</v>
      </c>
      <c r="H72" s="64">
        <v>65</v>
      </c>
      <c r="I72" s="81" t="s">
        <v>7229</v>
      </c>
      <c r="J72" s="66" t="s">
        <v>1179</v>
      </c>
      <c r="L72" s="63">
        <v>1508</v>
      </c>
      <c r="M72" s="64">
        <v>65</v>
      </c>
      <c r="N72" s="81" t="s">
        <v>6912</v>
      </c>
      <c r="O72" s="66" t="s">
        <v>3188</v>
      </c>
      <c r="Q72" s="37">
        <v>1602</v>
      </c>
      <c r="R72" s="38">
        <v>65</v>
      </c>
      <c r="S72" s="55" t="s">
        <v>6913</v>
      </c>
      <c r="T72" s="40" t="s">
        <v>677</v>
      </c>
      <c r="V72" s="37">
        <v>1605</v>
      </c>
      <c r="W72" s="56">
        <v>65</v>
      </c>
      <c r="X72" s="55" t="s">
        <v>46</v>
      </c>
      <c r="Y72" s="40" t="s">
        <v>46</v>
      </c>
      <c r="AA72" s="37">
        <v>1608</v>
      </c>
      <c r="AB72" s="56">
        <v>65</v>
      </c>
      <c r="AC72" s="55" t="s">
        <v>6914</v>
      </c>
      <c r="AD72" s="40" t="s">
        <v>152</v>
      </c>
      <c r="AF72" s="37">
        <v>1702</v>
      </c>
      <c r="AG72" s="56">
        <v>65</v>
      </c>
      <c r="AH72" s="55" t="s">
        <v>6910</v>
      </c>
      <c r="AI72" s="40" t="s">
        <v>2573</v>
      </c>
      <c r="AK72" s="37">
        <v>1705</v>
      </c>
      <c r="AL72" s="56">
        <v>65</v>
      </c>
      <c r="AM72" s="55" t="s">
        <v>7229</v>
      </c>
      <c r="AN72" s="40" t="s">
        <v>1179</v>
      </c>
      <c r="AP72" s="37">
        <v>1708</v>
      </c>
      <c r="AQ72" s="56">
        <v>65</v>
      </c>
      <c r="AR72" s="55" t="s">
        <v>6912</v>
      </c>
      <c r="AS72" s="40" t="s">
        <v>3188</v>
      </c>
      <c r="AU72" s="63">
        <v>1802</v>
      </c>
      <c r="AV72" s="64">
        <v>65</v>
      </c>
      <c r="AW72" s="81" t="s">
        <v>6913</v>
      </c>
      <c r="AX72" s="66" t="s">
        <v>677</v>
      </c>
      <c r="AZ72" s="63">
        <v>1805</v>
      </c>
      <c r="BA72" s="82">
        <v>65</v>
      </c>
      <c r="BB72" s="81" t="s">
        <v>46</v>
      </c>
      <c r="BC72" s="66" t="s">
        <v>46</v>
      </c>
      <c r="BE72" s="63">
        <v>1808</v>
      </c>
      <c r="BF72" s="64">
        <v>65</v>
      </c>
      <c r="BG72" s="81" t="s">
        <v>6914</v>
      </c>
      <c r="BH72" s="66" t="s">
        <v>152</v>
      </c>
    </row>
    <row r="73" spans="1:60">
      <c r="A73" s="1"/>
      <c r="B73" s="67">
        <v>1502</v>
      </c>
      <c r="C73" s="68">
        <v>66</v>
      </c>
      <c r="D73" s="69" t="s">
        <v>6915</v>
      </c>
      <c r="E73" s="70" t="s">
        <v>785</v>
      </c>
      <c r="G73" s="67">
        <v>1505</v>
      </c>
      <c r="H73" s="68">
        <v>66</v>
      </c>
      <c r="I73" s="69" t="s">
        <v>6916</v>
      </c>
      <c r="J73" s="70" t="s">
        <v>3132</v>
      </c>
      <c r="L73" s="67">
        <v>1508</v>
      </c>
      <c r="M73" s="68">
        <v>66</v>
      </c>
      <c r="N73" s="69" t="s">
        <v>6917</v>
      </c>
      <c r="O73" s="70" t="s">
        <v>3379</v>
      </c>
      <c r="Q73" s="41">
        <v>1602</v>
      </c>
      <c r="R73" s="42">
        <v>66</v>
      </c>
      <c r="S73" s="43" t="s">
        <v>6918</v>
      </c>
      <c r="T73" s="44" t="s">
        <v>1789</v>
      </c>
      <c r="V73" s="41">
        <v>1605</v>
      </c>
      <c r="W73" s="33">
        <v>66</v>
      </c>
      <c r="X73" s="43" t="s">
        <v>6919</v>
      </c>
      <c r="Y73" s="44" t="s">
        <v>3048</v>
      </c>
      <c r="AA73" s="41">
        <v>1608</v>
      </c>
      <c r="AB73" s="33">
        <v>66</v>
      </c>
      <c r="AC73" s="43" t="s">
        <v>6920</v>
      </c>
      <c r="AD73" s="44" t="s">
        <v>335</v>
      </c>
      <c r="AF73" s="41">
        <v>1702</v>
      </c>
      <c r="AG73" s="33">
        <v>66</v>
      </c>
      <c r="AH73" s="43" t="s">
        <v>6915</v>
      </c>
      <c r="AI73" s="44" t="s">
        <v>785</v>
      </c>
      <c r="AK73" s="41">
        <v>1705</v>
      </c>
      <c r="AL73" s="33">
        <v>66</v>
      </c>
      <c r="AM73" s="43" t="s">
        <v>6916</v>
      </c>
      <c r="AN73" s="44" t="s">
        <v>3132</v>
      </c>
      <c r="AP73" s="41">
        <v>1708</v>
      </c>
      <c r="AQ73" s="33">
        <v>66</v>
      </c>
      <c r="AR73" s="43" t="s">
        <v>6917</v>
      </c>
      <c r="AS73" s="44" t="s">
        <v>3379</v>
      </c>
      <c r="AU73" s="67">
        <v>1802</v>
      </c>
      <c r="AV73" s="68">
        <v>66</v>
      </c>
      <c r="AW73" s="69" t="s">
        <v>6918</v>
      </c>
      <c r="AX73" s="70" t="s">
        <v>1789</v>
      </c>
      <c r="AZ73" s="67">
        <v>1805</v>
      </c>
      <c r="BA73" s="83">
        <v>66</v>
      </c>
      <c r="BB73" s="69" t="s">
        <v>6919</v>
      </c>
      <c r="BC73" s="70" t="s">
        <v>3048</v>
      </c>
      <c r="BE73" s="67">
        <v>1808</v>
      </c>
      <c r="BF73" s="68">
        <v>66</v>
      </c>
      <c r="BG73" s="69" t="s">
        <v>6920</v>
      </c>
      <c r="BH73" s="70" t="s">
        <v>335</v>
      </c>
    </row>
    <row r="74" spans="1:60">
      <c r="A74" s="1"/>
      <c r="B74" s="67">
        <v>1502</v>
      </c>
      <c r="C74" s="68">
        <v>67</v>
      </c>
      <c r="D74" s="69" t="s">
        <v>6921</v>
      </c>
      <c r="E74" s="70" t="s">
        <v>740</v>
      </c>
      <c r="G74" s="67">
        <v>1505</v>
      </c>
      <c r="H74" s="68">
        <v>67</v>
      </c>
      <c r="I74" s="69" t="s">
        <v>6922</v>
      </c>
      <c r="J74" s="70" t="s">
        <v>3329</v>
      </c>
      <c r="L74" s="67">
        <v>1508</v>
      </c>
      <c r="M74" s="68">
        <v>67</v>
      </c>
      <c r="N74" s="69" t="s">
        <v>6923</v>
      </c>
      <c r="O74" s="70" t="s">
        <v>2850</v>
      </c>
      <c r="Q74" s="41">
        <v>1602</v>
      </c>
      <c r="R74" s="42">
        <v>67</v>
      </c>
      <c r="S74" s="43" t="s">
        <v>46</v>
      </c>
      <c r="T74" s="44" t="s">
        <v>46</v>
      </c>
      <c r="V74" s="41">
        <v>1605</v>
      </c>
      <c r="W74" s="33">
        <v>67</v>
      </c>
      <c r="X74" s="43" t="s">
        <v>6924</v>
      </c>
      <c r="Y74" s="44" t="s">
        <v>3006</v>
      </c>
      <c r="AA74" s="41">
        <v>1608</v>
      </c>
      <c r="AB74" s="33">
        <v>67</v>
      </c>
      <c r="AC74" s="43" t="s">
        <v>6925</v>
      </c>
      <c r="AD74" s="44" t="s">
        <v>131</v>
      </c>
      <c r="AF74" s="41">
        <v>1702</v>
      </c>
      <c r="AG74" s="33">
        <v>67</v>
      </c>
      <c r="AH74" s="43" t="s">
        <v>6921</v>
      </c>
      <c r="AI74" s="44" t="s">
        <v>740</v>
      </c>
      <c r="AK74" s="41">
        <v>1705</v>
      </c>
      <c r="AL74" s="33">
        <v>67</v>
      </c>
      <c r="AM74" s="43" t="s">
        <v>6922</v>
      </c>
      <c r="AN74" s="44" t="s">
        <v>3329</v>
      </c>
      <c r="AP74" s="41">
        <v>1708</v>
      </c>
      <c r="AQ74" s="33">
        <v>67</v>
      </c>
      <c r="AR74" s="43" t="s">
        <v>6923</v>
      </c>
      <c r="AS74" s="44" t="s">
        <v>2850</v>
      </c>
      <c r="AU74" s="67">
        <v>1802</v>
      </c>
      <c r="AV74" s="68">
        <v>67</v>
      </c>
      <c r="AW74" s="69" t="s">
        <v>46</v>
      </c>
      <c r="AX74" s="70" t="s">
        <v>46</v>
      </c>
      <c r="AZ74" s="67">
        <v>1805</v>
      </c>
      <c r="BA74" s="83">
        <v>67</v>
      </c>
      <c r="BB74" s="69" t="s">
        <v>6924</v>
      </c>
      <c r="BC74" s="70" t="s">
        <v>3006</v>
      </c>
      <c r="BE74" s="67">
        <v>1808</v>
      </c>
      <c r="BF74" s="68">
        <v>67</v>
      </c>
      <c r="BG74" s="69" t="s">
        <v>6925</v>
      </c>
      <c r="BH74" s="70" t="s">
        <v>131</v>
      </c>
    </row>
    <row r="75" spans="1:60">
      <c r="A75" s="1"/>
      <c r="B75" s="67">
        <v>1502</v>
      </c>
      <c r="C75" s="68">
        <v>68</v>
      </c>
      <c r="D75" s="69" t="s">
        <v>6926</v>
      </c>
      <c r="E75" s="70" t="s">
        <v>800</v>
      </c>
      <c r="G75" s="67">
        <v>1505</v>
      </c>
      <c r="H75" s="68">
        <v>68</v>
      </c>
      <c r="I75" s="69" t="s">
        <v>7230</v>
      </c>
      <c r="J75" s="70" t="s">
        <v>1194</v>
      </c>
      <c r="L75" s="67">
        <v>1508</v>
      </c>
      <c r="M75" s="68">
        <v>68</v>
      </c>
      <c r="N75" s="69" t="s">
        <v>6928</v>
      </c>
      <c r="O75" s="70" t="s">
        <v>790</v>
      </c>
      <c r="Q75" s="41">
        <v>1602</v>
      </c>
      <c r="R75" s="42">
        <v>68</v>
      </c>
      <c r="S75" s="43" t="s">
        <v>7231</v>
      </c>
      <c r="T75" s="44" t="s">
        <v>1259</v>
      </c>
      <c r="V75" s="41">
        <v>1605</v>
      </c>
      <c r="W75" s="33">
        <v>68</v>
      </c>
      <c r="X75" s="43" t="s">
        <v>6930</v>
      </c>
      <c r="Y75" s="44" t="s">
        <v>3042</v>
      </c>
      <c r="AA75" s="41">
        <v>1608</v>
      </c>
      <c r="AB75" s="33">
        <v>68</v>
      </c>
      <c r="AC75" s="43" t="s">
        <v>6931</v>
      </c>
      <c r="AD75" s="44" t="s">
        <v>187</v>
      </c>
      <c r="AF75" s="41">
        <v>1702</v>
      </c>
      <c r="AG75" s="33">
        <v>68</v>
      </c>
      <c r="AH75" s="43" t="s">
        <v>6926</v>
      </c>
      <c r="AI75" s="44" t="s">
        <v>800</v>
      </c>
      <c r="AK75" s="41">
        <v>1705</v>
      </c>
      <c r="AL75" s="33">
        <v>68</v>
      </c>
      <c r="AM75" s="43" t="s">
        <v>7230</v>
      </c>
      <c r="AN75" s="44" t="s">
        <v>1194</v>
      </c>
      <c r="AP75" s="41">
        <v>1708</v>
      </c>
      <c r="AQ75" s="33">
        <v>68</v>
      </c>
      <c r="AR75" s="43" t="s">
        <v>6928</v>
      </c>
      <c r="AS75" s="44" t="s">
        <v>790</v>
      </c>
      <c r="AU75" s="67">
        <v>1802</v>
      </c>
      <c r="AV75" s="68">
        <v>68</v>
      </c>
      <c r="AW75" s="69" t="s">
        <v>7231</v>
      </c>
      <c r="AX75" s="70" t="s">
        <v>1259</v>
      </c>
      <c r="AZ75" s="67">
        <v>1805</v>
      </c>
      <c r="BA75" s="83">
        <v>68</v>
      </c>
      <c r="BB75" s="69" t="s">
        <v>6930</v>
      </c>
      <c r="BC75" s="70" t="s">
        <v>3042</v>
      </c>
      <c r="BE75" s="67">
        <v>1808</v>
      </c>
      <c r="BF75" s="68">
        <v>68</v>
      </c>
      <c r="BG75" s="69" t="s">
        <v>6931</v>
      </c>
      <c r="BH75" s="70" t="s">
        <v>187</v>
      </c>
    </row>
    <row r="76" spans="1:60">
      <c r="A76" s="1"/>
      <c r="B76" s="67">
        <v>1502</v>
      </c>
      <c r="C76" s="68">
        <v>69</v>
      </c>
      <c r="D76" s="69" t="s">
        <v>7232</v>
      </c>
      <c r="E76" s="70" t="s">
        <v>1324</v>
      </c>
      <c r="G76" s="67">
        <v>1505</v>
      </c>
      <c r="H76" s="68">
        <v>69</v>
      </c>
      <c r="I76" s="69" t="s">
        <v>6933</v>
      </c>
      <c r="J76" s="70" t="s">
        <v>3319</v>
      </c>
      <c r="L76" s="67">
        <v>1508</v>
      </c>
      <c r="M76" s="68">
        <v>69</v>
      </c>
      <c r="N76" s="69" t="s">
        <v>6934</v>
      </c>
      <c r="O76" s="70" t="s">
        <v>2885</v>
      </c>
      <c r="Q76" s="41">
        <v>1602</v>
      </c>
      <c r="R76" s="42">
        <v>69</v>
      </c>
      <c r="S76" s="43" t="s">
        <v>46</v>
      </c>
      <c r="T76" s="44" t="s">
        <v>46</v>
      </c>
      <c r="V76" s="41">
        <v>1605</v>
      </c>
      <c r="W76" s="33">
        <v>69</v>
      </c>
      <c r="X76" s="43" t="s">
        <v>6935</v>
      </c>
      <c r="Y76" s="44" t="s">
        <v>228</v>
      </c>
      <c r="AA76" s="41">
        <v>1608</v>
      </c>
      <c r="AB76" s="33">
        <v>69</v>
      </c>
      <c r="AC76" s="43" t="s">
        <v>6936</v>
      </c>
      <c r="AD76" s="44" t="s">
        <v>202</v>
      </c>
      <c r="AF76" s="41">
        <v>1702</v>
      </c>
      <c r="AG76" s="33">
        <v>69</v>
      </c>
      <c r="AH76" s="43" t="s">
        <v>7232</v>
      </c>
      <c r="AI76" s="44" t="s">
        <v>1324</v>
      </c>
      <c r="AK76" s="41">
        <v>1705</v>
      </c>
      <c r="AL76" s="33">
        <v>69</v>
      </c>
      <c r="AM76" s="43" t="s">
        <v>6933</v>
      </c>
      <c r="AN76" s="44" t="s">
        <v>3319</v>
      </c>
      <c r="AP76" s="41">
        <v>1708</v>
      </c>
      <c r="AQ76" s="33">
        <v>69</v>
      </c>
      <c r="AR76" s="43" t="s">
        <v>6934</v>
      </c>
      <c r="AS76" s="44" t="s">
        <v>2885</v>
      </c>
      <c r="AU76" s="67">
        <v>1802</v>
      </c>
      <c r="AV76" s="68">
        <v>69</v>
      </c>
      <c r="AW76" s="69" t="s">
        <v>46</v>
      </c>
      <c r="AX76" s="70" t="s">
        <v>46</v>
      </c>
      <c r="AZ76" s="67">
        <v>1805</v>
      </c>
      <c r="BA76" s="83">
        <v>69</v>
      </c>
      <c r="BB76" s="69" t="s">
        <v>6935</v>
      </c>
      <c r="BC76" s="70" t="s">
        <v>228</v>
      </c>
      <c r="BE76" s="67">
        <v>1808</v>
      </c>
      <c r="BF76" s="68">
        <v>69</v>
      </c>
      <c r="BG76" s="69" t="s">
        <v>6936</v>
      </c>
      <c r="BH76" s="70" t="s">
        <v>202</v>
      </c>
    </row>
    <row r="77" spans="1:60">
      <c r="A77" s="1"/>
      <c r="B77" s="67">
        <v>1502</v>
      </c>
      <c r="C77" s="68">
        <v>70</v>
      </c>
      <c r="D77" s="69" t="s">
        <v>6937</v>
      </c>
      <c r="E77" s="70" t="s">
        <v>329</v>
      </c>
      <c r="G77" s="67">
        <v>1505</v>
      </c>
      <c r="H77" s="68">
        <v>70</v>
      </c>
      <c r="I77" s="69" t="s">
        <v>6938</v>
      </c>
      <c r="J77" s="70" t="s">
        <v>3338</v>
      </c>
      <c r="L77" s="67">
        <v>1508</v>
      </c>
      <c r="M77" s="68">
        <v>70</v>
      </c>
      <c r="N77" s="69" t="s">
        <v>6939</v>
      </c>
      <c r="O77" s="70" t="s">
        <v>998</v>
      </c>
      <c r="Q77" s="41">
        <v>1602</v>
      </c>
      <c r="R77" s="42">
        <v>70</v>
      </c>
      <c r="S77" s="43" t="s">
        <v>7233</v>
      </c>
      <c r="T77" s="44" t="s">
        <v>1254</v>
      </c>
      <c r="V77" s="41">
        <v>1605</v>
      </c>
      <c r="W77" s="33">
        <v>70</v>
      </c>
      <c r="X77" s="43" t="s">
        <v>6941</v>
      </c>
      <c r="Y77" s="44" t="s">
        <v>3113</v>
      </c>
      <c r="AA77" s="41">
        <v>1608</v>
      </c>
      <c r="AB77" s="33">
        <v>70</v>
      </c>
      <c r="AC77" s="43" t="s">
        <v>6942</v>
      </c>
      <c r="AD77" s="44" t="s">
        <v>114</v>
      </c>
      <c r="AF77" s="41">
        <v>1702</v>
      </c>
      <c r="AG77" s="33">
        <v>70</v>
      </c>
      <c r="AH77" s="43" t="s">
        <v>6937</v>
      </c>
      <c r="AI77" s="44" t="s">
        <v>329</v>
      </c>
      <c r="AK77" s="41">
        <v>1705</v>
      </c>
      <c r="AL77" s="33">
        <v>70</v>
      </c>
      <c r="AM77" s="43" t="s">
        <v>6938</v>
      </c>
      <c r="AN77" s="44" t="s">
        <v>3338</v>
      </c>
      <c r="AP77" s="41">
        <v>1708</v>
      </c>
      <c r="AQ77" s="33">
        <v>70</v>
      </c>
      <c r="AR77" s="43" t="s">
        <v>6939</v>
      </c>
      <c r="AS77" s="44" t="s">
        <v>998</v>
      </c>
      <c r="AU77" s="67">
        <v>1802</v>
      </c>
      <c r="AV77" s="68">
        <v>70</v>
      </c>
      <c r="AW77" s="69" t="s">
        <v>7233</v>
      </c>
      <c r="AX77" s="70" t="s">
        <v>1254</v>
      </c>
      <c r="AZ77" s="67">
        <v>1805</v>
      </c>
      <c r="BA77" s="83">
        <v>70</v>
      </c>
      <c r="BB77" s="69" t="s">
        <v>6941</v>
      </c>
      <c r="BC77" s="70" t="s">
        <v>3113</v>
      </c>
      <c r="BE77" s="67">
        <v>1808</v>
      </c>
      <c r="BF77" s="68">
        <v>70</v>
      </c>
      <c r="BG77" s="69" t="s">
        <v>6942</v>
      </c>
      <c r="BH77" s="70" t="s">
        <v>114</v>
      </c>
    </row>
    <row r="78" spans="1:60">
      <c r="A78" s="1"/>
      <c r="B78" s="67">
        <v>1502</v>
      </c>
      <c r="C78" s="68">
        <v>71</v>
      </c>
      <c r="D78" s="69" t="s">
        <v>46</v>
      </c>
      <c r="E78" s="70" t="s">
        <v>46</v>
      </c>
      <c r="G78" s="67">
        <v>1505</v>
      </c>
      <c r="H78" s="68">
        <v>71</v>
      </c>
      <c r="I78" s="69" t="s">
        <v>46</v>
      </c>
      <c r="J78" s="70" t="s">
        <v>46</v>
      </c>
      <c r="L78" s="67">
        <v>1508</v>
      </c>
      <c r="M78" s="68">
        <v>71</v>
      </c>
      <c r="N78" s="69" t="s">
        <v>6943</v>
      </c>
      <c r="O78" s="70" t="s">
        <v>410</v>
      </c>
      <c r="Q78" s="41">
        <v>1602</v>
      </c>
      <c r="R78" s="42">
        <v>71</v>
      </c>
      <c r="S78" s="43" t="s">
        <v>6944</v>
      </c>
      <c r="T78" s="44" t="s">
        <v>233</v>
      </c>
      <c r="V78" s="41">
        <v>1605</v>
      </c>
      <c r="W78" s="33">
        <v>71</v>
      </c>
      <c r="X78" s="43" t="s">
        <v>6945</v>
      </c>
      <c r="Y78" s="44" t="s">
        <v>1128</v>
      </c>
      <c r="AA78" s="41">
        <v>1608</v>
      </c>
      <c r="AB78" s="33">
        <v>71</v>
      </c>
      <c r="AC78" s="43" t="s">
        <v>6946</v>
      </c>
      <c r="AD78" s="44" t="s">
        <v>2811</v>
      </c>
      <c r="AF78" s="41">
        <v>1702</v>
      </c>
      <c r="AG78" s="33">
        <v>71</v>
      </c>
      <c r="AH78" s="43" t="s">
        <v>46</v>
      </c>
      <c r="AI78" s="44" t="s">
        <v>46</v>
      </c>
      <c r="AK78" s="41">
        <v>1705</v>
      </c>
      <c r="AL78" s="33">
        <v>71</v>
      </c>
      <c r="AM78" s="43" t="s">
        <v>46</v>
      </c>
      <c r="AN78" s="44" t="s">
        <v>46</v>
      </c>
      <c r="AP78" s="41">
        <v>1708</v>
      </c>
      <c r="AQ78" s="33">
        <v>71</v>
      </c>
      <c r="AR78" s="43" t="s">
        <v>6943</v>
      </c>
      <c r="AS78" s="44" t="s">
        <v>410</v>
      </c>
      <c r="AU78" s="67">
        <v>1802</v>
      </c>
      <c r="AV78" s="68">
        <v>71</v>
      </c>
      <c r="AW78" s="69" t="s">
        <v>6944</v>
      </c>
      <c r="AX78" s="70" t="s">
        <v>233</v>
      </c>
      <c r="AZ78" s="67">
        <v>1805</v>
      </c>
      <c r="BA78" s="83">
        <v>71</v>
      </c>
      <c r="BB78" s="69" t="s">
        <v>6945</v>
      </c>
      <c r="BC78" s="70" t="s">
        <v>1128</v>
      </c>
      <c r="BE78" s="67">
        <v>1808</v>
      </c>
      <c r="BF78" s="68">
        <v>71</v>
      </c>
      <c r="BG78" s="69" t="s">
        <v>6946</v>
      </c>
      <c r="BH78" s="70" t="s">
        <v>2811</v>
      </c>
    </row>
    <row r="79" spans="1:60">
      <c r="A79" s="1"/>
      <c r="B79" s="67">
        <v>1502</v>
      </c>
      <c r="C79" s="68">
        <v>72</v>
      </c>
      <c r="D79" s="69" t="s">
        <v>6947</v>
      </c>
      <c r="E79" s="70" t="s">
        <v>1609</v>
      </c>
      <c r="G79" s="67">
        <v>1505</v>
      </c>
      <c r="H79" s="68">
        <v>72</v>
      </c>
      <c r="I79" s="69" t="s">
        <v>6948</v>
      </c>
      <c r="J79" s="70" t="s">
        <v>3346</v>
      </c>
      <c r="L79" s="67">
        <v>1508</v>
      </c>
      <c r="M79" s="68">
        <v>72</v>
      </c>
      <c r="N79" s="69" t="s">
        <v>6949</v>
      </c>
      <c r="O79" s="70" t="s">
        <v>1023</v>
      </c>
      <c r="Q79" s="41">
        <v>1602</v>
      </c>
      <c r="R79" s="42">
        <v>72</v>
      </c>
      <c r="S79" s="43" t="s">
        <v>6950</v>
      </c>
      <c r="T79" s="44" t="s">
        <v>1148</v>
      </c>
      <c r="V79" s="41">
        <v>1605</v>
      </c>
      <c r="W79" s="33">
        <v>72</v>
      </c>
      <c r="X79" s="43" t="s">
        <v>6951</v>
      </c>
      <c r="Y79" s="44" t="s">
        <v>1048</v>
      </c>
      <c r="AA79" s="41">
        <v>1608</v>
      </c>
      <c r="AB79" s="33">
        <v>72</v>
      </c>
      <c r="AC79" s="43" t="s">
        <v>46</v>
      </c>
      <c r="AD79" s="44" t="s">
        <v>46</v>
      </c>
      <c r="AF79" s="41">
        <v>1702</v>
      </c>
      <c r="AG79" s="33">
        <v>72</v>
      </c>
      <c r="AH79" s="43" t="s">
        <v>6947</v>
      </c>
      <c r="AI79" s="44" t="s">
        <v>1609</v>
      </c>
      <c r="AK79" s="41">
        <v>1705</v>
      </c>
      <c r="AL79" s="33">
        <v>72</v>
      </c>
      <c r="AM79" s="43" t="s">
        <v>6948</v>
      </c>
      <c r="AN79" s="44" t="s">
        <v>3346</v>
      </c>
      <c r="AP79" s="41">
        <v>1708</v>
      </c>
      <c r="AQ79" s="33">
        <v>72</v>
      </c>
      <c r="AR79" s="43" t="s">
        <v>6949</v>
      </c>
      <c r="AS79" s="44" t="s">
        <v>1023</v>
      </c>
      <c r="AU79" s="67">
        <v>1802</v>
      </c>
      <c r="AV79" s="68">
        <v>72</v>
      </c>
      <c r="AW79" s="69" t="s">
        <v>6950</v>
      </c>
      <c r="AX79" s="70" t="s">
        <v>1148</v>
      </c>
      <c r="AZ79" s="67">
        <v>1805</v>
      </c>
      <c r="BA79" s="83">
        <v>72</v>
      </c>
      <c r="BB79" s="69" t="s">
        <v>6951</v>
      </c>
      <c r="BC79" s="70" t="s">
        <v>1048</v>
      </c>
      <c r="BE79" s="67">
        <v>1808</v>
      </c>
      <c r="BF79" s="68">
        <v>72</v>
      </c>
      <c r="BG79" s="69" t="s">
        <v>46</v>
      </c>
      <c r="BH79" s="70" t="s">
        <v>46</v>
      </c>
    </row>
    <row r="80" spans="1:60">
      <c r="A80" s="1"/>
      <c r="B80" s="67">
        <v>1502</v>
      </c>
      <c r="C80" s="68">
        <v>73</v>
      </c>
      <c r="D80" s="69" t="s">
        <v>46</v>
      </c>
      <c r="E80" s="70" t="s">
        <v>46</v>
      </c>
      <c r="G80" s="67">
        <v>1505</v>
      </c>
      <c r="H80" s="68">
        <v>73</v>
      </c>
      <c r="I80" s="69" t="s">
        <v>6952</v>
      </c>
      <c r="J80" s="70" t="s">
        <v>2915</v>
      </c>
      <c r="L80" s="67">
        <v>1508</v>
      </c>
      <c r="M80" s="68">
        <v>73</v>
      </c>
      <c r="N80" s="69" t="s">
        <v>6953</v>
      </c>
      <c r="O80" s="70" t="s">
        <v>398</v>
      </c>
      <c r="Q80" s="41">
        <v>1602</v>
      </c>
      <c r="R80" s="42">
        <v>73</v>
      </c>
      <c r="S80" s="43" t="s">
        <v>6954</v>
      </c>
      <c r="T80" s="44" t="s">
        <v>219</v>
      </c>
      <c r="V80" s="41">
        <v>1605</v>
      </c>
      <c r="W80" s="33">
        <v>73</v>
      </c>
      <c r="X80" s="43" t="s">
        <v>6955</v>
      </c>
      <c r="Y80" s="44" t="s">
        <v>1118</v>
      </c>
      <c r="AA80" s="41">
        <v>1608</v>
      </c>
      <c r="AB80" s="33">
        <v>73</v>
      </c>
      <c r="AC80" s="43" t="s">
        <v>46</v>
      </c>
      <c r="AD80" s="44" t="s">
        <v>46</v>
      </c>
      <c r="AF80" s="41">
        <v>1702</v>
      </c>
      <c r="AG80" s="33">
        <v>73</v>
      </c>
      <c r="AH80" s="43" t="s">
        <v>46</v>
      </c>
      <c r="AI80" s="44" t="s">
        <v>46</v>
      </c>
      <c r="AK80" s="41">
        <v>1705</v>
      </c>
      <c r="AL80" s="33">
        <v>73</v>
      </c>
      <c r="AM80" s="43" t="s">
        <v>6952</v>
      </c>
      <c r="AN80" s="44" t="s">
        <v>2915</v>
      </c>
      <c r="AP80" s="41">
        <v>1708</v>
      </c>
      <c r="AQ80" s="33">
        <v>73</v>
      </c>
      <c r="AR80" s="43" t="s">
        <v>6953</v>
      </c>
      <c r="AS80" s="44" t="s">
        <v>398</v>
      </c>
      <c r="AU80" s="67">
        <v>1802</v>
      </c>
      <c r="AV80" s="68">
        <v>73</v>
      </c>
      <c r="AW80" s="69" t="s">
        <v>6954</v>
      </c>
      <c r="AX80" s="70" t="s">
        <v>219</v>
      </c>
      <c r="AZ80" s="67">
        <v>1805</v>
      </c>
      <c r="BA80" s="83">
        <v>73</v>
      </c>
      <c r="BB80" s="69" t="s">
        <v>6955</v>
      </c>
      <c r="BC80" s="70" t="s">
        <v>1118</v>
      </c>
      <c r="BE80" s="67">
        <v>1808</v>
      </c>
      <c r="BF80" s="68">
        <v>73</v>
      </c>
      <c r="BG80" s="69" t="s">
        <v>46</v>
      </c>
      <c r="BH80" s="70" t="s">
        <v>46</v>
      </c>
    </row>
    <row r="81" spans="1:60">
      <c r="A81" s="1"/>
      <c r="B81" s="67">
        <v>1502</v>
      </c>
      <c r="C81" s="68">
        <v>74</v>
      </c>
      <c r="D81" s="69" t="s">
        <v>6956</v>
      </c>
      <c r="E81" s="70" t="s">
        <v>850</v>
      </c>
      <c r="G81" s="67">
        <v>1505</v>
      </c>
      <c r="H81" s="68">
        <v>74</v>
      </c>
      <c r="I81" s="69" t="s">
        <v>46</v>
      </c>
      <c r="J81" s="70" t="s">
        <v>46</v>
      </c>
      <c r="L81" s="67">
        <v>1508</v>
      </c>
      <c r="M81" s="68">
        <v>74</v>
      </c>
      <c r="N81" s="69" t="s">
        <v>6957</v>
      </c>
      <c r="O81" s="70" t="s">
        <v>910</v>
      </c>
      <c r="Q81" s="41">
        <v>1602</v>
      </c>
      <c r="R81" s="42">
        <v>74</v>
      </c>
      <c r="S81" s="43" t="s">
        <v>6958</v>
      </c>
      <c r="T81" s="44" t="s">
        <v>1088</v>
      </c>
      <c r="V81" s="41">
        <v>1605</v>
      </c>
      <c r="W81" s="33">
        <v>74</v>
      </c>
      <c r="X81" s="43" t="s">
        <v>6959</v>
      </c>
      <c r="Y81" s="44" t="s">
        <v>1053</v>
      </c>
      <c r="AA81" s="41">
        <v>1608</v>
      </c>
      <c r="AB81" s="33">
        <v>74</v>
      </c>
      <c r="AC81" s="43" t="s">
        <v>46</v>
      </c>
      <c r="AD81" s="44" t="s">
        <v>46</v>
      </c>
      <c r="AF81" s="41">
        <v>1702</v>
      </c>
      <c r="AG81" s="33">
        <v>74</v>
      </c>
      <c r="AH81" s="43" t="s">
        <v>6956</v>
      </c>
      <c r="AI81" s="44" t="s">
        <v>850</v>
      </c>
      <c r="AK81" s="41">
        <v>1705</v>
      </c>
      <c r="AL81" s="33">
        <v>74</v>
      </c>
      <c r="AM81" s="43" t="s">
        <v>46</v>
      </c>
      <c r="AN81" s="44" t="s">
        <v>46</v>
      </c>
      <c r="AP81" s="41">
        <v>1708</v>
      </c>
      <c r="AQ81" s="33">
        <v>74</v>
      </c>
      <c r="AR81" s="43" t="s">
        <v>6957</v>
      </c>
      <c r="AS81" s="44" t="s">
        <v>910</v>
      </c>
      <c r="AU81" s="67">
        <v>1802</v>
      </c>
      <c r="AV81" s="68">
        <v>74</v>
      </c>
      <c r="AW81" s="69" t="s">
        <v>6958</v>
      </c>
      <c r="AX81" s="70" t="s">
        <v>1088</v>
      </c>
      <c r="AZ81" s="67">
        <v>1805</v>
      </c>
      <c r="BA81" s="83">
        <v>74</v>
      </c>
      <c r="BB81" s="69" t="s">
        <v>6959</v>
      </c>
      <c r="BC81" s="70" t="s">
        <v>1053</v>
      </c>
      <c r="BE81" s="67">
        <v>1808</v>
      </c>
      <c r="BF81" s="68">
        <v>74</v>
      </c>
      <c r="BG81" s="69" t="s">
        <v>46</v>
      </c>
      <c r="BH81" s="70" t="s">
        <v>46</v>
      </c>
    </row>
    <row r="82" spans="1:60">
      <c r="A82" s="1"/>
      <c r="B82" s="67">
        <v>1502</v>
      </c>
      <c r="C82" s="68">
        <v>75</v>
      </c>
      <c r="D82" s="69" t="s">
        <v>46</v>
      </c>
      <c r="E82" s="70" t="s">
        <v>46</v>
      </c>
      <c r="G82" s="67">
        <v>1505</v>
      </c>
      <c r="H82" s="68">
        <v>75</v>
      </c>
      <c r="I82" s="69" t="s">
        <v>6960</v>
      </c>
      <c r="J82" s="70" t="s">
        <v>2915</v>
      </c>
      <c r="L82" s="67">
        <v>1508</v>
      </c>
      <c r="M82" s="68">
        <v>75</v>
      </c>
      <c r="N82" s="69" t="s">
        <v>46</v>
      </c>
      <c r="O82" s="70" t="s">
        <v>46</v>
      </c>
      <c r="Q82" s="41">
        <v>1602</v>
      </c>
      <c r="R82" s="42">
        <v>75</v>
      </c>
      <c r="S82" s="43" t="s">
        <v>6961</v>
      </c>
      <c r="T82" s="44" t="s">
        <v>1113</v>
      </c>
      <c r="V82" s="41">
        <v>1605</v>
      </c>
      <c r="W82" s="33">
        <v>75</v>
      </c>
      <c r="X82" s="43" t="s">
        <v>6962</v>
      </c>
      <c r="Y82" s="44" t="s">
        <v>2988</v>
      </c>
      <c r="AA82" s="41">
        <v>1608</v>
      </c>
      <c r="AB82" s="33">
        <v>75</v>
      </c>
      <c r="AC82" s="43" t="s">
        <v>46</v>
      </c>
      <c r="AD82" s="44" t="s">
        <v>46</v>
      </c>
      <c r="AF82" s="41">
        <v>1702</v>
      </c>
      <c r="AG82" s="33">
        <v>75</v>
      </c>
      <c r="AH82" s="43" t="s">
        <v>46</v>
      </c>
      <c r="AI82" s="44" t="s">
        <v>46</v>
      </c>
      <c r="AK82" s="41">
        <v>1705</v>
      </c>
      <c r="AL82" s="33">
        <v>75</v>
      </c>
      <c r="AM82" s="43" t="s">
        <v>6960</v>
      </c>
      <c r="AN82" s="44" t="s">
        <v>2915</v>
      </c>
      <c r="AP82" s="41">
        <v>1708</v>
      </c>
      <c r="AQ82" s="33">
        <v>75</v>
      </c>
      <c r="AR82" s="43" t="s">
        <v>46</v>
      </c>
      <c r="AS82" s="44" t="s">
        <v>46</v>
      </c>
      <c r="AU82" s="67">
        <v>1802</v>
      </c>
      <c r="AV82" s="68">
        <v>75</v>
      </c>
      <c r="AW82" s="69" t="s">
        <v>6961</v>
      </c>
      <c r="AX82" s="70" t="s">
        <v>1113</v>
      </c>
      <c r="AZ82" s="67">
        <v>1805</v>
      </c>
      <c r="BA82" s="83">
        <v>75</v>
      </c>
      <c r="BB82" s="69" t="s">
        <v>6962</v>
      </c>
      <c r="BC82" s="70" t="s">
        <v>2988</v>
      </c>
      <c r="BE82" s="67">
        <v>1808</v>
      </c>
      <c r="BF82" s="68">
        <v>75</v>
      </c>
      <c r="BG82" s="69" t="s">
        <v>46</v>
      </c>
      <c r="BH82" s="70" t="s">
        <v>46</v>
      </c>
    </row>
    <row r="83" spans="1:60">
      <c r="A83" s="1"/>
      <c r="B83" s="67">
        <v>1502</v>
      </c>
      <c r="C83" s="68">
        <v>76</v>
      </c>
      <c r="D83" s="69" t="s">
        <v>6963</v>
      </c>
      <c r="E83" s="70" t="s">
        <v>890</v>
      </c>
      <c r="G83" s="67">
        <v>1505</v>
      </c>
      <c r="H83" s="68">
        <v>76</v>
      </c>
      <c r="I83" s="263" t="s">
        <v>6964</v>
      </c>
      <c r="J83" s="264" t="s">
        <v>2904</v>
      </c>
      <c r="L83" s="67">
        <v>1508</v>
      </c>
      <c r="M83" s="68">
        <v>76</v>
      </c>
      <c r="N83" s="69" t="s">
        <v>6965</v>
      </c>
      <c r="O83" s="70" t="s">
        <v>760</v>
      </c>
      <c r="Q83" s="41">
        <v>1602</v>
      </c>
      <c r="R83" s="42">
        <v>76</v>
      </c>
      <c r="S83" s="43" t="s">
        <v>6966</v>
      </c>
      <c r="T83" s="44" t="s">
        <v>3224</v>
      </c>
      <c r="V83" s="41">
        <v>1605</v>
      </c>
      <c r="W83" s="33">
        <v>76</v>
      </c>
      <c r="X83" s="43" t="s">
        <v>6967</v>
      </c>
      <c r="Y83" s="44" t="s">
        <v>2982</v>
      </c>
      <c r="AA83" s="41">
        <v>1608</v>
      </c>
      <c r="AB83" s="33">
        <v>76</v>
      </c>
      <c r="AC83" s="43" t="s">
        <v>46</v>
      </c>
      <c r="AD83" s="44" t="s">
        <v>46</v>
      </c>
      <c r="AF83" s="41">
        <v>1702</v>
      </c>
      <c r="AG83" s="33">
        <v>76</v>
      </c>
      <c r="AH83" s="43" t="s">
        <v>6963</v>
      </c>
      <c r="AI83" s="44" t="s">
        <v>890</v>
      </c>
      <c r="AK83" s="41">
        <v>1705</v>
      </c>
      <c r="AL83" s="33">
        <v>76</v>
      </c>
      <c r="AM83" s="263" t="s">
        <v>6964</v>
      </c>
      <c r="AN83" s="264" t="s">
        <v>2904</v>
      </c>
      <c r="AP83" s="41">
        <v>1708</v>
      </c>
      <c r="AQ83" s="33">
        <v>76</v>
      </c>
      <c r="AR83" s="43" t="s">
        <v>6965</v>
      </c>
      <c r="AS83" s="44" t="s">
        <v>760</v>
      </c>
      <c r="AU83" s="67">
        <v>1802</v>
      </c>
      <c r="AV83" s="68">
        <v>76</v>
      </c>
      <c r="AW83" s="69" t="s">
        <v>6966</v>
      </c>
      <c r="AX83" s="70" t="s">
        <v>3224</v>
      </c>
      <c r="AZ83" s="67">
        <v>1805</v>
      </c>
      <c r="BA83" s="83">
        <v>76</v>
      </c>
      <c r="BB83" s="69" t="s">
        <v>6967</v>
      </c>
      <c r="BC83" s="70" t="s">
        <v>2982</v>
      </c>
      <c r="BE83" s="67">
        <v>1808</v>
      </c>
      <c r="BF83" s="68">
        <v>76</v>
      </c>
      <c r="BG83" s="69" t="s">
        <v>46</v>
      </c>
      <c r="BH83" s="70" t="s">
        <v>46</v>
      </c>
    </row>
    <row r="84" spans="1:60">
      <c r="A84" s="1"/>
      <c r="B84" s="67">
        <v>1502</v>
      </c>
      <c r="C84" s="68">
        <v>77</v>
      </c>
      <c r="D84" s="69" t="s">
        <v>7234</v>
      </c>
      <c r="E84" s="70" t="s">
        <v>1434</v>
      </c>
      <c r="G84" s="67">
        <v>1505</v>
      </c>
      <c r="H84" s="68">
        <v>77</v>
      </c>
      <c r="I84" s="69" t="s">
        <v>7235</v>
      </c>
      <c r="J84" s="70" t="s">
        <v>958</v>
      </c>
      <c r="L84" s="67">
        <v>1508</v>
      </c>
      <c r="M84" s="68">
        <v>77</v>
      </c>
      <c r="N84" s="69" t="s">
        <v>46</v>
      </c>
      <c r="O84" s="70" t="s">
        <v>46</v>
      </c>
      <c r="Q84" s="41">
        <v>1602</v>
      </c>
      <c r="R84" s="42">
        <v>77</v>
      </c>
      <c r="S84" s="43" t="s">
        <v>6970</v>
      </c>
      <c r="T84" s="44" t="s">
        <v>2590</v>
      </c>
      <c r="V84" s="41">
        <v>1605</v>
      </c>
      <c r="W84" s="33">
        <v>77</v>
      </c>
      <c r="X84" s="43" t="s">
        <v>6971</v>
      </c>
      <c r="Y84" s="44" t="s">
        <v>3069</v>
      </c>
      <c r="AA84" s="41">
        <v>1608</v>
      </c>
      <c r="AB84" s="33">
        <v>77</v>
      </c>
      <c r="AC84" s="43" t="s">
        <v>46</v>
      </c>
      <c r="AD84" s="44" t="s">
        <v>46</v>
      </c>
      <c r="AF84" s="41">
        <v>1702</v>
      </c>
      <c r="AG84" s="33">
        <v>77</v>
      </c>
      <c r="AH84" s="43" t="s">
        <v>7234</v>
      </c>
      <c r="AI84" s="44" t="s">
        <v>1434</v>
      </c>
      <c r="AK84" s="41">
        <v>1705</v>
      </c>
      <c r="AL84" s="33">
        <v>77</v>
      </c>
      <c r="AM84" s="43" t="s">
        <v>7235</v>
      </c>
      <c r="AN84" s="44" t="s">
        <v>958</v>
      </c>
      <c r="AP84" s="41">
        <v>1708</v>
      </c>
      <c r="AQ84" s="33">
        <v>77</v>
      </c>
      <c r="AR84" s="43" t="s">
        <v>46</v>
      </c>
      <c r="AS84" s="44" t="s">
        <v>46</v>
      </c>
      <c r="AU84" s="67">
        <v>1802</v>
      </c>
      <c r="AV84" s="68">
        <v>77</v>
      </c>
      <c r="AW84" s="69" t="s">
        <v>6970</v>
      </c>
      <c r="AX84" s="70" t="s">
        <v>2590</v>
      </c>
      <c r="AZ84" s="67">
        <v>1805</v>
      </c>
      <c r="BA84" s="83">
        <v>77</v>
      </c>
      <c r="BB84" s="69" t="s">
        <v>6971</v>
      </c>
      <c r="BC84" s="70" t="s">
        <v>3069</v>
      </c>
      <c r="BE84" s="67">
        <v>1808</v>
      </c>
      <c r="BF84" s="68">
        <v>77</v>
      </c>
      <c r="BG84" s="69" t="s">
        <v>46</v>
      </c>
      <c r="BH84" s="70" t="s">
        <v>46</v>
      </c>
    </row>
    <row r="85" spans="1:60">
      <c r="A85" s="1"/>
      <c r="B85" s="67">
        <v>1502</v>
      </c>
      <c r="C85" s="68">
        <v>78</v>
      </c>
      <c r="D85" s="69" t="s">
        <v>6972</v>
      </c>
      <c r="E85" s="70" t="s">
        <v>820</v>
      </c>
      <c r="G85" s="67">
        <v>1505</v>
      </c>
      <c r="H85" s="68">
        <v>78</v>
      </c>
      <c r="I85" s="263" t="s">
        <v>6973</v>
      </c>
      <c r="J85" s="264" t="s">
        <v>2904</v>
      </c>
      <c r="L85" s="67">
        <v>1508</v>
      </c>
      <c r="M85" s="68">
        <v>78</v>
      </c>
      <c r="N85" s="69" t="s">
        <v>6974</v>
      </c>
      <c r="O85" s="70" t="s">
        <v>2448</v>
      </c>
      <c r="Q85" s="41">
        <v>1602</v>
      </c>
      <c r="R85" s="42">
        <v>78</v>
      </c>
      <c r="S85" s="43" t="s">
        <v>6975</v>
      </c>
      <c r="T85" s="44" t="s">
        <v>3214</v>
      </c>
      <c r="V85" s="41">
        <v>1605</v>
      </c>
      <c r="W85" s="33">
        <v>78</v>
      </c>
      <c r="X85" s="43" t="s">
        <v>6976</v>
      </c>
      <c r="Y85" s="44" t="s">
        <v>2298</v>
      </c>
      <c r="AA85" s="41">
        <v>1608</v>
      </c>
      <c r="AB85" s="33">
        <v>78</v>
      </c>
      <c r="AC85" s="43" t="s">
        <v>46</v>
      </c>
      <c r="AD85" s="44" t="s">
        <v>46</v>
      </c>
      <c r="AF85" s="41">
        <v>1702</v>
      </c>
      <c r="AG85" s="33">
        <v>78</v>
      </c>
      <c r="AH85" s="43" t="s">
        <v>6972</v>
      </c>
      <c r="AI85" s="44" t="s">
        <v>820</v>
      </c>
      <c r="AK85" s="41">
        <v>1705</v>
      </c>
      <c r="AL85" s="33">
        <v>78</v>
      </c>
      <c r="AM85" s="263" t="s">
        <v>6973</v>
      </c>
      <c r="AN85" s="264" t="s">
        <v>2904</v>
      </c>
      <c r="AP85" s="41">
        <v>1708</v>
      </c>
      <c r="AQ85" s="33">
        <v>78</v>
      </c>
      <c r="AR85" s="43" t="s">
        <v>6974</v>
      </c>
      <c r="AS85" s="44" t="s">
        <v>2448</v>
      </c>
      <c r="AU85" s="67">
        <v>1802</v>
      </c>
      <c r="AV85" s="68">
        <v>78</v>
      </c>
      <c r="AW85" s="69" t="s">
        <v>6975</v>
      </c>
      <c r="AX85" s="70" t="s">
        <v>3214</v>
      </c>
      <c r="AZ85" s="67">
        <v>1805</v>
      </c>
      <c r="BA85" s="83">
        <v>78</v>
      </c>
      <c r="BB85" s="69" t="s">
        <v>6976</v>
      </c>
      <c r="BC85" s="70" t="s">
        <v>2298</v>
      </c>
      <c r="BE85" s="67">
        <v>1808</v>
      </c>
      <c r="BF85" s="68">
        <v>78</v>
      </c>
      <c r="BG85" s="69" t="s">
        <v>46</v>
      </c>
      <c r="BH85" s="70" t="s">
        <v>46</v>
      </c>
    </row>
    <row r="86" spans="1:60">
      <c r="A86" s="1"/>
      <c r="B86" s="67">
        <v>1502</v>
      </c>
      <c r="C86" s="68">
        <v>79</v>
      </c>
      <c r="D86" s="69" t="s">
        <v>7236</v>
      </c>
      <c r="E86" s="70" t="s">
        <v>1299</v>
      </c>
      <c r="G86" s="67">
        <v>1505</v>
      </c>
      <c r="H86" s="68">
        <v>79</v>
      </c>
      <c r="I86" s="69" t="s">
        <v>7237</v>
      </c>
      <c r="J86" s="70" t="s">
        <v>1033</v>
      </c>
      <c r="L86" s="67">
        <v>1508</v>
      </c>
      <c r="M86" s="68">
        <v>79</v>
      </c>
      <c r="N86" s="69" t="s">
        <v>46</v>
      </c>
      <c r="O86" s="70" t="s">
        <v>46</v>
      </c>
      <c r="Q86" s="41">
        <v>1602</v>
      </c>
      <c r="R86" s="42">
        <v>79</v>
      </c>
      <c r="S86" s="43" t="s">
        <v>6979</v>
      </c>
      <c r="T86" s="44" t="s">
        <v>2582</v>
      </c>
      <c r="V86" s="41">
        <v>1605</v>
      </c>
      <c r="W86" s="33">
        <v>79</v>
      </c>
      <c r="X86" s="43" t="s">
        <v>46</v>
      </c>
      <c r="Y86" s="44" t="s">
        <v>46</v>
      </c>
      <c r="AA86" s="41">
        <v>1608</v>
      </c>
      <c r="AB86" s="33">
        <v>79</v>
      </c>
      <c r="AC86" s="43" t="s">
        <v>46</v>
      </c>
      <c r="AD86" s="44" t="s">
        <v>46</v>
      </c>
      <c r="AF86" s="41">
        <v>1702</v>
      </c>
      <c r="AG86" s="33">
        <v>79</v>
      </c>
      <c r="AH86" s="43" t="s">
        <v>7236</v>
      </c>
      <c r="AI86" s="44" t="s">
        <v>1299</v>
      </c>
      <c r="AK86" s="41">
        <v>1705</v>
      </c>
      <c r="AL86" s="33">
        <v>79</v>
      </c>
      <c r="AM86" s="43" t="s">
        <v>7237</v>
      </c>
      <c r="AN86" s="44" t="s">
        <v>1033</v>
      </c>
      <c r="AP86" s="41">
        <v>1708</v>
      </c>
      <c r="AQ86" s="33">
        <v>79</v>
      </c>
      <c r="AR86" s="43" t="s">
        <v>46</v>
      </c>
      <c r="AS86" s="44" t="s">
        <v>46</v>
      </c>
      <c r="AU86" s="67">
        <v>1802</v>
      </c>
      <c r="AV86" s="68">
        <v>79</v>
      </c>
      <c r="AW86" s="69" t="s">
        <v>6979</v>
      </c>
      <c r="AX86" s="70" t="s">
        <v>2582</v>
      </c>
      <c r="AZ86" s="67">
        <v>1805</v>
      </c>
      <c r="BA86" s="83">
        <v>79</v>
      </c>
      <c r="BB86" s="69" t="s">
        <v>46</v>
      </c>
      <c r="BC86" s="70" t="s">
        <v>46</v>
      </c>
      <c r="BE86" s="67">
        <v>1808</v>
      </c>
      <c r="BF86" s="68">
        <v>79</v>
      </c>
      <c r="BG86" s="69" t="s">
        <v>46</v>
      </c>
      <c r="BH86" s="70" t="s">
        <v>46</v>
      </c>
    </row>
    <row r="87" spans="1:60" ht="15" thickBot="1">
      <c r="A87" s="1"/>
      <c r="B87" s="71">
        <v>1502</v>
      </c>
      <c r="C87" s="72">
        <v>80</v>
      </c>
      <c r="D87" s="73" t="s">
        <v>7238</v>
      </c>
      <c r="E87" s="74" t="s">
        <v>1214</v>
      </c>
      <c r="G87" s="71">
        <v>1505</v>
      </c>
      <c r="H87" s="72">
        <v>80</v>
      </c>
      <c r="I87" s="73" t="s">
        <v>6981</v>
      </c>
      <c r="J87" s="74" t="s">
        <v>2149</v>
      </c>
      <c r="L87" s="71">
        <v>1508</v>
      </c>
      <c r="M87" s="72">
        <v>80</v>
      </c>
      <c r="N87" s="73" t="s">
        <v>6982</v>
      </c>
      <c r="O87" s="74" t="s">
        <v>2440</v>
      </c>
      <c r="Q87" s="45">
        <v>1602</v>
      </c>
      <c r="R87" s="46">
        <v>80</v>
      </c>
      <c r="S87" s="47" t="s">
        <v>6983</v>
      </c>
      <c r="T87" s="48" t="s">
        <v>1724</v>
      </c>
      <c r="V87" s="45">
        <v>1605</v>
      </c>
      <c r="W87" s="57">
        <v>80</v>
      </c>
      <c r="X87" s="47" t="s">
        <v>6984</v>
      </c>
      <c r="Y87" s="48" t="s">
        <v>1073</v>
      </c>
      <c r="AA87" s="45">
        <v>1608</v>
      </c>
      <c r="AB87" s="57">
        <v>80</v>
      </c>
      <c r="AC87" s="47" t="s">
        <v>46</v>
      </c>
      <c r="AD87" s="48" t="s">
        <v>46</v>
      </c>
      <c r="AF87" s="45">
        <v>1702</v>
      </c>
      <c r="AG87" s="57">
        <v>80</v>
      </c>
      <c r="AH87" s="47" t="s">
        <v>7238</v>
      </c>
      <c r="AI87" s="48" t="s">
        <v>1214</v>
      </c>
      <c r="AK87" s="45">
        <v>1705</v>
      </c>
      <c r="AL87" s="57">
        <v>80</v>
      </c>
      <c r="AM87" s="47" t="s">
        <v>6981</v>
      </c>
      <c r="AN87" s="48" t="s">
        <v>2149</v>
      </c>
      <c r="AP87" s="45">
        <v>1708</v>
      </c>
      <c r="AQ87" s="57">
        <v>80</v>
      </c>
      <c r="AR87" s="47" t="s">
        <v>6982</v>
      </c>
      <c r="AS87" s="48" t="s">
        <v>2440</v>
      </c>
      <c r="AU87" s="71">
        <v>1802</v>
      </c>
      <c r="AV87" s="72">
        <v>80</v>
      </c>
      <c r="AW87" s="73" t="s">
        <v>6983</v>
      </c>
      <c r="AX87" s="74" t="s">
        <v>1724</v>
      </c>
      <c r="AZ87" s="71">
        <v>1805</v>
      </c>
      <c r="BA87" s="84">
        <v>80</v>
      </c>
      <c r="BB87" s="73" t="s">
        <v>6984</v>
      </c>
      <c r="BC87" s="74" t="s">
        <v>1073</v>
      </c>
      <c r="BE87" s="71">
        <v>1808</v>
      </c>
      <c r="BF87" s="72">
        <v>80</v>
      </c>
      <c r="BG87" s="73" t="s">
        <v>46</v>
      </c>
      <c r="BH87" s="74" t="s">
        <v>46</v>
      </c>
    </row>
    <row r="88" spans="1:60">
      <c r="A88" s="1"/>
      <c r="B88" s="63">
        <v>1502</v>
      </c>
      <c r="C88" s="64">
        <v>81</v>
      </c>
      <c r="D88" s="77" t="s">
        <v>7239</v>
      </c>
      <c r="E88" s="66" t="s">
        <v>1294</v>
      </c>
      <c r="G88" s="63">
        <v>1505</v>
      </c>
      <c r="H88" s="64">
        <v>81</v>
      </c>
      <c r="I88" s="77" t="s">
        <v>7240</v>
      </c>
      <c r="J88" s="66" t="s">
        <v>1169</v>
      </c>
      <c r="L88" s="63">
        <v>1508</v>
      </c>
      <c r="M88" s="64">
        <v>81</v>
      </c>
      <c r="N88" s="77" t="s">
        <v>46</v>
      </c>
      <c r="O88" s="66" t="s">
        <v>46</v>
      </c>
      <c r="Q88" s="37">
        <v>1602</v>
      </c>
      <c r="R88" s="38">
        <v>81</v>
      </c>
      <c r="S88" s="51" t="s">
        <v>46</v>
      </c>
      <c r="T88" s="40" t="s">
        <v>46</v>
      </c>
      <c r="V88" s="37">
        <v>1605</v>
      </c>
      <c r="W88" s="56">
        <v>81</v>
      </c>
      <c r="X88" s="51" t="s">
        <v>46</v>
      </c>
      <c r="Y88" s="40" t="s">
        <v>46</v>
      </c>
      <c r="AA88" s="37">
        <v>1608</v>
      </c>
      <c r="AB88" s="56">
        <v>81</v>
      </c>
      <c r="AC88" s="51" t="s">
        <v>46</v>
      </c>
      <c r="AD88" s="40" t="s">
        <v>46</v>
      </c>
      <c r="AF88" s="37">
        <v>1702</v>
      </c>
      <c r="AG88" s="56">
        <v>81</v>
      </c>
      <c r="AH88" s="51" t="s">
        <v>7239</v>
      </c>
      <c r="AI88" s="40" t="s">
        <v>1294</v>
      </c>
      <c r="AK88" s="37">
        <v>1705</v>
      </c>
      <c r="AL88" s="56">
        <v>81</v>
      </c>
      <c r="AM88" s="51" t="s">
        <v>7240</v>
      </c>
      <c r="AN88" s="40" t="s">
        <v>1169</v>
      </c>
      <c r="AP88" s="37">
        <v>1708</v>
      </c>
      <c r="AQ88" s="56">
        <v>81</v>
      </c>
      <c r="AR88" s="51" t="s">
        <v>46</v>
      </c>
      <c r="AS88" s="40" t="s">
        <v>46</v>
      </c>
      <c r="AU88" s="63">
        <v>1802</v>
      </c>
      <c r="AV88" s="64">
        <v>81</v>
      </c>
      <c r="AW88" s="77" t="s">
        <v>46</v>
      </c>
      <c r="AX88" s="66" t="s">
        <v>46</v>
      </c>
      <c r="AZ88" s="63">
        <v>1805</v>
      </c>
      <c r="BA88" s="82">
        <v>81</v>
      </c>
      <c r="BB88" s="77" t="s">
        <v>46</v>
      </c>
      <c r="BC88" s="66" t="s">
        <v>46</v>
      </c>
      <c r="BE88" s="63">
        <v>1808</v>
      </c>
      <c r="BF88" s="64">
        <v>81</v>
      </c>
      <c r="BG88" s="77" t="s">
        <v>46</v>
      </c>
      <c r="BH88" s="66" t="s">
        <v>46</v>
      </c>
    </row>
    <row r="89" spans="1:60">
      <c r="A89" s="1"/>
      <c r="B89" s="67">
        <v>1502</v>
      </c>
      <c r="C89" s="68">
        <v>82</v>
      </c>
      <c r="D89" s="69" t="s">
        <v>6987</v>
      </c>
      <c r="E89" s="70" t="s">
        <v>1544</v>
      </c>
      <c r="G89" s="67">
        <v>1505</v>
      </c>
      <c r="H89" s="68">
        <v>82</v>
      </c>
      <c r="I89" s="69" t="s">
        <v>6988</v>
      </c>
      <c r="J89" s="70" t="s">
        <v>2139</v>
      </c>
      <c r="L89" s="67">
        <v>1508</v>
      </c>
      <c r="M89" s="68">
        <v>82</v>
      </c>
      <c r="N89" s="69" t="s">
        <v>46</v>
      </c>
      <c r="O89" s="70" t="s">
        <v>46</v>
      </c>
      <c r="Q89" s="41">
        <v>1602</v>
      </c>
      <c r="R89" s="42">
        <v>82</v>
      </c>
      <c r="S89" s="43" t="s">
        <v>6989</v>
      </c>
      <c r="T89" s="44" t="s">
        <v>2890</v>
      </c>
      <c r="V89" s="41">
        <v>1605</v>
      </c>
      <c r="W89" s="33">
        <v>82</v>
      </c>
      <c r="X89" s="43" t="s">
        <v>46</v>
      </c>
      <c r="Y89" s="44" t="s">
        <v>46</v>
      </c>
      <c r="AA89" s="41">
        <v>1608</v>
      </c>
      <c r="AB89" s="33">
        <v>82</v>
      </c>
      <c r="AC89" s="43" t="s">
        <v>46</v>
      </c>
      <c r="AD89" s="44" t="s">
        <v>46</v>
      </c>
      <c r="AF89" s="41">
        <v>1702</v>
      </c>
      <c r="AG89" s="33">
        <v>82</v>
      </c>
      <c r="AH89" s="43" t="s">
        <v>6987</v>
      </c>
      <c r="AI89" s="44" t="s">
        <v>1544</v>
      </c>
      <c r="AK89" s="41">
        <v>1705</v>
      </c>
      <c r="AL89" s="33">
        <v>82</v>
      </c>
      <c r="AM89" s="43" t="s">
        <v>6988</v>
      </c>
      <c r="AN89" s="44" t="s">
        <v>2139</v>
      </c>
      <c r="AP89" s="41">
        <v>1708</v>
      </c>
      <c r="AQ89" s="33">
        <v>82</v>
      </c>
      <c r="AR89" s="43" t="s">
        <v>46</v>
      </c>
      <c r="AS89" s="44" t="s">
        <v>46</v>
      </c>
      <c r="AU89" s="67">
        <v>1802</v>
      </c>
      <c r="AV89" s="68">
        <v>82</v>
      </c>
      <c r="AW89" s="69" t="s">
        <v>6989</v>
      </c>
      <c r="AX89" s="70" t="s">
        <v>2890</v>
      </c>
      <c r="AZ89" s="67">
        <v>1805</v>
      </c>
      <c r="BA89" s="83">
        <v>82</v>
      </c>
      <c r="BB89" s="69" t="s">
        <v>46</v>
      </c>
      <c r="BC89" s="70" t="s">
        <v>46</v>
      </c>
      <c r="BE89" s="67">
        <v>1808</v>
      </c>
      <c r="BF89" s="68">
        <v>82</v>
      </c>
      <c r="BG89" s="69" t="s">
        <v>46</v>
      </c>
      <c r="BH89" s="70" t="s">
        <v>46</v>
      </c>
    </row>
    <row r="90" spans="1:60">
      <c r="A90" s="1"/>
      <c r="B90" s="67">
        <v>1502</v>
      </c>
      <c r="C90" s="68">
        <v>83</v>
      </c>
      <c r="D90" s="69" t="s">
        <v>46</v>
      </c>
      <c r="E90" s="70" t="s">
        <v>46</v>
      </c>
      <c r="G90" s="67">
        <v>1505</v>
      </c>
      <c r="H90" s="68">
        <v>83</v>
      </c>
      <c r="I90" s="69" t="s">
        <v>46</v>
      </c>
      <c r="J90" s="70" t="s">
        <v>46</v>
      </c>
      <c r="L90" s="67">
        <v>1508</v>
      </c>
      <c r="M90" s="68">
        <v>83</v>
      </c>
      <c r="N90" s="69" t="s">
        <v>46</v>
      </c>
      <c r="O90" s="70" t="s">
        <v>46</v>
      </c>
      <c r="Q90" s="41">
        <v>1602</v>
      </c>
      <c r="R90" s="42">
        <v>83</v>
      </c>
      <c r="S90" s="43" t="s">
        <v>7241</v>
      </c>
      <c r="T90" s="44" t="s">
        <v>1224</v>
      </c>
      <c r="V90" s="41">
        <v>1605</v>
      </c>
      <c r="W90" s="33">
        <v>83</v>
      </c>
      <c r="X90" s="43" t="s">
        <v>6991</v>
      </c>
      <c r="Y90" s="44" t="s">
        <v>1837</v>
      </c>
      <c r="AA90" s="41">
        <v>1608</v>
      </c>
      <c r="AB90" s="33">
        <v>83</v>
      </c>
      <c r="AC90" s="43" t="s">
        <v>46</v>
      </c>
      <c r="AD90" s="44" t="s">
        <v>46</v>
      </c>
      <c r="AF90" s="41">
        <v>1702</v>
      </c>
      <c r="AG90" s="33">
        <v>83</v>
      </c>
      <c r="AH90" s="43" t="s">
        <v>46</v>
      </c>
      <c r="AI90" s="44" t="s">
        <v>46</v>
      </c>
      <c r="AK90" s="41">
        <v>1705</v>
      </c>
      <c r="AL90" s="33">
        <v>83</v>
      </c>
      <c r="AM90" s="43" t="s">
        <v>46</v>
      </c>
      <c r="AN90" s="44" t="s">
        <v>46</v>
      </c>
      <c r="AP90" s="41">
        <v>1708</v>
      </c>
      <c r="AQ90" s="33">
        <v>83</v>
      </c>
      <c r="AR90" s="43" t="s">
        <v>46</v>
      </c>
      <c r="AS90" s="44" t="s">
        <v>46</v>
      </c>
      <c r="AU90" s="67">
        <v>1802</v>
      </c>
      <c r="AV90" s="68">
        <v>83</v>
      </c>
      <c r="AW90" s="69" t="s">
        <v>7241</v>
      </c>
      <c r="AX90" s="70" t="s">
        <v>1224</v>
      </c>
      <c r="AZ90" s="67">
        <v>1805</v>
      </c>
      <c r="BA90" s="83">
        <v>83</v>
      </c>
      <c r="BB90" s="69" t="s">
        <v>6991</v>
      </c>
      <c r="BC90" s="70" t="s">
        <v>1837</v>
      </c>
      <c r="BE90" s="67">
        <v>1808</v>
      </c>
      <c r="BF90" s="68">
        <v>83</v>
      </c>
      <c r="BG90" s="69" t="s">
        <v>46</v>
      </c>
      <c r="BH90" s="70" t="s">
        <v>46</v>
      </c>
    </row>
    <row r="91" spans="1:60">
      <c r="A91" s="1"/>
      <c r="B91" s="67">
        <v>1502</v>
      </c>
      <c r="C91" s="68">
        <v>84</v>
      </c>
      <c r="D91" s="69" t="s">
        <v>46</v>
      </c>
      <c r="E91" s="70" t="s">
        <v>46</v>
      </c>
      <c r="G91" s="67">
        <v>1505</v>
      </c>
      <c r="H91" s="68">
        <v>84</v>
      </c>
      <c r="I91" s="69" t="s">
        <v>46</v>
      </c>
      <c r="J91" s="70" t="s">
        <v>46</v>
      </c>
      <c r="L91" s="67">
        <v>1508</v>
      </c>
      <c r="M91" s="68">
        <v>84</v>
      </c>
      <c r="N91" s="69" t="s">
        <v>46</v>
      </c>
      <c r="O91" s="70" t="s">
        <v>46</v>
      </c>
      <c r="Q91" s="41">
        <v>1602</v>
      </c>
      <c r="R91" s="42">
        <v>84</v>
      </c>
      <c r="S91" s="43" t="s">
        <v>7242</v>
      </c>
      <c r="T91" s="44" t="s">
        <v>1249</v>
      </c>
      <c r="V91" s="41">
        <v>1605</v>
      </c>
      <c r="W91" s="33">
        <v>84</v>
      </c>
      <c r="X91" s="43" t="s">
        <v>6993</v>
      </c>
      <c r="Y91" s="44" t="s">
        <v>2776</v>
      </c>
      <c r="AA91" s="41">
        <v>1608</v>
      </c>
      <c r="AB91" s="33">
        <v>84</v>
      </c>
      <c r="AC91" s="43" t="s">
        <v>46</v>
      </c>
      <c r="AD91" s="44" t="s">
        <v>46</v>
      </c>
      <c r="AF91" s="41">
        <v>1702</v>
      </c>
      <c r="AG91" s="33">
        <v>84</v>
      </c>
      <c r="AH91" s="43" t="s">
        <v>46</v>
      </c>
      <c r="AI91" s="44" t="s">
        <v>46</v>
      </c>
      <c r="AK91" s="41">
        <v>1705</v>
      </c>
      <c r="AL91" s="33">
        <v>84</v>
      </c>
      <c r="AM91" s="43" t="s">
        <v>46</v>
      </c>
      <c r="AN91" s="44" t="s">
        <v>46</v>
      </c>
      <c r="AP91" s="41">
        <v>1708</v>
      </c>
      <c r="AQ91" s="33">
        <v>84</v>
      </c>
      <c r="AR91" s="43" t="s">
        <v>46</v>
      </c>
      <c r="AS91" s="44" t="s">
        <v>46</v>
      </c>
      <c r="AU91" s="67">
        <v>1802</v>
      </c>
      <c r="AV91" s="68">
        <v>84</v>
      </c>
      <c r="AW91" s="69" t="s">
        <v>7242</v>
      </c>
      <c r="AX91" s="70" t="s">
        <v>1249</v>
      </c>
      <c r="AZ91" s="67">
        <v>1805</v>
      </c>
      <c r="BA91" s="83">
        <v>84</v>
      </c>
      <c r="BB91" s="69" t="s">
        <v>6993</v>
      </c>
      <c r="BC91" s="70" t="s">
        <v>2776</v>
      </c>
      <c r="BE91" s="67">
        <v>1808</v>
      </c>
      <c r="BF91" s="68">
        <v>84</v>
      </c>
      <c r="BG91" s="69" t="s">
        <v>46</v>
      </c>
      <c r="BH91" s="70" t="s">
        <v>46</v>
      </c>
    </row>
    <row r="92" spans="1:60">
      <c r="A92" s="1"/>
      <c r="B92" s="67">
        <v>1501</v>
      </c>
      <c r="C92" s="68">
        <v>85</v>
      </c>
      <c r="D92" s="69" t="s">
        <v>6994</v>
      </c>
      <c r="E92" s="70" t="s">
        <v>1679</v>
      </c>
      <c r="G92" s="67">
        <v>1504</v>
      </c>
      <c r="H92" s="68">
        <v>85</v>
      </c>
      <c r="I92" s="69" t="s">
        <v>46</v>
      </c>
      <c r="J92" s="70" t="s">
        <v>46</v>
      </c>
      <c r="L92" s="67">
        <v>1507</v>
      </c>
      <c r="M92" s="68">
        <v>85</v>
      </c>
      <c r="N92" s="69" t="s">
        <v>46</v>
      </c>
      <c r="O92" s="70" t="s">
        <v>46</v>
      </c>
      <c r="Q92" s="41">
        <v>1603</v>
      </c>
      <c r="R92" s="42">
        <v>85</v>
      </c>
      <c r="S92" s="43" t="s">
        <v>6995</v>
      </c>
      <c r="T92" s="44" t="s">
        <v>2695</v>
      </c>
      <c r="V92" s="41">
        <v>1606</v>
      </c>
      <c r="W92" s="33">
        <v>85</v>
      </c>
      <c r="X92" s="43" t="s">
        <v>6996</v>
      </c>
      <c r="Y92" s="44" t="s">
        <v>1823</v>
      </c>
      <c r="AA92" s="41">
        <v>1609</v>
      </c>
      <c r="AB92" s="33">
        <v>85</v>
      </c>
      <c r="AC92" s="43" t="s">
        <v>46</v>
      </c>
      <c r="AD92" s="44" t="s">
        <v>46</v>
      </c>
      <c r="AF92" s="41">
        <v>1701</v>
      </c>
      <c r="AG92" s="33">
        <v>85</v>
      </c>
      <c r="AH92" s="43" t="s">
        <v>6994</v>
      </c>
      <c r="AI92" s="44" t="s">
        <v>1679</v>
      </c>
      <c r="AK92" s="41">
        <v>1704</v>
      </c>
      <c r="AL92" s="33">
        <v>85</v>
      </c>
      <c r="AM92" s="43" t="s">
        <v>46</v>
      </c>
      <c r="AN92" s="44" t="s">
        <v>46</v>
      </c>
      <c r="AP92" s="41">
        <v>1707</v>
      </c>
      <c r="AQ92" s="33">
        <v>85</v>
      </c>
      <c r="AR92" s="43" t="s">
        <v>46</v>
      </c>
      <c r="AS92" s="44" t="s">
        <v>46</v>
      </c>
      <c r="AU92" s="67">
        <v>1803</v>
      </c>
      <c r="AV92" s="68">
        <v>85</v>
      </c>
      <c r="AW92" s="69" t="s">
        <v>6995</v>
      </c>
      <c r="AX92" s="70" t="s">
        <v>2695</v>
      </c>
      <c r="AZ92" s="67">
        <v>1806</v>
      </c>
      <c r="BA92" s="83">
        <v>85</v>
      </c>
      <c r="BB92" s="69" t="s">
        <v>6996</v>
      </c>
      <c r="BC92" s="70" t="s">
        <v>1823</v>
      </c>
      <c r="BE92" s="67">
        <v>1809</v>
      </c>
      <c r="BF92" s="68">
        <v>85</v>
      </c>
      <c r="BG92" s="69" t="s">
        <v>46</v>
      </c>
      <c r="BH92" s="70" t="s">
        <v>46</v>
      </c>
    </row>
    <row r="93" spans="1:60">
      <c r="A93" s="1"/>
      <c r="B93" s="67">
        <v>1501</v>
      </c>
      <c r="C93" s="68">
        <v>86</v>
      </c>
      <c r="D93" s="69" t="s">
        <v>6997</v>
      </c>
      <c r="E93" s="70" t="s">
        <v>2941</v>
      </c>
      <c r="G93" s="67">
        <v>1504</v>
      </c>
      <c r="H93" s="68">
        <v>86</v>
      </c>
      <c r="I93" s="69" t="s">
        <v>46</v>
      </c>
      <c r="J93" s="70" t="s">
        <v>46</v>
      </c>
      <c r="L93" s="67">
        <v>1507</v>
      </c>
      <c r="M93" s="68">
        <v>86</v>
      </c>
      <c r="N93" s="69" t="s">
        <v>6998</v>
      </c>
      <c r="O93" s="70" t="s">
        <v>599</v>
      </c>
      <c r="Q93" s="41">
        <v>1603</v>
      </c>
      <c r="R93" s="42">
        <v>86</v>
      </c>
      <c r="S93" s="43" t="s">
        <v>6999</v>
      </c>
      <c r="T93" s="44" t="s">
        <v>2687</v>
      </c>
      <c r="V93" s="41">
        <v>1606</v>
      </c>
      <c r="W93" s="33">
        <v>86</v>
      </c>
      <c r="X93" s="43" t="s">
        <v>7000</v>
      </c>
      <c r="Y93" s="44" t="s">
        <v>639</v>
      </c>
      <c r="AA93" s="41">
        <v>1609</v>
      </c>
      <c r="AB93" s="33">
        <v>86</v>
      </c>
      <c r="AC93" s="43" t="s">
        <v>7001</v>
      </c>
      <c r="AD93" s="44" t="s">
        <v>1851</v>
      </c>
      <c r="AF93" s="41">
        <v>1701</v>
      </c>
      <c r="AG93" s="33">
        <v>86</v>
      </c>
      <c r="AH93" s="43" t="s">
        <v>6997</v>
      </c>
      <c r="AI93" s="44" t="s">
        <v>2941</v>
      </c>
      <c r="AK93" s="41">
        <v>1704</v>
      </c>
      <c r="AL93" s="33">
        <v>86</v>
      </c>
      <c r="AM93" s="43" t="s">
        <v>46</v>
      </c>
      <c r="AN93" s="44" t="s">
        <v>46</v>
      </c>
      <c r="AP93" s="41">
        <v>1707</v>
      </c>
      <c r="AQ93" s="33">
        <v>86</v>
      </c>
      <c r="AR93" s="43" t="s">
        <v>6998</v>
      </c>
      <c r="AS93" s="44" t="s">
        <v>599</v>
      </c>
      <c r="AU93" s="67">
        <v>1803</v>
      </c>
      <c r="AV93" s="68">
        <v>86</v>
      </c>
      <c r="AW93" s="69" t="s">
        <v>6999</v>
      </c>
      <c r="AX93" s="70" t="s">
        <v>2687</v>
      </c>
      <c r="AZ93" s="67">
        <v>1806</v>
      </c>
      <c r="BA93" s="83">
        <v>86</v>
      </c>
      <c r="BB93" s="69" t="s">
        <v>7000</v>
      </c>
      <c r="BC93" s="70" t="s">
        <v>639</v>
      </c>
      <c r="BE93" s="67">
        <v>1809</v>
      </c>
      <c r="BF93" s="68">
        <v>86</v>
      </c>
      <c r="BG93" s="69" t="s">
        <v>7001</v>
      </c>
      <c r="BH93" s="70" t="s">
        <v>1851</v>
      </c>
    </row>
    <row r="94" spans="1:60">
      <c r="A94" s="1"/>
      <c r="B94" s="67">
        <v>1501</v>
      </c>
      <c r="C94" s="68">
        <v>87</v>
      </c>
      <c r="D94" s="69" t="s">
        <v>7002</v>
      </c>
      <c r="E94" s="70" t="s">
        <v>1674</v>
      </c>
      <c r="G94" s="67">
        <v>1504</v>
      </c>
      <c r="H94" s="68">
        <v>87</v>
      </c>
      <c r="I94" s="69" t="s">
        <v>7003</v>
      </c>
      <c r="J94" s="70" t="s">
        <v>895</v>
      </c>
      <c r="L94" s="67">
        <v>1507</v>
      </c>
      <c r="M94" s="68">
        <v>87</v>
      </c>
      <c r="N94" s="69" t="s">
        <v>46</v>
      </c>
      <c r="O94" s="70" t="s">
        <v>46</v>
      </c>
      <c r="Q94" s="41">
        <v>1603</v>
      </c>
      <c r="R94" s="42">
        <v>87</v>
      </c>
      <c r="S94" s="43" t="s">
        <v>7004</v>
      </c>
      <c r="T94" s="44" t="s">
        <v>724</v>
      </c>
      <c r="V94" s="41">
        <v>1606</v>
      </c>
      <c r="W94" s="33">
        <v>87</v>
      </c>
      <c r="X94" s="43" t="s">
        <v>46</v>
      </c>
      <c r="Y94" s="44" t="s">
        <v>46</v>
      </c>
      <c r="AA94" s="41">
        <v>1609</v>
      </c>
      <c r="AB94" s="33">
        <v>87</v>
      </c>
      <c r="AC94" s="43" t="s">
        <v>46</v>
      </c>
      <c r="AD94" s="44" t="s">
        <v>46</v>
      </c>
      <c r="AF94" s="41">
        <v>1701</v>
      </c>
      <c r="AG94" s="33">
        <v>87</v>
      </c>
      <c r="AH94" s="43" t="s">
        <v>7002</v>
      </c>
      <c r="AI94" s="44" t="s">
        <v>1674</v>
      </c>
      <c r="AK94" s="41">
        <v>1704</v>
      </c>
      <c r="AL94" s="33">
        <v>87</v>
      </c>
      <c r="AM94" s="43" t="s">
        <v>7003</v>
      </c>
      <c r="AN94" s="44" t="s">
        <v>895</v>
      </c>
      <c r="AP94" s="41">
        <v>1707</v>
      </c>
      <c r="AQ94" s="33">
        <v>87</v>
      </c>
      <c r="AR94" s="43" t="s">
        <v>46</v>
      </c>
      <c r="AS94" s="44" t="s">
        <v>46</v>
      </c>
      <c r="AU94" s="67">
        <v>1803</v>
      </c>
      <c r="AV94" s="68">
        <v>87</v>
      </c>
      <c r="AW94" s="69" t="s">
        <v>7004</v>
      </c>
      <c r="AX94" s="70" t="s">
        <v>724</v>
      </c>
      <c r="AZ94" s="67">
        <v>1806</v>
      </c>
      <c r="BA94" s="83">
        <v>87</v>
      </c>
      <c r="BB94" s="69" t="s">
        <v>46</v>
      </c>
      <c r="BC94" s="70" t="s">
        <v>46</v>
      </c>
      <c r="BE94" s="67">
        <v>1809</v>
      </c>
      <c r="BF94" s="68">
        <v>87</v>
      </c>
      <c r="BG94" s="69" t="s">
        <v>46</v>
      </c>
      <c r="BH94" s="70" t="s">
        <v>46</v>
      </c>
    </row>
    <row r="95" spans="1:60">
      <c r="A95" s="1"/>
      <c r="B95" s="67">
        <v>1501</v>
      </c>
      <c r="C95" s="68">
        <v>88</v>
      </c>
      <c r="D95" s="69" t="s">
        <v>7005</v>
      </c>
      <c r="E95" s="70" t="s">
        <v>2948</v>
      </c>
      <c r="G95" s="67">
        <v>1504</v>
      </c>
      <c r="H95" s="68">
        <v>88</v>
      </c>
      <c r="I95" s="69" t="s">
        <v>7006</v>
      </c>
      <c r="J95" s="70" t="s">
        <v>825</v>
      </c>
      <c r="L95" s="67">
        <v>1507</v>
      </c>
      <c r="M95" s="68">
        <v>88</v>
      </c>
      <c r="N95" s="69" t="s">
        <v>7243</v>
      </c>
      <c r="O95" s="70" t="s">
        <v>1199</v>
      </c>
      <c r="Q95" s="41">
        <v>1603</v>
      </c>
      <c r="R95" s="42">
        <v>88</v>
      </c>
      <c r="S95" s="43" t="s">
        <v>7008</v>
      </c>
      <c r="T95" s="44" t="s">
        <v>2765</v>
      </c>
      <c r="V95" s="41">
        <v>1606</v>
      </c>
      <c r="W95" s="33">
        <v>88</v>
      </c>
      <c r="X95" s="43" t="s">
        <v>7009</v>
      </c>
      <c r="Y95" s="44" t="s">
        <v>1830</v>
      </c>
      <c r="AA95" s="41">
        <v>1609</v>
      </c>
      <c r="AB95" s="33">
        <v>88</v>
      </c>
      <c r="AC95" s="43" t="s">
        <v>46</v>
      </c>
      <c r="AD95" s="44" t="s">
        <v>46</v>
      </c>
      <c r="AF95" s="41">
        <v>1701</v>
      </c>
      <c r="AG95" s="33">
        <v>88</v>
      </c>
      <c r="AH95" s="43" t="s">
        <v>7005</v>
      </c>
      <c r="AI95" s="44" t="s">
        <v>2948</v>
      </c>
      <c r="AK95" s="41">
        <v>1704</v>
      </c>
      <c r="AL95" s="33">
        <v>88</v>
      </c>
      <c r="AM95" s="43" t="s">
        <v>7006</v>
      </c>
      <c r="AN95" s="44" t="s">
        <v>825</v>
      </c>
      <c r="AP95" s="41">
        <v>1707</v>
      </c>
      <c r="AQ95" s="33">
        <v>88</v>
      </c>
      <c r="AR95" s="43" t="s">
        <v>7243</v>
      </c>
      <c r="AS95" s="44" t="s">
        <v>1199</v>
      </c>
      <c r="AU95" s="67">
        <v>1803</v>
      </c>
      <c r="AV95" s="68">
        <v>88</v>
      </c>
      <c r="AW95" s="69" t="s">
        <v>7008</v>
      </c>
      <c r="AX95" s="70" t="s">
        <v>2765</v>
      </c>
      <c r="AZ95" s="67">
        <v>1806</v>
      </c>
      <c r="BA95" s="83">
        <v>88</v>
      </c>
      <c r="BB95" s="69" t="s">
        <v>7009</v>
      </c>
      <c r="BC95" s="70" t="s">
        <v>1830</v>
      </c>
      <c r="BE95" s="67">
        <v>1809</v>
      </c>
      <c r="BF95" s="68">
        <v>88</v>
      </c>
      <c r="BG95" s="69" t="s">
        <v>46</v>
      </c>
      <c r="BH95" s="70" t="s">
        <v>46</v>
      </c>
    </row>
    <row r="96" spans="1:60">
      <c r="A96" s="1"/>
      <c r="B96" s="67">
        <v>1501</v>
      </c>
      <c r="C96" s="68">
        <v>89</v>
      </c>
      <c r="D96" s="69" t="s">
        <v>7010</v>
      </c>
      <c r="E96" s="70" t="s">
        <v>1369</v>
      </c>
      <c r="G96" s="67">
        <v>1504</v>
      </c>
      <c r="H96" s="68">
        <v>89</v>
      </c>
      <c r="I96" s="69" t="s">
        <v>46</v>
      </c>
      <c r="J96" s="70" t="s">
        <v>46</v>
      </c>
      <c r="L96" s="67">
        <v>1507</v>
      </c>
      <c r="M96" s="68">
        <v>89</v>
      </c>
      <c r="N96" s="69" t="s">
        <v>46</v>
      </c>
      <c r="O96" s="70" t="s">
        <v>46</v>
      </c>
      <c r="Q96" s="41">
        <v>1603</v>
      </c>
      <c r="R96" s="42">
        <v>89</v>
      </c>
      <c r="S96" s="43" t="s">
        <v>7011</v>
      </c>
      <c r="T96" s="44" t="s">
        <v>2836</v>
      </c>
      <c r="V96" s="41">
        <v>1606</v>
      </c>
      <c r="W96" s="33">
        <v>89</v>
      </c>
      <c r="X96" s="43" t="s">
        <v>7012</v>
      </c>
      <c r="Y96" s="44" t="s">
        <v>293</v>
      </c>
      <c r="AA96" s="41">
        <v>1609</v>
      </c>
      <c r="AB96" s="33">
        <v>89</v>
      </c>
      <c r="AC96" s="43" t="s">
        <v>46</v>
      </c>
      <c r="AD96" s="44" t="s">
        <v>46</v>
      </c>
      <c r="AF96" s="41">
        <v>1701</v>
      </c>
      <c r="AG96" s="33">
        <v>89</v>
      </c>
      <c r="AH96" s="43" t="s">
        <v>7010</v>
      </c>
      <c r="AI96" s="44" t="s">
        <v>1369</v>
      </c>
      <c r="AK96" s="41">
        <v>1704</v>
      </c>
      <c r="AL96" s="33">
        <v>89</v>
      </c>
      <c r="AM96" s="43" t="s">
        <v>46</v>
      </c>
      <c r="AN96" s="44" t="s">
        <v>46</v>
      </c>
      <c r="AP96" s="41">
        <v>1707</v>
      </c>
      <c r="AQ96" s="33">
        <v>89</v>
      </c>
      <c r="AR96" s="43" t="s">
        <v>46</v>
      </c>
      <c r="AS96" s="44" t="s">
        <v>46</v>
      </c>
      <c r="AU96" s="67">
        <v>1803</v>
      </c>
      <c r="AV96" s="68">
        <v>89</v>
      </c>
      <c r="AW96" s="69" t="s">
        <v>7011</v>
      </c>
      <c r="AX96" s="70" t="s">
        <v>2836</v>
      </c>
      <c r="AZ96" s="67">
        <v>1806</v>
      </c>
      <c r="BA96" s="83">
        <v>89</v>
      </c>
      <c r="BB96" s="69" t="s">
        <v>7012</v>
      </c>
      <c r="BC96" s="70" t="s">
        <v>293</v>
      </c>
      <c r="BE96" s="67">
        <v>1809</v>
      </c>
      <c r="BF96" s="68">
        <v>89</v>
      </c>
      <c r="BG96" s="69" t="s">
        <v>46</v>
      </c>
      <c r="BH96" s="70" t="s">
        <v>46</v>
      </c>
    </row>
    <row r="97" spans="1:60">
      <c r="A97" s="1"/>
      <c r="B97" s="67">
        <v>1501</v>
      </c>
      <c r="C97" s="68">
        <v>90</v>
      </c>
      <c r="D97" s="69" t="s">
        <v>7013</v>
      </c>
      <c r="E97" s="70" t="s">
        <v>2738</v>
      </c>
      <c r="G97" s="67">
        <v>1504</v>
      </c>
      <c r="H97" s="68">
        <v>90</v>
      </c>
      <c r="I97" s="69" t="s">
        <v>7244</v>
      </c>
      <c r="J97" s="70" t="s">
        <v>1419</v>
      </c>
      <c r="L97" s="67">
        <v>1507</v>
      </c>
      <c r="M97" s="68">
        <v>90</v>
      </c>
      <c r="N97" s="69" t="s">
        <v>7015</v>
      </c>
      <c r="O97" s="70" t="s">
        <v>2193</v>
      </c>
      <c r="Q97" s="41">
        <v>1603</v>
      </c>
      <c r="R97" s="42">
        <v>90</v>
      </c>
      <c r="S97" s="43" t="s">
        <v>7016</v>
      </c>
      <c r="T97" s="44" t="s">
        <v>1549</v>
      </c>
      <c r="V97" s="41">
        <v>1606</v>
      </c>
      <c r="W97" s="33">
        <v>90</v>
      </c>
      <c r="X97" s="43" t="s">
        <v>7017</v>
      </c>
      <c r="Y97" s="44" t="s">
        <v>3162</v>
      </c>
      <c r="AA97" s="41">
        <v>1609</v>
      </c>
      <c r="AB97" s="33">
        <v>90</v>
      </c>
      <c r="AC97" s="43" t="s">
        <v>46</v>
      </c>
      <c r="AD97" s="44" t="s">
        <v>46</v>
      </c>
      <c r="AF97" s="41">
        <v>1701</v>
      </c>
      <c r="AG97" s="33">
        <v>90</v>
      </c>
      <c r="AH97" s="43" t="s">
        <v>7013</v>
      </c>
      <c r="AI97" s="44" t="s">
        <v>2738</v>
      </c>
      <c r="AK97" s="41">
        <v>1704</v>
      </c>
      <c r="AL97" s="33">
        <v>90</v>
      </c>
      <c r="AM97" s="43" t="s">
        <v>7244</v>
      </c>
      <c r="AN97" s="44" t="s">
        <v>1419</v>
      </c>
      <c r="AP97" s="41">
        <v>1707</v>
      </c>
      <c r="AQ97" s="33">
        <v>90</v>
      </c>
      <c r="AR97" s="43" t="s">
        <v>7015</v>
      </c>
      <c r="AS97" s="44" t="s">
        <v>2193</v>
      </c>
      <c r="AU97" s="67">
        <v>1803</v>
      </c>
      <c r="AV97" s="68">
        <v>90</v>
      </c>
      <c r="AW97" s="69" t="s">
        <v>7016</v>
      </c>
      <c r="AX97" s="70" t="s">
        <v>1549</v>
      </c>
      <c r="AZ97" s="67">
        <v>1806</v>
      </c>
      <c r="BA97" s="83">
        <v>90</v>
      </c>
      <c r="BB97" s="69" t="s">
        <v>7017</v>
      </c>
      <c r="BC97" s="70" t="s">
        <v>3162</v>
      </c>
      <c r="BE97" s="67">
        <v>1809</v>
      </c>
      <c r="BF97" s="68">
        <v>90</v>
      </c>
      <c r="BG97" s="69" t="s">
        <v>46</v>
      </c>
      <c r="BH97" s="70" t="s">
        <v>46</v>
      </c>
    </row>
    <row r="98" spans="1:60">
      <c r="A98" s="1"/>
      <c r="B98" s="67">
        <v>1501</v>
      </c>
      <c r="C98" s="68">
        <v>91</v>
      </c>
      <c r="D98" s="69" t="s">
        <v>7245</v>
      </c>
      <c r="E98" s="70" t="s">
        <v>1429</v>
      </c>
      <c r="G98" s="67">
        <v>1504</v>
      </c>
      <c r="H98" s="68">
        <v>91</v>
      </c>
      <c r="I98" s="69" t="s">
        <v>46</v>
      </c>
      <c r="J98" s="70" t="s">
        <v>46</v>
      </c>
      <c r="L98" s="67">
        <v>1507</v>
      </c>
      <c r="M98" s="68">
        <v>91</v>
      </c>
      <c r="N98" s="69" t="s">
        <v>46</v>
      </c>
      <c r="O98" s="70" t="s">
        <v>46</v>
      </c>
      <c r="Q98" s="41">
        <v>1603</v>
      </c>
      <c r="R98" s="42">
        <v>91</v>
      </c>
      <c r="S98" s="43" t="s">
        <v>7019</v>
      </c>
      <c r="T98" s="44" t="s">
        <v>2793</v>
      </c>
      <c r="V98" s="41">
        <v>1606</v>
      </c>
      <c r="W98" s="33">
        <v>91</v>
      </c>
      <c r="X98" s="43" t="s">
        <v>7020</v>
      </c>
      <c r="Y98" s="44" t="s">
        <v>303</v>
      </c>
      <c r="AA98" s="41">
        <v>1609</v>
      </c>
      <c r="AB98" s="33">
        <v>91</v>
      </c>
      <c r="AC98" s="43" t="s">
        <v>46</v>
      </c>
      <c r="AD98" s="44" t="s">
        <v>46</v>
      </c>
      <c r="AF98" s="41">
        <v>1701</v>
      </c>
      <c r="AG98" s="33">
        <v>91</v>
      </c>
      <c r="AH98" s="43" t="s">
        <v>7245</v>
      </c>
      <c r="AI98" s="44" t="s">
        <v>1429</v>
      </c>
      <c r="AK98" s="41">
        <v>1704</v>
      </c>
      <c r="AL98" s="33">
        <v>91</v>
      </c>
      <c r="AM98" s="43" t="s">
        <v>46</v>
      </c>
      <c r="AN98" s="44" t="s">
        <v>46</v>
      </c>
      <c r="AP98" s="41">
        <v>1707</v>
      </c>
      <c r="AQ98" s="33">
        <v>91</v>
      </c>
      <c r="AR98" s="43" t="s">
        <v>46</v>
      </c>
      <c r="AS98" s="44" t="s">
        <v>46</v>
      </c>
      <c r="AU98" s="67">
        <v>1803</v>
      </c>
      <c r="AV98" s="68">
        <v>91</v>
      </c>
      <c r="AW98" s="69" t="s">
        <v>7019</v>
      </c>
      <c r="AX98" s="70" t="s">
        <v>2793</v>
      </c>
      <c r="AZ98" s="67">
        <v>1806</v>
      </c>
      <c r="BA98" s="83">
        <v>91</v>
      </c>
      <c r="BB98" s="69" t="s">
        <v>7020</v>
      </c>
      <c r="BC98" s="70" t="s">
        <v>303</v>
      </c>
      <c r="BE98" s="67">
        <v>1809</v>
      </c>
      <c r="BF98" s="68">
        <v>91</v>
      </c>
      <c r="BG98" s="69" t="s">
        <v>46</v>
      </c>
      <c r="BH98" s="70" t="s">
        <v>46</v>
      </c>
    </row>
    <row r="99" spans="1:60">
      <c r="A99" s="1"/>
      <c r="B99" s="67">
        <v>1501</v>
      </c>
      <c r="C99" s="68">
        <v>92</v>
      </c>
      <c r="D99" s="69" t="s">
        <v>7021</v>
      </c>
      <c r="E99" s="70" t="s">
        <v>2746</v>
      </c>
      <c r="G99" s="67">
        <v>1504</v>
      </c>
      <c r="H99" s="68">
        <v>92</v>
      </c>
      <c r="I99" s="69" t="s">
        <v>7022</v>
      </c>
      <c r="J99" s="70" t="s">
        <v>2608</v>
      </c>
      <c r="L99" s="67">
        <v>1507</v>
      </c>
      <c r="M99" s="68">
        <v>92</v>
      </c>
      <c r="N99" s="69" t="s">
        <v>7023</v>
      </c>
      <c r="O99" s="70" t="s">
        <v>2202</v>
      </c>
      <c r="Q99" s="41">
        <v>1603</v>
      </c>
      <c r="R99" s="42">
        <v>92</v>
      </c>
      <c r="S99" s="43" t="s">
        <v>7024</v>
      </c>
      <c r="T99" s="44" t="s">
        <v>729</v>
      </c>
      <c r="V99" s="41">
        <v>1606</v>
      </c>
      <c r="W99" s="33">
        <v>92</v>
      </c>
      <c r="X99" s="43" t="s">
        <v>7025</v>
      </c>
      <c r="Y99" s="44" t="s">
        <v>3170</v>
      </c>
      <c r="AA99" s="41">
        <v>1609</v>
      </c>
      <c r="AB99" s="33">
        <v>92</v>
      </c>
      <c r="AC99" s="43" t="s">
        <v>46</v>
      </c>
      <c r="AD99" s="44" t="s">
        <v>46</v>
      </c>
      <c r="AF99" s="41">
        <v>1701</v>
      </c>
      <c r="AG99" s="33">
        <v>92</v>
      </c>
      <c r="AH99" s="43" t="s">
        <v>7021</v>
      </c>
      <c r="AI99" s="44" t="s">
        <v>2746</v>
      </c>
      <c r="AK99" s="41">
        <v>1704</v>
      </c>
      <c r="AL99" s="33">
        <v>92</v>
      </c>
      <c r="AM99" s="43" t="s">
        <v>7022</v>
      </c>
      <c r="AN99" s="44" t="s">
        <v>2608</v>
      </c>
      <c r="AP99" s="41">
        <v>1707</v>
      </c>
      <c r="AQ99" s="33">
        <v>92</v>
      </c>
      <c r="AR99" s="43" t="s">
        <v>7023</v>
      </c>
      <c r="AS99" s="44" t="s">
        <v>2202</v>
      </c>
      <c r="AU99" s="67">
        <v>1803</v>
      </c>
      <c r="AV99" s="68">
        <v>92</v>
      </c>
      <c r="AW99" s="69" t="s">
        <v>7024</v>
      </c>
      <c r="AX99" s="70" t="s">
        <v>729</v>
      </c>
      <c r="AZ99" s="67">
        <v>1806</v>
      </c>
      <c r="BA99" s="83">
        <v>92</v>
      </c>
      <c r="BB99" s="69" t="s">
        <v>7025</v>
      </c>
      <c r="BC99" s="70" t="s">
        <v>3170</v>
      </c>
      <c r="BE99" s="67">
        <v>1809</v>
      </c>
      <c r="BF99" s="68">
        <v>92</v>
      </c>
      <c r="BG99" s="69" t="s">
        <v>46</v>
      </c>
      <c r="BH99" s="70" t="s">
        <v>46</v>
      </c>
    </row>
    <row r="100" spans="1:60">
      <c r="A100" s="1"/>
      <c r="B100" s="67">
        <v>1501</v>
      </c>
      <c r="C100" s="68">
        <v>93</v>
      </c>
      <c r="D100" s="69" t="s">
        <v>7246</v>
      </c>
      <c r="E100" s="70" t="s">
        <v>1444</v>
      </c>
      <c r="G100" s="67">
        <v>1504</v>
      </c>
      <c r="H100" s="68">
        <v>93</v>
      </c>
      <c r="I100" s="69" t="s">
        <v>46</v>
      </c>
      <c r="J100" s="70" t="s">
        <v>46</v>
      </c>
      <c r="L100" s="67">
        <v>1507</v>
      </c>
      <c r="M100" s="68">
        <v>93</v>
      </c>
      <c r="N100" s="69" t="s">
        <v>46</v>
      </c>
      <c r="O100" s="70" t="s">
        <v>46</v>
      </c>
      <c r="Q100" s="41">
        <v>1603</v>
      </c>
      <c r="R100" s="42">
        <v>93</v>
      </c>
      <c r="S100" s="43" t="s">
        <v>7027</v>
      </c>
      <c r="T100" s="44" t="s">
        <v>2678</v>
      </c>
      <c r="V100" s="41">
        <v>1606</v>
      </c>
      <c r="W100" s="33">
        <v>93</v>
      </c>
      <c r="X100" s="43" t="s">
        <v>7028</v>
      </c>
      <c r="Y100" s="44" t="s">
        <v>1524</v>
      </c>
      <c r="AA100" s="41">
        <v>1609</v>
      </c>
      <c r="AB100" s="33">
        <v>93</v>
      </c>
      <c r="AC100" s="43" t="s">
        <v>46</v>
      </c>
      <c r="AD100" s="44" t="s">
        <v>46</v>
      </c>
      <c r="AF100" s="41">
        <v>1701</v>
      </c>
      <c r="AG100" s="33">
        <v>93</v>
      </c>
      <c r="AH100" s="43" t="s">
        <v>7246</v>
      </c>
      <c r="AI100" s="44" t="s">
        <v>1444</v>
      </c>
      <c r="AK100" s="41">
        <v>1704</v>
      </c>
      <c r="AL100" s="33">
        <v>93</v>
      </c>
      <c r="AM100" s="43" t="s">
        <v>46</v>
      </c>
      <c r="AN100" s="44" t="s">
        <v>46</v>
      </c>
      <c r="AP100" s="41">
        <v>1707</v>
      </c>
      <c r="AQ100" s="33">
        <v>93</v>
      </c>
      <c r="AR100" s="43" t="s">
        <v>46</v>
      </c>
      <c r="AS100" s="44" t="s">
        <v>46</v>
      </c>
      <c r="AU100" s="67">
        <v>1803</v>
      </c>
      <c r="AV100" s="68">
        <v>93</v>
      </c>
      <c r="AW100" s="69" t="s">
        <v>7027</v>
      </c>
      <c r="AX100" s="70" t="s">
        <v>2678</v>
      </c>
      <c r="AZ100" s="67">
        <v>1806</v>
      </c>
      <c r="BA100" s="83">
        <v>93</v>
      </c>
      <c r="BB100" s="69" t="s">
        <v>7028</v>
      </c>
      <c r="BC100" s="70" t="s">
        <v>1524</v>
      </c>
      <c r="BE100" s="67">
        <v>1809</v>
      </c>
      <c r="BF100" s="68">
        <v>93</v>
      </c>
      <c r="BG100" s="69" t="s">
        <v>46</v>
      </c>
      <c r="BH100" s="70" t="s">
        <v>46</v>
      </c>
    </row>
    <row r="101" spans="1:60">
      <c r="A101" s="1"/>
      <c r="B101" s="67">
        <v>1501</v>
      </c>
      <c r="C101" s="68">
        <v>94</v>
      </c>
      <c r="D101" s="69" t="s">
        <v>7029</v>
      </c>
      <c r="E101" s="70" t="s">
        <v>1344</v>
      </c>
      <c r="G101" s="67">
        <v>1504</v>
      </c>
      <c r="H101" s="68">
        <v>94</v>
      </c>
      <c r="I101" s="69" t="s">
        <v>7030</v>
      </c>
      <c r="J101" s="70" t="s">
        <v>2598</v>
      </c>
      <c r="L101" s="67">
        <v>1507</v>
      </c>
      <c r="M101" s="68">
        <v>94</v>
      </c>
      <c r="N101" s="69" t="s">
        <v>7031</v>
      </c>
      <c r="O101" s="70" t="s">
        <v>2855</v>
      </c>
      <c r="Q101" s="41">
        <v>1603</v>
      </c>
      <c r="R101" s="42">
        <v>94</v>
      </c>
      <c r="S101" s="43" t="s">
        <v>7032</v>
      </c>
      <c r="T101" s="44" t="s">
        <v>1534</v>
      </c>
      <c r="V101" s="41">
        <v>1606</v>
      </c>
      <c r="W101" s="33">
        <v>94</v>
      </c>
      <c r="X101" s="43" t="s">
        <v>7033</v>
      </c>
      <c r="Y101" s="44" t="s">
        <v>1559</v>
      </c>
      <c r="AA101" s="41">
        <v>1609</v>
      </c>
      <c r="AB101" s="33">
        <v>94</v>
      </c>
      <c r="AC101" s="43" t="s">
        <v>46</v>
      </c>
      <c r="AD101" s="44" t="s">
        <v>46</v>
      </c>
      <c r="AF101" s="41">
        <v>1701</v>
      </c>
      <c r="AG101" s="33">
        <v>94</v>
      </c>
      <c r="AH101" s="43" t="s">
        <v>7029</v>
      </c>
      <c r="AI101" s="44" t="s">
        <v>1344</v>
      </c>
      <c r="AK101" s="41">
        <v>1704</v>
      </c>
      <c r="AL101" s="33">
        <v>94</v>
      </c>
      <c r="AM101" s="43" t="s">
        <v>7030</v>
      </c>
      <c r="AN101" s="44" t="s">
        <v>2598</v>
      </c>
      <c r="AP101" s="41">
        <v>1707</v>
      </c>
      <c r="AQ101" s="33">
        <v>94</v>
      </c>
      <c r="AR101" s="43" t="s">
        <v>7031</v>
      </c>
      <c r="AS101" s="44" t="s">
        <v>2855</v>
      </c>
      <c r="AU101" s="67">
        <v>1803</v>
      </c>
      <c r="AV101" s="68">
        <v>94</v>
      </c>
      <c r="AW101" s="69" t="s">
        <v>7032</v>
      </c>
      <c r="AX101" s="70" t="s">
        <v>1534</v>
      </c>
      <c r="AZ101" s="67">
        <v>1806</v>
      </c>
      <c r="BA101" s="83">
        <v>94</v>
      </c>
      <c r="BB101" s="69" t="s">
        <v>7033</v>
      </c>
      <c r="BC101" s="70" t="s">
        <v>1559</v>
      </c>
      <c r="BE101" s="67">
        <v>1809</v>
      </c>
      <c r="BF101" s="68">
        <v>94</v>
      </c>
      <c r="BG101" s="69" t="s">
        <v>46</v>
      </c>
      <c r="BH101" s="70" t="s">
        <v>46</v>
      </c>
    </row>
    <row r="102" spans="1:60">
      <c r="A102" s="1"/>
      <c r="B102" s="67">
        <v>1501</v>
      </c>
      <c r="C102" s="68">
        <v>95</v>
      </c>
      <c r="D102" s="69" t="s">
        <v>7247</v>
      </c>
      <c r="E102" s="70" t="s">
        <v>1459</v>
      </c>
      <c r="G102" s="67">
        <v>1504</v>
      </c>
      <c r="H102" s="68">
        <v>95</v>
      </c>
      <c r="I102" s="69" t="s">
        <v>46</v>
      </c>
      <c r="J102" s="70" t="s">
        <v>46</v>
      </c>
      <c r="L102" s="67">
        <v>1507</v>
      </c>
      <c r="M102" s="68">
        <v>95</v>
      </c>
      <c r="N102" s="69" t="s">
        <v>7035</v>
      </c>
      <c r="O102" s="70" t="s">
        <v>1689</v>
      </c>
      <c r="Q102" s="41">
        <v>1603</v>
      </c>
      <c r="R102" s="42">
        <v>95</v>
      </c>
      <c r="S102" s="43" t="s">
        <v>7036</v>
      </c>
      <c r="T102" s="44" t="s">
        <v>2668</v>
      </c>
      <c r="V102" s="41">
        <v>1606</v>
      </c>
      <c r="W102" s="33">
        <v>95</v>
      </c>
      <c r="X102" s="43" t="s">
        <v>7037</v>
      </c>
      <c r="Y102" s="44" t="s">
        <v>1509</v>
      </c>
      <c r="AA102" s="41">
        <v>1609</v>
      </c>
      <c r="AB102" s="33">
        <v>95</v>
      </c>
      <c r="AC102" s="43" t="s">
        <v>46</v>
      </c>
      <c r="AD102" s="44" t="s">
        <v>46</v>
      </c>
      <c r="AF102" s="41">
        <v>1701</v>
      </c>
      <c r="AG102" s="33">
        <v>95</v>
      </c>
      <c r="AH102" s="43" t="s">
        <v>7247</v>
      </c>
      <c r="AI102" s="44" t="s">
        <v>1459</v>
      </c>
      <c r="AK102" s="41">
        <v>1704</v>
      </c>
      <c r="AL102" s="33">
        <v>95</v>
      </c>
      <c r="AM102" s="43" t="s">
        <v>46</v>
      </c>
      <c r="AN102" s="44" t="s">
        <v>46</v>
      </c>
      <c r="AP102" s="41">
        <v>1707</v>
      </c>
      <c r="AQ102" s="33">
        <v>95</v>
      </c>
      <c r="AR102" s="43" t="s">
        <v>7035</v>
      </c>
      <c r="AS102" s="44" t="s">
        <v>1689</v>
      </c>
      <c r="AU102" s="67">
        <v>1803</v>
      </c>
      <c r="AV102" s="68">
        <v>95</v>
      </c>
      <c r="AW102" s="69" t="s">
        <v>7036</v>
      </c>
      <c r="AX102" s="70" t="s">
        <v>2668</v>
      </c>
      <c r="AZ102" s="67">
        <v>1806</v>
      </c>
      <c r="BA102" s="83">
        <v>95</v>
      </c>
      <c r="BB102" s="69" t="s">
        <v>7037</v>
      </c>
      <c r="BC102" s="70" t="s">
        <v>1509</v>
      </c>
      <c r="BE102" s="67">
        <v>1809</v>
      </c>
      <c r="BF102" s="68">
        <v>95</v>
      </c>
      <c r="BG102" s="69" t="s">
        <v>46</v>
      </c>
      <c r="BH102" s="70" t="s">
        <v>46</v>
      </c>
    </row>
    <row r="103" spans="1:60" ht="15" thickBot="1">
      <c r="A103" s="1"/>
      <c r="B103" s="71">
        <v>1501</v>
      </c>
      <c r="C103" s="72">
        <v>96</v>
      </c>
      <c r="D103" s="80" t="s">
        <v>7038</v>
      </c>
      <c r="E103" s="74" t="s">
        <v>855</v>
      </c>
      <c r="G103" s="71">
        <v>1504</v>
      </c>
      <c r="H103" s="72">
        <v>96</v>
      </c>
      <c r="I103" s="80" t="s">
        <v>7039</v>
      </c>
      <c r="J103" s="74" t="s">
        <v>2033</v>
      </c>
      <c r="L103" s="71">
        <v>1507</v>
      </c>
      <c r="M103" s="72">
        <v>96</v>
      </c>
      <c r="N103" s="80" t="s">
        <v>7040</v>
      </c>
      <c r="O103" s="74" t="s">
        <v>983</v>
      </c>
      <c r="Q103" s="45">
        <v>1603</v>
      </c>
      <c r="R103" s="46">
        <v>96</v>
      </c>
      <c r="S103" s="54" t="s">
        <v>7041</v>
      </c>
      <c r="T103" s="48" t="s">
        <v>661</v>
      </c>
      <c r="V103" s="45">
        <v>1606</v>
      </c>
      <c r="W103" s="57">
        <v>96</v>
      </c>
      <c r="X103" s="54" t="s">
        <v>7042</v>
      </c>
      <c r="Y103" s="48" t="s">
        <v>2930</v>
      </c>
      <c r="AA103" s="45">
        <v>1609</v>
      </c>
      <c r="AB103" s="57">
        <v>96</v>
      </c>
      <c r="AC103" s="54" t="s">
        <v>46</v>
      </c>
      <c r="AD103" s="48" t="s">
        <v>46</v>
      </c>
      <c r="AF103" s="45">
        <v>1701</v>
      </c>
      <c r="AG103" s="57">
        <v>96</v>
      </c>
      <c r="AH103" s="54" t="s">
        <v>7038</v>
      </c>
      <c r="AI103" s="48" t="s">
        <v>855</v>
      </c>
      <c r="AK103" s="45">
        <v>1704</v>
      </c>
      <c r="AL103" s="57">
        <v>96</v>
      </c>
      <c r="AM103" s="54" t="s">
        <v>7039</v>
      </c>
      <c r="AN103" s="48" t="s">
        <v>2033</v>
      </c>
      <c r="AP103" s="45">
        <v>1707</v>
      </c>
      <c r="AQ103" s="57">
        <v>96</v>
      </c>
      <c r="AR103" s="54" t="s">
        <v>7040</v>
      </c>
      <c r="AS103" s="48" t="s">
        <v>983</v>
      </c>
      <c r="AU103" s="71">
        <v>1803</v>
      </c>
      <c r="AV103" s="72">
        <v>96</v>
      </c>
      <c r="AW103" s="80" t="s">
        <v>7041</v>
      </c>
      <c r="AX103" s="74" t="s">
        <v>661</v>
      </c>
      <c r="AZ103" s="71">
        <v>1806</v>
      </c>
      <c r="BA103" s="84">
        <v>96</v>
      </c>
      <c r="BB103" s="80" t="s">
        <v>7042</v>
      </c>
      <c r="BC103" s="74" t="s">
        <v>2930</v>
      </c>
      <c r="BE103" s="71">
        <v>1809</v>
      </c>
      <c r="BF103" s="72">
        <v>96</v>
      </c>
      <c r="BG103" s="80" t="s">
        <v>46</v>
      </c>
      <c r="BH103" s="74" t="s">
        <v>46</v>
      </c>
    </row>
    <row r="104" spans="1:60">
      <c r="A104" s="1"/>
      <c r="B104" s="63">
        <v>1501</v>
      </c>
      <c r="C104" s="64">
        <v>97</v>
      </c>
      <c r="D104" s="81" t="s">
        <v>7248</v>
      </c>
      <c r="E104" s="66" t="s">
        <v>1424</v>
      </c>
      <c r="G104" s="63">
        <v>1504</v>
      </c>
      <c r="H104" s="64">
        <v>97</v>
      </c>
      <c r="I104" s="81" t="s">
        <v>46</v>
      </c>
      <c r="J104" s="66" t="s">
        <v>46</v>
      </c>
      <c r="L104" s="63">
        <v>1507</v>
      </c>
      <c r="M104" s="64">
        <v>97</v>
      </c>
      <c r="N104" s="81" t="s">
        <v>7249</v>
      </c>
      <c r="O104" s="66" t="s">
        <v>1163</v>
      </c>
      <c r="Q104" s="37">
        <v>1603</v>
      </c>
      <c r="R104" s="38">
        <v>97</v>
      </c>
      <c r="S104" s="55" t="s">
        <v>7045</v>
      </c>
      <c r="T104" s="40" t="s">
        <v>1098</v>
      </c>
      <c r="V104" s="37">
        <v>1606</v>
      </c>
      <c r="W104" s="56">
        <v>97</v>
      </c>
      <c r="X104" s="55" t="s">
        <v>7046</v>
      </c>
      <c r="Y104" s="40" t="s">
        <v>1624</v>
      </c>
      <c r="AA104" s="37">
        <v>1609</v>
      </c>
      <c r="AB104" s="56">
        <v>97</v>
      </c>
      <c r="AC104" s="55" t="s">
        <v>46</v>
      </c>
      <c r="AD104" s="40" t="s">
        <v>46</v>
      </c>
      <c r="AF104" s="37">
        <v>1701</v>
      </c>
      <c r="AG104" s="56">
        <v>97</v>
      </c>
      <c r="AH104" s="55" t="s">
        <v>7248</v>
      </c>
      <c r="AI104" s="40" t="s">
        <v>1424</v>
      </c>
      <c r="AK104" s="37">
        <v>1704</v>
      </c>
      <c r="AL104" s="56">
        <v>97</v>
      </c>
      <c r="AM104" s="55" t="s">
        <v>46</v>
      </c>
      <c r="AN104" s="40" t="s">
        <v>46</v>
      </c>
      <c r="AP104" s="37">
        <v>1707</v>
      </c>
      <c r="AQ104" s="56">
        <v>97</v>
      </c>
      <c r="AR104" s="55" t="s">
        <v>7249</v>
      </c>
      <c r="AS104" s="40" t="s">
        <v>1163</v>
      </c>
      <c r="AU104" s="63">
        <v>1803</v>
      </c>
      <c r="AV104" s="64">
        <v>97</v>
      </c>
      <c r="AW104" s="81" t="s">
        <v>7045</v>
      </c>
      <c r="AX104" s="66" t="s">
        <v>1098</v>
      </c>
      <c r="AZ104" s="63">
        <v>1806</v>
      </c>
      <c r="BA104" s="82">
        <v>97</v>
      </c>
      <c r="BB104" s="81" t="s">
        <v>7046</v>
      </c>
      <c r="BC104" s="66" t="s">
        <v>1624</v>
      </c>
      <c r="BE104" s="63">
        <v>1809</v>
      </c>
      <c r="BF104" s="64">
        <v>97</v>
      </c>
      <c r="BG104" s="81" t="s">
        <v>46</v>
      </c>
      <c r="BH104" s="66" t="s">
        <v>46</v>
      </c>
    </row>
    <row r="105" spans="1:60">
      <c r="A105" s="1"/>
      <c r="B105" s="67">
        <v>1501</v>
      </c>
      <c r="C105" s="68">
        <v>98</v>
      </c>
      <c r="D105" s="69" t="s">
        <v>7047</v>
      </c>
      <c r="E105" s="70" t="s">
        <v>2899</v>
      </c>
      <c r="G105" s="67">
        <v>1504</v>
      </c>
      <c r="H105" s="68">
        <v>98</v>
      </c>
      <c r="I105" s="69" t="s">
        <v>7048</v>
      </c>
      <c r="J105" s="70" t="s">
        <v>2043</v>
      </c>
      <c r="L105" s="67">
        <v>1507</v>
      </c>
      <c r="M105" s="68">
        <v>98</v>
      </c>
      <c r="N105" s="69" t="s">
        <v>7250</v>
      </c>
      <c r="O105" s="70" t="s">
        <v>1204</v>
      </c>
      <c r="Q105" s="41">
        <v>1603</v>
      </c>
      <c r="R105" s="42">
        <v>98</v>
      </c>
      <c r="S105" s="43" t="s">
        <v>7050</v>
      </c>
      <c r="T105" s="44" t="s">
        <v>1108</v>
      </c>
      <c r="V105" s="41">
        <v>1606</v>
      </c>
      <c r="W105" s="33">
        <v>98</v>
      </c>
      <c r="X105" s="43" t="s">
        <v>7051</v>
      </c>
      <c r="Y105" s="44" t="s">
        <v>347</v>
      </c>
      <c r="AA105" s="41">
        <v>1609</v>
      </c>
      <c r="AB105" s="33">
        <v>98</v>
      </c>
      <c r="AC105" s="43" t="s">
        <v>46</v>
      </c>
      <c r="AD105" s="44" t="s">
        <v>46</v>
      </c>
      <c r="AF105" s="41">
        <v>1701</v>
      </c>
      <c r="AG105" s="33">
        <v>98</v>
      </c>
      <c r="AH105" s="43" t="s">
        <v>7047</v>
      </c>
      <c r="AI105" s="44" t="s">
        <v>2899</v>
      </c>
      <c r="AK105" s="41">
        <v>1704</v>
      </c>
      <c r="AL105" s="33">
        <v>98</v>
      </c>
      <c r="AM105" s="43" t="s">
        <v>7048</v>
      </c>
      <c r="AN105" s="44" t="s">
        <v>2043</v>
      </c>
      <c r="AP105" s="41">
        <v>1707</v>
      </c>
      <c r="AQ105" s="33">
        <v>98</v>
      </c>
      <c r="AR105" s="43" t="s">
        <v>7250</v>
      </c>
      <c r="AS105" s="44" t="s">
        <v>1204</v>
      </c>
      <c r="AU105" s="67">
        <v>1803</v>
      </c>
      <c r="AV105" s="68">
        <v>98</v>
      </c>
      <c r="AW105" s="69" t="s">
        <v>7050</v>
      </c>
      <c r="AX105" s="70" t="s">
        <v>1108</v>
      </c>
      <c r="AZ105" s="67">
        <v>1806</v>
      </c>
      <c r="BA105" s="83">
        <v>98</v>
      </c>
      <c r="BB105" s="69" t="s">
        <v>7051</v>
      </c>
      <c r="BC105" s="70" t="s">
        <v>347</v>
      </c>
      <c r="BE105" s="67">
        <v>1809</v>
      </c>
      <c r="BF105" s="68">
        <v>98</v>
      </c>
      <c r="BG105" s="69" t="s">
        <v>46</v>
      </c>
      <c r="BH105" s="70" t="s">
        <v>46</v>
      </c>
    </row>
    <row r="106" spans="1:60">
      <c r="A106" s="1"/>
      <c r="B106" s="67">
        <v>1501</v>
      </c>
      <c r="C106" s="68">
        <v>99</v>
      </c>
      <c r="D106" s="69" t="s">
        <v>7052</v>
      </c>
      <c r="E106" s="70" t="s">
        <v>830</v>
      </c>
      <c r="G106" s="67">
        <v>1504</v>
      </c>
      <c r="H106" s="68">
        <v>99</v>
      </c>
      <c r="I106" s="69" t="s">
        <v>7053</v>
      </c>
      <c r="J106" s="70" t="s">
        <v>1494</v>
      </c>
      <c r="L106" s="67">
        <v>1507</v>
      </c>
      <c r="M106" s="68">
        <v>99</v>
      </c>
      <c r="N106" s="69" t="s">
        <v>7054</v>
      </c>
      <c r="O106" s="70" t="s">
        <v>1669</v>
      </c>
      <c r="Q106" s="41">
        <v>1603</v>
      </c>
      <c r="R106" s="42">
        <v>99</v>
      </c>
      <c r="S106" s="43" t="s">
        <v>7055</v>
      </c>
      <c r="T106" s="44" t="s">
        <v>1058</v>
      </c>
      <c r="V106" s="41">
        <v>1606</v>
      </c>
      <c r="W106" s="33">
        <v>99</v>
      </c>
      <c r="X106" s="43" t="s">
        <v>7056</v>
      </c>
      <c r="Y106" s="44" t="s">
        <v>2760</v>
      </c>
      <c r="AA106" s="41">
        <v>1609</v>
      </c>
      <c r="AB106" s="33">
        <v>99</v>
      </c>
      <c r="AC106" s="43" t="s">
        <v>46</v>
      </c>
      <c r="AD106" s="44" t="s">
        <v>46</v>
      </c>
      <c r="AF106" s="41">
        <v>1701</v>
      </c>
      <c r="AG106" s="33">
        <v>99</v>
      </c>
      <c r="AH106" s="43" t="s">
        <v>7052</v>
      </c>
      <c r="AI106" s="44" t="s">
        <v>830</v>
      </c>
      <c r="AK106" s="41">
        <v>1704</v>
      </c>
      <c r="AL106" s="33">
        <v>99</v>
      </c>
      <c r="AM106" s="43" t="s">
        <v>7053</v>
      </c>
      <c r="AN106" s="44" t="s">
        <v>1494</v>
      </c>
      <c r="AP106" s="41">
        <v>1707</v>
      </c>
      <c r="AQ106" s="33">
        <v>99</v>
      </c>
      <c r="AR106" s="43" t="s">
        <v>7054</v>
      </c>
      <c r="AS106" s="44" t="s">
        <v>1669</v>
      </c>
      <c r="AU106" s="67">
        <v>1803</v>
      </c>
      <c r="AV106" s="68">
        <v>99</v>
      </c>
      <c r="AW106" s="69" t="s">
        <v>7055</v>
      </c>
      <c r="AX106" s="70" t="s">
        <v>1058</v>
      </c>
      <c r="AZ106" s="67">
        <v>1806</v>
      </c>
      <c r="BA106" s="83">
        <v>99</v>
      </c>
      <c r="BB106" s="69" t="s">
        <v>7056</v>
      </c>
      <c r="BC106" s="70" t="s">
        <v>2760</v>
      </c>
      <c r="BE106" s="67">
        <v>1809</v>
      </c>
      <c r="BF106" s="68">
        <v>99</v>
      </c>
      <c r="BG106" s="69" t="s">
        <v>46</v>
      </c>
      <c r="BH106" s="70" t="s">
        <v>46</v>
      </c>
    </row>
    <row r="107" spans="1:60">
      <c r="A107" s="1"/>
      <c r="B107" s="67">
        <v>1501</v>
      </c>
      <c r="C107" s="68">
        <v>100</v>
      </c>
      <c r="D107" s="69" t="s">
        <v>7057</v>
      </c>
      <c r="E107" s="70" t="s">
        <v>1814</v>
      </c>
      <c r="G107" s="67">
        <v>1504</v>
      </c>
      <c r="H107" s="68">
        <v>100</v>
      </c>
      <c r="I107" s="69" t="s">
        <v>7251</v>
      </c>
      <c r="J107" s="70" t="s">
        <v>1454</v>
      </c>
      <c r="L107" s="67">
        <v>1507</v>
      </c>
      <c r="M107" s="68">
        <v>100</v>
      </c>
      <c r="N107" s="69" t="s">
        <v>7059</v>
      </c>
      <c r="O107" s="70" t="s">
        <v>2484</v>
      </c>
      <c r="Q107" s="41">
        <v>1603</v>
      </c>
      <c r="R107" s="42">
        <v>100</v>
      </c>
      <c r="S107" s="43" t="s">
        <v>7060</v>
      </c>
      <c r="T107" s="44" t="s">
        <v>1917</v>
      </c>
      <c r="V107" s="41">
        <v>1606</v>
      </c>
      <c r="W107" s="33">
        <v>100</v>
      </c>
      <c r="X107" s="43" t="s">
        <v>7061</v>
      </c>
      <c r="Y107" s="44" t="s">
        <v>3088</v>
      </c>
      <c r="AA107" s="41">
        <v>1609</v>
      </c>
      <c r="AB107" s="33">
        <v>100</v>
      </c>
      <c r="AC107" s="43" t="s">
        <v>7062</v>
      </c>
      <c r="AD107" s="44" t="s">
        <v>137</v>
      </c>
      <c r="AF107" s="41">
        <v>1701</v>
      </c>
      <c r="AG107" s="33">
        <v>100</v>
      </c>
      <c r="AH107" s="43" t="s">
        <v>7057</v>
      </c>
      <c r="AI107" s="44" t="s">
        <v>1814</v>
      </c>
      <c r="AK107" s="41">
        <v>1704</v>
      </c>
      <c r="AL107" s="33">
        <v>100</v>
      </c>
      <c r="AM107" s="43" t="s">
        <v>7251</v>
      </c>
      <c r="AN107" s="44" t="s">
        <v>1454</v>
      </c>
      <c r="AP107" s="41">
        <v>1707</v>
      </c>
      <c r="AQ107" s="33">
        <v>100</v>
      </c>
      <c r="AR107" s="43" t="s">
        <v>7059</v>
      </c>
      <c r="AS107" s="44" t="s">
        <v>2484</v>
      </c>
      <c r="AU107" s="67">
        <v>1803</v>
      </c>
      <c r="AV107" s="68">
        <v>100</v>
      </c>
      <c r="AW107" s="69" t="s">
        <v>7060</v>
      </c>
      <c r="AX107" s="70" t="s">
        <v>1917</v>
      </c>
      <c r="AZ107" s="67">
        <v>1806</v>
      </c>
      <c r="BA107" s="83">
        <v>100</v>
      </c>
      <c r="BB107" s="69" t="s">
        <v>7061</v>
      </c>
      <c r="BC107" s="70" t="s">
        <v>3088</v>
      </c>
      <c r="BE107" s="67">
        <v>1809</v>
      </c>
      <c r="BF107" s="68">
        <v>100</v>
      </c>
      <c r="BG107" s="69" t="s">
        <v>7062</v>
      </c>
      <c r="BH107" s="70" t="s">
        <v>137</v>
      </c>
    </row>
    <row r="108" spans="1:60">
      <c r="A108" s="1"/>
      <c r="B108" s="67">
        <v>1501</v>
      </c>
      <c r="C108" s="68">
        <v>101</v>
      </c>
      <c r="D108" s="69" t="s">
        <v>7063</v>
      </c>
      <c r="E108" s="70" t="s">
        <v>341</v>
      </c>
      <c r="G108" s="67">
        <v>1504</v>
      </c>
      <c r="H108" s="68">
        <v>101</v>
      </c>
      <c r="I108" s="69" t="s">
        <v>7252</v>
      </c>
      <c r="J108" s="70" t="s">
        <v>1269</v>
      </c>
      <c r="L108" s="67">
        <v>1507</v>
      </c>
      <c r="M108" s="68">
        <v>101</v>
      </c>
      <c r="N108" s="69" t="s">
        <v>7065</v>
      </c>
      <c r="O108" s="70" t="s">
        <v>1003</v>
      </c>
      <c r="Q108" s="41">
        <v>1603</v>
      </c>
      <c r="R108" s="42">
        <v>101</v>
      </c>
      <c r="S108" s="43" t="s">
        <v>7066</v>
      </c>
      <c r="T108" s="44" t="s">
        <v>2875</v>
      </c>
      <c r="V108" s="41">
        <v>1606</v>
      </c>
      <c r="W108" s="33">
        <v>101</v>
      </c>
      <c r="X108" s="43" t="s">
        <v>7067</v>
      </c>
      <c r="Y108" s="44" t="s">
        <v>4083</v>
      </c>
      <c r="AA108" s="41">
        <v>1609</v>
      </c>
      <c r="AB108" s="33">
        <v>101</v>
      </c>
      <c r="AC108" s="43" t="s">
        <v>46</v>
      </c>
      <c r="AD108" s="44" t="s">
        <v>46</v>
      </c>
      <c r="AF108" s="41">
        <v>1701</v>
      </c>
      <c r="AG108" s="33">
        <v>101</v>
      </c>
      <c r="AH108" s="43" t="s">
        <v>7063</v>
      </c>
      <c r="AI108" s="44" t="s">
        <v>341</v>
      </c>
      <c r="AK108" s="41">
        <v>1704</v>
      </c>
      <c r="AL108" s="33">
        <v>101</v>
      </c>
      <c r="AM108" s="43" t="s">
        <v>7252</v>
      </c>
      <c r="AN108" s="44" t="s">
        <v>1269</v>
      </c>
      <c r="AP108" s="41">
        <v>1707</v>
      </c>
      <c r="AQ108" s="33">
        <v>101</v>
      </c>
      <c r="AR108" s="43" t="s">
        <v>7065</v>
      </c>
      <c r="AS108" s="44" t="s">
        <v>1003</v>
      </c>
      <c r="AU108" s="67">
        <v>1803</v>
      </c>
      <c r="AV108" s="68">
        <v>101</v>
      </c>
      <c r="AW108" s="69" t="s">
        <v>7066</v>
      </c>
      <c r="AX108" s="70" t="s">
        <v>2875</v>
      </c>
      <c r="AZ108" s="67">
        <v>1806</v>
      </c>
      <c r="BA108" s="83">
        <v>101</v>
      </c>
      <c r="BB108" s="69" t="s">
        <v>7067</v>
      </c>
      <c r="BC108" s="70" t="s">
        <v>4083</v>
      </c>
      <c r="BE108" s="67">
        <v>1809</v>
      </c>
      <c r="BF108" s="68">
        <v>101</v>
      </c>
      <c r="BG108" s="69" t="s">
        <v>46</v>
      </c>
      <c r="BH108" s="70" t="s">
        <v>46</v>
      </c>
    </row>
    <row r="109" spans="1:60">
      <c r="A109" s="1"/>
      <c r="B109" s="67">
        <v>1501</v>
      </c>
      <c r="C109" s="68">
        <v>102</v>
      </c>
      <c r="D109" s="69" t="s">
        <v>46</v>
      </c>
      <c r="E109" s="70" t="s">
        <v>46</v>
      </c>
      <c r="G109" s="67">
        <v>1504</v>
      </c>
      <c r="H109" s="68">
        <v>102</v>
      </c>
      <c r="I109" s="69" t="s">
        <v>7253</v>
      </c>
      <c r="J109" s="70" t="s">
        <v>988</v>
      </c>
      <c r="L109" s="67">
        <v>1507</v>
      </c>
      <c r="M109" s="68">
        <v>102</v>
      </c>
      <c r="N109" s="69" t="s">
        <v>7069</v>
      </c>
      <c r="O109" s="70" t="s">
        <v>2476</v>
      </c>
      <c r="Q109" s="41">
        <v>1603</v>
      </c>
      <c r="R109" s="42">
        <v>102</v>
      </c>
      <c r="S109" s="43" t="s">
        <v>7070</v>
      </c>
      <c r="T109" s="44" t="s">
        <v>1908</v>
      </c>
      <c r="V109" s="41">
        <v>1606</v>
      </c>
      <c r="W109" s="33">
        <v>102</v>
      </c>
      <c r="X109" s="43" t="s">
        <v>7071</v>
      </c>
      <c r="Y109" s="44" t="s">
        <v>3012</v>
      </c>
      <c r="AA109" s="41">
        <v>1609</v>
      </c>
      <c r="AB109" s="33">
        <v>102</v>
      </c>
      <c r="AC109" s="43" t="s">
        <v>7072</v>
      </c>
      <c r="AD109" s="44" t="s">
        <v>43</v>
      </c>
      <c r="AF109" s="41">
        <v>1701</v>
      </c>
      <c r="AG109" s="33">
        <v>102</v>
      </c>
      <c r="AH109" s="43" t="s">
        <v>46</v>
      </c>
      <c r="AI109" s="44" t="s">
        <v>46</v>
      </c>
      <c r="AK109" s="41">
        <v>1704</v>
      </c>
      <c r="AL109" s="33">
        <v>102</v>
      </c>
      <c r="AM109" s="43" t="s">
        <v>7253</v>
      </c>
      <c r="AN109" s="44" t="s">
        <v>988</v>
      </c>
      <c r="AP109" s="41">
        <v>1707</v>
      </c>
      <c r="AQ109" s="33">
        <v>102</v>
      </c>
      <c r="AR109" s="43" t="s">
        <v>7069</v>
      </c>
      <c r="AS109" s="44" t="s">
        <v>2476</v>
      </c>
      <c r="AU109" s="67">
        <v>1803</v>
      </c>
      <c r="AV109" s="68">
        <v>102</v>
      </c>
      <c r="AW109" s="69" t="s">
        <v>7070</v>
      </c>
      <c r="AX109" s="70" t="s">
        <v>1908</v>
      </c>
      <c r="AZ109" s="67">
        <v>1806</v>
      </c>
      <c r="BA109" s="83">
        <v>102</v>
      </c>
      <c r="BB109" s="69" t="s">
        <v>7071</v>
      </c>
      <c r="BC109" s="70" t="s">
        <v>3012</v>
      </c>
      <c r="BE109" s="67">
        <v>1809</v>
      </c>
      <c r="BF109" s="68">
        <v>102</v>
      </c>
      <c r="BG109" s="69" t="s">
        <v>7072</v>
      </c>
      <c r="BH109" s="70" t="s">
        <v>43</v>
      </c>
    </row>
    <row r="110" spans="1:60">
      <c r="A110" s="1"/>
      <c r="B110" s="67">
        <v>1501</v>
      </c>
      <c r="C110" s="68">
        <v>103</v>
      </c>
      <c r="D110" s="69" t="s">
        <v>7073</v>
      </c>
      <c r="E110" s="70" t="s">
        <v>621</v>
      </c>
      <c r="G110" s="67">
        <v>1504</v>
      </c>
      <c r="H110" s="68">
        <v>103</v>
      </c>
      <c r="I110" s="69" t="s">
        <v>7074</v>
      </c>
      <c r="J110" s="70" t="s">
        <v>2633</v>
      </c>
      <c r="L110" s="67">
        <v>1507</v>
      </c>
      <c r="M110" s="68">
        <v>103</v>
      </c>
      <c r="N110" s="69" t="s">
        <v>7075</v>
      </c>
      <c r="O110" s="70" t="s">
        <v>2371</v>
      </c>
      <c r="Q110" s="41">
        <v>1603</v>
      </c>
      <c r="R110" s="42">
        <v>103</v>
      </c>
      <c r="S110" s="43" t="s">
        <v>46</v>
      </c>
      <c r="T110" s="44" t="s">
        <v>46</v>
      </c>
      <c r="V110" s="41">
        <v>1606</v>
      </c>
      <c r="W110" s="33">
        <v>103</v>
      </c>
      <c r="X110" s="43" t="s">
        <v>7076</v>
      </c>
      <c r="Y110" s="44" t="s">
        <v>3433</v>
      </c>
      <c r="AA110" s="41">
        <v>1609</v>
      </c>
      <c r="AB110" s="33">
        <v>103</v>
      </c>
      <c r="AC110" s="43" t="s">
        <v>46</v>
      </c>
      <c r="AD110" s="44" t="s">
        <v>46</v>
      </c>
      <c r="AF110" s="41">
        <v>1701</v>
      </c>
      <c r="AG110" s="33">
        <v>103</v>
      </c>
      <c r="AH110" s="43" t="s">
        <v>7073</v>
      </c>
      <c r="AI110" s="44" t="s">
        <v>621</v>
      </c>
      <c r="AK110" s="41">
        <v>1704</v>
      </c>
      <c r="AL110" s="33">
        <v>103</v>
      </c>
      <c r="AM110" s="43" t="s">
        <v>7074</v>
      </c>
      <c r="AN110" s="44" t="s">
        <v>2633</v>
      </c>
      <c r="AP110" s="41">
        <v>1707</v>
      </c>
      <c r="AQ110" s="33">
        <v>103</v>
      </c>
      <c r="AR110" s="43" t="s">
        <v>7075</v>
      </c>
      <c r="AS110" s="44" t="s">
        <v>2371</v>
      </c>
      <c r="AU110" s="67">
        <v>1803</v>
      </c>
      <c r="AV110" s="68">
        <v>103</v>
      </c>
      <c r="AW110" s="69" t="s">
        <v>46</v>
      </c>
      <c r="AX110" s="70" t="s">
        <v>46</v>
      </c>
      <c r="AZ110" s="67">
        <v>1806</v>
      </c>
      <c r="BA110" s="83">
        <v>103</v>
      </c>
      <c r="BB110" s="69" t="s">
        <v>7076</v>
      </c>
      <c r="BC110" s="70" t="s">
        <v>3433</v>
      </c>
      <c r="BE110" s="67">
        <v>1809</v>
      </c>
      <c r="BF110" s="68">
        <v>103</v>
      </c>
      <c r="BG110" s="69" t="s">
        <v>46</v>
      </c>
      <c r="BH110" s="70" t="s">
        <v>46</v>
      </c>
    </row>
    <row r="111" spans="1:60">
      <c r="A111" s="1"/>
      <c r="B111" s="67">
        <v>1501</v>
      </c>
      <c r="C111" s="68">
        <v>104</v>
      </c>
      <c r="D111" s="69" t="s">
        <v>7077</v>
      </c>
      <c r="E111" s="70" t="s">
        <v>1499</v>
      </c>
      <c r="G111" s="67">
        <v>1504</v>
      </c>
      <c r="H111" s="68">
        <v>104</v>
      </c>
      <c r="I111" s="69" t="s">
        <v>7078</v>
      </c>
      <c r="J111" s="70" t="s">
        <v>2220</v>
      </c>
      <c r="L111" s="67">
        <v>1507</v>
      </c>
      <c r="M111" s="68">
        <v>104</v>
      </c>
      <c r="N111" s="69" t="s">
        <v>7079</v>
      </c>
      <c r="O111" s="70" t="s">
        <v>3387</v>
      </c>
      <c r="Q111" s="41">
        <v>1603</v>
      </c>
      <c r="R111" s="42">
        <v>104</v>
      </c>
      <c r="S111" s="43" t="s">
        <v>46</v>
      </c>
      <c r="T111" s="44" t="s">
        <v>46</v>
      </c>
      <c r="V111" s="41">
        <v>1606</v>
      </c>
      <c r="W111" s="33">
        <v>104</v>
      </c>
      <c r="X111" s="43" t="s">
        <v>7080</v>
      </c>
      <c r="Y111" s="44" t="s">
        <v>3450</v>
      </c>
      <c r="AA111" s="41">
        <v>1609</v>
      </c>
      <c r="AB111" s="33">
        <v>104</v>
      </c>
      <c r="AC111" s="43" t="s">
        <v>7081</v>
      </c>
      <c r="AD111" s="44" t="s">
        <v>2822</v>
      </c>
      <c r="AF111" s="41">
        <v>1701</v>
      </c>
      <c r="AG111" s="33">
        <v>104</v>
      </c>
      <c r="AH111" s="43" t="s">
        <v>7077</v>
      </c>
      <c r="AI111" s="44" t="s">
        <v>1499</v>
      </c>
      <c r="AK111" s="41">
        <v>1704</v>
      </c>
      <c r="AL111" s="33">
        <v>104</v>
      </c>
      <c r="AM111" s="43" t="s">
        <v>7078</v>
      </c>
      <c r="AN111" s="44" t="s">
        <v>2220</v>
      </c>
      <c r="AP111" s="41">
        <v>1707</v>
      </c>
      <c r="AQ111" s="33">
        <v>104</v>
      </c>
      <c r="AR111" s="43" t="s">
        <v>7079</v>
      </c>
      <c r="AS111" s="44" t="s">
        <v>3387</v>
      </c>
      <c r="AU111" s="67">
        <v>1803</v>
      </c>
      <c r="AV111" s="68">
        <v>104</v>
      </c>
      <c r="AW111" s="69" t="s">
        <v>46</v>
      </c>
      <c r="AX111" s="70" t="s">
        <v>46</v>
      </c>
      <c r="AZ111" s="67">
        <v>1806</v>
      </c>
      <c r="BA111" s="83">
        <v>104</v>
      </c>
      <c r="BB111" s="69" t="s">
        <v>7080</v>
      </c>
      <c r="BC111" s="70" t="s">
        <v>3450</v>
      </c>
      <c r="BE111" s="67">
        <v>1809</v>
      </c>
      <c r="BF111" s="68">
        <v>104</v>
      </c>
      <c r="BG111" s="69" t="s">
        <v>7081</v>
      </c>
      <c r="BH111" s="70" t="s">
        <v>2822</v>
      </c>
    </row>
    <row r="112" spans="1:60">
      <c r="A112" s="1"/>
      <c r="B112" s="67">
        <v>1501</v>
      </c>
      <c r="C112" s="68">
        <v>105</v>
      </c>
      <c r="D112" s="69" t="s">
        <v>7082</v>
      </c>
      <c r="E112" s="70" t="s">
        <v>693</v>
      </c>
      <c r="G112" s="67">
        <v>1504</v>
      </c>
      <c r="H112" s="68">
        <v>105</v>
      </c>
      <c r="I112" s="69" t="s">
        <v>7083</v>
      </c>
      <c r="J112" s="70" t="s">
        <v>2643</v>
      </c>
      <c r="L112" s="67">
        <v>1507</v>
      </c>
      <c r="M112" s="68">
        <v>105</v>
      </c>
      <c r="N112" s="69" t="s">
        <v>7084</v>
      </c>
      <c r="O112" s="70" t="s">
        <v>2379</v>
      </c>
      <c r="Q112" s="41">
        <v>1603</v>
      </c>
      <c r="R112" s="42">
        <v>105</v>
      </c>
      <c r="S112" s="43" t="s">
        <v>7085</v>
      </c>
      <c r="T112" s="44" t="s">
        <v>1594</v>
      </c>
      <c r="V112" s="41">
        <v>1606</v>
      </c>
      <c r="W112" s="33">
        <v>105</v>
      </c>
      <c r="X112" s="43" t="s">
        <v>7086</v>
      </c>
      <c r="Y112" s="44" t="s">
        <v>3423</v>
      </c>
      <c r="AA112" s="41">
        <v>1609</v>
      </c>
      <c r="AB112" s="33">
        <v>105</v>
      </c>
      <c r="AC112" s="43" t="s">
        <v>46</v>
      </c>
      <c r="AD112" s="44" t="s">
        <v>46</v>
      </c>
      <c r="AF112" s="41">
        <v>1701</v>
      </c>
      <c r="AG112" s="33">
        <v>105</v>
      </c>
      <c r="AH112" s="43" t="s">
        <v>7082</v>
      </c>
      <c r="AI112" s="44" t="s">
        <v>693</v>
      </c>
      <c r="AK112" s="41">
        <v>1704</v>
      </c>
      <c r="AL112" s="33">
        <v>105</v>
      </c>
      <c r="AM112" s="43" t="s">
        <v>7083</v>
      </c>
      <c r="AN112" s="44" t="s">
        <v>2643</v>
      </c>
      <c r="AP112" s="41">
        <v>1707</v>
      </c>
      <c r="AQ112" s="33">
        <v>105</v>
      </c>
      <c r="AR112" s="43" t="s">
        <v>7084</v>
      </c>
      <c r="AS112" s="44" t="s">
        <v>2379</v>
      </c>
      <c r="AU112" s="67">
        <v>1803</v>
      </c>
      <c r="AV112" s="68">
        <v>105</v>
      </c>
      <c r="AW112" s="69" t="s">
        <v>7085</v>
      </c>
      <c r="AX112" s="70" t="s">
        <v>1594</v>
      </c>
      <c r="AZ112" s="67">
        <v>1806</v>
      </c>
      <c r="BA112" s="83">
        <v>105</v>
      </c>
      <c r="BB112" s="69" t="s">
        <v>7086</v>
      </c>
      <c r="BC112" s="70" t="s">
        <v>3423</v>
      </c>
      <c r="BE112" s="67">
        <v>1809</v>
      </c>
      <c r="BF112" s="68">
        <v>105</v>
      </c>
      <c r="BG112" s="69" t="s">
        <v>46</v>
      </c>
      <c r="BH112" s="70" t="s">
        <v>46</v>
      </c>
    </row>
    <row r="113" spans="1:60">
      <c r="A113" s="1"/>
      <c r="B113" s="67">
        <v>1501</v>
      </c>
      <c r="C113" s="68">
        <v>106</v>
      </c>
      <c r="D113" s="69" t="s">
        <v>7087</v>
      </c>
      <c r="E113" s="70" t="s">
        <v>1539</v>
      </c>
      <c r="G113" s="67">
        <v>1504</v>
      </c>
      <c r="H113" s="68">
        <v>106</v>
      </c>
      <c r="I113" s="69" t="s">
        <v>7088</v>
      </c>
      <c r="J113" s="70" t="s">
        <v>2210</v>
      </c>
      <c r="L113" s="67">
        <v>1507</v>
      </c>
      <c r="M113" s="68">
        <v>106</v>
      </c>
      <c r="N113" s="69" t="s">
        <v>7089</v>
      </c>
      <c r="O113" s="70" t="s">
        <v>3397</v>
      </c>
      <c r="Q113" s="41">
        <v>1603</v>
      </c>
      <c r="R113" s="42">
        <v>106</v>
      </c>
      <c r="S113" s="43" t="s">
        <v>46</v>
      </c>
      <c r="T113" s="44" t="s">
        <v>46</v>
      </c>
      <c r="V113" s="41">
        <v>1606</v>
      </c>
      <c r="W113" s="33">
        <v>106</v>
      </c>
      <c r="X113" s="43" t="s">
        <v>7090</v>
      </c>
      <c r="Y113" s="44" t="s">
        <v>3442</v>
      </c>
      <c r="AA113" s="41">
        <v>1609</v>
      </c>
      <c r="AB113" s="33">
        <v>106</v>
      </c>
      <c r="AC113" s="43" t="s">
        <v>7091</v>
      </c>
      <c r="AD113" s="44" t="s">
        <v>1809</v>
      </c>
      <c r="AF113" s="41">
        <v>1701</v>
      </c>
      <c r="AG113" s="33">
        <v>106</v>
      </c>
      <c r="AH113" s="43" t="s">
        <v>7087</v>
      </c>
      <c r="AI113" s="44" t="s">
        <v>1539</v>
      </c>
      <c r="AK113" s="41">
        <v>1704</v>
      </c>
      <c r="AL113" s="33">
        <v>106</v>
      </c>
      <c r="AM113" s="43" t="s">
        <v>7088</v>
      </c>
      <c r="AN113" s="44" t="s">
        <v>2210</v>
      </c>
      <c r="AP113" s="41">
        <v>1707</v>
      </c>
      <c r="AQ113" s="33">
        <v>106</v>
      </c>
      <c r="AR113" s="43" t="s">
        <v>7089</v>
      </c>
      <c r="AS113" s="44" t="s">
        <v>3397</v>
      </c>
      <c r="AU113" s="67">
        <v>1803</v>
      </c>
      <c r="AV113" s="68">
        <v>106</v>
      </c>
      <c r="AW113" s="69" t="s">
        <v>46</v>
      </c>
      <c r="AX113" s="70" t="s">
        <v>46</v>
      </c>
      <c r="AZ113" s="67">
        <v>1806</v>
      </c>
      <c r="BA113" s="83">
        <v>106</v>
      </c>
      <c r="BB113" s="69" t="s">
        <v>7090</v>
      </c>
      <c r="BC113" s="70" t="s">
        <v>3442</v>
      </c>
      <c r="BE113" s="67">
        <v>1809</v>
      </c>
      <c r="BF113" s="68">
        <v>106</v>
      </c>
      <c r="BG113" s="69" t="s">
        <v>7091</v>
      </c>
      <c r="BH113" s="70" t="s">
        <v>1809</v>
      </c>
    </row>
    <row r="114" spans="1:60">
      <c r="A114" s="1"/>
      <c r="B114" s="67">
        <v>1501</v>
      </c>
      <c r="C114" s="68">
        <v>107</v>
      </c>
      <c r="D114" s="69" t="s">
        <v>7254</v>
      </c>
      <c r="E114" s="70" t="s">
        <v>1409</v>
      </c>
      <c r="G114" s="67">
        <v>1504</v>
      </c>
      <c r="H114" s="68">
        <v>107</v>
      </c>
      <c r="I114" s="69" t="s">
        <v>7093</v>
      </c>
      <c r="J114" s="70" t="s">
        <v>616</v>
      </c>
      <c r="L114" s="67">
        <v>1507</v>
      </c>
      <c r="M114" s="68">
        <v>107</v>
      </c>
      <c r="N114" s="69" t="s">
        <v>7094</v>
      </c>
      <c r="O114" s="70" t="s">
        <v>3371</v>
      </c>
      <c r="Q114" s="41">
        <v>1603</v>
      </c>
      <c r="R114" s="42">
        <v>107</v>
      </c>
      <c r="S114" s="43" t="s">
        <v>7095</v>
      </c>
      <c r="T114" s="44" t="s">
        <v>1764</v>
      </c>
      <c r="V114" s="41">
        <v>1606</v>
      </c>
      <c r="W114" s="33">
        <v>107</v>
      </c>
      <c r="X114" s="43" t="s">
        <v>7096</v>
      </c>
      <c r="Y114" s="44" t="s">
        <v>3098</v>
      </c>
      <c r="AA114" s="41">
        <v>1609</v>
      </c>
      <c r="AB114" s="33">
        <v>107</v>
      </c>
      <c r="AC114" s="43" t="s">
        <v>7097</v>
      </c>
      <c r="AD114" s="44" t="s">
        <v>147</v>
      </c>
      <c r="AF114" s="41">
        <v>1701</v>
      </c>
      <c r="AG114" s="33">
        <v>107</v>
      </c>
      <c r="AH114" s="43" t="s">
        <v>7254</v>
      </c>
      <c r="AI114" s="44" t="s">
        <v>1409</v>
      </c>
      <c r="AK114" s="41">
        <v>1704</v>
      </c>
      <c r="AL114" s="33">
        <v>107</v>
      </c>
      <c r="AM114" s="43" t="s">
        <v>7093</v>
      </c>
      <c r="AN114" s="44" t="s">
        <v>616</v>
      </c>
      <c r="AP114" s="41">
        <v>1707</v>
      </c>
      <c r="AQ114" s="33">
        <v>107</v>
      </c>
      <c r="AR114" s="43" t="s">
        <v>7094</v>
      </c>
      <c r="AS114" s="44" t="s">
        <v>3371</v>
      </c>
      <c r="AU114" s="67">
        <v>1803</v>
      </c>
      <c r="AV114" s="68">
        <v>107</v>
      </c>
      <c r="AW114" s="69" t="s">
        <v>7095</v>
      </c>
      <c r="AX114" s="70" t="s">
        <v>1764</v>
      </c>
      <c r="AZ114" s="67">
        <v>1806</v>
      </c>
      <c r="BA114" s="83">
        <v>107</v>
      </c>
      <c r="BB114" s="69" t="s">
        <v>7096</v>
      </c>
      <c r="BC114" s="70" t="s">
        <v>3098</v>
      </c>
      <c r="BE114" s="67">
        <v>1809</v>
      </c>
      <c r="BF114" s="68">
        <v>107</v>
      </c>
      <c r="BG114" s="69" t="s">
        <v>7097</v>
      </c>
      <c r="BH114" s="70" t="s">
        <v>147</v>
      </c>
    </row>
    <row r="115" spans="1:60">
      <c r="A115" s="1"/>
      <c r="B115" s="67">
        <v>1501</v>
      </c>
      <c r="C115" s="68">
        <v>108</v>
      </c>
      <c r="D115" s="69" t="s">
        <v>7255</v>
      </c>
      <c r="E115" s="70" t="s">
        <v>1449</v>
      </c>
      <c r="G115" s="67">
        <v>1504</v>
      </c>
      <c r="H115" s="68">
        <v>108</v>
      </c>
      <c r="I115" s="69" t="s">
        <v>7099</v>
      </c>
      <c r="J115" s="70" t="s">
        <v>2264</v>
      </c>
      <c r="L115" s="67">
        <v>1507</v>
      </c>
      <c r="M115" s="68">
        <v>108</v>
      </c>
      <c r="N115" s="69" t="s">
        <v>7100</v>
      </c>
      <c r="O115" s="70" t="s">
        <v>572</v>
      </c>
      <c r="Q115" s="41">
        <v>1603</v>
      </c>
      <c r="R115" s="42">
        <v>108</v>
      </c>
      <c r="S115" s="43" t="s">
        <v>46</v>
      </c>
      <c r="T115" s="44" t="s">
        <v>46</v>
      </c>
      <c r="V115" s="41">
        <v>1606</v>
      </c>
      <c r="W115" s="33">
        <v>108</v>
      </c>
      <c r="X115" s="43" t="s">
        <v>7101</v>
      </c>
      <c r="Y115" s="44" t="s">
        <v>3060</v>
      </c>
      <c r="AA115" s="41">
        <v>1609</v>
      </c>
      <c r="AB115" s="33">
        <v>108</v>
      </c>
      <c r="AC115" s="43" t="s">
        <v>7102</v>
      </c>
      <c r="AD115" s="44" t="s">
        <v>207</v>
      </c>
      <c r="AF115" s="41">
        <v>1701</v>
      </c>
      <c r="AG115" s="33">
        <v>108</v>
      </c>
      <c r="AH115" s="43" t="s">
        <v>7255</v>
      </c>
      <c r="AI115" s="44" t="s">
        <v>1449</v>
      </c>
      <c r="AK115" s="41">
        <v>1704</v>
      </c>
      <c r="AL115" s="33">
        <v>108</v>
      </c>
      <c r="AM115" s="43" t="s">
        <v>7099</v>
      </c>
      <c r="AN115" s="44" t="s">
        <v>2264</v>
      </c>
      <c r="AP115" s="41">
        <v>1707</v>
      </c>
      <c r="AQ115" s="33">
        <v>108</v>
      </c>
      <c r="AR115" s="43" t="s">
        <v>7100</v>
      </c>
      <c r="AS115" s="44" t="s">
        <v>572</v>
      </c>
      <c r="AU115" s="67">
        <v>1803</v>
      </c>
      <c r="AV115" s="68">
        <v>108</v>
      </c>
      <c r="AW115" s="69" t="s">
        <v>46</v>
      </c>
      <c r="AX115" s="70" t="s">
        <v>46</v>
      </c>
      <c r="AZ115" s="67">
        <v>1806</v>
      </c>
      <c r="BA115" s="83">
        <v>108</v>
      </c>
      <c r="BB115" s="69" t="s">
        <v>7101</v>
      </c>
      <c r="BC115" s="70" t="s">
        <v>3060</v>
      </c>
      <c r="BE115" s="67">
        <v>1809</v>
      </c>
      <c r="BF115" s="68">
        <v>108</v>
      </c>
      <c r="BG115" s="69" t="s">
        <v>7102</v>
      </c>
      <c r="BH115" s="70" t="s">
        <v>207</v>
      </c>
    </row>
    <row r="116" spans="1:60">
      <c r="A116" s="1"/>
      <c r="B116" s="67">
        <v>1501</v>
      </c>
      <c r="C116" s="68">
        <v>109</v>
      </c>
      <c r="D116" s="69" t="s">
        <v>7103</v>
      </c>
      <c r="E116" s="70" t="s">
        <v>1639</v>
      </c>
      <c r="G116" s="67">
        <v>1504</v>
      </c>
      <c r="H116" s="68">
        <v>109</v>
      </c>
      <c r="I116" s="69" t="s">
        <v>7104</v>
      </c>
      <c r="J116" s="70" t="s">
        <v>610</v>
      </c>
      <c r="L116" s="67">
        <v>1507</v>
      </c>
      <c r="M116" s="68">
        <v>109</v>
      </c>
      <c r="N116" s="69" t="s">
        <v>7105</v>
      </c>
      <c r="O116" s="70" t="s">
        <v>3206</v>
      </c>
      <c r="Q116" s="41">
        <v>1603</v>
      </c>
      <c r="R116" s="42">
        <v>109</v>
      </c>
      <c r="S116" s="43" t="s">
        <v>7106</v>
      </c>
      <c r="T116" s="44" t="s">
        <v>1754</v>
      </c>
      <c r="V116" s="41">
        <v>1606</v>
      </c>
      <c r="W116" s="33">
        <v>109</v>
      </c>
      <c r="X116" s="43" t="s">
        <v>7107</v>
      </c>
      <c r="Y116" s="44" t="s">
        <v>3024</v>
      </c>
      <c r="AA116" s="41">
        <v>1609</v>
      </c>
      <c r="AB116" s="33">
        <v>109</v>
      </c>
      <c r="AC116" s="43" t="s">
        <v>7108</v>
      </c>
      <c r="AD116" s="44" t="s">
        <v>64</v>
      </c>
      <c r="AF116" s="41">
        <v>1701</v>
      </c>
      <c r="AG116" s="33">
        <v>109</v>
      </c>
      <c r="AH116" s="43" t="s">
        <v>7103</v>
      </c>
      <c r="AI116" s="44" t="s">
        <v>1639</v>
      </c>
      <c r="AK116" s="41">
        <v>1704</v>
      </c>
      <c r="AL116" s="33">
        <v>109</v>
      </c>
      <c r="AM116" s="43" t="s">
        <v>7104</v>
      </c>
      <c r="AN116" s="44" t="s">
        <v>610</v>
      </c>
      <c r="AP116" s="41">
        <v>1707</v>
      </c>
      <c r="AQ116" s="33">
        <v>109</v>
      </c>
      <c r="AR116" s="43" t="s">
        <v>7105</v>
      </c>
      <c r="AS116" s="44" t="s">
        <v>3206</v>
      </c>
      <c r="AU116" s="67">
        <v>1803</v>
      </c>
      <c r="AV116" s="68">
        <v>109</v>
      </c>
      <c r="AW116" s="69" t="s">
        <v>7106</v>
      </c>
      <c r="AX116" s="70" t="s">
        <v>1754</v>
      </c>
      <c r="AZ116" s="67">
        <v>1806</v>
      </c>
      <c r="BA116" s="83">
        <v>109</v>
      </c>
      <c r="BB116" s="69" t="s">
        <v>7107</v>
      </c>
      <c r="BC116" s="70" t="s">
        <v>3024</v>
      </c>
      <c r="BE116" s="67">
        <v>1809</v>
      </c>
      <c r="BF116" s="68">
        <v>109</v>
      </c>
      <c r="BG116" s="69" t="s">
        <v>7108</v>
      </c>
      <c r="BH116" s="70" t="s">
        <v>64</v>
      </c>
    </row>
    <row r="117" spans="1:60">
      <c r="A117" s="1"/>
      <c r="B117" s="67">
        <v>1501</v>
      </c>
      <c r="C117" s="68">
        <v>110</v>
      </c>
      <c r="D117" s="69" t="s">
        <v>7256</v>
      </c>
      <c r="E117" s="70" t="s">
        <v>948</v>
      </c>
      <c r="G117" s="67">
        <v>1504</v>
      </c>
      <c r="H117" s="68">
        <v>110</v>
      </c>
      <c r="I117" s="69" t="s">
        <v>7110</v>
      </c>
      <c r="J117" s="70" t="s">
        <v>2273</v>
      </c>
      <c r="L117" s="67">
        <v>1507</v>
      </c>
      <c r="M117" s="68">
        <v>110</v>
      </c>
      <c r="N117" s="69" t="s">
        <v>7111</v>
      </c>
      <c r="O117" s="70" t="s">
        <v>581</v>
      </c>
      <c r="Q117" s="41">
        <v>1603</v>
      </c>
      <c r="R117" s="42">
        <v>110</v>
      </c>
      <c r="S117" s="43" t="s">
        <v>46</v>
      </c>
      <c r="T117" s="44" t="s">
        <v>46</v>
      </c>
      <c r="V117" s="41">
        <v>1606</v>
      </c>
      <c r="W117" s="33">
        <v>110</v>
      </c>
      <c r="X117" s="43" t="s">
        <v>7112</v>
      </c>
      <c r="Y117" s="44" t="s">
        <v>2974</v>
      </c>
      <c r="AA117" s="41">
        <v>1609</v>
      </c>
      <c r="AB117" s="33">
        <v>110</v>
      </c>
      <c r="AC117" s="43" t="s">
        <v>7113</v>
      </c>
      <c r="AD117" s="44" t="s">
        <v>214</v>
      </c>
      <c r="AF117" s="41">
        <v>1701</v>
      </c>
      <c r="AG117" s="33">
        <v>110</v>
      </c>
      <c r="AH117" s="43" t="s">
        <v>7256</v>
      </c>
      <c r="AI117" s="44" t="s">
        <v>948</v>
      </c>
      <c r="AK117" s="41">
        <v>1704</v>
      </c>
      <c r="AL117" s="33">
        <v>110</v>
      </c>
      <c r="AM117" s="43" t="s">
        <v>7110</v>
      </c>
      <c r="AN117" s="44" t="s">
        <v>2273</v>
      </c>
      <c r="AP117" s="41">
        <v>1707</v>
      </c>
      <c r="AQ117" s="33">
        <v>110</v>
      </c>
      <c r="AR117" s="43" t="s">
        <v>7111</v>
      </c>
      <c r="AS117" s="44" t="s">
        <v>581</v>
      </c>
      <c r="AU117" s="67">
        <v>1803</v>
      </c>
      <c r="AV117" s="68">
        <v>110</v>
      </c>
      <c r="AW117" s="69" t="s">
        <v>46</v>
      </c>
      <c r="AX117" s="70" t="s">
        <v>46</v>
      </c>
      <c r="AZ117" s="67">
        <v>1806</v>
      </c>
      <c r="BA117" s="83">
        <v>110</v>
      </c>
      <c r="BB117" s="69" t="s">
        <v>7112</v>
      </c>
      <c r="BC117" s="70" t="s">
        <v>2974</v>
      </c>
      <c r="BE117" s="67">
        <v>1809</v>
      </c>
      <c r="BF117" s="68">
        <v>110</v>
      </c>
      <c r="BG117" s="69" t="s">
        <v>7113</v>
      </c>
      <c r="BH117" s="70" t="s">
        <v>214</v>
      </c>
    </row>
    <row r="118" spans="1:60">
      <c r="A118" s="1"/>
      <c r="B118" s="67">
        <v>1501</v>
      </c>
      <c r="C118" s="68">
        <v>111</v>
      </c>
      <c r="D118" s="69" t="s">
        <v>7114</v>
      </c>
      <c r="E118" s="70" t="s">
        <v>1068</v>
      </c>
      <c r="G118" s="67">
        <v>1504</v>
      </c>
      <c r="H118" s="68">
        <v>111</v>
      </c>
      <c r="I118" s="69" t="s">
        <v>46</v>
      </c>
      <c r="J118" s="70" t="s">
        <v>46</v>
      </c>
      <c r="L118" s="67">
        <v>1507</v>
      </c>
      <c r="M118" s="68">
        <v>111</v>
      </c>
      <c r="N118" s="69" t="s">
        <v>7115</v>
      </c>
      <c r="O118" s="70" t="s">
        <v>3362</v>
      </c>
      <c r="Q118" s="41">
        <v>1603</v>
      </c>
      <c r="R118" s="42">
        <v>111</v>
      </c>
      <c r="S118" s="43" t="s">
        <v>46</v>
      </c>
      <c r="T118" s="44" t="s">
        <v>46</v>
      </c>
      <c r="V118" s="41">
        <v>1606</v>
      </c>
      <c r="W118" s="33">
        <v>111</v>
      </c>
      <c r="X118" s="43" t="s">
        <v>7116</v>
      </c>
      <c r="Y118" s="44" t="s">
        <v>3284</v>
      </c>
      <c r="AA118" s="41">
        <v>1609</v>
      </c>
      <c r="AB118" s="33">
        <v>111</v>
      </c>
      <c r="AC118" s="43" t="s">
        <v>7117</v>
      </c>
      <c r="AD118" s="44" t="s">
        <v>84</v>
      </c>
      <c r="AF118" s="41">
        <v>1701</v>
      </c>
      <c r="AG118" s="33">
        <v>111</v>
      </c>
      <c r="AH118" s="43" t="s">
        <v>7114</v>
      </c>
      <c r="AI118" s="44" t="s">
        <v>1068</v>
      </c>
      <c r="AK118" s="41">
        <v>1704</v>
      </c>
      <c r="AL118" s="33">
        <v>111</v>
      </c>
      <c r="AM118" s="43" t="s">
        <v>46</v>
      </c>
      <c r="AN118" s="44" t="s">
        <v>46</v>
      </c>
      <c r="AP118" s="41">
        <v>1707</v>
      </c>
      <c r="AQ118" s="33">
        <v>111</v>
      </c>
      <c r="AR118" s="43" t="s">
        <v>7115</v>
      </c>
      <c r="AS118" s="44" t="s">
        <v>3362</v>
      </c>
      <c r="AU118" s="67">
        <v>1803</v>
      </c>
      <c r="AV118" s="68">
        <v>111</v>
      </c>
      <c r="AW118" s="69" t="s">
        <v>46</v>
      </c>
      <c r="AX118" s="70" t="s">
        <v>46</v>
      </c>
      <c r="AZ118" s="67">
        <v>1806</v>
      </c>
      <c r="BA118" s="83">
        <v>111</v>
      </c>
      <c r="BB118" s="69" t="s">
        <v>7116</v>
      </c>
      <c r="BC118" s="70" t="s">
        <v>3284</v>
      </c>
      <c r="BE118" s="67">
        <v>1809</v>
      </c>
      <c r="BF118" s="68">
        <v>111</v>
      </c>
      <c r="BG118" s="69" t="s">
        <v>7117</v>
      </c>
      <c r="BH118" s="70" t="s">
        <v>84</v>
      </c>
    </row>
    <row r="119" spans="1:60" ht="15" thickBot="1">
      <c r="A119" s="1"/>
      <c r="B119" s="71">
        <v>1501</v>
      </c>
      <c r="C119" s="72">
        <v>112</v>
      </c>
      <c r="D119" s="73" t="s">
        <v>7118</v>
      </c>
      <c r="E119" s="74" t="s">
        <v>1018</v>
      </c>
      <c r="G119" s="71">
        <v>1504</v>
      </c>
      <c r="H119" s="72">
        <v>112</v>
      </c>
      <c r="I119" s="73" t="s">
        <v>7119</v>
      </c>
      <c r="J119" s="74" t="s">
        <v>2123</v>
      </c>
      <c r="L119" s="71">
        <v>1507</v>
      </c>
      <c r="M119" s="72">
        <v>112</v>
      </c>
      <c r="N119" s="73" t="s">
        <v>46</v>
      </c>
      <c r="O119" s="74" t="s">
        <v>46</v>
      </c>
      <c r="Q119" s="45">
        <v>1603</v>
      </c>
      <c r="R119" s="46">
        <v>112</v>
      </c>
      <c r="S119" s="47" t="s">
        <v>7120</v>
      </c>
      <c r="T119" s="48" t="s">
        <v>277</v>
      </c>
      <c r="V119" s="45">
        <v>1606</v>
      </c>
      <c r="W119" s="57">
        <v>112</v>
      </c>
      <c r="X119" s="47" t="s">
        <v>7121</v>
      </c>
      <c r="Y119" s="48" t="s">
        <v>3093</v>
      </c>
      <c r="AA119" s="45">
        <v>1609</v>
      </c>
      <c r="AB119" s="57">
        <v>112</v>
      </c>
      <c r="AC119" s="47" t="s">
        <v>7122</v>
      </c>
      <c r="AD119" s="48" t="s">
        <v>142</v>
      </c>
      <c r="AF119" s="45">
        <v>1701</v>
      </c>
      <c r="AG119" s="57">
        <v>112</v>
      </c>
      <c r="AH119" s="47" t="s">
        <v>7118</v>
      </c>
      <c r="AI119" s="48" t="s">
        <v>1018</v>
      </c>
      <c r="AK119" s="45">
        <v>1704</v>
      </c>
      <c r="AL119" s="57">
        <v>112</v>
      </c>
      <c r="AM119" s="47" t="s">
        <v>7119</v>
      </c>
      <c r="AN119" s="48" t="s">
        <v>2123</v>
      </c>
      <c r="AP119" s="45">
        <v>1707</v>
      </c>
      <c r="AQ119" s="57">
        <v>112</v>
      </c>
      <c r="AR119" s="47" t="s">
        <v>46</v>
      </c>
      <c r="AS119" s="48" t="s">
        <v>46</v>
      </c>
      <c r="AU119" s="71">
        <v>1803</v>
      </c>
      <c r="AV119" s="72">
        <v>112</v>
      </c>
      <c r="AW119" s="73" t="s">
        <v>7120</v>
      </c>
      <c r="AX119" s="74" t="s">
        <v>277</v>
      </c>
      <c r="AZ119" s="71">
        <v>1806</v>
      </c>
      <c r="BA119" s="84">
        <v>112</v>
      </c>
      <c r="BB119" s="73" t="s">
        <v>7121</v>
      </c>
      <c r="BC119" s="74" t="s">
        <v>3093</v>
      </c>
      <c r="BE119" s="71">
        <v>1809</v>
      </c>
      <c r="BF119" s="72">
        <v>112</v>
      </c>
      <c r="BG119" s="73" t="s">
        <v>7122</v>
      </c>
      <c r="BH119" s="74" t="s">
        <v>142</v>
      </c>
    </row>
    <row r="120" spans="1:60">
      <c r="A120" s="1"/>
      <c r="B120" s="63">
        <v>1501</v>
      </c>
      <c r="C120" s="64">
        <v>113</v>
      </c>
      <c r="D120" s="77" t="s">
        <v>7257</v>
      </c>
      <c r="E120" s="66" t="s">
        <v>963</v>
      </c>
      <c r="G120" s="63">
        <v>1504</v>
      </c>
      <c r="H120" s="64">
        <v>113</v>
      </c>
      <c r="I120" s="77" t="s">
        <v>7124</v>
      </c>
      <c r="J120" s="66" t="s">
        <v>2237</v>
      </c>
      <c r="L120" s="63">
        <v>1507</v>
      </c>
      <c r="M120" s="64">
        <v>113</v>
      </c>
      <c r="N120" s="77" t="s">
        <v>7125</v>
      </c>
      <c r="O120" s="66" t="s">
        <v>3354</v>
      </c>
      <c r="Q120" s="37">
        <v>1603</v>
      </c>
      <c r="R120" s="38">
        <v>113</v>
      </c>
      <c r="S120" s="51" t="s">
        <v>46</v>
      </c>
      <c r="T120" s="40" t="s">
        <v>46</v>
      </c>
      <c r="V120" s="37">
        <v>1606</v>
      </c>
      <c r="W120" s="56">
        <v>113</v>
      </c>
      <c r="X120" s="51" t="s">
        <v>7126</v>
      </c>
      <c r="Y120" s="40" t="s">
        <v>3294</v>
      </c>
      <c r="AA120" s="37">
        <v>1609</v>
      </c>
      <c r="AB120" s="56">
        <v>113</v>
      </c>
      <c r="AC120" s="51" t="s">
        <v>7127</v>
      </c>
      <c r="AD120" s="40" t="s">
        <v>162</v>
      </c>
      <c r="AF120" s="37">
        <v>1701</v>
      </c>
      <c r="AG120" s="56">
        <v>113</v>
      </c>
      <c r="AH120" s="51" t="s">
        <v>7257</v>
      </c>
      <c r="AI120" s="40" t="s">
        <v>963</v>
      </c>
      <c r="AK120" s="37">
        <v>1704</v>
      </c>
      <c r="AL120" s="56">
        <v>113</v>
      </c>
      <c r="AM120" s="51" t="s">
        <v>7124</v>
      </c>
      <c r="AN120" s="40" t="s">
        <v>2237</v>
      </c>
      <c r="AP120" s="37">
        <v>1707</v>
      </c>
      <c r="AQ120" s="56">
        <v>113</v>
      </c>
      <c r="AR120" s="51" t="s">
        <v>7125</v>
      </c>
      <c r="AS120" s="40" t="s">
        <v>3354</v>
      </c>
      <c r="AU120" s="63">
        <v>1803</v>
      </c>
      <c r="AV120" s="64">
        <v>113</v>
      </c>
      <c r="AW120" s="77" t="s">
        <v>46</v>
      </c>
      <c r="AX120" s="66" t="s">
        <v>46</v>
      </c>
      <c r="AZ120" s="63">
        <v>1806</v>
      </c>
      <c r="BA120" s="82">
        <v>113</v>
      </c>
      <c r="BB120" s="77" t="s">
        <v>7126</v>
      </c>
      <c r="BC120" s="66" t="s">
        <v>3294</v>
      </c>
      <c r="BE120" s="63">
        <v>1809</v>
      </c>
      <c r="BF120" s="64">
        <v>113</v>
      </c>
      <c r="BG120" s="77" t="s">
        <v>7127</v>
      </c>
      <c r="BH120" s="66" t="s">
        <v>162</v>
      </c>
    </row>
    <row r="121" spans="1:60">
      <c r="A121" s="1"/>
      <c r="B121" s="67">
        <v>1501</v>
      </c>
      <c r="C121" s="68">
        <v>114</v>
      </c>
      <c r="D121" s="69" t="s">
        <v>7128</v>
      </c>
      <c r="E121" s="70" t="s">
        <v>865</v>
      </c>
      <c r="G121" s="67">
        <v>1504</v>
      </c>
      <c r="H121" s="68">
        <v>114</v>
      </c>
      <c r="I121" s="69" t="s">
        <v>7129</v>
      </c>
      <c r="J121" s="70" t="s">
        <v>2131</v>
      </c>
      <c r="L121" s="67">
        <v>1507</v>
      </c>
      <c r="M121" s="68">
        <v>114</v>
      </c>
      <c r="N121" s="69" t="s">
        <v>46</v>
      </c>
      <c r="O121" s="70" t="s">
        <v>46</v>
      </c>
      <c r="Q121" s="41">
        <v>1603</v>
      </c>
      <c r="R121" s="42">
        <v>114</v>
      </c>
      <c r="S121" s="43" t="s">
        <v>7130</v>
      </c>
      <c r="T121" s="44" t="s">
        <v>286</v>
      </c>
      <c r="V121" s="41">
        <v>1606</v>
      </c>
      <c r="W121" s="33">
        <v>114</v>
      </c>
      <c r="X121" s="43" t="s">
        <v>7131</v>
      </c>
      <c r="Y121" s="44" t="s">
        <v>3018</v>
      </c>
      <c r="AA121" s="41">
        <v>1609</v>
      </c>
      <c r="AB121" s="33">
        <v>114</v>
      </c>
      <c r="AC121" s="43" t="s">
        <v>7132</v>
      </c>
      <c r="AD121" s="44" t="s">
        <v>57</v>
      </c>
      <c r="AF121" s="41">
        <v>1701</v>
      </c>
      <c r="AG121" s="33">
        <v>114</v>
      </c>
      <c r="AH121" s="43" t="s">
        <v>7128</v>
      </c>
      <c r="AI121" s="44" t="s">
        <v>865</v>
      </c>
      <c r="AK121" s="41">
        <v>1704</v>
      </c>
      <c r="AL121" s="33">
        <v>114</v>
      </c>
      <c r="AM121" s="43" t="s">
        <v>7129</v>
      </c>
      <c r="AN121" s="44" t="s">
        <v>2131</v>
      </c>
      <c r="AP121" s="41">
        <v>1707</v>
      </c>
      <c r="AQ121" s="33">
        <v>114</v>
      </c>
      <c r="AR121" s="43" t="s">
        <v>46</v>
      </c>
      <c r="AS121" s="44" t="s">
        <v>46</v>
      </c>
      <c r="AU121" s="67">
        <v>1803</v>
      </c>
      <c r="AV121" s="68">
        <v>114</v>
      </c>
      <c r="AW121" s="69" t="s">
        <v>7130</v>
      </c>
      <c r="AX121" s="70" t="s">
        <v>286</v>
      </c>
      <c r="AZ121" s="67">
        <v>1806</v>
      </c>
      <c r="BA121" s="83">
        <v>114</v>
      </c>
      <c r="BB121" s="69" t="s">
        <v>7131</v>
      </c>
      <c r="BC121" s="70" t="s">
        <v>3018</v>
      </c>
      <c r="BE121" s="67">
        <v>1809</v>
      </c>
      <c r="BF121" s="68">
        <v>114</v>
      </c>
      <c r="BG121" s="69" t="s">
        <v>7132</v>
      </c>
      <c r="BH121" s="70" t="s">
        <v>57</v>
      </c>
    </row>
    <row r="122" spans="1:60">
      <c r="A122" s="1"/>
      <c r="B122" s="67">
        <v>1501</v>
      </c>
      <c r="C122" s="68">
        <v>115</v>
      </c>
      <c r="D122" s="69" t="s">
        <v>7133</v>
      </c>
      <c r="E122" s="70" t="s">
        <v>840</v>
      </c>
      <c r="G122" s="67">
        <v>1504</v>
      </c>
      <c r="H122" s="68">
        <v>115</v>
      </c>
      <c r="I122" s="69" t="s">
        <v>7134</v>
      </c>
      <c r="J122" s="70" t="s">
        <v>2229</v>
      </c>
      <c r="L122" s="67">
        <v>1507</v>
      </c>
      <c r="M122" s="68">
        <v>115</v>
      </c>
      <c r="N122" s="69" t="s">
        <v>7135</v>
      </c>
      <c r="O122" s="70" t="s">
        <v>2431</v>
      </c>
      <c r="Q122" s="41">
        <v>1603</v>
      </c>
      <c r="R122" s="42">
        <v>115</v>
      </c>
      <c r="S122" s="43" t="s">
        <v>7136</v>
      </c>
      <c r="T122" s="44" t="s">
        <v>1364</v>
      </c>
      <c r="V122" s="41">
        <v>1606</v>
      </c>
      <c r="W122" s="33">
        <v>115</v>
      </c>
      <c r="X122" s="43" t="s">
        <v>7137</v>
      </c>
      <c r="Y122" s="44" t="s">
        <v>1589</v>
      </c>
      <c r="AA122" s="41">
        <v>1609</v>
      </c>
      <c r="AB122" s="33">
        <v>115</v>
      </c>
      <c r="AC122" s="43" t="s">
        <v>46</v>
      </c>
      <c r="AD122" s="44" t="s">
        <v>46</v>
      </c>
      <c r="AF122" s="41">
        <v>1701</v>
      </c>
      <c r="AG122" s="33">
        <v>115</v>
      </c>
      <c r="AH122" s="43" t="s">
        <v>7133</v>
      </c>
      <c r="AI122" s="44" t="s">
        <v>840</v>
      </c>
      <c r="AK122" s="41">
        <v>1704</v>
      </c>
      <c r="AL122" s="33">
        <v>115</v>
      </c>
      <c r="AM122" s="43" t="s">
        <v>7134</v>
      </c>
      <c r="AN122" s="44" t="s">
        <v>2229</v>
      </c>
      <c r="AP122" s="41">
        <v>1707</v>
      </c>
      <c r="AQ122" s="33">
        <v>115</v>
      </c>
      <c r="AR122" s="43" t="s">
        <v>7135</v>
      </c>
      <c r="AS122" s="44" t="s">
        <v>2431</v>
      </c>
      <c r="AU122" s="67">
        <v>1803</v>
      </c>
      <c r="AV122" s="68">
        <v>115</v>
      </c>
      <c r="AW122" s="69" t="s">
        <v>7136</v>
      </c>
      <c r="AX122" s="70" t="s">
        <v>1364</v>
      </c>
      <c r="AZ122" s="67">
        <v>1806</v>
      </c>
      <c r="BA122" s="83">
        <v>115</v>
      </c>
      <c r="BB122" s="69" t="s">
        <v>7137</v>
      </c>
      <c r="BC122" s="70" t="s">
        <v>1589</v>
      </c>
      <c r="BE122" s="67">
        <v>1809</v>
      </c>
      <c r="BF122" s="68">
        <v>115</v>
      </c>
      <c r="BG122" s="69" t="s">
        <v>46</v>
      </c>
      <c r="BH122" s="70" t="s">
        <v>46</v>
      </c>
    </row>
    <row r="123" spans="1:60">
      <c r="A123" s="1"/>
      <c r="B123" s="67">
        <v>1501</v>
      </c>
      <c r="C123" s="68">
        <v>116</v>
      </c>
      <c r="D123" s="69" t="s">
        <v>7258</v>
      </c>
      <c r="E123" s="70" t="s">
        <v>1389</v>
      </c>
      <c r="G123" s="67">
        <v>1504</v>
      </c>
      <c r="H123" s="68">
        <v>116</v>
      </c>
      <c r="I123" s="69" t="s">
        <v>7139</v>
      </c>
      <c r="J123" s="70" t="s">
        <v>2114</v>
      </c>
      <c r="L123" s="67">
        <v>1507</v>
      </c>
      <c r="M123" s="68">
        <v>116</v>
      </c>
      <c r="N123" s="69" t="s">
        <v>7140</v>
      </c>
      <c r="O123" s="70" t="s">
        <v>845</v>
      </c>
      <c r="Q123" s="41">
        <v>1603</v>
      </c>
      <c r="R123" s="42">
        <v>116</v>
      </c>
      <c r="S123" s="43" t="s">
        <v>7141</v>
      </c>
      <c r="T123" s="44" t="s">
        <v>1359</v>
      </c>
      <c r="V123" s="41">
        <v>1606</v>
      </c>
      <c r="W123" s="33">
        <v>116</v>
      </c>
      <c r="X123" s="43" t="s">
        <v>7142</v>
      </c>
      <c r="Y123" s="44" t="s">
        <v>1579</v>
      </c>
      <c r="AA123" s="41">
        <v>1609</v>
      </c>
      <c r="AB123" s="33">
        <v>116</v>
      </c>
      <c r="AC123" s="43" t="s">
        <v>46</v>
      </c>
      <c r="AD123" s="44" t="s">
        <v>46</v>
      </c>
      <c r="AF123" s="41">
        <v>1701</v>
      </c>
      <c r="AG123" s="33">
        <v>116</v>
      </c>
      <c r="AH123" s="43" t="s">
        <v>7258</v>
      </c>
      <c r="AI123" s="44" t="s">
        <v>1389</v>
      </c>
      <c r="AK123" s="41">
        <v>1704</v>
      </c>
      <c r="AL123" s="33">
        <v>116</v>
      </c>
      <c r="AM123" s="43" t="s">
        <v>7139</v>
      </c>
      <c r="AN123" s="44" t="s">
        <v>2114</v>
      </c>
      <c r="AP123" s="41">
        <v>1707</v>
      </c>
      <c r="AQ123" s="33">
        <v>116</v>
      </c>
      <c r="AR123" s="43" t="s">
        <v>7140</v>
      </c>
      <c r="AS123" s="44" t="s">
        <v>845</v>
      </c>
      <c r="AU123" s="67">
        <v>1803</v>
      </c>
      <c r="AV123" s="68">
        <v>116</v>
      </c>
      <c r="AW123" s="69" t="s">
        <v>7141</v>
      </c>
      <c r="AX123" s="70" t="s">
        <v>1359</v>
      </c>
      <c r="AZ123" s="67">
        <v>1806</v>
      </c>
      <c r="BA123" s="83">
        <v>116</v>
      </c>
      <c r="BB123" s="69" t="s">
        <v>7142</v>
      </c>
      <c r="BC123" s="70" t="s">
        <v>1579</v>
      </c>
      <c r="BE123" s="67">
        <v>1809</v>
      </c>
      <c r="BF123" s="68">
        <v>116</v>
      </c>
      <c r="BG123" s="69" t="s">
        <v>46</v>
      </c>
      <c r="BH123" s="70" t="s">
        <v>46</v>
      </c>
    </row>
    <row r="124" spans="1:60">
      <c r="A124" s="1"/>
      <c r="B124" s="67">
        <v>1501</v>
      </c>
      <c r="C124" s="68">
        <v>117</v>
      </c>
      <c r="D124" s="69" t="s">
        <v>7143</v>
      </c>
      <c r="E124" s="70" t="s">
        <v>870</v>
      </c>
      <c r="G124" s="67">
        <v>1504</v>
      </c>
      <c r="H124" s="68">
        <v>117</v>
      </c>
      <c r="I124" s="69" t="s">
        <v>7144</v>
      </c>
      <c r="J124" s="70" t="s">
        <v>1013</v>
      </c>
      <c r="L124" s="67">
        <v>1507</v>
      </c>
      <c r="M124" s="68">
        <v>117</v>
      </c>
      <c r="N124" s="69" t="s">
        <v>7145</v>
      </c>
      <c r="O124" s="70" t="s">
        <v>2422</v>
      </c>
      <c r="Q124" s="41">
        <v>1603</v>
      </c>
      <c r="R124" s="42">
        <v>117</v>
      </c>
      <c r="S124" s="43" t="s">
        <v>7146</v>
      </c>
      <c r="T124" s="44" t="s">
        <v>1349</v>
      </c>
      <c r="V124" s="41">
        <v>1606</v>
      </c>
      <c r="W124" s="33">
        <v>117</v>
      </c>
      <c r="X124" s="43" t="s">
        <v>7147</v>
      </c>
      <c r="Y124" s="44" t="s">
        <v>735</v>
      </c>
      <c r="AA124" s="41">
        <v>1609</v>
      </c>
      <c r="AB124" s="33">
        <v>117</v>
      </c>
      <c r="AC124" s="43" t="s">
        <v>46</v>
      </c>
      <c r="AD124" s="44" t="s">
        <v>46</v>
      </c>
      <c r="AF124" s="41">
        <v>1701</v>
      </c>
      <c r="AG124" s="33">
        <v>117</v>
      </c>
      <c r="AH124" s="43" t="s">
        <v>7143</v>
      </c>
      <c r="AI124" s="44" t="s">
        <v>870</v>
      </c>
      <c r="AK124" s="41">
        <v>1704</v>
      </c>
      <c r="AL124" s="33">
        <v>117</v>
      </c>
      <c r="AM124" s="43" t="s">
        <v>7144</v>
      </c>
      <c r="AN124" s="44" t="s">
        <v>1013</v>
      </c>
      <c r="AP124" s="41">
        <v>1707</v>
      </c>
      <c r="AQ124" s="33">
        <v>117</v>
      </c>
      <c r="AR124" s="43" t="s">
        <v>7145</v>
      </c>
      <c r="AS124" s="44" t="s">
        <v>2422</v>
      </c>
      <c r="AU124" s="67">
        <v>1803</v>
      </c>
      <c r="AV124" s="68">
        <v>117</v>
      </c>
      <c r="AW124" s="69" t="s">
        <v>7146</v>
      </c>
      <c r="AX124" s="70" t="s">
        <v>1349</v>
      </c>
      <c r="AZ124" s="67">
        <v>1806</v>
      </c>
      <c r="BA124" s="83">
        <v>117</v>
      </c>
      <c r="BB124" s="69" t="s">
        <v>7147</v>
      </c>
      <c r="BC124" s="70" t="s">
        <v>735</v>
      </c>
      <c r="BE124" s="67">
        <v>1809</v>
      </c>
      <c r="BF124" s="68">
        <v>117</v>
      </c>
      <c r="BG124" s="69" t="s">
        <v>46</v>
      </c>
      <c r="BH124" s="70" t="s">
        <v>46</v>
      </c>
    </row>
    <row r="125" spans="1:60">
      <c r="A125" s="1"/>
      <c r="B125" s="67">
        <v>1501</v>
      </c>
      <c r="C125" s="68">
        <v>118</v>
      </c>
      <c r="D125" s="69" t="s">
        <v>7259</v>
      </c>
      <c r="E125" s="70" t="s">
        <v>953</v>
      </c>
      <c r="G125" s="67">
        <v>1504</v>
      </c>
      <c r="H125" s="68">
        <v>118</v>
      </c>
      <c r="I125" s="69" t="s">
        <v>7149</v>
      </c>
      <c r="J125" s="70" t="s">
        <v>2104</v>
      </c>
      <c r="L125" s="67">
        <v>1507</v>
      </c>
      <c r="M125" s="68">
        <v>118</v>
      </c>
      <c r="N125" s="69" t="s">
        <v>7150</v>
      </c>
      <c r="O125" s="70" t="s">
        <v>860</v>
      </c>
      <c r="Q125" s="41">
        <v>1603</v>
      </c>
      <c r="R125" s="42">
        <v>118</v>
      </c>
      <c r="S125" s="43" t="s">
        <v>7151</v>
      </c>
      <c r="T125" s="44" t="s">
        <v>1774</v>
      </c>
      <c r="V125" s="41">
        <v>1606</v>
      </c>
      <c r="W125" s="33">
        <v>118</v>
      </c>
      <c r="X125" s="43" t="s">
        <v>7152</v>
      </c>
      <c r="Y125" s="44" t="s">
        <v>1654</v>
      </c>
      <c r="AA125" s="41">
        <v>1609</v>
      </c>
      <c r="AB125" s="33">
        <v>118</v>
      </c>
      <c r="AC125" s="43" t="s">
        <v>46</v>
      </c>
      <c r="AD125" s="44" t="s">
        <v>46</v>
      </c>
      <c r="AF125" s="41">
        <v>1701</v>
      </c>
      <c r="AG125" s="33">
        <v>118</v>
      </c>
      <c r="AH125" s="43" t="s">
        <v>7259</v>
      </c>
      <c r="AI125" s="44" t="s">
        <v>953</v>
      </c>
      <c r="AK125" s="41">
        <v>1704</v>
      </c>
      <c r="AL125" s="33">
        <v>118</v>
      </c>
      <c r="AM125" s="43" t="s">
        <v>7149</v>
      </c>
      <c r="AN125" s="44" t="s">
        <v>2104</v>
      </c>
      <c r="AP125" s="41">
        <v>1707</v>
      </c>
      <c r="AQ125" s="33">
        <v>118</v>
      </c>
      <c r="AR125" s="43" t="s">
        <v>7150</v>
      </c>
      <c r="AS125" s="44" t="s">
        <v>860</v>
      </c>
      <c r="AU125" s="67">
        <v>1803</v>
      </c>
      <c r="AV125" s="68">
        <v>118</v>
      </c>
      <c r="AW125" s="69" t="s">
        <v>7151</v>
      </c>
      <c r="AX125" s="70" t="s">
        <v>1774</v>
      </c>
      <c r="AZ125" s="67">
        <v>1806</v>
      </c>
      <c r="BA125" s="83">
        <v>118</v>
      </c>
      <c r="BB125" s="69" t="s">
        <v>7152</v>
      </c>
      <c r="BC125" s="70" t="s">
        <v>1654</v>
      </c>
      <c r="BE125" s="67">
        <v>1809</v>
      </c>
      <c r="BF125" s="68">
        <v>118</v>
      </c>
      <c r="BG125" s="69" t="s">
        <v>46</v>
      </c>
      <c r="BH125" s="70" t="s">
        <v>46</v>
      </c>
    </row>
    <row r="126" spans="1:60">
      <c r="A126" s="1"/>
      <c r="B126" s="67">
        <v>1501</v>
      </c>
      <c r="C126" s="68">
        <v>119</v>
      </c>
      <c r="D126" s="69" t="s">
        <v>7153</v>
      </c>
      <c r="E126" s="70" t="s">
        <v>1649</v>
      </c>
      <c r="G126" s="67">
        <v>1504</v>
      </c>
      <c r="H126" s="68">
        <v>119</v>
      </c>
      <c r="I126" s="263" t="s">
        <v>46</v>
      </c>
      <c r="J126" s="264" t="s">
        <v>46</v>
      </c>
      <c r="L126" s="67">
        <v>1507</v>
      </c>
      <c r="M126" s="68">
        <v>119</v>
      </c>
      <c r="N126" s="69" t="s">
        <v>7154</v>
      </c>
      <c r="O126" s="70" t="s">
        <v>2387</v>
      </c>
      <c r="Q126" s="41">
        <v>1603</v>
      </c>
      <c r="R126" s="42">
        <v>119</v>
      </c>
      <c r="S126" s="43" t="s">
        <v>7155</v>
      </c>
      <c r="T126" s="44" t="s">
        <v>1629</v>
      </c>
      <c r="V126" s="41">
        <v>1606</v>
      </c>
      <c r="W126" s="33">
        <v>119</v>
      </c>
      <c r="X126" s="43" t="s">
        <v>7156</v>
      </c>
      <c r="Y126" s="44" t="s">
        <v>3036</v>
      </c>
      <c r="AA126" s="41">
        <v>1609</v>
      </c>
      <c r="AB126" s="33">
        <v>119</v>
      </c>
      <c r="AC126" s="43" t="s">
        <v>46</v>
      </c>
      <c r="AD126" s="44" t="s">
        <v>46</v>
      </c>
      <c r="AF126" s="41">
        <v>1701</v>
      </c>
      <c r="AG126" s="33">
        <v>119</v>
      </c>
      <c r="AH126" s="43" t="s">
        <v>7153</v>
      </c>
      <c r="AI126" s="44" t="s">
        <v>1649</v>
      </c>
      <c r="AK126" s="41">
        <v>1704</v>
      </c>
      <c r="AL126" s="33">
        <v>119</v>
      </c>
      <c r="AM126" s="263" t="s">
        <v>46</v>
      </c>
      <c r="AN126" s="264" t="s">
        <v>46</v>
      </c>
      <c r="AP126" s="41">
        <v>1707</v>
      </c>
      <c r="AQ126" s="33">
        <v>119</v>
      </c>
      <c r="AR126" s="43" t="s">
        <v>7154</v>
      </c>
      <c r="AS126" s="44" t="s">
        <v>2387</v>
      </c>
      <c r="AU126" s="67">
        <v>1803</v>
      </c>
      <c r="AV126" s="68">
        <v>119</v>
      </c>
      <c r="AW126" s="69" t="s">
        <v>7155</v>
      </c>
      <c r="AX126" s="70" t="s">
        <v>1629</v>
      </c>
      <c r="AZ126" s="67">
        <v>1806</v>
      </c>
      <c r="BA126" s="83">
        <v>119</v>
      </c>
      <c r="BB126" s="69" t="s">
        <v>7156</v>
      </c>
      <c r="BC126" s="70" t="s">
        <v>3036</v>
      </c>
      <c r="BE126" s="67">
        <v>1809</v>
      </c>
      <c r="BF126" s="68">
        <v>119</v>
      </c>
      <c r="BG126" s="69" t="s">
        <v>46</v>
      </c>
      <c r="BH126" s="70" t="s">
        <v>46</v>
      </c>
    </row>
    <row r="127" spans="1:60">
      <c r="A127" s="1"/>
      <c r="B127" s="67">
        <v>1501</v>
      </c>
      <c r="C127" s="68">
        <v>120</v>
      </c>
      <c r="D127" s="69" t="s">
        <v>7157</v>
      </c>
      <c r="E127" s="70" t="s">
        <v>1599</v>
      </c>
      <c r="G127" s="67">
        <v>1504</v>
      </c>
      <c r="H127" s="68">
        <v>120</v>
      </c>
      <c r="I127" s="69" t="s">
        <v>7260</v>
      </c>
      <c r="J127" s="70" t="s">
        <v>973</v>
      </c>
      <c r="L127" s="67">
        <v>1507</v>
      </c>
      <c r="M127" s="68">
        <v>120</v>
      </c>
      <c r="N127" s="69" t="s">
        <v>7159</v>
      </c>
      <c r="O127" s="70" t="s">
        <v>1694</v>
      </c>
      <c r="Q127" s="41">
        <v>1603</v>
      </c>
      <c r="R127" s="42">
        <v>120</v>
      </c>
      <c r="S127" s="43" t="s">
        <v>46</v>
      </c>
      <c r="T127" s="44" t="s">
        <v>46</v>
      </c>
      <c r="V127" s="41">
        <v>1606</v>
      </c>
      <c r="W127" s="33">
        <v>120</v>
      </c>
      <c r="X127" s="43" t="s">
        <v>7160</v>
      </c>
      <c r="Y127" s="44" t="s">
        <v>1759</v>
      </c>
      <c r="AA127" s="41">
        <v>1609</v>
      </c>
      <c r="AB127" s="33">
        <v>120</v>
      </c>
      <c r="AC127" s="43" t="s">
        <v>46</v>
      </c>
      <c r="AD127" s="44" t="s">
        <v>46</v>
      </c>
      <c r="AF127" s="41">
        <v>1701</v>
      </c>
      <c r="AG127" s="33">
        <v>120</v>
      </c>
      <c r="AH127" s="43" t="s">
        <v>7157</v>
      </c>
      <c r="AI127" s="44" t="s">
        <v>1599</v>
      </c>
      <c r="AK127" s="41">
        <v>1704</v>
      </c>
      <c r="AL127" s="33">
        <v>120</v>
      </c>
      <c r="AM127" s="43" t="s">
        <v>7260</v>
      </c>
      <c r="AN127" s="44" t="s">
        <v>973</v>
      </c>
      <c r="AP127" s="41">
        <v>1707</v>
      </c>
      <c r="AQ127" s="33">
        <v>120</v>
      </c>
      <c r="AR127" s="43" t="s">
        <v>7159</v>
      </c>
      <c r="AS127" s="44" t="s">
        <v>1694</v>
      </c>
      <c r="AU127" s="67">
        <v>1803</v>
      </c>
      <c r="AV127" s="68">
        <v>120</v>
      </c>
      <c r="AW127" s="69" t="s">
        <v>46</v>
      </c>
      <c r="AX127" s="70" t="s">
        <v>46</v>
      </c>
      <c r="AZ127" s="67">
        <v>1806</v>
      </c>
      <c r="BA127" s="83">
        <v>120</v>
      </c>
      <c r="BB127" s="69" t="s">
        <v>7160</v>
      </c>
      <c r="BC127" s="70" t="s">
        <v>1759</v>
      </c>
      <c r="BE127" s="67">
        <v>1809</v>
      </c>
      <c r="BF127" s="68">
        <v>120</v>
      </c>
      <c r="BG127" s="69" t="s">
        <v>46</v>
      </c>
      <c r="BH127" s="70" t="s">
        <v>46</v>
      </c>
    </row>
    <row r="128" spans="1:60">
      <c r="A128" s="1"/>
      <c r="B128" s="67">
        <v>1501</v>
      </c>
      <c r="C128" s="68">
        <v>121</v>
      </c>
      <c r="D128" s="69" t="s">
        <v>7161</v>
      </c>
      <c r="E128" s="70" t="s">
        <v>1514</v>
      </c>
      <c r="G128" s="67">
        <v>1504</v>
      </c>
      <c r="H128" s="68">
        <v>121</v>
      </c>
      <c r="I128" s="69" t="s">
        <v>46</v>
      </c>
      <c r="J128" s="70" t="s">
        <v>46</v>
      </c>
      <c r="L128" s="67">
        <v>1507</v>
      </c>
      <c r="M128" s="68">
        <v>121</v>
      </c>
      <c r="N128" s="69" t="s">
        <v>7162</v>
      </c>
      <c r="O128" s="70" t="s">
        <v>2397</v>
      </c>
      <c r="Q128" s="41">
        <v>1603</v>
      </c>
      <c r="R128" s="42">
        <v>121</v>
      </c>
      <c r="S128" s="43" t="s">
        <v>46</v>
      </c>
      <c r="T128" s="44" t="s">
        <v>46</v>
      </c>
      <c r="V128" s="41">
        <v>1606</v>
      </c>
      <c r="W128" s="33">
        <v>121</v>
      </c>
      <c r="X128" s="43" t="s">
        <v>7163</v>
      </c>
      <c r="Y128" s="44" t="s">
        <v>3108</v>
      </c>
      <c r="AA128" s="41">
        <v>1609</v>
      </c>
      <c r="AB128" s="33">
        <v>121</v>
      </c>
      <c r="AC128" s="43" t="s">
        <v>46</v>
      </c>
      <c r="AD128" s="44" t="s">
        <v>46</v>
      </c>
      <c r="AF128" s="41">
        <v>1701</v>
      </c>
      <c r="AG128" s="33">
        <v>121</v>
      </c>
      <c r="AH128" s="43" t="s">
        <v>7161</v>
      </c>
      <c r="AI128" s="44" t="s">
        <v>1514</v>
      </c>
      <c r="AK128" s="41">
        <v>1704</v>
      </c>
      <c r="AL128" s="33">
        <v>121</v>
      </c>
      <c r="AM128" s="43" t="s">
        <v>46</v>
      </c>
      <c r="AN128" s="44" t="s">
        <v>46</v>
      </c>
      <c r="AP128" s="41">
        <v>1707</v>
      </c>
      <c r="AQ128" s="33">
        <v>121</v>
      </c>
      <c r="AR128" s="43" t="s">
        <v>7162</v>
      </c>
      <c r="AS128" s="44" t="s">
        <v>2397</v>
      </c>
      <c r="AU128" s="67">
        <v>1803</v>
      </c>
      <c r="AV128" s="68">
        <v>121</v>
      </c>
      <c r="AW128" s="69" t="s">
        <v>46</v>
      </c>
      <c r="AX128" s="70" t="s">
        <v>46</v>
      </c>
      <c r="AZ128" s="67">
        <v>1806</v>
      </c>
      <c r="BA128" s="83">
        <v>121</v>
      </c>
      <c r="BB128" s="69" t="s">
        <v>7163</v>
      </c>
      <c r="BC128" s="70" t="s">
        <v>3108</v>
      </c>
      <c r="BE128" s="67">
        <v>1809</v>
      </c>
      <c r="BF128" s="68">
        <v>121</v>
      </c>
      <c r="BG128" s="69" t="s">
        <v>46</v>
      </c>
      <c r="BH128" s="70" t="s">
        <v>46</v>
      </c>
    </row>
    <row r="129" spans="2:60">
      <c r="B129" s="67">
        <v>1501</v>
      </c>
      <c r="C129" s="68">
        <v>122</v>
      </c>
      <c r="D129" s="69" t="s">
        <v>7164</v>
      </c>
      <c r="E129" s="70" t="s">
        <v>672</v>
      </c>
      <c r="G129" s="67">
        <v>1504</v>
      </c>
      <c r="H129" s="68">
        <v>122</v>
      </c>
      <c r="I129" s="69" t="s">
        <v>7165</v>
      </c>
      <c r="J129" s="70" t="s">
        <v>2860</v>
      </c>
      <c r="L129" s="67">
        <v>1507</v>
      </c>
      <c r="M129" s="68">
        <v>122</v>
      </c>
      <c r="N129" s="69" t="s">
        <v>7166</v>
      </c>
      <c r="O129" s="70" t="s">
        <v>1334</v>
      </c>
      <c r="Q129" s="41">
        <v>1603</v>
      </c>
      <c r="R129" s="42">
        <v>122</v>
      </c>
      <c r="S129" s="43" t="s">
        <v>46</v>
      </c>
      <c r="T129" s="44" t="s">
        <v>46</v>
      </c>
      <c r="V129" s="41">
        <v>1606</v>
      </c>
      <c r="W129" s="33">
        <v>122</v>
      </c>
      <c r="X129" s="43" t="s">
        <v>7167</v>
      </c>
      <c r="Y129" s="44" t="s">
        <v>1744</v>
      </c>
      <c r="AA129" s="41">
        <v>1609</v>
      </c>
      <c r="AB129" s="33">
        <v>122</v>
      </c>
      <c r="AC129" s="43" t="s">
        <v>46</v>
      </c>
      <c r="AD129" s="44" t="s">
        <v>46</v>
      </c>
      <c r="AF129" s="41">
        <v>1701</v>
      </c>
      <c r="AG129" s="33">
        <v>122</v>
      </c>
      <c r="AH129" s="43" t="s">
        <v>7164</v>
      </c>
      <c r="AI129" s="44" t="s">
        <v>672</v>
      </c>
      <c r="AK129" s="41">
        <v>1704</v>
      </c>
      <c r="AL129" s="33">
        <v>122</v>
      </c>
      <c r="AM129" s="43" t="s">
        <v>7165</v>
      </c>
      <c r="AN129" s="44" t="s">
        <v>2860</v>
      </c>
      <c r="AP129" s="41">
        <v>1707</v>
      </c>
      <c r="AQ129" s="33">
        <v>122</v>
      </c>
      <c r="AR129" s="43" t="s">
        <v>7166</v>
      </c>
      <c r="AS129" s="44" t="s">
        <v>1334</v>
      </c>
      <c r="AU129" s="67">
        <v>1803</v>
      </c>
      <c r="AV129" s="68">
        <v>122</v>
      </c>
      <c r="AW129" s="69" t="s">
        <v>46</v>
      </c>
      <c r="AX129" s="70" t="s">
        <v>46</v>
      </c>
      <c r="AZ129" s="67">
        <v>1806</v>
      </c>
      <c r="BA129" s="83">
        <v>122</v>
      </c>
      <c r="BB129" s="69" t="s">
        <v>7167</v>
      </c>
      <c r="BC129" s="70" t="s">
        <v>1744</v>
      </c>
      <c r="BE129" s="67">
        <v>1809</v>
      </c>
      <c r="BF129" s="68">
        <v>122</v>
      </c>
      <c r="BG129" s="69" t="s">
        <v>46</v>
      </c>
      <c r="BH129" s="70" t="s">
        <v>46</v>
      </c>
    </row>
    <row r="130" spans="2:60">
      <c r="B130" s="67">
        <v>1501</v>
      </c>
      <c r="C130" s="68">
        <v>123</v>
      </c>
      <c r="D130" s="69" t="s">
        <v>7168</v>
      </c>
      <c r="E130" s="70" t="s">
        <v>875</v>
      </c>
      <c r="G130" s="67">
        <v>1504</v>
      </c>
      <c r="H130" s="68">
        <v>123</v>
      </c>
      <c r="I130" s="69" t="s">
        <v>7169</v>
      </c>
      <c r="J130" s="70" t="s">
        <v>1769</v>
      </c>
      <c r="L130" s="67">
        <v>1507</v>
      </c>
      <c r="M130" s="68">
        <v>123</v>
      </c>
      <c r="N130" s="69" t="s">
        <v>7170</v>
      </c>
      <c r="O130" s="70" t="s">
        <v>2344</v>
      </c>
      <c r="Q130" s="41">
        <v>1603</v>
      </c>
      <c r="R130" s="42">
        <v>123</v>
      </c>
      <c r="S130" s="43" t="s">
        <v>46</v>
      </c>
      <c r="T130" s="44" t="s">
        <v>46</v>
      </c>
      <c r="V130" s="41">
        <v>1606</v>
      </c>
      <c r="W130" s="33">
        <v>123</v>
      </c>
      <c r="X130" s="43" t="s">
        <v>7171</v>
      </c>
      <c r="Y130" s="44" t="s">
        <v>3268</v>
      </c>
      <c r="AA130" s="41">
        <v>1609</v>
      </c>
      <c r="AB130" s="33">
        <v>123</v>
      </c>
      <c r="AC130" s="43" t="s">
        <v>46</v>
      </c>
      <c r="AD130" s="44" t="s">
        <v>46</v>
      </c>
      <c r="AF130" s="41">
        <v>1701</v>
      </c>
      <c r="AG130" s="33">
        <v>123</v>
      </c>
      <c r="AH130" s="43" t="s">
        <v>7168</v>
      </c>
      <c r="AI130" s="44" t="s">
        <v>875</v>
      </c>
      <c r="AK130" s="41">
        <v>1704</v>
      </c>
      <c r="AL130" s="33">
        <v>123</v>
      </c>
      <c r="AM130" s="43" t="s">
        <v>7169</v>
      </c>
      <c r="AN130" s="44" t="s">
        <v>1769</v>
      </c>
      <c r="AP130" s="41">
        <v>1707</v>
      </c>
      <c r="AQ130" s="33">
        <v>123</v>
      </c>
      <c r="AR130" s="43" t="s">
        <v>7170</v>
      </c>
      <c r="AS130" s="44" t="s">
        <v>2344</v>
      </c>
      <c r="AU130" s="67">
        <v>1803</v>
      </c>
      <c r="AV130" s="68">
        <v>123</v>
      </c>
      <c r="AW130" s="69" t="s">
        <v>46</v>
      </c>
      <c r="AX130" s="70" t="s">
        <v>46</v>
      </c>
      <c r="AZ130" s="67">
        <v>1806</v>
      </c>
      <c r="BA130" s="83">
        <v>123</v>
      </c>
      <c r="BB130" s="69" t="s">
        <v>7171</v>
      </c>
      <c r="BC130" s="70" t="s">
        <v>3268</v>
      </c>
      <c r="BE130" s="67">
        <v>1809</v>
      </c>
      <c r="BF130" s="68">
        <v>123</v>
      </c>
      <c r="BG130" s="69" t="s">
        <v>46</v>
      </c>
      <c r="BH130" s="70" t="s">
        <v>46</v>
      </c>
    </row>
    <row r="131" spans="2:60">
      <c r="B131" s="67">
        <v>1501</v>
      </c>
      <c r="C131" s="68">
        <v>124</v>
      </c>
      <c r="D131" s="69" t="s">
        <v>7172</v>
      </c>
      <c r="E131" s="70" t="s">
        <v>3249</v>
      </c>
      <c r="G131" s="67">
        <v>1504</v>
      </c>
      <c r="H131" s="68">
        <v>124</v>
      </c>
      <c r="I131" s="69" t="s">
        <v>7173</v>
      </c>
      <c r="J131" s="70" t="s">
        <v>2730</v>
      </c>
      <c r="L131" s="67">
        <v>1507</v>
      </c>
      <c r="M131" s="68">
        <v>124</v>
      </c>
      <c r="N131" s="69" t="s">
        <v>7174</v>
      </c>
      <c r="O131" s="70" t="s">
        <v>1279</v>
      </c>
      <c r="Q131" s="41">
        <v>1603</v>
      </c>
      <c r="R131" s="42">
        <v>124</v>
      </c>
      <c r="S131" s="43" t="s">
        <v>7175</v>
      </c>
      <c r="T131" s="44" t="s">
        <v>2617</v>
      </c>
      <c r="V131" s="41">
        <v>1606</v>
      </c>
      <c r="W131" s="33">
        <v>124</v>
      </c>
      <c r="X131" s="43" t="s">
        <v>7176</v>
      </c>
      <c r="Y131" s="44" t="s">
        <v>2936</v>
      </c>
      <c r="AA131" s="41">
        <v>1609</v>
      </c>
      <c r="AB131" s="33">
        <v>124</v>
      </c>
      <c r="AC131" s="43" t="s">
        <v>46</v>
      </c>
      <c r="AD131" s="44" t="s">
        <v>46</v>
      </c>
      <c r="AF131" s="41">
        <v>1701</v>
      </c>
      <c r="AG131" s="33">
        <v>124</v>
      </c>
      <c r="AH131" s="43" t="s">
        <v>7172</v>
      </c>
      <c r="AI131" s="44" t="s">
        <v>3249</v>
      </c>
      <c r="AK131" s="41">
        <v>1704</v>
      </c>
      <c r="AL131" s="33">
        <v>124</v>
      </c>
      <c r="AM131" s="43" t="s">
        <v>7173</v>
      </c>
      <c r="AN131" s="44" t="s">
        <v>2730</v>
      </c>
      <c r="AP131" s="41">
        <v>1707</v>
      </c>
      <c r="AQ131" s="33">
        <v>124</v>
      </c>
      <c r="AR131" s="43" t="s">
        <v>7174</v>
      </c>
      <c r="AS131" s="44" t="s">
        <v>1279</v>
      </c>
      <c r="AU131" s="67">
        <v>1803</v>
      </c>
      <c r="AV131" s="68">
        <v>124</v>
      </c>
      <c r="AW131" s="69" t="s">
        <v>7175</v>
      </c>
      <c r="AX131" s="70" t="s">
        <v>2617</v>
      </c>
      <c r="AZ131" s="67">
        <v>1806</v>
      </c>
      <c r="BA131" s="83">
        <v>124</v>
      </c>
      <c r="BB131" s="69" t="s">
        <v>7176</v>
      </c>
      <c r="BC131" s="70" t="s">
        <v>2936</v>
      </c>
      <c r="BE131" s="67">
        <v>1809</v>
      </c>
      <c r="BF131" s="68">
        <v>124</v>
      </c>
      <c r="BG131" s="69" t="s">
        <v>46</v>
      </c>
      <c r="BH131" s="70" t="s">
        <v>46</v>
      </c>
    </row>
    <row r="132" spans="2:60">
      <c r="B132" s="67">
        <v>1501</v>
      </c>
      <c r="C132" s="68">
        <v>125</v>
      </c>
      <c r="D132" s="69" t="s">
        <v>7261</v>
      </c>
      <c r="E132" s="70" t="s">
        <v>993</v>
      </c>
      <c r="G132" s="67">
        <v>1504</v>
      </c>
      <c r="H132" s="68">
        <v>125</v>
      </c>
      <c r="I132" s="69" t="s">
        <v>7262</v>
      </c>
      <c r="J132" s="70" t="s">
        <v>943</v>
      </c>
      <c r="L132" s="67">
        <v>1507</v>
      </c>
      <c r="M132" s="68">
        <v>125</v>
      </c>
      <c r="N132" s="69" t="s">
        <v>7179</v>
      </c>
      <c r="O132" s="70" t="s">
        <v>2336</v>
      </c>
      <c r="Q132" s="41">
        <v>1603</v>
      </c>
      <c r="R132" s="42">
        <v>125</v>
      </c>
      <c r="S132" s="43" t="s">
        <v>46</v>
      </c>
      <c r="T132" s="44" t="s">
        <v>46</v>
      </c>
      <c r="V132" s="41">
        <v>1606</v>
      </c>
      <c r="W132" s="33">
        <v>125</v>
      </c>
      <c r="X132" s="43" t="s">
        <v>7180</v>
      </c>
      <c r="Y132" s="44" t="s">
        <v>3276</v>
      </c>
      <c r="AA132" s="41">
        <v>1609</v>
      </c>
      <c r="AB132" s="33">
        <v>125</v>
      </c>
      <c r="AC132" s="43" t="s">
        <v>46</v>
      </c>
      <c r="AD132" s="44" t="s">
        <v>46</v>
      </c>
      <c r="AF132" s="41">
        <v>1701</v>
      </c>
      <c r="AG132" s="33">
        <v>125</v>
      </c>
      <c r="AH132" s="43" t="s">
        <v>7261</v>
      </c>
      <c r="AI132" s="44" t="s">
        <v>993</v>
      </c>
      <c r="AK132" s="41">
        <v>1704</v>
      </c>
      <c r="AL132" s="33">
        <v>125</v>
      </c>
      <c r="AM132" s="43" t="s">
        <v>7262</v>
      </c>
      <c r="AN132" s="44" t="s">
        <v>943</v>
      </c>
      <c r="AP132" s="41">
        <v>1707</v>
      </c>
      <c r="AQ132" s="33">
        <v>125</v>
      </c>
      <c r="AR132" s="43" t="s">
        <v>7179</v>
      </c>
      <c r="AS132" s="44" t="s">
        <v>2336</v>
      </c>
      <c r="AU132" s="67">
        <v>1803</v>
      </c>
      <c r="AV132" s="68">
        <v>125</v>
      </c>
      <c r="AW132" s="69" t="s">
        <v>46</v>
      </c>
      <c r="AX132" s="70" t="s">
        <v>46</v>
      </c>
      <c r="AZ132" s="67">
        <v>1806</v>
      </c>
      <c r="BA132" s="83">
        <v>125</v>
      </c>
      <c r="BB132" s="69" t="s">
        <v>7180</v>
      </c>
      <c r="BC132" s="70" t="s">
        <v>3276</v>
      </c>
      <c r="BE132" s="67">
        <v>1809</v>
      </c>
      <c r="BF132" s="68">
        <v>125</v>
      </c>
      <c r="BG132" s="69" t="s">
        <v>46</v>
      </c>
      <c r="BH132" s="70" t="s">
        <v>46</v>
      </c>
    </row>
    <row r="133" spans="2:60">
      <c r="B133" s="67">
        <v>1501</v>
      </c>
      <c r="C133" s="68">
        <v>126</v>
      </c>
      <c r="D133" s="69" t="s">
        <v>7181</v>
      </c>
      <c r="E133" s="70" t="s">
        <v>3259</v>
      </c>
      <c r="G133" s="67">
        <v>1504</v>
      </c>
      <c r="H133" s="68">
        <v>126</v>
      </c>
      <c r="I133" s="69" t="s">
        <v>7182</v>
      </c>
      <c r="J133" s="70" t="s">
        <v>2722</v>
      </c>
      <c r="L133" s="67">
        <v>1507</v>
      </c>
      <c r="M133" s="68">
        <v>126</v>
      </c>
      <c r="N133" s="69" t="s">
        <v>7183</v>
      </c>
      <c r="O133" s="70" t="s">
        <v>1664</v>
      </c>
      <c r="Q133" s="41">
        <v>1603</v>
      </c>
      <c r="R133" s="42">
        <v>126</v>
      </c>
      <c r="S133" s="43" t="s">
        <v>7184</v>
      </c>
      <c r="T133" s="44" t="s">
        <v>2625</v>
      </c>
      <c r="V133" s="41">
        <v>1606</v>
      </c>
      <c r="W133" s="33">
        <v>126</v>
      </c>
      <c r="X133" s="43" t="s">
        <v>7185</v>
      </c>
      <c r="Y133" s="44" t="s">
        <v>1644</v>
      </c>
      <c r="AA133" s="41">
        <v>1609</v>
      </c>
      <c r="AB133" s="33">
        <v>126</v>
      </c>
      <c r="AC133" s="43" t="s">
        <v>46</v>
      </c>
      <c r="AD133" s="44" t="s">
        <v>46</v>
      </c>
      <c r="AF133" s="41">
        <v>1701</v>
      </c>
      <c r="AG133" s="33">
        <v>126</v>
      </c>
      <c r="AH133" s="43" t="s">
        <v>7181</v>
      </c>
      <c r="AI133" s="44" t="s">
        <v>3259</v>
      </c>
      <c r="AK133" s="41">
        <v>1704</v>
      </c>
      <c r="AL133" s="33">
        <v>126</v>
      </c>
      <c r="AM133" s="43" t="s">
        <v>7182</v>
      </c>
      <c r="AN133" s="44" t="s">
        <v>2722</v>
      </c>
      <c r="AP133" s="41">
        <v>1707</v>
      </c>
      <c r="AQ133" s="33">
        <v>126</v>
      </c>
      <c r="AR133" s="43" t="s">
        <v>7183</v>
      </c>
      <c r="AS133" s="44" t="s">
        <v>1664</v>
      </c>
      <c r="AU133" s="67">
        <v>1803</v>
      </c>
      <c r="AV133" s="68">
        <v>126</v>
      </c>
      <c r="AW133" s="69" t="s">
        <v>7184</v>
      </c>
      <c r="AX133" s="70" t="s">
        <v>2625</v>
      </c>
      <c r="AZ133" s="67">
        <v>1806</v>
      </c>
      <c r="BA133" s="83">
        <v>126</v>
      </c>
      <c r="BB133" s="69" t="s">
        <v>7185</v>
      </c>
      <c r="BC133" s="70" t="s">
        <v>1644</v>
      </c>
      <c r="BE133" s="67">
        <v>1809</v>
      </c>
      <c r="BF133" s="68">
        <v>126</v>
      </c>
      <c r="BG133" s="69" t="s">
        <v>46</v>
      </c>
      <c r="BH133" s="70" t="s">
        <v>46</v>
      </c>
    </row>
    <row r="134" spans="2:60">
      <c r="B134" s="67">
        <v>1501</v>
      </c>
      <c r="C134" s="68">
        <v>127</v>
      </c>
      <c r="D134" s="69" t="s">
        <v>7186</v>
      </c>
      <c r="E134" s="70" t="s">
        <v>2880</v>
      </c>
      <c r="G134" s="67">
        <v>1504</v>
      </c>
      <c r="H134" s="68">
        <v>127</v>
      </c>
      <c r="I134" s="69" t="s">
        <v>46</v>
      </c>
      <c r="J134" s="70" t="s">
        <v>46</v>
      </c>
      <c r="L134" s="67">
        <v>1507</v>
      </c>
      <c r="M134" s="68">
        <v>127</v>
      </c>
      <c r="N134" s="69" t="s">
        <v>46</v>
      </c>
      <c r="O134" s="70" t="s">
        <v>46</v>
      </c>
      <c r="Q134" s="41">
        <v>1603</v>
      </c>
      <c r="R134" s="42">
        <v>127</v>
      </c>
      <c r="S134" s="43" t="s">
        <v>46</v>
      </c>
      <c r="T134" s="44" t="s">
        <v>46</v>
      </c>
      <c r="V134" s="41">
        <v>1606</v>
      </c>
      <c r="W134" s="33">
        <v>127</v>
      </c>
      <c r="X134" s="43" t="s">
        <v>7187</v>
      </c>
      <c r="Y134" s="44" t="s">
        <v>2894</v>
      </c>
      <c r="AA134" s="41">
        <v>1609</v>
      </c>
      <c r="AB134" s="33">
        <v>127</v>
      </c>
      <c r="AC134" s="43" t="s">
        <v>46</v>
      </c>
      <c r="AD134" s="44" t="s">
        <v>46</v>
      </c>
      <c r="AF134" s="41">
        <v>1701</v>
      </c>
      <c r="AG134" s="33">
        <v>127</v>
      </c>
      <c r="AH134" s="43" t="s">
        <v>7186</v>
      </c>
      <c r="AI134" s="44" t="s">
        <v>2880</v>
      </c>
      <c r="AK134" s="41">
        <v>1704</v>
      </c>
      <c r="AL134" s="33">
        <v>127</v>
      </c>
      <c r="AM134" s="43" t="s">
        <v>46</v>
      </c>
      <c r="AN134" s="44" t="s">
        <v>46</v>
      </c>
      <c r="AP134" s="41">
        <v>1707</v>
      </c>
      <c r="AQ134" s="33">
        <v>127</v>
      </c>
      <c r="AR134" s="43" t="s">
        <v>46</v>
      </c>
      <c r="AS134" s="44" t="s">
        <v>46</v>
      </c>
      <c r="AU134" s="67">
        <v>1803</v>
      </c>
      <c r="AV134" s="68">
        <v>127</v>
      </c>
      <c r="AW134" s="69" t="s">
        <v>46</v>
      </c>
      <c r="AX134" s="70" t="s">
        <v>46</v>
      </c>
      <c r="AZ134" s="67">
        <v>1806</v>
      </c>
      <c r="BA134" s="83">
        <v>127</v>
      </c>
      <c r="BB134" s="69" t="s">
        <v>7187</v>
      </c>
      <c r="BC134" s="70" t="s">
        <v>2894</v>
      </c>
      <c r="BE134" s="67">
        <v>1809</v>
      </c>
      <c r="BF134" s="68">
        <v>127</v>
      </c>
      <c r="BG134" s="69" t="s">
        <v>46</v>
      </c>
      <c r="BH134" s="70" t="s">
        <v>46</v>
      </c>
    </row>
    <row r="135" spans="2:60" ht="15" thickBot="1">
      <c r="B135" s="71">
        <v>1501</v>
      </c>
      <c r="C135" s="72">
        <v>128</v>
      </c>
      <c r="D135" s="80" t="s">
        <v>7188</v>
      </c>
      <c r="E135" s="74" t="s">
        <v>1684</v>
      </c>
      <c r="G135" s="71">
        <v>1504</v>
      </c>
      <c r="H135" s="72">
        <v>128</v>
      </c>
      <c r="I135" s="80" t="s">
        <v>46</v>
      </c>
      <c r="J135" s="74" t="s">
        <v>46</v>
      </c>
      <c r="L135" s="71">
        <v>1507</v>
      </c>
      <c r="M135" s="72">
        <v>128</v>
      </c>
      <c r="N135" s="80" t="s">
        <v>46</v>
      </c>
      <c r="O135" s="74" t="s">
        <v>46</v>
      </c>
      <c r="Q135" s="45">
        <v>1603</v>
      </c>
      <c r="R135" s="46">
        <v>128</v>
      </c>
      <c r="S135" s="54" t="s">
        <v>7189</v>
      </c>
      <c r="T135" s="48" t="s">
        <v>1719</v>
      </c>
      <c r="V135" s="45">
        <v>1606</v>
      </c>
      <c r="W135" s="57">
        <v>128</v>
      </c>
      <c r="X135" s="54" t="s">
        <v>7190</v>
      </c>
      <c r="Y135" s="48" t="s">
        <v>2782</v>
      </c>
      <c r="AA135" s="45">
        <v>1609</v>
      </c>
      <c r="AB135" s="57">
        <v>128</v>
      </c>
      <c r="AC135" s="54" t="s">
        <v>46</v>
      </c>
      <c r="AD135" s="48" t="s">
        <v>46</v>
      </c>
      <c r="AF135" s="45">
        <v>1701</v>
      </c>
      <c r="AG135" s="57">
        <v>128</v>
      </c>
      <c r="AH135" s="54" t="s">
        <v>7188</v>
      </c>
      <c r="AI135" s="48" t="s">
        <v>1684</v>
      </c>
      <c r="AK135" s="45">
        <v>1704</v>
      </c>
      <c r="AL135" s="57">
        <v>128</v>
      </c>
      <c r="AM135" s="54" t="s">
        <v>46</v>
      </c>
      <c r="AN135" s="48" t="s">
        <v>46</v>
      </c>
      <c r="AP135" s="45">
        <v>1707</v>
      </c>
      <c r="AQ135" s="57">
        <v>128</v>
      </c>
      <c r="AR135" s="54" t="s">
        <v>46</v>
      </c>
      <c r="AS135" s="48" t="s">
        <v>46</v>
      </c>
      <c r="AU135" s="71">
        <v>1803</v>
      </c>
      <c r="AV135" s="72">
        <v>128</v>
      </c>
      <c r="AW135" s="80" t="s">
        <v>7189</v>
      </c>
      <c r="AX135" s="74" t="s">
        <v>1719</v>
      </c>
      <c r="AZ135" s="71">
        <v>1806</v>
      </c>
      <c r="BA135" s="84">
        <v>128</v>
      </c>
      <c r="BB135" s="80" t="s">
        <v>7190</v>
      </c>
      <c r="BC135" s="74" t="s">
        <v>2782</v>
      </c>
      <c r="BE135" s="71">
        <v>1809</v>
      </c>
      <c r="BF135" s="72">
        <v>128</v>
      </c>
      <c r="BG135" s="80" t="s">
        <v>46</v>
      </c>
      <c r="BH135" s="74" t="s">
        <v>46</v>
      </c>
    </row>
    <row r="136" spans="2:60">
      <c r="F136" s="17"/>
      <c r="K136" s="17"/>
      <c r="P136" s="17"/>
      <c r="U136" s="17"/>
      <c r="Z136" s="17"/>
      <c r="AE136" s="17"/>
      <c r="AJ136" s="17"/>
      <c r="AO136" s="17"/>
      <c r="AT136" s="17"/>
      <c r="AY136" s="17"/>
      <c r="BD136" s="17"/>
    </row>
    <row r="137" spans="2:60">
      <c r="F137" s="17"/>
      <c r="K137" s="17"/>
      <c r="P137" s="17"/>
      <c r="U137" s="17"/>
      <c r="Z137" s="17"/>
      <c r="AE137" s="17"/>
      <c r="AJ137" s="17"/>
      <c r="AO137" s="17"/>
      <c r="AT137" s="17"/>
      <c r="AY137" s="17"/>
      <c r="BD137" s="17"/>
    </row>
    <row r="138" spans="2:60">
      <c r="F138" s="17"/>
      <c r="K138" s="17"/>
      <c r="P138" s="17"/>
      <c r="U138" s="17"/>
      <c r="Z138" s="17"/>
      <c r="AE138" s="17"/>
      <c r="AJ138" s="17"/>
      <c r="AO138" s="17"/>
      <c r="AT138" s="17"/>
      <c r="AY138" s="17"/>
      <c r="BD138" s="17"/>
    </row>
    <row r="139" spans="2:60">
      <c r="F139" s="17"/>
      <c r="K139" s="17"/>
      <c r="P139" s="17"/>
      <c r="U139" s="17"/>
      <c r="Z139" s="17"/>
      <c r="AE139" s="17"/>
      <c r="AJ139" s="17"/>
      <c r="AO139" s="17"/>
      <c r="AT139" s="17"/>
      <c r="AY139" s="17"/>
      <c r="BD139" s="17"/>
    </row>
    <row r="140" spans="2:60">
      <c r="F140" s="6"/>
      <c r="K140" s="6"/>
      <c r="P140" s="6"/>
      <c r="U140" s="6"/>
      <c r="Z140" s="6"/>
      <c r="AE140" s="6"/>
      <c r="AJ140" s="6"/>
      <c r="AO140" s="6"/>
      <c r="AT140" s="6"/>
      <c r="AY140" s="6"/>
      <c r="BD140" s="6"/>
    </row>
    <row r="141" spans="2:60">
      <c r="F141" s="6"/>
      <c r="K141" s="6"/>
      <c r="P141" s="6"/>
      <c r="U141" s="6"/>
      <c r="Z141" s="6"/>
      <c r="AE141" s="6"/>
      <c r="AJ141" s="6"/>
      <c r="AO141" s="6"/>
      <c r="AT141" s="6"/>
      <c r="AY141" s="6"/>
      <c r="BD141" s="6"/>
    </row>
    <row r="142" spans="2:60">
      <c r="F142" s="6"/>
      <c r="K142" s="6"/>
      <c r="P142" s="6"/>
      <c r="U142" s="6"/>
      <c r="Z142" s="6"/>
      <c r="AE142" s="6"/>
      <c r="AJ142" s="6"/>
      <c r="AO142" s="6"/>
      <c r="AT142" s="6"/>
      <c r="AY142" s="6"/>
      <c r="BD142" s="6"/>
    </row>
    <row r="143" spans="2:60">
      <c r="F143" s="6"/>
      <c r="K143" s="6"/>
      <c r="P143" s="6"/>
      <c r="U143" s="6"/>
      <c r="Z143" s="6"/>
      <c r="AE143" s="6"/>
      <c r="AJ143" s="6"/>
      <c r="AO143" s="6"/>
      <c r="AT143" s="6"/>
      <c r="AY143" s="6"/>
      <c r="BD143" s="6"/>
    </row>
  </sheetData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c2b361-d4b1-442d-b278-c9fdb86b0f65" xsi:nil="true"/>
    <lcf76f155ced4ddcb4097134ff3c332f xmlns="bcd5b038-adb1-499f-b4a2-417d4f3a2ca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7C24B81742A04CB292706DD11599F7" ma:contentTypeVersion="20" ma:contentTypeDescription="Create a new document." ma:contentTypeScope="" ma:versionID="c609ebfc743517c16d057f9e1f9a7711">
  <xsd:schema xmlns:xsd="http://www.w3.org/2001/XMLSchema" xmlns:xs="http://www.w3.org/2001/XMLSchema" xmlns:p="http://schemas.microsoft.com/office/2006/metadata/properties" xmlns:ns2="bcd5b038-adb1-499f-b4a2-417d4f3a2cae" xmlns:ns3="7fc2b361-d4b1-442d-b278-c9fdb86b0f65" targetNamespace="http://schemas.microsoft.com/office/2006/metadata/properties" ma:root="true" ma:fieldsID="7d49966ee279a809c66aa0e8e051fa06" ns2:_="" ns3:_="">
    <xsd:import namespace="bcd5b038-adb1-499f-b4a2-417d4f3a2cae"/>
    <xsd:import namespace="7fc2b361-d4b1-442d-b278-c9fdb86b0f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5b038-adb1-499f-b4a2-417d4f3a2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2b361-d4b1-442d-b278-c9fdb86b0f6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b6a19c3-d0c2-4994-a65a-f3f8339b4528}" ma:internalName="TaxCatchAll" ma:showField="CatchAllData" ma:web="7fc2b361-d4b1-442d-b278-c9fdb86b0f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32866B-EC70-4678-9904-3C14D5DE994F}">
  <ds:schemaRefs>
    <ds:schemaRef ds:uri="http://schemas.microsoft.com/office/2006/metadata/properties"/>
    <ds:schemaRef ds:uri="http://schemas.microsoft.com/office/infopath/2007/PartnerControls"/>
    <ds:schemaRef ds:uri="7fc2b361-d4b1-442d-b278-c9fdb86b0f65"/>
    <ds:schemaRef ds:uri="bcd5b038-adb1-499f-b4a2-417d4f3a2cae"/>
  </ds:schemaRefs>
</ds:datastoreItem>
</file>

<file path=customXml/itemProps2.xml><?xml version="1.0" encoding="utf-8"?>
<ds:datastoreItem xmlns:ds="http://schemas.openxmlformats.org/officeDocument/2006/customXml" ds:itemID="{D112C410-6295-4A02-8270-EE47803EAB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8D9028-3F54-4E28-B9B8-85539CCB39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d5b038-adb1-499f-b4a2-417d4f3a2cae"/>
    <ds:schemaRef ds:uri="7fc2b361-d4b1-442d-b278-c9fdb86b0f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History</vt:lpstr>
      <vt:lpstr>Sheet1</vt:lpstr>
      <vt:lpstr>SITE1</vt:lpstr>
      <vt:lpstr>SITE3</vt:lpstr>
      <vt:lpstr>CNV_M10</vt:lpstr>
      <vt:lpstr>PCIE_USB31M01</vt:lpstr>
      <vt:lpstr>DMI_M13</vt:lpstr>
      <vt:lpstr>CLKOUT_XTAL_M02</vt:lpstr>
      <vt:lpstr>JTAG_M03</vt:lpstr>
      <vt:lpstr>CLKOUT_SRC_M04</vt:lpstr>
      <vt:lpstr>XTAL_M06</vt:lpstr>
      <vt:lpstr>GPP_E_F_M07</vt:lpstr>
      <vt:lpstr>GPP_C_H_M08</vt:lpstr>
      <vt:lpstr>USB2</vt:lpstr>
      <vt:lpstr>DP</vt:lpstr>
      <vt:lpstr>Thermal</vt:lpstr>
      <vt:lpstr>SYNC</vt:lpstr>
      <vt:lpstr>TRIGGER</vt:lpstr>
      <vt:lpstr>POWER</vt:lpstr>
      <vt:lpstr>CHLINK</vt:lpstr>
      <vt:lpstr>TIME_DOMAIN</vt:lpstr>
      <vt:lpstr>ALL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KSK</dc:creator>
  <cp:keywords/>
  <dc:description/>
  <cp:lastModifiedBy>Hoang, Anh DucX</cp:lastModifiedBy>
  <cp:revision/>
  <dcterms:created xsi:type="dcterms:W3CDTF">2016-04-01T02:48:56Z</dcterms:created>
  <dcterms:modified xsi:type="dcterms:W3CDTF">2025-11-02T08:49:39Z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0x0101004C7C24B81742A04CB292706DD11599F7</vt:lpwstr>
  </property>
  <property fmtid="{D5CDD505-2E9C-101B-9397-08002B2CF9AE}" pid="3" name="MediaServiceImageTags">
    <vt:lpwstr/>
  </property>
</Properties>
</file>